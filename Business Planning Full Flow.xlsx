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E41EEE-9FDF-4985-8813-EE540C8A1E69}" xr6:coauthVersionLast="47" xr6:coauthVersionMax="47" xr10:uidLastSave="{00000000-0000-0000-0000-000000000000}"/>
  <bookViews>
    <workbookView xWindow="-120" yWindow="-120" windowWidth="20730" windowHeight="11040" firstSheet="1" activeTab="8" xr2:uid="{00000000-000D-0000-FFFF-FFFF00000000}"/>
  </bookViews>
  <sheets>
    <sheet name="M&amp;S" sheetId="2" state="hidden" r:id="rId1"/>
    <sheet name="Parameter" sheetId="3" r:id="rId2"/>
    <sheet name="Delayed payment" sheetId="4" r:id="rId3"/>
    <sheet name="Marketing plan" sheetId="5" r:id="rId4"/>
    <sheet name="Operations plan" sheetId="6" r:id="rId5"/>
    <sheet name="Expenses" sheetId="7" r:id="rId6"/>
    <sheet name="OP" sheetId="8" state="hidden" r:id="rId7"/>
    <sheet name="FINAL BACKUP OPs PLAN" sheetId="9" state="hidden" r:id="rId8"/>
    <sheet name="Item list" sheetId="10" r:id="rId9"/>
    <sheet name="Salaries and wages" sheetId="11" r:id="rId10"/>
    <sheet name="MAN" sheetId="12" state="hidden" r:id="rId11"/>
    <sheet name="Paycheck schedule" sheetId="13" r:id="rId12"/>
    <sheet name="INCOME STATEMENT" sheetId="14" r:id="rId13"/>
    <sheet name="BALANCE SHEET" sheetId="15" r:id="rId14"/>
    <sheet name="CASH FLOW STATEMENT" sheetId="16" r:id="rId15"/>
    <sheet name="Loan repay {supplement}" sheetId="17" r:id="rId16"/>
    <sheet name="Spending {supplement}" sheetId="18" r:id="rId17"/>
    <sheet name="Dep. plan monthly {supplement}" sheetId="19" r:id="rId18"/>
    <sheet name="Functions" sheetId="20" state="hidden" r:id="rId19"/>
  </sheets>
  <calcPr calcId="191029"/>
</workbook>
</file>

<file path=xl/calcChain.xml><?xml version="1.0" encoding="utf-8"?>
<calcChain xmlns="http://schemas.openxmlformats.org/spreadsheetml/2006/main">
  <c r="AL30" i="19" l="1"/>
  <c r="AL24" i="19"/>
  <c r="AL20" i="19"/>
  <c r="AB31" i="19"/>
  <c r="R40" i="19"/>
  <c r="R35" i="19"/>
  <c r="R32" i="19"/>
  <c r="R31" i="19"/>
  <c r="R20" i="19"/>
  <c r="O91" i="19"/>
  <c r="O85" i="19"/>
  <c r="O83" i="19"/>
  <c r="O81" i="19"/>
  <c r="N81" i="19" s="1"/>
  <c r="O80" i="19"/>
  <c r="O77" i="19"/>
  <c r="O75" i="19"/>
  <c r="O72" i="19"/>
  <c r="O69" i="19"/>
  <c r="O59" i="19"/>
  <c r="O51" i="19"/>
  <c r="G96" i="19"/>
  <c r="F96" i="19"/>
  <c r="E96" i="19"/>
  <c r="L96" i="19" s="1"/>
  <c r="D96" i="19"/>
  <c r="C96" i="19"/>
  <c r="B96" i="19"/>
  <c r="A96" i="19"/>
  <c r="G95" i="19"/>
  <c r="F95" i="19"/>
  <c r="E95" i="19"/>
  <c r="L95" i="19" s="1"/>
  <c r="D95" i="19"/>
  <c r="C95" i="19"/>
  <c r="B95" i="19"/>
  <c r="A95" i="19"/>
  <c r="H94" i="19"/>
  <c r="G94" i="19"/>
  <c r="F94" i="19"/>
  <c r="E94" i="19"/>
  <c r="L94" i="19" s="1"/>
  <c r="D94" i="19"/>
  <c r="C94" i="19"/>
  <c r="B94" i="19"/>
  <c r="A94" i="19"/>
  <c r="G93" i="19"/>
  <c r="F93" i="19"/>
  <c r="E93" i="19"/>
  <c r="L93" i="19" s="1"/>
  <c r="O93" i="19" s="1"/>
  <c r="N93" i="19" s="1"/>
  <c r="D93" i="19"/>
  <c r="C93" i="19"/>
  <c r="B93" i="19"/>
  <c r="A93" i="19"/>
  <c r="H92" i="19"/>
  <c r="G92" i="19"/>
  <c r="F92" i="19"/>
  <c r="E92" i="19"/>
  <c r="L92" i="19" s="1"/>
  <c r="O92" i="19" s="1"/>
  <c r="D92" i="19"/>
  <c r="C92" i="19"/>
  <c r="B92" i="19"/>
  <c r="A92" i="19"/>
  <c r="G91" i="19"/>
  <c r="F91" i="19"/>
  <c r="E91" i="19"/>
  <c r="L91" i="19" s="1"/>
  <c r="D91" i="19"/>
  <c r="C91" i="19"/>
  <c r="B91" i="19"/>
  <c r="A91" i="19"/>
  <c r="H90" i="19"/>
  <c r="G90" i="19"/>
  <c r="F90" i="19"/>
  <c r="E90" i="19"/>
  <c r="L90" i="19" s="1"/>
  <c r="D90" i="19"/>
  <c r="C90" i="19"/>
  <c r="B90" i="19"/>
  <c r="A90" i="19"/>
  <c r="H89" i="19"/>
  <c r="G89" i="19"/>
  <c r="F89" i="19"/>
  <c r="E89" i="19"/>
  <c r="L89" i="19" s="1"/>
  <c r="O89" i="19" s="1"/>
  <c r="D89" i="19"/>
  <c r="C89" i="19"/>
  <c r="B89" i="19"/>
  <c r="A89" i="19"/>
  <c r="G88" i="19"/>
  <c r="F88" i="19"/>
  <c r="E88" i="19"/>
  <c r="L88" i="19" s="1"/>
  <c r="O88" i="19" s="1"/>
  <c r="N88" i="19" s="1"/>
  <c r="D88" i="19"/>
  <c r="C88" i="19"/>
  <c r="B88" i="19"/>
  <c r="A88" i="19"/>
  <c r="G87" i="19"/>
  <c r="F87" i="19"/>
  <c r="E87" i="19"/>
  <c r="L87" i="19" s="1"/>
  <c r="O87" i="19" s="1"/>
  <c r="N87" i="19" s="1"/>
  <c r="D87" i="19"/>
  <c r="C87" i="19"/>
  <c r="B87" i="19"/>
  <c r="A87" i="19"/>
  <c r="G86" i="19"/>
  <c r="F86" i="19"/>
  <c r="E86" i="19"/>
  <c r="L86" i="19" s="1"/>
  <c r="O86" i="19" s="1"/>
  <c r="D86" i="19"/>
  <c r="C86" i="19"/>
  <c r="B86" i="19"/>
  <c r="A86" i="19"/>
  <c r="G85" i="19"/>
  <c r="F85" i="19"/>
  <c r="E85" i="19"/>
  <c r="L85" i="19" s="1"/>
  <c r="D85" i="19"/>
  <c r="C85" i="19"/>
  <c r="B85" i="19"/>
  <c r="A85" i="19"/>
  <c r="L84" i="19"/>
  <c r="O84" i="19" s="1"/>
  <c r="G84" i="19"/>
  <c r="F84" i="19"/>
  <c r="E84" i="19"/>
  <c r="D84" i="19"/>
  <c r="C84" i="19"/>
  <c r="B84" i="19"/>
  <c r="A84" i="19"/>
  <c r="L83" i="19"/>
  <c r="G83" i="19"/>
  <c r="F83" i="19"/>
  <c r="E83" i="19"/>
  <c r="D83" i="19"/>
  <c r="C83" i="19"/>
  <c r="B83" i="19"/>
  <c r="A83" i="19"/>
  <c r="G82" i="19"/>
  <c r="F82" i="19"/>
  <c r="E82" i="19"/>
  <c r="L82" i="19" s="1"/>
  <c r="O82" i="19" s="1"/>
  <c r="N82" i="19" s="1"/>
  <c r="D82" i="19"/>
  <c r="C82" i="19"/>
  <c r="B82" i="19"/>
  <c r="A82" i="19"/>
  <c r="G81" i="19"/>
  <c r="F81" i="19"/>
  <c r="E81" i="19"/>
  <c r="L81" i="19" s="1"/>
  <c r="D81" i="19"/>
  <c r="C81" i="19"/>
  <c r="B81" i="19"/>
  <c r="A81" i="19"/>
  <c r="H80" i="19"/>
  <c r="G80" i="19"/>
  <c r="F80" i="19"/>
  <c r="E80" i="19"/>
  <c r="L80" i="19" s="1"/>
  <c r="D80" i="19"/>
  <c r="C80" i="19"/>
  <c r="B80" i="19"/>
  <c r="A80" i="19"/>
  <c r="G79" i="19"/>
  <c r="F79" i="19"/>
  <c r="E79" i="19"/>
  <c r="L79" i="19" s="1"/>
  <c r="O79" i="19" s="1"/>
  <c r="D79" i="19"/>
  <c r="C79" i="19"/>
  <c r="B79" i="19"/>
  <c r="A79" i="19"/>
  <c r="H78" i="19"/>
  <c r="G78" i="19"/>
  <c r="F78" i="19"/>
  <c r="E78" i="19"/>
  <c r="L78" i="19" s="1"/>
  <c r="O78" i="19" s="1"/>
  <c r="N78" i="19" s="1"/>
  <c r="D78" i="19"/>
  <c r="C78" i="19"/>
  <c r="B78" i="19"/>
  <c r="A78" i="19"/>
  <c r="H77" i="19"/>
  <c r="G77" i="19"/>
  <c r="F77" i="19"/>
  <c r="E77" i="19"/>
  <c r="L77" i="19" s="1"/>
  <c r="D77" i="19"/>
  <c r="C77" i="19"/>
  <c r="B77" i="19"/>
  <c r="A77" i="19"/>
  <c r="G76" i="19"/>
  <c r="F76" i="19"/>
  <c r="E76" i="19"/>
  <c r="L76" i="19" s="1"/>
  <c r="O76" i="19" s="1"/>
  <c r="D76" i="19"/>
  <c r="C76" i="19"/>
  <c r="B76" i="19"/>
  <c r="A76" i="19"/>
  <c r="G75" i="19"/>
  <c r="F75" i="19"/>
  <c r="E75" i="19"/>
  <c r="L75" i="19" s="1"/>
  <c r="D75" i="19"/>
  <c r="C75" i="19"/>
  <c r="B75" i="19"/>
  <c r="A75" i="19"/>
  <c r="H74" i="19"/>
  <c r="G74" i="19"/>
  <c r="F74" i="19"/>
  <c r="E74" i="19"/>
  <c r="L74" i="19" s="1"/>
  <c r="O74" i="19" s="1"/>
  <c r="N74" i="19" s="1"/>
  <c r="D74" i="19"/>
  <c r="C74" i="19"/>
  <c r="B74" i="19"/>
  <c r="A74" i="19"/>
  <c r="G73" i="19"/>
  <c r="F73" i="19"/>
  <c r="E73" i="19"/>
  <c r="L73" i="19" s="1"/>
  <c r="O73" i="19" s="1"/>
  <c r="N73" i="19" s="1"/>
  <c r="D73" i="19"/>
  <c r="C73" i="19"/>
  <c r="B73" i="19"/>
  <c r="A73" i="19"/>
  <c r="G72" i="19"/>
  <c r="F72" i="19"/>
  <c r="E72" i="19"/>
  <c r="L72" i="19" s="1"/>
  <c r="D72" i="19"/>
  <c r="C72" i="19"/>
  <c r="B72" i="19"/>
  <c r="A72" i="19"/>
  <c r="H71" i="19"/>
  <c r="G71" i="19"/>
  <c r="F71" i="19"/>
  <c r="E71" i="19"/>
  <c r="L71" i="19" s="1"/>
  <c r="D71" i="19"/>
  <c r="C71" i="19"/>
  <c r="B71" i="19"/>
  <c r="A71" i="19"/>
  <c r="H70" i="19"/>
  <c r="G70" i="19"/>
  <c r="F70" i="19"/>
  <c r="E70" i="19"/>
  <c r="L70" i="19" s="1"/>
  <c r="O70" i="19" s="1"/>
  <c r="D70" i="19"/>
  <c r="C70" i="19"/>
  <c r="B70" i="19"/>
  <c r="A70" i="19"/>
  <c r="G69" i="19"/>
  <c r="F69" i="19"/>
  <c r="E69" i="19"/>
  <c r="L69" i="19" s="1"/>
  <c r="D69" i="19"/>
  <c r="C69" i="19"/>
  <c r="B69" i="19"/>
  <c r="A69" i="19"/>
  <c r="G68" i="19"/>
  <c r="F68" i="19"/>
  <c r="E68" i="19"/>
  <c r="L68" i="19" s="1"/>
  <c r="O68" i="19" s="1"/>
  <c r="D68" i="19"/>
  <c r="C68" i="19"/>
  <c r="B68" i="19"/>
  <c r="A68" i="19"/>
  <c r="L67" i="19"/>
  <c r="O67" i="19" s="1"/>
  <c r="G67" i="19"/>
  <c r="F67" i="19"/>
  <c r="E67" i="19"/>
  <c r="D67" i="19"/>
  <c r="C67" i="19"/>
  <c r="B67" i="19"/>
  <c r="A67" i="19"/>
  <c r="G66" i="19"/>
  <c r="F66" i="19"/>
  <c r="E66" i="19"/>
  <c r="L66" i="19" s="1"/>
  <c r="O66" i="19" s="1"/>
  <c r="D66" i="19"/>
  <c r="C66" i="19"/>
  <c r="B66" i="19"/>
  <c r="A66" i="19"/>
  <c r="G65" i="19"/>
  <c r="F65" i="19"/>
  <c r="E65" i="19"/>
  <c r="L65" i="19" s="1"/>
  <c r="O65" i="19" s="1"/>
  <c r="D65" i="19"/>
  <c r="C65" i="19"/>
  <c r="B65" i="19"/>
  <c r="A65" i="19"/>
  <c r="H64" i="19"/>
  <c r="G64" i="19"/>
  <c r="F64" i="19"/>
  <c r="E64" i="19"/>
  <c r="L64" i="19" s="1"/>
  <c r="O64" i="19" s="1"/>
  <c r="D64" i="19"/>
  <c r="C64" i="19"/>
  <c r="B64" i="19"/>
  <c r="A64" i="19"/>
  <c r="H63" i="19"/>
  <c r="G63" i="19"/>
  <c r="F63" i="19"/>
  <c r="E63" i="19"/>
  <c r="L63" i="19" s="1"/>
  <c r="O63" i="19" s="1"/>
  <c r="D63" i="19"/>
  <c r="C63" i="19"/>
  <c r="B63" i="19"/>
  <c r="A63" i="19"/>
  <c r="L62" i="19"/>
  <c r="O62" i="19" s="1"/>
  <c r="G62" i="19"/>
  <c r="F62" i="19"/>
  <c r="E62" i="19"/>
  <c r="D62" i="19"/>
  <c r="C62" i="19"/>
  <c r="B62" i="19"/>
  <c r="A62" i="19"/>
  <c r="G61" i="19"/>
  <c r="F61" i="19"/>
  <c r="E61" i="19"/>
  <c r="L61" i="19" s="1"/>
  <c r="D61" i="19"/>
  <c r="C61" i="19"/>
  <c r="B61" i="19"/>
  <c r="A61" i="19"/>
  <c r="H60" i="19"/>
  <c r="G60" i="19"/>
  <c r="F60" i="19"/>
  <c r="E60" i="19"/>
  <c r="L60" i="19" s="1"/>
  <c r="O60" i="19" s="1"/>
  <c r="D60" i="19"/>
  <c r="C60" i="19"/>
  <c r="B60" i="19"/>
  <c r="A60" i="19"/>
  <c r="L59" i="19"/>
  <c r="G59" i="19"/>
  <c r="F59" i="19"/>
  <c r="E59" i="19"/>
  <c r="D59" i="19"/>
  <c r="C59" i="19"/>
  <c r="B59" i="19"/>
  <c r="A59" i="19"/>
  <c r="H58" i="19"/>
  <c r="G58" i="19"/>
  <c r="F58" i="19"/>
  <c r="E58" i="19"/>
  <c r="L58" i="19" s="1"/>
  <c r="O58" i="19" s="1"/>
  <c r="D58" i="19"/>
  <c r="C58" i="19"/>
  <c r="B58" i="19"/>
  <c r="A58" i="19"/>
  <c r="L57" i="19"/>
  <c r="O57" i="19" s="1"/>
  <c r="G57" i="19"/>
  <c r="F57" i="19"/>
  <c r="E57" i="19"/>
  <c r="D57" i="19"/>
  <c r="C57" i="19"/>
  <c r="B57" i="19"/>
  <c r="A57" i="19"/>
  <c r="L56" i="19"/>
  <c r="O56" i="19" s="1"/>
  <c r="G56" i="19"/>
  <c r="F56" i="19"/>
  <c r="E56" i="19"/>
  <c r="D56" i="19"/>
  <c r="C56" i="19"/>
  <c r="B56" i="19"/>
  <c r="A56" i="19"/>
  <c r="G55" i="19"/>
  <c r="F55" i="19"/>
  <c r="E55" i="19"/>
  <c r="L55" i="19" s="1"/>
  <c r="O55" i="19" s="1"/>
  <c r="D55" i="19"/>
  <c r="C55" i="19"/>
  <c r="B55" i="19"/>
  <c r="A55" i="19"/>
  <c r="H54" i="19"/>
  <c r="G54" i="19"/>
  <c r="F54" i="19"/>
  <c r="E54" i="19"/>
  <c r="L54" i="19" s="1"/>
  <c r="O54" i="19" s="1"/>
  <c r="N54" i="19" s="1"/>
  <c r="D54" i="19"/>
  <c r="C54" i="19"/>
  <c r="B54" i="19"/>
  <c r="A54" i="19"/>
  <c r="H53" i="19"/>
  <c r="G53" i="19"/>
  <c r="F53" i="19"/>
  <c r="E53" i="19"/>
  <c r="L53" i="19" s="1"/>
  <c r="O53" i="19" s="1"/>
  <c r="D53" i="19"/>
  <c r="C53" i="19"/>
  <c r="B53" i="19"/>
  <c r="A53" i="19"/>
  <c r="G52" i="19"/>
  <c r="F52" i="19"/>
  <c r="E52" i="19"/>
  <c r="L52" i="19" s="1"/>
  <c r="O52" i="19" s="1"/>
  <c r="D52" i="19"/>
  <c r="C52" i="19"/>
  <c r="B52" i="19"/>
  <c r="A52" i="19"/>
  <c r="H51" i="19"/>
  <c r="G51" i="19"/>
  <c r="F51" i="19"/>
  <c r="E51" i="19"/>
  <c r="L51" i="19" s="1"/>
  <c r="D51" i="19"/>
  <c r="C51" i="19"/>
  <c r="B51" i="19"/>
  <c r="A51" i="19"/>
  <c r="H50" i="19"/>
  <c r="G50" i="19"/>
  <c r="F50" i="19"/>
  <c r="E50" i="19"/>
  <c r="L50" i="19" s="1"/>
  <c r="O50" i="19" s="1"/>
  <c r="D50" i="19"/>
  <c r="C50" i="19"/>
  <c r="B50" i="19"/>
  <c r="A50" i="19"/>
  <c r="L49" i="19"/>
  <c r="O49" i="19" s="1"/>
  <c r="G49" i="19"/>
  <c r="F49" i="19"/>
  <c r="E49" i="19"/>
  <c r="D49" i="19"/>
  <c r="C49" i="19"/>
  <c r="B49" i="19"/>
  <c r="A49" i="19"/>
  <c r="L48" i="19"/>
  <c r="G48" i="19"/>
  <c r="F48" i="19"/>
  <c r="E48" i="19"/>
  <c r="D48" i="19"/>
  <c r="C48" i="19"/>
  <c r="B48" i="19"/>
  <c r="A48" i="19"/>
  <c r="N47" i="19"/>
  <c r="G47" i="19"/>
  <c r="F47" i="19"/>
  <c r="E47" i="19"/>
  <c r="L47" i="19" s="1"/>
  <c r="O47" i="19" s="1"/>
  <c r="D47" i="19"/>
  <c r="C47" i="19"/>
  <c r="B47" i="19"/>
  <c r="A47" i="19"/>
  <c r="G46" i="19"/>
  <c r="F46" i="19"/>
  <c r="E46" i="19"/>
  <c r="L46" i="19" s="1"/>
  <c r="O46" i="19" s="1"/>
  <c r="D46" i="19"/>
  <c r="C46" i="19"/>
  <c r="B46" i="19"/>
  <c r="A46" i="19"/>
  <c r="H45" i="19"/>
  <c r="G45" i="19"/>
  <c r="F45" i="19"/>
  <c r="E45" i="19"/>
  <c r="L45" i="19" s="1"/>
  <c r="O45" i="19" s="1"/>
  <c r="D45" i="19"/>
  <c r="C45" i="19"/>
  <c r="B45" i="19"/>
  <c r="A45" i="19"/>
  <c r="H44" i="19"/>
  <c r="G44" i="19"/>
  <c r="F44" i="19"/>
  <c r="E44" i="19"/>
  <c r="L44" i="19" s="1"/>
  <c r="O44" i="19" s="1"/>
  <c r="D44" i="19"/>
  <c r="C44" i="19"/>
  <c r="B44" i="19"/>
  <c r="A44" i="19"/>
  <c r="G43" i="19"/>
  <c r="F43" i="19"/>
  <c r="E43" i="19"/>
  <c r="L43" i="19" s="1"/>
  <c r="O43" i="19" s="1"/>
  <c r="D43" i="19"/>
  <c r="C43" i="19"/>
  <c r="B43" i="19"/>
  <c r="A43" i="19"/>
  <c r="L42" i="19"/>
  <c r="G42" i="19"/>
  <c r="F42" i="19"/>
  <c r="AG42" i="19" s="1"/>
  <c r="E42" i="19"/>
  <c r="C42" i="19"/>
  <c r="B42" i="19"/>
  <c r="A42" i="19"/>
  <c r="H41" i="19"/>
  <c r="G41" i="19"/>
  <c r="F41" i="19"/>
  <c r="E41" i="19"/>
  <c r="L41" i="19" s="1"/>
  <c r="C41" i="19"/>
  <c r="B41" i="19"/>
  <c r="A41" i="19"/>
  <c r="H40" i="19"/>
  <c r="G40" i="19"/>
  <c r="F40" i="19"/>
  <c r="E40" i="19"/>
  <c r="L40" i="19" s="1"/>
  <c r="C40" i="19"/>
  <c r="B40" i="19"/>
  <c r="A40" i="19"/>
  <c r="G39" i="19"/>
  <c r="F39" i="19"/>
  <c r="R39" i="19" s="1"/>
  <c r="E39" i="19"/>
  <c r="L39" i="19" s="1"/>
  <c r="D39" i="19"/>
  <c r="C39" i="19"/>
  <c r="B39" i="19"/>
  <c r="A39" i="19"/>
  <c r="G38" i="19"/>
  <c r="F38" i="19"/>
  <c r="R38" i="19" s="1"/>
  <c r="E38" i="19"/>
  <c r="L38" i="19" s="1"/>
  <c r="C38" i="19"/>
  <c r="B38" i="19"/>
  <c r="A38" i="19"/>
  <c r="G37" i="19"/>
  <c r="F37" i="19"/>
  <c r="E37" i="19"/>
  <c r="L37" i="19" s="1"/>
  <c r="D37" i="19"/>
  <c r="C37" i="19"/>
  <c r="B37" i="19"/>
  <c r="A37" i="19"/>
  <c r="L36" i="19"/>
  <c r="G36" i="19"/>
  <c r="F36" i="19"/>
  <c r="E36" i="19"/>
  <c r="C36" i="19"/>
  <c r="B36" i="19"/>
  <c r="A36" i="19"/>
  <c r="H35" i="19"/>
  <c r="G35" i="19"/>
  <c r="F35" i="19"/>
  <c r="E35" i="19"/>
  <c r="L35" i="19" s="1"/>
  <c r="C35" i="19"/>
  <c r="B35" i="19"/>
  <c r="A35" i="19"/>
  <c r="H34" i="19"/>
  <c r="G34" i="19"/>
  <c r="F34" i="19"/>
  <c r="E34" i="19"/>
  <c r="L34" i="19" s="1"/>
  <c r="C34" i="19"/>
  <c r="B34" i="19"/>
  <c r="A34" i="19"/>
  <c r="G33" i="19"/>
  <c r="F33" i="19"/>
  <c r="E33" i="19"/>
  <c r="L33" i="19" s="1"/>
  <c r="C33" i="19"/>
  <c r="B33" i="19"/>
  <c r="A33" i="19"/>
  <c r="G32" i="19"/>
  <c r="F32" i="19"/>
  <c r="AB32" i="19" s="1"/>
  <c r="E32" i="19"/>
  <c r="L32" i="19" s="1"/>
  <c r="C32" i="19"/>
  <c r="B32" i="19"/>
  <c r="A32" i="19"/>
  <c r="L31" i="19"/>
  <c r="G31" i="19"/>
  <c r="F31" i="19"/>
  <c r="E31" i="19"/>
  <c r="C31" i="19"/>
  <c r="DO9" i="19" s="1"/>
  <c r="B31" i="19"/>
  <c r="A31" i="19"/>
  <c r="G30" i="19"/>
  <c r="F30" i="19"/>
  <c r="AG30" i="19" s="1"/>
  <c r="E30" i="19"/>
  <c r="L30" i="19" s="1"/>
  <c r="C30" i="19"/>
  <c r="B30" i="19"/>
  <c r="A30" i="19"/>
  <c r="L29" i="19"/>
  <c r="G29" i="19"/>
  <c r="F29" i="19"/>
  <c r="E29" i="19"/>
  <c r="D29" i="19"/>
  <c r="C29" i="19"/>
  <c r="B29" i="19"/>
  <c r="A29" i="19"/>
  <c r="L28" i="19"/>
  <c r="G28" i="19"/>
  <c r="F28" i="19"/>
  <c r="AL28" i="19" s="1"/>
  <c r="E28" i="19"/>
  <c r="D28" i="19"/>
  <c r="C28" i="19"/>
  <c r="B28" i="19"/>
  <c r="A28" i="19"/>
  <c r="G27" i="19"/>
  <c r="F27" i="19"/>
  <c r="W27" i="19" s="1"/>
  <c r="E27" i="19"/>
  <c r="L27" i="19" s="1"/>
  <c r="D27" i="19"/>
  <c r="C27" i="19"/>
  <c r="B27" i="19"/>
  <c r="A27" i="19"/>
  <c r="H26" i="19"/>
  <c r="G26" i="19"/>
  <c r="F26" i="19"/>
  <c r="E26" i="19"/>
  <c r="L26" i="19" s="1"/>
  <c r="D26" i="19"/>
  <c r="C26" i="19"/>
  <c r="B26" i="19"/>
  <c r="A26" i="19"/>
  <c r="H25" i="19"/>
  <c r="G25" i="19"/>
  <c r="F25" i="19"/>
  <c r="E25" i="19"/>
  <c r="L25" i="19" s="1"/>
  <c r="D25" i="19"/>
  <c r="C25" i="19"/>
  <c r="B25" i="19"/>
  <c r="A25" i="19"/>
  <c r="M24" i="19"/>
  <c r="G24" i="19"/>
  <c r="F24" i="19"/>
  <c r="AB24" i="19" s="1"/>
  <c r="E24" i="19"/>
  <c r="L24" i="19" s="1"/>
  <c r="C24" i="19"/>
  <c r="B24" i="19"/>
  <c r="A24" i="19"/>
  <c r="G23" i="19"/>
  <c r="F23" i="19"/>
  <c r="E23" i="19"/>
  <c r="L23" i="19" s="1"/>
  <c r="C23" i="19"/>
  <c r="B23" i="19"/>
  <c r="A23" i="19"/>
  <c r="M22" i="19"/>
  <c r="G22" i="19"/>
  <c r="F22" i="19"/>
  <c r="E22" i="19"/>
  <c r="L22" i="19" s="1"/>
  <c r="C22" i="19"/>
  <c r="CJ9" i="19" s="1"/>
  <c r="B22" i="19"/>
  <c r="A22" i="19"/>
  <c r="L21" i="19"/>
  <c r="H21" i="19"/>
  <c r="G21" i="19"/>
  <c r="F21" i="19"/>
  <c r="E21" i="19"/>
  <c r="D21" i="19"/>
  <c r="C21" i="19"/>
  <c r="B21" i="19"/>
  <c r="A21" i="19"/>
  <c r="G20" i="19"/>
  <c r="F20" i="19"/>
  <c r="E20" i="19"/>
  <c r="L20" i="19" s="1"/>
  <c r="C20" i="19"/>
  <c r="B20" i="19"/>
  <c r="A20" i="19"/>
  <c r="G19" i="19"/>
  <c r="F19" i="19"/>
  <c r="E19" i="19"/>
  <c r="L19" i="19" s="1"/>
  <c r="C19" i="19"/>
  <c r="B19" i="19"/>
  <c r="A19" i="19"/>
  <c r="GA16" i="19"/>
  <c r="FV16" i="19"/>
  <c r="FQ16" i="19"/>
  <c r="FL16" i="19"/>
  <c r="FG16" i="19"/>
  <c r="FB16" i="19"/>
  <c r="EW16" i="19"/>
  <c r="ER16" i="19"/>
  <c r="EM16" i="19"/>
  <c r="EH16" i="19"/>
  <c r="EC16" i="19"/>
  <c r="DX16" i="19"/>
  <c r="DS16" i="19"/>
  <c r="DN16" i="19"/>
  <c r="DI16" i="19"/>
  <c r="DD16" i="19"/>
  <c r="CY16" i="19"/>
  <c r="CT16" i="19"/>
  <c r="CO16" i="19"/>
  <c r="CJ16" i="19"/>
  <c r="CE16" i="19"/>
  <c r="BZ16" i="19"/>
  <c r="BU16" i="19"/>
  <c r="BP16" i="19"/>
  <c r="BK16" i="19"/>
  <c r="BF16" i="19"/>
  <c r="BA16" i="19"/>
  <c r="AV16" i="19"/>
  <c r="AQ16" i="19"/>
  <c r="AL16" i="19"/>
  <c r="AG16" i="19"/>
  <c r="AB16" i="19"/>
  <c r="W16" i="19"/>
  <c r="R16" i="19"/>
  <c r="M16" i="19"/>
  <c r="DZ9" i="19"/>
  <c r="AM9" i="19"/>
  <c r="C348" i="18"/>
  <c r="B348" i="18"/>
  <c r="A348" i="18"/>
  <c r="C347" i="18"/>
  <c r="B347" i="18"/>
  <c r="A347" i="18"/>
  <c r="C346" i="18"/>
  <c r="B346" i="18"/>
  <c r="A346" i="18"/>
  <c r="C345" i="18"/>
  <c r="B345" i="18"/>
  <c r="A345" i="18"/>
  <c r="C344" i="18"/>
  <c r="B344" i="18"/>
  <c r="A344" i="18"/>
  <c r="C343" i="18"/>
  <c r="B343" i="18"/>
  <c r="A343" i="18"/>
  <c r="C342" i="18"/>
  <c r="B342" i="18"/>
  <c r="A342" i="18"/>
  <c r="C341" i="18"/>
  <c r="B341" i="18"/>
  <c r="A341" i="18"/>
  <c r="C340" i="18"/>
  <c r="B340" i="18"/>
  <c r="A340" i="18"/>
  <c r="C339" i="18"/>
  <c r="B339" i="18"/>
  <c r="A339" i="18"/>
  <c r="C338" i="18"/>
  <c r="B338" i="18"/>
  <c r="A338" i="18"/>
  <c r="C337" i="18"/>
  <c r="B337" i="18"/>
  <c r="A337" i="18"/>
  <c r="C336" i="18"/>
  <c r="B336" i="18"/>
  <c r="A336" i="18"/>
  <c r="C335" i="18"/>
  <c r="B335" i="18"/>
  <c r="A335" i="18"/>
  <c r="C334" i="18"/>
  <c r="B334" i="18"/>
  <c r="A334" i="18"/>
  <c r="C333" i="18"/>
  <c r="B333" i="18"/>
  <c r="A333" i="18"/>
  <c r="C332" i="18"/>
  <c r="B332" i="18"/>
  <c r="A332" i="18"/>
  <c r="C331" i="18"/>
  <c r="B331" i="18"/>
  <c r="A331" i="18"/>
  <c r="C330" i="18"/>
  <c r="B330" i="18"/>
  <c r="A330" i="18"/>
  <c r="C329" i="18"/>
  <c r="B329" i="18"/>
  <c r="A329" i="18"/>
  <c r="C328" i="18"/>
  <c r="B328" i="18"/>
  <c r="A328" i="18"/>
  <c r="C327" i="18"/>
  <c r="B327" i="18"/>
  <c r="A327" i="18"/>
  <c r="C326" i="18"/>
  <c r="B326" i="18"/>
  <c r="A326" i="18"/>
  <c r="C325" i="18"/>
  <c r="B325" i="18"/>
  <c r="A325" i="18"/>
  <c r="C324" i="18"/>
  <c r="B324" i="18"/>
  <c r="A324" i="18"/>
  <c r="C323" i="18"/>
  <c r="B323" i="18"/>
  <c r="A323" i="18"/>
  <c r="C322" i="18"/>
  <c r="B322" i="18"/>
  <c r="A322" i="18"/>
  <c r="C321" i="18"/>
  <c r="B321" i="18"/>
  <c r="A321" i="18"/>
  <c r="C320" i="18"/>
  <c r="B320" i="18"/>
  <c r="A320" i="18"/>
  <c r="C319" i="18"/>
  <c r="B319" i="18"/>
  <c r="A319" i="18"/>
  <c r="C318" i="18"/>
  <c r="B318" i="18"/>
  <c r="A318" i="18"/>
  <c r="C317" i="18"/>
  <c r="B317" i="18"/>
  <c r="A317" i="18"/>
  <c r="C316" i="18"/>
  <c r="B316" i="18"/>
  <c r="A316" i="18"/>
  <c r="C315" i="18"/>
  <c r="B315" i="18"/>
  <c r="A315" i="18"/>
  <c r="C314" i="18"/>
  <c r="B314" i="18"/>
  <c r="A314" i="18"/>
  <c r="C313" i="18"/>
  <c r="B313" i="18"/>
  <c r="A313" i="18"/>
  <c r="C312" i="18"/>
  <c r="B312" i="18"/>
  <c r="A312" i="18"/>
  <c r="C311" i="18"/>
  <c r="B311" i="18"/>
  <c r="A311" i="18"/>
  <c r="C310" i="18"/>
  <c r="B310" i="18"/>
  <c r="A310" i="18"/>
  <c r="C309" i="18"/>
  <c r="B309" i="18"/>
  <c r="A309" i="18"/>
  <c r="C308" i="18"/>
  <c r="B308" i="18"/>
  <c r="A308" i="18"/>
  <c r="C307" i="18"/>
  <c r="B307" i="18"/>
  <c r="A307" i="18"/>
  <c r="C306" i="18"/>
  <c r="B306" i="18"/>
  <c r="A306" i="18"/>
  <c r="C305" i="18"/>
  <c r="B305" i="18"/>
  <c r="A305" i="18"/>
  <c r="C304" i="18"/>
  <c r="B304" i="18"/>
  <c r="A304" i="18"/>
  <c r="C303" i="18"/>
  <c r="B303" i="18"/>
  <c r="A303" i="18"/>
  <c r="C302" i="18"/>
  <c r="B302" i="18"/>
  <c r="A302" i="18"/>
  <c r="C301" i="18"/>
  <c r="B301" i="18"/>
  <c r="A301" i="18"/>
  <c r="C300" i="18"/>
  <c r="B300" i="18"/>
  <c r="A300" i="18"/>
  <c r="C299" i="18"/>
  <c r="B299" i="18"/>
  <c r="A299" i="18"/>
  <c r="C298" i="18"/>
  <c r="B298" i="18"/>
  <c r="A298" i="18"/>
  <c r="C297" i="18"/>
  <c r="B297" i="18"/>
  <c r="A297" i="18"/>
  <c r="C296" i="18"/>
  <c r="B296" i="18"/>
  <c r="A296" i="18"/>
  <c r="C295" i="18"/>
  <c r="B295" i="18"/>
  <c r="A295" i="18"/>
  <c r="C294" i="18"/>
  <c r="B294" i="18"/>
  <c r="A294" i="18"/>
  <c r="C293" i="18"/>
  <c r="B293" i="18"/>
  <c r="A293" i="18"/>
  <c r="C292" i="18"/>
  <c r="B292" i="18"/>
  <c r="A292" i="18"/>
  <c r="C291" i="18"/>
  <c r="B291" i="18"/>
  <c r="A291" i="18"/>
  <c r="C290" i="18"/>
  <c r="B290" i="18"/>
  <c r="A290" i="18"/>
  <c r="C289" i="18"/>
  <c r="B289" i="18"/>
  <c r="A289" i="18"/>
  <c r="C288" i="18"/>
  <c r="B288" i="18"/>
  <c r="A288" i="18"/>
  <c r="C287" i="18"/>
  <c r="B287" i="18"/>
  <c r="A287" i="18"/>
  <c r="C286" i="18"/>
  <c r="B286" i="18"/>
  <c r="A286" i="18"/>
  <c r="C285" i="18"/>
  <c r="B285" i="18"/>
  <c r="A285" i="18"/>
  <c r="C284" i="18"/>
  <c r="B284" i="18"/>
  <c r="A284" i="18"/>
  <c r="C283" i="18"/>
  <c r="B283" i="18"/>
  <c r="A283" i="18"/>
  <c r="C282" i="18"/>
  <c r="B282" i="18"/>
  <c r="A282" i="18"/>
  <c r="C281" i="18"/>
  <c r="B281" i="18"/>
  <c r="A281" i="18"/>
  <c r="C280" i="18"/>
  <c r="B280" i="18"/>
  <c r="A280" i="18"/>
  <c r="C279" i="18"/>
  <c r="B279" i="18"/>
  <c r="A279" i="18"/>
  <c r="C278" i="18"/>
  <c r="B278" i="18"/>
  <c r="A278" i="18"/>
  <c r="C277" i="18"/>
  <c r="B277" i="18"/>
  <c r="A277" i="18"/>
  <c r="C276" i="18"/>
  <c r="B276" i="18"/>
  <c r="A276" i="18"/>
  <c r="C275" i="18"/>
  <c r="B275" i="18"/>
  <c r="A275" i="18"/>
  <c r="C274" i="18"/>
  <c r="B274" i="18"/>
  <c r="A274" i="18"/>
  <c r="C273" i="18"/>
  <c r="B273" i="18"/>
  <c r="A273" i="18"/>
  <c r="C272" i="18"/>
  <c r="B272" i="18"/>
  <c r="A272" i="18"/>
  <c r="C271" i="18"/>
  <c r="B271" i="18"/>
  <c r="A271" i="18"/>
  <c r="C270" i="18"/>
  <c r="B270" i="18"/>
  <c r="A270" i="18"/>
  <c r="C269" i="18"/>
  <c r="B269" i="18"/>
  <c r="A269" i="18"/>
  <c r="C268" i="18"/>
  <c r="B268" i="18"/>
  <c r="A268" i="18"/>
  <c r="C267" i="18"/>
  <c r="B267" i="18"/>
  <c r="A267" i="18"/>
  <c r="C266" i="18"/>
  <c r="B266" i="18"/>
  <c r="A266" i="18"/>
  <c r="C265" i="18"/>
  <c r="B265" i="18"/>
  <c r="A265" i="18"/>
  <c r="C264" i="18"/>
  <c r="B264" i="18"/>
  <c r="A264" i="18"/>
  <c r="C263" i="18"/>
  <c r="B263" i="18"/>
  <c r="A263" i="18"/>
  <c r="C262" i="18"/>
  <c r="B262" i="18"/>
  <c r="A262" i="18"/>
  <c r="C261" i="18"/>
  <c r="B261" i="18"/>
  <c r="A261" i="18"/>
  <c r="C260" i="18"/>
  <c r="B260" i="18"/>
  <c r="A260" i="18"/>
  <c r="C259" i="18"/>
  <c r="B259" i="18"/>
  <c r="A259" i="18"/>
  <c r="C258" i="18"/>
  <c r="B258" i="18"/>
  <c r="A258" i="18"/>
  <c r="C257" i="18"/>
  <c r="B257" i="18"/>
  <c r="A257" i="18"/>
  <c r="C256" i="18"/>
  <c r="B256" i="18"/>
  <c r="A256" i="18"/>
  <c r="C255" i="18"/>
  <c r="B255" i="18"/>
  <c r="A255" i="18"/>
  <c r="C254" i="18"/>
  <c r="B254" i="18"/>
  <c r="A254" i="18"/>
  <c r="C253" i="18"/>
  <c r="B253" i="18"/>
  <c r="A253" i="18"/>
  <c r="C252" i="18"/>
  <c r="B252" i="18"/>
  <c r="A252" i="18"/>
  <c r="C251" i="18"/>
  <c r="B251" i="18"/>
  <c r="A251" i="18"/>
  <c r="C250" i="18"/>
  <c r="B250" i="18"/>
  <c r="A250" i="18"/>
  <c r="C249" i="18"/>
  <c r="B249" i="18"/>
  <c r="A249" i="18"/>
  <c r="C248" i="18"/>
  <c r="B248" i="18"/>
  <c r="A248" i="18"/>
  <c r="C247" i="18"/>
  <c r="B247" i="18"/>
  <c r="A247" i="18"/>
  <c r="C246" i="18"/>
  <c r="B246" i="18"/>
  <c r="A246" i="18"/>
  <c r="C245" i="18"/>
  <c r="B245" i="18"/>
  <c r="A245" i="18"/>
  <c r="C244" i="18"/>
  <c r="B244" i="18"/>
  <c r="A244" i="18"/>
  <c r="C243" i="18"/>
  <c r="B243" i="18"/>
  <c r="A243" i="18"/>
  <c r="C242" i="18"/>
  <c r="B242" i="18"/>
  <c r="A242" i="18"/>
  <c r="C241" i="18"/>
  <c r="B241" i="18"/>
  <c r="A241" i="18"/>
  <c r="C240" i="18"/>
  <c r="B240" i="18"/>
  <c r="A240" i="18"/>
  <c r="C239" i="18"/>
  <c r="B239" i="18"/>
  <c r="A239" i="18"/>
  <c r="C238" i="18"/>
  <c r="B238" i="18"/>
  <c r="A238" i="18"/>
  <c r="C237" i="18"/>
  <c r="B237" i="18"/>
  <c r="A237" i="18"/>
  <c r="C236" i="18"/>
  <c r="B236" i="18"/>
  <c r="A236" i="18"/>
  <c r="C235" i="18"/>
  <c r="B235" i="18"/>
  <c r="A235" i="18"/>
  <c r="C234" i="18"/>
  <c r="B234" i="18"/>
  <c r="A234" i="18"/>
  <c r="C233" i="18"/>
  <c r="B233" i="18"/>
  <c r="A233" i="18"/>
  <c r="C232" i="18"/>
  <c r="B232" i="18"/>
  <c r="A232" i="18"/>
  <c r="C231" i="18"/>
  <c r="B231" i="18"/>
  <c r="A231" i="18"/>
  <c r="C230" i="18"/>
  <c r="B230" i="18"/>
  <c r="A230" i="18"/>
  <c r="C229" i="18"/>
  <c r="B229" i="18"/>
  <c r="A229" i="18"/>
  <c r="C228" i="18"/>
  <c r="B228" i="18"/>
  <c r="A228" i="18"/>
  <c r="C227" i="18"/>
  <c r="B227" i="18"/>
  <c r="A227" i="18"/>
  <c r="C226" i="18"/>
  <c r="B226" i="18"/>
  <c r="A226" i="18"/>
  <c r="C225" i="18"/>
  <c r="B225" i="18"/>
  <c r="A225" i="18"/>
  <c r="C224" i="18"/>
  <c r="B224" i="18"/>
  <c r="A224" i="18"/>
  <c r="C223" i="18"/>
  <c r="B223" i="18"/>
  <c r="A223" i="18"/>
  <c r="C222" i="18"/>
  <c r="B222" i="18"/>
  <c r="A222" i="18"/>
  <c r="C221" i="18"/>
  <c r="B221" i="18"/>
  <c r="A221" i="18"/>
  <c r="C220" i="18"/>
  <c r="B220" i="18"/>
  <c r="A220" i="18"/>
  <c r="C219" i="18"/>
  <c r="B219" i="18"/>
  <c r="A219" i="18"/>
  <c r="C218" i="18"/>
  <c r="B218" i="18"/>
  <c r="A218" i="18"/>
  <c r="C217" i="18"/>
  <c r="B217" i="18"/>
  <c r="A217" i="18"/>
  <c r="C216" i="18"/>
  <c r="B216" i="18"/>
  <c r="A216" i="18"/>
  <c r="C215" i="18"/>
  <c r="B215" i="18"/>
  <c r="A215" i="18"/>
  <c r="C214" i="18"/>
  <c r="B214" i="18"/>
  <c r="A214" i="18"/>
  <c r="C213" i="18"/>
  <c r="B213" i="18"/>
  <c r="A213" i="18"/>
  <c r="C212" i="18"/>
  <c r="B212" i="18"/>
  <c r="A212" i="18"/>
  <c r="C211" i="18"/>
  <c r="B211" i="18"/>
  <c r="A211" i="18"/>
  <c r="C210" i="18"/>
  <c r="B210" i="18"/>
  <c r="A210" i="18"/>
  <c r="C209" i="18"/>
  <c r="B209" i="18"/>
  <c r="A209" i="18"/>
  <c r="C208" i="18"/>
  <c r="B208" i="18"/>
  <c r="A208" i="18"/>
  <c r="C207" i="18"/>
  <c r="B207" i="18"/>
  <c r="A207" i="18"/>
  <c r="C206" i="18"/>
  <c r="B206" i="18"/>
  <c r="A206" i="18"/>
  <c r="C205" i="18"/>
  <c r="B205" i="18"/>
  <c r="A205" i="18"/>
  <c r="C204" i="18"/>
  <c r="B204" i="18"/>
  <c r="A204" i="18"/>
  <c r="C203" i="18"/>
  <c r="B203" i="18"/>
  <c r="A203" i="18"/>
  <c r="C202" i="18"/>
  <c r="B202" i="18"/>
  <c r="A202" i="18"/>
  <c r="C201" i="18"/>
  <c r="B201" i="18"/>
  <c r="A201" i="18"/>
  <c r="C200" i="18"/>
  <c r="B200" i="18"/>
  <c r="A200" i="18"/>
  <c r="C199" i="18"/>
  <c r="B199" i="18"/>
  <c r="A199" i="18"/>
  <c r="C198" i="18"/>
  <c r="B198" i="18"/>
  <c r="A198" i="18"/>
  <c r="C197" i="18"/>
  <c r="B197" i="18"/>
  <c r="A197" i="18"/>
  <c r="C196" i="18"/>
  <c r="B196" i="18"/>
  <c r="A196" i="18"/>
  <c r="C195" i="18"/>
  <c r="B195" i="18"/>
  <c r="A195" i="18"/>
  <c r="C194" i="18"/>
  <c r="B194" i="18"/>
  <c r="A194" i="18"/>
  <c r="C193" i="18"/>
  <c r="B193" i="18"/>
  <c r="A193" i="18"/>
  <c r="C192" i="18"/>
  <c r="B192" i="18"/>
  <c r="A192" i="18"/>
  <c r="C191" i="18"/>
  <c r="B191" i="18"/>
  <c r="A191" i="18"/>
  <c r="C190" i="18"/>
  <c r="B190" i="18"/>
  <c r="A190" i="18"/>
  <c r="C189" i="18"/>
  <c r="B189" i="18"/>
  <c r="A189" i="18"/>
  <c r="C188" i="18"/>
  <c r="B188" i="18"/>
  <c r="A188" i="18"/>
  <c r="C187" i="18"/>
  <c r="B187" i="18"/>
  <c r="A187" i="18"/>
  <c r="C186" i="18"/>
  <c r="B186" i="18"/>
  <c r="A186" i="18"/>
  <c r="C185" i="18"/>
  <c r="B185" i="18"/>
  <c r="A185" i="18"/>
  <c r="C184" i="18"/>
  <c r="B184" i="18"/>
  <c r="A184" i="18"/>
  <c r="C183" i="18"/>
  <c r="B183" i="18"/>
  <c r="A183" i="18"/>
  <c r="C182" i="18"/>
  <c r="B182" i="18"/>
  <c r="A182" i="18"/>
  <c r="C181" i="18"/>
  <c r="B181" i="18"/>
  <c r="A181" i="18"/>
  <c r="C180" i="18"/>
  <c r="B180" i="18"/>
  <c r="A180" i="18"/>
  <c r="C179" i="18"/>
  <c r="B179" i="18"/>
  <c r="A179" i="18"/>
  <c r="C178" i="18"/>
  <c r="B178" i="18"/>
  <c r="A178" i="18"/>
  <c r="C177" i="18"/>
  <c r="B177" i="18"/>
  <c r="A177" i="18"/>
  <c r="C176" i="18"/>
  <c r="B176" i="18"/>
  <c r="A176" i="18"/>
  <c r="C175" i="18"/>
  <c r="B175" i="18"/>
  <c r="A175" i="18"/>
  <c r="C174" i="18"/>
  <c r="B174" i="18"/>
  <c r="A174" i="18"/>
  <c r="C173" i="18"/>
  <c r="B173" i="18"/>
  <c r="A173" i="18"/>
  <c r="C172" i="18"/>
  <c r="B172" i="18"/>
  <c r="A172" i="18"/>
  <c r="C171" i="18"/>
  <c r="B171" i="18"/>
  <c r="A171" i="18"/>
  <c r="C170" i="18"/>
  <c r="B170" i="18"/>
  <c r="A170" i="18"/>
  <c r="C169" i="18"/>
  <c r="B169" i="18"/>
  <c r="A169" i="18"/>
  <c r="C168" i="18"/>
  <c r="B168" i="18"/>
  <c r="A168" i="18"/>
  <c r="C167" i="18"/>
  <c r="B167" i="18"/>
  <c r="A167" i="18"/>
  <c r="C166" i="18"/>
  <c r="B166" i="18"/>
  <c r="A166" i="18"/>
  <c r="C165" i="18"/>
  <c r="B165" i="18"/>
  <c r="A165" i="18"/>
  <c r="C164" i="18"/>
  <c r="B164" i="18"/>
  <c r="A164" i="18"/>
  <c r="C163" i="18"/>
  <c r="B163" i="18"/>
  <c r="A163" i="18"/>
  <c r="C162" i="18"/>
  <c r="B162" i="18"/>
  <c r="A162" i="18"/>
  <c r="C161" i="18"/>
  <c r="B161" i="18"/>
  <c r="A161" i="18"/>
  <c r="C160" i="18"/>
  <c r="B160" i="18"/>
  <c r="A160" i="18"/>
  <c r="C159" i="18"/>
  <c r="B159" i="18"/>
  <c r="A159" i="18"/>
  <c r="C158" i="18"/>
  <c r="B158" i="18"/>
  <c r="A158" i="18"/>
  <c r="C157" i="18"/>
  <c r="B157" i="18"/>
  <c r="A157" i="18"/>
  <c r="C156" i="18"/>
  <c r="B156" i="18"/>
  <c r="A156" i="18"/>
  <c r="C155" i="18"/>
  <c r="B155" i="18"/>
  <c r="A155" i="18"/>
  <c r="C154" i="18"/>
  <c r="B154" i="18"/>
  <c r="A154" i="18"/>
  <c r="C153" i="18"/>
  <c r="B153" i="18"/>
  <c r="A153" i="18"/>
  <c r="C152" i="18"/>
  <c r="B152" i="18"/>
  <c r="A152" i="18"/>
  <c r="C151" i="18"/>
  <c r="B151" i="18"/>
  <c r="A151" i="18"/>
  <c r="C150" i="18"/>
  <c r="B150" i="18"/>
  <c r="A150" i="18"/>
  <c r="C149" i="18"/>
  <c r="B149" i="18"/>
  <c r="A149" i="18"/>
  <c r="C148" i="18"/>
  <c r="B148" i="18"/>
  <c r="A148" i="18"/>
  <c r="C147" i="18"/>
  <c r="B147" i="18"/>
  <c r="A147" i="18"/>
  <c r="C146" i="18"/>
  <c r="B146" i="18"/>
  <c r="A146" i="18"/>
  <c r="C145" i="18"/>
  <c r="B145" i="18"/>
  <c r="A145" i="18"/>
  <c r="C144" i="18"/>
  <c r="B144" i="18"/>
  <c r="A144" i="18"/>
  <c r="C143" i="18"/>
  <c r="B143" i="18"/>
  <c r="A143" i="18"/>
  <c r="C142" i="18"/>
  <c r="B142" i="18"/>
  <c r="A142" i="18"/>
  <c r="C141" i="18"/>
  <c r="B141" i="18"/>
  <c r="A141" i="18"/>
  <c r="C140" i="18"/>
  <c r="B140" i="18"/>
  <c r="A140" i="18"/>
  <c r="C139" i="18"/>
  <c r="B139" i="18"/>
  <c r="A139" i="18"/>
  <c r="C138" i="18"/>
  <c r="B138" i="18"/>
  <c r="A138" i="18"/>
  <c r="C137" i="18"/>
  <c r="B137" i="18"/>
  <c r="A137" i="18"/>
  <c r="C136" i="18"/>
  <c r="B136" i="18"/>
  <c r="A136" i="18"/>
  <c r="C135" i="18"/>
  <c r="B135" i="18"/>
  <c r="A135" i="18"/>
  <c r="C134" i="18"/>
  <c r="B134" i="18"/>
  <c r="A134" i="18"/>
  <c r="C133" i="18"/>
  <c r="B133" i="18"/>
  <c r="A133" i="18"/>
  <c r="C132" i="18"/>
  <c r="B132" i="18"/>
  <c r="A132" i="18"/>
  <c r="C131" i="18"/>
  <c r="B131" i="18"/>
  <c r="A131" i="18"/>
  <c r="C130" i="18"/>
  <c r="B130" i="18"/>
  <c r="A130" i="18"/>
  <c r="C129" i="18"/>
  <c r="B129" i="18"/>
  <c r="A129" i="18"/>
  <c r="C128" i="18"/>
  <c r="B128" i="18"/>
  <c r="A128" i="18"/>
  <c r="C127" i="18"/>
  <c r="B127" i="18"/>
  <c r="A127" i="18"/>
  <c r="C126" i="18"/>
  <c r="B126" i="18"/>
  <c r="A126" i="18"/>
  <c r="C125" i="18"/>
  <c r="B125" i="18"/>
  <c r="A125" i="18"/>
  <c r="C124" i="18"/>
  <c r="B124" i="18"/>
  <c r="A124" i="18"/>
  <c r="C123" i="18"/>
  <c r="B123" i="18"/>
  <c r="A123" i="18"/>
  <c r="C122" i="18"/>
  <c r="B122" i="18"/>
  <c r="A122" i="18"/>
  <c r="C121" i="18"/>
  <c r="B121" i="18"/>
  <c r="A121" i="18"/>
  <c r="C120" i="18"/>
  <c r="B120" i="18"/>
  <c r="A120" i="18"/>
  <c r="C119" i="18"/>
  <c r="B119" i="18"/>
  <c r="A119" i="18"/>
  <c r="C118" i="18"/>
  <c r="B118" i="18"/>
  <c r="A118" i="18"/>
  <c r="C117" i="18"/>
  <c r="B117" i="18"/>
  <c r="A117" i="18"/>
  <c r="C116" i="18"/>
  <c r="B116" i="18"/>
  <c r="A116" i="18"/>
  <c r="C115" i="18"/>
  <c r="B115" i="18"/>
  <c r="A115" i="18"/>
  <c r="C114" i="18"/>
  <c r="B114" i="18"/>
  <c r="A114" i="18"/>
  <c r="C113" i="18"/>
  <c r="B113" i="18"/>
  <c r="A113" i="18"/>
  <c r="C112" i="18"/>
  <c r="B112" i="18"/>
  <c r="A112" i="18"/>
  <c r="C111" i="18"/>
  <c r="B111" i="18"/>
  <c r="A111" i="18"/>
  <c r="C110" i="18"/>
  <c r="B110" i="18"/>
  <c r="A110" i="18"/>
  <c r="C109" i="18"/>
  <c r="B109" i="18"/>
  <c r="A109" i="18"/>
  <c r="C108" i="18"/>
  <c r="B108" i="18"/>
  <c r="A108" i="18"/>
  <c r="C107" i="18"/>
  <c r="B107" i="18"/>
  <c r="A107" i="18"/>
  <c r="C106" i="18"/>
  <c r="B106" i="18"/>
  <c r="A106" i="18"/>
  <c r="C105" i="18"/>
  <c r="B105" i="18"/>
  <c r="A105" i="18"/>
  <c r="C104" i="18"/>
  <c r="B104" i="18"/>
  <c r="A104" i="18"/>
  <c r="C103" i="18"/>
  <c r="B103" i="18"/>
  <c r="A103" i="18"/>
  <c r="C102" i="18"/>
  <c r="B102" i="18"/>
  <c r="A102" i="18"/>
  <c r="C101" i="18"/>
  <c r="B101" i="18"/>
  <c r="A101" i="18"/>
  <c r="C100" i="18"/>
  <c r="B100" i="18"/>
  <c r="A100" i="18"/>
  <c r="C99" i="18"/>
  <c r="B99" i="18"/>
  <c r="A99" i="18"/>
  <c r="C98" i="18"/>
  <c r="B98" i="18"/>
  <c r="A98" i="18"/>
  <c r="C97" i="18"/>
  <c r="B97" i="18"/>
  <c r="A97" i="18"/>
  <c r="C96" i="18"/>
  <c r="B96" i="18"/>
  <c r="A96" i="18"/>
  <c r="C95" i="18"/>
  <c r="B95" i="18"/>
  <c r="A95" i="18"/>
  <c r="C94" i="18"/>
  <c r="B94" i="18"/>
  <c r="A94" i="18"/>
  <c r="C93" i="18"/>
  <c r="B93" i="18"/>
  <c r="A93" i="18"/>
  <c r="C92" i="18"/>
  <c r="B92" i="18"/>
  <c r="A92" i="18"/>
  <c r="C91" i="18"/>
  <c r="B91" i="18"/>
  <c r="A91" i="18"/>
  <c r="C90" i="18"/>
  <c r="B90" i="18"/>
  <c r="A90" i="18"/>
  <c r="C89" i="18"/>
  <c r="B89" i="18"/>
  <c r="A89" i="18"/>
  <c r="C88" i="18"/>
  <c r="B88" i="18"/>
  <c r="A88" i="18"/>
  <c r="C87" i="18"/>
  <c r="B87" i="18"/>
  <c r="A87" i="18"/>
  <c r="C86" i="18"/>
  <c r="B86" i="18"/>
  <c r="A86" i="18"/>
  <c r="C85" i="18"/>
  <c r="B85" i="18"/>
  <c r="A85" i="18"/>
  <c r="C84" i="18"/>
  <c r="B84" i="18"/>
  <c r="A84" i="18"/>
  <c r="C65" i="18"/>
  <c r="B65" i="18"/>
  <c r="A65" i="18"/>
  <c r="C64" i="18"/>
  <c r="B64" i="18"/>
  <c r="A64" i="18"/>
  <c r="C63" i="18"/>
  <c r="B63" i="18"/>
  <c r="A63" i="18"/>
  <c r="C62" i="18"/>
  <c r="B62" i="18"/>
  <c r="A62" i="18"/>
  <c r="C61" i="18"/>
  <c r="B61" i="18"/>
  <c r="A61" i="18"/>
  <c r="C60" i="18"/>
  <c r="B60" i="18"/>
  <c r="A60" i="18"/>
  <c r="C59" i="18"/>
  <c r="B59" i="18"/>
  <c r="A59" i="18"/>
  <c r="C58" i="18"/>
  <c r="B58" i="18"/>
  <c r="A58" i="18"/>
  <c r="C57" i="18"/>
  <c r="B57" i="18"/>
  <c r="A57" i="18"/>
  <c r="C56" i="18"/>
  <c r="B56" i="18"/>
  <c r="A56" i="18"/>
  <c r="C55" i="18"/>
  <c r="B55" i="18"/>
  <c r="A55" i="18"/>
  <c r="C54" i="18"/>
  <c r="B54" i="18"/>
  <c r="A54" i="18"/>
  <c r="C53" i="18"/>
  <c r="B53" i="18"/>
  <c r="A53" i="18"/>
  <c r="C52" i="18"/>
  <c r="B52" i="18"/>
  <c r="A52" i="18"/>
  <c r="C51" i="18"/>
  <c r="B51" i="18"/>
  <c r="A51" i="18"/>
  <c r="C50" i="18"/>
  <c r="B50" i="18"/>
  <c r="A50" i="18"/>
  <c r="C49" i="18"/>
  <c r="B49" i="18"/>
  <c r="A49" i="18"/>
  <c r="C48" i="18"/>
  <c r="B48" i="18"/>
  <c r="A48" i="18"/>
  <c r="C47" i="18"/>
  <c r="B47" i="18"/>
  <c r="A47" i="18"/>
  <c r="C46" i="18"/>
  <c r="B46" i="18"/>
  <c r="A46" i="18"/>
  <c r="C45" i="18"/>
  <c r="B45" i="18"/>
  <c r="A45" i="18"/>
  <c r="C44" i="18"/>
  <c r="B44" i="18"/>
  <c r="A44" i="18"/>
  <c r="C43" i="18"/>
  <c r="B43" i="18"/>
  <c r="A43" i="18"/>
  <c r="C42" i="18"/>
  <c r="B42" i="18"/>
  <c r="A42" i="18"/>
  <c r="AL14" i="18" s="1"/>
  <c r="C41" i="18"/>
  <c r="B41" i="18"/>
  <c r="A41" i="18"/>
  <c r="C40" i="18"/>
  <c r="B40" i="18"/>
  <c r="A40" i="18"/>
  <c r="AM14" i="18" s="1"/>
  <c r="C39" i="18"/>
  <c r="B39" i="18"/>
  <c r="A39" i="18"/>
  <c r="C38" i="18"/>
  <c r="B38" i="18"/>
  <c r="A38" i="18"/>
  <c r="C37" i="18"/>
  <c r="B37" i="18"/>
  <c r="C36" i="18"/>
  <c r="B36" i="18"/>
  <c r="A36" i="18"/>
  <c r="C35" i="18"/>
  <c r="B35" i="18"/>
  <c r="C34" i="18"/>
  <c r="B34" i="18"/>
  <c r="A34" i="18"/>
  <c r="C33" i="18"/>
  <c r="B33" i="18"/>
  <c r="A33" i="18"/>
  <c r="C31" i="18"/>
  <c r="B31" i="18"/>
  <c r="A31" i="18"/>
  <c r="C30" i="18"/>
  <c r="B30" i="18"/>
  <c r="A30" i="18"/>
  <c r="B29" i="18"/>
  <c r="A29" i="18"/>
  <c r="B28" i="18"/>
  <c r="A28" i="18"/>
  <c r="B27" i="18"/>
  <c r="A27" i="18"/>
  <c r="C26" i="18"/>
  <c r="B26" i="18"/>
  <c r="A26" i="18"/>
  <c r="B25" i="18"/>
  <c r="A25" i="18"/>
  <c r="C24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C16" i="18"/>
  <c r="B16" i="18"/>
  <c r="A16" i="18"/>
  <c r="C15" i="18"/>
  <c r="B15" i="18"/>
  <c r="A15" i="18"/>
  <c r="AQ14" i="18"/>
  <c r="AN14" i="18"/>
  <c r="AA14" i="18"/>
  <c r="X14" i="18"/>
  <c r="K14" i="18"/>
  <c r="H14" i="18"/>
  <c r="C14" i="18"/>
  <c r="B14" i="18"/>
  <c r="A14" i="18"/>
  <c r="C13" i="18"/>
  <c r="B13" i="18"/>
  <c r="A13" i="18"/>
  <c r="C12" i="18"/>
  <c r="B12" i="18"/>
  <c r="A12" i="18"/>
  <c r="B11" i="18"/>
  <c r="A11" i="18"/>
  <c r="B10" i="18"/>
  <c r="A10" i="18"/>
  <c r="B9" i="18"/>
  <c r="A9" i="18"/>
  <c r="F8" i="18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AC8" i="18" s="1"/>
  <c r="AD8" i="18" s="1"/>
  <c r="AE8" i="18" s="1"/>
  <c r="AF8" i="18" s="1"/>
  <c r="AG8" i="18" s="1"/>
  <c r="AH8" i="18" s="1"/>
  <c r="AI8" i="18" s="1"/>
  <c r="AJ8" i="18" s="1"/>
  <c r="AK8" i="18" s="1"/>
  <c r="AL8" i="18" s="1"/>
  <c r="AM8" i="18" s="1"/>
  <c r="AN8" i="18" s="1"/>
  <c r="AO8" i="18" s="1"/>
  <c r="AP8" i="18" s="1"/>
  <c r="AQ8" i="18" s="1"/>
  <c r="AP30" i="7" s="1"/>
  <c r="AP40" i="14" s="1"/>
  <c r="C8" i="18"/>
  <c r="B8" i="18"/>
  <c r="A8" i="18"/>
  <c r="B7" i="18"/>
  <c r="A7" i="18"/>
  <c r="B6" i="18"/>
  <c r="A6" i="18"/>
  <c r="C5" i="18"/>
  <c r="B5" i="18"/>
  <c r="A5" i="18"/>
  <c r="A11" i="17"/>
  <c r="AG10" i="17"/>
  <c r="T10" i="17"/>
  <c r="A10" i="17"/>
  <c r="AG9" i="17"/>
  <c r="T9" i="17"/>
  <c r="H9" i="17"/>
  <c r="A9" i="17"/>
  <c r="A8" i="17"/>
  <c r="H7" i="17"/>
  <c r="A7" i="17"/>
  <c r="E5" i="17"/>
  <c r="E6" i="17" s="1"/>
  <c r="AQ4" i="17"/>
  <c r="AN4" i="17"/>
  <c r="AA4" i="17"/>
  <c r="X4" i="17"/>
  <c r="K4" i="17"/>
  <c r="H4" i="17"/>
  <c r="E4" i="17"/>
  <c r="D4" i="17"/>
  <c r="AG4" i="17" s="1"/>
  <c r="B4" i="17"/>
  <c r="AD150" i="16"/>
  <c r="Q150" i="16"/>
  <c r="AD149" i="16"/>
  <c r="Q149" i="16"/>
  <c r="AD148" i="16"/>
  <c r="Q148" i="16"/>
  <c r="AP147" i="16"/>
  <c r="AO147" i="16"/>
  <c r="AN147" i="16"/>
  <c r="AM147" i="16"/>
  <c r="AL147" i="16"/>
  <c r="AK147" i="16"/>
  <c r="AJ147" i="16"/>
  <c r="AI147" i="16"/>
  <c r="AH147" i="16"/>
  <c r="AG147" i="16"/>
  <c r="AF147" i="16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AD146" i="16"/>
  <c r="AP145" i="16"/>
  <c r="AO145" i="16"/>
  <c r="AN145" i="16"/>
  <c r="AM145" i="16"/>
  <c r="AL145" i="16"/>
  <c r="AK145" i="16"/>
  <c r="AJ145" i="16"/>
  <c r="AI145" i="16"/>
  <c r="AH145" i="16"/>
  <c r="AG145" i="16"/>
  <c r="AF145" i="16"/>
  <c r="AE145" i="16"/>
  <c r="AD145" i="16"/>
  <c r="AC145" i="16"/>
  <c r="AB145" i="16"/>
  <c r="AA145" i="16"/>
  <c r="Z145" i="16"/>
  <c r="Y145" i="16"/>
  <c r="X145" i="16"/>
  <c r="W145" i="16"/>
  <c r="V145" i="16"/>
  <c r="U145" i="16"/>
  <c r="T145" i="16"/>
  <c r="S145" i="16"/>
  <c r="R145" i="16"/>
  <c r="Q145" i="16"/>
  <c r="E145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AP143" i="16"/>
  <c r="AO143" i="16"/>
  <c r="AM143" i="16"/>
  <c r="AK143" i="16"/>
  <c r="AI143" i="16"/>
  <c r="AG143" i="16"/>
  <c r="AE143" i="16"/>
  <c r="AD143" i="16"/>
  <c r="AC143" i="16"/>
  <c r="AB143" i="16"/>
  <c r="Z143" i="16"/>
  <c r="X143" i="16"/>
  <c r="V143" i="16"/>
  <c r="T143" i="16"/>
  <c r="R143" i="16"/>
  <c r="Q143" i="16"/>
  <c r="P143" i="16"/>
  <c r="O143" i="16"/>
  <c r="M143" i="16"/>
  <c r="K143" i="16"/>
  <c r="I143" i="16"/>
  <c r="G143" i="16"/>
  <c r="E143" i="16"/>
  <c r="AD142" i="16"/>
  <c r="Q142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AP139" i="16"/>
  <c r="AO139" i="16"/>
  <c r="AM139" i="16"/>
  <c r="AK139" i="16"/>
  <c r="AI139" i="16"/>
  <c r="AG139" i="16"/>
  <c r="AE139" i="16"/>
  <c r="AD139" i="16"/>
  <c r="AC139" i="16"/>
  <c r="AB139" i="16"/>
  <c r="Z139" i="16"/>
  <c r="X139" i="16"/>
  <c r="V139" i="16"/>
  <c r="T139" i="16"/>
  <c r="R139" i="16"/>
  <c r="Q139" i="16"/>
  <c r="P139" i="16"/>
  <c r="O139" i="16"/>
  <c r="M139" i="16"/>
  <c r="K139" i="16"/>
  <c r="I139" i="16"/>
  <c r="G139" i="16"/>
  <c r="E139" i="16"/>
  <c r="AD138" i="16"/>
  <c r="Q138" i="16"/>
  <c r="AD135" i="16"/>
  <c r="Q135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AD131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E121" i="16"/>
  <c r="G115" i="16"/>
  <c r="F114" i="16"/>
  <c r="L108" i="16" s="1"/>
  <c r="G112" i="16"/>
  <c r="F112" i="16"/>
  <c r="L106" i="16" s="1"/>
  <c r="F111" i="16"/>
  <c r="L105" i="16" s="1"/>
  <c r="G110" i="16"/>
  <c r="M104" i="16" s="1"/>
  <c r="F108" i="16"/>
  <c r="F107" i="16"/>
  <c r="E107" i="16"/>
  <c r="M106" i="16"/>
  <c r="M105" i="16"/>
  <c r="K105" i="16"/>
  <c r="F104" i="16"/>
  <c r="G102" i="16"/>
  <c r="F100" i="16"/>
  <c r="L100" i="16" s="1"/>
  <c r="E93" i="16"/>
  <c r="K93" i="16" s="1"/>
  <c r="F88" i="16"/>
  <c r="L88" i="16" s="1"/>
  <c r="D88" i="16"/>
  <c r="M87" i="16"/>
  <c r="L87" i="16"/>
  <c r="K87" i="16"/>
  <c r="M85" i="16"/>
  <c r="L85" i="16"/>
  <c r="K85" i="16"/>
  <c r="P77" i="16"/>
  <c r="G117" i="16" s="1"/>
  <c r="O77" i="16"/>
  <c r="N77" i="16"/>
  <c r="M77" i="16"/>
  <c r="L77" i="16"/>
  <c r="F117" i="16" s="1"/>
  <c r="K77" i="16"/>
  <c r="J77" i="16"/>
  <c r="I77" i="16"/>
  <c r="H77" i="16"/>
  <c r="E117" i="16" s="1"/>
  <c r="G77" i="16"/>
  <c r="F77" i="16"/>
  <c r="E77" i="16"/>
  <c r="P75" i="16"/>
  <c r="O75" i="16"/>
  <c r="N75" i="16"/>
  <c r="M75" i="16"/>
  <c r="L75" i="16"/>
  <c r="F115" i="16" s="1"/>
  <c r="K75" i="16"/>
  <c r="J75" i="16"/>
  <c r="I75" i="16"/>
  <c r="H75" i="16"/>
  <c r="E115" i="16" s="1"/>
  <c r="G75" i="16"/>
  <c r="F75" i="16"/>
  <c r="E75" i="16"/>
  <c r="P74" i="16"/>
  <c r="G114" i="16" s="1"/>
  <c r="M108" i="16" s="1"/>
  <c r="O74" i="16"/>
  <c r="N74" i="16"/>
  <c r="M74" i="16"/>
  <c r="L74" i="16"/>
  <c r="K74" i="16"/>
  <c r="J74" i="16"/>
  <c r="I74" i="16"/>
  <c r="H74" i="16"/>
  <c r="E114" i="16" s="1"/>
  <c r="K108" i="16" s="1"/>
  <c r="G74" i="16"/>
  <c r="F74" i="16"/>
  <c r="E74" i="16"/>
  <c r="P72" i="16"/>
  <c r="O72" i="16"/>
  <c r="N72" i="16"/>
  <c r="M72" i="16"/>
  <c r="L72" i="16"/>
  <c r="K72" i="16"/>
  <c r="J72" i="16"/>
  <c r="I72" i="16"/>
  <c r="P71" i="16"/>
  <c r="G111" i="16" s="1"/>
  <c r="O71" i="16"/>
  <c r="N71" i="16"/>
  <c r="M71" i="16"/>
  <c r="L71" i="16"/>
  <c r="K71" i="16"/>
  <c r="J71" i="16"/>
  <c r="I71" i="16"/>
  <c r="H71" i="16"/>
  <c r="E111" i="16" s="1"/>
  <c r="G71" i="16"/>
  <c r="F71" i="16"/>
  <c r="E71" i="16"/>
  <c r="P70" i="16"/>
  <c r="O70" i="16"/>
  <c r="N70" i="16"/>
  <c r="M70" i="16"/>
  <c r="L70" i="16"/>
  <c r="F110" i="16" s="1"/>
  <c r="L104" i="16" s="1"/>
  <c r="K70" i="16"/>
  <c r="J70" i="16"/>
  <c r="I70" i="16"/>
  <c r="H70" i="16"/>
  <c r="E110" i="16" s="1"/>
  <c r="K104" i="16" s="1"/>
  <c r="G70" i="16"/>
  <c r="F70" i="16"/>
  <c r="E70" i="16"/>
  <c r="P68" i="16"/>
  <c r="G108" i="16" s="1"/>
  <c r="O68" i="16"/>
  <c r="N68" i="16"/>
  <c r="M68" i="16"/>
  <c r="L68" i="16"/>
  <c r="K68" i="16"/>
  <c r="J68" i="16"/>
  <c r="I68" i="16"/>
  <c r="H68" i="16"/>
  <c r="E108" i="16" s="1"/>
  <c r="G68" i="16"/>
  <c r="F68" i="16"/>
  <c r="E68" i="16"/>
  <c r="P67" i="16"/>
  <c r="G107" i="16" s="1"/>
  <c r="O67" i="16"/>
  <c r="N67" i="16"/>
  <c r="M67" i="16"/>
  <c r="L67" i="16"/>
  <c r="K67" i="16"/>
  <c r="J67" i="16"/>
  <c r="I67" i="16"/>
  <c r="H67" i="16"/>
  <c r="G67" i="16"/>
  <c r="F67" i="16"/>
  <c r="E67" i="16"/>
  <c r="P65" i="16"/>
  <c r="G105" i="16" s="1"/>
  <c r="M101" i="16" s="1"/>
  <c r="O65" i="16"/>
  <c r="N65" i="16"/>
  <c r="M65" i="16"/>
  <c r="L65" i="16"/>
  <c r="F105" i="16" s="1"/>
  <c r="L101" i="16" s="1"/>
  <c r="K65" i="16"/>
  <c r="J65" i="16"/>
  <c r="I65" i="16"/>
  <c r="H65" i="16"/>
  <c r="E105" i="16" s="1"/>
  <c r="K101" i="16" s="1"/>
  <c r="G65" i="16"/>
  <c r="F65" i="16"/>
  <c r="E65" i="16"/>
  <c r="P64" i="16"/>
  <c r="G104" i="16" s="1"/>
  <c r="O64" i="16"/>
  <c r="N64" i="16"/>
  <c r="M64" i="16"/>
  <c r="L64" i="16"/>
  <c r="K64" i="16"/>
  <c r="J64" i="16"/>
  <c r="I64" i="16"/>
  <c r="H64" i="16"/>
  <c r="E104" i="16" s="1"/>
  <c r="G64" i="16"/>
  <c r="F64" i="16"/>
  <c r="E64" i="16"/>
  <c r="P63" i="16"/>
  <c r="G103" i="16" s="1"/>
  <c r="O63" i="16"/>
  <c r="N63" i="16"/>
  <c r="M63" i="16"/>
  <c r="L63" i="16"/>
  <c r="F103" i="16" s="1"/>
  <c r="K63" i="16"/>
  <c r="J63" i="16"/>
  <c r="I63" i="16"/>
  <c r="H63" i="16"/>
  <c r="E103" i="16" s="1"/>
  <c r="G63" i="16"/>
  <c r="F63" i="16"/>
  <c r="E63" i="16"/>
  <c r="P62" i="16"/>
  <c r="O62" i="16"/>
  <c r="N62" i="16"/>
  <c r="M62" i="16"/>
  <c r="L62" i="16"/>
  <c r="F102" i="16" s="1"/>
  <c r="K62" i="16"/>
  <c r="J62" i="16"/>
  <c r="I62" i="16"/>
  <c r="H62" i="16"/>
  <c r="E102" i="16" s="1"/>
  <c r="G62" i="16"/>
  <c r="F62" i="16"/>
  <c r="E62" i="16"/>
  <c r="P61" i="16"/>
  <c r="G101" i="16" s="1"/>
  <c r="O61" i="16"/>
  <c r="N61" i="16"/>
  <c r="M61" i="16"/>
  <c r="L61" i="16"/>
  <c r="F101" i="16" s="1"/>
  <c r="K61" i="16"/>
  <c r="J61" i="16"/>
  <c r="I61" i="16"/>
  <c r="H61" i="16"/>
  <c r="E101" i="16" s="1"/>
  <c r="G61" i="16"/>
  <c r="F61" i="16"/>
  <c r="E61" i="16"/>
  <c r="P60" i="16"/>
  <c r="G100" i="16" s="1"/>
  <c r="M100" i="16" s="1"/>
  <c r="O60" i="16"/>
  <c r="N60" i="16"/>
  <c r="M60" i="16"/>
  <c r="L60" i="16"/>
  <c r="K60" i="16"/>
  <c r="J60" i="16"/>
  <c r="I60" i="16"/>
  <c r="H60" i="16"/>
  <c r="E100" i="16" s="1"/>
  <c r="K100" i="16" s="1"/>
  <c r="G60" i="16"/>
  <c r="F60" i="16"/>
  <c r="E60" i="16"/>
  <c r="P53" i="16"/>
  <c r="G93" i="16" s="1"/>
  <c r="M93" i="16" s="1"/>
  <c r="O53" i="16"/>
  <c r="N53" i="16"/>
  <c r="M53" i="16"/>
  <c r="L53" i="16"/>
  <c r="F93" i="16" s="1"/>
  <c r="L93" i="16" s="1"/>
  <c r="K53" i="16"/>
  <c r="J53" i="16"/>
  <c r="I53" i="16"/>
  <c r="H53" i="16"/>
  <c r="G53" i="16"/>
  <c r="F53" i="16"/>
  <c r="E53" i="16"/>
  <c r="P48" i="16"/>
  <c r="G88" i="16" s="1"/>
  <c r="M88" i="16" s="1"/>
  <c r="O48" i="16"/>
  <c r="N48" i="16"/>
  <c r="M48" i="16"/>
  <c r="L48" i="16"/>
  <c r="K48" i="16"/>
  <c r="J48" i="16"/>
  <c r="I48" i="16"/>
  <c r="H48" i="16"/>
  <c r="E88" i="16" s="1"/>
  <c r="K88" i="16" s="1"/>
  <c r="G48" i="16"/>
  <c r="F48" i="16"/>
  <c r="E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AD36" i="16"/>
  <c r="Q36" i="16"/>
  <c r="E36" i="16"/>
  <c r="AD33" i="16"/>
  <c r="Q33" i="16"/>
  <c r="Q146" i="16" s="1"/>
  <c r="Q32" i="16"/>
  <c r="AD26" i="16"/>
  <c r="Q26" i="16"/>
  <c r="AD17" i="16"/>
  <c r="AD136" i="16" s="1"/>
  <c r="Q17" i="16"/>
  <c r="Q136" i="16" s="1"/>
  <c r="AD16" i="16"/>
  <c r="Q16" i="16"/>
  <c r="AD15" i="16"/>
  <c r="AD134" i="16" s="1"/>
  <c r="Q15" i="16"/>
  <c r="Q134" i="16" s="1"/>
  <c r="AD14" i="16"/>
  <c r="AD133" i="16" s="1"/>
  <c r="Q14" i="16"/>
  <c r="Q133" i="16" s="1"/>
  <c r="AD12" i="16"/>
  <c r="Q12" i="16"/>
  <c r="Q131" i="16" s="1"/>
  <c r="AD11" i="16"/>
  <c r="AD130" i="16" s="1"/>
  <c r="Q11" i="16"/>
  <c r="AD10" i="16"/>
  <c r="AD129" i="16" s="1"/>
  <c r="Q10" i="16"/>
  <c r="Q129" i="16" s="1"/>
  <c r="AD9" i="16"/>
  <c r="AD128" i="16" s="1"/>
  <c r="Q9" i="16"/>
  <c r="Q128" i="16" s="1"/>
  <c r="D8" i="16"/>
  <c r="X53" i="15"/>
  <c r="W53" i="15"/>
  <c r="O53" i="15"/>
  <c r="N53" i="15"/>
  <c r="M53" i="15"/>
  <c r="L53" i="15"/>
  <c r="K53" i="15"/>
  <c r="J53" i="15"/>
  <c r="I53" i="15"/>
  <c r="H53" i="15"/>
  <c r="G53" i="15"/>
  <c r="V53" i="15" s="1"/>
  <c r="F53" i="15"/>
  <c r="E53" i="15"/>
  <c r="D53" i="15"/>
  <c r="V49" i="15"/>
  <c r="O49" i="15"/>
  <c r="X49" i="15" s="1"/>
  <c r="N49" i="15"/>
  <c r="M49" i="15"/>
  <c r="L49" i="15"/>
  <c r="K49" i="15"/>
  <c r="W49" i="15" s="1"/>
  <c r="J49" i="15"/>
  <c r="I49" i="15"/>
  <c r="H49" i="15"/>
  <c r="G49" i="15"/>
  <c r="F49" i="15"/>
  <c r="E49" i="15"/>
  <c r="D49" i="15"/>
  <c r="X45" i="15"/>
  <c r="V45" i="15"/>
  <c r="O45" i="15"/>
  <c r="N45" i="15"/>
  <c r="M45" i="15"/>
  <c r="L45" i="15"/>
  <c r="K45" i="15"/>
  <c r="W45" i="15" s="1"/>
  <c r="J45" i="15"/>
  <c r="I45" i="15"/>
  <c r="H45" i="15"/>
  <c r="G45" i="15"/>
  <c r="F45" i="15"/>
  <c r="E45" i="15"/>
  <c r="D45" i="15"/>
  <c r="W44" i="15"/>
  <c r="O44" i="15"/>
  <c r="X44" i="15" s="1"/>
  <c r="N44" i="15"/>
  <c r="M44" i="15"/>
  <c r="L44" i="15"/>
  <c r="K44" i="15"/>
  <c r="J44" i="15"/>
  <c r="I44" i="15"/>
  <c r="H44" i="15"/>
  <c r="G44" i="15"/>
  <c r="V44" i="15" s="1"/>
  <c r="F44" i="15"/>
  <c r="E44" i="15"/>
  <c r="D44" i="15"/>
  <c r="V42" i="15"/>
  <c r="O42" i="15"/>
  <c r="X42" i="15" s="1"/>
  <c r="N42" i="15"/>
  <c r="M42" i="15"/>
  <c r="L42" i="15"/>
  <c r="K42" i="15"/>
  <c r="W42" i="15" s="1"/>
  <c r="J42" i="15"/>
  <c r="I42" i="15"/>
  <c r="H42" i="15"/>
  <c r="G42" i="15"/>
  <c r="F42" i="15"/>
  <c r="E42" i="15"/>
  <c r="D42" i="15"/>
  <c r="W38" i="15"/>
  <c r="O38" i="15"/>
  <c r="X38" i="15" s="1"/>
  <c r="N38" i="15"/>
  <c r="M38" i="15"/>
  <c r="L38" i="15"/>
  <c r="K38" i="15"/>
  <c r="J38" i="15"/>
  <c r="I38" i="15"/>
  <c r="H38" i="15"/>
  <c r="G38" i="15"/>
  <c r="V38" i="15" s="1"/>
  <c r="F38" i="15"/>
  <c r="E38" i="15"/>
  <c r="D38" i="15"/>
  <c r="P35" i="15"/>
  <c r="D10" i="15"/>
  <c r="I197" i="14"/>
  <c r="I196" i="14"/>
  <c r="I195" i="14"/>
  <c r="I193" i="14"/>
  <c r="A66" i="14" s="1"/>
  <c r="I192" i="14"/>
  <c r="I191" i="14"/>
  <c r="I190" i="14"/>
  <c r="Q133" i="14"/>
  <c r="AD126" i="14"/>
  <c r="Q126" i="14"/>
  <c r="AD125" i="14"/>
  <c r="Q125" i="14"/>
  <c r="AD124" i="14"/>
  <c r="Q124" i="14"/>
  <c r="AD123" i="14"/>
  <c r="Q123" i="14"/>
  <c r="AD122" i="14"/>
  <c r="Q122" i="14"/>
  <c r="AD121" i="14"/>
  <c r="Q121" i="14"/>
  <c r="AD120" i="14"/>
  <c r="Q120" i="14"/>
  <c r="AD119" i="14"/>
  <c r="Q119" i="14"/>
  <c r="AD118" i="14"/>
  <c r="Q118" i="14"/>
  <c r="AD117" i="14"/>
  <c r="Q117" i="14"/>
  <c r="AD116" i="14"/>
  <c r="Q116" i="14"/>
  <c r="AD115" i="14"/>
  <c r="Q115" i="14"/>
  <c r="AD114" i="14"/>
  <c r="Q114" i="14"/>
  <c r="AD113" i="14"/>
  <c r="Q113" i="14"/>
  <c r="AD112" i="14"/>
  <c r="Q112" i="14"/>
  <c r="AD111" i="14"/>
  <c r="Q111" i="14"/>
  <c r="AD110" i="14"/>
  <c r="Q110" i="14"/>
  <c r="AD109" i="14"/>
  <c r="Q109" i="14"/>
  <c r="AD108" i="14"/>
  <c r="Q108" i="14"/>
  <c r="AD107" i="14"/>
  <c r="Q107" i="14"/>
  <c r="AD106" i="14"/>
  <c r="Q106" i="14"/>
  <c r="AD105" i="14"/>
  <c r="Q105" i="14"/>
  <c r="AD104" i="14"/>
  <c r="Q104" i="14"/>
  <c r="AD103" i="14"/>
  <c r="Q103" i="14"/>
  <c r="AD102" i="14"/>
  <c r="Q102" i="14"/>
  <c r="AD101" i="14"/>
  <c r="Q101" i="14"/>
  <c r="AD100" i="14"/>
  <c r="Q100" i="14"/>
  <c r="AD99" i="14"/>
  <c r="Q99" i="14"/>
  <c r="AD98" i="14"/>
  <c r="Q98" i="14"/>
  <c r="AD97" i="14"/>
  <c r="Q97" i="14"/>
  <c r="AD96" i="14"/>
  <c r="Q96" i="14"/>
  <c r="AD95" i="14"/>
  <c r="Q95" i="14"/>
  <c r="AD94" i="14"/>
  <c r="Q94" i="14"/>
  <c r="AD93" i="14"/>
  <c r="Q93" i="14"/>
  <c r="AD92" i="14"/>
  <c r="Q92" i="14"/>
  <c r="AD91" i="14"/>
  <c r="Q91" i="14"/>
  <c r="AD90" i="14"/>
  <c r="Q90" i="14"/>
  <c r="AD89" i="14"/>
  <c r="Q89" i="14"/>
  <c r="AD88" i="14"/>
  <c r="Q88" i="14"/>
  <c r="AD87" i="14"/>
  <c r="Q87" i="14"/>
  <c r="AD86" i="14"/>
  <c r="Q86" i="14"/>
  <c r="AD85" i="14"/>
  <c r="Q85" i="14"/>
  <c r="AD84" i="14"/>
  <c r="Q84" i="14"/>
  <c r="AD83" i="14"/>
  <c r="Q83" i="14"/>
  <c r="AD82" i="14"/>
  <c r="Q82" i="14"/>
  <c r="AD81" i="14"/>
  <c r="Q81" i="14"/>
  <c r="AD80" i="14"/>
  <c r="Q80" i="14"/>
  <c r="AD79" i="14"/>
  <c r="Q79" i="14"/>
  <c r="AD78" i="14"/>
  <c r="Q78" i="14"/>
  <c r="AD77" i="14"/>
  <c r="Q77" i="14"/>
  <c r="AE76" i="14"/>
  <c r="AD76" i="14"/>
  <c r="Q76" i="14"/>
  <c r="R76" i="14" s="1"/>
  <c r="E76" i="14"/>
  <c r="A70" i="14"/>
  <c r="AP69" i="14"/>
  <c r="AO69" i="14"/>
  <c r="AN69" i="14"/>
  <c r="AM69" i="14"/>
  <c r="AL69" i="14"/>
  <c r="AK69" i="14"/>
  <c r="AJ69" i="14"/>
  <c r="AI69" i="14"/>
  <c r="AH69" i="14"/>
  <c r="AG69" i="14"/>
  <c r="AF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A69" i="14"/>
  <c r="Q68" i="14"/>
  <c r="A68" i="14"/>
  <c r="A67" i="14"/>
  <c r="AD66" i="14"/>
  <c r="C66" i="14"/>
  <c r="B66" i="14"/>
  <c r="AD65" i="14"/>
  <c r="Q65" i="14"/>
  <c r="A65" i="14"/>
  <c r="A64" i="14"/>
  <c r="AD63" i="14"/>
  <c r="A63" i="14"/>
  <c r="AD57" i="14"/>
  <c r="AD70" i="14" s="1"/>
  <c r="AD53" i="14"/>
  <c r="AD68" i="14" s="1"/>
  <c r="Q53" i="14"/>
  <c r="E53" i="14"/>
  <c r="E17" i="16" s="1"/>
  <c r="E136" i="16" s="1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AD48" i="14"/>
  <c r="AD50" i="14" s="1"/>
  <c r="AD67" i="14" s="1"/>
  <c r="Q48" i="14"/>
  <c r="Q66" i="14" s="1"/>
  <c r="C48" i="14"/>
  <c r="B48" i="14"/>
  <c r="A48" i="14"/>
  <c r="AD47" i="14"/>
  <c r="Q47" i="14"/>
  <c r="C47" i="14"/>
  <c r="B47" i="14"/>
  <c r="A47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C46" i="14"/>
  <c r="B46" i="14"/>
  <c r="A46" i="14"/>
  <c r="AD45" i="14"/>
  <c r="Q45" i="14"/>
  <c r="C45" i="14"/>
  <c r="B45" i="14"/>
  <c r="A45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C44" i="14"/>
  <c r="B44" i="14"/>
  <c r="A44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C43" i="14"/>
  <c r="B43" i="14"/>
  <c r="A43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C42" i="14"/>
  <c r="B42" i="14"/>
  <c r="A42" i="14"/>
  <c r="AD41" i="14"/>
  <c r="Q41" i="14"/>
  <c r="C41" i="14"/>
  <c r="B41" i="14"/>
  <c r="A41" i="14"/>
  <c r="AD40" i="14"/>
  <c r="Q40" i="14"/>
  <c r="C40" i="14"/>
  <c r="B40" i="14"/>
  <c r="A40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C39" i="14"/>
  <c r="B39" i="14"/>
  <c r="A39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C38" i="14"/>
  <c r="B38" i="14"/>
  <c r="A38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C37" i="14"/>
  <c r="B37" i="14"/>
  <c r="A37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C36" i="14"/>
  <c r="B36" i="14"/>
  <c r="A36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C35" i="14"/>
  <c r="B35" i="14"/>
  <c r="A35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C34" i="14"/>
  <c r="B34" i="14"/>
  <c r="A34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C33" i="14"/>
  <c r="B33" i="14"/>
  <c r="A33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C32" i="14"/>
  <c r="B32" i="14"/>
  <c r="A32" i="14"/>
  <c r="AD31" i="14"/>
  <c r="Q31" i="14"/>
  <c r="C31" i="14"/>
  <c r="B31" i="14"/>
  <c r="A31" i="14"/>
  <c r="AD30" i="14"/>
  <c r="Q30" i="14"/>
  <c r="C30" i="14"/>
  <c r="B30" i="14"/>
  <c r="A30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A24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AD20" i="14"/>
  <c r="AD64" i="14" s="1"/>
  <c r="Q20" i="14"/>
  <c r="Q64" i="14" s="1"/>
  <c r="A20" i="14"/>
  <c r="AD19" i="14"/>
  <c r="Q19" i="14"/>
  <c r="A19" i="14"/>
  <c r="AD18" i="14"/>
  <c r="Q18" i="14"/>
  <c r="A18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A17" i="14"/>
  <c r="AD16" i="14"/>
  <c r="Q16" i="14"/>
  <c r="A16" i="14"/>
  <c r="AD15" i="14"/>
  <c r="Q15" i="14"/>
  <c r="A15" i="14"/>
  <c r="AD14" i="14"/>
  <c r="Q14" i="14"/>
  <c r="A14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A13" i="14"/>
  <c r="A12" i="14"/>
  <c r="AD10" i="14"/>
  <c r="Q10" i="14"/>
  <c r="Q63" i="14" s="1"/>
  <c r="AD9" i="14"/>
  <c r="Q9" i="14"/>
  <c r="Q8" i="14"/>
  <c r="AU42" i="13"/>
  <c r="AQ42" i="13"/>
  <c r="AP42" i="13"/>
  <c r="AO42" i="13"/>
  <c r="AN42" i="13"/>
  <c r="AM42" i="13"/>
  <c r="AH42" i="13"/>
  <c r="AG42" i="13"/>
  <c r="AF42" i="13"/>
  <c r="AE42" i="13"/>
  <c r="AD42" i="13"/>
  <c r="Z42" i="13"/>
  <c r="Y42" i="13"/>
  <c r="X42" i="13"/>
  <c r="W42" i="13"/>
  <c r="U42" i="13"/>
  <c r="Q42" i="13"/>
  <c r="P42" i="13"/>
  <c r="O42" i="13"/>
  <c r="N42" i="13"/>
  <c r="M42" i="13"/>
  <c r="G42" i="13"/>
  <c r="F42" i="13"/>
  <c r="E42" i="13"/>
  <c r="C42" i="13"/>
  <c r="B42" i="13"/>
  <c r="A42" i="13"/>
  <c r="AT42" i="13" s="1"/>
  <c r="AS41" i="13"/>
  <c r="AR41" i="13"/>
  <c r="AQ41" i="13"/>
  <c r="AP41" i="13"/>
  <c r="AO41" i="13"/>
  <c r="AK41" i="13"/>
  <c r="AJ41" i="13"/>
  <c r="AH41" i="13"/>
  <c r="AG41" i="13"/>
  <c r="AF41" i="13"/>
  <c r="AB41" i="13"/>
  <c r="AA41" i="13"/>
  <c r="Z41" i="13"/>
  <c r="Y41" i="13"/>
  <c r="X41" i="13"/>
  <c r="S41" i="13"/>
  <c r="R41" i="13"/>
  <c r="Q41" i="13"/>
  <c r="P41" i="13"/>
  <c r="O41" i="13"/>
  <c r="K41" i="13"/>
  <c r="J41" i="13"/>
  <c r="G41" i="13"/>
  <c r="F41" i="13"/>
  <c r="E41" i="13"/>
  <c r="C41" i="13"/>
  <c r="B41" i="13"/>
  <c r="A41" i="13"/>
  <c r="AN41" i="13" s="1"/>
  <c r="AU40" i="13"/>
  <c r="AM40" i="13"/>
  <c r="AL40" i="13"/>
  <c r="AK40" i="13"/>
  <c r="AJ40" i="13"/>
  <c r="AA40" i="13"/>
  <c r="Z40" i="13"/>
  <c r="U40" i="13"/>
  <c r="T40" i="13"/>
  <c r="L40" i="13"/>
  <c r="K40" i="13"/>
  <c r="J40" i="13"/>
  <c r="G40" i="13"/>
  <c r="E40" i="13"/>
  <c r="C40" i="13"/>
  <c r="B40" i="13"/>
  <c r="A40" i="13"/>
  <c r="AU39" i="13"/>
  <c r="AT39" i="13"/>
  <c r="AS39" i="13"/>
  <c r="AR39" i="13"/>
  <c r="AN39" i="13"/>
  <c r="AL39" i="13"/>
  <c r="AK39" i="13"/>
  <c r="AJ39" i="13"/>
  <c r="AE39" i="13"/>
  <c r="AD39" i="13"/>
  <c r="AC39" i="13"/>
  <c r="AB39" i="13"/>
  <c r="W39" i="13"/>
  <c r="U39" i="13"/>
  <c r="T39" i="13"/>
  <c r="S39" i="13"/>
  <c r="R39" i="13"/>
  <c r="N39" i="13"/>
  <c r="M39" i="13"/>
  <c r="K39" i="13"/>
  <c r="J39" i="13"/>
  <c r="G39" i="13"/>
  <c r="F39" i="13"/>
  <c r="E39" i="13"/>
  <c r="C39" i="13"/>
  <c r="B39" i="13"/>
  <c r="A39" i="13"/>
  <c r="AN38" i="13"/>
  <c r="Y38" i="13"/>
  <c r="M38" i="13"/>
  <c r="G38" i="13"/>
  <c r="F38" i="13"/>
  <c r="E38" i="13"/>
  <c r="C38" i="13"/>
  <c r="B38" i="13"/>
  <c r="A38" i="13"/>
  <c r="AR37" i="13"/>
  <c r="AQ37" i="13"/>
  <c r="AP37" i="13"/>
  <c r="AO37" i="13"/>
  <c r="AN37" i="13"/>
  <c r="AJ37" i="13"/>
  <c r="AH37" i="13"/>
  <c r="AG37" i="13"/>
  <c r="AF37" i="13"/>
  <c r="AE37" i="13"/>
  <c r="AA37" i="13"/>
  <c r="Z37" i="13"/>
  <c r="Y37" i="13"/>
  <c r="X37" i="13"/>
  <c r="W37" i="13"/>
  <c r="R37" i="13"/>
  <c r="Q37" i="13"/>
  <c r="P37" i="13"/>
  <c r="O37" i="13"/>
  <c r="N37" i="13"/>
  <c r="J37" i="13"/>
  <c r="G37" i="13"/>
  <c r="F37" i="13"/>
  <c r="E37" i="13"/>
  <c r="C37" i="13"/>
  <c r="B37" i="13"/>
  <c r="A37" i="13"/>
  <c r="AU37" i="13" s="1"/>
  <c r="AL36" i="13"/>
  <c r="Z36" i="13"/>
  <c r="K36" i="13"/>
  <c r="G36" i="13"/>
  <c r="F36" i="13"/>
  <c r="E36" i="13"/>
  <c r="C36" i="13"/>
  <c r="B36" i="13"/>
  <c r="A36" i="13"/>
  <c r="AU35" i="13"/>
  <c r="AT35" i="13"/>
  <c r="AL35" i="13"/>
  <c r="AK35" i="13"/>
  <c r="AJ35" i="13"/>
  <c r="AE35" i="13"/>
  <c r="W35" i="13"/>
  <c r="U35" i="13"/>
  <c r="T35" i="13"/>
  <c r="S35" i="13"/>
  <c r="K35" i="13"/>
  <c r="J35" i="13"/>
  <c r="G35" i="13"/>
  <c r="F35" i="13"/>
  <c r="E35" i="13"/>
  <c r="C35" i="13"/>
  <c r="B35" i="13"/>
  <c r="A35" i="13"/>
  <c r="AP34" i="13"/>
  <c r="AD34" i="13"/>
  <c r="P34" i="13"/>
  <c r="O34" i="13"/>
  <c r="G34" i="13"/>
  <c r="F34" i="13"/>
  <c r="E34" i="13"/>
  <c r="C34" i="13"/>
  <c r="AT34" i="13" s="1"/>
  <c r="B34" i="13"/>
  <c r="A34" i="13"/>
  <c r="AN34" i="13" s="1"/>
  <c r="AJ33" i="13"/>
  <c r="AH33" i="13"/>
  <c r="X33" i="13"/>
  <c r="W33" i="13"/>
  <c r="R33" i="13"/>
  <c r="Q33" i="13"/>
  <c r="P33" i="13"/>
  <c r="O33" i="13"/>
  <c r="N33" i="13"/>
  <c r="J33" i="13"/>
  <c r="G33" i="13"/>
  <c r="F33" i="13"/>
  <c r="E33" i="13"/>
  <c r="AG33" i="13" s="1"/>
  <c r="C33" i="13"/>
  <c r="B33" i="13"/>
  <c r="A33" i="13"/>
  <c r="AQ32" i="13"/>
  <c r="AF32" i="13"/>
  <c r="U32" i="13"/>
  <c r="N32" i="13"/>
  <c r="M32" i="13"/>
  <c r="G32" i="13"/>
  <c r="F32" i="13"/>
  <c r="E32" i="13"/>
  <c r="C32" i="13"/>
  <c r="AR32" i="13" s="1"/>
  <c r="B32" i="13"/>
  <c r="A32" i="13"/>
  <c r="AO32" i="13" s="1"/>
  <c r="AF31" i="13"/>
  <c r="X31" i="13"/>
  <c r="W31" i="13"/>
  <c r="U31" i="13"/>
  <c r="S31" i="13"/>
  <c r="R31" i="13"/>
  <c r="Q31" i="13"/>
  <c r="P31" i="13"/>
  <c r="O31" i="13"/>
  <c r="N31" i="13"/>
  <c r="M31" i="13"/>
  <c r="K31" i="13"/>
  <c r="J31" i="13"/>
  <c r="G31" i="13"/>
  <c r="F31" i="13"/>
  <c r="E31" i="13"/>
  <c r="C31" i="13"/>
  <c r="B31" i="13"/>
  <c r="A31" i="13"/>
  <c r="AT31" i="13" s="1"/>
  <c r="AS30" i="13"/>
  <c r="AR30" i="13"/>
  <c r="AQ30" i="13"/>
  <c r="AP30" i="13"/>
  <c r="AO30" i="13"/>
  <c r="AK30" i="13"/>
  <c r="AJ30" i="13"/>
  <c r="AH30" i="13"/>
  <c r="AG30" i="13"/>
  <c r="AF30" i="13"/>
  <c r="AB30" i="13"/>
  <c r="AA30" i="13"/>
  <c r="Z30" i="13"/>
  <c r="Y30" i="13"/>
  <c r="X30" i="13"/>
  <c r="S30" i="13"/>
  <c r="R30" i="13"/>
  <c r="Q30" i="13"/>
  <c r="P30" i="13"/>
  <c r="K30" i="13"/>
  <c r="J30" i="13"/>
  <c r="G30" i="13"/>
  <c r="F30" i="13"/>
  <c r="E30" i="13"/>
  <c r="O30" i="13" s="1"/>
  <c r="C30" i="13"/>
  <c r="B30" i="13"/>
  <c r="A30" i="13"/>
  <c r="AN30" i="13" s="1"/>
  <c r="AS29" i="13"/>
  <c r="AK29" i="13"/>
  <c r="AB29" i="13"/>
  <c r="S29" i="13"/>
  <c r="K29" i="13"/>
  <c r="G29" i="13"/>
  <c r="F29" i="13"/>
  <c r="E29" i="13"/>
  <c r="C29" i="13"/>
  <c r="B29" i="13"/>
  <c r="A29" i="13"/>
  <c r="AR29" i="13" s="1"/>
  <c r="AU28" i="13"/>
  <c r="AM28" i="13"/>
  <c r="AD28" i="13"/>
  <c r="U28" i="13"/>
  <c r="N28" i="13"/>
  <c r="M28" i="13"/>
  <c r="G28" i="13"/>
  <c r="F28" i="13"/>
  <c r="E28" i="13"/>
  <c r="C28" i="13"/>
  <c r="AN28" i="13" s="1"/>
  <c r="B28" i="13"/>
  <c r="A28" i="13"/>
  <c r="AT28" i="13" s="1"/>
  <c r="AO27" i="13"/>
  <c r="AF27" i="13"/>
  <c r="O27" i="13"/>
  <c r="N27" i="13"/>
  <c r="M27" i="13"/>
  <c r="K27" i="13"/>
  <c r="J27" i="13"/>
  <c r="G27" i="13"/>
  <c r="F27" i="13"/>
  <c r="E27" i="13"/>
  <c r="C27" i="13"/>
  <c r="B27" i="13"/>
  <c r="A27" i="13"/>
  <c r="AT27" i="13" s="1"/>
  <c r="AS26" i="13"/>
  <c r="AR26" i="13"/>
  <c r="AQ26" i="13"/>
  <c r="AP26" i="13"/>
  <c r="AK26" i="13"/>
  <c r="AJ26" i="13"/>
  <c r="AH26" i="13"/>
  <c r="AG26" i="13"/>
  <c r="AB26" i="13"/>
  <c r="AA26" i="13"/>
  <c r="Z26" i="13"/>
  <c r="Y26" i="13"/>
  <c r="S26" i="13"/>
  <c r="R26" i="13"/>
  <c r="Q26" i="13"/>
  <c r="P26" i="13"/>
  <c r="K26" i="13"/>
  <c r="J26" i="13"/>
  <c r="G26" i="13"/>
  <c r="F26" i="13"/>
  <c r="E26" i="13"/>
  <c r="AO26" i="13" s="1"/>
  <c r="C26" i="13"/>
  <c r="B26" i="13"/>
  <c r="A26" i="13"/>
  <c r="AN26" i="13" s="1"/>
  <c r="AS25" i="13"/>
  <c r="AK25" i="13"/>
  <c r="AB25" i="13"/>
  <c r="S25" i="13"/>
  <c r="K25" i="13"/>
  <c r="G25" i="13"/>
  <c r="F25" i="13"/>
  <c r="E25" i="13"/>
  <c r="C25" i="13"/>
  <c r="B25" i="13"/>
  <c r="A25" i="13"/>
  <c r="AR25" i="13" s="1"/>
  <c r="AU24" i="13"/>
  <c r="AM24" i="13"/>
  <c r="AD24" i="13"/>
  <c r="U24" i="13"/>
  <c r="M24" i="13"/>
  <c r="G24" i="13"/>
  <c r="F24" i="13"/>
  <c r="E24" i="13"/>
  <c r="C24" i="13"/>
  <c r="AN24" i="13" s="1"/>
  <c r="B24" i="13"/>
  <c r="A24" i="13"/>
  <c r="AT24" i="13" s="1"/>
  <c r="AO23" i="13"/>
  <c r="M23" i="13"/>
  <c r="K23" i="13"/>
  <c r="J23" i="13"/>
  <c r="G23" i="13"/>
  <c r="F23" i="13"/>
  <c r="E23" i="13"/>
  <c r="C23" i="13"/>
  <c r="B23" i="13"/>
  <c r="A23" i="13"/>
  <c r="AS22" i="13"/>
  <c r="AR22" i="13"/>
  <c r="AQ22" i="13"/>
  <c r="AP22" i="13"/>
  <c r="AK22" i="13"/>
  <c r="AJ22" i="13"/>
  <c r="AH22" i="13"/>
  <c r="AG22" i="13"/>
  <c r="AB22" i="13"/>
  <c r="AA22" i="13"/>
  <c r="Z22" i="13"/>
  <c r="Y22" i="13"/>
  <c r="S22" i="13"/>
  <c r="R22" i="13"/>
  <c r="Q22" i="13"/>
  <c r="P22" i="13"/>
  <c r="K22" i="13"/>
  <c r="J22" i="13"/>
  <c r="G22" i="13"/>
  <c r="F22" i="13"/>
  <c r="E22" i="13"/>
  <c r="AO22" i="13" s="1"/>
  <c r="C22" i="13"/>
  <c r="B22" i="13"/>
  <c r="A22" i="13"/>
  <c r="AN22" i="13" s="1"/>
  <c r="AS21" i="13"/>
  <c r="AK21" i="13"/>
  <c r="AB21" i="13"/>
  <c r="S21" i="13"/>
  <c r="K21" i="13"/>
  <c r="G21" i="13"/>
  <c r="F21" i="13"/>
  <c r="E21" i="13"/>
  <c r="C21" i="13"/>
  <c r="B21" i="13"/>
  <c r="A21" i="13"/>
  <c r="AR21" i="13" s="1"/>
  <c r="AU20" i="13"/>
  <c r="AM20" i="13"/>
  <c r="AD20" i="13"/>
  <c r="U20" i="13"/>
  <c r="M20" i="13"/>
  <c r="G20" i="13"/>
  <c r="F20" i="13"/>
  <c r="E20" i="13"/>
  <c r="C20" i="13"/>
  <c r="AN20" i="13" s="1"/>
  <c r="B20" i="13"/>
  <c r="A20" i="13"/>
  <c r="AT20" i="13" s="1"/>
  <c r="AF19" i="13"/>
  <c r="K19" i="13"/>
  <c r="J19" i="13"/>
  <c r="G19" i="13"/>
  <c r="F19" i="13"/>
  <c r="E19" i="13"/>
  <c r="X19" i="13" s="1"/>
  <c r="C19" i="13"/>
  <c r="B19" i="13"/>
  <c r="A19" i="13"/>
  <c r="AS18" i="13"/>
  <c r="AR18" i="13"/>
  <c r="AQ18" i="13"/>
  <c r="AP18" i="13"/>
  <c r="AK18" i="13"/>
  <c r="AJ18" i="13"/>
  <c r="AH18" i="13"/>
  <c r="AG18" i="13"/>
  <c r="AB18" i="13"/>
  <c r="AA18" i="13"/>
  <c r="Z18" i="13"/>
  <c r="Y18" i="13"/>
  <c r="S18" i="13"/>
  <c r="R18" i="13"/>
  <c r="Q18" i="13"/>
  <c r="P18" i="13"/>
  <c r="K18" i="13"/>
  <c r="J18" i="13"/>
  <c r="G18" i="13"/>
  <c r="F18" i="13"/>
  <c r="E18" i="13"/>
  <c r="AO18" i="13" s="1"/>
  <c r="C18" i="13"/>
  <c r="B18" i="13"/>
  <c r="A18" i="13"/>
  <c r="AN18" i="13" s="1"/>
  <c r="AS17" i="13"/>
  <c r="AK17" i="13"/>
  <c r="AB17" i="13"/>
  <c r="S17" i="13"/>
  <c r="K17" i="13"/>
  <c r="G17" i="13"/>
  <c r="F17" i="13"/>
  <c r="E17" i="13"/>
  <c r="C17" i="13"/>
  <c r="B17" i="13"/>
  <c r="A17" i="13"/>
  <c r="AR17" i="13" s="1"/>
  <c r="AU16" i="13"/>
  <c r="AM16" i="13"/>
  <c r="AD16" i="13"/>
  <c r="U16" i="13"/>
  <c r="M16" i="13"/>
  <c r="G16" i="13"/>
  <c r="F16" i="13"/>
  <c r="E16" i="13"/>
  <c r="C16" i="13"/>
  <c r="AN16" i="13" s="1"/>
  <c r="B16" i="13"/>
  <c r="A16" i="13"/>
  <c r="AT16" i="13" s="1"/>
  <c r="X15" i="13"/>
  <c r="O15" i="13"/>
  <c r="K15" i="13"/>
  <c r="J15" i="13"/>
  <c r="G15" i="13"/>
  <c r="F15" i="13"/>
  <c r="E15" i="13"/>
  <c r="AF15" i="13" s="1"/>
  <c r="C15" i="13"/>
  <c r="B15" i="13"/>
  <c r="A15" i="13"/>
  <c r="AT15" i="13" s="1"/>
  <c r="AS14" i="13"/>
  <c r="AR14" i="13"/>
  <c r="AQ14" i="13"/>
  <c r="AP14" i="13"/>
  <c r="AK14" i="13"/>
  <c r="AJ14" i="13"/>
  <c r="AH14" i="13"/>
  <c r="AG14" i="13"/>
  <c r="AB14" i="13"/>
  <c r="AA14" i="13"/>
  <c r="Z14" i="13"/>
  <c r="Y14" i="13"/>
  <c r="S14" i="13"/>
  <c r="R14" i="13"/>
  <c r="Q14" i="13"/>
  <c r="P14" i="13"/>
  <c r="K14" i="13"/>
  <c r="J14" i="13"/>
  <c r="G14" i="13"/>
  <c r="F14" i="13"/>
  <c r="E14" i="13"/>
  <c r="AO14" i="13" s="1"/>
  <c r="C14" i="13"/>
  <c r="B14" i="13"/>
  <c r="A14" i="13"/>
  <c r="AN14" i="13" s="1"/>
  <c r="AS13" i="13"/>
  <c r="AK13" i="13"/>
  <c r="AB13" i="13"/>
  <c r="S13" i="13"/>
  <c r="K13" i="13"/>
  <c r="G13" i="13"/>
  <c r="F13" i="13"/>
  <c r="E13" i="13"/>
  <c r="C13" i="13"/>
  <c r="B13" i="13"/>
  <c r="A13" i="13"/>
  <c r="AR13" i="13" s="1"/>
  <c r="AU12" i="13"/>
  <c r="AM12" i="13"/>
  <c r="AD12" i="13"/>
  <c r="U12" i="13"/>
  <c r="M12" i="13"/>
  <c r="G12" i="13"/>
  <c r="F12" i="13"/>
  <c r="E12" i="13"/>
  <c r="C12" i="13"/>
  <c r="AN12" i="13" s="1"/>
  <c r="B12" i="13"/>
  <c r="A12" i="13"/>
  <c r="AT12" i="13" s="1"/>
  <c r="AF11" i="13"/>
  <c r="X11" i="13"/>
  <c r="K11" i="13"/>
  <c r="J11" i="13"/>
  <c r="G11" i="13"/>
  <c r="F11" i="13"/>
  <c r="E11" i="13"/>
  <c r="C11" i="13"/>
  <c r="B11" i="13"/>
  <c r="A11" i="13"/>
  <c r="AS10" i="13"/>
  <c r="AR10" i="13"/>
  <c r="AQ10" i="13"/>
  <c r="AP10" i="13"/>
  <c r="AK10" i="13"/>
  <c r="AJ10" i="13"/>
  <c r="AH10" i="13"/>
  <c r="AG10" i="13"/>
  <c r="AB10" i="13"/>
  <c r="AA10" i="13"/>
  <c r="Z10" i="13"/>
  <c r="Y10" i="13"/>
  <c r="S10" i="13"/>
  <c r="R10" i="13"/>
  <c r="Q10" i="13"/>
  <c r="P10" i="13"/>
  <c r="K10" i="13"/>
  <c r="J10" i="13"/>
  <c r="G10" i="13"/>
  <c r="F10" i="13"/>
  <c r="E10" i="13"/>
  <c r="AO10" i="13" s="1"/>
  <c r="C10" i="13"/>
  <c r="B10" i="13"/>
  <c r="A10" i="13"/>
  <c r="AN10" i="13" s="1"/>
  <c r="AS9" i="13"/>
  <c r="AK9" i="13"/>
  <c r="AB9" i="13"/>
  <c r="S9" i="13"/>
  <c r="K9" i="13"/>
  <c r="G9" i="13"/>
  <c r="F9" i="13"/>
  <c r="E9" i="13"/>
  <c r="C9" i="13"/>
  <c r="B9" i="13"/>
  <c r="A9" i="13"/>
  <c r="AR9" i="13" s="1"/>
  <c r="AU8" i="13"/>
  <c r="AM8" i="13"/>
  <c r="AD8" i="13"/>
  <c r="U8" i="13"/>
  <c r="M8" i="13"/>
  <c r="G8" i="13"/>
  <c r="F8" i="13"/>
  <c r="E8" i="13"/>
  <c r="C8" i="13"/>
  <c r="AN8" i="13" s="1"/>
  <c r="B8" i="13"/>
  <c r="A8" i="13"/>
  <c r="AT8" i="13" s="1"/>
  <c r="J7" i="13"/>
  <c r="G7" i="13"/>
  <c r="F7" i="13"/>
  <c r="E7" i="13"/>
  <c r="AO7" i="13" s="1"/>
  <c r="C7" i="13"/>
  <c r="B7" i="13"/>
  <c r="A7" i="13"/>
  <c r="E3" i="12"/>
  <c r="C3" i="12"/>
  <c r="L96" i="10"/>
  <c r="O96" i="10" s="1"/>
  <c r="H96" i="10"/>
  <c r="L95" i="10"/>
  <c r="O95" i="10" s="1"/>
  <c r="H95" i="10"/>
  <c r="M94" i="10"/>
  <c r="L94" i="10"/>
  <c r="H94" i="10"/>
  <c r="M93" i="10"/>
  <c r="L93" i="10"/>
  <c r="H93" i="10"/>
  <c r="L92" i="10"/>
  <c r="O92" i="10" s="1"/>
  <c r="N92" i="10" s="1"/>
  <c r="H92" i="10"/>
  <c r="L91" i="10"/>
  <c r="H91" i="10"/>
  <c r="N90" i="10"/>
  <c r="M90" i="10"/>
  <c r="Q90" i="10" s="1"/>
  <c r="T90" i="10" s="1"/>
  <c r="L90" i="10"/>
  <c r="O90" i="10" s="1"/>
  <c r="H90" i="10"/>
  <c r="L89" i="10"/>
  <c r="O89" i="10" s="1"/>
  <c r="H89" i="10"/>
  <c r="L88" i="10"/>
  <c r="O88" i="10" s="1"/>
  <c r="H88" i="10"/>
  <c r="L87" i="10"/>
  <c r="O87" i="10" s="1"/>
  <c r="H87" i="10"/>
  <c r="L86" i="10"/>
  <c r="H86" i="10"/>
  <c r="L85" i="10"/>
  <c r="M85" i="10" s="1"/>
  <c r="H85" i="10"/>
  <c r="M84" i="10"/>
  <c r="Q84" i="10" s="1"/>
  <c r="T84" i="10" s="1"/>
  <c r="L84" i="10"/>
  <c r="O84" i="10" s="1"/>
  <c r="N84" i="10" s="1"/>
  <c r="H84" i="10"/>
  <c r="L83" i="10"/>
  <c r="H83" i="10"/>
  <c r="L82" i="10"/>
  <c r="O82" i="10" s="1"/>
  <c r="N82" i="10" s="1"/>
  <c r="H82" i="10"/>
  <c r="L81" i="10"/>
  <c r="O81" i="10" s="1"/>
  <c r="H81" i="10"/>
  <c r="L80" i="10"/>
  <c r="O80" i="10" s="1"/>
  <c r="H80" i="10"/>
  <c r="L79" i="10"/>
  <c r="O79" i="10" s="1"/>
  <c r="H79" i="10"/>
  <c r="L78" i="10"/>
  <c r="O78" i="10" s="1"/>
  <c r="H78" i="10"/>
  <c r="M77" i="10"/>
  <c r="L77" i="10"/>
  <c r="H77" i="10"/>
  <c r="L76" i="10"/>
  <c r="O76" i="10" s="1"/>
  <c r="N76" i="10" s="1"/>
  <c r="H76" i="10"/>
  <c r="L75" i="10"/>
  <c r="H75" i="10"/>
  <c r="L74" i="10"/>
  <c r="O74" i="10" s="1"/>
  <c r="N74" i="10" s="1"/>
  <c r="H74" i="10"/>
  <c r="L73" i="10"/>
  <c r="O73" i="10" s="1"/>
  <c r="H73" i="10"/>
  <c r="L72" i="10"/>
  <c r="O72" i="10" s="1"/>
  <c r="H72" i="10"/>
  <c r="L71" i="10"/>
  <c r="O71" i="10" s="1"/>
  <c r="H71" i="10"/>
  <c r="M70" i="10"/>
  <c r="L70" i="10"/>
  <c r="H70" i="10"/>
  <c r="M69" i="10"/>
  <c r="L69" i="10"/>
  <c r="H69" i="10"/>
  <c r="L68" i="10"/>
  <c r="O68" i="10" s="1"/>
  <c r="N68" i="10" s="1"/>
  <c r="H68" i="10"/>
  <c r="L67" i="10"/>
  <c r="H67" i="10"/>
  <c r="M66" i="10"/>
  <c r="Q66" i="10" s="1"/>
  <c r="T66" i="10" s="1"/>
  <c r="L66" i="10"/>
  <c r="O66" i="10" s="1"/>
  <c r="N66" i="10" s="1"/>
  <c r="H66" i="10"/>
  <c r="L65" i="10"/>
  <c r="O65" i="10" s="1"/>
  <c r="H65" i="10"/>
  <c r="L64" i="10"/>
  <c r="O64" i="10" s="1"/>
  <c r="H64" i="10"/>
  <c r="L63" i="10"/>
  <c r="O63" i="10" s="1"/>
  <c r="H63" i="10"/>
  <c r="L62" i="10"/>
  <c r="O62" i="10" s="1"/>
  <c r="H62" i="10"/>
  <c r="L61" i="10"/>
  <c r="H61" i="10"/>
  <c r="M60" i="10"/>
  <c r="Q60" i="10" s="1"/>
  <c r="T60" i="10" s="1"/>
  <c r="L60" i="10"/>
  <c r="O60" i="10" s="1"/>
  <c r="N60" i="10" s="1"/>
  <c r="H60" i="10"/>
  <c r="L59" i="10"/>
  <c r="H59" i="10"/>
  <c r="M58" i="10"/>
  <c r="Q58" i="10" s="1"/>
  <c r="T58" i="10" s="1"/>
  <c r="L58" i="10"/>
  <c r="O58" i="10" s="1"/>
  <c r="N58" i="10" s="1"/>
  <c r="H58" i="10"/>
  <c r="L57" i="10"/>
  <c r="O57" i="10" s="1"/>
  <c r="H57" i="10"/>
  <c r="L56" i="10"/>
  <c r="O56" i="10" s="1"/>
  <c r="H56" i="10"/>
  <c r="L55" i="10"/>
  <c r="O55" i="10" s="1"/>
  <c r="H55" i="10"/>
  <c r="M54" i="10"/>
  <c r="L54" i="10"/>
  <c r="H54" i="10"/>
  <c r="M53" i="10"/>
  <c r="L53" i="10"/>
  <c r="H53" i="10"/>
  <c r="L52" i="10"/>
  <c r="O52" i="10" s="1"/>
  <c r="N52" i="10" s="1"/>
  <c r="H52" i="10"/>
  <c r="L51" i="10"/>
  <c r="H51" i="10"/>
  <c r="N50" i="10"/>
  <c r="L50" i="10"/>
  <c r="O50" i="10" s="1"/>
  <c r="H50" i="10"/>
  <c r="L49" i="10"/>
  <c r="O49" i="10" s="1"/>
  <c r="H49" i="10"/>
  <c r="L48" i="10"/>
  <c r="O48" i="10" s="1"/>
  <c r="H48" i="10"/>
  <c r="L47" i="10"/>
  <c r="O47" i="10" s="1"/>
  <c r="H47" i="10"/>
  <c r="M46" i="10"/>
  <c r="L46" i="10"/>
  <c r="O46" i="10" s="1"/>
  <c r="H46" i="10"/>
  <c r="M45" i="10"/>
  <c r="L45" i="10"/>
  <c r="H45" i="10"/>
  <c r="L44" i="10"/>
  <c r="O44" i="10" s="1"/>
  <c r="N44" i="10" s="1"/>
  <c r="H44" i="10"/>
  <c r="L43" i="10"/>
  <c r="H43" i="10"/>
  <c r="M42" i="10"/>
  <c r="Q42" i="10" s="1"/>
  <c r="L42" i="10"/>
  <c r="H42" i="10"/>
  <c r="D42" i="10"/>
  <c r="M41" i="10"/>
  <c r="L41" i="10"/>
  <c r="H41" i="10"/>
  <c r="D41" i="10"/>
  <c r="M40" i="10"/>
  <c r="L40" i="10"/>
  <c r="H40" i="10"/>
  <c r="D40" i="10"/>
  <c r="M39" i="10"/>
  <c r="Q39" i="10" s="1"/>
  <c r="L39" i="10"/>
  <c r="H39" i="10"/>
  <c r="Q38" i="10"/>
  <c r="M38" i="10"/>
  <c r="L38" i="10"/>
  <c r="H38" i="10"/>
  <c r="D38" i="10"/>
  <c r="M37" i="10"/>
  <c r="Q37" i="10" s="1"/>
  <c r="L37" i="10"/>
  <c r="H37" i="10"/>
  <c r="M36" i="10"/>
  <c r="L36" i="10"/>
  <c r="H36" i="10"/>
  <c r="D36" i="10"/>
  <c r="M35" i="10"/>
  <c r="L35" i="10"/>
  <c r="H35" i="10"/>
  <c r="D35" i="10"/>
  <c r="M34" i="10"/>
  <c r="L34" i="10"/>
  <c r="H34" i="10"/>
  <c r="D34" i="10"/>
  <c r="M33" i="10"/>
  <c r="Q33" i="10" s="1"/>
  <c r="L33" i="10"/>
  <c r="H33" i="10"/>
  <c r="D33" i="10"/>
  <c r="G2" i="10" s="1"/>
  <c r="M32" i="10"/>
  <c r="L32" i="10"/>
  <c r="H32" i="10"/>
  <c r="D32" i="10"/>
  <c r="M31" i="10"/>
  <c r="L31" i="10"/>
  <c r="H31" i="10"/>
  <c r="D31" i="10"/>
  <c r="M30" i="10"/>
  <c r="L30" i="10"/>
  <c r="Q30" i="10" s="1"/>
  <c r="H30" i="10"/>
  <c r="D30" i="10"/>
  <c r="M29" i="10"/>
  <c r="L29" i="10"/>
  <c r="H29" i="10"/>
  <c r="Q28" i="10"/>
  <c r="M28" i="10"/>
  <c r="L28" i="10"/>
  <c r="H28" i="10"/>
  <c r="M27" i="10"/>
  <c r="L27" i="10"/>
  <c r="H27" i="10"/>
  <c r="M26" i="10"/>
  <c r="L26" i="10"/>
  <c r="H26" i="10"/>
  <c r="M25" i="10"/>
  <c r="L25" i="10"/>
  <c r="H25" i="10"/>
  <c r="M24" i="10"/>
  <c r="L24" i="10"/>
  <c r="H24" i="10"/>
  <c r="D24" i="10"/>
  <c r="Q23" i="10"/>
  <c r="M23" i="10"/>
  <c r="L23" i="10"/>
  <c r="H23" i="10"/>
  <c r="D23" i="10"/>
  <c r="Q22" i="10"/>
  <c r="R22" i="10" s="1"/>
  <c r="M22" i="10"/>
  <c r="L22" i="10"/>
  <c r="H22" i="10"/>
  <c r="D22" i="10"/>
  <c r="M21" i="10"/>
  <c r="L21" i="10"/>
  <c r="H21" i="10"/>
  <c r="M20" i="10"/>
  <c r="L20" i="10"/>
  <c r="H20" i="10"/>
  <c r="D20" i="10"/>
  <c r="M19" i="10"/>
  <c r="Q19" i="10" s="1"/>
  <c r="L19" i="10"/>
  <c r="H19" i="10"/>
  <c r="D19" i="10"/>
  <c r="G7" i="10" s="1"/>
  <c r="V11" i="10"/>
  <c r="U11" i="10"/>
  <c r="Q11" i="10"/>
  <c r="P11" i="10"/>
  <c r="AD10" i="10"/>
  <c r="AB10" i="10"/>
  <c r="N10" i="10"/>
  <c r="G10" i="10"/>
  <c r="AD9" i="10"/>
  <c r="AC9" i="10"/>
  <c r="AB9" i="10"/>
  <c r="Y9" i="10"/>
  <c r="X9" i="10"/>
  <c r="W9" i="10"/>
  <c r="T9" i="10"/>
  <c r="S9" i="10"/>
  <c r="R9" i="10"/>
  <c r="O9" i="10"/>
  <c r="N9" i="10"/>
  <c r="M9" i="10"/>
  <c r="G9" i="10"/>
  <c r="AD8" i="10"/>
  <c r="AB8" i="10"/>
  <c r="N8" i="10"/>
  <c r="G8" i="10"/>
  <c r="AD7" i="10"/>
  <c r="AB7" i="10"/>
  <c r="N7" i="10"/>
  <c r="AD6" i="10"/>
  <c r="AB6" i="10"/>
  <c r="N6" i="10"/>
  <c r="G6" i="10"/>
  <c r="AD5" i="10"/>
  <c r="AB5" i="10"/>
  <c r="N5" i="10"/>
  <c r="G5" i="10"/>
  <c r="AD4" i="10"/>
  <c r="AB4" i="10"/>
  <c r="N4" i="10"/>
  <c r="G4" i="10"/>
  <c r="AD3" i="10"/>
  <c r="AB3" i="10"/>
  <c r="N3" i="10"/>
  <c r="G3" i="10"/>
  <c r="AD2" i="10"/>
  <c r="AB2" i="10"/>
  <c r="N2" i="10"/>
  <c r="AN92" i="9"/>
  <c r="AN65" i="9" s="1"/>
  <c r="AM92" i="9"/>
  <c r="AM65" i="9" s="1"/>
  <c r="AL92" i="9"/>
  <c r="AK92" i="9"/>
  <c r="AJ92" i="9"/>
  <c r="AI92" i="9"/>
  <c r="AI65" i="9" s="1"/>
  <c r="AH92" i="9"/>
  <c r="AG92" i="9"/>
  <c r="AG90" i="9" s="1"/>
  <c r="AG63" i="9" s="1"/>
  <c r="AF92" i="9"/>
  <c r="AF65" i="9" s="1"/>
  <c r="AE92" i="9"/>
  <c r="AE65" i="9" s="1"/>
  <c r="AD92" i="9"/>
  <c r="AC92" i="9"/>
  <c r="AB92" i="9"/>
  <c r="AA92" i="9"/>
  <c r="AA65" i="9" s="1"/>
  <c r="Z92" i="9"/>
  <c r="Y92" i="9"/>
  <c r="Y65" i="9" s="1"/>
  <c r="X92" i="9"/>
  <c r="X65" i="9" s="1"/>
  <c r="W92" i="9"/>
  <c r="W65" i="9" s="1"/>
  <c r="V92" i="9"/>
  <c r="U92" i="9"/>
  <c r="T92" i="9"/>
  <c r="S92" i="9"/>
  <c r="S65" i="9" s="1"/>
  <c r="R92" i="9"/>
  <c r="Q92" i="9"/>
  <c r="Q65" i="9" s="1"/>
  <c r="P92" i="9"/>
  <c r="P65" i="9" s="1"/>
  <c r="O92" i="9"/>
  <c r="O65" i="9" s="1"/>
  <c r="N92" i="9"/>
  <c r="M92" i="9"/>
  <c r="L92" i="9"/>
  <c r="K92" i="9"/>
  <c r="J92" i="9"/>
  <c r="I92" i="9"/>
  <c r="I90" i="9" s="1"/>
  <c r="I63" i="9" s="1"/>
  <c r="H92" i="9"/>
  <c r="H65" i="9" s="1"/>
  <c r="G92" i="9"/>
  <c r="G65" i="9" s="1"/>
  <c r="F92" i="9"/>
  <c r="AN91" i="9"/>
  <c r="AM91" i="9"/>
  <c r="AL91" i="9"/>
  <c r="AL90" i="9" s="1"/>
  <c r="AL63" i="9" s="1"/>
  <c r="AK91" i="9"/>
  <c r="AK64" i="9" s="1"/>
  <c r="AJ91" i="9"/>
  <c r="AI91" i="9"/>
  <c r="AH91" i="9"/>
  <c r="AG91" i="9"/>
  <c r="AF91" i="9"/>
  <c r="AE91" i="9"/>
  <c r="AD91" i="9"/>
  <c r="AD64" i="9" s="1"/>
  <c r="AC91" i="9"/>
  <c r="AC64" i="9" s="1"/>
  <c r="AB91" i="9"/>
  <c r="AA91" i="9"/>
  <c r="Z91" i="9"/>
  <c r="Z64" i="9" s="1"/>
  <c r="Z67" i="9" s="1"/>
  <c r="Y91" i="9"/>
  <c r="X91" i="9"/>
  <c r="W91" i="9"/>
  <c r="V91" i="9"/>
  <c r="V64" i="9" s="1"/>
  <c r="U91" i="9"/>
  <c r="U64" i="9" s="1"/>
  <c r="T91" i="9"/>
  <c r="S91" i="9"/>
  <c r="R91" i="9"/>
  <c r="Q91" i="9"/>
  <c r="P91" i="9"/>
  <c r="O91" i="9"/>
  <c r="N91" i="9"/>
  <c r="N90" i="9" s="1"/>
  <c r="N63" i="9" s="1"/>
  <c r="M91" i="9"/>
  <c r="M64" i="9" s="1"/>
  <c r="L91" i="9"/>
  <c r="K91" i="9"/>
  <c r="J91" i="9"/>
  <c r="I91" i="9"/>
  <c r="H91" i="9"/>
  <c r="G91" i="9"/>
  <c r="F91" i="9"/>
  <c r="F64" i="9" s="1"/>
  <c r="AM90" i="9"/>
  <c r="AE90" i="9"/>
  <c r="AE63" i="9" s="1"/>
  <c r="AD90" i="9"/>
  <c r="AD63" i="9" s="1"/>
  <c r="AC90" i="9"/>
  <c r="AC63" i="9" s="1"/>
  <c r="Y90" i="9"/>
  <c r="Y63" i="9" s="1"/>
  <c r="X90" i="9"/>
  <c r="X63" i="9" s="1"/>
  <c r="W90" i="9"/>
  <c r="Q90" i="9"/>
  <c r="Q63" i="9" s="1"/>
  <c r="P90" i="9"/>
  <c r="P63" i="9" s="1"/>
  <c r="O90" i="9"/>
  <c r="O63" i="9" s="1"/>
  <c r="M90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AM87" i="9"/>
  <c r="AL87" i="9"/>
  <c r="AK87" i="9"/>
  <c r="AJ87" i="9"/>
  <c r="AE87" i="9"/>
  <c r="AD87" i="9"/>
  <c r="AC87" i="9"/>
  <c r="W87" i="9"/>
  <c r="V87" i="9"/>
  <c r="U87" i="9"/>
  <c r="T87" i="9"/>
  <c r="O87" i="9"/>
  <c r="N87" i="9"/>
  <c r="M87" i="9"/>
  <c r="L87" i="9"/>
  <c r="H87" i="9"/>
  <c r="G87" i="9"/>
  <c r="F87" i="9"/>
  <c r="E87" i="9"/>
  <c r="D87" i="9"/>
  <c r="C87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AN84" i="9"/>
  <c r="AM84" i="9"/>
  <c r="AI84" i="9"/>
  <c r="AH84" i="9"/>
  <c r="AG84" i="9"/>
  <c r="AF84" i="9"/>
  <c r="AE84" i="9"/>
  <c r="AD84" i="9"/>
  <c r="AA84" i="9"/>
  <c r="Z84" i="9"/>
  <c r="Y84" i="9"/>
  <c r="W84" i="9"/>
  <c r="V84" i="9"/>
  <c r="S84" i="9"/>
  <c r="R84" i="9"/>
  <c r="Q84" i="9"/>
  <c r="O84" i="9"/>
  <c r="K84" i="9"/>
  <c r="J84" i="9"/>
  <c r="I84" i="9"/>
  <c r="H84" i="9"/>
  <c r="G84" i="9"/>
  <c r="D84" i="9"/>
  <c r="C84" i="9"/>
  <c r="C83" i="9"/>
  <c r="C82" i="9"/>
  <c r="C81" i="9"/>
  <c r="E80" i="9"/>
  <c r="F80" i="9" s="1"/>
  <c r="G80" i="9" s="1"/>
  <c r="H80" i="9" s="1"/>
  <c r="I80" i="9" s="1"/>
  <c r="J80" i="9" s="1"/>
  <c r="K80" i="9" s="1"/>
  <c r="L80" i="9" s="1"/>
  <c r="M80" i="9" s="1"/>
  <c r="N80" i="9" s="1"/>
  <c r="O80" i="9" s="1"/>
  <c r="P80" i="9" s="1"/>
  <c r="Q80" i="9" s="1"/>
  <c r="R80" i="9" s="1"/>
  <c r="S80" i="9" s="1"/>
  <c r="T80" i="9" s="1"/>
  <c r="U80" i="9" s="1"/>
  <c r="V80" i="9" s="1"/>
  <c r="W80" i="9" s="1"/>
  <c r="X80" i="9" s="1"/>
  <c r="Y80" i="9" s="1"/>
  <c r="Z80" i="9" s="1"/>
  <c r="AA80" i="9" s="1"/>
  <c r="AB80" i="9" s="1"/>
  <c r="AC80" i="9" s="1"/>
  <c r="AD80" i="9" s="1"/>
  <c r="AE80" i="9" s="1"/>
  <c r="AF80" i="9" s="1"/>
  <c r="AG80" i="9" s="1"/>
  <c r="AH80" i="9" s="1"/>
  <c r="AI80" i="9" s="1"/>
  <c r="AJ80" i="9" s="1"/>
  <c r="AK80" i="9" s="1"/>
  <c r="AL80" i="9" s="1"/>
  <c r="AM80" i="9" s="1"/>
  <c r="AN80" i="9" s="1"/>
  <c r="E79" i="9"/>
  <c r="F79" i="9" s="1"/>
  <c r="G79" i="9" s="1"/>
  <c r="H79" i="9" s="1"/>
  <c r="I79" i="9" s="1"/>
  <c r="J79" i="9" s="1"/>
  <c r="K79" i="9" s="1"/>
  <c r="L79" i="9" s="1"/>
  <c r="M79" i="9" s="1"/>
  <c r="N79" i="9" s="1"/>
  <c r="O79" i="9" s="1"/>
  <c r="P79" i="9" s="1"/>
  <c r="Q79" i="9" s="1"/>
  <c r="R79" i="9" s="1"/>
  <c r="S79" i="9" s="1"/>
  <c r="T79" i="9" s="1"/>
  <c r="U79" i="9" s="1"/>
  <c r="V79" i="9" s="1"/>
  <c r="W79" i="9" s="1"/>
  <c r="X79" i="9" s="1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AJ79" i="9" s="1"/>
  <c r="AK79" i="9" s="1"/>
  <c r="AL79" i="9" s="1"/>
  <c r="AM79" i="9" s="1"/>
  <c r="AN79" i="9" s="1"/>
  <c r="D77" i="9"/>
  <c r="D76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AM68" i="9"/>
  <c r="AL68" i="9"/>
  <c r="AK68" i="9"/>
  <c r="AD68" i="9"/>
  <c r="V68" i="9"/>
  <c r="N68" i="9"/>
  <c r="M68" i="9"/>
  <c r="G68" i="9"/>
  <c r="F68" i="9"/>
  <c r="E68" i="9"/>
  <c r="AL65" i="9"/>
  <c r="AK65" i="9"/>
  <c r="AJ65" i="9"/>
  <c r="AH65" i="9"/>
  <c r="AG65" i="9"/>
  <c r="AD65" i="9"/>
  <c r="AC65" i="9"/>
  <c r="AC68" i="9" s="1"/>
  <c r="AB65" i="9"/>
  <c r="Z65" i="9"/>
  <c r="V65" i="9"/>
  <c r="U65" i="9"/>
  <c r="U68" i="9" s="1"/>
  <c r="T65" i="9"/>
  <c r="R65" i="9"/>
  <c r="N65" i="9"/>
  <c r="M65" i="9"/>
  <c r="L65" i="9"/>
  <c r="K65" i="9"/>
  <c r="J65" i="9"/>
  <c r="I65" i="9"/>
  <c r="F65" i="9"/>
  <c r="E65" i="9"/>
  <c r="C65" i="9"/>
  <c r="AN64" i="9"/>
  <c r="AM64" i="9"/>
  <c r="AL64" i="9"/>
  <c r="AH64" i="9"/>
  <c r="AH67" i="9" s="1"/>
  <c r="AG64" i="9"/>
  <c r="AG67" i="9" s="1"/>
  <c r="AF64" i="9"/>
  <c r="AE64" i="9"/>
  <c r="Y64" i="9"/>
  <c r="Y67" i="9" s="1"/>
  <c r="Y66" i="9" s="1"/>
  <c r="X64" i="9"/>
  <c r="W64" i="9"/>
  <c r="R64" i="9"/>
  <c r="R67" i="9" s="1"/>
  <c r="Q64" i="9"/>
  <c r="P64" i="9"/>
  <c r="O64" i="9"/>
  <c r="J64" i="9"/>
  <c r="J67" i="9" s="1"/>
  <c r="I64" i="9"/>
  <c r="H64" i="9"/>
  <c r="G64" i="9"/>
  <c r="E64" i="9"/>
  <c r="C64" i="9"/>
  <c r="AM63" i="9"/>
  <c r="W63" i="9"/>
  <c r="M63" i="9"/>
  <c r="E63" i="9"/>
  <c r="C63" i="9"/>
  <c r="AN60" i="9"/>
  <c r="AN87" i="9" s="1"/>
  <c r="AM60" i="9"/>
  <c r="AL60" i="9"/>
  <c r="AK60" i="9"/>
  <c r="AJ60" i="9"/>
  <c r="AI60" i="9"/>
  <c r="AI87" i="9" s="1"/>
  <c r="AH60" i="9"/>
  <c r="AH87" i="9" s="1"/>
  <c r="AG60" i="9"/>
  <c r="AG87" i="9" s="1"/>
  <c r="AF60" i="9"/>
  <c r="AF87" i="9" s="1"/>
  <c r="AE60" i="9"/>
  <c r="AD60" i="9"/>
  <c r="AC60" i="9"/>
  <c r="AB60" i="9"/>
  <c r="AB87" i="9" s="1"/>
  <c r="AA60" i="9"/>
  <c r="AA87" i="9" s="1"/>
  <c r="Z60" i="9"/>
  <c r="Z87" i="9" s="1"/>
  <c r="Y60" i="9"/>
  <c r="Y87" i="9" s="1"/>
  <c r="X60" i="9"/>
  <c r="X87" i="9" s="1"/>
  <c r="W60" i="9"/>
  <c r="V60" i="9"/>
  <c r="U60" i="9"/>
  <c r="T60" i="9"/>
  <c r="S60" i="9"/>
  <c r="S87" i="9" s="1"/>
  <c r="R60" i="9"/>
  <c r="R87" i="9" s="1"/>
  <c r="Q60" i="9"/>
  <c r="Q87" i="9" s="1"/>
  <c r="P60" i="9"/>
  <c r="P87" i="9" s="1"/>
  <c r="O60" i="9"/>
  <c r="N60" i="9"/>
  <c r="M60" i="9"/>
  <c r="L60" i="9"/>
  <c r="K60" i="9"/>
  <c r="K87" i="9" s="1"/>
  <c r="J60" i="9"/>
  <c r="J87" i="9" s="1"/>
  <c r="I60" i="9"/>
  <c r="I87" i="9" s="1"/>
  <c r="H60" i="9"/>
  <c r="G60" i="9"/>
  <c r="F60" i="9"/>
  <c r="E60" i="9"/>
  <c r="AN57" i="9"/>
  <c r="AM57" i="9"/>
  <c r="AL57" i="9"/>
  <c r="AL84" i="9" s="1"/>
  <c r="AK57" i="9"/>
  <c r="AK84" i="9" s="1"/>
  <c r="AJ57" i="9"/>
  <c r="AJ84" i="9" s="1"/>
  <c r="AI57" i="9"/>
  <c r="AH57" i="9"/>
  <c r="AG57" i="9"/>
  <c r="AF57" i="9"/>
  <c r="AE57" i="9"/>
  <c r="AD57" i="9"/>
  <c r="AC57" i="9"/>
  <c r="AC84" i="9" s="1"/>
  <c r="AB57" i="9"/>
  <c r="AB84" i="9" s="1"/>
  <c r="AA57" i="9"/>
  <c r="Z57" i="9"/>
  <c r="Y57" i="9"/>
  <c r="X57" i="9"/>
  <c r="X84" i="9" s="1"/>
  <c r="W57" i="9"/>
  <c r="V57" i="9"/>
  <c r="U57" i="9"/>
  <c r="U84" i="9" s="1"/>
  <c r="T57" i="9"/>
  <c r="T84" i="9" s="1"/>
  <c r="S57" i="9"/>
  <c r="R57" i="9"/>
  <c r="Q57" i="9"/>
  <c r="P57" i="9"/>
  <c r="P84" i="9" s="1"/>
  <c r="O57" i="9"/>
  <c r="N57" i="9"/>
  <c r="N84" i="9" s="1"/>
  <c r="M57" i="9"/>
  <c r="M84" i="9" s="1"/>
  <c r="L57" i="9"/>
  <c r="L84" i="9" s="1"/>
  <c r="K57" i="9"/>
  <c r="J57" i="9"/>
  <c r="I57" i="9"/>
  <c r="H57" i="9"/>
  <c r="G57" i="9"/>
  <c r="F57" i="9"/>
  <c r="F84" i="9" s="1"/>
  <c r="E57" i="9"/>
  <c r="E84" i="9" s="1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C56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Q67" i="9" s="1"/>
  <c r="Q66" i="9" s="1"/>
  <c r="P55" i="9"/>
  <c r="O55" i="9"/>
  <c r="N55" i="9"/>
  <c r="M55" i="9"/>
  <c r="L55" i="9"/>
  <c r="K55" i="9"/>
  <c r="J55" i="9"/>
  <c r="I55" i="9"/>
  <c r="I67" i="9" s="1"/>
  <c r="I66" i="9" s="1"/>
  <c r="H55" i="9"/>
  <c r="G55" i="9"/>
  <c r="F55" i="9"/>
  <c r="E55" i="9"/>
  <c r="C55" i="9"/>
  <c r="AK54" i="9"/>
  <c r="AJ54" i="9"/>
  <c r="AI54" i="9"/>
  <c r="AC54" i="9"/>
  <c r="AB54" i="9"/>
  <c r="AA54" i="9"/>
  <c r="U54" i="9"/>
  <c r="T54" i="9"/>
  <c r="S54" i="9"/>
  <c r="N54" i="9"/>
  <c r="M54" i="9"/>
  <c r="L54" i="9"/>
  <c r="K54" i="9"/>
  <c r="E54" i="9"/>
  <c r="C54" i="9"/>
  <c r="AN53" i="9"/>
  <c r="AN68" i="9" s="1"/>
  <c r="AM53" i="9"/>
  <c r="AL53" i="9"/>
  <c r="AK53" i="9"/>
  <c r="AJ53" i="9"/>
  <c r="AI53" i="9"/>
  <c r="AH53" i="9"/>
  <c r="AG53" i="9"/>
  <c r="AG68" i="9" s="1"/>
  <c r="AF53" i="9"/>
  <c r="AF68" i="9" s="1"/>
  <c r="AF66" i="9" s="1"/>
  <c r="AE53" i="9"/>
  <c r="AE68" i="9" s="1"/>
  <c r="AD53" i="9"/>
  <c r="AC53" i="9"/>
  <c r="AB53" i="9"/>
  <c r="AA53" i="9"/>
  <c r="Z53" i="9"/>
  <c r="Y53" i="9"/>
  <c r="Y68" i="9" s="1"/>
  <c r="X53" i="9"/>
  <c r="X68" i="9" s="1"/>
  <c r="W53" i="9"/>
  <c r="W68" i="9" s="1"/>
  <c r="V53" i="9"/>
  <c r="U53" i="9"/>
  <c r="T53" i="9"/>
  <c r="S53" i="9"/>
  <c r="R53" i="9"/>
  <c r="Q53" i="9"/>
  <c r="Q68" i="9" s="1"/>
  <c r="P53" i="9"/>
  <c r="P68" i="9" s="1"/>
  <c r="P66" i="9" s="1"/>
  <c r="O53" i="9"/>
  <c r="O68" i="9" s="1"/>
  <c r="N53" i="9"/>
  <c r="M53" i="9"/>
  <c r="L53" i="9"/>
  <c r="K53" i="9"/>
  <c r="J53" i="9"/>
  <c r="I53" i="9"/>
  <c r="I68" i="9" s="1"/>
  <c r="H53" i="9"/>
  <c r="H68" i="9" s="1"/>
  <c r="G53" i="9"/>
  <c r="F53" i="9"/>
  <c r="E53" i="9"/>
  <c r="C53" i="9"/>
  <c r="AN52" i="9"/>
  <c r="AN67" i="9" s="1"/>
  <c r="AN66" i="9" s="1"/>
  <c r="AM52" i="9"/>
  <c r="AL52" i="9"/>
  <c r="AK52" i="9"/>
  <c r="AK67" i="9" s="1"/>
  <c r="AK66" i="9" s="1"/>
  <c r="AJ52" i="9"/>
  <c r="AI52" i="9"/>
  <c r="AH52" i="9"/>
  <c r="AG52" i="9"/>
  <c r="AF52" i="9"/>
  <c r="AF67" i="9" s="1"/>
  <c r="AE52" i="9"/>
  <c r="AD52" i="9"/>
  <c r="AC52" i="9"/>
  <c r="AC67" i="9" s="1"/>
  <c r="AC66" i="9" s="1"/>
  <c r="AB52" i="9"/>
  <c r="AA52" i="9"/>
  <c r="Z52" i="9"/>
  <c r="Y52" i="9"/>
  <c r="X52" i="9"/>
  <c r="W52" i="9"/>
  <c r="V52" i="9"/>
  <c r="U52" i="9"/>
  <c r="U67" i="9" s="1"/>
  <c r="T52" i="9"/>
  <c r="S52" i="9"/>
  <c r="R52" i="9"/>
  <c r="Q52" i="9"/>
  <c r="P52" i="9"/>
  <c r="P67" i="9" s="1"/>
  <c r="O52" i="9"/>
  <c r="N52" i="9"/>
  <c r="M52" i="9"/>
  <c r="M67" i="9" s="1"/>
  <c r="M66" i="9" s="1"/>
  <c r="L52" i="9"/>
  <c r="K52" i="9"/>
  <c r="J52" i="9"/>
  <c r="I52" i="9"/>
  <c r="H52" i="9"/>
  <c r="G52" i="9"/>
  <c r="F52" i="9"/>
  <c r="E52" i="9"/>
  <c r="E67" i="9" s="1"/>
  <c r="E66" i="9" s="1"/>
  <c r="C52" i="9"/>
  <c r="AK51" i="9"/>
  <c r="AJ51" i="9"/>
  <c r="AI51" i="9"/>
  <c r="AH51" i="9"/>
  <c r="AC51" i="9"/>
  <c r="AB51" i="9"/>
  <c r="AA51" i="9"/>
  <c r="Z51" i="9"/>
  <c r="T51" i="9"/>
  <c r="S51" i="9"/>
  <c r="R51" i="9"/>
  <c r="Q51" i="9"/>
  <c r="L51" i="9"/>
  <c r="K51" i="9"/>
  <c r="J51" i="9"/>
  <c r="C51" i="9"/>
  <c r="E38" i="9"/>
  <c r="F38" i="9" s="1"/>
  <c r="G38" i="9" s="1"/>
  <c r="H38" i="9" s="1"/>
  <c r="I38" i="9" s="1"/>
  <c r="J38" i="9" s="1"/>
  <c r="K38" i="9" s="1"/>
  <c r="L38" i="9" s="1"/>
  <c r="M38" i="9" s="1"/>
  <c r="N38" i="9" s="1"/>
  <c r="O38" i="9" s="1"/>
  <c r="P38" i="9" s="1"/>
  <c r="Q38" i="9" s="1"/>
  <c r="R38" i="9" s="1"/>
  <c r="S38" i="9" s="1"/>
  <c r="T38" i="9" s="1"/>
  <c r="U38" i="9" s="1"/>
  <c r="V38" i="9" s="1"/>
  <c r="W38" i="9" s="1"/>
  <c r="X38" i="9" s="1"/>
  <c r="Y38" i="9" s="1"/>
  <c r="Z38" i="9" s="1"/>
  <c r="AA38" i="9" s="1"/>
  <c r="AB38" i="9" s="1"/>
  <c r="AC38" i="9" s="1"/>
  <c r="AD38" i="9" s="1"/>
  <c r="AE38" i="9" s="1"/>
  <c r="AF38" i="9" s="1"/>
  <c r="AG38" i="9" s="1"/>
  <c r="AH38" i="9" s="1"/>
  <c r="AI38" i="9" s="1"/>
  <c r="AJ38" i="9" s="1"/>
  <c r="AK38" i="9" s="1"/>
  <c r="AL38" i="9" s="1"/>
  <c r="AM38" i="9" s="1"/>
  <c r="E37" i="9"/>
  <c r="F37" i="9" s="1"/>
  <c r="G37" i="9" s="1"/>
  <c r="H37" i="9" s="1"/>
  <c r="I37" i="9" s="1"/>
  <c r="J37" i="9" s="1"/>
  <c r="K37" i="9" s="1"/>
  <c r="L37" i="9" s="1"/>
  <c r="M37" i="9" s="1"/>
  <c r="N37" i="9" s="1"/>
  <c r="O37" i="9" s="1"/>
  <c r="P37" i="9" s="1"/>
  <c r="Q37" i="9" s="1"/>
  <c r="R37" i="9" s="1"/>
  <c r="S37" i="9" s="1"/>
  <c r="T37" i="9" s="1"/>
  <c r="U37" i="9" s="1"/>
  <c r="V37" i="9" s="1"/>
  <c r="W37" i="9" s="1"/>
  <c r="X37" i="9" s="1"/>
  <c r="Y37" i="9" s="1"/>
  <c r="Z37" i="9" s="1"/>
  <c r="AA37" i="9" s="1"/>
  <c r="AB37" i="9" s="1"/>
  <c r="AC37" i="9" s="1"/>
  <c r="AD37" i="9" s="1"/>
  <c r="AE37" i="9" s="1"/>
  <c r="AF37" i="9" s="1"/>
  <c r="AG37" i="9" s="1"/>
  <c r="AH37" i="9" s="1"/>
  <c r="AI37" i="9" s="1"/>
  <c r="AJ37" i="9" s="1"/>
  <c r="AK37" i="9" s="1"/>
  <c r="AL37" i="9" s="1"/>
  <c r="AM37" i="9" s="1"/>
  <c r="D35" i="9"/>
  <c r="E35" i="9" s="1"/>
  <c r="F35" i="9" s="1"/>
  <c r="G35" i="9" s="1"/>
  <c r="H35" i="9" s="1"/>
  <c r="I35" i="9" s="1"/>
  <c r="J35" i="9" s="1"/>
  <c r="K35" i="9" s="1"/>
  <c r="L35" i="9" s="1"/>
  <c r="M35" i="9" s="1"/>
  <c r="N35" i="9" s="1"/>
  <c r="O35" i="9" s="1"/>
  <c r="P35" i="9" s="1"/>
  <c r="Q35" i="9" s="1"/>
  <c r="R35" i="9" s="1"/>
  <c r="S35" i="9" s="1"/>
  <c r="T35" i="9" s="1"/>
  <c r="U35" i="9" s="1"/>
  <c r="V35" i="9" s="1"/>
  <c r="W35" i="9" s="1"/>
  <c r="X35" i="9" s="1"/>
  <c r="Y35" i="9" s="1"/>
  <c r="Z35" i="9" s="1"/>
  <c r="AA35" i="9" s="1"/>
  <c r="AB35" i="9" s="1"/>
  <c r="AC35" i="9" s="1"/>
  <c r="AD35" i="9" s="1"/>
  <c r="AE35" i="9" s="1"/>
  <c r="AF35" i="9" s="1"/>
  <c r="AG35" i="9" s="1"/>
  <c r="AH35" i="9" s="1"/>
  <c r="AI35" i="9" s="1"/>
  <c r="AJ35" i="9" s="1"/>
  <c r="AK35" i="9" s="1"/>
  <c r="AL35" i="9" s="1"/>
  <c r="AM35" i="9" s="1"/>
  <c r="AN35" i="9" s="1"/>
  <c r="E34" i="9"/>
  <c r="F34" i="9" s="1"/>
  <c r="D34" i="9"/>
  <c r="G29" i="9"/>
  <c r="H29" i="9" s="1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X29" i="9" s="1"/>
  <c r="Y29" i="9" s="1"/>
  <c r="Z29" i="9" s="1"/>
  <c r="AA29" i="9" s="1"/>
  <c r="AB29" i="9" s="1"/>
  <c r="AC29" i="9" s="1"/>
  <c r="AD29" i="9" s="1"/>
  <c r="AE29" i="9" s="1"/>
  <c r="AF29" i="9" s="1"/>
  <c r="AG29" i="9" s="1"/>
  <c r="AH29" i="9" s="1"/>
  <c r="AI29" i="9" s="1"/>
  <c r="AJ29" i="9" s="1"/>
  <c r="AK29" i="9" s="1"/>
  <c r="AL29" i="9" s="1"/>
  <c r="AM29" i="9" s="1"/>
  <c r="F29" i="9"/>
  <c r="E29" i="9"/>
  <c r="I28" i="9"/>
  <c r="J28" i="9" s="1"/>
  <c r="K28" i="9" s="1"/>
  <c r="L28" i="9" s="1"/>
  <c r="M28" i="9" s="1"/>
  <c r="N28" i="9" s="1"/>
  <c r="O28" i="9" s="1"/>
  <c r="P28" i="9" s="1"/>
  <c r="Q28" i="9" s="1"/>
  <c r="R28" i="9" s="1"/>
  <c r="S28" i="9" s="1"/>
  <c r="T28" i="9" s="1"/>
  <c r="U28" i="9" s="1"/>
  <c r="V28" i="9" s="1"/>
  <c r="W28" i="9" s="1"/>
  <c r="X28" i="9" s="1"/>
  <c r="Y28" i="9" s="1"/>
  <c r="Z28" i="9" s="1"/>
  <c r="AA28" i="9" s="1"/>
  <c r="AB28" i="9" s="1"/>
  <c r="AC28" i="9" s="1"/>
  <c r="AD28" i="9" s="1"/>
  <c r="AE28" i="9" s="1"/>
  <c r="AF28" i="9" s="1"/>
  <c r="AG28" i="9" s="1"/>
  <c r="AH28" i="9" s="1"/>
  <c r="AI28" i="9" s="1"/>
  <c r="AJ28" i="9" s="1"/>
  <c r="AK28" i="9" s="1"/>
  <c r="AL28" i="9" s="1"/>
  <c r="AM28" i="9" s="1"/>
  <c r="E28" i="9"/>
  <c r="F28" i="9" s="1"/>
  <c r="G28" i="9" s="1"/>
  <c r="H28" i="9" s="1"/>
  <c r="F26" i="9"/>
  <c r="F44" i="9" s="1"/>
  <c r="E26" i="9"/>
  <c r="D26" i="9"/>
  <c r="E25" i="9"/>
  <c r="E24" i="9" s="1"/>
  <c r="D25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AE20" i="9" s="1"/>
  <c r="AF20" i="9" s="1"/>
  <c r="AG20" i="9" s="1"/>
  <c r="AH20" i="9" s="1"/>
  <c r="AI20" i="9" s="1"/>
  <c r="AJ20" i="9" s="1"/>
  <c r="AK20" i="9" s="1"/>
  <c r="AL20" i="9" s="1"/>
  <c r="AM20" i="9" s="1"/>
  <c r="AN20" i="9" s="1"/>
  <c r="F19" i="9"/>
  <c r="G19" i="9" s="1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AE19" i="9" s="1"/>
  <c r="AF19" i="9" s="1"/>
  <c r="AG19" i="9" s="1"/>
  <c r="AH19" i="9" s="1"/>
  <c r="AI19" i="9" s="1"/>
  <c r="AJ19" i="9" s="1"/>
  <c r="AK19" i="9" s="1"/>
  <c r="AL19" i="9" s="1"/>
  <c r="AM19" i="9" s="1"/>
  <c r="AN19" i="9" s="1"/>
  <c r="E19" i="9"/>
  <c r="D17" i="9"/>
  <c r="D16" i="9"/>
  <c r="D33" i="9" s="1"/>
  <c r="AN15" i="9"/>
  <c r="AN54" i="9" s="1"/>
  <c r="AM15" i="9"/>
  <c r="AM54" i="9" s="1"/>
  <c r="AL15" i="9"/>
  <c r="AL54" i="9" s="1"/>
  <c r="AK15" i="9"/>
  <c r="AJ15" i="9"/>
  <c r="AI15" i="9"/>
  <c r="AH15" i="9"/>
  <c r="AH54" i="9" s="1"/>
  <c r="AG15" i="9"/>
  <c r="AG54" i="9" s="1"/>
  <c r="AF15" i="9"/>
  <c r="AF54" i="9" s="1"/>
  <c r="AE15" i="9"/>
  <c r="AE54" i="9" s="1"/>
  <c r="AD15" i="9"/>
  <c r="AD54" i="9" s="1"/>
  <c r="AC15" i="9"/>
  <c r="AB15" i="9"/>
  <c r="AA15" i="9"/>
  <c r="Z15" i="9"/>
  <c r="Z54" i="9" s="1"/>
  <c r="Y15" i="9"/>
  <c r="Y54" i="9" s="1"/>
  <c r="X15" i="9"/>
  <c r="X54" i="9" s="1"/>
  <c r="W15" i="9"/>
  <c r="W54" i="9" s="1"/>
  <c r="V15" i="9"/>
  <c r="V54" i="9" s="1"/>
  <c r="U15" i="9"/>
  <c r="T15" i="9"/>
  <c r="S15" i="9"/>
  <c r="R15" i="9"/>
  <c r="R54" i="9" s="1"/>
  <c r="Q15" i="9"/>
  <c r="Q54" i="9" s="1"/>
  <c r="P15" i="9"/>
  <c r="P54" i="9" s="1"/>
  <c r="O15" i="9"/>
  <c r="O54" i="9" s="1"/>
  <c r="N15" i="9"/>
  <c r="M15" i="9"/>
  <c r="L15" i="9"/>
  <c r="K15" i="9"/>
  <c r="J15" i="9"/>
  <c r="J54" i="9" s="1"/>
  <c r="I15" i="9"/>
  <c r="I54" i="9" s="1"/>
  <c r="H15" i="9"/>
  <c r="H54" i="9" s="1"/>
  <c r="G15" i="9"/>
  <c r="G54" i="9" s="1"/>
  <c r="F15" i="9"/>
  <c r="F54" i="9" s="1"/>
  <c r="E15" i="9"/>
  <c r="C15" i="9"/>
  <c r="G11" i="9"/>
  <c r="H11" i="9" s="1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X11" i="9" s="1"/>
  <c r="Y11" i="9" s="1"/>
  <c r="Z11" i="9" s="1"/>
  <c r="AA11" i="9" s="1"/>
  <c r="AB11" i="9" s="1"/>
  <c r="AC11" i="9" s="1"/>
  <c r="AD11" i="9" s="1"/>
  <c r="AE11" i="9" s="1"/>
  <c r="AF11" i="9" s="1"/>
  <c r="AG11" i="9" s="1"/>
  <c r="AH11" i="9" s="1"/>
  <c r="AI11" i="9" s="1"/>
  <c r="AJ11" i="9" s="1"/>
  <c r="AK11" i="9" s="1"/>
  <c r="AL11" i="9" s="1"/>
  <c r="AM11" i="9" s="1"/>
  <c r="AN11" i="9" s="1"/>
  <c r="F11" i="9"/>
  <c r="E11" i="9"/>
  <c r="G10" i="9"/>
  <c r="H10" i="9" s="1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X10" i="9" s="1"/>
  <c r="Y10" i="9" s="1"/>
  <c r="Z10" i="9" s="1"/>
  <c r="AA10" i="9" s="1"/>
  <c r="AB10" i="9" s="1"/>
  <c r="AC10" i="9" s="1"/>
  <c r="AD10" i="9" s="1"/>
  <c r="AE10" i="9" s="1"/>
  <c r="AF10" i="9" s="1"/>
  <c r="AG10" i="9" s="1"/>
  <c r="AH10" i="9" s="1"/>
  <c r="AI10" i="9" s="1"/>
  <c r="AJ10" i="9" s="1"/>
  <c r="AK10" i="9" s="1"/>
  <c r="AL10" i="9" s="1"/>
  <c r="AM10" i="9" s="1"/>
  <c r="AN10" i="9" s="1"/>
  <c r="E10" i="9"/>
  <c r="F10" i="9" s="1"/>
  <c r="D8" i="9"/>
  <c r="D7" i="9"/>
  <c r="D24" i="9" s="1"/>
  <c r="AN6" i="9"/>
  <c r="AN51" i="9" s="1"/>
  <c r="AM6" i="9"/>
  <c r="AM51" i="9" s="1"/>
  <c r="AL6" i="9"/>
  <c r="AL51" i="9" s="1"/>
  <c r="AK6" i="9"/>
  <c r="AJ6" i="9"/>
  <c r="AI6" i="9"/>
  <c r="AH6" i="9"/>
  <c r="AG6" i="9"/>
  <c r="AG51" i="9" s="1"/>
  <c r="AF6" i="9"/>
  <c r="AF51" i="9" s="1"/>
  <c r="AE6" i="9"/>
  <c r="AE51" i="9" s="1"/>
  <c r="AD6" i="9"/>
  <c r="AD51" i="9" s="1"/>
  <c r="AC6" i="9"/>
  <c r="AB6" i="9"/>
  <c r="AA6" i="9"/>
  <c r="Z6" i="9"/>
  <c r="Y6" i="9"/>
  <c r="Y51" i="9" s="1"/>
  <c r="X6" i="9"/>
  <c r="X51" i="9" s="1"/>
  <c r="W6" i="9"/>
  <c r="W51" i="9" s="1"/>
  <c r="V6" i="9"/>
  <c r="V51" i="9" s="1"/>
  <c r="U6" i="9"/>
  <c r="U51" i="9" s="1"/>
  <c r="T6" i="9"/>
  <c r="S6" i="9"/>
  <c r="R6" i="9"/>
  <c r="Q6" i="9"/>
  <c r="P6" i="9"/>
  <c r="P51" i="9" s="1"/>
  <c r="O6" i="9"/>
  <c r="O51" i="9" s="1"/>
  <c r="N6" i="9"/>
  <c r="N51" i="9" s="1"/>
  <c r="M6" i="9"/>
  <c r="M51" i="9" s="1"/>
  <c r="L6" i="9"/>
  <c r="K6" i="9"/>
  <c r="J6" i="9"/>
  <c r="I6" i="9"/>
  <c r="I51" i="9" s="1"/>
  <c r="H6" i="9"/>
  <c r="H51" i="9" s="1"/>
  <c r="G6" i="9"/>
  <c r="G51" i="9" s="1"/>
  <c r="F6" i="9"/>
  <c r="F51" i="9" s="1"/>
  <c r="E6" i="9"/>
  <c r="E51" i="9" s="1"/>
  <c r="C6" i="9"/>
  <c r="D5" i="8"/>
  <c r="E3" i="8"/>
  <c r="C3" i="8"/>
  <c r="G71" i="7"/>
  <c r="F71" i="7"/>
  <c r="G67" i="7"/>
  <c r="AM56" i="7"/>
  <c r="AK56" i="7"/>
  <c r="AD56" i="7"/>
  <c r="Q56" i="7"/>
  <c r="AD55" i="7"/>
  <c r="Q55" i="7"/>
  <c r="AP54" i="7"/>
  <c r="AO54" i="7"/>
  <c r="AN54" i="7"/>
  <c r="AM54" i="7"/>
  <c r="AL54" i="7"/>
  <c r="AK54" i="7"/>
  <c r="AJ54" i="7"/>
  <c r="AI54" i="7"/>
  <c r="AH54" i="7"/>
  <c r="AG54" i="7"/>
  <c r="AF54" i="7"/>
  <c r="G73" i="7" s="1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F73" i="7" s="1"/>
  <c r="Q54" i="7"/>
  <c r="P54" i="7"/>
  <c r="O54" i="7"/>
  <c r="N54" i="7"/>
  <c r="M54" i="7"/>
  <c r="L54" i="7"/>
  <c r="K54" i="7"/>
  <c r="J54" i="7"/>
  <c r="I54" i="7"/>
  <c r="H54" i="7"/>
  <c r="E73" i="7" s="1"/>
  <c r="G54" i="7"/>
  <c r="F54" i="7"/>
  <c r="E54" i="7"/>
  <c r="AO53" i="7"/>
  <c r="AN53" i="7"/>
  <c r="AI53" i="7"/>
  <c r="AG53" i="7"/>
  <c r="AD53" i="7"/>
  <c r="Z53" i="7"/>
  <c r="Y53" i="7"/>
  <c r="X53" i="7"/>
  <c r="R53" i="7"/>
  <c r="Q53" i="7"/>
  <c r="P53" i="7"/>
  <c r="O53" i="7"/>
  <c r="N53" i="7"/>
  <c r="I53" i="7"/>
  <c r="H53" i="7"/>
  <c r="F53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E71" i="7" s="1"/>
  <c r="AD51" i="7"/>
  <c r="Q51" i="7"/>
  <c r="AD50" i="7"/>
  <c r="Q50" i="7"/>
  <c r="AD49" i="7"/>
  <c r="AD57" i="7" s="1"/>
  <c r="Q49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F67" i="7" s="1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E67" i="7" s="1"/>
  <c r="AD47" i="7"/>
  <c r="Q47" i="7"/>
  <c r="AD46" i="7"/>
  <c r="Q46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Q57" i="7" s="1"/>
  <c r="P45" i="7"/>
  <c r="O45" i="7"/>
  <c r="N45" i="7"/>
  <c r="M45" i="7"/>
  <c r="L45" i="7"/>
  <c r="K45" i="7"/>
  <c r="J45" i="7"/>
  <c r="I45" i="7"/>
  <c r="H45" i="7"/>
  <c r="G45" i="7"/>
  <c r="F45" i="7"/>
  <c r="E45" i="7"/>
  <c r="AP37" i="7"/>
  <c r="AM37" i="7"/>
  <c r="AM47" i="14" s="1"/>
  <c r="AL37" i="7"/>
  <c r="AL47" i="14" s="1"/>
  <c r="AK37" i="7"/>
  <c r="AK47" i="14" s="1"/>
  <c r="Z37" i="7"/>
  <c r="W37" i="7"/>
  <c r="W47" i="14" s="1"/>
  <c r="J37" i="7"/>
  <c r="G37" i="7"/>
  <c r="G47" i="14" s="1"/>
  <c r="AP35" i="7"/>
  <c r="AP45" i="14" s="1"/>
  <c r="AO35" i="7"/>
  <c r="AO45" i="14" s="1"/>
  <c r="AN35" i="7"/>
  <c r="AN45" i="14" s="1"/>
  <c r="AM35" i="7"/>
  <c r="AM45" i="14" s="1"/>
  <c r="AL35" i="7"/>
  <c r="AL45" i="14" s="1"/>
  <c r="AK35" i="7"/>
  <c r="AJ35" i="7"/>
  <c r="AI35" i="7"/>
  <c r="AI45" i="14" s="1"/>
  <c r="AH35" i="7"/>
  <c r="AH45" i="14" s="1"/>
  <c r="AG35" i="7"/>
  <c r="AG45" i="14" s="1"/>
  <c r="AF35" i="7"/>
  <c r="AF45" i="14" s="1"/>
  <c r="AE35" i="7"/>
  <c r="AE45" i="14" s="1"/>
  <c r="AC35" i="7"/>
  <c r="AB35" i="7"/>
  <c r="AB53" i="7" s="1"/>
  <c r="AA35" i="7"/>
  <c r="Z35" i="7"/>
  <c r="Z45" i="14" s="1"/>
  <c r="Y35" i="7"/>
  <c r="Y45" i="14" s="1"/>
  <c r="X35" i="7"/>
  <c r="X45" i="14" s="1"/>
  <c r="W35" i="7"/>
  <c r="W45" i="14" s="1"/>
  <c r="V35" i="7"/>
  <c r="V45" i="14" s="1"/>
  <c r="U35" i="7"/>
  <c r="T35" i="7"/>
  <c r="S35" i="7"/>
  <c r="R35" i="7"/>
  <c r="R45" i="14" s="1"/>
  <c r="P35" i="7"/>
  <c r="P45" i="14" s="1"/>
  <c r="O35" i="7"/>
  <c r="O45" i="14" s="1"/>
  <c r="N35" i="7"/>
  <c r="N45" i="14" s="1"/>
  <c r="M35" i="7"/>
  <c r="L35" i="7"/>
  <c r="K35" i="7"/>
  <c r="J35" i="7"/>
  <c r="J45" i="14" s="1"/>
  <c r="I35" i="7"/>
  <c r="I45" i="14" s="1"/>
  <c r="H35" i="7"/>
  <c r="H45" i="14" s="1"/>
  <c r="G35" i="7"/>
  <c r="G45" i="14" s="1"/>
  <c r="F35" i="7"/>
  <c r="F45" i="14" s="1"/>
  <c r="E35" i="7"/>
  <c r="AO30" i="7"/>
  <c r="AO40" i="14" s="1"/>
  <c r="AM30" i="7"/>
  <c r="AM40" i="14" s="1"/>
  <c r="AG30" i="7"/>
  <c r="AG40" i="14" s="1"/>
  <c r="AE30" i="7"/>
  <c r="AE40" i="14" s="1"/>
  <c r="X30" i="7"/>
  <c r="X40" i="14" s="1"/>
  <c r="V30" i="7"/>
  <c r="V40" i="14" s="1"/>
  <c r="P30" i="7"/>
  <c r="P40" i="14" s="1"/>
  <c r="O30" i="7"/>
  <c r="O40" i="14" s="1"/>
  <c r="M30" i="7"/>
  <c r="J30" i="7"/>
  <c r="J40" i="14" s="1"/>
  <c r="H30" i="7"/>
  <c r="H40" i="14" s="1"/>
  <c r="G30" i="7"/>
  <c r="G40" i="14" s="1"/>
  <c r="E30" i="7"/>
  <c r="AP20" i="7"/>
  <c r="AP30" i="14" s="1"/>
  <c r="AO20" i="7"/>
  <c r="AO46" i="7" s="1"/>
  <c r="AN20" i="7"/>
  <c r="AN30" i="14" s="1"/>
  <c r="AM20" i="7"/>
  <c r="AL20" i="7"/>
  <c r="AK20" i="7"/>
  <c r="AJ20" i="7"/>
  <c r="AJ30" i="14" s="1"/>
  <c r="AI20" i="7"/>
  <c r="AI30" i="14" s="1"/>
  <c r="AH20" i="7"/>
  <c r="AH30" i="14" s="1"/>
  <c r="AG20" i="7"/>
  <c r="AG46" i="7" s="1"/>
  <c r="AF20" i="7"/>
  <c r="AF30" i="14" s="1"/>
  <c r="AE20" i="7"/>
  <c r="AC20" i="7"/>
  <c r="AB20" i="7"/>
  <c r="AB30" i="14" s="1"/>
  <c r="AA20" i="7"/>
  <c r="AA30" i="14" s="1"/>
  <c r="Z20" i="7"/>
  <c r="Z30" i="14" s="1"/>
  <c r="Y20" i="7"/>
  <c r="Y30" i="14" s="1"/>
  <c r="X20" i="7"/>
  <c r="W20" i="7"/>
  <c r="V20" i="7"/>
  <c r="U20" i="7"/>
  <c r="T20" i="7"/>
  <c r="T30" i="14" s="1"/>
  <c r="S20" i="7"/>
  <c r="S30" i="14" s="1"/>
  <c r="R20" i="7"/>
  <c r="R46" i="7" s="1"/>
  <c r="P20" i="7"/>
  <c r="P30" i="14" s="1"/>
  <c r="O20" i="7"/>
  <c r="N20" i="7"/>
  <c r="M20" i="7"/>
  <c r="L20" i="7"/>
  <c r="L30" i="14" s="1"/>
  <c r="K20" i="7"/>
  <c r="K46" i="7" s="1"/>
  <c r="J20" i="7"/>
  <c r="J30" i="14" s="1"/>
  <c r="I20" i="7"/>
  <c r="I30" i="14" s="1"/>
  <c r="H20" i="7"/>
  <c r="H30" i="14" s="1"/>
  <c r="G20" i="7"/>
  <c r="F20" i="7"/>
  <c r="E20" i="7"/>
  <c r="AL7" i="7"/>
  <c r="AL15" i="14" s="1"/>
  <c r="AK7" i="7"/>
  <c r="AK15" i="14" s="1"/>
  <c r="AB7" i="7"/>
  <c r="AB15" i="14" s="1"/>
  <c r="AA7" i="7"/>
  <c r="AA15" i="14" s="1"/>
  <c r="AL6" i="7"/>
  <c r="AL14" i="14" s="1"/>
  <c r="AK6" i="7"/>
  <c r="AK14" i="14" s="1"/>
  <c r="AB6" i="7"/>
  <c r="AB14" i="14" s="1"/>
  <c r="AA6" i="7"/>
  <c r="AA14" i="14" s="1"/>
  <c r="S6" i="7"/>
  <c r="S14" i="14" s="1"/>
  <c r="P6" i="7"/>
  <c r="P14" i="14" s="1"/>
  <c r="H6" i="7"/>
  <c r="H14" i="14" s="1"/>
  <c r="G6" i="7"/>
  <c r="G14" i="14" s="1"/>
  <c r="AP108" i="6"/>
  <c r="AN108" i="6"/>
  <c r="AK108" i="6"/>
  <c r="AJ108" i="6"/>
  <c r="AI108" i="6"/>
  <c r="AH108" i="6"/>
  <c r="AF108" i="6"/>
  <c r="AD108" i="6"/>
  <c r="AB108" i="6"/>
  <c r="AA108" i="6"/>
  <c r="Z108" i="6"/>
  <c r="Y108" i="6"/>
  <c r="S108" i="6"/>
  <c r="R108" i="6"/>
  <c r="R106" i="6" s="1"/>
  <c r="Q108" i="6"/>
  <c r="P108" i="6"/>
  <c r="N108" i="6"/>
  <c r="J108" i="6"/>
  <c r="I108" i="6"/>
  <c r="I106" i="6" s="1"/>
  <c r="H108" i="6"/>
  <c r="F108" i="6"/>
  <c r="E108" i="6"/>
  <c r="AM107" i="6"/>
  <c r="AM106" i="6" s="1"/>
  <c r="AL107" i="6"/>
  <c r="AI107" i="6"/>
  <c r="AI106" i="6" s="1"/>
  <c r="AF107" i="6"/>
  <c r="AD107" i="6"/>
  <c r="AD106" i="6" s="1"/>
  <c r="AB107" i="6"/>
  <c r="AB106" i="6" s="1"/>
  <c r="Z107" i="6"/>
  <c r="Z106" i="6" s="1"/>
  <c r="W107" i="6"/>
  <c r="T107" i="6"/>
  <c r="S107" i="6"/>
  <c r="S106" i="6" s="1"/>
  <c r="R107" i="6"/>
  <c r="Q107" i="6"/>
  <c r="Q106" i="6" s="1"/>
  <c r="N107" i="6"/>
  <c r="L107" i="6"/>
  <c r="K107" i="6"/>
  <c r="J107" i="6"/>
  <c r="J106" i="6" s="1"/>
  <c r="I107" i="6"/>
  <c r="E107" i="6"/>
  <c r="AF106" i="6"/>
  <c r="W106" i="6"/>
  <c r="N106" i="6"/>
  <c r="E106" i="6"/>
  <c r="AP105" i="6"/>
  <c r="AN105" i="6"/>
  <c r="AI105" i="6"/>
  <c r="AH105" i="6"/>
  <c r="AF105" i="6"/>
  <c r="AD105" i="6"/>
  <c r="Z105" i="6"/>
  <c r="X105" i="6"/>
  <c r="W105" i="6"/>
  <c r="T105" i="6"/>
  <c r="R105" i="6"/>
  <c r="Q105" i="6"/>
  <c r="P105" i="6"/>
  <c r="O105" i="6"/>
  <c r="N105" i="6"/>
  <c r="G105" i="6"/>
  <c r="F105" i="6"/>
  <c r="E105" i="6"/>
  <c r="AL104" i="6"/>
  <c r="AJ104" i="6"/>
  <c r="AI104" i="6"/>
  <c r="AI103" i="6" s="1"/>
  <c r="AF104" i="6"/>
  <c r="AF103" i="6" s="1"/>
  <c r="AD104" i="6"/>
  <c r="AD103" i="6" s="1"/>
  <c r="AC104" i="6"/>
  <c r="AA104" i="6"/>
  <c r="Z104" i="6"/>
  <c r="Z103" i="6" s="1"/>
  <c r="U104" i="6"/>
  <c r="T104" i="6"/>
  <c r="T103" i="6" s="1"/>
  <c r="R104" i="6"/>
  <c r="Q104" i="6"/>
  <c r="Q103" i="6" s="1"/>
  <c r="N104" i="6"/>
  <c r="N103" i="6" s="1"/>
  <c r="L104" i="6"/>
  <c r="K104" i="6"/>
  <c r="K103" i="6" s="1"/>
  <c r="I104" i="6"/>
  <c r="H104" i="6"/>
  <c r="H103" i="6" s="1"/>
  <c r="E104" i="6"/>
  <c r="R103" i="6"/>
  <c r="I103" i="6"/>
  <c r="AP102" i="6"/>
  <c r="AO102" i="6"/>
  <c r="AO105" i="6" s="1"/>
  <c r="AN102" i="6"/>
  <c r="AM102" i="6"/>
  <c r="AM108" i="6" s="1"/>
  <c r="AL102" i="6"/>
  <c r="AL105" i="6" s="1"/>
  <c r="AL103" i="6" s="1"/>
  <c r="AK102" i="6"/>
  <c r="AK105" i="6" s="1"/>
  <c r="AJ102" i="6"/>
  <c r="AJ105" i="6" s="1"/>
  <c r="AJ103" i="6" s="1"/>
  <c r="AI102" i="6"/>
  <c r="AH102" i="6"/>
  <c r="AG102" i="6"/>
  <c r="AG105" i="6" s="1"/>
  <c r="AF102" i="6"/>
  <c r="AE102" i="6"/>
  <c r="AE108" i="6" s="1"/>
  <c r="AC102" i="6"/>
  <c r="AC105" i="6" s="1"/>
  <c r="AB102" i="6"/>
  <c r="AB105" i="6" s="1"/>
  <c r="AA102" i="6"/>
  <c r="AA105" i="6" s="1"/>
  <c r="AA103" i="6" s="1"/>
  <c r="Z102" i="6"/>
  <c r="Y102" i="6"/>
  <c r="Y105" i="6" s="1"/>
  <c r="X102" i="6"/>
  <c r="X108" i="6" s="1"/>
  <c r="W102" i="6"/>
  <c r="W108" i="6" s="1"/>
  <c r="V102" i="6"/>
  <c r="V100" i="6" s="1"/>
  <c r="V72" i="6" s="1"/>
  <c r="U102" i="6"/>
  <c r="U105" i="6" s="1"/>
  <c r="T102" i="6"/>
  <c r="T100" i="6" s="1"/>
  <c r="T72" i="6" s="1"/>
  <c r="S102" i="6"/>
  <c r="S105" i="6" s="1"/>
  <c r="R102" i="6"/>
  <c r="P102" i="6"/>
  <c r="O102" i="6"/>
  <c r="O108" i="6" s="1"/>
  <c r="N102" i="6"/>
  <c r="M102" i="6"/>
  <c r="M105" i="6" s="1"/>
  <c r="L102" i="6"/>
  <c r="L100" i="6" s="1"/>
  <c r="L72" i="6" s="1"/>
  <c r="K102" i="6"/>
  <c r="K105" i="6" s="1"/>
  <c r="J102" i="6"/>
  <c r="J105" i="6" s="1"/>
  <c r="I102" i="6"/>
  <c r="I105" i="6" s="1"/>
  <c r="H102" i="6"/>
  <c r="H105" i="6" s="1"/>
  <c r="G102" i="6"/>
  <c r="G108" i="6" s="1"/>
  <c r="F102" i="6"/>
  <c r="AP101" i="6"/>
  <c r="AO101" i="6"/>
  <c r="AN101" i="6"/>
  <c r="AM101" i="6"/>
  <c r="AM100" i="6" s="1"/>
  <c r="AM72" i="6" s="1"/>
  <c r="AL101" i="6"/>
  <c r="AK101" i="6"/>
  <c r="AK104" i="6" s="1"/>
  <c r="AJ101" i="6"/>
  <c r="AJ107" i="6" s="1"/>
  <c r="AJ106" i="6" s="1"/>
  <c r="AI101" i="6"/>
  <c r="AH101" i="6"/>
  <c r="AH104" i="6" s="1"/>
  <c r="AG101" i="6"/>
  <c r="AF101" i="6"/>
  <c r="AE101" i="6"/>
  <c r="AE100" i="6" s="1"/>
  <c r="AE72" i="6" s="1"/>
  <c r="AC101" i="6"/>
  <c r="AB101" i="6"/>
  <c r="AB104" i="6" s="1"/>
  <c r="AA101" i="6"/>
  <c r="AA100" i="6" s="1"/>
  <c r="AA72" i="6" s="1"/>
  <c r="Z101" i="6"/>
  <c r="Y101" i="6"/>
  <c r="Y104" i="6" s="1"/>
  <c r="X101" i="6"/>
  <c r="X107" i="6" s="1"/>
  <c r="X106" i="6" s="1"/>
  <c r="W101" i="6"/>
  <c r="V101" i="6"/>
  <c r="V104" i="6" s="1"/>
  <c r="U101" i="6"/>
  <c r="T101" i="6"/>
  <c r="S101" i="6"/>
  <c r="S104" i="6" s="1"/>
  <c r="R101" i="6"/>
  <c r="P101" i="6"/>
  <c r="P104" i="6" s="1"/>
  <c r="O101" i="6"/>
  <c r="O107" i="6" s="1"/>
  <c r="O106" i="6" s="1"/>
  <c r="N101" i="6"/>
  <c r="M101" i="6"/>
  <c r="M104" i="6" s="1"/>
  <c r="L101" i="6"/>
  <c r="K101" i="6"/>
  <c r="J101" i="6"/>
  <c r="J104" i="6" s="1"/>
  <c r="I101" i="6"/>
  <c r="H101" i="6"/>
  <c r="G101" i="6"/>
  <c r="F101" i="6"/>
  <c r="E10" i="15" s="1"/>
  <c r="AN100" i="6"/>
  <c r="AN72" i="6" s="1"/>
  <c r="AJ100" i="6"/>
  <c r="AJ72" i="6" s="1"/>
  <c r="AI100" i="6"/>
  <c r="AI72" i="6" s="1"/>
  <c r="AF100" i="6"/>
  <c r="AF72" i="6" s="1"/>
  <c r="AB100" i="6"/>
  <c r="AB72" i="6" s="1"/>
  <c r="Z100" i="6"/>
  <c r="Z72" i="6" s="1"/>
  <c r="Y100" i="6"/>
  <c r="Y72" i="6" s="1"/>
  <c r="W100" i="6"/>
  <c r="W72" i="6" s="1"/>
  <c r="S100" i="6"/>
  <c r="S72" i="6" s="1"/>
  <c r="R100" i="6"/>
  <c r="P100" i="6"/>
  <c r="P72" i="6" s="1"/>
  <c r="N100" i="6"/>
  <c r="N72" i="6" s="1"/>
  <c r="K100" i="6"/>
  <c r="K72" i="6" s="1"/>
  <c r="I100" i="6"/>
  <c r="I72" i="6" s="1"/>
  <c r="F100" i="6"/>
  <c r="F72" i="6" s="1"/>
  <c r="AP99" i="6"/>
  <c r="AO99" i="6"/>
  <c r="AN99" i="6"/>
  <c r="AM99" i="6"/>
  <c r="AL99" i="6"/>
  <c r="AK99" i="6"/>
  <c r="AJ99" i="6"/>
  <c r="AI99" i="6"/>
  <c r="AH99" i="6"/>
  <c r="AG99" i="6"/>
  <c r="AF99" i="6"/>
  <c r="AE99" i="6"/>
  <c r="AC99" i="6"/>
  <c r="AB99" i="6"/>
  <c r="AA99" i="6"/>
  <c r="Z99" i="6"/>
  <c r="Y99" i="6"/>
  <c r="X99" i="6"/>
  <c r="W99" i="6"/>
  <c r="V99" i="6"/>
  <c r="U99" i="6"/>
  <c r="T99" i="6"/>
  <c r="S99" i="6"/>
  <c r="R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R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AO97" i="6"/>
  <c r="AL97" i="6"/>
  <c r="AK97" i="6"/>
  <c r="AH97" i="6"/>
  <c r="AE97" i="6"/>
  <c r="AB97" i="6"/>
  <c r="AA97" i="6"/>
  <c r="Y97" i="6"/>
  <c r="M97" i="6"/>
  <c r="K97" i="6"/>
  <c r="H97" i="6"/>
  <c r="E97" i="6"/>
  <c r="D97" i="6"/>
  <c r="C97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C96" i="6"/>
  <c r="AB96" i="6"/>
  <c r="AA96" i="6"/>
  <c r="Z96" i="6"/>
  <c r="Y96" i="6"/>
  <c r="X96" i="6"/>
  <c r="W96" i="6"/>
  <c r="V96" i="6"/>
  <c r="U96" i="6"/>
  <c r="T96" i="6"/>
  <c r="S96" i="6"/>
  <c r="R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C95" i="6"/>
  <c r="AB95" i="6"/>
  <c r="AA95" i="6"/>
  <c r="Z95" i="6"/>
  <c r="Y95" i="6"/>
  <c r="X95" i="6"/>
  <c r="W95" i="6"/>
  <c r="V95" i="6"/>
  <c r="U95" i="6"/>
  <c r="T95" i="6"/>
  <c r="S95" i="6"/>
  <c r="R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AO94" i="6"/>
  <c r="AK94" i="6"/>
  <c r="AI94" i="6"/>
  <c r="AG94" i="6"/>
  <c r="AC94" i="6"/>
  <c r="AA94" i="6"/>
  <c r="X94" i="6"/>
  <c r="W94" i="6"/>
  <c r="U94" i="6"/>
  <c r="R94" i="6"/>
  <c r="G94" i="6"/>
  <c r="D94" i="6"/>
  <c r="C94" i="6"/>
  <c r="C91" i="6"/>
  <c r="F90" i="6"/>
  <c r="G90" i="6" s="1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AG90" i="6" s="1"/>
  <c r="AH90" i="6" s="1"/>
  <c r="AI90" i="6" s="1"/>
  <c r="AJ90" i="6" s="1"/>
  <c r="AK90" i="6" s="1"/>
  <c r="AL90" i="6" s="1"/>
  <c r="AM90" i="6" s="1"/>
  <c r="AN90" i="6" s="1"/>
  <c r="AO90" i="6" s="1"/>
  <c r="AP90" i="6" s="1"/>
  <c r="E90" i="6"/>
  <c r="E89" i="6"/>
  <c r="F89" i="6" s="1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AK89" i="6" s="1"/>
  <c r="AL89" i="6" s="1"/>
  <c r="AM89" i="6" s="1"/>
  <c r="AN89" i="6" s="1"/>
  <c r="AO89" i="6" s="1"/>
  <c r="AP89" i="6" s="1"/>
  <c r="AP85" i="6"/>
  <c r="AO85" i="6"/>
  <c r="AN85" i="6"/>
  <c r="AM85" i="6"/>
  <c r="AL85" i="6"/>
  <c r="AK85" i="6"/>
  <c r="AJ85" i="6"/>
  <c r="AI85" i="6"/>
  <c r="AH85" i="6"/>
  <c r="AG85" i="6"/>
  <c r="AF85" i="6"/>
  <c r="AE85" i="6"/>
  <c r="AC85" i="6"/>
  <c r="AB85" i="6"/>
  <c r="AA85" i="6"/>
  <c r="Z85" i="6"/>
  <c r="Y85" i="6"/>
  <c r="X85" i="6"/>
  <c r="W85" i="6"/>
  <c r="V85" i="6"/>
  <c r="U85" i="6"/>
  <c r="T85" i="6"/>
  <c r="S85" i="6"/>
  <c r="R85" i="6"/>
  <c r="P85" i="6"/>
  <c r="O85" i="6"/>
  <c r="N85" i="6"/>
  <c r="M85" i="6"/>
  <c r="L85" i="6"/>
  <c r="K85" i="6"/>
  <c r="J85" i="6"/>
  <c r="I85" i="6"/>
  <c r="H85" i="6"/>
  <c r="G85" i="6"/>
  <c r="F85" i="6"/>
  <c r="E85" i="6"/>
  <c r="AF79" i="6"/>
  <c r="AH35" i="4" s="1"/>
  <c r="W79" i="6"/>
  <c r="Y35" i="4" s="1"/>
  <c r="N79" i="6"/>
  <c r="P35" i="4" s="1"/>
  <c r="F79" i="6"/>
  <c r="H35" i="4" s="1"/>
  <c r="AK78" i="6"/>
  <c r="AK77" i="6" s="1"/>
  <c r="AJ78" i="6"/>
  <c r="AB78" i="6"/>
  <c r="AA78" i="6"/>
  <c r="T78" i="6"/>
  <c r="S78" i="6"/>
  <c r="S77" i="6" s="1"/>
  <c r="K78" i="6"/>
  <c r="K77" i="6" s="1"/>
  <c r="J78" i="6"/>
  <c r="AP74" i="6"/>
  <c r="AN74" i="6"/>
  <c r="AK74" i="6"/>
  <c r="AJ74" i="6"/>
  <c r="AI74" i="6"/>
  <c r="AH74" i="6"/>
  <c r="AF74" i="6"/>
  <c r="AB74" i="6"/>
  <c r="AA74" i="6"/>
  <c r="Z74" i="6"/>
  <c r="Y74" i="6"/>
  <c r="W74" i="6"/>
  <c r="T74" i="6"/>
  <c r="S74" i="6"/>
  <c r="R74" i="6"/>
  <c r="P74" i="6"/>
  <c r="N74" i="6"/>
  <c r="K74" i="6"/>
  <c r="J74" i="6"/>
  <c r="I74" i="6"/>
  <c r="H74" i="6"/>
  <c r="F74" i="6"/>
  <c r="E74" i="6"/>
  <c r="C74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C73" i="6"/>
  <c r="AB73" i="6"/>
  <c r="AA73" i="6"/>
  <c r="Z73" i="6"/>
  <c r="Y73" i="6"/>
  <c r="X73" i="6"/>
  <c r="W73" i="6"/>
  <c r="V73" i="6"/>
  <c r="U73" i="6"/>
  <c r="T73" i="6"/>
  <c r="S73" i="6"/>
  <c r="R73" i="6"/>
  <c r="P73" i="6"/>
  <c r="O73" i="6"/>
  <c r="N73" i="6"/>
  <c r="M73" i="6"/>
  <c r="L73" i="6"/>
  <c r="K73" i="6"/>
  <c r="J73" i="6"/>
  <c r="I73" i="6"/>
  <c r="H73" i="6"/>
  <c r="G73" i="6"/>
  <c r="F73" i="6"/>
  <c r="E73" i="6"/>
  <c r="C73" i="6"/>
  <c r="R72" i="6"/>
  <c r="E72" i="6"/>
  <c r="C72" i="6"/>
  <c r="AP69" i="6"/>
  <c r="AP97" i="6" s="1"/>
  <c r="AO69" i="6"/>
  <c r="AN69" i="6"/>
  <c r="AN97" i="6" s="1"/>
  <c r="AM69" i="6"/>
  <c r="AM97" i="6" s="1"/>
  <c r="AL69" i="6"/>
  <c r="AK69" i="6"/>
  <c r="AJ69" i="6"/>
  <c r="AJ97" i="6" s="1"/>
  <c r="AI69" i="6"/>
  <c r="AI97" i="6" s="1"/>
  <c r="AH69" i="6"/>
  <c r="AG69" i="6"/>
  <c r="AG97" i="6" s="1"/>
  <c r="AF69" i="6"/>
  <c r="AF97" i="6" s="1"/>
  <c r="AE69" i="6"/>
  <c r="AC69" i="6"/>
  <c r="AC97" i="6" s="1"/>
  <c r="AB69" i="6"/>
  <c r="AA69" i="6"/>
  <c r="Z69" i="6"/>
  <c r="Z97" i="6" s="1"/>
  <c r="Y69" i="6"/>
  <c r="X69" i="6"/>
  <c r="X97" i="6" s="1"/>
  <c r="W69" i="6"/>
  <c r="W97" i="6" s="1"/>
  <c r="V69" i="6"/>
  <c r="V97" i="6" s="1"/>
  <c r="U69" i="6"/>
  <c r="U97" i="6" s="1"/>
  <c r="T69" i="6"/>
  <c r="T97" i="6" s="1"/>
  <c r="S69" i="6"/>
  <c r="S97" i="6" s="1"/>
  <c r="R69" i="6"/>
  <c r="R97" i="6" s="1"/>
  <c r="P69" i="6"/>
  <c r="P97" i="6" s="1"/>
  <c r="O69" i="6"/>
  <c r="O97" i="6" s="1"/>
  <c r="N69" i="6"/>
  <c r="N97" i="6" s="1"/>
  <c r="M69" i="6"/>
  <c r="L69" i="6"/>
  <c r="L97" i="6" s="1"/>
  <c r="K69" i="6"/>
  <c r="J69" i="6"/>
  <c r="J97" i="6" s="1"/>
  <c r="I69" i="6"/>
  <c r="I97" i="6" s="1"/>
  <c r="H69" i="6"/>
  <c r="G69" i="6"/>
  <c r="G97" i="6" s="1"/>
  <c r="F69" i="6"/>
  <c r="F97" i="6" s="1"/>
  <c r="E69" i="6"/>
  <c r="AP66" i="6"/>
  <c r="AP94" i="6" s="1"/>
  <c r="AO66" i="6"/>
  <c r="AN66" i="6"/>
  <c r="AN94" i="6" s="1"/>
  <c r="AM66" i="6"/>
  <c r="AM94" i="6" s="1"/>
  <c r="AL66" i="6"/>
  <c r="AL94" i="6" s="1"/>
  <c r="AK66" i="6"/>
  <c r="AJ66" i="6"/>
  <c r="AJ94" i="6" s="1"/>
  <c r="AI66" i="6"/>
  <c r="AH66" i="6"/>
  <c r="AH94" i="6" s="1"/>
  <c r="AG66" i="6"/>
  <c r="AF66" i="6"/>
  <c r="AF94" i="6" s="1"/>
  <c r="AE66" i="6"/>
  <c r="AE94" i="6" s="1"/>
  <c r="AC66" i="6"/>
  <c r="AB66" i="6"/>
  <c r="AB94" i="6" s="1"/>
  <c r="AA66" i="6"/>
  <c r="Z66" i="6"/>
  <c r="Z94" i="6" s="1"/>
  <c r="Y66" i="6"/>
  <c r="Y94" i="6" s="1"/>
  <c r="X66" i="6"/>
  <c r="W66" i="6"/>
  <c r="V66" i="6"/>
  <c r="V94" i="6" s="1"/>
  <c r="U66" i="6"/>
  <c r="T66" i="6"/>
  <c r="T94" i="6" s="1"/>
  <c r="S66" i="6"/>
  <c r="S94" i="6" s="1"/>
  <c r="R66" i="6"/>
  <c r="P66" i="6"/>
  <c r="P94" i="6" s="1"/>
  <c r="O66" i="6"/>
  <c r="O94" i="6" s="1"/>
  <c r="N66" i="6"/>
  <c r="N94" i="6" s="1"/>
  <c r="M66" i="6"/>
  <c r="M94" i="6" s="1"/>
  <c r="L66" i="6"/>
  <c r="L94" i="6" s="1"/>
  <c r="K66" i="6"/>
  <c r="K94" i="6" s="1"/>
  <c r="J66" i="6"/>
  <c r="J94" i="6" s="1"/>
  <c r="I66" i="6"/>
  <c r="I94" i="6" s="1"/>
  <c r="H66" i="6"/>
  <c r="H94" i="6" s="1"/>
  <c r="G66" i="6"/>
  <c r="F66" i="6"/>
  <c r="F94" i="6" s="1"/>
  <c r="E66" i="6"/>
  <c r="E94" i="6" s="1"/>
  <c r="AP63" i="6"/>
  <c r="AO63" i="6"/>
  <c r="AN63" i="6"/>
  <c r="AM63" i="6"/>
  <c r="AL63" i="6"/>
  <c r="AK63" i="6"/>
  <c r="AJ63" i="6"/>
  <c r="AI63" i="6"/>
  <c r="AH63" i="6"/>
  <c r="AG63" i="6"/>
  <c r="AF63" i="6"/>
  <c r="AE63" i="6"/>
  <c r="AC63" i="6"/>
  <c r="AB63" i="6"/>
  <c r="AA63" i="6"/>
  <c r="Z63" i="6"/>
  <c r="Y63" i="6"/>
  <c r="X63" i="6"/>
  <c r="W63" i="6"/>
  <c r="V63" i="6"/>
  <c r="U63" i="6"/>
  <c r="T63" i="6"/>
  <c r="S63" i="6"/>
  <c r="S7" i="7" s="1"/>
  <c r="S15" i="14" s="1"/>
  <c r="R63" i="6"/>
  <c r="R7" i="7" s="1"/>
  <c r="R15" i="14" s="1"/>
  <c r="P63" i="6"/>
  <c r="O63" i="6"/>
  <c r="N63" i="6"/>
  <c r="M63" i="6"/>
  <c r="L63" i="6"/>
  <c r="K63" i="6"/>
  <c r="J63" i="6"/>
  <c r="I63" i="6"/>
  <c r="H63" i="6"/>
  <c r="G63" i="6"/>
  <c r="F63" i="6"/>
  <c r="E63" i="6"/>
  <c r="C63" i="6"/>
  <c r="AP62" i="6"/>
  <c r="AO62" i="6"/>
  <c r="AO78" i="6" s="1"/>
  <c r="AN62" i="6"/>
  <c r="AM62" i="6"/>
  <c r="AL62" i="6"/>
  <c r="AK62" i="6"/>
  <c r="AJ62" i="6"/>
  <c r="AI62" i="6"/>
  <c r="AI78" i="6" s="1"/>
  <c r="AH62" i="6"/>
  <c r="AG62" i="6"/>
  <c r="AG6" i="7" s="1"/>
  <c r="AF62" i="6"/>
  <c r="AE62" i="6"/>
  <c r="AC62" i="6"/>
  <c r="AB62" i="6"/>
  <c r="AA62" i="6"/>
  <c r="Z62" i="6"/>
  <c r="Z78" i="6" s="1"/>
  <c r="Y62" i="6"/>
  <c r="X62" i="6"/>
  <c r="X6" i="7" s="1"/>
  <c r="W62" i="6"/>
  <c r="V62" i="6"/>
  <c r="U62" i="6"/>
  <c r="T62" i="6"/>
  <c r="S62" i="6"/>
  <c r="R62" i="6"/>
  <c r="P62" i="6"/>
  <c r="O62" i="6"/>
  <c r="O78" i="6" s="1"/>
  <c r="N62" i="6"/>
  <c r="M62" i="6"/>
  <c r="L62" i="6"/>
  <c r="K62" i="6"/>
  <c r="J62" i="6"/>
  <c r="I62" i="6"/>
  <c r="H62" i="6"/>
  <c r="G62" i="6"/>
  <c r="G78" i="6" s="1"/>
  <c r="F62" i="6"/>
  <c r="E62" i="6"/>
  <c r="C62" i="6"/>
  <c r="AP61" i="6"/>
  <c r="AN61" i="6"/>
  <c r="AL61" i="6"/>
  <c r="AK61" i="6"/>
  <c r="AH61" i="6"/>
  <c r="AF61" i="6"/>
  <c r="AC61" i="6"/>
  <c r="AB61" i="6"/>
  <c r="Y61" i="6"/>
  <c r="W61" i="6"/>
  <c r="U61" i="6"/>
  <c r="T61" i="6"/>
  <c r="P61" i="6"/>
  <c r="N61" i="6"/>
  <c r="L61" i="6"/>
  <c r="K61" i="6"/>
  <c r="H61" i="6"/>
  <c r="F61" i="6"/>
  <c r="C61" i="6"/>
  <c r="AP60" i="6"/>
  <c r="AP7" i="7" s="1"/>
  <c r="AP15" i="14" s="1"/>
  <c r="AO60" i="6"/>
  <c r="AO7" i="7" s="1"/>
  <c r="AO15" i="14" s="1"/>
  <c r="AN60" i="6"/>
  <c r="AN7" i="7" s="1"/>
  <c r="AN15" i="14" s="1"/>
  <c r="AM60" i="6"/>
  <c r="AL60" i="6"/>
  <c r="AK60" i="6"/>
  <c r="AK79" i="6" s="1"/>
  <c r="AM35" i="4" s="1"/>
  <c r="AJ60" i="6"/>
  <c r="AJ79" i="6" s="1"/>
  <c r="AL35" i="4" s="1"/>
  <c r="AI60" i="6"/>
  <c r="AI7" i="7" s="1"/>
  <c r="AI15" i="14" s="1"/>
  <c r="AH60" i="6"/>
  <c r="AH7" i="7" s="1"/>
  <c r="AH15" i="14" s="1"/>
  <c r="AG60" i="6"/>
  <c r="AG7" i="7" s="1"/>
  <c r="AG15" i="14" s="1"/>
  <c r="AF60" i="6"/>
  <c r="AF7" i="7" s="1"/>
  <c r="AF15" i="14" s="1"/>
  <c r="AE60" i="6"/>
  <c r="AE7" i="7" s="1"/>
  <c r="AE15" i="14" s="1"/>
  <c r="AC60" i="6"/>
  <c r="AC7" i="7" s="1"/>
  <c r="AC15" i="14" s="1"/>
  <c r="AB60" i="6"/>
  <c r="AB79" i="6" s="1"/>
  <c r="AD35" i="4" s="1"/>
  <c r="AA60" i="6"/>
  <c r="AA79" i="6" s="1"/>
  <c r="AC35" i="4" s="1"/>
  <c r="Z60" i="6"/>
  <c r="Z79" i="6" s="1"/>
  <c r="AB35" i="4" s="1"/>
  <c r="Y60" i="6"/>
  <c r="Y7" i="7" s="1"/>
  <c r="Y15" i="14" s="1"/>
  <c r="X60" i="6"/>
  <c r="X7" i="7" s="1"/>
  <c r="X15" i="14" s="1"/>
  <c r="W60" i="6"/>
  <c r="W7" i="7" s="1"/>
  <c r="W15" i="14" s="1"/>
  <c r="V60" i="6"/>
  <c r="V7" i="7" s="1"/>
  <c r="V15" i="14" s="1"/>
  <c r="U60" i="6"/>
  <c r="T60" i="6"/>
  <c r="T79" i="6" s="1"/>
  <c r="V35" i="4" s="1"/>
  <c r="S60" i="6"/>
  <c r="S79" i="6" s="1"/>
  <c r="U35" i="4" s="1"/>
  <c r="R60" i="6"/>
  <c r="R79" i="6" s="1"/>
  <c r="T35" i="4" s="1"/>
  <c r="P60" i="6"/>
  <c r="P79" i="6" s="1"/>
  <c r="R35" i="4" s="1"/>
  <c r="O60" i="6"/>
  <c r="O7" i="7" s="1"/>
  <c r="O15" i="14" s="1"/>
  <c r="N60" i="6"/>
  <c r="N7" i="7" s="1"/>
  <c r="N15" i="14" s="1"/>
  <c r="M60" i="6"/>
  <c r="M7" i="7" s="1"/>
  <c r="M15" i="14" s="1"/>
  <c r="L60" i="6"/>
  <c r="L7" i="7" s="1"/>
  <c r="L15" i="14" s="1"/>
  <c r="K60" i="6"/>
  <c r="K79" i="6" s="1"/>
  <c r="M35" i="4" s="1"/>
  <c r="J60" i="6"/>
  <c r="J79" i="6" s="1"/>
  <c r="L35" i="4" s="1"/>
  <c r="I60" i="6"/>
  <c r="I79" i="6" s="1"/>
  <c r="K35" i="4" s="1"/>
  <c r="H60" i="6"/>
  <c r="H7" i="7" s="1"/>
  <c r="H15" i="14" s="1"/>
  <c r="G60" i="6"/>
  <c r="G7" i="7" s="1"/>
  <c r="G15" i="14" s="1"/>
  <c r="F60" i="6"/>
  <c r="F7" i="7" s="1"/>
  <c r="F15" i="14" s="1"/>
  <c r="E60" i="6"/>
  <c r="E7" i="7" s="1"/>
  <c r="E15" i="14" s="1"/>
  <c r="C60" i="6"/>
  <c r="AP59" i="6"/>
  <c r="AP78" i="6" s="1"/>
  <c r="AO59" i="6"/>
  <c r="AO6" i="7" s="1"/>
  <c r="AN59" i="6"/>
  <c r="AN78" i="6" s="1"/>
  <c r="AM59" i="6"/>
  <c r="AM78" i="6" s="1"/>
  <c r="AL59" i="6"/>
  <c r="AL78" i="6" s="1"/>
  <c r="AK59" i="6"/>
  <c r="AJ59" i="6"/>
  <c r="AJ6" i="7" s="1"/>
  <c r="AI59" i="6"/>
  <c r="AH59" i="6"/>
  <c r="AH6" i="7" s="1"/>
  <c r="AG59" i="6"/>
  <c r="AF59" i="6"/>
  <c r="AF6" i="7" s="1"/>
  <c r="AE59" i="6"/>
  <c r="AE6" i="7" s="1"/>
  <c r="AC59" i="6"/>
  <c r="AC6" i="7" s="1"/>
  <c r="AB59" i="6"/>
  <c r="AA59" i="6"/>
  <c r="Z59" i="6"/>
  <c r="Y59" i="6"/>
  <c r="Y78" i="6" s="1"/>
  <c r="X59" i="6"/>
  <c r="W59" i="6"/>
  <c r="W6" i="7" s="1"/>
  <c r="V59" i="6"/>
  <c r="V6" i="7" s="1"/>
  <c r="U59" i="6"/>
  <c r="U6" i="7" s="1"/>
  <c r="T59" i="6"/>
  <c r="T6" i="7" s="1"/>
  <c r="S59" i="6"/>
  <c r="R59" i="6"/>
  <c r="R78" i="6" s="1"/>
  <c r="P59" i="6"/>
  <c r="P78" i="6" s="1"/>
  <c r="O59" i="6"/>
  <c r="O6" i="7" s="1"/>
  <c r="N59" i="6"/>
  <c r="N6" i="7" s="1"/>
  <c r="M59" i="6"/>
  <c r="M6" i="7" s="1"/>
  <c r="L59" i="6"/>
  <c r="L6" i="7" s="1"/>
  <c r="K59" i="6"/>
  <c r="K6" i="7" s="1"/>
  <c r="J59" i="6"/>
  <c r="J6" i="7" s="1"/>
  <c r="I59" i="6"/>
  <c r="I78" i="6" s="1"/>
  <c r="H59" i="6"/>
  <c r="H78" i="6" s="1"/>
  <c r="G59" i="6"/>
  <c r="F59" i="6"/>
  <c r="F78" i="6" s="1"/>
  <c r="E59" i="6"/>
  <c r="E6" i="7" s="1"/>
  <c r="C59" i="6"/>
  <c r="AP58" i="6"/>
  <c r="AK58" i="6"/>
  <c r="AJ58" i="6"/>
  <c r="AH58" i="6"/>
  <c r="AB58" i="6"/>
  <c r="AA58" i="6"/>
  <c r="Y58" i="6"/>
  <c r="T58" i="6"/>
  <c r="S58" i="6"/>
  <c r="P58" i="6"/>
  <c r="K58" i="6"/>
  <c r="J58" i="6"/>
  <c r="H58" i="6"/>
  <c r="E42" i="6"/>
  <c r="F42" i="6" s="1"/>
  <c r="G42" i="6" s="1"/>
  <c r="H42" i="6" s="1"/>
  <c r="I42" i="6" s="1"/>
  <c r="J42" i="6" s="1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F41" i="6"/>
  <c r="G41" i="6" s="1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AJ41" i="6" s="1"/>
  <c r="AK41" i="6" s="1"/>
  <c r="AL41" i="6" s="1"/>
  <c r="AM41" i="6" s="1"/>
  <c r="AN41" i="6" s="1"/>
  <c r="AO41" i="6" s="1"/>
  <c r="AP41" i="6" s="1"/>
  <c r="E41" i="6"/>
  <c r="E39" i="6"/>
  <c r="F39" i="6" s="1"/>
  <c r="D39" i="6"/>
  <c r="C39" i="6"/>
  <c r="C38" i="6"/>
  <c r="E32" i="6"/>
  <c r="F32" i="6" s="1"/>
  <c r="G32" i="6" s="1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AK32" i="6" s="1"/>
  <c r="AL32" i="6" s="1"/>
  <c r="AM32" i="6" s="1"/>
  <c r="AN32" i="6" s="1"/>
  <c r="AO32" i="6" s="1"/>
  <c r="AP32" i="6" s="1"/>
  <c r="F31" i="6"/>
  <c r="G31" i="6" s="1"/>
  <c r="H31" i="6" s="1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AK31" i="6" s="1"/>
  <c r="AL31" i="6" s="1"/>
  <c r="AM31" i="6" s="1"/>
  <c r="AN31" i="6" s="1"/>
  <c r="AO31" i="6" s="1"/>
  <c r="AP31" i="6" s="1"/>
  <c r="E31" i="6"/>
  <c r="D29" i="6"/>
  <c r="E29" i="6" s="1"/>
  <c r="D28" i="6"/>
  <c r="D27" i="6" s="1"/>
  <c r="E21" i="6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F20" i="6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E20" i="6"/>
  <c r="D18" i="6"/>
  <c r="D17" i="6"/>
  <c r="D5" i="4" s="1"/>
  <c r="AP16" i="6"/>
  <c r="AO16" i="6"/>
  <c r="AO61" i="6" s="1"/>
  <c r="AN16" i="6"/>
  <c r="AM16" i="6"/>
  <c r="AM61" i="6" s="1"/>
  <c r="AL16" i="6"/>
  <c r="AK16" i="6"/>
  <c r="AJ16" i="6"/>
  <c r="AL4" i="4" s="1"/>
  <c r="AI16" i="6"/>
  <c r="AI61" i="6" s="1"/>
  <c r="AH16" i="6"/>
  <c r="AG16" i="6"/>
  <c r="AG61" i="6" s="1"/>
  <c r="AF16" i="6"/>
  <c r="AE16" i="6"/>
  <c r="AE61" i="6" s="1"/>
  <c r="AC16" i="6"/>
  <c r="AB16" i="6"/>
  <c r="AA16" i="6"/>
  <c r="AA61" i="6" s="1"/>
  <c r="Z16" i="6"/>
  <c r="Z61" i="6" s="1"/>
  <c r="Y16" i="6"/>
  <c r="X16" i="6"/>
  <c r="X61" i="6" s="1"/>
  <c r="W16" i="6"/>
  <c r="V16" i="6"/>
  <c r="V61" i="6" s="1"/>
  <c r="U16" i="6"/>
  <c r="T16" i="6"/>
  <c r="S16" i="6"/>
  <c r="U4" i="4" s="1"/>
  <c r="R16" i="6"/>
  <c r="R61" i="6" s="1"/>
  <c r="P16" i="6"/>
  <c r="O16" i="6"/>
  <c r="O61" i="6" s="1"/>
  <c r="N16" i="6"/>
  <c r="M16" i="6"/>
  <c r="M61" i="6" s="1"/>
  <c r="L16" i="6"/>
  <c r="K16" i="6"/>
  <c r="J16" i="6"/>
  <c r="L4" i="4" s="1"/>
  <c r="I16" i="6"/>
  <c r="I61" i="6" s="1"/>
  <c r="H16" i="6"/>
  <c r="G16" i="6"/>
  <c r="G61" i="6" s="1"/>
  <c r="F16" i="6"/>
  <c r="E16" i="6"/>
  <c r="E61" i="6" s="1"/>
  <c r="C16" i="6"/>
  <c r="F11" i="6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E11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E10" i="6"/>
  <c r="D8" i="6"/>
  <c r="D7" i="6"/>
  <c r="AP6" i="6"/>
  <c r="AO6" i="6"/>
  <c r="AO58" i="6" s="1"/>
  <c r="AN6" i="6"/>
  <c r="AN58" i="6" s="1"/>
  <c r="AM6" i="6"/>
  <c r="AM58" i="6" s="1"/>
  <c r="AL6" i="6"/>
  <c r="AL58" i="6" s="1"/>
  <c r="AK6" i="6"/>
  <c r="AJ6" i="6"/>
  <c r="AI6" i="6"/>
  <c r="AI58" i="6" s="1"/>
  <c r="AH6" i="6"/>
  <c r="AG6" i="6"/>
  <c r="AG58" i="6" s="1"/>
  <c r="AF6" i="6"/>
  <c r="AF58" i="6" s="1"/>
  <c r="AE6" i="6"/>
  <c r="AE58" i="6" s="1"/>
  <c r="AC6" i="6"/>
  <c r="AC58" i="6" s="1"/>
  <c r="AB6" i="6"/>
  <c r="AA6" i="6"/>
  <c r="Z6" i="6"/>
  <c r="Z58" i="6" s="1"/>
  <c r="Y6" i="6"/>
  <c r="X6" i="6"/>
  <c r="X58" i="6" s="1"/>
  <c r="W6" i="6"/>
  <c r="W58" i="6" s="1"/>
  <c r="V6" i="6"/>
  <c r="V58" i="6" s="1"/>
  <c r="U6" i="6"/>
  <c r="U58" i="6" s="1"/>
  <c r="T6" i="6"/>
  <c r="S6" i="6"/>
  <c r="R6" i="6"/>
  <c r="R58" i="6" s="1"/>
  <c r="P6" i="6"/>
  <c r="O6" i="6"/>
  <c r="O58" i="6" s="1"/>
  <c r="N6" i="6"/>
  <c r="N58" i="6" s="1"/>
  <c r="M6" i="6"/>
  <c r="M58" i="6" s="1"/>
  <c r="L6" i="6"/>
  <c r="L58" i="6" s="1"/>
  <c r="K6" i="6"/>
  <c r="J6" i="6"/>
  <c r="I6" i="6"/>
  <c r="I58" i="6" s="1"/>
  <c r="H6" i="6"/>
  <c r="G6" i="6"/>
  <c r="G58" i="6" s="1"/>
  <c r="F6" i="6"/>
  <c r="F58" i="6" s="1"/>
  <c r="E6" i="6"/>
  <c r="E58" i="6" s="1"/>
  <c r="C6" i="6"/>
  <c r="C58" i="6" s="1"/>
  <c r="Q40" i="5"/>
  <c r="Q39" i="5"/>
  <c r="I39" i="5"/>
  <c r="H39" i="5"/>
  <c r="G39" i="5"/>
  <c r="F39" i="5"/>
  <c r="E39" i="5"/>
  <c r="AL38" i="5"/>
  <c r="AK38" i="5"/>
  <c r="Y38" i="5"/>
  <c r="Q38" i="5"/>
  <c r="E38" i="5"/>
  <c r="BA30" i="5"/>
  <c r="AY30" i="5"/>
  <c r="AX30" i="5"/>
  <c r="AV30" i="5"/>
  <c r="AV32" i="5" s="1"/>
  <c r="AT30" i="5"/>
  <c r="AT32" i="5" s="1"/>
  <c r="AL40" i="5" s="1"/>
  <c r="AS30" i="5"/>
  <c r="AQ30" i="5"/>
  <c r="AP30" i="5"/>
  <c r="AN30" i="5"/>
  <c r="AL30" i="5"/>
  <c r="AL32" i="5" s="1"/>
  <c r="AG40" i="5" s="1"/>
  <c r="AK30" i="5"/>
  <c r="AI30" i="5"/>
  <c r="AH30" i="5"/>
  <c r="AH32" i="5" s="1"/>
  <c r="AF30" i="5"/>
  <c r="AG30" i="5" s="1"/>
  <c r="AD30" i="5"/>
  <c r="AC30" i="5"/>
  <c r="AA30" i="5"/>
  <c r="Z30" i="5"/>
  <c r="X30" i="5"/>
  <c r="V30" i="5"/>
  <c r="U30" i="5"/>
  <c r="S30" i="5"/>
  <c r="R30" i="5"/>
  <c r="O30" i="5"/>
  <c r="M30" i="5"/>
  <c r="L30" i="5"/>
  <c r="J30" i="5"/>
  <c r="BA28" i="5"/>
  <c r="AZ28" i="5"/>
  <c r="AY28" i="5"/>
  <c r="AY23" i="5" s="1"/>
  <c r="AX28" i="5"/>
  <c r="AW28" i="5"/>
  <c r="AV28" i="5"/>
  <c r="AR28" i="5"/>
  <c r="AQ28" i="5"/>
  <c r="AP28" i="5"/>
  <c r="AO28" i="5"/>
  <c r="AN28" i="5"/>
  <c r="AM28" i="5"/>
  <c r="AI28" i="5"/>
  <c r="AI23" i="5" s="1"/>
  <c r="AH28" i="5"/>
  <c r="AG28" i="5"/>
  <c r="AF28" i="5"/>
  <c r="AE28" i="5"/>
  <c r="AD28" i="5"/>
  <c r="W28" i="5"/>
  <c r="X28" i="5" s="1"/>
  <c r="G28" i="5"/>
  <c r="G23" i="5" s="1"/>
  <c r="G32" i="5" s="1"/>
  <c r="G40" i="5" s="1"/>
  <c r="G21" i="7" s="1"/>
  <c r="F28" i="5"/>
  <c r="F23" i="5" s="1"/>
  <c r="F32" i="5" s="1"/>
  <c r="F40" i="5" s="1"/>
  <c r="F21" i="7" s="1"/>
  <c r="E28" i="5"/>
  <c r="BA27" i="5"/>
  <c r="AZ27" i="5"/>
  <c r="AY27" i="5"/>
  <c r="AX27" i="5"/>
  <c r="AW27" i="5"/>
  <c r="AV27" i="5"/>
  <c r="AV23" i="5" s="1"/>
  <c r="AR27" i="5"/>
  <c r="AQ27" i="5"/>
  <c r="AP27" i="5"/>
  <c r="AO27" i="5"/>
  <c r="AN27" i="5"/>
  <c r="AM27" i="5"/>
  <c r="AH38" i="5" s="1"/>
  <c r="AI27" i="5"/>
  <c r="AH27" i="5"/>
  <c r="AH23" i="5" s="1"/>
  <c r="AG27" i="5"/>
  <c r="AF27" i="5"/>
  <c r="AE27" i="5"/>
  <c r="AD27" i="5"/>
  <c r="Z27" i="5"/>
  <c r="Y27" i="5"/>
  <c r="X27" i="5"/>
  <c r="W27" i="5"/>
  <c r="W23" i="5" s="1"/>
  <c r="V27" i="5"/>
  <c r="U27" i="5"/>
  <c r="K26" i="5"/>
  <c r="AV25" i="5"/>
  <c r="AM25" i="5"/>
  <c r="AD25" i="5"/>
  <c r="U25" i="5"/>
  <c r="BA24" i="5"/>
  <c r="AZ24" i="5"/>
  <c r="AZ23" i="5" s="1"/>
  <c r="AY24" i="5"/>
  <c r="AX24" i="5"/>
  <c r="AX23" i="5" s="1"/>
  <c r="AW24" i="5"/>
  <c r="AW23" i="5" s="1"/>
  <c r="AV24" i="5"/>
  <c r="AR24" i="5"/>
  <c r="AR23" i="5" s="1"/>
  <c r="AQ24" i="5"/>
  <c r="AP24" i="5"/>
  <c r="AP23" i="5" s="1"/>
  <c r="AO24" i="5"/>
  <c r="AO23" i="5" s="1"/>
  <c r="AN24" i="5"/>
  <c r="AM24" i="5"/>
  <c r="AM23" i="5" s="1"/>
  <c r="AI24" i="5"/>
  <c r="AH24" i="5"/>
  <c r="AG24" i="5"/>
  <c r="AG23" i="5" s="1"/>
  <c r="AF24" i="5"/>
  <c r="AE24" i="5"/>
  <c r="AE23" i="5" s="1"/>
  <c r="BA23" i="5"/>
  <c r="AU23" i="5"/>
  <c r="AT23" i="5"/>
  <c r="AS23" i="5"/>
  <c r="AQ23" i="5"/>
  <c r="AN23" i="5"/>
  <c r="AL23" i="5"/>
  <c r="AK23" i="5"/>
  <c r="AJ23" i="5"/>
  <c r="AF23" i="5"/>
  <c r="AD23" i="5"/>
  <c r="AC23" i="5"/>
  <c r="AB23" i="5"/>
  <c r="AA23" i="5"/>
  <c r="E23" i="5"/>
  <c r="E32" i="5" s="1"/>
  <c r="E40" i="5" s="1"/>
  <c r="E21" i="7" s="1"/>
  <c r="BA22" i="5"/>
  <c r="AZ22" i="5"/>
  <c r="AY22" i="5"/>
  <c r="AX22" i="5"/>
  <c r="AW22" i="5"/>
  <c r="AV22" i="5"/>
  <c r="AR22" i="5"/>
  <c r="AQ22" i="5"/>
  <c r="AP22" i="5"/>
  <c r="AO22" i="5"/>
  <c r="AN22" i="5"/>
  <c r="AM22" i="5"/>
  <c r="AI22" i="5"/>
  <c r="AH22" i="5"/>
  <c r="AG22" i="5"/>
  <c r="AF22" i="5"/>
  <c r="AE22" i="5"/>
  <c r="AD22" i="5"/>
  <c r="Z22" i="5"/>
  <c r="Y22" i="5"/>
  <c r="X22" i="5"/>
  <c r="W22" i="5"/>
  <c r="V22" i="5"/>
  <c r="U22" i="5"/>
  <c r="X21" i="5"/>
  <c r="W21" i="5"/>
  <c r="V21" i="5"/>
  <c r="U21" i="5"/>
  <c r="AZ20" i="5"/>
  <c r="BA20" i="5" s="1"/>
  <c r="AX20" i="5"/>
  <c r="AY20" i="5" s="1"/>
  <c r="AW20" i="5"/>
  <c r="AW11" i="5" s="1"/>
  <c r="AV20" i="5"/>
  <c r="AU20" i="5"/>
  <c r="AT20" i="5"/>
  <c r="AS20" i="5"/>
  <c r="AR20" i="5"/>
  <c r="AQ20" i="5"/>
  <c r="AO20" i="5"/>
  <c r="AO11" i="5" s="1"/>
  <c r="AM20" i="5"/>
  <c r="AN20" i="5" s="1"/>
  <c r="AL20" i="5"/>
  <c r="AK20" i="5"/>
  <c r="AJ20" i="5"/>
  <c r="AI20" i="5"/>
  <c r="AH20" i="5"/>
  <c r="AG20" i="5"/>
  <c r="AG11" i="5" s="1"/>
  <c r="AF20" i="5"/>
  <c r="AE20" i="5"/>
  <c r="AD20" i="5"/>
  <c r="AC20" i="5"/>
  <c r="AB20" i="5"/>
  <c r="AA20" i="5"/>
  <c r="Z20" i="5"/>
  <c r="Y20" i="5"/>
  <c r="Y11" i="5" s="1"/>
  <c r="X20" i="5"/>
  <c r="W20" i="5"/>
  <c r="V20" i="5"/>
  <c r="U20" i="5"/>
  <c r="T20" i="5"/>
  <c r="S20" i="5"/>
  <c r="R20" i="5"/>
  <c r="P20" i="5"/>
  <c r="P11" i="5" s="1"/>
  <c r="O20" i="5"/>
  <c r="N20" i="5"/>
  <c r="M20" i="5"/>
  <c r="L20" i="5"/>
  <c r="K20" i="5"/>
  <c r="J20" i="5"/>
  <c r="AZ19" i="5"/>
  <c r="BA19" i="5" s="1"/>
  <c r="AX19" i="5"/>
  <c r="AY19" i="5" s="1"/>
  <c r="AW19" i="5"/>
  <c r="AV19" i="5"/>
  <c r="AU19" i="5"/>
  <c r="AT19" i="5"/>
  <c r="AS19" i="5"/>
  <c r="AR19" i="5"/>
  <c r="AQ19" i="5"/>
  <c r="AP19" i="5"/>
  <c r="AO19" i="5"/>
  <c r="AM19" i="5"/>
  <c r="AN19" i="5" s="1"/>
  <c r="AN11" i="5" s="1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P19" i="5"/>
  <c r="O19" i="5"/>
  <c r="N19" i="5"/>
  <c r="M19" i="5"/>
  <c r="L19" i="5"/>
  <c r="K19" i="5"/>
  <c r="J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P18" i="5"/>
  <c r="O18" i="5"/>
  <c r="N18" i="5"/>
  <c r="M18" i="5"/>
  <c r="L18" i="5"/>
  <c r="K18" i="5"/>
  <c r="J18" i="5"/>
  <c r="BA17" i="5"/>
  <c r="AZ17" i="5"/>
  <c r="AY17" i="5"/>
  <c r="AX17" i="5"/>
  <c r="AW17" i="5"/>
  <c r="AV17" i="5"/>
  <c r="AU17" i="5"/>
  <c r="AU11" i="5" s="1"/>
  <c r="AT17" i="5"/>
  <c r="AS17" i="5"/>
  <c r="AR17" i="5"/>
  <c r="AQ17" i="5"/>
  <c r="AQ11" i="5" s="1"/>
  <c r="AP17" i="5"/>
  <c r="AO17" i="5"/>
  <c r="AN17" i="5"/>
  <c r="AM17" i="5"/>
  <c r="AM11" i="5" s="1"/>
  <c r="AL17" i="5"/>
  <c r="AK17" i="5"/>
  <c r="AJ17" i="5"/>
  <c r="AI17" i="5"/>
  <c r="AI11" i="5" s="1"/>
  <c r="AH17" i="5"/>
  <c r="AG17" i="5"/>
  <c r="AF17" i="5"/>
  <c r="AE17" i="5"/>
  <c r="AE11" i="5" s="1"/>
  <c r="AD17" i="5"/>
  <c r="AC17" i="5"/>
  <c r="AB17" i="5"/>
  <c r="AA17" i="5"/>
  <c r="AA11" i="5" s="1"/>
  <c r="Z17" i="5"/>
  <c r="Y17" i="5"/>
  <c r="X17" i="5"/>
  <c r="W17" i="5"/>
  <c r="W11" i="5" s="1"/>
  <c r="V17" i="5"/>
  <c r="U17" i="5"/>
  <c r="T17" i="5"/>
  <c r="S17" i="5"/>
  <c r="S11" i="5" s="1"/>
  <c r="S39" i="5" s="1"/>
  <c r="R17" i="5"/>
  <c r="P17" i="5"/>
  <c r="O17" i="5"/>
  <c r="N17" i="5"/>
  <c r="N11" i="5" s="1"/>
  <c r="M17" i="5"/>
  <c r="L17" i="5"/>
  <c r="K17" i="5"/>
  <c r="J17" i="5"/>
  <c r="J11" i="5" s="1"/>
  <c r="J39" i="5" s="1"/>
  <c r="BA16" i="5"/>
  <c r="BA11" i="5" s="1"/>
  <c r="AZ16" i="5"/>
  <c r="AZ11" i="5" s="1"/>
  <c r="AY16" i="5"/>
  <c r="AX16" i="5"/>
  <c r="AX11" i="5" s="1"/>
  <c r="AW16" i="5"/>
  <c r="AV16" i="5"/>
  <c r="AU16" i="5"/>
  <c r="AT16" i="5"/>
  <c r="AT11" i="5" s="1"/>
  <c r="AS16" i="5"/>
  <c r="AS11" i="5" s="1"/>
  <c r="AR16" i="5"/>
  <c r="AR11" i="5" s="1"/>
  <c r="AQ16" i="5"/>
  <c r="AP16" i="5"/>
  <c r="AO16" i="5"/>
  <c r="AN16" i="5"/>
  <c r="AM16" i="5"/>
  <c r="AL16" i="5"/>
  <c r="AL11" i="5" s="1"/>
  <c r="AK16" i="5"/>
  <c r="AK11" i="5" s="1"/>
  <c r="AJ16" i="5"/>
  <c r="AJ11" i="5" s="1"/>
  <c r="AI16" i="5"/>
  <c r="AH16" i="5"/>
  <c r="AH11" i="5" s="1"/>
  <c r="AG16" i="5"/>
  <c r="AF16" i="5"/>
  <c r="AE16" i="5"/>
  <c r="AD16" i="5"/>
  <c r="AD11" i="5" s="1"/>
  <c r="AC16" i="5"/>
  <c r="AC11" i="5" s="1"/>
  <c r="AB16" i="5"/>
  <c r="AB11" i="5" s="1"/>
  <c r="AA16" i="5"/>
  <c r="Z16" i="5"/>
  <c r="Z11" i="5" s="1"/>
  <c r="Y16" i="5"/>
  <c r="X16" i="5"/>
  <c r="W16" i="5"/>
  <c r="V16" i="5"/>
  <c r="V11" i="5" s="1"/>
  <c r="U16" i="5"/>
  <c r="U11" i="5" s="1"/>
  <c r="T16" i="5"/>
  <c r="T11" i="5" s="1"/>
  <c r="S16" i="5"/>
  <c r="R16" i="5"/>
  <c r="R11" i="5" s="1"/>
  <c r="R39" i="5" s="1"/>
  <c r="P16" i="5"/>
  <c r="O16" i="5"/>
  <c r="N16" i="5"/>
  <c r="M16" i="5"/>
  <c r="M11" i="5" s="1"/>
  <c r="M39" i="5" s="1"/>
  <c r="L16" i="5"/>
  <c r="L11" i="5" s="1"/>
  <c r="L39" i="5" s="1"/>
  <c r="K16" i="5"/>
  <c r="K11" i="5" s="1"/>
  <c r="J16" i="5"/>
  <c r="AV11" i="5"/>
  <c r="AF11" i="5"/>
  <c r="X11" i="5"/>
  <c r="O11" i="5"/>
  <c r="O39" i="5" s="1"/>
  <c r="BA10" i="5"/>
  <c r="AZ10" i="5"/>
  <c r="AY10" i="5"/>
  <c r="AY4" i="5" s="1"/>
  <c r="AX10" i="5"/>
  <c r="AX4" i="5" s="1"/>
  <c r="AO38" i="5" s="1"/>
  <c r="AW10" i="5"/>
  <c r="AV10" i="5"/>
  <c r="AP10" i="5"/>
  <c r="AO10" i="5"/>
  <c r="AI10" i="5"/>
  <c r="AH10" i="5"/>
  <c r="AG10" i="5"/>
  <c r="AG4" i="5" s="1"/>
  <c r="AF10" i="5"/>
  <c r="Y10" i="5"/>
  <c r="X10" i="5"/>
  <c r="W10" i="5"/>
  <c r="V10" i="5"/>
  <c r="U10" i="5"/>
  <c r="AG9" i="5"/>
  <c r="AF9" i="5"/>
  <c r="AI8" i="5"/>
  <c r="AH8" i="5"/>
  <c r="AH4" i="5" s="1"/>
  <c r="AC38" i="5" s="1"/>
  <c r="AG8" i="5"/>
  <c r="AF8" i="5"/>
  <c r="X8" i="5"/>
  <c r="W8" i="5"/>
  <c r="AG7" i="5"/>
  <c r="AF7" i="5"/>
  <c r="BA6" i="5"/>
  <c r="AZ6" i="5"/>
  <c r="AZ4" i="5" s="1"/>
  <c r="AP38" i="5" s="1"/>
  <c r="AY6" i="5"/>
  <c r="AX6" i="5"/>
  <c r="AW6" i="5"/>
  <c r="AV6" i="5"/>
  <c r="AR6" i="5"/>
  <c r="AR4" i="5" s="1"/>
  <c r="AQ6" i="5"/>
  <c r="AQ4" i="5" s="1"/>
  <c r="AP6" i="5"/>
  <c r="AP4" i="5" s="1"/>
  <c r="AO6" i="5"/>
  <c r="AN6" i="5"/>
  <c r="AM6" i="5"/>
  <c r="AI6" i="5"/>
  <c r="AH6" i="5"/>
  <c r="AG6" i="5"/>
  <c r="AF6" i="5"/>
  <c r="AE6" i="5"/>
  <c r="AD6" i="5"/>
  <c r="Z6" i="5"/>
  <c r="Z4" i="5" s="1"/>
  <c r="Y6" i="5"/>
  <c r="X6" i="5"/>
  <c r="W6" i="5"/>
  <c r="V6" i="5"/>
  <c r="U6" i="5"/>
  <c r="U4" i="5" s="1"/>
  <c r="AL5" i="5"/>
  <c r="AG5" i="5"/>
  <c r="AF5" i="5"/>
  <c r="Z5" i="5"/>
  <c r="Y5" i="5"/>
  <c r="X5" i="5"/>
  <c r="W5" i="5"/>
  <c r="W4" i="5" s="1"/>
  <c r="V38" i="5" s="1"/>
  <c r="V5" i="5"/>
  <c r="V4" i="5" s="1"/>
  <c r="U5" i="5"/>
  <c r="K5" i="5"/>
  <c r="K4" i="5" s="1"/>
  <c r="BA4" i="5"/>
  <c r="AW4" i="5"/>
  <c r="AV4" i="5"/>
  <c r="AN38" i="5" s="1"/>
  <c r="AU4" i="5"/>
  <c r="AM38" i="5" s="1"/>
  <c r="AT4" i="5"/>
  <c r="AS4" i="5"/>
  <c r="AO4" i="5"/>
  <c r="AI38" i="5" s="1"/>
  <c r="AN4" i="5"/>
  <c r="AM4" i="5"/>
  <c r="AL4" i="5"/>
  <c r="AG38" i="5" s="1"/>
  <c r="AK4" i="5"/>
  <c r="AF38" i="5" s="1"/>
  <c r="AJ4" i="5"/>
  <c r="AE38" i="5" s="1"/>
  <c r="AI4" i="5"/>
  <c r="AF4" i="5"/>
  <c r="AB38" i="5" s="1"/>
  <c r="AE4" i="5"/>
  <c r="AD4" i="5"/>
  <c r="AA38" i="5" s="1"/>
  <c r="AC4" i="5"/>
  <c r="Z38" i="5" s="1"/>
  <c r="AB4" i="5"/>
  <c r="AA4" i="5"/>
  <c r="X38" i="5" s="1"/>
  <c r="Y4" i="5"/>
  <c r="X4" i="5"/>
  <c r="T4" i="5"/>
  <c r="S4" i="5"/>
  <c r="R4" i="5"/>
  <c r="P4" i="5"/>
  <c r="O4" i="5"/>
  <c r="N4" i="5"/>
  <c r="M4" i="5"/>
  <c r="L4" i="5"/>
  <c r="J4" i="5"/>
  <c r="I4" i="5"/>
  <c r="H4" i="5"/>
  <c r="G4" i="5"/>
  <c r="G38" i="5" s="1"/>
  <c r="F4" i="5"/>
  <c r="F38" i="5" s="1"/>
  <c r="E4" i="5"/>
  <c r="AT42" i="4"/>
  <c r="S40" i="4"/>
  <c r="C39" i="4"/>
  <c r="B39" i="4"/>
  <c r="C38" i="4"/>
  <c r="B38" i="4"/>
  <c r="E35" i="4"/>
  <c r="C35" i="4"/>
  <c r="F34" i="4"/>
  <c r="E34" i="4"/>
  <c r="C34" i="4"/>
  <c r="E33" i="4"/>
  <c r="AT26" i="4"/>
  <c r="AS26" i="4"/>
  <c r="AT25" i="4"/>
  <c r="B22" i="4"/>
  <c r="H22" i="4" s="1"/>
  <c r="F26" i="4" s="1"/>
  <c r="AT21" i="4"/>
  <c r="AS25" i="4" s="1"/>
  <c r="G21" i="4"/>
  <c r="B21" i="4"/>
  <c r="AT20" i="4"/>
  <c r="AS20" i="4"/>
  <c r="B20" i="4"/>
  <c r="AG18" i="4"/>
  <c r="T18" i="4"/>
  <c r="G18" i="4"/>
  <c r="AG17" i="4"/>
  <c r="T17" i="4"/>
  <c r="G17" i="4"/>
  <c r="C17" i="4"/>
  <c r="C13" i="4"/>
  <c r="C11" i="4"/>
  <c r="G9" i="4"/>
  <c r="D9" i="4"/>
  <c r="C9" i="4"/>
  <c r="C8" i="4"/>
  <c r="C7" i="4"/>
  <c r="AR6" i="4"/>
  <c r="AQ6" i="4"/>
  <c r="AP6" i="4"/>
  <c r="AO6" i="4"/>
  <c r="AN6" i="4"/>
  <c r="AM6" i="4"/>
  <c r="AL6" i="4"/>
  <c r="AK6" i="4"/>
  <c r="AJ6" i="4"/>
  <c r="AI6" i="4"/>
  <c r="AH6" i="4"/>
  <c r="AG6" i="4"/>
  <c r="AE6" i="4"/>
  <c r="AD6" i="4"/>
  <c r="AC6" i="4"/>
  <c r="AB6" i="4"/>
  <c r="AA6" i="4"/>
  <c r="Z6" i="4"/>
  <c r="Y6" i="4"/>
  <c r="X6" i="4"/>
  <c r="W6" i="4"/>
  <c r="V6" i="4"/>
  <c r="U6" i="4"/>
  <c r="T6" i="4"/>
  <c r="R6" i="4"/>
  <c r="Q6" i="4"/>
  <c r="P6" i="4"/>
  <c r="O6" i="4"/>
  <c r="N6" i="4"/>
  <c r="M6" i="4"/>
  <c r="L6" i="4"/>
  <c r="K6" i="4"/>
  <c r="J6" i="4"/>
  <c r="I6" i="4"/>
  <c r="H6" i="4"/>
  <c r="G6" i="4"/>
  <c r="D6" i="4"/>
  <c r="C6" i="4"/>
  <c r="AR5" i="4"/>
  <c r="AQ5" i="4"/>
  <c r="AP5" i="4"/>
  <c r="AO5" i="4"/>
  <c r="AN5" i="4"/>
  <c r="AM5" i="4"/>
  <c r="AL5" i="4"/>
  <c r="AK5" i="4"/>
  <c r="AJ5" i="4"/>
  <c r="AI5" i="4"/>
  <c r="AH5" i="4"/>
  <c r="AG5" i="4"/>
  <c r="AE5" i="4"/>
  <c r="AD5" i="4"/>
  <c r="AC5" i="4"/>
  <c r="AB5" i="4"/>
  <c r="AA5" i="4"/>
  <c r="Z5" i="4"/>
  <c r="Y5" i="4"/>
  <c r="X5" i="4"/>
  <c r="W5" i="4"/>
  <c r="V5" i="4"/>
  <c r="U5" i="4"/>
  <c r="T5" i="4"/>
  <c r="R5" i="4"/>
  <c r="Q5" i="4"/>
  <c r="P5" i="4"/>
  <c r="O5" i="4"/>
  <c r="N5" i="4"/>
  <c r="M5" i="4"/>
  <c r="L5" i="4"/>
  <c r="K5" i="4"/>
  <c r="J5" i="4"/>
  <c r="I5" i="4"/>
  <c r="H5" i="4"/>
  <c r="G5" i="4"/>
  <c r="C5" i="4"/>
  <c r="AR4" i="4"/>
  <c r="AQ4" i="4"/>
  <c r="AP4" i="4"/>
  <c r="AO4" i="4"/>
  <c r="AN4" i="4"/>
  <c r="AM4" i="4"/>
  <c r="AJ4" i="4"/>
  <c r="AI4" i="4"/>
  <c r="AH4" i="4"/>
  <c r="AG4" i="4"/>
  <c r="AE4" i="4"/>
  <c r="AD4" i="4"/>
  <c r="AA4" i="4"/>
  <c r="Z4" i="4"/>
  <c r="Y4" i="4"/>
  <c r="X4" i="4"/>
  <c r="W4" i="4"/>
  <c r="V4" i="4"/>
  <c r="R4" i="4"/>
  <c r="Q4" i="4"/>
  <c r="P4" i="4"/>
  <c r="O4" i="4"/>
  <c r="N4" i="4"/>
  <c r="M4" i="4"/>
  <c r="J4" i="4"/>
  <c r="I4" i="4"/>
  <c r="H4" i="4"/>
  <c r="G4" i="4"/>
  <c r="D4" i="4"/>
  <c r="C4" i="4"/>
  <c r="C110" i="3"/>
  <c r="B71" i="3"/>
  <c r="B63" i="3"/>
  <c r="B62" i="3"/>
  <c r="B60" i="3"/>
  <c r="B59" i="3"/>
  <c r="C87" i="6" s="1"/>
  <c r="B58" i="3"/>
  <c r="B57" i="3"/>
  <c r="C86" i="6" s="1"/>
  <c r="D86" i="6" s="1"/>
  <c r="C25" i="3"/>
  <c r="B20" i="3"/>
  <c r="C23" i="3" s="1"/>
  <c r="B15" i="3"/>
  <c r="B14" i="3"/>
  <c r="B12" i="3"/>
  <c r="B10" i="3"/>
  <c r="E3" i="2"/>
  <c r="C3" i="2"/>
  <c r="AE11" i="18"/>
  <c r="R11" i="18"/>
  <c r="R33" i="10" l="1"/>
  <c r="R42" i="10"/>
  <c r="R37" i="10"/>
  <c r="V37" i="10" s="1"/>
  <c r="AE49" i="7"/>
  <c r="AL9" i="19"/>
  <c r="O61" i="19"/>
  <c r="N61" i="19" s="1"/>
  <c r="N90" i="19"/>
  <c r="O90" i="19"/>
  <c r="Q24" i="10"/>
  <c r="O24" i="10" s="1"/>
  <c r="R28" i="10"/>
  <c r="V28" i="10" s="1"/>
  <c r="O61" i="10"/>
  <c r="N61" i="10" s="1"/>
  <c r="M67" i="10"/>
  <c r="Q67" i="10" s="1"/>
  <c r="T67" i="10" s="1"/>
  <c r="O67" i="10"/>
  <c r="N67" i="10" s="1"/>
  <c r="M78" i="10"/>
  <c r="I30" i="7"/>
  <c r="R30" i="7"/>
  <c r="Z30" i="7"/>
  <c r="AI30" i="7"/>
  <c r="O19" i="10"/>
  <c r="O39" i="10"/>
  <c r="N39" i="10" s="1"/>
  <c r="Q45" i="10"/>
  <c r="T45" i="10" s="1"/>
  <c r="O45" i="10"/>
  <c r="N45" i="10" s="1"/>
  <c r="Q53" i="10"/>
  <c r="T53" i="10" s="1"/>
  <c r="O53" i="10"/>
  <c r="N53" i="10" s="1"/>
  <c r="M61" i="10"/>
  <c r="Q61" i="10" s="1"/>
  <c r="T61" i="10" s="1"/>
  <c r="Q70" i="10"/>
  <c r="T70" i="10" s="1"/>
  <c r="O70" i="10"/>
  <c r="M76" i="10"/>
  <c r="M82" i="10"/>
  <c r="Q93" i="10"/>
  <c r="T93" i="10" s="1"/>
  <c r="O93" i="10"/>
  <c r="N93" i="10" s="1"/>
  <c r="AV9" i="19"/>
  <c r="ED9" i="19"/>
  <c r="AB21" i="19"/>
  <c r="W21" i="19"/>
  <c r="AL21" i="19"/>
  <c r="AG21" i="19"/>
  <c r="R21" i="19"/>
  <c r="AG22" i="19"/>
  <c r="AL22" i="19"/>
  <c r="R22" i="19"/>
  <c r="W22" i="19"/>
  <c r="AB22" i="19"/>
  <c r="M51" i="10"/>
  <c r="Q51" i="10" s="1"/>
  <c r="O51" i="10"/>
  <c r="N51" i="10" s="1"/>
  <c r="N3" i="19"/>
  <c r="BH9" i="19"/>
  <c r="FD9" i="19"/>
  <c r="FC9" i="19"/>
  <c r="DA9" i="19"/>
  <c r="FB9" i="19"/>
  <c r="CZ9" i="19"/>
  <c r="BM9" i="19"/>
  <c r="AH9" i="19"/>
  <c r="N5" i="19"/>
  <c r="EN9" i="19"/>
  <c r="CP9" i="19"/>
  <c r="BL9" i="19"/>
  <c r="X9" i="19"/>
  <c r="N4" i="19"/>
  <c r="FR9" i="19"/>
  <c r="EC9" i="19"/>
  <c r="CL9" i="19"/>
  <c r="AX9" i="19"/>
  <c r="N9" i="19"/>
  <c r="N2" i="19"/>
  <c r="FN9" i="19"/>
  <c r="DP9" i="19"/>
  <c r="BZ9" i="19"/>
  <c r="AN9" i="19"/>
  <c r="N8" i="19"/>
  <c r="N11" i="10"/>
  <c r="O30" i="10"/>
  <c r="Y30" i="7"/>
  <c r="Y40" i="14" s="1"/>
  <c r="S30" i="7"/>
  <c r="AA30" i="7"/>
  <c r="AJ30" i="7"/>
  <c r="M59" i="10"/>
  <c r="Q59" i="10" s="1"/>
  <c r="T59" i="10" s="1"/>
  <c r="O59" i="10"/>
  <c r="N59" i="10" s="1"/>
  <c r="Q76" i="10"/>
  <c r="T76" i="10" s="1"/>
  <c r="K30" i="7"/>
  <c r="T30" i="7"/>
  <c r="AB30" i="7"/>
  <c r="AK30" i="7"/>
  <c r="O23" i="10"/>
  <c r="N23" i="10" s="1"/>
  <c r="Q25" i="10"/>
  <c r="O25" i="10"/>
  <c r="M43" i="10"/>
  <c r="Q43" i="10" s="1"/>
  <c r="T43" i="10" s="1"/>
  <c r="O43" i="10"/>
  <c r="N43" i="10" s="1"/>
  <c r="M68" i="10"/>
  <c r="M74" i="10"/>
  <c r="M91" i="10"/>
  <c r="Q91" i="10" s="1"/>
  <c r="T91" i="10" s="1"/>
  <c r="O91" i="10"/>
  <c r="N91" i="10" s="1"/>
  <c r="N6" i="19"/>
  <c r="BP9" i="19"/>
  <c r="FQ9" i="19"/>
  <c r="W36" i="19"/>
  <c r="R37" i="19"/>
  <c r="AH30" i="7"/>
  <c r="AH40" i="14" s="1"/>
  <c r="P49" i="7"/>
  <c r="Q82" i="10"/>
  <c r="T82" i="10" s="1"/>
  <c r="Q85" i="10"/>
  <c r="T85" i="10" s="1"/>
  <c r="O85" i="10"/>
  <c r="N85" i="10" s="1"/>
  <c r="L30" i="7"/>
  <c r="U30" i="7"/>
  <c r="AC30" i="7"/>
  <c r="AL30" i="7"/>
  <c r="AL40" i="14" s="1"/>
  <c r="Q29" i="10"/>
  <c r="O29" i="10" s="1"/>
  <c r="O33" i="10"/>
  <c r="Q34" i="10"/>
  <c r="Q54" i="10"/>
  <c r="O54" i="10"/>
  <c r="M62" i="10"/>
  <c r="Q68" i="10"/>
  <c r="T68" i="10" s="1"/>
  <c r="Q74" i="10"/>
  <c r="T74" i="10" s="1"/>
  <c r="Q77" i="10"/>
  <c r="T77" i="10" s="1"/>
  <c r="O77" i="10"/>
  <c r="N77" i="10" s="1"/>
  <c r="M83" i="10"/>
  <c r="Q83" i="10" s="1"/>
  <c r="T83" i="10" s="1"/>
  <c r="O83" i="10"/>
  <c r="N83" i="10" s="1"/>
  <c r="Q94" i="10"/>
  <c r="T94" i="10" s="1"/>
  <c r="O94" i="10"/>
  <c r="N7" i="19"/>
  <c r="BV9" i="19"/>
  <c r="GF9" i="19"/>
  <c r="AL19" i="19"/>
  <c r="R19" i="19"/>
  <c r="AG19" i="19"/>
  <c r="AB19" i="19"/>
  <c r="W19" i="19"/>
  <c r="AA19" i="19" s="1"/>
  <c r="N43" i="19"/>
  <c r="W37" i="19"/>
  <c r="M9" i="19"/>
  <c r="AL29" i="19"/>
  <c r="AG29" i="19"/>
  <c r="R29" i="19"/>
  <c r="AB29" i="19"/>
  <c r="W29" i="19"/>
  <c r="W34" i="19"/>
  <c r="R34" i="19"/>
  <c r="H37" i="19"/>
  <c r="AL42" i="19"/>
  <c r="H42" i="19"/>
  <c r="R42" i="19"/>
  <c r="W42" i="19"/>
  <c r="N48" i="19"/>
  <c r="O48" i="19"/>
  <c r="N96" i="19"/>
  <c r="O96" i="19"/>
  <c r="R36" i="19"/>
  <c r="AB42" i="19"/>
  <c r="O22" i="10"/>
  <c r="O28" i="10"/>
  <c r="N28" i="10" s="1"/>
  <c r="O38" i="10"/>
  <c r="O86" i="10"/>
  <c r="F30" i="7"/>
  <c r="N30" i="7"/>
  <c r="W30" i="7"/>
  <c r="W40" i="14" s="1"/>
  <c r="AF30" i="7"/>
  <c r="AF40" i="14" s="1"/>
  <c r="AN30" i="7"/>
  <c r="Q20" i="10"/>
  <c r="O20" i="10"/>
  <c r="O37" i="10"/>
  <c r="O42" i="10"/>
  <c r="M44" i="10"/>
  <c r="Q44" i="10" s="1"/>
  <c r="T44" i="10" s="1"/>
  <c r="M50" i="10"/>
  <c r="Q50" i="10" s="1"/>
  <c r="M52" i="10"/>
  <c r="Q52" i="10" s="1"/>
  <c r="T52" i="10" s="1"/>
  <c r="Q69" i="10"/>
  <c r="T69" i="10" s="1"/>
  <c r="O69" i="10"/>
  <c r="N69" i="10" s="1"/>
  <c r="M75" i="10"/>
  <c r="Q75" i="10" s="1"/>
  <c r="T75" i="10" s="1"/>
  <c r="O75" i="10"/>
  <c r="N75" i="10" s="1"/>
  <c r="M86" i="10"/>
  <c r="Q86" i="10" s="1"/>
  <c r="T86" i="10" s="1"/>
  <c r="M92" i="10"/>
  <c r="Q92" i="10" s="1"/>
  <c r="T92" i="10" s="1"/>
  <c r="T9" i="19"/>
  <c r="CO9" i="19"/>
  <c r="W25" i="19"/>
  <c r="R25" i="19"/>
  <c r="R26" i="19"/>
  <c r="W26" i="19"/>
  <c r="R27" i="19"/>
  <c r="O94" i="19"/>
  <c r="N94" i="19" s="1"/>
  <c r="O95" i="19"/>
  <c r="N95" i="19" s="1"/>
  <c r="AL23" i="19"/>
  <c r="H24" i="19"/>
  <c r="H28" i="19"/>
  <c r="H38" i="19"/>
  <c r="H39" i="19"/>
  <c r="H62" i="19"/>
  <c r="H67" i="19"/>
  <c r="H75" i="19"/>
  <c r="R30" i="19"/>
  <c r="R41" i="19"/>
  <c r="W31" i="19"/>
  <c r="AG24" i="19"/>
  <c r="AG20" i="19"/>
  <c r="W23" i="19"/>
  <c r="W28" i="19"/>
  <c r="W32" i="19"/>
  <c r="W38" i="19"/>
  <c r="AB23" i="19"/>
  <c r="AB28" i="19"/>
  <c r="W39" i="19"/>
  <c r="AL31" i="19"/>
  <c r="M34" i="19"/>
  <c r="AL32" i="19"/>
  <c r="H33" i="19"/>
  <c r="N58" i="19"/>
  <c r="N72" i="19"/>
  <c r="N91" i="19"/>
  <c r="R33" i="19"/>
  <c r="W20" i="19"/>
  <c r="W24" i="19"/>
  <c r="AB39" i="19"/>
  <c r="AL39" i="19"/>
  <c r="AG31" i="19"/>
  <c r="AL40" i="19"/>
  <c r="N75" i="19"/>
  <c r="H87" i="19"/>
  <c r="O71" i="19"/>
  <c r="N71" i="19" s="1"/>
  <c r="R23" i="19"/>
  <c r="R28" i="19"/>
  <c r="AB20" i="19"/>
  <c r="W40" i="19"/>
  <c r="AG32" i="19"/>
  <c r="AG28" i="19"/>
  <c r="AG39" i="19"/>
  <c r="W30" i="19"/>
  <c r="AB40" i="19"/>
  <c r="AG23" i="19"/>
  <c r="AG40" i="19"/>
  <c r="N56" i="19"/>
  <c r="N64" i="19"/>
  <c r="N83" i="19"/>
  <c r="R24" i="19"/>
  <c r="AB30" i="19"/>
  <c r="W35" i="19"/>
  <c r="N65" i="10"/>
  <c r="S52" i="10"/>
  <c r="N57" i="10"/>
  <c r="N89" i="10"/>
  <c r="S76" i="10"/>
  <c r="S84" i="10"/>
  <c r="N49" i="10"/>
  <c r="N73" i="10"/>
  <c r="N81" i="10"/>
  <c r="N89" i="19"/>
  <c r="N76" i="19"/>
  <c r="Z46" i="7"/>
  <c r="N65" i="19"/>
  <c r="AF46" i="7"/>
  <c r="I46" i="7"/>
  <c r="AI46" i="7"/>
  <c r="L46" i="7"/>
  <c r="AN46" i="7"/>
  <c r="P46" i="7"/>
  <c r="AO34" i="4"/>
  <c r="AG21" i="7"/>
  <c r="AG39" i="5"/>
  <c r="C93" i="6"/>
  <c r="D87" i="6"/>
  <c r="AS39" i="4"/>
  <c r="AJ38" i="5"/>
  <c r="AA32" i="5"/>
  <c r="X40" i="5" s="1"/>
  <c r="AN32" i="5"/>
  <c r="BA32" i="5"/>
  <c r="K34" i="4"/>
  <c r="K38" i="4" s="1"/>
  <c r="I77" i="6"/>
  <c r="R77" i="6"/>
  <c r="T34" i="4"/>
  <c r="T38" i="4" s="1"/>
  <c r="AJ77" i="6"/>
  <c r="AL106" i="6"/>
  <c r="S43" i="10"/>
  <c r="R43" i="10"/>
  <c r="V43" i="10" s="1"/>
  <c r="Y43" i="10" s="1"/>
  <c r="J14" i="14"/>
  <c r="G34" i="9"/>
  <c r="F33" i="9"/>
  <c r="AY11" i="5"/>
  <c r="AY32" i="5" s="1"/>
  <c r="G31" i="14"/>
  <c r="G47" i="7"/>
  <c r="AD32" i="5"/>
  <c r="AA40" i="5" s="1"/>
  <c r="AQ32" i="5"/>
  <c r="H9" i="4"/>
  <c r="G39" i="6"/>
  <c r="K14" i="14"/>
  <c r="T14" i="14"/>
  <c r="J77" i="6"/>
  <c r="P103" i="6"/>
  <c r="Y103" i="6"/>
  <c r="AH103" i="6"/>
  <c r="F31" i="14"/>
  <c r="F47" i="7"/>
  <c r="E31" i="14"/>
  <c r="E47" i="7"/>
  <c r="X23" i="5"/>
  <c r="Y28" i="5"/>
  <c r="Z28" i="5" s="1"/>
  <c r="Z23" i="5" s="1"/>
  <c r="Z32" i="5" s="1"/>
  <c r="AG32" i="5"/>
  <c r="AS32" i="5"/>
  <c r="AK40" i="5" s="1"/>
  <c r="E50" i="6"/>
  <c r="E9" i="14" s="1"/>
  <c r="F29" i="6"/>
  <c r="L14" i="14"/>
  <c r="U14" i="14"/>
  <c r="AC14" i="14"/>
  <c r="AN34" i="4"/>
  <c r="I34" i="4"/>
  <c r="Q34" i="4"/>
  <c r="X14" i="14"/>
  <c r="AG14" i="14"/>
  <c r="AQ34" i="4"/>
  <c r="K11" i="7"/>
  <c r="M33" i="4"/>
  <c r="AC32" i="5"/>
  <c r="Z40" i="5" s="1"/>
  <c r="M14" i="14"/>
  <c r="U33" i="4"/>
  <c r="S11" i="7"/>
  <c r="J103" i="6"/>
  <c r="S103" i="6"/>
  <c r="AG66" i="9"/>
  <c r="AK11" i="7"/>
  <c r="AM33" i="4"/>
  <c r="AL39" i="5"/>
  <c r="AL21" i="7"/>
  <c r="AE14" i="14"/>
  <c r="AI32" i="5"/>
  <c r="AC40" i="5" s="1"/>
  <c r="F77" i="6"/>
  <c r="H34" i="4"/>
  <c r="N14" i="14"/>
  <c r="W14" i="14"/>
  <c r="AF14" i="14"/>
  <c r="AN77" i="6"/>
  <c r="AP34" i="4"/>
  <c r="B54" i="3"/>
  <c r="AB34" i="4"/>
  <c r="AB38" i="4" s="1"/>
  <c r="Z77" i="6"/>
  <c r="AI77" i="6"/>
  <c r="AK34" i="4"/>
  <c r="T77" i="6"/>
  <c r="AB103" i="6"/>
  <c r="AK103" i="6"/>
  <c r="AH66" i="9"/>
  <c r="E14" i="14"/>
  <c r="H38" i="5"/>
  <c r="X32" i="5"/>
  <c r="AK32" i="5"/>
  <c r="AF40" i="5" s="1"/>
  <c r="AX32" i="5"/>
  <c r="O14" i="14"/>
  <c r="AO14" i="14"/>
  <c r="AA77" i="6"/>
  <c r="U66" i="9"/>
  <c r="R66" i="9"/>
  <c r="AJ14" i="14"/>
  <c r="Y23" i="5"/>
  <c r="V14" i="14"/>
  <c r="H77" i="6"/>
  <c r="J34" i="4"/>
  <c r="P77" i="6"/>
  <c r="R34" i="4"/>
  <c r="AA34" i="4"/>
  <c r="AB39" i="4" s="1"/>
  <c r="AA42" i="4" s="1"/>
  <c r="AH14" i="14"/>
  <c r="AR34" i="4"/>
  <c r="AR38" i="4" s="1"/>
  <c r="AR40" i="4" s="1"/>
  <c r="AB77" i="6"/>
  <c r="M103" i="6"/>
  <c r="V103" i="6"/>
  <c r="N19" i="10"/>
  <c r="AO100" i="6"/>
  <c r="AO72" i="6" s="1"/>
  <c r="AC45" i="14"/>
  <c r="AC53" i="7"/>
  <c r="D110" i="3"/>
  <c r="AC4" i="4"/>
  <c r="G13" i="4"/>
  <c r="B110" i="3"/>
  <c r="H13" i="4"/>
  <c r="J38" i="4"/>
  <c r="R38" i="4"/>
  <c r="L39" i="4"/>
  <c r="K42" i="4" s="1"/>
  <c r="U39" i="4"/>
  <c r="T42" i="4" s="1"/>
  <c r="AC39" i="4"/>
  <c r="AB42" i="4" s="1"/>
  <c r="AL39" i="4"/>
  <c r="AK42" i="4" s="1"/>
  <c r="AT39" i="4"/>
  <c r="K30" i="5"/>
  <c r="K39" i="5" s="1"/>
  <c r="T30" i="5"/>
  <c r="T39" i="5" s="1"/>
  <c r="AB30" i="5"/>
  <c r="AB32" i="5" s="1"/>
  <c r="Y40" i="5" s="1"/>
  <c r="AJ30" i="5"/>
  <c r="AJ32" i="5" s="1"/>
  <c r="AE40" i="5" s="1"/>
  <c r="AR30" i="5"/>
  <c r="AR32" i="5" s="1"/>
  <c r="AZ30" i="5"/>
  <c r="AZ32" i="5" s="1"/>
  <c r="AP40" i="5" s="1"/>
  <c r="D38" i="6"/>
  <c r="D37" i="6" s="1"/>
  <c r="D7" i="4" s="1"/>
  <c r="J61" i="6"/>
  <c r="S61" i="6"/>
  <c r="AJ61" i="6"/>
  <c r="E79" i="6"/>
  <c r="G35" i="4" s="1"/>
  <c r="AN79" i="6"/>
  <c r="AP35" i="4" s="1"/>
  <c r="M100" i="6"/>
  <c r="M72" i="6" s="1"/>
  <c r="AH100" i="6"/>
  <c r="AH72" i="6" s="1"/>
  <c r="W104" i="6"/>
  <c r="F104" i="6"/>
  <c r="V105" i="6"/>
  <c r="AE105" i="6"/>
  <c r="AA107" i="6"/>
  <c r="AA106" i="6" s="1"/>
  <c r="F6" i="7"/>
  <c r="Y6" i="7"/>
  <c r="P7" i="7"/>
  <c r="P15" i="14" s="1"/>
  <c r="Z7" i="7"/>
  <c r="Z15" i="14" s="1"/>
  <c r="AJ7" i="7"/>
  <c r="AJ15" i="14" s="1"/>
  <c r="K53" i="7"/>
  <c r="K45" i="14"/>
  <c r="T45" i="14"/>
  <c r="T53" i="7"/>
  <c r="AK45" i="14"/>
  <c r="AK53" i="7"/>
  <c r="G64" i="7"/>
  <c r="AJ46" i="7"/>
  <c r="O49" i="7"/>
  <c r="AM49" i="7"/>
  <c r="AM53" i="7"/>
  <c r="AL56" i="7"/>
  <c r="E44" i="9"/>
  <c r="AN90" i="9"/>
  <c r="AN63" i="9" s="1"/>
  <c r="Q21" i="10"/>
  <c r="V22" i="10"/>
  <c r="T22" i="10" s="1"/>
  <c r="Q31" i="10"/>
  <c r="V33" i="10"/>
  <c r="R38" i="10"/>
  <c r="V38" i="10" s="1"/>
  <c r="S45" i="10"/>
  <c r="R45" i="10"/>
  <c r="Q46" i="10"/>
  <c r="T46" i="10" s="1"/>
  <c r="S58" i="10"/>
  <c r="R58" i="10"/>
  <c r="V58" i="10" s="1"/>
  <c r="Y58" i="10" s="1"/>
  <c r="N71" i="10"/>
  <c r="M71" i="10"/>
  <c r="Q71" i="10" s="1"/>
  <c r="T71" i="10" s="1"/>
  <c r="S83" i="10"/>
  <c r="R83" i="10"/>
  <c r="V83" i="10" s="1"/>
  <c r="Y83" i="10" s="1"/>
  <c r="AN23" i="13"/>
  <c r="AE23" i="13"/>
  <c r="W23" i="13"/>
  <c r="N23" i="13"/>
  <c r="AU23" i="13"/>
  <c r="AM23" i="13"/>
  <c r="AD23" i="13"/>
  <c r="U23" i="13"/>
  <c r="AS23" i="13"/>
  <c r="AK23" i="13"/>
  <c r="AB23" i="13"/>
  <c r="S23" i="13"/>
  <c r="AR23" i="13"/>
  <c r="AJ23" i="13"/>
  <c r="AA23" i="13"/>
  <c r="R23" i="13"/>
  <c r="AQ23" i="13"/>
  <c r="AH23" i="13"/>
  <c r="Z23" i="13"/>
  <c r="Q23" i="13"/>
  <c r="AP23" i="13"/>
  <c r="AG23" i="13"/>
  <c r="Y23" i="13"/>
  <c r="P23" i="13"/>
  <c r="AF23" i="13"/>
  <c r="AF76" i="14"/>
  <c r="D24" i="15"/>
  <c r="E6" i="16"/>
  <c r="Q27" i="10"/>
  <c r="N30" i="10"/>
  <c r="AP79" i="6"/>
  <c r="AR35" i="4" s="1"/>
  <c r="I7" i="7"/>
  <c r="I15" i="14" s="1"/>
  <c r="AK30" i="14"/>
  <c r="AK46" i="7"/>
  <c r="E45" i="14"/>
  <c r="E53" i="7"/>
  <c r="M45" i="14"/>
  <c r="M53" i="7"/>
  <c r="J56" i="7"/>
  <c r="J47" i="14"/>
  <c r="AP56" i="7"/>
  <c r="AP47" i="14"/>
  <c r="AB46" i="7"/>
  <c r="AO49" i="7"/>
  <c r="AE53" i="7"/>
  <c r="F25" i="9"/>
  <c r="G26" i="9"/>
  <c r="F67" i="9"/>
  <c r="F66" i="9" s="1"/>
  <c r="N67" i="9"/>
  <c r="N66" i="9" s="1"/>
  <c r="V67" i="9"/>
  <c r="V66" i="9" s="1"/>
  <c r="AD67" i="9"/>
  <c r="AD66" i="9" s="1"/>
  <c r="AL67" i="9"/>
  <c r="AL66" i="9" s="1"/>
  <c r="N64" i="9"/>
  <c r="F90" i="9"/>
  <c r="F63" i="9" s="1"/>
  <c r="R23" i="10"/>
  <c r="V23" i="10" s="1"/>
  <c r="N55" i="10"/>
  <c r="M55" i="10"/>
  <c r="Q55" i="10" s="1"/>
  <c r="T55" i="10" s="1"/>
  <c r="V67" i="10"/>
  <c r="Y67" i="10" s="1"/>
  <c r="S67" i="10"/>
  <c r="R67" i="10"/>
  <c r="S68" i="10"/>
  <c r="R86" i="10"/>
  <c r="V86" i="10" s="1"/>
  <c r="Y86" i="10" s="1"/>
  <c r="S93" i="10"/>
  <c r="R93" i="10"/>
  <c r="V93" i="10" s="1"/>
  <c r="Y93" i="10" s="1"/>
  <c r="AN11" i="13"/>
  <c r="AE11" i="13"/>
  <c r="W11" i="13"/>
  <c r="N11" i="13"/>
  <c r="AU11" i="13"/>
  <c r="AM11" i="13"/>
  <c r="AD11" i="13"/>
  <c r="U11" i="13"/>
  <c r="M11" i="13"/>
  <c r="AS11" i="13"/>
  <c r="AK11" i="13"/>
  <c r="AB11" i="13"/>
  <c r="S11" i="13"/>
  <c r="AR11" i="13"/>
  <c r="AJ11" i="13"/>
  <c r="AA11" i="13"/>
  <c r="R11" i="13"/>
  <c r="AQ11" i="13"/>
  <c r="AH11" i="13"/>
  <c r="Z11" i="13"/>
  <c r="Q11" i="13"/>
  <c r="AP11" i="13"/>
  <c r="AG11" i="13"/>
  <c r="Y11" i="13"/>
  <c r="P11" i="13"/>
  <c r="AO11" i="13"/>
  <c r="F10" i="15"/>
  <c r="D37" i="15" s="1"/>
  <c r="G104" i="6"/>
  <c r="G100" i="6"/>
  <c r="G72" i="6" s="1"/>
  <c r="AG100" i="6"/>
  <c r="AG72" i="6" s="1"/>
  <c r="C22" i="3"/>
  <c r="B111" i="3"/>
  <c r="B117" i="3" s="1"/>
  <c r="K4" i="4"/>
  <c r="T4" i="4"/>
  <c r="AB4" i="4"/>
  <c r="AK4" i="4"/>
  <c r="G22" i="4"/>
  <c r="E26" i="4" s="1"/>
  <c r="M38" i="4"/>
  <c r="V38" i="4"/>
  <c r="H28" i="5"/>
  <c r="N30" i="5"/>
  <c r="N39" i="5" s="1"/>
  <c r="W30" i="5"/>
  <c r="W32" i="5" s="1"/>
  <c r="V40" i="5" s="1"/>
  <c r="AE30" i="5"/>
  <c r="AE32" i="5" s="1"/>
  <c r="AM30" i="5"/>
  <c r="AM32" i="5" s="1"/>
  <c r="AU30" i="5"/>
  <c r="AU32" i="5" s="1"/>
  <c r="AM40" i="5" s="1"/>
  <c r="L74" i="6"/>
  <c r="L79" i="6" s="1"/>
  <c r="N35" i="4" s="1"/>
  <c r="U74" i="6"/>
  <c r="U79" i="6" s="1"/>
  <c r="W35" i="4" s="1"/>
  <c r="AC74" i="6"/>
  <c r="AC79" i="6" s="1"/>
  <c r="AE35" i="4" s="1"/>
  <c r="AL74" i="6"/>
  <c r="AL79" i="6" s="1"/>
  <c r="L78" i="6"/>
  <c r="U78" i="6"/>
  <c r="AC78" i="6"/>
  <c r="H79" i="6"/>
  <c r="J35" i="4" s="1"/>
  <c r="Y79" i="6"/>
  <c r="AA35" i="4" s="1"/>
  <c r="AH79" i="6"/>
  <c r="AJ35" i="4" s="1"/>
  <c r="H100" i="6"/>
  <c r="H72" i="6" s="1"/>
  <c r="AK100" i="6"/>
  <c r="AK72" i="6" s="1"/>
  <c r="V107" i="6"/>
  <c r="V106" i="6" s="1"/>
  <c r="AE107" i="6"/>
  <c r="AN107" i="6"/>
  <c r="AN106" i="6" s="1"/>
  <c r="K108" i="6"/>
  <c r="K106" i="6" s="1"/>
  <c r="T108" i="6"/>
  <c r="T106" i="6" s="1"/>
  <c r="AC108" i="6"/>
  <c r="AL108" i="6"/>
  <c r="AM6" i="7"/>
  <c r="J7" i="7"/>
  <c r="J15" i="14" s="1"/>
  <c r="T7" i="7"/>
  <c r="T15" i="14" s="1"/>
  <c r="U30" i="14"/>
  <c r="U46" i="7"/>
  <c r="AC30" i="14"/>
  <c r="AC46" i="7"/>
  <c r="AL30" i="14"/>
  <c r="AL46" i="7"/>
  <c r="F64" i="7"/>
  <c r="AP46" i="7"/>
  <c r="G49" i="7"/>
  <c r="AF49" i="7"/>
  <c r="AP49" i="7"/>
  <c r="G53" i="7"/>
  <c r="F72" i="7"/>
  <c r="AF53" i="7"/>
  <c r="AP53" i="7"/>
  <c r="G67" i="9"/>
  <c r="G66" i="9" s="1"/>
  <c r="O67" i="9"/>
  <c r="O66" i="9" s="1"/>
  <c r="W67" i="9"/>
  <c r="W66" i="9" s="1"/>
  <c r="AE67" i="9"/>
  <c r="AE66" i="9" s="1"/>
  <c r="AM67" i="9"/>
  <c r="AM66" i="9" s="1"/>
  <c r="J68" i="9"/>
  <c r="J66" i="9" s="1"/>
  <c r="R68" i="9"/>
  <c r="Z68" i="9"/>
  <c r="Z66" i="9" s="1"/>
  <c r="AH68" i="9"/>
  <c r="G90" i="9"/>
  <c r="G63" i="9" s="1"/>
  <c r="U90" i="9"/>
  <c r="U63" i="9" s="1"/>
  <c r="AF90" i="9"/>
  <c r="AF63" i="9" s="1"/>
  <c r="Q48" i="10"/>
  <c r="T48" i="10" s="1"/>
  <c r="N48" i="10"/>
  <c r="M48" i="10"/>
  <c r="V59" i="10"/>
  <c r="Y59" i="10" s="1"/>
  <c r="S59" i="10"/>
  <c r="R59" i="10"/>
  <c r="S60" i="10"/>
  <c r="Q72" i="10"/>
  <c r="T72" i="10" s="1"/>
  <c r="Q78" i="10"/>
  <c r="T78" i="10" s="1"/>
  <c r="S85" i="10"/>
  <c r="R85" i="10"/>
  <c r="V85" i="10" s="1"/>
  <c r="Y85" i="10" s="1"/>
  <c r="AT19" i="13"/>
  <c r="O19" i="13"/>
  <c r="AN27" i="13"/>
  <c r="AE27" i="13"/>
  <c r="W27" i="13"/>
  <c r="AU27" i="13"/>
  <c r="AM27" i="13"/>
  <c r="AD27" i="13"/>
  <c r="U27" i="13"/>
  <c r="AS27" i="13"/>
  <c r="AK27" i="13"/>
  <c r="AB27" i="13"/>
  <c r="S27" i="13"/>
  <c r="AR27" i="13"/>
  <c r="AJ27" i="13"/>
  <c r="AA27" i="13"/>
  <c r="R27" i="13"/>
  <c r="AQ27" i="13"/>
  <c r="AH27" i="13"/>
  <c r="Z27" i="13"/>
  <c r="Q27" i="13"/>
  <c r="AP27" i="13"/>
  <c r="AG27" i="13"/>
  <c r="Y27" i="13"/>
  <c r="P27" i="13"/>
  <c r="X27" i="13"/>
  <c r="AN31" i="13"/>
  <c r="AE31" i="13"/>
  <c r="AU31" i="13"/>
  <c r="AM31" i="13"/>
  <c r="AD31" i="13"/>
  <c r="AS31" i="13"/>
  <c r="AK31" i="13"/>
  <c r="AB31" i="13"/>
  <c r="AR31" i="13"/>
  <c r="AJ31" i="13"/>
  <c r="AA31" i="13"/>
  <c r="AQ31" i="13"/>
  <c r="AH31" i="13"/>
  <c r="Z31" i="13"/>
  <c r="AP31" i="13"/>
  <c r="AG31" i="13"/>
  <c r="Y31" i="13"/>
  <c r="AO31" i="13"/>
  <c r="AA46" i="7"/>
  <c r="C111" i="3"/>
  <c r="C117" i="3" s="1"/>
  <c r="E9" i="16"/>
  <c r="AF32" i="5"/>
  <c r="AB40" i="5" s="1"/>
  <c r="M74" i="6"/>
  <c r="M79" i="6" s="1"/>
  <c r="O35" i="4" s="1"/>
  <c r="V74" i="6"/>
  <c r="V79" i="6" s="1"/>
  <c r="X35" i="4" s="1"/>
  <c r="AE74" i="6"/>
  <c r="AE79" i="6" s="1"/>
  <c r="AG35" i="4" s="1"/>
  <c r="AM74" i="6"/>
  <c r="AM79" i="6" s="1"/>
  <c r="E78" i="6"/>
  <c r="M78" i="6"/>
  <c r="V78" i="6"/>
  <c r="AE78" i="6"/>
  <c r="AI79" i="6"/>
  <c r="AK35" i="4" s="1"/>
  <c r="AL100" i="6"/>
  <c r="AL72" i="6" s="1"/>
  <c r="AC103" i="6"/>
  <c r="AO107" i="6"/>
  <c r="L108" i="6"/>
  <c r="L106" i="6" s="1"/>
  <c r="U108" i="6"/>
  <c r="AN6" i="7"/>
  <c r="K7" i="7"/>
  <c r="K15" i="14" s="1"/>
  <c r="U7" i="7"/>
  <c r="U15" i="14" s="1"/>
  <c r="E30" i="14"/>
  <c r="E46" i="7"/>
  <c r="M30" i="14"/>
  <c r="M46" i="7"/>
  <c r="V30" i="14"/>
  <c r="V46" i="7"/>
  <c r="AE30" i="14"/>
  <c r="AE46" i="7"/>
  <c r="AM30" i="14"/>
  <c r="AM46" i="7"/>
  <c r="S40" i="14"/>
  <c r="S49" i="7"/>
  <c r="AA40" i="14"/>
  <c r="AA49" i="7"/>
  <c r="AJ40" i="14"/>
  <c r="AJ49" i="7"/>
  <c r="H46" i="7"/>
  <c r="S46" i="7"/>
  <c r="H49" i="7"/>
  <c r="V49" i="7"/>
  <c r="AG49" i="7"/>
  <c r="V53" i="7"/>
  <c r="G56" i="7"/>
  <c r="H67" i="9"/>
  <c r="H66" i="9" s="1"/>
  <c r="X67" i="9"/>
  <c r="X66" i="9" s="1"/>
  <c r="K68" i="9"/>
  <c r="S68" i="9"/>
  <c r="AA68" i="9"/>
  <c r="AI68" i="9"/>
  <c r="H90" i="9"/>
  <c r="H63" i="9" s="1"/>
  <c r="V90" i="9"/>
  <c r="V63" i="9" s="1"/>
  <c r="D22" i="19"/>
  <c r="C9" i="18"/>
  <c r="Q26" i="10"/>
  <c r="O26" i="10" s="1"/>
  <c r="D33" i="19"/>
  <c r="C20" i="18"/>
  <c r="N37" i="10"/>
  <c r="Q41" i="10"/>
  <c r="S44" i="10"/>
  <c r="S53" i="10"/>
  <c r="R53" i="10"/>
  <c r="V53" i="10" s="1"/>
  <c r="Y53" i="10" s="1"/>
  <c r="R70" i="10"/>
  <c r="V70" i="10" s="1"/>
  <c r="Y70" i="10" s="1"/>
  <c r="S77" i="10"/>
  <c r="R77" i="10"/>
  <c r="V77" i="10" s="1"/>
  <c r="Y77" i="10" s="1"/>
  <c r="S86" i="10"/>
  <c r="S90" i="10"/>
  <c r="R90" i="10"/>
  <c r="V90" i="10" s="1"/>
  <c r="Y90" i="10" s="1"/>
  <c r="AN15" i="13"/>
  <c r="AE15" i="13"/>
  <c r="W15" i="13"/>
  <c r="N15" i="13"/>
  <c r="AU15" i="13"/>
  <c r="AM15" i="13"/>
  <c r="AD15" i="13"/>
  <c r="U15" i="13"/>
  <c r="M15" i="13"/>
  <c r="AS15" i="13"/>
  <c r="AK15" i="13"/>
  <c r="AB15" i="13"/>
  <c r="S15" i="13"/>
  <c r="AR15" i="13"/>
  <c r="AJ15" i="13"/>
  <c r="AA15" i="13"/>
  <c r="R15" i="13"/>
  <c r="AQ15" i="13"/>
  <c r="AH15" i="13"/>
  <c r="Z15" i="13"/>
  <c r="Q15" i="13"/>
  <c r="AP15" i="13"/>
  <c r="AG15" i="13"/>
  <c r="Y15" i="13"/>
  <c r="P15" i="13"/>
  <c r="AO15" i="13"/>
  <c r="B27" i="3"/>
  <c r="L53" i="7"/>
  <c r="L45" i="14"/>
  <c r="S75" i="10"/>
  <c r="R75" i="10"/>
  <c r="V75" i="10" s="1"/>
  <c r="Y75" i="10" s="1"/>
  <c r="R94" i="10"/>
  <c r="V94" i="10" s="1"/>
  <c r="Y94" i="10" s="1"/>
  <c r="AN7" i="13"/>
  <c r="AE7" i="13"/>
  <c r="W7" i="13"/>
  <c r="N7" i="13"/>
  <c r="AU7" i="13"/>
  <c r="AM7" i="13"/>
  <c r="AD7" i="13"/>
  <c r="U7" i="13"/>
  <c r="M7" i="13"/>
  <c r="AS7" i="13"/>
  <c r="AK7" i="13"/>
  <c r="AB7" i="13"/>
  <c r="S7" i="13"/>
  <c r="K7" i="13"/>
  <c r="AR7" i="13"/>
  <c r="AJ7" i="13"/>
  <c r="AA7" i="13"/>
  <c r="R7" i="13"/>
  <c r="AQ7" i="13"/>
  <c r="AH7" i="13"/>
  <c r="Z7" i="13"/>
  <c r="Q7" i="13"/>
  <c r="AP7" i="13"/>
  <c r="AG7" i="13"/>
  <c r="Y7" i="13"/>
  <c r="P7" i="13"/>
  <c r="AP20" i="5"/>
  <c r="AP11" i="5" s="1"/>
  <c r="AP32" i="5" s="1"/>
  <c r="C24" i="3"/>
  <c r="D111" i="3"/>
  <c r="D117" i="3" s="1"/>
  <c r="L34" i="4"/>
  <c r="U34" i="4"/>
  <c r="AC34" i="4"/>
  <c r="AL34" i="4"/>
  <c r="I39" i="4"/>
  <c r="H42" i="4" s="1"/>
  <c r="AQ39" i="4"/>
  <c r="AP42" i="4" s="1"/>
  <c r="P30" i="5"/>
  <c r="Y30" i="5"/>
  <c r="AO30" i="5"/>
  <c r="AO32" i="5" s="1"/>
  <c r="AW30" i="5"/>
  <c r="AW32" i="5" s="1"/>
  <c r="AN40" i="5" s="1"/>
  <c r="E28" i="6"/>
  <c r="I6" i="7"/>
  <c r="R6" i="7"/>
  <c r="Z6" i="7"/>
  <c r="AI6" i="7"/>
  <c r="N78" i="6"/>
  <c r="W78" i="6"/>
  <c r="AF78" i="6"/>
  <c r="J100" i="6"/>
  <c r="J72" i="6" s="1"/>
  <c r="AC100" i="6"/>
  <c r="AC72" i="6" s="1"/>
  <c r="AK107" i="6"/>
  <c r="AK106" i="6" s="1"/>
  <c r="U103" i="6"/>
  <c r="AN104" i="6"/>
  <c r="F107" i="6"/>
  <c r="F106" i="6" s="1"/>
  <c r="AG107" i="6"/>
  <c r="AP107" i="6"/>
  <c r="AP106" i="6" s="1"/>
  <c r="M108" i="6"/>
  <c r="V108" i="6"/>
  <c r="AO108" i="6"/>
  <c r="F30" i="14"/>
  <c r="F46" i="7"/>
  <c r="N30" i="14"/>
  <c r="N46" i="7"/>
  <c r="W30" i="14"/>
  <c r="W46" i="7"/>
  <c r="K40" i="14"/>
  <c r="K49" i="7"/>
  <c r="T40" i="14"/>
  <c r="T49" i="7"/>
  <c r="AB40" i="14"/>
  <c r="AB49" i="7"/>
  <c r="AK40" i="14"/>
  <c r="AK49" i="7"/>
  <c r="Z47" i="14"/>
  <c r="Z56" i="7"/>
  <c r="T46" i="7"/>
  <c r="W49" i="7"/>
  <c r="AH49" i="7"/>
  <c r="W53" i="7"/>
  <c r="AH53" i="7"/>
  <c r="E33" i="9"/>
  <c r="E43" i="9"/>
  <c r="L68" i="9"/>
  <c r="T68" i="9"/>
  <c r="AB68" i="9"/>
  <c r="AJ68" i="9"/>
  <c r="AK90" i="9"/>
  <c r="AK63" i="9" s="1"/>
  <c r="J90" i="9"/>
  <c r="J63" i="9" s="1"/>
  <c r="R90" i="9"/>
  <c r="R63" i="9" s="1"/>
  <c r="Z90" i="9"/>
  <c r="Z63" i="9" s="1"/>
  <c r="AH90" i="9"/>
  <c r="AH63" i="9" s="1"/>
  <c r="Q40" i="10"/>
  <c r="V42" i="10"/>
  <c r="V45" i="10"/>
  <c r="Y45" i="10" s="1"/>
  <c r="Q62" i="10"/>
  <c r="T62" i="10" s="1"/>
  <c r="S69" i="10"/>
  <c r="R69" i="10"/>
  <c r="V69" i="10" s="1"/>
  <c r="Y69" i="10" s="1"/>
  <c r="S82" i="10"/>
  <c r="R82" i="10"/>
  <c r="V82" i="10" s="1"/>
  <c r="Y82" i="10" s="1"/>
  <c r="N95" i="10"/>
  <c r="M95" i="10"/>
  <c r="Q95" i="10" s="1"/>
  <c r="T95" i="10" s="1"/>
  <c r="O7" i="13"/>
  <c r="AT23" i="13"/>
  <c r="K30" i="14"/>
  <c r="F76" i="14"/>
  <c r="O104" i="6"/>
  <c r="O100" i="6"/>
  <c r="O72" i="6" s="1"/>
  <c r="D42" i="19"/>
  <c r="C29" i="18"/>
  <c r="N42" i="10"/>
  <c r="M34" i="4"/>
  <c r="N39" i="4" s="1"/>
  <c r="M42" i="4" s="1"/>
  <c r="V34" i="4"/>
  <c r="AD34" i="4"/>
  <c r="AE39" i="4" s="1"/>
  <c r="AD42" i="4" s="1"/>
  <c r="AM34" i="4"/>
  <c r="AM38" i="4" s="1"/>
  <c r="H38" i="4"/>
  <c r="AP38" i="4"/>
  <c r="AR39" i="4"/>
  <c r="AQ42" i="4" s="1"/>
  <c r="AM7" i="7"/>
  <c r="AM15" i="14" s="1"/>
  <c r="G74" i="6"/>
  <c r="G79" i="6" s="1"/>
  <c r="I35" i="4" s="1"/>
  <c r="J39" i="4" s="1"/>
  <c r="I42" i="4" s="1"/>
  <c r="O74" i="6"/>
  <c r="O79" i="6" s="1"/>
  <c r="Q35" i="4" s="1"/>
  <c r="R39" i="4" s="1"/>
  <c r="Q42" i="4" s="1"/>
  <c r="X74" i="6"/>
  <c r="X79" i="6" s="1"/>
  <c r="Z35" i="4" s="1"/>
  <c r="AG74" i="6"/>
  <c r="AG79" i="6" s="1"/>
  <c r="AI35" i="4" s="1"/>
  <c r="AO74" i="6"/>
  <c r="AO79" i="6" s="1"/>
  <c r="AQ35" i="4" s="1"/>
  <c r="AQ38" i="4" s="1"/>
  <c r="AQ40" i="4" s="1"/>
  <c r="X78" i="6"/>
  <c r="AG78" i="6"/>
  <c r="C92" i="6"/>
  <c r="U100" i="6"/>
  <c r="U72" i="6" s="1"/>
  <c r="AO104" i="6"/>
  <c r="L105" i="6"/>
  <c r="L103" i="6" s="1"/>
  <c r="G107" i="6"/>
  <c r="G106" i="6" s="1"/>
  <c r="P107" i="6"/>
  <c r="P106" i="6" s="1"/>
  <c r="Y107" i="6"/>
  <c r="Y106" i="6" s="1"/>
  <c r="AH107" i="6"/>
  <c r="AH106" i="6" s="1"/>
  <c r="AG108" i="6"/>
  <c r="AP6" i="7"/>
  <c r="G30" i="14"/>
  <c r="G46" i="7"/>
  <c r="O30" i="14"/>
  <c r="O46" i="7"/>
  <c r="X30" i="14"/>
  <c r="AG30" i="14"/>
  <c r="AO30" i="14"/>
  <c r="L40" i="14"/>
  <c r="L49" i="7"/>
  <c r="U40" i="14"/>
  <c r="U49" i="7"/>
  <c r="AC40" i="14"/>
  <c r="AC49" i="7"/>
  <c r="J46" i="7"/>
  <c r="X46" i="7"/>
  <c r="AH46" i="7"/>
  <c r="J49" i="7"/>
  <c r="X49" i="7"/>
  <c r="J53" i="7"/>
  <c r="K90" i="9"/>
  <c r="K63" i="9" s="1"/>
  <c r="K64" i="9"/>
  <c r="K67" i="9" s="1"/>
  <c r="K66" i="9" s="1"/>
  <c r="S90" i="9"/>
  <c r="S63" i="9" s="1"/>
  <c r="S64" i="9"/>
  <c r="S67" i="9" s="1"/>
  <c r="S66" i="9" s="1"/>
  <c r="AA90" i="9"/>
  <c r="AA63" i="9" s="1"/>
  <c r="AA64" i="9"/>
  <c r="AA67" i="9" s="1"/>
  <c r="AI90" i="9"/>
  <c r="AI63" i="9" s="1"/>
  <c r="AI64" i="9"/>
  <c r="AI67" i="9" s="1"/>
  <c r="AI66" i="9" s="1"/>
  <c r="N22" i="10"/>
  <c r="Q36" i="10"/>
  <c r="N47" i="10"/>
  <c r="S61" i="10"/>
  <c r="R61" i="10"/>
  <c r="V61" i="10" s="1"/>
  <c r="Y61" i="10" s="1"/>
  <c r="S74" i="10"/>
  <c r="R74" i="10"/>
  <c r="V74" i="10" s="1"/>
  <c r="Y74" i="10" s="1"/>
  <c r="Q87" i="10"/>
  <c r="T87" i="10" s="1"/>
  <c r="N87" i="10"/>
  <c r="M87" i="10"/>
  <c r="AT7" i="13"/>
  <c r="X7" i="13"/>
  <c r="AN19" i="13"/>
  <c r="AE19" i="13"/>
  <c r="W19" i="13"/>
  <c r="N19" i="13"/>
  <c r="AU19" i="13"/>
  <c r="AM19" i="13"/>
  <c r="AD19" i="13"/>
  <c r="U19" i="13"/>
  <c r="M19" i="13"/>
  <c r="AS19" i="13"/>
  <c r="AK19" i="13"/>
  <c r="AB19" i="13"/>
  <c r="S19" i="13"/>
  <c r="AR19" i="13"/>
  <c r="AJ19" i="13"/>
  <c r="AA19" i="13"/>
  <c r="R19" i="13"/>
  <c r="AQ19" i="13"/>
  <c r="AH19" i="13"/>
  <c r="Z19" i="13"/>
  <c r="Q19" i="13"/>
  <c r="AP19" i="13"/>
  <c r="AG19" i="13"/>
  <c r="Y19" i="13"/>
  <c r="P19" i="13"/>
  <c r="AO19" i="13"/>
  <c r="O23" i="13"/>
  <c r="AB45" i="14"/>
  <c r="X100" i="6"/>
  <c r="X72" i="6" s="1"/>
  <c r="U45" i="14"/>
  <c r="U53" i="7"/>
  <c r="N29" i="10"/>
  <c r="N63" i="10"/>
  <c r="M63" i="10"/>
  <c r="Q63" i="10" s="1"/>
  <c r="T63" i="10" s="1"/>
  <c r="C21" i="3"/>
  <c r="W39" i="4"/>
  <c r="V42" i="4" s="1"/>
  <c r="F25" i="4"/>
  <c r="F35" i="4" s="1"/>
  <c r="F33" i="4" s="1"/>
  <c r="K39" i="4"/>
  <c r="J42" i="4" s="1"/>
  <c r="T39" i="4"/>
  <c r="R42" i="4" s="1"/>
  <c r="AH78" i="6"/>
  <c r="AP100" i="6"/>
  <c r="AP72" i="6" s="1"/>
  <c r="M107" i="6"/>
  <c r="M106" i="6" s="1"/>
  <c r="AE104" i="6"/>
  <c r="AM104" i="6"/>
  <c r="E103" i="6"/>
  <c r="X104" i="6"/>
  <c r="AG104" i="6"/>
  <c r="AP104" i="6"/>
  <c r="AM105" i="6"/>
  <c r="H107" i="6"/>
  <c r="H106" i="6" s="1"/>
  <c r="E40" i="14"/>
  <c r="E49" i="7"/>
  <c r="M40" i="14"/>
  <c r="M49" i="7"/>
  <c r="S45" i="14"/>
  <c r="S53" i="7"/>
  <c r="AA45" i="14"/>
  <c r="AA53" i="7"/>
  <c r="AJ53" i="7"/>
  <c r="AJ45" i="14"/>
  <c r="E64" i="7"/>
  <c r="Y46" i="7"/>
  <c r="Y49" i="7"/>
  <c r="AL49" i="7"/>
  <c r="AL53" i="7"/>
  <c r="W56" i="7"/>
  <c r="L90" i="9"/>
  <c r="L63" i="9" s="1"/>
  <c r="L64" i="9"/>
  <c r="L67" i="9" s="1"/>
  <c r="L66" i="9" s="1"/>
  <c r="T90" i="9"/>
  <c r="T63" i="9" s="1"/>
  <c r="T64" i="9"/>
  <c r="T67" i="9" s="1"/>
  <c r="T66" i="9" s="1"/>
  <c r="AB90" i="9"/>
  <c r="AB63" i="9" s="1"/>
  <c r="AB64" i="9"/>
  <c r="AB67" i="9" s="1"/>
  <c r="AB66" i="9" s="1"/>
  <c r="AJ90" i="9"/>
  <c r="AJ63" i="9" s="1"/>
  <c r="AJ64" i="9"/>
  <c r="AJ67" i="9" s="1"/>
  <c r="G11" i="10"/>
  <c r="R24" i="10"/>
  <c r="V24" i="10" s="1"/>
  <c r="N24" i="10"/>
  <c r="Q32" i="10"/>
  <c r="Q35" i="10"/>
  <c r="M47" i="10"/>
  <c r="Q47" i="10" s="1"/>
  <c r="T47" i="10" s="1"/>
  <c r="V66" i="10"/>
  <c r="Y66" i="10" s="1"/>
  <c r="S66" i="10"/>
  <c r="R66" i="10"/>
  <c r="Q79" i="10"/>
  <c r="T79" i="10" s="1"/>
  <c r="N79" i="10"/>
  <c r="M79" i="10"/>
  <c r="S91" i="10"/>
  <c r="R91" i="10"/>
  <c r="V91" i="10" s="1"/>
  <c r="Y91" i="10" s="1"/>
  <c r="S92" i="10"/>
  <c r="AF7" i="13"/>
  <c r="AT11" i="13"/>
  <c r="O11" i="13"/>
  <c r="X23" i="13"/>
  <c r="N8" i="13"/>
  <c r="W8" i="13"/>
  <c r="AE8" i="13"/>
  <c r="L9" i="13"/>
  <c r="T9" i="13"/>
  <c r="AC9" i="13"/>
  <c r="AL9" i="13"/>
  <c r="AT9" i="13"/>
  <c r="N12" i="13"/>
  <c r="W12" i="13"/>
  <c r="AE12" i="13"/>
  <c r="L13" i="13"/>
  <c r="T13" i="13"/>
  <c r="AC13" i="13"/>
  <c r="AL13" i="13"/>
  <c r="AT13" i="13"/>
  <c r="N16" i="13"/>
  <c r="W16" i="13"/>
  <c r="AE16" i="13"/>
  <c r="L17" i="13"/>
  <c r="T17" i="13"/>
  <c r="AC17" i="13"/>
  <c r="AL17" i="13"/>
  <c r="AT17" i="13"/>
  <c r="N20" i="13"/>
  <c r="W20" i="13"/>
  <c r="AE20" i="13"/>
  <c r="L21" i="13"/>
  <c r="T21" i="13"/>
  <c r="AC21" i="13"/>
  <c r="AL21" i="13"/>
  <c r="AT21" i="13"/>
  <c r="N24" i="13"/>
  <c r="W24" i="13"/>
  <c r="AE24" i="13"/>
  <c r="L25" i="13"/>
  <c r="T25" i="13"/>
  <c r="AC25" i="13"/>
  <c r="AL25" i="13"/>
  <c r="AT25" i="13"/>
  <c r="W28" i="13"/>
  <c r="AE28" i="13"/>
  <c r="L29" i="13"/>
  <c r="T29" i="13"/>
  <c r="AC29" i="13"/>
  <c r="AL29" i="13"/>
  <c r="AT29" i="13"/>
  <c r="X32" i="13"/>
  <c r="AG32" i="13"/>
  <c r="AE34" i="13"/>
  <c r="AO36" i="13"/>
  <c r="AF36" i="13"/>
  <c r="X36" i="13"/>
  <c r="O36" i="13"/>
  <c r="AN36" i="13"/>
  <c r="AE36" i="13"/>
  <c r="W36" i="13"/>
  <c r="N36" i="13"/>
  <c r="AU36" i="13"/>
  <c r="AM36" i="13"/>
  <c r="AD36" i="13"/>
  <c r="U36" i="13"/>
  <c r="M36" i="13"/>
  <c r="L36" i="13"/>
  <c r="AA36" i="13"/>
  <c r="AP36" i="13"/>
  <c r="AS38" i="13"/>
  <c r="AK38" i="13"/>
  <c r="AB38" i="13"/>
  <c r="S38" i="13"/>
  <c r="K38" i="13"/>
  <c r="AR38" i="13"/>
  <c r="AJ38" i="13"/>
  <c r="AA38" i="13"/>
  <c r="R38" i="13"/>
  <c r="J38" i="13"/>
  <c r="AQ38" i="13"/>
  <c r="AH38" i="13"/>
  <c r="Z38" i="13"/>
  <c r="Q38" i="13"/>
  <c r="N38" i="13"/>
  <c r="AC38" i="13"/>
  <c r="AO38" i="13"/>
  <c r="D23" i="19"/>
  <c r="C10" i="18"/>
  <c r="D38" i="19"/>
  <c r="C25" i="18"/>
  <c r="H5" i="18" s="1"/>
  <c r="M56" i="10"/>
  <c r="Q56" i="10" s="1"/>
  <c r="T56" i="10" s="1"/>
  <c r="M64" i="10"/>
  <c r="Q64" i="10" s="1"/>
  <c r="T64" i="10" s="1"/>
  <c r="M72" i="10"/>
  <c r="M80" i="10"/>
  <c r="Q80" i="10" s="1"/>
  <c r="T80" i="10" s="1"/>
  <c r="M88" i="10"/>
  <c r="Q88" i="10" s="1"/>
  <c r="T88" i="10" s="1"/>
  <c r="M96" i="10"/>
  <c r="Q96" i="10" s="1"/>
  <c r="T96" i="10" s="1"/>
  <c r="O8" i="13"/>
  <c r="X8" i="13"/>
  <c r="AF8" i="13"/>
  <c r="AO8" i="13"/>
  <c r="AO6" i="13" s="1"/>
  <c r="AJ8" i="7" s="1"/>
  <c r="M9" i="13"/>
  <c r="U9" i="13"/>
  <c r="AD9" i="13"/>
  <c r="AM9" i="13"/>
  <c r="AU9" i="13"/>
  <c r="O12" i="13"/>
  <c r="X12" i="13"/>
  <c r="AF12" i="13"/>
  <c r="AO12" i="13"/>
  <c r="M13" i="13"/>
  <c r="U13" i="13"/>
  <c r="AD13" i="13"/>
  <c r="AM13" i="13"/>
  <c r="AU13" i="13"/>
  <c r="O16" i="13"/>
  <c r="X16" i="13"/>
  <c r="AF16" i="13"/>
  <c r="AO16" i="13"/>
  <c r="M17" i="13"/>
  <c r="U17" i="13"/>
  <c r="AD17" i="13"/>
  <c r="AM17" i="13"/>
  <c r="AU17" i="13"/>
  <c r="O20" i="13"/>
  <c r="X20" i="13"/>
  <c r="AF20" i="13"/>
  <c r="AO20" i="13"/>
  <c r="M21" i="13"/>
  <c r="U21" i="13"/>
  <c r="AD21" i="13"/>
  <c r="AM21" i="13"/>
  <c r="AU21" i="13"/>
  <c r="O24" i="13"/>
  <c r="X24" i="13"/>
  <c r="AF24" i="13"/>
  <c r="AO24" i="13"/>
  <c r="M25" i="13"/>
  <c r="U25" i="13"/>
  <c r="AD25" i="13"/>
  <c r="AM25" i="13"/>
  <c r="AU25" i="13"/>
  <c r="O28" i="13"/>
  <c r="X28" i="13"/>
  <c r="AF28" i="13"/>
  <c r="AO28" i="13"/>
  <c r="M29" i="13"/>
  <c r="U29" i="13"/>
  <c r="AD29" i="13"/>
  <c r="AM29" i="13"/>
  <c r="AU29" i="13"/>
  <c r="O32" i="13"/>
  <c r="Y32" i="13"/>
  <c r="AH32" i="13"/>
  <c r="AS32" i="13"/>
  <c r="Y33" i="13"/>
  <c r="AN33" i="13"/>
  <c r="T34" i="13"/>
  <c r="AF34" i="13"/>
  <c r="AU34" i="13"/>
  <c r="P36" i="13"/>
  <c r="AB36" i="13"/>
  <c r="AQ36" i="13"/>
  <c r="O38" i="13"/>
  <c r="AD38" i="13"/>
  <c r="AP38" i="13"/>
  <c r="D19" i="19"/>
  <c r="C6" i="18"/>
  <c r="R19" i="10"/>
  <c r="V19" i="10" s="1"/>
  <c r="N20" i="10"/>
  <c r="D30" i="19"/>
  <c r="O30" i="19" s="1"/>
  <c r="C17" i="18"/>
  <c r="R30" i="10"/>
  <c r="V30" i="10" s="1"/>
  <c r="D34" i="19"/>
  <c r="C21" i="18"/>
  <c r="R34" i="10"/>
  <c r="V34" i="10" s="1"/>
  <c r="R39" i="10"/>
  <c r="V39" i="10" s="1"/>
  <c r="R44" i="10"/>
  <c r="V44" i="10" s="1"/>
  <c r="Y44" i="10" s="1"/>
  <c r="N46" i="10"/>
  <c r="M49" i="10"/>
  <c r="Q49" i="10" s="1"/>
  <c r="T49" i="10" s="1"/>
  <c r="R52" i="10"/>
  <c r="V52" i="10" s="1"/>
  <c r="Y52" i="10" s="1"/>
  <c r="N54" i="10"/>
  <c r="M57" i="10"/>
  <c r="Q57" i="10" s="1"/>
  <c r="T57" i="10" s="1"/>
  <c r="R60" i="10"/>
  <c r="V60" i="10" s="1"/>
  <c r="Y60" i="10" s="1"/>
  <c r="N62" i="10"/>
  <c r="M65" i="10"/>
  <c r="Q65" i="10" s="1"/>
  <c r="T65" i="10" s="1"/>
  <c r="R68" i="10"/>
  <c r="V68" i="10" s="1"/>
  <c r="Y68" i="10" s="1"/>
  <c r="N70" i="10"/>
  <c r="M73" i="10"/>
  <c r="Q73" i="10" s="1"/>
  <c r="T73" i="10" s="1"/>
  <c r="R76" i="10"/>
  <c r="V76" i="10" s="1"/>
  <c r="Y76" i="10" s="1"/>
  <c r="N78" i="10"/>
  <c r="M81" i="10"/>
  <c r="Q81" i="10" s="1"/>
  <c r="T81" i="10" s="1"/>
  <c r="R84" i="10"/>
  <c r="V84" i="10" s="1"/>
  <c r="Y84" i="10" s="1"/>
  <c r="N86" i="10"/>
  <c r="M89" i="10"/>
  <c r="Q89" i="10" s="1"/>
  <c r="T89" i="10" s="1"/>
  <c r="R92" i="10"/>
  <c r="V92" i="10" s="1"/>
  <c r="Y92" i="10" s="1"/>
  <c r="N94" i="10"/>
  <c r="P8" i="13"/>
  <c r="Y8" i="13"/>
  <c r="AG8" i="13"/>
  <c r="AP8" i="13"/>
  <c r="N9" i="13"/>
  <c r="W9" i="13"/>
  <c r="AE9" i="13"/>
  <c r="AN9" i="13"/>
  <c r="L10" i="13"/>
  <c r="T10" i="13"/>
  <c r="AC10" i="13"/>
  <c r="AL10" i="13"/>
  <c r="AT10" i="13"/>
  <c r="P12" i="13"/>
  <c r="Y12" i="13"/>
  <c r="AG12" i="13"/>
  <c r="AP12" i="13"/>
  <c r="N13" i="13"/>
  <c r="W13" i="13"/>
  <c r="AE13" i="13"/>
  <c r="AN13" i="13"/>
  <c r="L14" i="13"/>
  <c r="T14" i="13"/>
  <c r="AC14" i="13"/>
  <c r="AL14" i="13"/>
  <c r="AT14" i="13"/>
  <c r="P16" i="13"/>
  <c r="Y16" i="13"/>
  <c r="AG16" i="13"/>
  <c r="AP16" i="13"/>
  <c r="N17" i="13"/>
  <c r="W17" i="13"/>
  <c r="AE17" i="13"/>
  <c r="AN17" i="13"/>
  <c r="L18" i="13"/>
  <c r="T18" i="13"/>
  <c r="AC18" i="13"/>
  <c r="AL18" i="13"/>
  <c r="AT18" i="13"/>
  <c r="P20" i="13"/>
  <c r="Y20" i="13"/>
  <c r="AG20" i="13"/>
  <c r="AP20" i="13"/>
  <c r="N21" i="13"/>
  <c r="W21" i="13"/>
  <c r="AE21" i="13"/>
  <c r="AN21" i="13"/>
  <c r="L22" i="13"/>
  <c r="T22" i="13"/>
  <c r="AC22" i="13"/>
  <c r="AL22" i="13"/>
  <c r="AT22" i="13"/>
  <c r="P24" i="13"/>
  <c r="Y24" i="13"/>
  <c r="AG24" i="13"/>
  <c r="AP24" i="13"/>
  <c r="N25" i="13"/>
  <c r="W25" i="13"/>
  <c r="AE25" i="13"/>
  <c r="AN25" i="13"/>
  <c r="L26" i="13"/>
  <c r="T26" i="13"/>
  <c r="AC26" i="13"/>
  <c r="AL26" i="13"/>
  <c r="AT26" i="13"/>
  <c r="P28" i="13"/>
  <c r="Y28" i="13"/>
  <c r="AG28" i="13"/>
  <c r="AP28" i="13"/>
  <c r="N29" i="13"/>
  <c r="W29" i="13"/>
  <c r="AE29" i="13"/>
  <c r="AN29" i="13"/>
  <c r="L30" i="13"/>
  <c r="T30" i="13"/>
  <c r="AC30" i="13"/>
  <c r="AL30" i="13"/>
  <c r="AT30" i="13"/>
  <c r="P32" i="13"/>
  <c r="Z32" i="13"/>
  <c r="AJ32" i="13"/>
  <c r="AT32" i="13"/>
  <c r="Z33" i="13"/>
  <c r="AO33" i="13"/>
  <c r="U34" i="13"/>
  <c r="AG34" i="13"/>
  <c r="AQ35" i="13"/>
  <c r="AH35" i="13"/>
  <c r="Z35" i="13"/>
  <c r="Q35" i="13"/>
  <c r="AP35" i="13"/>
  <c r="AG35" i="13"/>
  <c r="Y35" i="13"/>
  <c r="P35" i="13"/>
  <c r="AO35" i="13"/>
  <c r="AF35" i="13"/>
  <c r="X35" i="13"/>
  <c r="O35" i="13"/>
  <c r="L35" i="13"/>
  <c r="AA35" i="13"/>
  <c r="AM35" i="13"/>
  <c r="Q36" i="13"/>
  <c r="AC36" i="13"/>
  <c r="AR36" i="13"/>
  <c r="P38" i="13"/>
  <c r="AE38" i="13"/>
  <c r="AT38" i="13"/>
  <c r="AP40" i="13"/>
  <c r="AG40" i="13"/>
  <c r="Y40" i="13"/>
  <c r="P40" i="13"/>
  <c r="AO40" i="13"/>
  <c r="AF40" i="13"/>
  <c r="X40" i="13"/>
  <c r="O40" i="13"/>
  <c r="AN40" i="13"/>
  <c r="AE40" i="13"/>
  <c r="W40" i="13"/>
  <c r="N40" i="13"/>
  <c r="M40" i="13"/>
  <c r="AB40" i="13"/>
  <c r="AQ40" i="13"/>
  <c r="R30" i="14"/>
  <c r="D24" i="19"/>
  <c r="C11" i="18"/>
  <c r="AI5" i="13"/>
  <c r="Q8" i="13"/>
  <c r="Z8" i="13"/>
  <c r="AH8" i="13"/>
  <c r="AQ8" i="13"/>
  <c r="O9" i="13"/>
  <c r="X9" i="13"/>
  <c r="AF9" i="13"/>
  <c r="AO9" i="13"/>
  <c r="M10" i="13"/>
  <c r="U10" i="13"/>
  <c r="AD10" i="13"/>
  <c r="AM10" i="13"/>
  <c r="AU10" i="13"/>
  <c r="Q12" i="13"/>
  <c r="Z12" i="13"/>
  <c r="AH12" i="13"/>
  <c r="AQ12" i="13"/>
  <c r="O13" i="13"/>
  <c r="X13" i="13"/>
  <c r="AF13" i="13"/>
  <c r="AO13" i="13"/>
  <c r="M14" i="13"/>
  <c r="U14" i="13"/>
  <c r="AD14" i="13"/>
  <c r="AM14" i="13"/>
  <c r="AU14" i="13"/>
  <c r="Q16" i="13"/>
  <c r="Z16" i="13"/>
  <c r="AH16" i="13"/>
  <c r="AQ16" i="13"/>
  <c r="O17" i="13"/>
  <c r="X17" i="13"/>
  <c r="AF17" i="13"/>
  <c r="AO17" i="13"/>
  <c r="M18" i="13"/>
  <c r="U18" i="13"/>
  <c r="AD18" i="13"/>
  <c r="AM18" i="13"/>
  <c r="AU18" i="13"/>
  <c r="Q20" i="13"/>
  <c r="Z20" i="13"/>
  <c r="AH20" i="13"/>
  <c r="AQ20" i="13"/>
  <c r="O21" i="13"/>
  <c r="X21" i="13"/>
  <c r="AF21" i="13"/>
  <c r="AO21" i="13"/>
  <c r="M22" i="13"/>
  <c r="U22" i="13"/>
  <c r="AD22" i="13"/>
  <c r="AM22" i="13"/>
  <c r="AU22" i="13"/>
  <c r="Q24" i="13"/>
  <c r="Z24" i="13"/>
  <c r="AH24" i="13"/>
  <c r="AQ24" i="13"/>
  <c r="O25" i="13"/>
  <c r="X25" i="13"/>
  <c r="AF25" i="13"/>
  <c r="AO25" i="13"/>
  <c r="M26" i="13"/>
  <c r="U26" i="13"/>
  <c r="AD26" i="13"/>
  <c r="AM26" i="13"/>
  <c r="AU26" i="13"/>
  <c r="Q28" i="13"/>
  <c r="Z28" i="13"/>
  <c r="AH28" i="13"/>
  <c r="AQ28" i="13"/>
  <c r="O29" i="13"/>
  <c r="X29" i="13"/>
  <c r="AF29" i="13"/>
  <c r="AO29" i="13"/>
  <c r="M30" i="13"/>
  <c r="U30" i="13"/>
  <c r="AD30" i="13"/>
  <c r="AM30" i="13"/>
  <c r="AU30" i="13"/>
  <c r="Q32" i="13"/>
  <c r="AA32" i="13"/>
  <c r="AK32" i="13"/>
  <c r="AU33" i="13"/>
  <c r="AA33" i="13"/>
  <c r="AP33" i="13"/>
  <c r="W34" i="13"/>
  <c r="AL34" i="13"/>
  <c r="M35" i="13"/>
  <c r="AB35" i="13"/>
  <c r="AN35" i="13"/>
  <c r="R36" i="13"/>
  <c r="AG36" i="13"/>
  <c r="AS36" i="13"/>
  <c r="T38" i="13"/>
  <c r="AF38" i="13"/>
  <c r="AU38" i="13"/>
  <c r="Q40" i="13"/>
  <c r="AC40" i="13"/>
  <c r="AR40" i="13"/>
  <c r="S76" i="14"/>
  <c r="E11" i="16"/>
  <c r="U107" i="6"/>
  <c r="U106" i="6" s="1"/>
  <c r="AC107" i="6"/>
  <c r="AC106" i="6" s="1"/>
  <c r="C7" i="18"/>
  <c r="J5" i="18" s="1"/>
  <c r="D20" i="19"/>
  <c r="O20" i="19" s="1"/>
  <c r="D31" i="19"/>
  <c r="C18" i="18"/>
  <c r="D35" i="19"/>
  <c r="C22" i="18"/>
  <c r="D40" i="19"/>
  <c r="C27" i="18"/>
  <c r="N56" i="10"/>
  <c r="N64" i="10"/>
  <c r="N72" i="10"/>
  <c r="N80" i="10"/>
  <c r="N88" i="10"/>
  <c r="N96" i="10"/>
  <c r="L7" i="13"/>
  <c r="T7" i="13"/>
  <c r="AC7" i="13"/>
  <c r="AL7" i="13"/>
  <c r="J8" i="13"/>
  <c r="R8" i="13"/>
  <c r="AA8" i="13"/>
  <c r="AJ8" i="13"/>
  <c r="AR8" i="13"/>
  <c r="P9" i="13"/>
  <c r="Y9" i="13"/>
  <c r="AG9" i="13"/>
  <c r="AP9" i="13"/>
  <c r="N10" i="13"/>
  <c r="W10" i="13"/>
  <c r="AE10" i="13"/>
  <c r="L11" i="13"/>
  <c r="T11" i="13"/>
  <c r="AC11" i="13"/>
  <c r="AL11" i="13"/>
  <c r="J12" i="13"/>
  <c r="R12" i="13"/>
  <c r="AA12" i="13"/>
  <c r="AJ12" i="13"/>
  <c r="AR12" i="13"/>
  <c r="P13" i="13"/>
  <c r="Y13" i="13"/>
  <c r="AG13" i="13"/>
  <c r="AP13" i="13"/>
  <c r="N14" i="13"/>
  <c r="W14" i="13"/>
  <c r="AE14" i="13"/>
  <c r="L15" i="13"/>
  <c r="T15" i="13"/>
  <c r="AC15" i="13"/>
  <c r="AL15" i="13"/>
  <c r="J16" i="13"/>
  <c r="R16" i="13"/>
  <c r="AA16" i="13"/>
  <c r="AJ16" i="13"/>
  <c r="AR16" i="13"/>
  <c r="P17" i="13"/>
  <c r="Y17" i="13"/>
  <c r="AG17" i="13"/>
  <c r="AP17" i="13"/>
  <c r="N18" i="13"/>
  <c r="W18" i="13"/>
  <c r="AE18" i="13"/>
  <c r="L19" i="13"/>
  <c r="T19" i="13"/>
  <c r="AC19" i="13"/>
  <c r="AL19" i="13"/>
  <c r="J20" i="13"/>
  <c r="R20" i="13"/>
  <c r="AA20" i="13"/>
  <c r="AJ20" i="13"/>
  <c r="AR20" i="13"/>
  <c r="P21" i="13"/>
  <c r="Y21" i="13"/>
  <c r="AG21" i="13"/>
  <c r="AP21" i="13"/>
  <c r="N22" i="13"/>
  <c r="W22" i="13"/>
  <c r="AE22" i="13"/>
  <c r="L23" i="13"/>
  <c r="T23" i="13"/>
  <c r="AC23" i="13"/>
  <c r="AL23" i="13"/>
  <c r="J24" i="13"/>
  <c r="R24" i="13"/>
  <c r="AA24" i="13"/>
  <c r="AJ24" i="13"/>
  <c r="AR24" i="13"/>
  <c r="P25" i="13"/>
  <c r="Y25" i="13"/>
  <c r="AG25" i="13"/>
  <c r="AP25" i="13"/>
  <c r="N26" i="13"/>
  <c r="W26" i="13"/>
  <c r="AE26" i="13"/>
  <c r="L27" i="13"/>
  <c r="T27" i="13"/>
  <c r="AC27" i="13"/>
  <c r="AL27" i="13"/>
  <c r="J28" i="13"/>
  <c r="R28" i="13"/>
  <c r="AA28" i="13"/>
  <c r="AJ28" i="13"/>
  <c r="AR28" i="13"/>
  <c r="P29" i="13"/>
  <c r="Y29" i="13"/>
  <c r="AG29" i="13"/>
  <c r="AP29" i="13"/>
  <c r="N30" i="13"/>
  <c r="W30" i="13"/>
  <c r="AE30" i="13"/>
  <c r="L31" i="13"/>
  <c r="T31" i="13"/>
  <c r="AC31" i="13"/>
  <c r="AL31" i="13"/>
  <c r="J32" i="13"/>
  <c r="R32" i="13"/>
  <c r="AB32" i="13"/>
  <c r="AL32" i="13"/>
  <c r="AE33" i="13"/>
  <c r="AQ33" i="13"/>
  <c r="L34" i="13"/>
  <c r="X34" i="13"/>
  <c r="AM34" i="13"/>
  <c r="N35" i="13"/>
  <c r="AC35" i="13"/>
  <c r="AR35" i="13"/>
  <c r="S36" i="13"/>
  <c r="AH36" i="13"/>
  <c r="AT36" i="13"/>
  <c r="U38" i="13"/>
  <c r="AG38" i="13"/>
  <c r="AQ39" i="13"/>
  <c r="AH39" i="13"/>
  <c r="Z39" i="13"/>
  <c r="Q39" i="13"/>
  <c r="AP39" i="13"/>
  <c r="AG39" i="13"/>
  <c r="Y39" i="13"/>
  <c r="P39" i="13"/>
  <c r="AO39" i="13"/>
  <c r="AF39" i="13"/>
  <c r="X39" i="13"/>
  <c r="O39" i="13"/>
  <c r="L39" i="13"/>
  <c r="AA39" i="13"/>
  <c r="AM39" i="13"/>
  <c r="R40" i="13"/>
  <c r="AD40" i="13"/>
  <c r="AS40" i="13"/>
  <c r="AC5" i="18"/>
  <c r="M5" i="18"/>
  <c r="AQ5" i="18"/>
  <c r="AA5" i="18"/>
  <c r="K5" i="18"/>
  <c r="AN5" i="18"/>
  <c r="X5" i="18"/>
  <c r="AL5" i="18"/>
  <c r="V5" i="18"/>
  <c r="F5" i="18"/>
  <c r="AI5" i="18"/>
  <c r="AD5" i="18"/>
  <c r="S5" i="18"/>
  <c r="N5" i="18"/>
  <c r="K8" i="13"/>
  <c r="S8" i="13"/>
  <c r="AB8" i="13"/>
  <c r="AK8" i="13"/>
  <c r="AS8" i="13"/>
  <c r="Q9" i="13"/>
  <c r="Z9" i="13"/>
  <c r="AH9" i="13"/>
  <c r="AQ9" i="13"/>
  <c r="O10" i="13"/>
  <c r="X10" i="13"/>
  <c r="AF10" i="13"/>
  <c r="K12" i="13"/>
  <c r="S12" i="13"/>
  <c r="AB12" i="13"/>
  <c r="AK12" i="13"/>
  <c r="AS12" i="13"/>
  <c r="Q13" i="13"/>
  <c r="Z13" i="13"/>
  <c r="AH13" i="13"/>
  <c r="AQ13" i="13"/>
  <c r="O14" i="13"/>
  <c r="X14" i="13"/>
  <c r="AF14" i="13"/>
  <c r="K16" i="13"/>
  <c r="S16" i="13"/>
  <c r="AB16" i="13"/>
  <c r="AK16" i="13"/>
  <c r="AS16" i="13"/>
  <c r="Q17" i="13"/>
  <c r="Z17" i="13"/>
  <c r="AH17" i="13"/>
  <c r="AQ17" i="13"/>
  <c r="O18" i="13"/>
  <c r="X18" i="13"/>
  <c r="AF18" i="13"/>
  <c r="K20" i="13"/>
  <c r="S20" i="13"/>
  <c r="AB20" i="13"/>
  <c r="AK20" i="13"/>
  <c r="AS20" i="13"/>
  <c r="Q21" i="13"/>
  <c r="Z21" i="13"/>
  <c r="AH21" i="13"/>
  <c r="AQ21" i="13"/>
  <c r="O22" i="13"/>
  <c r="X22" i="13"/>
  <c r="AF22" i="13"/>
  <c r="K24" i="13"/>
  <c r="S24" i="13"/>
  <c r="AB24" i="13"/>
  <c r="AK24" i="13"/>
  <c r="AS24" i="13"/>
  <c r="Q25" i="13"/>
  <c r="Z25" i="13"/>
  <c r="AH25" i="13"/>
  <c r="AQ25" i="13"/>
  <c r="O26" i="13"/>
  <c r="X26" i="13"/>
  <c r="AF26" i="13"/>
  <c r="K28" i="13"/>
  <c r="S28" i="13"/>
  <c r="AB28" i="13"/>
  <c r="AK28" i="13"/>
  <c r="AS28" i="13"/>
  <c r="Q29" i="13"/>
  <c r="Z29" i="13"/>
  <c r="AH29" i="13"/>
  <c r="AQ29" i="13"/>
  <c r="K32" i="13"/>
  <c r="S32" i="13"/>
  <c r="AC32" i="13"/>
  <c r="AF33" i="13"/>
  <c r="AR33" i="13"/>
  <c r="M34" i="13"/>
  <c r="Y34" i="13"/>
  <c r="R35" i="13"/>
  <c r="AD35" i="13"/>
  <c r="AS35" i="13"/>
  <c r="T36" i="13"/>
  <c r="AJ36" i="13"/>
  <c r="W38" i="13"/>
  <c r="AL38" i="13"/>
  <c r="S40" i="13"/>
  <c r="AH40" i="13"/>
  <c r="AT40" i="13"/>
  <c r="Q50" i="14"/>
  <c r="R11" i="16"/>
  <c r="Q130" i="16"/>
  <c r="D32" i="19"/>
  <c r="O32" i="19" s="1"/>
  <c r="C19" i="18"/>
  <c r="D36" i="19"/>
  <c r="C23" i="18"/>
  <c r="D41" i="19"/>
  <c r="C28" i="18"/>
  <c r="V5" i="13"/>
  <c r="L8" i="13"/>
  <c r="T8" i="13"/>
  <c r="AC8" i="13"/>
  <c r="AL8" i="13"/>
  <c r="J9" i="13"/>
  <c r="R9" i="13"/>
  <c r="AA9" i="13"/>
  <c r="AJ9" i="13"/>
  <c r="L12" i="13"/>
  <c r="T12" i="13"/>
  <c r="AC12" i="13"/>
  <c r="AL12" i="13"/>
  <c r="J13" i="13"/>
  <c r="R13" i="13"/>
  <c r="AA13" i="13"/>
  <c r="AJ13" i="13"/>
  <c r="L16" i="13"/>
  <c r="T16" i="13"/>
  <c r="AC16" i="13"/>
  <c r="AL16" i="13"/>
  <c r="J17" i="13"/>
  <c r="R17" i="13"/>
  <c r="AA17" i="13"/>
  <c r="AJ17" i="13"/>
  <c r="L20" i="13"/>
  <c r="T20" i="13"/>
  <c r="AC20" i="13"/>
  <c r="AL20" i="13"/>
  <c r="J21" i="13"/>
  <c r="R21" i="13"/>
  <c r="AA21" i="13"/>
  <c r="AJ21" i="13"/>
  <c r="L24" i="13"/>
  <c r="T24" i="13"/>
  <c r="AC24" i="13"/>
  <c r="AL24" i="13"/>
  <c r="J25" i="13"/>
  <c r="R25" i="13"/>
  <c r="AA25" i="13"/>
  <c r="AJ25" i="13"/>
  <c r="L28" i="13"/>
  <c r="T28" i="13"/>
  <c r="AC28" i="13"/>
  <c r="AL28" i="13"/>
  <c r="J29" i="13"/>
  <c r="R29" i="13"/>
  <c r="AA29" i="13"/>
  <c r="AJ29" i="13"/>
  <c r="AN32" i="13"/>
  <c r="AE32" i="13"/>
  <c r="W32" i="13"/>
  <c r="AU32" i="13"/>
  <c r="AM32" i="13"/>
  <c r="L32" i="13"/>
  <c r="T32" i="13"/>
  <c r="AD32" i="13"/>
  <c r="AP32" i="13"/>
  <c r="AS34" i="13"/>
  <c r="AK34" i="13"/>
  <c r="AB34" i="13"/>
  <c r="S34" i="13"/>
  <c r="K34" i="13"/>
  <c r="AR34" i="13"/>
  <c r="AJ34" i="13"/>
  <c r="AA34" i="13"/>
  <c r="R34" i="13"/>
  <c r="J34" i="13"/>
  <c r="AQ34" i="13"/>
  <c r="AH34" i="13"/>
  <c r="Z34" i="13"/>
  <c r="Q34" i="13"/>
  <c r="N34" i="13"/>
  <c r="AC34" i="13"/>
  <c r="AO34" i="13"/>
  <c r="J36" i="13"/>
  <c r="Y36" i="13"/>
  <c r="AK36" i="13"/>
  <c r="L38" i="13"/>
  <c r="X38" i="13"/>
  <c r="AM38" i="13"/>
  <c r="K33" i="13"/>
  <c r="S33" i="13"/>
  <c r="AB33" i="13"/>
  <c r="AK33" i="13"/>
  <c r="AS33" i="13"/>
  <c r="K37" i="13"/>
  <c r="S37" i="13"/>
  <c r="AB37" i="13"/>
  <c r="AK37" i="13"/>
  <c r="AS37" i="13"/>
  <c r="L41" i="13"/>
  <c r="T41" i="13"/>
  <c r="AC41" i="13"/>
  <c r="AL41" i="13"/>
  <c r="AT41" i="13"/>
  <c r="J42" i="13"/>
  <c r="R42" i="13"/>
  <c r="AA42" i="13"/>
  <c r="AJ42" i="13"/>
  <c r="AR42" i="13"/>
  <c r="E55" i="14"/>
  <c r="L33" i="13"/>
  <c r="T33" i="13"/>
  <c r="AC33" i="13"/>
  <c r="AL33" i="13"/>
  <c r="AT33" i="13"/>
  <c r="L37" i="13"/>
  <c r="T37" i="13"/>
  <c r="AC37" i="13"/>
  <c r="AL37" i="13"/>
  <c r="AT37" i="13"/>
  <c r="M41" i="13"/>
  <c r="U41" i="13"/>
  <c r="AD41" i="13"/>
  <c r="AM41" i="13"/>
  <c r="AU41" i="13"/>
  <c r="K42" i="13"/>
  <c r="S42" i="13"/>
  <c r="AB42" i="13"/>
  <c r="AK42" i="13"/>
  <c r="AS42" i="13"/>
  <c r="E68" i="14"/>
  <c r="M33" i="13"/>
  <c r="U33" i="13"/>
  <c r="AD33" i="13"/>
  <c r="AM33" i="13"/>
  <c r="M37" i="13"/>
  <c r="U37" i="13"/>
  <c r="AD37" i="13"/>
  <c r="AM37" i="13"/>
  <c r="N41" i="13"/>
  <c r="W41" i="13"/>
  <c r="AE41" i="13"/>
  <c r="L42" i="13"/>
  <c r="T42" i="13"/>
  <c r="AC42" i="13"/>
  <c r="AL42" i="13"/>
  <c r="R26" i="16"/>
  <c r="Q141" i="16"/>
  <c r="I4" i="17"/>
  <c r="Y4" i="17"/>
  <c r="AO4" i="17"/>
  <c r="AP5" i="18"/>
  <c r="AH5" i="18"/>
  <c r="Z5" i="18"/>
  <c r="R5" i="18"/>
  <c r="AO5" i="18"/>
  <c r="AG5" i="18"/>
  <c r="Y5" i="18"/>
  <c r="Q5" i="18"/>
  <c r="I5" i="18"/>
  <c r="AM5" i="18"/>
  <c r="AE5" i="18"/>
  <c r="W5" i="18"/>
  <c r="O5" i="18"/>
  <c r="AJ5" i="18"/>
  <c r="AB5" i="18"/>
  <c r="T5" i="18"/>
  <c r="L5" i="18"/>
  <c r="P5" i="18"/>
  <c r="AF5" i="18"/>
  <c r="AE26" i="16" s="1"/>
  <c r="I14" i="18"/>
  <c r="H37" i="7" s="1"/>
  <c r="Y14" i="18"/>
  <c r="X37" i="7" s="1"/>
  <c r="AO14" i="18"/>
  <c r="AN37" i="7" s="1"/>
  <c r="AD141" i="16"/>
  <c r="N4" i="17"/>
  <c r="AD4" i="17"/>
  <c r="U5" i="18"/>
  <c r="AK5" i="18"/>
  <c r="N14" i="18"/>
  <c r="M37" i="7" s="1"/>
  <c r="AD14" i="18"/>
  <c r="AC37" i="7" s="1"/>
  <c r="P4" i="17"/>
  <c r="AF4" i="17"/>
  <c r="P14" i="18"/>
  <c r="O37" i="7" s="1"/>
  <c r="AF14" i="18"/>
  <c r="AE37" i="7" s="1"/>
  <c r="Q4" i="17"/>
  <c r="Q14" i="18"/>
  <c r="P37" i="7" s="1"/>
  <c r="AG14" i="18"/>
  <c r="AF37" i="7" s="1"/>
  <c r="AS4" i="17"/>
  <c r="AK4" i="17"/>
  <c r="AC4" i="17"/>
  <c r="U4" i="17"/>
  <c r="M4" i="17"/>
  <c r="AR4" i="17"/>
  <c r="AJ4" i="17"/>
  <c r="AB4" i="17"/>
  <c r="T4" i="17"/>
  <c r="AP4" i="17"/>
  <c r="AH4" i="17"/>
  <c r="Z4" i="17"/>
  <c r="R4" i="17"/>
  <c r="J4" i="17"/>
  <c r="D5" i="17"/>
  <c r="AM4" i="17"/>
  <c r="AE4" i="17"/>
  <c r="W4" i="17"/>
  <c r="O4" i="17"/>
  <c r="S4" i="17"/>
  <c r="AI4" i="17"/>
  <c r="S14" i="18"/>
  <c r="R37" i="7" s="1"/>
  <c r="AI14" i="18"/>
  <c r="AH37" i="7" s="1"/>
  <c r="E148" i="16"/>
  <c r="F36" i="16"/>
  <c r="V4" i="17"/>
  <c r="AL4" i="17"/>
  <c r="F14" i="18"/>
  <c r="E37" i="7" s="1"/>
  <c r="V14" i="18"/>
  <c r="U37" i="7" s="1"/>
  <c r="AJ14" i="18"/>
  <c r="AI37" i="7" s="1"/>
  <c r="AK14" i="18"/>
  <c r="AJ37" i="7" s="1"/>
  <c r="AC14" i="18"/>
  <c r="AB37" i="7" s="1"/>
  <c r="U14" i="18"/>
  <c r="T37" i="7" s="1"/>
  <c r="M14" i="18"/>
  <c r="L37" i="7" s="1"/>
  <c r="AP14" i="18"/>
  <c r="AO37" i="7" s="1"/>
  <c r="AH14" i="18"/>
  <c r="AG37" i="7" s="1"/>
  <c r="Z14" i="18"/>
  <c r="Y37" i="7" s="1"/>
  <c r="R14" i="18"/>
  <c r="J14" i="18"/>
  <c r="I37" i="7" s="1"/>
  <c r="G14" i="18"/>
  <c r="F37" i="7" s="1"/>
  <c r="O14" i="18"/>
  <c r="N37" i="7" s="1"/>
  <c r="W14" i="18"/>
  <c r="V37" i="7" s="1"/>
  <c r="AE14" i="18"/>
  <c r="Q22" i="19"/>
  <c r="Q24" i="19"/>
  <c r="Y9" i="19"/>
  <c r="BA9" i="19"/>
  <c r="CA9" i="19"/>
  <c r="DD9" i="19"/>
  <c r="EO9" i="19"/>
  <c r="GB9" i="19"/>
  <c r="L14" i="18"/>
  <c r="K37" i="7" s="1"/>
  <c r="T14" i="18"/>
  <c r="S37" i="7" s="1"/>
  <c r="AB14" i="18"/>
  <c r="AA37" i="7" s="1"/>
  <c r="AB9" i="19"/>
  <c r="BB9" i="19"/>
  <c r="CB9" i="19"/>
  <c r="DN9" i="19"/>
  <c r="ER9" i="19"/>
  <c r="GC9" i="19"/>
  <c r="M20" i="19"/>
  <c r="Q20" i="19" s="1"/>
  <c r="V20" i="19" s="1"/>
  <c r="H20" i="19"/>
  <c r="GA9" i="19"/>
  <c r="FM9" i="19"/>
  <c r="EY9" i="19"/>
  <c r="EM9" i="19"/>
  <c r="DY9" i="19"/>
  <c r="DK9" i="19"/>
  <c r="CY9" i="19"/>
  <c r="CK9" i="19"/>
  <c r="BW9" i="19"/>
  <c r="BK9" i="19"/>
  <c r="AW9" i="19"/>
  <c r="AI9" i="19"/>
  <c r="W9" i="19"/>
  <c r="N10" i="19"/>
  <c r="N11" i="19" s="1"/>
  <c r="FX9" i="19"/>
  <c r="FL9" i="19"/>
  <c r="EX9" i="19"/>
  <c r="EJ9" i="19"/>
  <c r="DX9" i="19"/>
  <c r="DJ9" i="19"/>
  <c r="CV9" i="19"/>
  <c r="FW9" i="19"/>
  <c r="FI9" i="19"/>
  <c r="EW9" i="19"/>
  <c r="EI9" i="19"/>
  <c r="DU9" i="19"/>
  <c r="DI9" i="19"/>
  <c r="CU9" i="19"/>
  <c r="CG9" i="19"/>
  <c r="BU9" i="19"/>
  <c r="BG9" i="19"/>
  <c r="AS9" i="19"/>
  <c r="AG9" i="19"/>
  <c r="S9" i="19"/>
  <c r="GH9" i="19"/>
  <c r="FV9" i="19"/>
  <c r="FH9" i="19"/>
  <c r="ET9" i="19"/>
  <c r="EH9" i="19"/>
  <c r="DT9" i="19"/>
  <c r="DF9" i="19"/>
  <c r="CT9" i="19"/>
  <c r="CF9" i="19"/>
  <c r="BR9" i="19"/>
  <c r="BF9" i="19"/>
  <c r="AR9" i="19"/>
  <c r="AD9" i="19"/>
  <c r="R9" i="19"/>
  <c r="GG9" i="19"/>
  <c r="FS9" i="19"/>
  <c r="FG9" i="19"/>
  <c r="ES9" i="19"/>
  <c r="EE9" i="19"/>
  <c r="DS9" i="19"/>
  <c r="DE9" i="19"/>
  <c r="CQ9" i="19"/>
  <c r="CE9" i="19"/>
  <c r="BQ9" i="19"/>
  <c r="BC9" i="19"/>
  <c r="AQ9" i="19"/>
  <c r="AC9" i="19"/>
  <c r="O9" i="19"/>
  <c r="M19" i="19"/>
  <c r="Q19" i="19" s="1"/>
  <c r="V19" i="19" s="1"/>
  <c r="T19" i="19" s="1"/>
  <c r="Q38" i="19"/>
  <c r="V38" i="19" s="1"/>
  <c r="T38" i="19" s="1"/>
  <c r="M21" i="19"/>
  <c r="Q21" i="19" s="1"/>
  <c r="H23" i="19"/>
  <c r="M29" i="19"/>
  <c r="Q29" i="19" s="1"/>
  <c r="V29" i="19" s="1"/>
  <c r="T29" i="19" s="1"/>
  <c r="H29" i="19"/>
  <c r="M31" i="19"/>
  <c r="Q31" i="19" s="1"/>
  <c r="V31" i="19" s="1"/>
  <c r="T31" i="19" s="1"/>
  <c r="M27" i="19"/>
  <c r="Q27" i="19" s="1"/>
  <c r="M91" i="19"/>
  <c r="Q91" i="19" s="1"/>
  <c r="M87" i="19"/>
  <c r="Q87" i="19" s="1"/>
  <c r="M88" i="19"/>
  <c r="Q88" i="19" s="1"/>
  <c r="M84" i="19"/>
  <c r="Q84" i="19" s="1"/>
  <c r="M77" i="19"/>
  <c r="Q77" i="19" s="1"/>
  <c r="M78" i="19"/>
  <c r="Q78" i="19" s="1"/>
  <c r="M79" i="19"/>
  <c r="M76" i="19"/>
  <c r="Q76" i="19" s="1"/>
  <c r="M70" i="19"/>
  <c r="M75" i="19"/>
  <c r="Q75" i="19" s="1"/>
  <c r="M68" i="19"/>
  <c r="Q68" i="19" s="1"/>
  <c r="M65" i="19"/>
  <c r="Q65" i="19" s="1"/>
  <c r="M61" i="19"/>
  <c r="Q61" i="19" s="1"/>
  <c r="M58" i="19"/>
  <c r="M64" i="19"/>
  <c r="Q64" i="19" s="1"/>
  <c r="M54" i="19"/>
  <c r="M53" i="19"/>
  <c r="Q53" i="19" s="1"/>
  <c r="M50" i="19"/>
  <c r="Q50" i="19" s="1"/>
  <c r="M51" i="19"/>
  <c r="Q51" i="19" s="1"/>
  <c r="M45" i="19"/>
  <c r="Q45" i="19" s="1"/>
  <c r="M40" i="19"/>
  <c r="Q40" i="19" s="1"/>
  <c r="V40" i="19" s="1"/>
  <c r="M38" i="19"/>
  <c r="M32" i="19"/>
  <c r="M39" i="19"/>
  <c r="Q39" i="19" s="1"/>
  <c r="V39" i="19" s="1"/>
  <c r="T39" i="19" s="1"/>
  <c r="M37" i="19"/>
  <c r="Q37" i="19" s="1"/>
  <c r="M36" i="19"/>
  <c r="Q36" i="19" s="1"/>
  <c r="M23" i="19"/>
  <c r="Q23" i="19" s="1"/>
  <c r="V23" i="19" s="1"/>
  <c r="T23" i="19" s="1"/>
  <c r="H22" i="19"/>
  <c r="M26" i="19"/>
  <c r="Q26" i="19" s="1"/>
  <c r="O26" i="19" s="1"/>
  <c r="H27" i="19"/>
  <c r="M30" i="19"/>
  <c r="Q30" i="19" s="1"/>
  <c r="H30" i="19"/>
  <c r="H19" i="19"/>
  <c r="M25" i="19"/>
  <c r="Q25" i="19" s="1"/>
  <c r="M33" i="19"/>
  <c r="Q33" i="19" s="1"/>
  <c r="V33" i="19" s="1"/>
  <c r="Q34" i="19"/>
  <c r="Q32" i="19"/>
  <c r="M43" i="19"/>
  <c r="Q43" i="19" s="1"/>
  <c r="H43" i="19"/>
  <c r="H48" i="19"/>
  <c r="M48" i="19"/>
  <c r="Q48" i="19" s="1"/>
  <c r="M28" i="19"/>
  <c r="Q28" i="19" s="1"/>
  <c r="O28" i="19" s="1"/>
  <c r="M41" i="19"/>
  <c r="Q41" i="19" s="1"/>
  <c r="V41" i="19" s="1"/>
  <c r="N52" i="19"/>
  <c r="H32" i="19"/>
  <c r="N50" i="19"/>
  <c r="M35" i="19"/>
  <c r="Q35" i="19" s="1"/>
  <c r="V35" i="19" s="1"/>
  <c r="N44" i="19"/>
  <c r="N45" i="19"/>
  <c r="N57" i="19"/>
  <c r="H36" i="19"/>
  <c r="M46" i="19"/>
  <c r="Q46" i="19" s="1"/>
  <c r="H46" i="19"/>
  <c r="H31" i="19"/>
  <c r="H49" i="19"/>
  <c r="M49" i="19"/>
  <c r="Q49" i="19" s="1"/>
  <c r="N51" i="19"/>
  <c r="M52" i="19"/>
  <c r="Q52" i="19" s="1"/>
  <c r="H52" i="19"/>
  <c r="N53" i="19"/>
  <c r="M47" i="19"/>
  <c r="Q47" i="19" s="1"/>
  <c r="N49" i="19"/>
  <c r="N55" i="19"/>
  <c r="N46" i="19"/>
  <c r="H47" i="19"/>
  <c r="M55" i="19"/>
  <c r="Q55" i="19" s="1"/>
  <c r="H55" i="19"/>
  <c r="M42" i="19"/>
  <c r="Q42" i="19" s="1"/>
  <c r="M44" i="19"/>
  <c r="Q44" i="19" s="1"/>
  <c r="Q59" i="19"/>
  <c r="N59" i="19"/>
  <c r="H56" i="19"/>
  <c r="N62" i="19"/>
  <c r="Q54" i="19"/>
  <c r="M56" i="19"/>
  <c r="Q56" i="19" s="1"/>
  <c r="Q58" i="19"/>
  <c r="Q60" i="19"/>
  <c r="N60" i="19"/>
  <c r="H59" i="19"/>
  <c r="H61" i="19"/>
  <c r="M69" i="19"/>
  <c r="H69" i="19"/>
  <c r="N66" i="19"/>
  <c r="N63" i="19"/>
  <c r="M66" i="19"/>
  <c r="Q66" i="19" s="1"/>
  <c r="H66" i="19"/>
  <c r="H57" i="19"/>
  <c r="M59" i="19"/>
  <c r="M57" i="19"/>
  <c r="Q57" i="19" s="1"/>
  <c r="Q69" i="19"/>
  <c r="N69" i="19"/>
  <c r="M60" i="19"/>
  <c r="M62" i="19"/>
  <c r="Q62" i="19" s="1"/>
  <c r="Q70" i="19"/>
  <c r="N70" i="19"/>
  <c r="H65" i="19"/>
  <c r="N68" i="19"/>
  <c r="N67" i="19"/>
  <c r="M67" i="19"/>
  <c r="Q67" i="19" s="1"/>
  <c r="M73" i="19"/>
  <c r="Q73" i="19" s="1"/>
  <c r="H73" i="19"/>
  <c r="H68" i="19"/>
  <c r="N84" i="19"/>
  <c r="M63" i="19"/>
  <c r="Q63" i="19" s="1"/>
  <c r="H72" i="19"/>
  <c r="M72" i="19"/>
  <c r="Q72" i="19" s="1"/>
  <c r="M71" i="19"/>
  <c r="Q71" i="19" s="1"/>
  <c r="N77" i="19"/>
  <c r="N80" i="19"/>
  <c r="H82" i="19"/>
  <c r="M82" i="19"/>
  <c r="N79" i="19"/>
  <c r="Q79" i="19"/>
  <c r="M74" i="19"/>
  <c r="Q74" i="19" s="1"/>
  <c r="H76" i="19"/>
  <c r="H79" i="19"/>
  <c r="N86" i="19"/>
  <c r="H83" i="19"/>
  <c r="M83" i="19"/>
  <c r="Q83" i="19" s="1"/>
  <c r="Q85" i="19"/>
  <c r="N85" i="19"/>
  <c r="M81" i="19"/>
  <c r="Q81" i="19" s="1"/>
  <c r="H81" i="19"/>
  <c r="M86" i="19"/>
  <c r="Q86" i="19" s="1"/>
  <c r="H86" i="19"/>
  <c r="H85" i="19"/>
  <c r="M85" i="19"/>
  <c r="Q82" i="19"/>
  <c r="H84" i="19"/>
  <c r="H88" i="19"/>
  <c r="M80" i="19"/>
  <c r="Q80" i="19" s="1"/>
  <c r="T80" i="19" s="1"/>
  <c r="S80" i="19" s="1"/>
  <c r="M92" i="19"/>
  <c r="Q92" i="19" s="1"/>
  <c r="H91" i="19"/>
  <c r="M95" i="19"/>
  <c r="Q95" i="19" s="1"/>
  <c r="H95" i="19"/>
  <c r="M89" i="19"/>
  <c r="Q89" i="19" s="1"/>
  <c r="M90" i="19"/>
  <c r="Q90" i="19" s="1"/>
  <c r="N92" i="19"/>
  <c r="Q93" i="19"/>
  <c r="M94" i="19"/>
  <c r="Q94" i="19" s="1"/>
  <c r="M93" i="19"/>
  <c r="H93" i="19"/>
  <c r="M96" i="19"/>
  <c r="Q96" i="19" s="1"/>
  <c r="T96" i="19" s="1"/>
  <c r="S96" i="19" s="1"/>
  <c r="H96" i="19"/>
  <c r="T41" i="19" l="1"/>
  <c r="W41" i="19"/>
  <c r="AA41" i="19" s="1"/>
  <c r="AB41" i="19" s="1"/>
  <c r="AF41" i="19" s="1"/>
  <c r="V21" i="19"/>
  <c r="O21" i="19"/>
  <c r="T81" i="19"/>
  <c r="S81" i="19" s="1"/>
  <c r="R81" i="19"/>
  <c r="V81" i="19" s="1"/>
  <c r="V69" i="19"/>
  <c r="T69" i="19"/>
  <c r="S69" i="19" s="1"/>
  <c r="R69" i="19"/>
  <c r="V55" i="19"/>
  <c r="T55" i="19"/>
  <c r="S55" i="19" s="1"/>
  <c r="R55" i="19"/>
  <c r="T50" i="19"/>
  <c r="S50" i="19" s="1"/>
  <c r="R50" i="19"/>
  <c r="V50" i="19" s="1"/>
  <c r="T75" i="19"/>
  <c r="S75" i="19" s="1"/>
  <c r="R75" i="19"/>
  <c r="V75" i="19" s="1"/>
  <c r="T87" i="19"/>
  <c r="S87" i="19" s="1"/>
  <c r="R87" i="19"/>
  <c r="V87" i="19" s="1"/>
  <c r="O36" i="10"/>
  <c r="N36" i="10" s="1"/>
  <c r="T33" i="10"/>
  <c r="T56" i="19"/>
  <c r="S56" i="19" s="1"/>
  <c r="R56" i="19"/>
  <c r="V56" i="19" s="1"/>
  <c r="V63" i="19"/>
  <c r="T63" i="19"/>
  <c r="S63" i="19" s="1"/>
  <c r="R63" i="19"/>
  <c r="T35" i="19"/>
  <c r="Y35" i="19"/>
  <c r="X35" i="19" s="1"/>
  <c r="T39" i="10"/>
  <c r="S39" i="10" s="1"/>
  <c r="O40" i="19"/>
  <c r="T51" i="10"/>
  <c r="S51" i="10" s="1"/>
  <c r="R51" i="10"/>
  <c r="V51" i="10" s="1"/>
  <c r="Y51" i="10" s="1"/>
  <c r="T48" i="19"/>
  <c r="S48" i="19" s="1"/>
  <c r="R48" i="19"/>
  <c r="V48" i="19" s="1"/>
  <c r="V53" i="19"/>
  <c r="T53" i="19"/>
  <c r="S53" i="19" s="1"/>
  <c r="R53" i="19"/>
  <c r="T47" i="19"/>
  <c r="S47" i="19" s="1"/>
  <c r="R47" i="19"/>
  <c r="V47" i="19" s="1"/>
  <c r="T77" i="19"/>
  <c r="S77" i="19" s="1"/>
  <c r="R77" i="19"/>
  <c r="V77" i="19" s="1"/>
  <c r="T40" i="19"/>
  <c r="T94" i="19"/>
  <c r="S94" i="19" s="1"/>
  <c r="R94" i="19"/>
  <c r="V94" i="19" s="1"/>
  <c r="T92" i="19"/>
  <c r="S92" i="19" s="1"/>
  <c r="R92" i="19"/>
  <c r="V92" i="19" s="1"/>
  <c r="T73" i="19"/>
  <c r="S73" i="19" s="1"/>
  <c r="R73" i="19"/>
  <c r="V73" i="19" s="1"/>
  <c r="T84" i="19"/>
  <c r="S84" i="19" s="1"/>
  <c r="R84" i="19"/>
  <c r="V84" i="19" s="1"/>
  <c r="O32" i="10"/>
  <c r="N32" i="10" s="1"/>
  <c r="T42" i="10"/>
  <c r="T38" i="10"/>
  <c r="AD19" i="19"/>
  <c r="AC19" i="19" s="1"/>
  <c r="T82" i="19"/>
  <c r="S82" i="19" s="1"/>
  <c r="R82" i="19"/>
  <c r="V82" i="19" s="1"/>
  <c r="V79" i="19"/>
  <c r="T79" i="19"/>
  <c r="S79" i="19" s="1"/>
  <c r="R79" i="19"/>
  <c r="T62" i="19"/>
  <c r="S62" i="19" s="1"/>
  <c r="R62" i="19"/>
  <c r="V62" i="19" s="1"/>
  <c r="T72" i="19"/>
  <c r="S72" i="19" s="1"/>
  <c r="R72" i="19"/>
  <c r="V72" i="19" s="1"/>
  <c r="T58" i="19"/>
  <c r="S58" i="19" s="1"/>
  <c r="R58" i="19"/>
  <c r="V58" i="19" s="1"/>
  <c r="R83" i="19"/>
  <c r="V83" i="19" s="1"/>
  <c r="T83" i="19"/>
  <c r="S83" i="19" s="1"/>
  <c r="T67" i="19"/>
  <c r="S67" i="19" s="1"/>
  <c r="R67" i="19"/>
  <c r="V67" i="19" s="1"/>
  <c r="V25" i="19"/>
  <c r="O25" i="19"/>
  <c r="R51" i="19"/>
  <c r="V51" i="19" s="1"/>
  <c r="T51" i="19"/>
  <c r="S51" i="19" s="1"/>
  <c r="T68" i="19"/>
  <c r="S68" i="19" s="1"/>
  <c r="R68" i="19"/>
  <c r="V68" i="19" s="1"/>
  <c r="T88" i="19"/>
  <c r="S88" i="19" s="1"/>
  <c r="R88" i="19"/>
  <c r="V88" i="19" s="1"/>
  <c r="O24" i="19"/>
  <c r="N24" i="19" s="1"/>
  <c r="N41" i="10"/>
  <c r="O41" i="10"/>
  <c r="AF19" i="19"/>
  <c r="V34" i="19"/>
  <c r="O29" i="19"/>
  <c r="N29" i="19" s="1"/>
  <c r="V93" i="19"/>
  <c r="T93" i="19"/>
  <c r="S93" i="19" s="1"/>
  <c r="R93" i="19"/>
  <c r="V37" i="19"/>
  <c r="O37" i="19"/>
  <c r="T91" i="19"/>
  <c r="S91" i="19" s="1"/>
  <c r="R91" i="19"/>
  <c r="V91" i="19" s="1"/>
  <c r="G5" i="18"/>
  <c r="O42" i="19"/>
  <c r="O40" i="10"/>
  <c r="N40" i="10" s="1"/>
  <c r="T23" i="10"/>
  <c r="S23" i="10" s="1"/>
  <c r="O31" i="10"/>
  <c r="N31" i="10" s="1"/>
  <c r="AA23" i="19"/>
  <c r="Y23" i="19" s="1"/>
  <c r="X23" i="19" s="1"/>
  <c r="W28" i="10"/>
  <c r="AA28" i="10" s="1"/>
  <c r="Y28" i="10"/>
  <c r="T28" i="10"/>
  <c r="S28" i="10" s="1"/>
  <c r="T57" i="19"/>
  <c r="S57" i="19" s="1"/>
  <c r="V57" i="19"/>
  <c r="R57" i="19"/>
  <c r="R54" i="19"/>
  <c r="V54" i="19" s="1"/>
  <c r="T54" i="19"/>
  <c r="S54" i="19" s="1"/>
  <c r="T86" i="19"/>
  <c r="S86" i="19" s="1"/>
  <c r="R86" i="19"/>
  <c r="V86" i="19" s="1"/>
  <c r="T46" i="19"/>
  <c r="S46" i="19" s="1"/>
  <c r="R46" i="19"/>
  <c r="V46" i="19" s="1"/>
  <c r="T76" i="19"/>
  <c r="S76" i="19" s="1"/>
  <c r="R76" i="19"/>
  <c r="V76" i="19" s="1"/>
  <c r="T20" i="19"/>
  <c r="S20" i="19" s="1"/>
  <c r="O35" i="19"/>
  <c r="O38" i="19"/>
  <c r="S38" i="19" s="1"/>
  <c r="O33" i="19"/>
  <c r="R96" i="19"/>
  <c r="V96" i="19" s="1"/>
  <c r="R40" i="14"/>
  <c r="R49" i="7"/>
  <c r="T90" i="19"/>
  <c r="S90" i="19" s="1"/>
  <c r="R90" i="19"/>
  <c r="V90" i="19" s="1"/>
  <c r="V43" i="19"/>
  <c r="T43" i="19"/>
  <c r="S43" i="19" s="1"/>
  <c r="R43" i="19"/>
  <c r="T64" i="19"/>
  <c r="S64" i="19" s="1"/>
  <c r="R64" i="19"/>
  <c r="V64" i="19" s="1"/>
  <c r="V27" i="19"/>
  <c r="O27" i="19"/>
  <c r="T19" i="10"/>
  <c r="O27" i="10"/>
  <c r="O21" i="10"/>
  <c r="N21" i="10" s="1"/>
  <c r="M7" i="10" s="1"/>
  <c r="R80" i="19"/>
  <c r="V80" i="19" s="1"/>
  <c r="W37" i="10"/>
  <c r="AA37" i="10" s="1"/>
  <c r="Y37" i="10" s="1"/>
  <c r="T37" i="10"/>
  <c r="T74" i="19"/>
  <c r="S74" i="19" s="1"/>
  <c r="R74" i="19"/>
  <c r="V74" i="19" s="1"/>
  <c r="V71" i="19"/>
  <c r="T71" i="19"/>
  <c r="S71" i="19" s="1"/>
  <c r="R71" i="19"/>
  <c r="R70" i="19"/>
  <c r="V70" i="19" s="1"/>
  <c r="T70" i="19"/>
  <c r="S70" i="19" s="1"/>
  <c r="T52" i="19"/>
  <c r="S52" i="19" s="1"/>
  <c r="R52" i="19"/>
  <c r="V52" i="19" s="1"/>
  <c r="N32" i="19"/>
  <c r="V32" i="19"/>
  <c r="T78" i="19"/>
  <c r="S78" i="19" s="1"/>
  <c r="R78" i="19"/>
  <c r="V78" i="19" s="1"/>
  <c r="O41" i="19"/>
  <c r="O31" i="19"/>
  <c r="S31" i="19" s="1"/>
  <c r="O34" i="19"/>
  <c r="O23" i="19"/>
  <c r="S23" i="19" s="1"/>
  <c r="Y38" i="19"/>
  <c r="X38" i="19" s="1"/>
  <c r="V24" i="19"/>
  <c r="R50" i="10"/>
  <c r="V50" i="10" s="1"/>
  <c r="Y50" i="10" s="1"/>
  <c r="T50" i="10"/>
  <c r="S50" i="10" s="1"/>
  <c r="R54" i="10"/>
  <c r="T54" i="10"/>
  <c r="S54" i="10" s="1"/>
  <c r="V54" i="10"/>
  <c r="T89" i="19"/>
  <c r="S89" i="19" s="1"/>
  <c r="V89" i="19"/>
  <c r="R89" i="19"/>
  <c r="T66" i="19"/>
  <c r="S66" i="19" s="1"/>
  <c r="R66" i="19"/>
  <c r="V66" i="19" s="1"/>
  <c r="T60" i="19"/>
  <c r="S60" i="19" s="1"/>
  <c r="R60" i="19"/>
  <c r="V60" i="19" s="1"/>
  <c r="T59" i="19"/>
  <c r="S59" i="19" s="1"/>
  <c r="R59" i="19"/>
  <c r="V59" i="19" s="1"/>
  <c r="T61" i="19"/>
  <c r="S61" i="19" s="1"/>
  <c r="R61" i="19"/>
  <c r="V61" i="19" s="1"/>
  <c r="O19" i="19"/>
  <c r="S19" i="19" s="1"/>
  <c r="O22" i="19"/>
  <c r="N22" i="19" s="1"/>
  <c r="Y19" i="19"/>
  <c r="X19" i="19" s="1"/>
  <c r="N40" i="14"/>
  <c r="N49" i="7"/>
  <c r="T34" i="10"/>
  <c r="S34" i="10" s="1"/>
  <c r="O34" i="10"/>
  <c r="N34" i="10" s="1"/>
  <c r="T95" i="19"/>
  <c r="S95" i="19" s="1"/>
  <c r="R95" i="19"/>
  <c r="V95" i="19" s="1"/>
  <c r="V85" i="19"/>
  <c r="T85" i="19"/>
  <c r="S85" i="19" s="1"/>
  <c r="R85" i="19"/>
  <c r="T44" i="19"/>
  <c r="S44" i="19" s="1"/>
  <c r="R44" i="19"/>
  <c r="V44" i="19" s="1"/>
  <c r="T49" i="19"/>
  <c r="S49" i="19" s="1"/>
  <c r="R49" i="19"/>
  <c r="V49" i="19" s="1"/>
  <c r="T33" i="19"/>
  <c r="W33" i="19"/>
  <c r="AA33" i="19" s="1"/>
  <c r="T45" i="19"/>
  <c r="S45" i="19" s="1"/>
  <c r="R45" i="19"/>
  <c r="V45" i="19" s="1"/>
  <c r="T65" i="19"/>
  <c r="S65" i="19" s="1"/>
  <c r="R65" i="19"/>
  <c r="V65" i="19" s="1"/>
  <c r="O36" i="19"/>
  <c r="N36" i="19" s="1"/>
  <c r="T30" i="10"/>
  <c r="O35" i="10"/>
  <c r="N35" i="10" s="1"/>
  <c r="Y31" i="19"/>
  <c r="X31" i="19" s="1"/>
  <c r="O39" i="19"/>
  <c r="S39" i="19" s="1"/>
  <c r="I40" i="14"/>
  <c r="I49" i="7"/>
  <c r="F40" i="14"/>
  <c r="F49" i="7"/>
  <c r="V36" i="19"/>
  <c r="AA29" i="19"/>
  <c r="AF29" i="19" s="1"/>
  <c r="AA35" i="19"/>
  <c r="AB35" i="19" s="1"/>
  <c r="AF35" i="19" s="1"/>
  <c r="V28" i="19"/>
  <c r="AA26" i="19"/>
  <c r="AB26" i="19" s="1"/>
  <c r="AF26" i="19" s="1"/>
  <c r="AK19" i="19"/>
  <c r="V22" i="19"/>
  <c r="AA22" i="19" s="1"/>
  <c r="T24" i="10"/>
  <c r="AA40" i="19"/>
  <c r="AA24" i="19"/>
  <c r="AF24" i="19" s="1"/>
  <c r="AD24" i="19" s="1"/>
  <c r="V26" i="19"/>
  <c r="V42" i="19"/>
  <c r="R29" i="10"/>
  <c r="V29" i="10" s="1"/>
  <c r="T29" i="10" s="1"/>
  <c r="AA20" i="19"/>
  <c r="Y20" i="19" s="1"/>
  <c r="X20" i="19" s="1"/>
  <c r="AA38" i="19"/>
  <c r="AB38" i="19" s="1"/>
  <c r="AF38" i="19" s="1"/>
  <c r="R20" i="10"/>
  <c r="V20" i="10" s="1"/>
  <c r="T20" i="10" s="1"/>
  <c r="S20" i="10" s="1"/>
  <c r="AK29" i="19"/>
  <c r="R25" i="10"/>
  <c r="V25" i="10"/>
  <c r="AA25" i="19"/>
  <c r="AN40" i="14"/>
  <c r="AN49" i="7"/>
  <c r="AA37" i="19"/>
  <c r="AB37" i="19" s="1"/>
  <c r="AF37" i="19" s="1"/>
  <c r="AI40" i="14"/>
  <c r="AI49" i="7"/>
  <c r="G68" i="7" s="1"/>
  <c r="AA39" i="19"/>
  <c r="Y39" i="19" s="1"/>
  <c r="X39" i="19" s="1"/>
  <c r="AA28" i="19"/>
  <c r="AA31" i="19"/>
  <c r="V30" i="19"/>
  <c r="Z40" i="14"/>
  <c r="Z49" i="7"/>
  <c r="M5" i="10"/>
  <c r="M10" i="10"/>
  <c r="S10" i="10"/>
  <c r="S42" i="10"/>
  <c r="S38" i="10"/>
  <c r="N27" i="10"/>
  <c r="M6" i="10" s="1"/>
  <c r="S6" i="10"/>
  <c r="O6" i="10"/>
  <c r="R80" i="10"/>
  <c r="V80" i="10"/>
  <c r="Y80" i="10" s="1"/>
  <c r="S80" i="10"/>
  <c r="W91" i="10"/>
  <c r="AA91" i="10" s="1"/>
  <c r="X91" i="10"/>
  <c r="W82" i="10"/>
  <c r="AA82" i="10" s="1"/>
  <c r="X82" i="10"/>
  <c r="AC39" i="5"/>
  <c r="AC21" i="7"/>
  <c r="AM40" i="4"/>
  <c r="AN35" i="4"/>
  <c r="AL77" i="6"/>
  <c r="R55" i="10"/>
  <c r="V55" i="10" s="1"/>
  <c r="Y55" i="10" s="1"/>
  <c r="S55" i="10"/>
  <c r="N21" i="19"/>
  <c r="AA24" i="10"/>
  <c r="Y24" i="10" s="1"/>
  <c r="W24" i="10"/>
  <c r="S24" i="10"/>
  <c r="N42" i="19"/>
  <c r="AJ16" i="14"/>
  <c r="AJ50" i="7"/>
  <c r="R64" i="10"/>
  <c r="V64" i="10" s="1"/>
  <c r="Y64" i="10" s="1"/>
  <c r="S64" i="10"/>
  <c r="X93" i="10"/>
  <c r="W93" i="10"/>
  <c r="AA93" i="10" s="1"/>
  <c r="N20" i="19"/>
  <c r="R56" i="10"/>
  <c r="V56" i="10" s="1"/>
  <c r="Y56" i="10" s="1"/>
  <c r="S56" i="10"/>
  <c r="X70" i="10"/>
  <c r="W70" i="10"/>
  <c r="AA70" i="10" s="1"/>
  <c r="W43" i="10"/>
  <c r="AA43" i="10" s="1"/>
  <c r="X43" i="10"/>
  <c r="R88" i="10"/>
  <c r="V88" i="10" s="1"/>
  <c r="Y88" i="10" s="1"/>
  <c r="S88" i="10"/>
  <c r="N39" i="19"/>
  <c r="AO35" i="4"/>
  <c r="AM77" i="6"/>
  <c r="X86" i="10"/>
  <c r="W86" i="10"/>
  <c r="AA86" i="10" s="1"/>
  <c r="W23" i="10"/>
  <c r="AA23" i="10"/>
  <c r="Y23" i="10" s="1"/>
  <c r="W83" i="10"/>
  <c r="AA83" i="10" s="1"/>
  <c r="X83" i="10"/>
  <c r="X94" i="10"/>
  <c r="W94" i="10"/>
  <c r="AA94" i="10" s="1"/>
  <c r="O4" i="10"/>
  <c r="N26" i="10"/>
  <c r="M4" i="10" s="1"/>
  <c r="S4" i="10"/>
  <c r="S33" i="10"/>
  <c r="N28" i="19"/>
  <c r="R96" i="10"/>
  <c r="V96" i="10" s="1"/>
  <c r="Y96" i="10" s="1"/>
  <c r="S96" i="10"/>
  <c r="R95" i="10"/>
  <c r="V95" i="10" s="1"/>
  <c r="Y95" i="10" s="1"/>
  <c r="S95" i="10"/>
  <c r="AN21" i="7"/>
  <c r="AN39" i="5"/>
  <c r="W75" i="10"/>
  <c r="AA75" i="10" s="1"/>
  <c r="X75" i="10"/>
  <c r="W51" i="10"/>
  <c r="AA51" i="10" s="1"/>
  <c r="X51" i="10"/>
  <c r="N41" i="19"/>
  <c r="AG47" i="14"/>
  <c r="AG56" i="7"/>
  <c r="O47" i="14"/>
  <c r="O56" i="7"/>
  <c r="M47" i="14"/>
  <c r="M56" i="7"/>
  <c r="R29" i="16"/>
  <c r="R142" i="16" s="1"/>
  <c r="S26" i="16"/>
  <c r="R141" i="16"/>
  <c r="AE29" i="16"/>
  <c r="AE142" i="16" s="1"/>
  <c r="AF26" i="16"/>
  <c r="AE141" i="16"/>
  <c r="T76" i="14"/>
  <c r="S57" i="10"/>
  <c r="R57" i="10"/>
  <c r="V57" i="10" s="1"/>
  <c r="Y57" i="10" s="1"/>
  <c r="X8" i="10"/>
  <c r="T8" i="10"/>
  <c r="S37" i="10"/>
  <c r="R8" i="10" s="1"/>
  <c r="W66" i="10"/>
  <c r="AA66" i="10" s="1"/>
  <c r="X66" i="10"/>
  <c r="W29" i="10"/>
  <c r="AA29" i="10" s="1"/>
  <c r="AP14" i="14"/>
  <c r="O6" i="13"/>
  <c r="J8" i="7" s="1"/>
  <c r="I14" i="14"/>
  <c r="F28" i="6"/>
  <c r="E27" i="6"/>
  <c r="AD39" i="4"/>
  <c r="AC42" i="4" s="1"/>
  <c r="AC38" i="4"/>
  <c r="AC40" i="4" s="1"/>
  <c r="P6" i="13"/>
  <c r="K8" i="7" s="1"/>
  <c r="R6" i="13"/>
  <c r="M8" i="7" s="1"/>
  <c r="AS6" i="13"/>
  <c r="AN8" i="7" s="1"/>
  <c r="AE6" i="13"/>
  <c r="Z8" i="7" s="1"/>
  <c r="W90" i="10"/>
  <c r="AA90" i="10" s="1"/>
  <c r="X90" i="10"/>
  <c r="E65" i="7"/>
  <c r="E128" i="16"/>
  <c r="R78" i="10"/>
  <c r="V78" i="10" s="1"/>
  <c r="Y78" i="10" s="1"/>
  <c r="S78" i="10"/>
  <c r="R48" i="10"/>
  <c r="V48" i="10" s="1"/>
  <c r="Y48" i="10" s="1"/>
  <c r="S48" i="10"/>
  <c r="AE11" i="16"/>
  <c r="AE106" i="6"/>
  <c r="H23" i="5"/>
  <c r="H32" i="5" s="1"/>
  <c r="H40" i="5" s="1"/>
  <c r="H21" i="7" s="1"/>
  <c r="I28" i="5"/>
  <c r="W67" i="10"/>
  <c r="AA67" i="10" s="1"/>
  <c r="X67" i="10"/>
  <c r="AG76" i="14"/>
  <c r="AP21" i="7"/>
  <c r="AP39" i="5"/>
  <c r="AA61" i="10"/>
  <c r="X61" i="10"/>
  <c r="W61" i="10"/>
  <c r="AI11" i="7"/>
  <c r="AK33" i="4"/>
  <c r="S19" i="14"/>
  <c r="S55" i="7"/>
  <c r="G29" i="6"/>
  <c r="F50" i="6"/>
  <c r="F9" i="14" s="1"/>
  <c r="L33" i="4"/>
  <c r="J11" i="7"/>
  <c r="AA39" i="5"/>
  <c r="AA21" i="7"/>
  <c r="G33" i="9"/>
  <c r="H34" i="9"/>
  <c r="AR42" i="4"/>
  <c r="AS40" i="4"/>
  <c r="X76" i="10"/>
  <c r="W76" i="10"/>
  <c r="AA76" i="10" s="1"/>
  <c r="AH77" i="6"/>
  <c r="AJ34" i="4"/>
  <c r="R87" i="10"/>
  <c r="V87" i="10"/>
  <c r="Y87" i="10" s="1"/>
  <c r="S87" i="10"/>
  <c r="R47" i="10"/>
  <c r="V47" i="10" s="1"/>
  <c r="Y47" i="10" s="1"/>
  <c r="S47" i="10"/>
  <c r="R62" i="10"/>
  <c r="V62" i="10" s="1"/>
  <c r="Y62" i="10" s="1"/>
  <c r="S62" i="10"/>
  <c r="M6" i="13"/>
  <c r="H8" i="7" s="1"/>
  <c r="X28" i="10"/>
  <c r="S30" i="10"/>
  <c r="R71" i="10"/>
  <c r="V71" i="10"/>
  <c r="Y71" i="10" s="1"/>
  <c r="S71" i="10"/>
  <c r="W38" i="10"/>
  <c r="AA38" i="10" s="1"/>
  <c r="Y38" i="10" s="1"/>
  <c r="R10" i="16"/>
  <c r="Y77" i="6"/>
  <c r="AO40" i="5"/>
  <c r="Z11" i="7"/>
  <c r="AB33" i="4"/>
  <c r="AJ11" i="7"/>
  <c r="AL33" i="4"/>
  <c r="X21" i="7"/>
  <c r="X39" i="5"/>
  <c r="L47" i="14"/>
  <c r="L56" i="7"/>
  <c r="F148" i="16"/>
  <c r="G36" i="16"/>
  <c r="AN47" i="14"/>
  <c r="AN56" i="7"/>
  <c r="S11" i="16"/>
  <c r="R130" i="16"/>
  <c r="S73" i="10"/>
  <c r="R73" i="10"/>
  <c r="V73" i="10" s="1"/>
  <c r="Y73" i="10" s="1"/>
  <c r="AA52" i="10"/>
  <c r="X52" i="10"/>
  <c r="W52" i="10"/>
  <c r="W34" i="10"/>
  <c r="AA34" i="10" s="1"/>
  <c r="Y34" i="10" s="1"/>
  <c r="S3" i="10"/>
  <c r="O3" i="10"/>
  <c r="N25" i="10"/>
  <c r="M3" i="10" s="1"/>
  <c r="Q38" i="4"/>
  <c r="AA66" i="9"/>
  <c r="AF77" i="6"/>
  <c r="AH34" i="4"/>
  <c r="AI40" i="5"/>
  <c r="L38" i="4"/>
  <c r="L40" i="4" s="1"/>
  <c r="M39" i="4"/>
  <c r="L42" i="4" s="1"/>
  <c r="AG6" i="13"/>
  <c r="AB8" i="7" s="1"/>
  <c r="AJ6" i="13"/>
  <c r="AE8" i="7" s="1"/>
  <c r="U6" i="13"/>
  <c r="P8" i="7" s="1"/>
  <c r="X77" i="10"/>
  <c r="W77" i="10"/>
  <c r="AA77" i="10" s="1"/>
  <c r="G65" i="7"/>
  <c r="AM14" i="14"/>
  <c r="G44" i="9"/>
  <c r="H26" i="9"/>
  <c r="AE21" i="7"/>
  <c r="AE39" i="5"/>
  <c r="S94" i="10"/>
  <c r="AF39" i="5"/>
  <c r="AF21" i="7"/>
  <c r="V33" i="4"/>
  <c r="T11" i="7"/>
  <c r="AB40" i="4"/>
  <c r="AK39" i="5"/>
  <c r="AK21" i="7"/>
  <c r="T40" i="4"/>
  <c r="N35" i="19"/>
  <c r="AA6" i="13"/>
  <c r="V8" i="7" s="1"/>
  <c r="R72" i="10"/>
  <c r="V72" i="10" s="1"/>
  <c r="Y72" i="10" s="1"/>
  <c r="S72" i="10"/>
  <c r="T47" i="14"/>
  <c r="T56" i="7"/>
  <c r="X47" i="14"/>
  <c r="X56" i="7"/>
  <c r="Q57" i="14"/>
  <c r="Q70" i="14" s="1"/>
  <c r="Q67" i="14"/>
  <c r="J6" i="13"/>
  <c r="E8" i="7" s="1"/>
  <c r="E130" i="16"/>
  <c r="F11" i="16"/>
  <c r="X92" i="10"/>
  <c r="W92" i="10"/>
  <c r="AA92" i="10" s="1"/>
  <c r="S49" i="10"/>
  <c r="R49" i="10"/>
  <c r="V49" i="10" s="1"/>
  <c r="Y49" i="10" s="1"/>
  <c r="S22" i="10"/>
  <c r="N38" i="10"/>
  <c r="M8" i="10" s="1"/>
  <c r="O8" i="10"/>
  <c r="AJ66" i="9"/>
  <c r="AP103" i="6"/>
  <c r="AE103" i="6"/>
  <c r="I38" i="4"/>
  <c r="I40" i="4" s="1"/>
  <c r="R36" i="10"/>
  <c r="V36" i="10" s="1"/>
  <c r="AI34" i="4"/>
  <c r="AG77" i="6"/>
  <c r="X45" i="10"/>
  <c r="W45" i="10"/>
  <c r="AA45" i="10" s="1"/>
  <c r="E42" i="9"/>
  <c r="W77" i="6"/>
  <c r="Y34" i="4"/>
  <c r="Y32" i="5"/>
  <c r="W40" i="5" s="1"/>
  <c r="AP6" i="13"/>
  <c r="AK8" i="7" s="1"/>
  <c r="AR6" i="13"/>
  <c r="AM8" i="7" s="1"/>
  <c r="AD6" i="13"/>
  <c r="Y8" i="7" s="1"/>
  <c r="B26" i="3"/>
  <c r="F32" i="16" s="1"/>
  <c r="B25" i="3"/>
  <c r="R41" i="10"/>
  <c r="V41" i="10" s="1"/>
  <c r="R26" i="10"/>
  <c r="V26" i="10" s="1"/>
  <c r="F65" i="7"/>
  <c r="AE77" i="6"/>
  <c r="AG34" i="4"/>
  <c r="AB39" i="5"/>
  <c r="AB21" i="7"/>
  <c r="AC77" i="6"/>
  <c r="AE34" i="4"/>
  <c r="AM21" i="7"/>
  <c r="AM39" i="5"/>
  <c r="F24" i="9"/>
  <c r="G25" i="9"/>
  <c r="F43" i="9"/>
  <c r="R27" i="10"/>
  <c r="V27" i="10" s="1"/>
  <c r="R46" i="10"/>
  <c r="V46" i="10"/>
  <c r="Y46" i="10" s="1"/>
  <c r="S46" i="10"/>
  <c r="W33" i="10"/>
  <c r="AA33" i="10" s="1"/>
  <c r="Y33" i="10" s="1"/>
  <c r="F103" i="6"/>
  <c r="Y39" i="5"/>
  <c r="Y21" i="7"/>
  <c r="O7" i="10"/>
  <c r="AD33" i="4"/>
  <c r="AB11" i="7"/>
  <c r="P11" i="7"/>
  <c r="R33" i="4"/>
  <c r="C116" i="3"/>
  <c r="AK19" i="14"/>
  <c r="AK55" i="7"/>
  <c r="O77" i="6"/>
  <c r="R11" i="7"/>
  <c r="T33" i="4"/>
  <c r="AO56" i="7"/>
  <c r="AO47" i="14"/>
  <c r="AN6" i="13"/>
  <c r="AI8" i="7" s="1"/>
  <c r="AB47" i="14"/>
  <c r="AB56" i="7"/>
  <c r="AI47" i="14"/>
  <c r="AI56" i="7"/>
  <c r="AH56" i="7"/>
  <c r="AH47" i="14"/>
  <c r="AR5" i="17"/>
  <c r="AJ5" i="17"/>
  <c r="AB5" i="17"/>
  <c r="T5" i="17"/>
  <c r="L5" i="17"/>
  <c r="AQ5" i="17"/>
  <c r="AI5" i="17"/>
  <c r="AA5" i="17"/>
  <c r="S5" i="17"/>
  <c r="K5" i="17"/>
  <c r="AO5" i="17"/>
  <c r="AG5" i="17"/>
  <c r="Q5" i="17"/>
  <c r="I5" i="17"/>
  <c r="AL5" i="17"/>
  <c r="AD5" i="17"/>
  <c r="V5" i="17"/>
  <c r="N5" i="17"/>
  <c r="AS5" i="17"/>
  <c r="AC5" i="17"/>
  <c r="M5" i="17"/>
  <c r="AP5" i="17"/>
  <c r="Z5" i="17"/>
  <c r="J5" i="17"/>
  <c r="AN5" i="17"/>
  <c r="X5" i="17"/>
  <c r="H5" i="17"/>
  <c r="AM5" i="17"/>
  <c r="W5" i="17"/>
  <c r="AK5" i="17"/>
  <c r="U5" i="17"/>
  <c r="AF5" i="17"/>
  <c r="P5" i="17"/>
  <c r="AH5" i="17"/>
  <c r="AE5" i="17"/>
  <c r="R5" i="17"/>
  <c r="O5" i="17"/>
  <c r="D6" i="17"/>
  <c r="AF47" i="14"/>
  <c r="AF56" i="7"/>
  <c r="H47" i="14"/>
  <c r="H56" i="7"/>
  <c r="AL6" i="13"/>
  <c r="AG8" i="7" s="1"/>
  <c r="V89" i="10"/>
  <c r="Y89" i="10" s="1"/>
  <c r="S89" i="10"/>
  <c r="R89" i="10"/>
  <c r="X68" i="10"/>
  <c r="W68" i="10"/>
  <c r="AA68" i="10" s="1"/>
  <c r="N34" i="19"/>
  <c r="R35" i="10"/>
  <c r="V35" i="10"/>
  <c r="E68" i="7"/>
  <c r="AG103" i="6"/>
  <c r="R63" i="10"/>
  <c r="V63" i="10" s="1"/>
  <c r="Y63" i="10" s="1"/>
  <c r="S63" i="10"/>
  <c r="W74" i="10"/>
  <c r="AA74" i="10" s="1"/>
  <c r="X74" i="10"/>
  <c r="O5" i="10"/>
  <c r="X77" i="6"/>
  <c r="Z34" i="4"/>
  <c r="G76" i="14"/>
  <c r="P34" i="4"/>
  <c r="N77" i="6"/>
  <c r="Q6" i="13"/>
  <c r="L8" i="7" s="1"/>
  <c r="K6" i="13"/>
  <c r="F8" i="7" s="1"/>
  <c r="AM6" i="13"/>
  <c r="AH8" i="7" s="1"/>
  <c r="S8" i="10"/>
  <c r="AN14" i="14"/>
  <c r="V77" i="6"/>
  <c r="X34" i="4"/>
  <c r="AN39" i="4"/>
  <c r="AM42" i="4" s="1"/>
  <c r="U77" i="6"/>
  <c r="W34" i="4"/>
  <c r="AH40" i="5"/>
  <c r="G103" i="6"/>
  <c r="G72" i="7"/>
  <c r="G10" i="15"/>
  <c r="H10" i="15" s="1"/>
  <c r="I10" i="15" s="1"/>
  <c r="W58" i="10"/>
  <c r="AA58" i="10"/>
  <c r="X58" i="10"/>
  <c r="R31" i="10"/>
  <c r="V31" i="10" s="1"/>
  <c r="D116" i="3"/>
  <c r="S7" i="10"/>
  <c r="AA11" i="7"/>
  <c r="AC33" i="4"/>
  <c r="K19" i="14"/>
  <c r="K55" i="7"/>
  <c r="I11" i="7"/>
  <c r="K33" i="4"/>
  <c r="AM103" i="6"/>
  <c r="O103" i="6"/>
  <c r="V39" i="4"/>
  <c r="U42" i="4" s="1"/>
  <c r="U38" i="4"/>
  <c r="U40" i="4" s="1"/>
  <c r="AA47" i="14"/>
  <c r="AA56" i="7"/>
  <c r="V47" i="14"/>
  <c r="V56" i="7"/>
  <c r="I56" i="7"/>
  <c r="I47" i="14"/>
  <c r="AJ47" i="14"/>
  <c r="AJ56" i="7"/>
  <c r="U47" i="14"/>
  <c r="U56" i="7"/>
  <c r="R56" i="7"/>
  <c r="R47" i="14"/>
  <c r="P47" i="14"/>
  <c r="P56" i="7"/>
  <c r="AC6" i="13"/>
  <c r="X8" i="7" s="1"/>
  <c r="S65" i="10"/>
  <c r="R65" i="10"/>
  <c r="V65" i="10" s="1"/>
  <c r="Y65" i="10" s="1"/>
  <c r="X44" i="10"/>
  <c r="W44" i="10"/>
  <c r="AA44" i="10" s="1"/>
  <c r="W19" i="10"/>
  <c r="AA19" i="10" s="1"/>
  <c r="Y19" i="10" s="1"/>
  <c r="AF6" i="13"/>
  <c r="AA8" i="7" s="1"/>
  <c r="R79" i="10"/>
  <c r="V79" i="10" s="1"/>
  <c r="Y79" i="10" s="1"/>
  <c r="S79" i="10"/>
  <c r="X103" i="6"/>
  <c r="X6" i="13"/>
  <c r="S8" i="7" s="1"/>
  <c r="S70" i="10"/>
  <c r="S5" i="10"/>
  <c r="W42" i="10"/>
  <c r="AA42" i="10" s="1"/>
  <c r="AG106" i="6"/>
  <c r="AI14" i="14"/>
  <c r="Z6" i="13"/>
  <c r="U8" i="7" s="1"/>
  <c r="S6" i="13"/>
  <c r="N8" i="7" s="1"/>
  <c r="AU6" i="13"/>
  <c r="AP8" i="7" s="1"/>
  <c r="M77" i="6"/>
  <c r="O34" i="4"/>
  <c r="X37" i="10"/>
  <c r="W59" i="10"/>
  <c r="AA59" i="10" s="1"/>
  <c r="X59" i="10"/>
  <c r="L77" i="6"/>
  <c r="N34" i="4"/>
  <c r="G39" i="4"/>
  <c r="F42" i="4" s="1"/>
  <c r="E14" i="16" s="1"/>
  <c r="E133" i="16" s="1"/>
  <c r="W22" i="10"/>
  <c r="AA22" i="10" s="1"/>
  <c r="Y22" i="10" s="1"/>
  <c r="AA38" i="4"/>
  <c r="AP77" i="6"/>
  <c r="J33" i="4"/>
  <c r="H11" i="7"/>
  <c r="P39" i="5"/>
  <c r="AP33" i="4"/>
  <c r="AN11" i="7"/>
  <c r="F11" i="7"/>
  <c r="H33" i="4"/>
  <c r="Z39" i="5"/>
  <c r="Z21" i="7"/>
  <c r="H39" i="6"/>
  <c r="I9" i="4"/>
  <c r="I13" i="4" s="1"/>
  <c r="W38" i="5"/>
  <c r="K40" i="4"/>
  <c r="AG47" i="7"/>
  <c r="AG31" i="14"/>
  <c r="S19" i="10"/>
  <c r="Y6" i="13"/>
  <c r="T8" i="7" s="1"/>
  <c r="S47" i="14"/>
  <c r="S56" i="7"/>
  <c r="N47" i="14"/>
  <c r="N56" i="7"/>
  <c r="E47" i="14"/>
  <c r="E56" i="7"/>
  <c r="E26" i="16"/>
  <c r="D13" i="15"/>
  <c r="T6" i="13"/>
  <c r="O8" i="7" s="1"/>
  <c r="AA84" i="10"/>
  <c r="X84" i="10"/>
  <c r="W84" i="10"/>
  <c r="W30" i="10"/>
  <c r="AA30" i="10" s="1"/>
  <c r="Y30" i="10" s="1"/>
  <c r="R32" i="10"/>
  <c r="V32" i="10" s="1"/>
  <c r="W50" i="10"/>
  <c r="AA50" i="10" s="1"/>
  <c r="X50" i="10"/>
  <c r="AT6" i="13"/>
  <c r="AO8" i="7" s="1"/>
  <c r="R40" i="10"/>
  <c r="V40" i="10" s="1"/>
  <c r="Z14" i="14"/>
  <c r="AH6" i="13"/>
  <c r="AC8" i="7" s="1"/>
  <c r="AB6" i="13"/>
  <c r="W8" i="7" s="1"/>
  <c r="N6" i="13"/>
  <c r="I8" i="7" s="1"/>
  <c r="N33" i="10"/>
  <c r="S2" i="10"/>
  <c r="O2" i="10"/>
  <c r="E77" i="6"/>
  <c r="G34" i="4"/>
  <c r="X85" i="10"/>
  <c r="W85" i="10"/>
  <c r="AA85" i="10" s="1"/>
  <c r="V21" i="7"/>
  <c r="V39" i="5"/>
  <c r="E72" i="7"/>
  <c r="E125" i="16"/>
  <c r="E46" i="16"/>
  <c r="E18" i="16"/>
  <c r="E137" i="16" s="1"/>
  <c r="E86" i="16"/>
  <c r="K86" i="16" s="1"/>
  <c r="Y14" i="14"/>
  <c r="W103" i="6"/>
  <c r="AS42" i="4"/>
  <c r="AT40" i="4"/>
  <c r="R40" i="4"/>
  <c r="B116" i="3"/>
  <c r="AL31" i="14"/>
  <c r="AL47" i="7"/>
  <c r="AO77" i="6"/>
  <c r="G77" i="6"/>
  <c r="N38" i="19"/>
  <c r="K47" i="14"/>
  <c r="K56" i="7"/>
  <c r="F47" i="14"/>
  <c r="F56" i="7"/>
  <c r="Y47" i="14"/>
  <c r="Y56" i="7"/>
  <c r="AE47" i="14"/>
  <c r="AE56" i="7"/>
  <c r="G75" i="7" s="1"/>
  <c r="AC47" i="14"/>
  <c r="AC56" i="7"/>
  <c r="L6" i="13"/>
  <c r="G8" i="7" s="1"/>
  <c r="N40" i="19"/>
  <c r="S81" i="10"/>
  <c r="R81" i="10"/>
  <c r="V81" i="10" s="1"/>
  <c r="Y81" i="10" s="1"/>
  <c r="AA60" i="10"/>
  <c r="X60" i="10"/>
  <c r="W60" i="10"/>
  <c r="AA39" i="10"/>
  <c r="W39" i="10"/>
  <c r="S42" i="4"/>
  <c r="R14" i="16" s="1"/>
  <c r="S29" i="10"/>
  <c r="W20" i="10"/>
  <c r="AA20" i="10" s="1"/>
  <c r="AO103" i="6"/>
  <c r="X69" i="10"/>
  <c r="W69" i="10"/>
  <c r="AA69" i="10" s="1"/>
  <c r="AN103" i="6"/>
  <c r="R14" i="14"/>
  <c r="AL38" i="4"/>
  <c r="AL40" i="4" s="1"/>
  <c r="AM39" i="4"/>
  <c r="AL42" i="4" s="1"/>
  <c r="AQ6" i="13"/>
  <c r="AL8" i="7" s="1"/>
  <c r="AK6" i="13"/>
  <c r="AF8" i="7" s="1"/>
  <c r="W6" i="13"/>
  <c r="R8" i="7" s="1"/>
  <c r="AA53" i="10"/>
  <c r="X53" i="10"/>
  <c r="W53" i="10"/>
  <c r="AO106" i="6"/>
  <c r="AD38" i="4"/>
  <c r="AD40" i="4" s="1"/>
  <c r="O10" i="10"/>
  <c r="E24" i="15"/>
  <c r="R21" i="10"/>
  <c r="V21" i="10" s="1"/>
  <c r="F14" i="14"/>
  <c r="D8" i="4"/>
  <c r="E38" i="6"/>
  <c r="J40" i="4"/>
  <c r="AK38" i="4"/>
  <c r="AJ40" i="5"/>
  <c r="N23" i="19" l="1"/>
  <c r="M2" i="10"/>
  <c r="S40" i="19"/>
  <c r="T36" i="10"/>
  <c r="S36" i="10" s="1"/>
  <c r="T35" i="10"/>
  <c r="S35" i="10" s="1"/>
  <c r="W25" i="10"/>
  <c r="AA25" i="10" s="1"/>
  <c r="Y25" i="10" s="1"/>
  <c r="T25" i="10"/>
  <c r="T42" i="19"/>
  <c r="S42" i="19" s="1"/>
  <c r="AA42" i="19"/>
  <c r="Y45" i="19"/>
  <c r="X45" i="19" s="1"/>
  <c r="W45" i="19"/>
  <c r="AA45" i="19" s="1"/>
  <c r="AD35" i="19"/>
  <c r="AC35" i="19" s="1"/>
  <c r="AG35" i="19"/>
  <c r="AK35" i="19" s="1"/>
  <c r="AI35" i="19"/>
  <c r="Y80" i="19"/>
  <c r="X80" i="19" s="1"/>
  <c r="W80" i="19"/>
  <c r="AA80" i="19" s="1"/>
  <c r="Y57" i="19"/>
  <c r="X57" i="19" s="1"/>
  <c r="W57" i="19"/>
  <c r="AA57" i="19" s="1"/>
  <c r="Y67" i="19"/>
  <c r="X67" i="19" s="1"/>
  <c r="W67" i="19"/>
  <c r="AA67" i="19" s="1"/>
  <c r="Y60" i="19"/>
  <c r="X60" i="19" s="1"/>
  <c r="W60" i="19"/>
  <c r="AA60" i="19" s="1"/>
  <c r="Y47" i="19"/>
  <c r="X47" i="19" s="1"/>
  <c r="W47" i="19"/>
  <c r="AA47" i="19" s="1"/>
  <c r="T21" i="10"/>
  <c r="AP29" i="19"/>
  <c r="AN29" i="19" s="1"/>
  <c r="AB33" i="19"/>
  <c r="AF33" i="19"/>
  <c r="Y33" i="19"/>
  <c r="X33" i="19" s="1"/>
  <c r="Y81" i="19"/>
  <c r="X81" i="19" s="1"/>
  <c r="W81" i="19"/>
  <c r="AA81" i="19" s="1"/>
  <c r="AF40" i="19"/>
  <c r="AD40" i="19"/>
  <c r="Y40" i="19"/>
  <c r="X40" i="19" s="1"/>
  <c r="T36" i="19"/>
  <c r="S36" i="19" s="1"/>
  <c r="Y36" i="19"/>
  <c r="X36" i="19" s="1"/>
  <c r="AA36" i="19"/>
  <c r="AB36" i="19" s="1"/>
  <c r="AF36" i="19" s="1"/>
  <c r="Y95" i="19"/>
  <c r="X95" i="19" s="1"/>
  <c r="W95" i="19"/>
  <c r="AA95" i="19" s="1"/>
  <c r="Y94" i="19"/>
  <c r="X94" i="19" s="1"/>
  <c r="W94" i="19"/>
  <c r="AA94" i="19" s="1"/>
  <c r="AD37" i="19"/>
  <c r="AC37" i="19" s="1"/>
  <c r="AG37" i="19"/>
  <c r="AK37" i="19" s="1"/>
  <c r="AL37" i="19" s="1"/>
  <c r="AP37" i="19" s="1"/>
  <c r="Y49" i="19"/>
  <c r="X49" i="19" s="1"/>
  <c r="W49" i="19"/>
  <c r="AA49" i="19" s="1"/>
  <c r="Y61" i="19"/>
  <c r="X61" i="19" s="1"/>
  <c r="W61" i="19"/>
  <c r="AA61" i="19" s="1"/>
  <c r="T32" i="19"/>
  <c r="S32" i="19" s="1"/>
  <c r="Y32" i="19"/>
  <c r="X32" i="19" s="1"/>
  <c r="AA32" i="19"/>
  <c r="Y71" i="19"/>
  <c r="X71" i="19" s="1"/>
  <c r="W71" i="19"/>
  <c r="AA71" i="19" s="1"/>
  <c r="T26" i="10"/>
  <c r="Y91" i="19"/>
  <c r="X91" i="19" s="1"/>
  <c r="W91" i="19"/>
  <c r="AA91" i="19" s="1"/>
  <c r="T34" i="19"/>
  <c r="S34" i="19" s="1"/>
  <c r="Y34" i="19"/>
  <c r="X34" i="19" s="1"/>
  <c r="AA34" i="19"/>
  <c r="Y83" i="19"/>
  <c r="X83" i="19" s="1"/>
  <c r="W83" i="19"/>
  <c r="AA83" i="19" s="1"/>
  <c r="T32" i="10"/>
  <c r="T40" i="10"/>
  <c r="T41" i="10"/>
  <c r="S41" i="10" s="1"/>
  <c r="N31" i="19"/>
  <c r="T30" i="19"/>
  <c r="S30" i="19" s="1"/>
  <c r="Y30" i="19"/>
  <c r="X30" i="19" s="1"/>
  <c r="AA30" i="19"/>
  <c r="AF22" i="19"/>
  <c r="AK22" i="19" s="1"/>
  <c r="Y89" i="19"/>
  <c r="X89" i="19" s="1"/>
  <c r="W89" i="19"/>
  <c r="AA89" i="19" s="1"/>
  <c r="Y87" i="19"/>
  <c r="X87" i="19" s="1"/>
  <c r="W87" i="19"/>
  <c r="AA87" i="19" s="1"/>
  <c r="T21" i="19"/>
  <c r="S21" i="19" s="1"/>
  <c r="AA21" i="19"/>
  <c r="Y21" i="19" s="1"/>
  <c r="X21" i="19" s="1"/>
  <c r="Y42" i="10"/>
  <c r="X42" i="10" s="1"/>
  <c r="AI19" i="19"/>
  <c r="AH19" i="19" s="1"/>
  <c r="AP19" i="19"/>
  <c r="AN19" i="19" s="1"/>
  <c r="Y65" i="19"/>
  <c r="X65" i="19" s="1"/>
  <c r="W65" i="19"/>
  <c r="AA65" i="19" s="1"/>
  <c r="Y59" i="19"/>
  <c r="X59" i="19" s="1"/>
  <c r="W59" i="19"/>
  <c r="AA59" i="19" s="1"/>
  <c r="AF23" i="19"/>
  <c r="AK23" i="19" s="1"/>
  <c r="AD23" i="19"/>
  <c r="Y51" i="19"/>
  <c r="X51" i="19" s="1"/>
  <c r="W51" i="19"/>
  <c r="AA51" i="19" s="1"/>
  <c r="Y77" i="19"/>
  <c r="X77" i="19" s="1"/>
  <c r="W77" i="19"/>
  <c r="AA77" i="19" s="1"/>
  <c r="Y55" i="19"/>
  <c r="X55" i="19" s="1"/>
  <c r="W55" i="19"/>
  <c r="AA55" i="19" s="1"/>
  <c r="Y39" i="10"/>
  <c r="Y8" i="10" s="1"/>
  <c r="T31" i="10"/>
  <c r="T27" i="10"/>
  <c r="F68" i="7"/>
  <c r="Y72" i="19"/>
  <c r="X72" i="19" s="1"/>
  <c r="W72" i="19"/>
  <c r="AA72" i="19" s="1"/>
  <c r="Y73" i="19"/>
  <c r="X73" i="19" s="1"/>
  <c r="W73" i="19"/>
  <c r="AA73" i="19" s="1"/>
  <c r="Y63" i="19"/>
  <c r="X63" i="19" s="1"/>
  <c r="W63" i="19"/>
  <c r="AA63" i="19" s="1"/>
  <c r="Y75" i="19"/>
  <c r="X75" i="19" s="1"/>
  <c r="W75" i="19"/>
  <c r="AA75" i="19" s="1"/>
  <c r="S33" i="19"/>
  <c r="Y85" i="19"/>
  <c r="X85" i="19" s="1"/>
  <c r="W85" i="19"/>
  <c r="AA85" i="19" s="1"/>
  <c r="Y74" i="19"/>
  <c r="X74" i="19" s="1"/>
  <c r="W74" i="19"/>
  <c r="AA74" i="19" s="1"/>
  <c r="Y43" i="19"/>
  <c r="X43" i="19" s="1"/>
  <c r="W43" i="19"/>
  <c r="AA43" i="19" s="1"/>
  <c r="Y54" i="19"/>
  <c r="X54" i="19" s="1"/>
  <c r="W54" i="19"/>
  <c r="AA54" i="19" s="1"/>
  <c r="Y93" i="19"/>
  <c r="X93" i="19" s="1"/>
  <c r="W93" i="19"/>
  <c r="AA93" i="19" s="1"/>
  <c r="Y58" i="19"/>
  <c r="X58" i="19" s="1"/>
  <c r="W58" i="19"/>
  <c r="AA58" i="19" s="1"/>
  <c r="Y79" i="19"/>
  <c r="X79" i="19" s="1"/>
  <c r="W79" i="19"/>
  <c r="AA79" i="19" s="1"/>
  <c r="Y92" i="19"/>
  <c r="X92" i="19" s="1"/>
  <c r="W92" i="19"/>
  <c r="AA92" i="19" s="1"/>
  <c r="Y53" i="19"/>
  <c r="X53" i="19" s="1"/>
  <c r="W53" i="19"/>
  <c r="AA53" i="19" s="1"/>
  <c r="Y56" i="19"/>
  <c r="X56" i="19" s="1"/>
  <c r="W56" i="19"/>
  <c r="AA56" i="19" s="1"/>
  <c r="Y29" i="10"/>
  <c r="X29" i="10" s="1"/>
  <c r="T22" i="19"/>
  <c r="S22" i="19" s="1"/>
  <c r="Y22" i="19"/>
  <c r="AD29" i="19"/>
  <c r="AI29" i="19"/>
  <c r="Y54" i="10"/>
  <c r="X54" i="10" s="1"/>
  <c r="W54" i="10"/>
  <c r="AA54" i="10" s="1"/>
  <c r="Y52" i="19"/>
  <c r="X52" i="19" s="1"/>
  <c r="W52" i="19"/>
  <c r="AA52" i="19" s="1"/>
  <c r="Y29" i="19"/>
  <c r="X29" i="19" s="1"/>
  <c r="Y90" i="19"/>
  <c r="X90" i="19" s="1"/>
  <c r="W90" i="19"/>
  <c r="AA90" i="19" s="1"/>
  <c r="Y76" i="19"/>
  <c r="X76" i="19" s="1"/>
  <c r="W76" i="19"/>
  <c r="AA76" i="19" s="1"/>
  <c r="Y88" i="19"/>
  <c r="X88" i="19" s="1"/>
  <c r="W88" i="19"/>
  <c r="AA88" i="19" s="1"/>
  <c r="T25" i="19"/>
  <c r="S25" i="19" s="1"/>
  <c r="Y25" i="19"/>
  <c r="X25" i="19" s="1"/>
  <c r="Y82" i="19"/>
  <c r="X82" i="19" s="1"/>
  <c r="W82" i="19"/>
  <c r="AA82" i="19" s="1"/>
  <c r="Y48" i="19"/>
  <c r="X48" i="19" s="1"/>
  <c r="W48" i="19"/>
  <c r="AA48" i="19" s="1"/>
  <c r="AF31" i="19"/>
  <c r="T26" i="19"/>
  <c r="S26" i="19" s="1"/>
  <c r="Y26" i="19"/>
  <c r="T27" i="19"/>
  <c r="S27" i="19" s="1"/>
  <c r="AA27" i="19"/>
  <c r="AB27" i="19" s="1"/>
  <c r="AF27" i="19" s="1"/>
  <c r="Y46" i="19"/>
  <c r="X46" i="19" s="1"/>
  <c r="W46" i="19"/>
  <c r="AA46" i="19" s="1"/>
  <c r="Y68" i="19"/>
  <c r="X68" i="19" s="1"/>
  <c r="W68" i="19"/>
  <c r="AA68" i="19" s="1"/>
  <c r="Y84" i="19"/>
  <c r="X84" i="19" s="1"/>
  <c r="W84" i="19"/>
  <c r="AA84" i="19" s="1"/>
  <c r="S35" i="19"/>
  <c r="AD28" i="19"/>
  <c r="AC28" i="19" s="1"/>
  <c r="AF28" i="19"/>
  <c r="AK28" i="19" s="1"/>
  <c r="Y20" i="10"/>
  <c r="X20" i="10" s="1"/>
  <c r="AK24" i="19"/>
  <c r="AD26" i="19"/>
  <c r="AC26" i="19" s="1"/>
  <c r="AG26" i="19"/>
  <c r="AK26" i="19" s="1"/>
  <c r="Y44" i="19"/>
  <c r="X44" i="19" s="1"/>
  <c r="W44" i="19"/>
  <c r="AA44" i="19" s="1"/>
  <c r="Y66" i="19"/>
  <c r="X66" i="19" s="1"/>
  <c r="W66" i="19"/>
  <c r="AA66" i="19" s="1"/>
  <c r="Y70" i="19"/>
  <c r="X70" i="19" s="1"/>
  <c r="W70" i="19"/>
  <c r="AA70" i="19" s="1"/>
  <c r="Y64" i="19"/>
  <c r="X64" i="19" s="1"/>
  <c r="W64" i="19"/>
  <c r="AA64" i="19" s="1"/>
  <c r="Y62" i="19"/>
  <c r="X62" i="19" s="1"/>
  <c r="W62" i="19"/>
  <c r="AA62" i="19" s="1"/>
  <c r="Y41" i="19"/>
  <c r="X41" i="19" s="1"/>
  <c r="AF39" i="19"/>
  <c r="AB25" i="19"/>
  <c r="AF25" i="19"/>
  <c r="AG25" i="19" s="1"/>
  <c r="AK25" i="19" s="1"/>
  <c r="AD38" i="19"/>
  <c r="AC38" i="19" s="1"/>
  <c r="AG38" i="19"/>
  <c r="AK38" i="19" s="1"/>
  <c r="AL38" i="19" s="1"/>
  <c r="AP38" i="19" s="1"/>
  <c r="AI38" i="19"/>
  <c r="Y78" i="19"/>
  <c r="X78" i="19" s="1"/>
  <c r="W78" i="19"/>
  <c r="AA78" i="19" s="1"/>
  <c r="Y86" i="19"/>
  <c r="X86" i="19" s="1"/>
  <c r="W86" i="19"/>
  <c r="AA86" i="19" s="1"/>
  <c r="T37" i="19"/>
  <c r="S37" i="19" s="1"/>
  <c r="R8" i="19" s="1"/>
  <c r="Y37" i="19"/>
  <c r="Y50" i="19"/>
  <c r="X50" i="19" s="1"/>
  <c r="W50" i="19"/>
  <c r="AA50" i="19" s="1"/>
  <c r="Y69" i="19"/>
  <c r="X69" i="19" s="1"/>
  <c r="W69" i="19"/>
  <c r="AA69" i="19" s="1"/>
  <c r="AD41" i="19"/>
  <c r="AG41" i="19"/>
  <c r="AK41" i="19" s="1"/>
  <c r="AI41" i="19"/>
  <c r="AH41" i="19" s="1"/>
  <c r="AF20" i="19"/>
  <c r="AK20" i="19" s="1"/>
  <c r="T28" i="19"/>
  <c r="S28" i="19" s="1"/>
  <c r="Y28" i="19"/>
  <c r="T24" i="19"/>
  <c r="S24" i="19" s="1"/>
  <c r="Y24" i="19"/>
  <c r="Y96" i="19"/>
  <c r="X96" i="19" s="1"/>
  <c r="W96" i="19"/>
  <c r="AA96" i="19" s="1"/>
  <c r="S29" i="19"/>
  <c r="S41" i="19"/>
  <c r="M11" i="10"/>
  <c r="X23" i="10"/>
  <c r="M5" i="19"/>
  <c r="X34" i="10"/>
  <c r="O5" i="19"/>
  <c r="X24" i="10"/>
  <c r="W27" i="10"/>
  <c r="AA27" i="10" s="1"/>
  <c r="Y27" i="10" s="1"/>
  <c r="W73" i="10"/>
  <c r="AA73" i="10" s="1"/>
  <c r="X73" i="10"/>
  <c r="R4" i="19"/>
  <c r="X88" i="10"/>
  <c r="W88" i="10"/>
  <c r="AA88" i="10" s="1"/>
  <c r="W31" i="10"/>
  <c r="AA31" i="10" s="1"/>
  <c r="Y31" i="10" s="1"/>
  <c r="X38" i="10"/>
  <c r="AA55" i="10"/>
  <c r="X55" i="10"/>
  <c r="W55" i="10"/>
  <c r="X30" i="10"/>
  <c r="W81" i="10"/>
  <c r="AA81" i="10" s="1"/>
  <c r="X81" i="10"/>
  <c r="W65" i="10"/>
  <c r="AA65" i="10" s="1"/>
  <c r="X65" i="10"/>
  <c r="V11" i="17"/>
  <c r="X33" i="10"/>
  <c r="X72" i="10"/>
  <c r="W72" i="10"/>
  <c r="AA72" i="10" s="1"/>
  <c r="X79" i="10"/>
  <c r="W79" i="10"/>
  <c r="AA79" i="10" s="1"/>
  <c r="W26" i="10"/>
  <c r="AA26" i="10" s="1"/>
  <c r="Y26" i="10" s="1"/>
  <c r="W57" i="10"/>
  <c r="AA57" i="10"/>
  <c r="X57" i="10"/>
  <c r="R2" i="19"/>
  <c r="W32" i="10"/>
  <c r="AA32" i="10" s="1"/>
  <c r="Y32" i="10" s="1"/>
  <c r="W21" i="10"/>
  <c r="AA21" i="10" s="1"/>
  <c r="Y21" i="10" s="1"/>
  <c r="AC7" i="10" s="1"/>
  <c r="W40" i="10"/>
  <c r="AA40" i="10" s="1"/>
  <c r="Y40" i="10" s="1"/>
  <c r="S40" i="10"/>
  <c r="X48" i="10"/>
  <c r="W48" i="10"/>
  <c r="AA48" i="10" s="1"/>
  <c r="I11" i="17"/>
  <c r="W41" i="10"/>
  <c r="AA41" i="10" s="1"/>
  <c r="Y41" i="10" s="1"/>
  <c r="X47" i="10"/>
  <c r="W47" i="10"/>
  <c r="AA47" i="10" s="1"/>
  <c r="X19" i="10"/>
  <c r="C4" i="17"/>
  <c r="B31" i="3"/>
  <c r="H33" i="9"/>
  <c r="I34" i="9"/>
  <c r="AA78" i="10"/>
  <c r="X78" i="10"/>
  <c r="W78" i="10"/>
  <c r="AO16" i="14"/>
  <c r="AO50" i="7"/>
  <c r="X22" i="10"/>
  <c r="AA16" i="14"/>
  <c r="AA50" i="7"/>
  <c r="F75" i="7"/>
  <c r="W38" i="4"/>
  <c r="W40" i="4" s="1"/>
  <c r="X39" i="4"/>
  <c r="W42" i="4" s="1"/>
  <c r="AH16" i="14"/>
  <c r="AH50" i="7"/>
  <c r="Z38" i="4"/>
  <c r="AA39" i="4"/>
  <c r="AG16" i="14"/>
  <c r="AG50" i="7"/>
  <c r="AQ6" i="17"/>
  <c r="AI6" i="17"/>
  <c r="AI11" i="17" s="1"/>
  <c r="AA6" i="17"/>
  <c r="S6" i="17"/>
  <c r="S11" i="17" s="1"/>
  <c r="K6" i="17"/>
  <c r="AP6" i="17"/>
  <c r="AP11" i="17" s="1"/>
  <c r="AH6" i="17"/>
  <c r="AH11" i="17" s="1"/>
  <c r="Z6" i="17"/>
  <c r="Z11" i="17" s="1"/>
  <c r="R6" i="17"/>
  <c r="R11" i="17" s="1"/>
  <c r="J6" i="17"/>
  <c r="J11" i="17" s="1"/>
  <c r="AN6" i="17"/>
  <c r="AF6" i="17"/>
  <c r="AF11" i="17" s="1"/>
  <c r="X6" i="17"/>
  <c r="P6" i="17"/>
  <c r="P11" i="17" s="1"/>
  <c r="H6" i="17"/>
  <c r="H11" i="17" s="1"/>
  <c r="H12" i="17" s="1"/>
  <c r="AS6" i="17"/>
  <c r="AS11" i="17" s="1"/>
  <c r="AK6" i="17"/>
  <c r="AK11" i="17" s="1"/>
  <c r="AC6" i="17"/>
  <c r="AC11" i="17" s="1"/>
  <c r="U6" i="17"/>
  <c r="U11" i="17" s="1"/>
  <c r="M6" i="17"/>
  <c r="M11" i="17" s="1"/>
  <c r="AJ6" i="17"/>
  <c r="AJ11" i="17" s="1"/>
  <c r="T6" i="17"/>
  <c r="T11" i="17" s="1"/>
  <c r="AG6" i="17"/>
  <c r="AG11" i="17" s="1"/>
  <c r="Q6" i="17"/>
  <c r="Q11" i="17" s="1"/>
  <c r="AE6" i="17"/>
  <c r="AE11" i="17" s="1"/>
  <c r="O6" i="17"/>
  <c r="O11" i="17" s="1"/>
  <c r="AD6" i="17"/>
  <c r="AD11" i="17" s="1"/>
  <c r="N6" i="17"/>
  <c r="N11" i="17" s="1"/>
  <c r="AR6" i="17"/>
  <c r="AR11" i="17" s="1"/>
  <c r="AB6" i="17"/>
  <c r="AB11" i="17" s="1"/>
  <c r="L6" i="17"/>
  <c r="AM6" i="17"/>
  <c r="AM11" i="17" s="1"/>
  <c r="W6" i="17"/>
  <c r="W11" i="17" s="1"/>
  <c r="AO6" i="17"/>
  <c r="AO11" i="17" s="1"/>
  <c r="Y6" i="17"/>
  <c r="V6" i="17"/>
  <c r="I6" i="17"/>
  <c r="Y31" i="14"/>
  <c r="Y47" i="7"/>
  <c r="AA46" i="10"/>
  <c r="X46" i="10"/>
  <c r="W46" i="10"/>
  <c r="F145" i="16"/>
  <c r="G32" i="16"/>
  <c r="W36" i="10"/>
  <c r="AA36" i="10" s="1"/>
  <c r="AE47" i="7"/>
  <c r="AE31" i="14"/>
  <c r="AF11" i="7"/>
  <c r="AH33" i="4"/>
  <c r="Z19" i="14"/>
  <c r="Z55" i="7"/>
  <c r="H16" i="14"/>
  <c r="H50" i="7"/>
  <c r="AP47" i="7"/>
  <c r="AP31" i="14"/>
  <c r="H31" i="14"/>
  <c r="H47" i="7"/>
  <c r="AN16" i="14"/>
  <c r="AN50" i="7"/>
  <c r="G28" i="6"/>
  <c r="F27" i="6"/>
  <c r="AN31" i="14"/>
  <c r="AN47" i="7"/>
  <c r="N19" i="19"/>
  <c r="M7" i="19" s="1"/>
  <c r="S7" i="19"/>
  <c r="O7" i="19"/>
  <c r="S5" i="19"/>
  <c r="AC31" i="14"/>
  <c r="AC47" i="7"/>
  <c r="W89" i="10"/>
  <c r="AA89" i="10" s="1"/>
  <c r="X89" i="10"/>
  <c r="AA11" i="17"/>
  <c r="AG33" i="4"/>
  <c r="AE11" i="7"/>
  <c r="W49" i="10"/>
  <c r="AA49" i="10"/>
  <c r="X49" i="10"/>
  <c r="AI39" i="4"/>
  <c r="AH42" i="4" s="1"/>
  <c r="AH38" i="4"/>
  <c r="I38" i="5"/>
  <c r="I23" i="5"/>
  <c r="I32" i="5" s="1"/>
  <c r="I40" i="5" s="1"/>
  <c r="I21" i="7" s="1"/>
  <c r="J28" i="5"/>
  <c r="AN19" i="14"/>
  <c r="AN55" i="7"/>
  <c r="R133" i="16"/>
  <c r="S14" i="16"/>
  <c r="W16" i="14"/>
  <c r="W50" i="7"/>
  <c r="U11" i="7"/>
  <c r="W33" i="4"/>
  <c r="F16" i="14"/>
  <c r="F50" i="7"/>
  <c r="X11" i="7"/>
  <c r="Z33" i="4"/>
  <c r="AA63" i="10"/>
  <c r="X63" i="10"/>
  <c r="W63" i="10"/>
  <c r="AQ11" i="17"/>
  <c r="AM31" i="14"/>
  <c r="AM47" i="7"/>
  <c r="Y16" i="14"/>
  <c r="Y50" i="7"/>
  <c r="T19" i="14"/>
  <c r="T55" i="7"/>
  <c r="H44" i="9"/>
  <c r="I26" i="9"/>
  <c r="P16" i="14"/>
  <c r="P50" i="7"/>
  <c r="E76" i="16"/>
  <c r="G148" i="16"/>
  <c r="H36" i="16"/>
  <c r="AO21" i="7"/>
  <c r="AO39" i="5"/>
  <c r="X71" i="10"/>
  <c r="W71" i="10"/>
  <c r="AA71" i="10" s="1"/>
  <c r="X87" i="10"/>
  <c r="W87" i="10"/>
  <c r="AA87" i="10" s="1"/>
  <c r="AA31" i="14"/>
  <c r="AA47" i="7"/>
  <c r="M133" i="14"/>
  <c r="AH76" i="14"/>
  <c r="M16" i="14"/>
  <c r="M50" i="7"/>
  <c r="N37" i="19"/>
  <c r="M8" i="19" s="1"/>
  <c r="S8" i="19"/>
  <c r="O8" i="19"/>
  <c r="X80" i="10"/>
  <c r="W80" i="10"/>
  <c r="AA80" i="10"/>
  <c r="W35" i="10"/>
  <c r="AA35" i="10" s="1"/>
  <c r="Y35" i="10" s="1"/>
  <c r="AF141" i="16"/>
  <c r="AG26" i="16"/>
  <c r="AF29" i="16"/>
  <c r="AF142" i="16" s="1"/>
  <c r="I16" i="14"/>
  <c r="I50" i="7"/>
  <c r="AO11" i="7"/>
  <c r="AQ33" i="4"/>
  <c r="AC16" i="14"/>
  <c r="AC50" i="7"/>
  <c r="O38" i="4"/>
  <c r="P39" i="4"/>
  <c r="O42" i="4" s="1"/>
  <c r="S16" i="14"/>
  <c r="S50" i="7"/>
  <c r="X16" i="14"/>
  <c r="X50" i="7"/>
  <c r="E37" i="15"/>
  <c r="J10" i="15"/>
  <c r="K10" i="15" s="1"/>
  <c r="L10" i="15" s="1"/>
  <c r="L16" i="14"/>
  <c r="L50" i="7"/>
  <c r="AE38" i="4"/>
  <c r="AE40" i="4" s="1"/>
  <c r="AG39" i="4"/>
  <c r="AE42" i="4" s="1"/>
  <c r="AM50" i="7"/>
  <c r="AM16" i="14"/>
  <c r="AE50" i="7"/>
  <c r="AE16" i="14"/>
  <c r="S130" i="16"/>
  <c r="T11" i="16"/>
  <c r="Y11" i="7"/>
  <c r="AA33" i="4"/>
  <c r="X62" i="10"/>
  <c r="W62" i="10"/>
  <c r="AA62" i="10" s="1"/>
  <c r="AI19" i="14"/>
  <c r="AI55" i="7"/>
  <c r="AF11" i="16"/>
  <c r="AE130" i="16"/>
  <c r="K16" i="14"/>
  <c r="K50" i="7"/>
  <c r="S141" i="16"/>
  <c r="S29" i="16"/>
  <c r="S142" i="16" s="1"/>
  <c r="T26" i="16"/>
  <c r="X95" i="10"/>
  <c r="W95" i="10"/>
  <c r="AA95" i="10" s="1"/>
  <c r="N33" i="19"/>
  <c r="M2" i="19" s="1"/>
  <c r="O2" i="19"/>
  <c r="S2" i="19"/>
  <c r="N26" i="19"/>
  <c r="M4" i="19" s="1"/>
  <c r="O4" i="19"/>
  <c r="S4" i="19"/>
  <c r="AL50" i="7"/>
  <c r="AL16" i="14"/>
  <c r="F19" i="14"/>
  <c r="F55" i="7"/>
  <c r="AH21" i="7"/>
  <c r="AH39" i="5"/>
  <c r="Z16" i="14"/>
  <c r="Z50" i="7"/>
  <c r="H39" i="4"/>
  <c r="G38" i="4"/>
  <c r="G40" i="4" s="1"/>
  <c r="J9" i="4"/>
  <c r="J13" i="4" s="1"/>
  <c r="I39" i="6"/>
  <c r="H19" i="14"/>
  <c r="H55" i="7"/>
  <c r="M11" i="7"/>
  <c r="O33" i="4"/>
  <c r="I19" i="14"/>
  <c r="I55" i="7"/>
  <c r="Y39" i="4"/>
  <c r="X42" i="4" s="1"/>
  <c r="X38" i="4"/>
  <c r="X40" i="4" s="1"/>
  <c r="AC11" i="7"/>
  <c r="AE33" i="4"/>
  <c r="AK16" i="14"/>
  <c r="AK50" i="7"/>
  <c r="F130" i="16"/>
  <c r="G11" i="16"/>
  <c r="AF47" i="7"/>
  <c r="AF31" i="14"/>
  <c r="AB16" i="14"/>
  <c r="AB50" i="7"/>
  <c r="M40" i="4"/>
  <c r="AK39" i="4"/>
  <c r="AJ38" i="4"/>
  <c r="J55" i="7"/>
  <c r="J19" i="14"/>
  <c r="J50" i="7"/>
  <c r="J16" i="14"/>
  <c r="AL11" i="7"/>
  <c r="AN33" i="4"/>
  <c r="E29" i="16"/>
  <c r="E142" i="16" s="1"/>
  <c r="F26" i="16"/>
  <c r="E141" i="16"/>
  <c r="G11" i="7"/>
  <c r="I33" i="4"/>
  <c r="G16" i="14"/>
  <c r="G50" i="7"/>
  <c r="E11" i="7"/>
  <c r="G33" i="4"/>
  <c r="E75" i="7"/>
  <c r="Z31" i="14"/>
  <c r="Z47" i="7"/>
  <c r="N38" i="4"/>
  <c r="N40" i="4" s="1"/>
  <c r="O39" i="4"/>
  <c r="N42" i="4" s="1"/>
  <c r="AP16" i="14"/>
  <c r="AP50" i="7"/>
  <c r="X33" i="4"/>
  <c r="V11" i="7"/>
  <c r="N11" i="7"/>
  <c r="P33" i="4"/>
  <c r="X11" i="17"/>
  <c r="R19" i="14"/>
  <c r="R55" i="7"/>
  <c r="P19" i="14"/>
  <c r="P55" i="7"/>
  <c r="AB31" i="14"/>
  <c r="AB47" i="7"/>
  <c r="W21" i="7"/>
  <c r="W39" i="5"/>
  <c r="AG11" i="7"/>
  <c r="AI33" i="4"/>
  <c r="X31" i="14"/>
  <c r="X47" i="7"/>
  <c r="S10" i="16"/>
  <c r="R129" i="16"/>
  <c r="AH11" i="7"/>
  <c r="AJ33" i="4"/>
  <c r="N30" i="19"/>
  <c r="M10" i="19" s="1"/>
  <c r="S10" i="19"/>
  <c r="O10" i="19"/>
  <c r="AM11" i="7"/>
  <c r="AO33" i="4"/>
  <c r="N25" i="19"/>
  <c r="M3" i="19" s="1"/>
  <c r="S3" i="19"/>
  <c r="O3" i="19"/>
  <c r="AN38" i="4"/>
  <c r="AN40" i="4" s="1"/>
  <c r="AO39" i="4"/>
  <c r="AN42" i="4" s="1"/>
  <c r="AJ21" i="7"/>
  <c r="AJ39" i="5"/>
  <c r="AA19" i="14"/>
  <c r="AA55" i="7"/>
  <c r="O11" i="7"/>
  <c r="Q33" i="4"/>
  <c r="E37" i="6"/>
  <c r="G7" i="4" s="1"/>
  <c r="F38" i="6"/>
  <c r="F49" i="6" s="1"/>
  <c r="G8" i="4"/>
  <c r="F24" i="15"/>
  <c r="R16" i="14"/>
  <c r="R50" i="7"/>
  <c r="O11" i="10"/>
  <c r="O50" i="7"/>
  <c r="O16" i="14"/>
  <c r="AP11" i="7"/>
  <c r="AR33" i="4"/>
  <c r="L11" i="7"/>
  <c r="N33" i="4"/>
  <c r="N50" i="7"/>
  <c r="N16" i="14"/>
  <c r="N27" i="19"/>
  <c r="M6" i="19" s="1"/>
  <c r="S6" i="19"/>
  <c r="O6" i="19"/>
  <c r="Q39" i="4"/>
  <c r="Q40" i="4" s="1"/>
  <c r="P38" i="4"/>
  <c r="P40" i="4" s="1"/>
  <c r="AN11" i="17"/>
  <c r="K11" i="17"/>
  <c r="AI16" i="14"/>
  <c r="AI50" i="7"/>
  <c r="AB19" i="14"/>
  <c r="AB55" i="7"/>
  <c r="F42" i="9"/>
  <c r="Z39" i="4"/>
  <c r="Y42" i="4" s="1"/>
  <c r="Y38" i="4"/>
  <c r="AJ39" i="4"/>
  <c r="AI42" i="4" s="1"/>
  <c r="AI38" i="4"/>
  <c r="AI40" i="4" s="1"/>
  <c r="E16" i="14"/>
  <c r="E50" i="7"/>
  <c r="V16" i="14"/>
  <c r="V50" i="7"/>
  <c r="I133" i="14"/>
  <c r="U76" i="14"/>
  <c r="X96" i="10"/>
  <c r="W96" i="10"/>
  <c r="AA96" i="10" s="1"/>
  <c r="R10" i="19"/>
  <c r="T10" i="19"/>
  <c r="X10" i="19"/>
  <c r="AP39" i="4"/>
  <c r="AO38" i="4"/>
  <c r="X56" i="10"/>
  <c r="W56" i="10"/>
  <c r="AA56" i="10" s="1"/>
  <c r="X64" i="10"/>
  <c r="W64" i="10"/>
  <c r="AA64" i="10" s="1"/>
  <c r="R3" i="19"/>
  <c r="T3" i="19"/>
  <c r="X3" i="19"/>
  <c r="AF16" i="14"/>
  <c r="AF50" i="7"/>
  <c r="V31" i="14"/>
  <c r="V47" i="7"/>
  <c r="S11" i="10"/>
  <c r="E13" i="15"/>
  <c r="T16" i="14"/>
  <c r="T50" i="7"/>
  <c r="AA40" i="4"/>
  <c r="U16" i="14"/>
  <c r="U50" i="7"/>
  <c r="E133" i="14"/>
  <c r="H76" i="14"/>
  <c r="H25" i="9"/>
  <c r="G43" i="9"/>
  <c r="G24" i="9"/>
  <c r="AH39" i="4"/>
  <c r="AG42" i="4" s="1"/>
  <c r="AG38" i="4"/>
  <c r="W11" i="7"/>
  <c r="Y33" i="4"/>
  <c r="AK31" i="14"/>
  <c r="AK47" i="7"/>
  <c r="AI39" i="5"/>
  <c r="AI21" i="7"/>
  <c r="AJ19" i="14"/>
  <c r="AJ55" i="7"/>
  <c r="H29" i="6"/>
  <c r="G50" i="6"/>
  <c r="G9" i="14" s="1"/>
  <c r="V40" i="4"/>
  <c r="E49" i="6"/>
  <c r="T4" i="19" l="1"/>
  <c r="AH35" i="19"/>
  <c r="X4" i="19"/>
  <c r="X22" i="19"/>
  <c r="AM19" i="19"/>
  <c r="R2" i="10"/>
  <c r="AH38" i="19"/>
  <c r="X26" i="19"/>
  <c r="W4" i="19" s="1"/>
  <c r="AM29" i="19"/>
  <c r="AC40" i="19"/>
  <c r="X25" i="10"/>
  <c r="W3" i="10" s="1"/>
  <c r="Y3" i="10"/>
  <c r="AC3" i="10"/>
  <c r="AD76" i="19"/>
  <c r="AC76" i="19" s="1"/>
  <c r="AB76" i="19"/>
  <c r="AF76" i="19" s="1"/>
  <c r="AD53" i="19"/>
  <c r="AC53" i="19" s="1"/>
  <c r="AB53" i="19"/>
  <c r="AF53" i="19" s="1"/>
  <c r="AB85" i="19"/>
  <c r="AF85" i="19" s="1"/>
  <c r="AD85" i="19"/>
  <c r="AC85" i="19" s="1"/>
  <c r="AC23" i="19"/>
  <c r="AB89" i="19"/>
  <c r="AF89" i="19" s="1"/>
  <c r="AD89" i="19"/>
  <c r="AC89" i="19" s="1"/>
  <c r="AD33" i="19"/>
  <c r="AC33" i="19" s="1"/>
  <c r="AG33" i="19"/>
  <c r="AK33" i="19" s="1"/>
  <c r="AI33" i="19"/>
  <c r="AD60" i="19"/>
  <c r="AC60" i="19" s="1"/>
  <c r="AB60" i="19"/>
  <c r="AF60" i="19" s="1"/>
  <c r="X3" i="10"/>
  <c r="T3" i="10"/>
  <c r="S25" i="10"/>
  <c r="R3" i="10" s="1"/>
  <c r="AC8" i="10"/>
  <c r="AD20" i="19"/>
  <c r="AN38" i="19"/>
  <c r="AM38" i="19" s="1"/>
  <c r="AQ38" i="19"/>
  <c r="AU38" i="19" s="1"/>
  <c r="AB62" i="19"/>
  <c r="AF62" i="19" s="1"/>
  <c r="AD62" i="19"/>
  <c r="AC62" i="19" s="1"/>
  <c r="AD44" i="19"/>
  <c r="AC44" i="19" s="1"/>
  <c r="AB44" i="19"/>
  <c r="AF44" i="19" s="1"/>
  <c r="Y27" i="19"/>
  <c r="X27" i="19" s="1"/>
  <c r="AH29" i="19"/>
  <c r="AB72" i="19"/>
  <c r="AF72" i="19" s="1"/>
  <c r="AD72" i="19"/>
  <c r="AC72" i="19" s="1"/>
  <c r="X39" i="10"/>
  <c r="AI23" i="19"/>
  <c r="AH23" i="19" s="1"/>
  <c r="AP23" i="19"/>
  <c r="AN23" i="19"/>
  <c r="AL35" i="19"/>
  <c r="AP35" i="19" s="1"/>
  <c r="AN35" i="19" s="1"/>
  <c r="AM35" i="19" s="1"/>
  <c r="AD50" i="19"/>
  <c r="AC50" i="19" s="1"/>
  <c r="AB50" i="19"/>
  <c r="AF50" i="19" s="1"/>
  <c r="AB48" i="19"/>
  <c r="AF48" i="19" s="1"/>
  <c r="AD48" i="19"/>
  <c r="AC48" i="19" s="1"/>
  <c r="AD93" i="19"/>
  <c r="AC93" i="19" s="1"/>
  <c r="AB93" i="19"/>
  <c r="AF93" i="19" s="1"/>
  <c r="AI20" i="19"/>
  <c r="AP20" i="19"/>
  <c r="X37" i="19"/>
  <c r="W8" i="19" s="1"/>
  <c r="AB84" i="19"/>
  <c r="AF84" i="19" s="1"/>
  <c r="AD84" i="19"/>
  <c r="AC84" i="19" s="1"/>
  <c r="AD27" i="19"/>
  <c r="AC27" i="19" s="1"/>
  <c r="AG27" i="19"/>
  <c r="AK27" i="19" s="1"/>
  <c r="AB82" i="19"/>
  <c r="AF82" i="19" s="1"/>
  <c r="AD82" i="19"/>
  <c r="AC82" i="19" s="1"/>
  <c r="AD90" i="19"/>
  <c r="AC90" i="19" s="1"/>
  <c r="AB90" i="19"/>
  <c r="AF90" i="19" s="1"/>
  <c r="AC29" i="19"/>
  <c r="AD92" i="19"/>
  <c r="AC92" i="19" s="1"/>
  <c r="AB92" i="19"/>
  <c r="AF92" i="19" s="1"/>
  <c r="AD54" i="19"/>
  <c r="AC54" i="19" s="1"/>
  <c r="AB54" i="19"/>
  <c r="AF54" i="19" s="1"/>
  <c r="AB55" i="19"/>
  <c r="AF55" i="19" s="1"/>
  <c r="AD55" i="19"/>
  <c r="AC55" i="19" s="1"/>
  <c r="AD59" i="19"/>
  <c r="AC59" i="19" s="1"/>
  <c r="AB59" i="19"/>
  <c r="AF59" i="19"/>
  <c r="AD22" i="19"/>
  <c r="AF91" i="19"/>
  <c r="AD91" i="19"/>
  <c r="AC91" i="19" s="1"/>
  <c r="AB91" i="19"/>
  <c r="AB61" i="19"/>
  <c r="AF61" i="19" s="1"/>
  <c r="AD61" i="19"/>
  <c r="AC61" i="19" s="1"/>
  <c r="AD67" i="19"/>
  <c r="AC67" i="19" s="1"/>
  <c r="AB67" i="19"/>
  <c r="AF67" i="19" s="1"/>
  <c r="AD45" i="19"/>
  <c r="AC45" i="19" s="1"/>
  <c r="AB45" i="19"/>
  <c r="AF45" i="19" s="1"/>
  <c r="AL41" i="19"/>
  <c r="AP41" i="19" s="1"/>
  <c r="AN41" i="19"/>
  <c r="AM41" i="19" s="1"/>
  <c r="AD86" i="19"/>
  <c r="AC86" i="19" s="1"/>
  <c r="AB86" i="19"/>
  <c r="AF86" i="19" s="1"/>
  <c r="AD25" i="19"/>
  <c r="AB79" i="19"/>
  <c r="AF79" i="19" s="1"/>
  <c r="AD79" i="19"/>
  <c r="AC79" i="19" s="1"/>
  <c r="AD43" i="19"/>
  <c r="AC43" i="19" s="1"/>
  <c r="AB43" i="19"/>
  <c r="AF43" i="19" s="1"/>
  <c r="AD77" i="19"/>
  <c r="AC77" i="19" s="1"/>
  <c r="AB77" i="19"/>
  <c r="AF77" i="19" s="1"/>
  <c r="AD65" i="19"/>
  <c r="AC65" i="19" s="1"/>
  <c r="AB65" i="19"/>
  <c r="AF65" i="19" s="1"/>
  <c r="AF30" i="19"/>
  <c r="AD30" i="19"/>
  <c r="AC30" i="19" s="1"/>
  <c r="AD49" i="19"/>
  <c r="AC49" i="19" s="1"/>
  <c r="AB49" i="19"/>
  <c r="AF49" i="19" s="1"/>
  <c r="AK40" i="19"/>
  <c r="AD57" i="19"/>
  <c r="AC57" i="19" s="1"/>
  <c r="AB57" i="19"/>
  <c r="AF57" i="19" s="1"/>
  <c r="AI26" i="19"/>
  <c r="AH26" i="19" s="1"/>
  <c r="AN26" i="19"/>
  <c r="AL26" i="19"/>
  <c r="AP26" i="19" s="1"/>
  <c r="AF21" i="19"/>
  <c r="AK21" i="19" s="1"/>
  <c r="AI22" i="19"/>
  <c r="AP22" i="19"/>
  <c r="AD94" i="19"/>
  <c r="AC94" i="19" s="1"/>
  <c r="AB94" i="19"/>
  <c r="AF94" i="19" s="1"/>
  <c r="X24" i="19"/>
  <c r="AC24" i="19"/>
  <c r="AC41" i="19"/>
  <c r="AF70" i="19"/>
  <c r="AD70" i="19"/>
  <c r="AC70" i="19" s="1"/>
  <c r="AB70" i="19"/>
  <c r="AI24" i="19"/>
  <c r="AH24" i="19" s="1"/>
  <c r="AP24" i="19"/>
  <c r="AN24" i="19"/>
  <c r="AD68" i="19"/>
  <c r="AC68" i="19" s="1"/>
  <c r="AB68" i="19"/>
  <c r="AF68" i="19" s="1"/>
  <c r="AB52" i="19"/>
  <c r="AF52" i="19" s="1"/>
  <c r="AD52" i="19"/>
  <c r="AC52" i="19" s="1"/>
  <c r="AF63" i="19"/>
  <c r="AD63" i="19"/>
  <c r="AC63" i="19" s="1"/>
  <c r="AB63" i="19"/>
  <c r="AB83" i="19"/>
  <c r="AF83" i="19" s="1"/>
  <c r="AD83" i="19"/>
  <c r="AC83" i="19" s="1"/>
  <c r="AF71" i="19"/>
  <c r="AD71" i="19"/>
  <c r="AC71" i="19" s="1"/>
  <c r="AB71" i="19"/>
  <c r="AF95" i="19"/>
  <c r="AD95" i="19"/>
  <c r="AC95" i="19" s="1"/>
  <c r="AB95" i="19"/>
  <c r="AD81" i="19"/>
  <c r="AC81" i="19" s="1"/>
  <c r="AB81" i="19"/>
  <c r="AF81" i="19" s="1"/>
  <c r="AF42" i="19"/>
  <c r="W8" i="10"/>
  <c r="AI25" i="19"/>
  <c r="AL25" i="19"/>
  <c r="AP25" i="19" s="1"/>
  <c r="AN25" i="19"/>
  <c r="AD75" i="19"/>
  <c r="AC75" i="19" s="1"/>
  <c r="AB75" i="19"/>
  <c r="AF75" i="19" s="1"/>
  <c r="AQ29" i="19"/>
  <c r="AU29" i="19" s="1"/>
  <c r="AD69" i="19"/>
  <c r="AC69" i="19" s="1"/>
  <c r="AB69" i="19"/>
  <c r="AF69" i="19" s="1"/>
  <c r="AD78" i="19"/>
  <c r="AC78" i="19" s="1"/>
  <c r="AB78" i="19"/>
  <c r="AF78" i="19" s="1"/>
  <c r="AK39" i="19"/>
  <c r="AK31" i="19"/>
  <c r="AD88" i="19"/>
  <c r="AC88" i="19" s="1"/>
  <c r="AB88" i="19"/>
  <c r="AF88" i="19" s="1"/>
  <c r="AD56" i="19"/>
  <c r="AC56" i="19" s="1"/>
  <c r="AB56" i="19"/>
  <c r="AF56" i="19" s="1"/>
  <c r="AB58" i="19"/>
  <c r="AF58" i="19" s="1"/>
  <c r="AD58" i="19"/>
  <c r="AC58" i="19" s="1"/>
  <c r="AD74" i="19"/>
  <c r="AC74" i="19" s="1"/>
  <c r="AB74" i="19"/>
  <c r="AF74" i="19" s="1"/>
  <c r="AD51" i="19"/>
  <c r="AC51" i="19" s="1"/>
  <c r="AB51" i="19"/>
  <c r="AF51" i="19" s="1"/>
  <c r="AD87" i="19"/>
  <c r="AC87" i="19" s="1"/>
  <c r="AB87" i="19"/>
  <c r="AF87" i="19" s="1"/>
  <c r="AI37" i="19"/>
  <c r="AH37" i="19" s="1"/>
  <c r="AD47" i="19"/>
  <c r="AC47" i="19" s="1"/>
  <c r="AB47" i="19"/>
  <c r="AF47" i="19" s="1"/>
  <c r="AD80" i="19"/>
  <c r="AC80" i="19" s="1"/>
  <c r="AB80" i="19"/>
  <c r="AF80" i="19" s="1"/>
  <c r="Y42" i="19"/>
  <c r="X42" i="19" s="1"/>
  <c r="AB96" i="19"/>
  <c r="AF96" i="19" s="1"/>
  <c r="AD96" i="19"/>
  <c r="AC96" i="19" s="1"/>
  <c r="AD64" i="19"/>
  <c r="AC64" i="19" s="1"/>
  <c r="AB64" i="19"/>
  <c r="AF64" i="19" s="1"/>
  <c r="X28" i="19"/>
  <c r="AD39" i="19"/>
  <c r="AC39" i="19" s="1"/>
  <c r="AF66" i="19"/>
  <c r="AD66" i="19"/>
  <c r="AC66" i="19" s="1"/>
  <c r="AB66" i="19"/>
  <c r="AI28" i="19"/>
  <c r="AH28" i="19" s="1"/>
  <c r="AP28" i="19"/>
  <c r="AN28" i="19" s="1"/>
  <c r="AD46" i="19"/>
  <c r="AC46" i="19" s="1"/>
  <c r="AB46" i="19"/>
  <c r="AF46" i="19" s="1"/>
  <c r="AD31" i="19"/>
  <c r="AC31" i="19" s="1"/>
  <c r="AB73" i="19"/>
  <c r="AF73" i="19" s="1"/>
  <c r="AD73" i="19"/>
  <c r="AC73" i="19" s="1"/>
  <c r="AQ19" i="19"/>
  <c r="AU19" i="19" s="1"/>
  <c r="AB34" i="19"/>
  <c r="AF34" i="19" s="1"/>
  <c r="AF32" i="19"/>
  <c r="AD32" i="19"/>
  <c r="AC32" i="19" s="1"/>
  <c r="AN37" i="19"/>
  <c r="AM37" i="19" s="1"/>
  <c r="AU37" i="19"/>
  <c r="AS37" i="19"/>
  <c r="AQ37" i="19"/>
  <c r="AD36" i="19"/>
  <c r="AC36" i="19" s="1"/>
  <c r="AG36" i="19"/>
  <c r="AK36" i="19" s="1"/>
  <c r="AI36" i="19"/>
  <c r="Y36" i="10"/>
  <c r="X36" i="10" s="1"/>
  <c r="M11" i="19"/>
  <c r="X40" i="10"/>
  <c r="X41" i="10"/>
  <c r="X32" i="10"/>
  <c r="W5" i="10" s="1"/>
  <c r="AC5" i="10"/>
  <c r="Y5" i="10"/>
  <c r="I7" i="17"/>
  <c r="D21" i="15"/>
  <c r="F8" i="14"/>
  <c r="X35" i="10"/>
  <c r="AC6" i="10"/>
  <c r="X27" i="10"/>
  <c r="W6" i="10" s="1"/>
  <c r="Y6" i="10"/>
  <c r="W6" i="19"/>
  <c r="AC4" i="10"/>
  <c r="X26" i="10"/>
  <c r="W4" i="10" s="1"/>
  <c r="Y4" i="10"/>
  <c r="X31" i="10"/>
  <c r="W10" i="10" s="1"/>
  <c r="AC10" i="10"/>
  <c r="Y10" i="10"/>
  <c r="S21" i="10"/>
  <c r="R7" i="10" s="1"/>
  <c r="X7" i="10"/>
  <c r="T7" i="10"/>
  <c r="X6" i="10"/>
  <c r="T6" i="10"/>
  <c r="S27" i="10"/>
  <c r="R6" i="10" s="1"/>
  <c r="AI31" i="14"/>
  <c r="AI47" i="7"/>
  <c r="G42" i="9"/>
  <c r="AO40" i="4"/>
  <c r="I22" i="4"/>
  <c r="G26" i="4" s="1"/>
  <c r="H21" i="4"/>
  <c r="H17" i="4"/>
  <c r="H18" i="4"/>
  <c r="G11" i="4"/>
  <c r="G20" i="4"/>
  <c r="E19" i="14"/>
  <c r="E55" i="7"/>
  <c r="G42" i="4"/>
  <c r="H40" i="4"/>
  <c r="AF130" i="16"/>
  <c r="AG11" i="16"/>
  <c r="Y55" i="7"/>
  <c r="Y19" i="14"/>
  <c r="G69" i="7"/>
  <c r="F37" i="15"/>
  <c r="M10" i="15"/>
  <c r="N10" i="15" s="1"/>
  <c r="O10" i="15" s="1"/>
  <c r="AO31" i="14"/>
  <c r="AO47" i="7"/>
  <c r="X19" i="14"/>
  <c r="X55" i="7"/>
  <c r="AH40" i="4"/>
  <c r="I25" i="9"/>
  <c r="H43" i="9"/>
  <c r="H42" i="9" s="1"/>
  <c r="H24" i="9"/>
  <c r="L19" i="14"/>
  <c r="L55" i="7"/>
  <c r="X2" i="10"/>
  <c r="AH19" i="14"/>
  <c r="AH55" i="7"/>
  <c r="AL19" i="14"/>
  <c r="AL55" i="7"/>
  <c r="J39" i="6"/>
  <c r="K9" i="4"/>
  <c r="K13" i="4" s="1"/>
  <c r="AI76" i="14"/>
  <c r="H148" i="16"/>
  <c r="I36" i="16"/>
  <c r="I148" i="16" s="1"/>
  <c r="S133" i="16"/>
  <c r="T14" i="16"/>
  <c r="Z42" i="4"/>
  <c r="X21" i="10"/>
  <c r="W7" i="10" s="1"/>
  <c r="V19" i="14"/>
  <c r="V55" i="7"/>
  <c r="E8" i="14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48" i="6"/>
  <c r="E10" i="14" s="1"/>
  <c r="AO42" i="4"/>
  <c r="AP40" i="4"/>
  <c r="Y40" i="4"/>
  <c r="F69" i="7"/>
  <c r="AJ31" i="14"/>
  <c r="AJ47" i="7"/>
  <c r="AG19" i="14"/>
  <c r="AG55" i="7"/>
  <c r="AJ40" i="4"/>
  <c r="AC19" i="14"/>
  <c r="AC55" i="7"/>
  <c r="U26" i="16"/>
  <c r="T141" i="16"/>
  <c r="T29" i="16"/>
  <c r="I66" i="16"/>
  <c r="O40" i="4"/>
  <c r="AO55" i="7"/>
  <c r="AO19" i="14"/>
  <c r="AH26" i="16"/>
  <c r="M66" i="16"/>
  <c r="AG29" i="16"/>
  <c r="AG141" i="16"/>
  <c r="Z40" i="4"/>
  <c r="W3" i="19"/>
  <c r="Y3" i="19"/>
  <c r="AC3" i="19"/>
  <c r="P42" i="4"/>
  <c r="F37" i="6"/>
  <c r="H7" i="4" s="1"/>
  <c r="H8" i="4"/>
  <c r="G38" i="6"/>
  <c r="AF42" i="4"/>
  <c r="AE14" i="16" s="1"/>
  <c r="J26" i="9"/>
  <c r="I44" i="9"/>
  <c r="AP19" i="14"/>
  <c r="AP55" i="7"/>
  <c r="AC4" i="19"/>
  <c r="Y4" i="19"/>
  <c r="W2" i="19"/>
  <c r="AC2" i="19"/>
  <c r="Y2" i="19"/>
  <c r="T10" i="16"/>
  <c r="S129" i="16"/>
  <c r="G19" i="14"/>
  <c r="G55" i="7"/>
  <c r="AJ42" i="4"/>
  <c r="R7" i="19"/>
  <c r="X7" i="19"/>
  <c r="T7" i="19"/>
  <c r="R5" i="19"/>
  <c r="X5" i="19"/>
  <c r="T5" i="19"/>
  <c r="W7" i="19"/>
  <c r="Y7" i="19"/>
  <c r="AC7" i="19"/>
  <c r="G49" i="6"/>
  <c r="G27" i="6"/>
  <c r="H28" i="6"/>
  <c r="I33" i="9"/>
  <c r="J34" i="9"/>
  <c r="T2" i="19"/>
  <c r="G145" i="16"/>
  <c r="E72" i="16"/>
  <c r="H32" i="16"/>
  <c r="I29" i="6"/>
  <c r="H50" i="6"/>
  <c r="H9" i="14" s="1"/>
  <c r="W19" i="14"/>
  <c r="W55" i="7"/>
  <c r="I76" i="14"/>
  <c r="O19" i="14"/>
  <c r="O55" i="7"/>
  <c r="W31" i="14"/>
  <c r="W47" i="7"/>
  <c r="E51" i="16"/>
  <c r="H11" i="16"/>
  <c r="G130" i="16"/>
  <c r="AH31" i="14"/>
  <c r="AH47" i="7"/>
  <c r="G66" i="7" s="1"/>
  <c r="S11" i="19"/>
  <c r="I51" i="16"/>
  <c r="U11" i="16"/>
  <c r="T130" i="16"/>
  <c r="AK40" i="4"/>
  <c r="U55" i="7"/>
  <c r="F74" i="7" s="1"/>
  <c r="U19" i="14"/>
  <c r="Y7" i="10"/>
  <c r="S32" i="10"/>
  <c r="R5" i="10" s="1"/>
  <c r="T5" i="10"/>
  <c r="X5" i="10"/>
  <c r="X2" i="19"/>
  <c r="S26" i="10"/>
  <c r="R4" i="10" s="1"/>
  <c r="X4" i="10"/>
  <c r="T4" i="10"/>
  <c r="W5" i="19"/>
  <c r="W10" i="19"/>
  <c r="Y10" i="19"/>
  <c r="AC10" i="19"/>
  <c r="V76" i="14"/>
  <c r="AM19" i="14"/>
  <c r="AM55" i="7"/>
  <c r="T2" i="10"/>
  <c r="X8" i="19"/>
  <c r="O11" i="19"/>
  <c r="J23" i="5"/>
  <c r="J32" i="5" s="1"/>
  <c r="J40" i="5" s="1"/>
  <c r="J21" i="7" s="1"/>
  <c r="K28" i="5"/>
  <c r="J38" i="5"/>
  <c r="AE19" i="14"/>
  <c r="AE55" i="7"/>
  <c r="AF19" i="14"/>
  <c r="AF55" i="7"/>
  <c r="D37" i="3" a="1"/>
  <c r="D37" i="3" s="1"/>
  <c r="D36" i="3" s="1"/>
  <c r="D39" i="3"/>
  <c r="C37" i="3" a="1"/>
  <c r="C37" i="3" s="1"/>
  <c r="C36" i="3" s="1"/>
  <c r="B39" i="3"/>
  <c r="C35" i="3" s="1"/>
  <c r="C38" i="3" s="1"/>
  <c r="C39" i="3"/>
  <c r="D35" i="3" s="1"/>
  <c r="D38" i="3" s="1"/>
  <c r="B35" i="3"/>
  <c r="B38" i="3" s="1"/>
  <c r="B37" i="3" a="1"/>
  <c r="B37" i="3" s="1"/>
  <c r="B36" i="3" s="1"/>
  <c r="S31" i="10"/>
  <c r="R10" i="10" s="1"/>
  <c r="T10" i="10"/>
  <c r="X10" i="10"/>
  <c r="R6" i="19"/>
  <c r="T6" i="19"/>
  <c r="X6" i="19"/>
  <c r="AG40" i="4"/>
  <c r="E69" i="7"/>
  <c r="G24" i="15"/>
  <c r="D51" i="15"/>
  <c r="AE10" i="16"/>
  <c r="F13" i="15"/>
  <c r="N19" i="14"/>
  <c r="N55" i="7"/>
  <c r="F29" i="16"/>
  <c r="F142" i="16" s="1"/>
  <c r="F141" i="16"/>
  <c r="G26" i="16"/>
  <c r="M19" i="14"/>
  <c r="M55" i="7"/>
  <c r="T8" i="19"/>
  <c r="I31" i="14"/>
  <c r="I47" i="7"/>
  <c r="C5" i="17"/>
  <c r="L4" i="17"/>
  <c r="L11" i="17" s="1"/>
  <c r="F11" i="18"/>
  <c r="AM23" i="19" l="1"/>
  <c r="AH36" i="19"/>
  <c r="AM28" i="19"/>
  <c r="AM26" i="19"/>
  <c r="AI85" i="19"/>
  <c r="AH85" i="19" s="1"/>
  <c r="AG85" i="19"/>
  <c r="AK85" i="19" s="1"/>
  <c r="AI94" i="19"/>
  <c r="AH94" i="19" s="1"/>
  <c r="AG94" i="19"/>
  <c r="AK94" i="19" s="1"/>
  <c r="AI64" i="19"/>
  <c r="AH64" i="19" s="1"/>
  <c r="AG64" i="19"/>
  <c r="AK64" i="19" s="1"/>
  <c r="AI88" i="19"/>
  <c r="AH88" i="19" s="1"/>
  <c r="AG88" i="19"/>
  <c r="AK88" i="19" s="1"/>
  <c r="AI67" i="19"/>
  <c r="AH67" i="19" s="1"/>
  <c r="AG67" i="19"/>
  <c r="AK67" i="19" s="1"/>
  <c r="AD34" i="19"/>
  <c r="AC34" i="19" s="1"/>
  <c r="AG34" i="19"/>
  <c r="AK34" i="19" s="1"/>
  <c r="AI34" i="19"/>
  <c r="AI56" i="19"/>
  <c r="AH56" i="19" s="1"/>
  <c r="AG56" i="19"/>
  <c r="AK56" i="19" s="1"/>
  <c r="AI45" i="19"/>
  <c r="AH45" i="19" s="1"/>
  <c r="AG45" i="19"/>
  <c r="AK45" i="19" s="1"/>
  <c r="AV29" i="19"/>
  <c r="AZ29" i="19" s="1"/>
  <c r="AS29" i="19"/>
  <c r="AR29" i="19" s="1"/>
  <c r="AI53" i="19"/>
  <c r="AH53" i="19" s="1"/>
  <c r="AG53" i="19"/>
  <c r="AK53" i="19" s="1"/>
  <c r="AI77" i="19"/>
  <c r="AH77" i="19" s="1"/>
  <c r="AG77" i="19"/>
  <c r="AK77" i="19" s="1"/>
  <c r="AV19" i="19"/>
  <c r="AZ19" i="19" s="1"/>
  <c r="AS19" i="19"/>
  <c r="AR19" i="19" s="1"/>
  <c r="AI96" i="19"/>
  <c r="AH96" i="19" s="1"/>
  <c r="AG96" i="19"/>
  <c r="AK96" i="19" s="1"/>
  <c r="AI68" i="19"/>
  <c r="AH68" i="19" s="1"/>
  <c r="AG68" i="19"/>
  <c r="AK68" i="19" s="1"/>
  <c r="AI92" i="19"/>
  <c r="AH92" i="19" s="1"/>
  <c r="AG92" i="19"/>
  <c r="AK92" i="19" s="1"/>
  <c r="AI62" i="19"/>
  <c r="AH62" i="19" s="1"/>
  <c r="AG62" i="19"/>
  <c r="AK62" i="19" s="1"/>
  <c r="AI73" i="19"/>
  <c r="AH73" i="19" s="1"/>
  <c r="AG73" i="19"/>
  <c r="AK73" i="19" s="1"/>
  <c r="AP39" i="19"/>
  <c r="AN39" i="19" s="1"/>
  <c r="AI71" i="19"/>
  <c r="AH71" i="19" s="1"/>
  <c r="AG71" i="19"/>
  <c r="AK71" i="19" s="1"/>
  <c r="AI70" i="19"/>
  <c r="AH70" i="19" s="1"/>
  <c r="AG70" i="19"/>
  <c r="AK70" i="19" s="1"/>
  <c r="AI32" i="19"/>
  <c r="AH32" i="19" s="1"/>
  <c r="AK32" i="19"/>
  <c r="AI66" i="19"/>
  <c r="AH66" i="19" s="1"/>
  <c r="AG66" i="19"/>
  <c r="AK66" i="19" s="1"/>
  <c r="AI39" i="19"/>
  <c r="AH39" i="19" s="1"/>
  <c r="AK75" i="19"/>
  <c r="AI75" i="19"/>
  <c r="AH75" i="19" s="1"/>
  <c r="AG75" i="19"/>
  <c r="AI81" i="19"/>
  <c r="AH81" i="19" s="1"/>
  <c r="AG81" i="19"/>
  <c r="AK81" i="19" s="1"/>
  <c r="AP40" i="19"/>
  <c r="AN40" i="19"/>
  <c r="AI86" i="19"/>
  <c r="AH86" i="19" s="1"/>
  <c r="AG86" i="19"/>
  <c r="AK86" i="19" s="1"/>
  <c r="AH22" i="19"/>
  <c r="AC22" i="19"/>
  <c r="AI27" i="19"/>
  <c r="AH27" i="19" s="1"/>
  <c r="AL27" i="19"/>
  <c r="AP27" i="19" s="1"/>
  <c r="AN27" i="19"/>
  <c r="AM27" i="19" s="1"/>
  <c r="AQ23" i="19"/>
  <c r="AU23" i="19"/>
  <c r="AI87" i="19"/>
  <c r="AH87" i="19" s="1"/>
  <c r="AG87" i="19"/>
  <c r="AK87" i="19" s="1"/>
  <c r="AI93" i="19"/>
  <c r="AH93" i="19" s="1"/>
  <c r="AG93" i="19"/>
  <c r="AK93" i="19" s="1"/>
  <c r="Y2" i="10"/>
  <c r="AN36" i="19"/>
  <c r="AM36" i="19" s="1"/>
  <c r="AL36" i="19"/>
  <c r="AP36" i="19" s="1"/>
  <c r="AI46" i="19"/>
  <c r="AH46" i="19" s="1"/>
  <c r="AG46" i="19"/>
  <c r="AK46" i="19" s="1"/>
  <c r="AI51" i="19"/>
  <c r="AH51" i="19" s="1"/>
  <c r="AG51" i="19"/>
  <c r="AK51" i="19" s="1"/>
  <c r="AI78" i="19"/>
  <c r="AH78" i="19" s="1"/>
  <c r="AG78" i="19"/>
  <c r="AK78" i="19" s="1"/>
  <c r="AI83" i="19"/>
  <c r="AH83" i="19" s="1"/>
  <c r="AK83" i="19"/>
  <c r="AG83" i="19"/>
  <c r="AD21" i="19"/>
  <c r="AC21" i="19" s="1"/>
  <c r="AI40" i="19"/>
  <c r="AH40" i="19" s="1"/>
  <c r="AI59" i="19"/>
  <c r="AH59" i="19" s="1"/>
  <c r="AG59" i="19"/>
  <c r="AK59" i="19" s="1"/>
  <c r="AI89" i="19"/>
  <c r="AH89" i="19" s="1"/>
  <c r="AG89" i="19"/>
  <c r="AK89" i="19" s="1"/>
  <c r="AC2" i="10"/>
  <c r="AI80" i="19"/>
  <c r="AH80" i="19" s="1"/>
  <c r="AG80" i="19"/>
  <c r="AK80" i="19" s="1"/>
  <c r="AM25" i="19"/>
  <c r="AM24" i="19"/>
  <c r="AI21" i="19"/>
  <c r="AH21" i="19" s="1"/>
  <c r="AP21" i="19"/>
  <c r="AN21" i="19"/>
  <c r="AI49" i="19"/>
  <c r="AH49" i="19" s="1"/>
  <c r="AG49" i="19"/>
  <c r="AK49" i="19" s="1"/>
  <c r="AI48" i="19"/>
  <c r="AH48" i="19" s="1"/>
  <c r="AG48" i="19"/>
  <c r="AK48" i="19" s="1"/>
  <c r="AI76" i="19"/>
  <c r="AH76" i="19" s="1"/>
  <c r="AG76" i="19"/>
  <c r="AK76" i="19" s="1"/>
  <c r="AI44" i="19"/>
  <c r="AH44" i="19" s="1"/>
  <c r="AG44" i="19"/>
  <c r="AK44" i="19" s="1"/>
  <c r="W2" i="10"/>
  <c r="W11" i="10" s="1"/>
  <c r="AI74" i="19"/>
  <c r="AH74" i="19" s="1"/>
  <c r="AG74" i="19"/>
  <c r="AK74" i="19" s="1"/>
  <c r="AI69" i="19"/>
  <c r="AH69" i="19" s="1"/>
  <c r="AG69" i="19"/>
  <c r="AK69" i="19" s="1"/>
  <c r="AQ25" i="19"/>
  <c r="AU25" i="19" s="1"/>
  <c r="AV25" i="19" s="1"/>
  <c r="AZ25" i="19" s="1"/>
  <c r="AQ24" i="19"/>
  <c r="AU24" i="19" s="1"/>
  <c r="AS24" i="19" s="1"/>
  <c r="AR24" i="19" s="1"/>
  <c r="AQ26" i="19"/>
  <c r="AU26" i="19" s="1"/>
  <c r="AV26" i="19" s="1"/>
  <c r="AZ26" i="19" s="1"/>
  <c r="AS26" i="19"/>
  <c r="AR26" i="19" s="1"/>
  <c r="AI43" i="19"/>
  <c r="AH43" i="19" s="1"/>
  <c r="AG43" i="19"/>
  <c r="AK43" i="19" s="1"/>
  <c r="AQ41" i="19"/>
  <c r="AU41" i="19" s="1"/>
  <c r="AS41" i="19" s="1"/>
  <c r="AR41" i="19" s="1"/>
  <c r="AI84" i="19"/>
  <c r="AH84" i="19" s="1"/>
  <c r="AG84" i="19"/>
  <c r="AK84" i="19" s="1"/>
  <c r="AI50" i="19"/>
  <c r="AH50" i="19" s="1"/>
  <c r="AG50" i="19"/>
  <c r="AK50" i="19" s="1"/>
  <c r="AI60" i="19"/>
  <c r="AH60" i="19" s="1"/>
  <c r="AG60" i="19"/>
  <c r="AK60" i="19" s="1"/>
  <c r="AQ22" i="19"/>
  <c r="AU22" i="19"/>
  <c r="AS22" i="19" s="1"/>
  <c r="AI82" i="19"/>
  <c r="AH82" i="19" s="1"/>
  <c r="AG82" i="19"/>
  <c r="AK82" i="19" s="1"/>
  <c r="AR37" i="19"/>
  <c r="AQ28" i="19"/>
  <c r="AU28" i="19" s="1"/>
  <c r="AS28" i="19" s="1"/>
  <c r="AR28" i="19" s="1"/>
  <c r="AI47" i="19"/>
  <c r="AH47" i="19" s="1"/>
  <c r="AG47" i="19"/>
  <c r="AK47" i="19" s="1"/>
  <c r="AI95" i="19"/>
  <c r="AH95" i="19" s="1"/>
  <c r="AG95" i="19"/>
  <c r="AK95" i="19" s="1"/>
  <c r="AI63" i="19"/>
  <c r="AH63" i="19" s="1"/>
  <c r="AG63" i="19"/>
  <c r="AK63" i="19" s="1"/>
  <c r="AI61" i="19"/>
  <c r="AH61" i="19" s="1"/>
  <c r="AG61" i="19"/>
  <c r="AK61" i="19" s="1"/>
  <c r="AI90" i="19"/>
  <c r="AH90" i="19" s="1"/>
  <c r="AG90" i="19"/>
  <c r="AK90" i="19" s="1"/>
  <c r="AI72" i="19"/>
  <c r="AH72" i="19" s="1"/>
  <c r="AG72" i="19"/>
  <c r="AK72" i="19" s="1"/>
  <c r="AV38" i="19"/>
  <c r="AZ38" i="19" s="1"/>
  <c r="AS38" i="19"/>
  <c r="AR38" i="19" s="1"/>
  <c r="AK42" i="19"/>
  <c r="AI42" i="19" s="1"/>
  <c r="AH42" i="19" s="1"/>
  <c r="AH25" i="19"/>
  <c r="AC25" i="19"/>
  <c r="AI91" i="19"/>
  <c r="AH91" i="19" s="1"/>
  <c r="AG91" i="19"/>
  <c r="AK91" i="19" s="1"/>
  <c r="AV37" i="19"/>
  <c r="AZ37" i="19" s="1"/>
  <c r="AP31" i="19"/>
  <c r="AN31" i="19"/>
  <c r="AM31" i="19" s="1"/>
  <c r="AK30" i="19"/>
  <c r="AK55" i="19"/>
  <c r="AI55" i="19"/>
  <c r="AH55" i="19" s="1"/>
  <c r="AG55" i="19"/>
  <c r="AN20" i="19"/>
  <c r="AM20" i="19" s="1"/>
  <c r="AQ20" i="19"/>
  <c r="AU20" i="19"/>
  <c r="AV20" i="19" s="1"/>
  <c r="AZ20" i="19" s="1"/>
  <c r="AS20" i="19"/>
  <c r="AR20" i="19" s="1"/>
  <c r="AH33" i="19"/>
  <c r="AI58" i="19"/>
  <c r="AH58" i="19" s="1"/>
  <c r="AG58" i="19"/>
  <c r="AK58" i="19" s="1"/>
  <c r="AI31" i="19"/>
  <c r="AH31" i="19" s="1"/>
  <c r="AD42" i="19"/>
  <c r="AC42" i="19" s="1"/>
  <c r="AK52" i="19"/>
  <c r="AI52" i="19"/>
  <c r="AH52" i="19" s="1"/>
  <c r="AG52" i="19"/>
  <c r="AN22" i="19"/>
  <c r="AM22" i="19" s="1"/>
  <c r="AI57" i="19"/>
  <c r="AH57" i="19" s="1"/>
  <c r="AG57" i="19"/>
  <c r="AK57" i="19" s="1"/>
  <c r="AI65" i="19"/>
  <c r="AH65" i="19" s="1"/>
  <c r="AG65" i="19"/>
  <c r="AK65" i="19" s="1"/>
  <c r="AI79" i="19"/>
  <c r="AH79" i="19" s="1"/>
  <c r="AK79" i="19"/>
  <c r="AG79" i="19"/>
  <c r="AI54" i="19"/>
  <c r="AH54" i="19" s="1"/>
  <c r="AG54" i="19"/>
  <c r="AK54" i="19" s="1"/>
  <c r="AQ35" i="19"/>
  <c r="AU35" i="19" s="1"/>
  <c r="AH20" i="19"/>
  <c r="AC20" i="19"/>
  <c r="AL33" i="19"/>
  <c r="AP33" i="19" s="1"/>
  <c r="AN33" i="19" s="1"/>
  <c r="AM33" i="19" s="1"/>
  <c r="R11" i="10"/>
  <c r="W11" i="19"/>
  <c r="R11" i="19"/>
  <c r="E10" i="7"/>
  <c r="E18" i="14" s="1"/>
  <c r="E87" i="14" s="1"/>
  <c r="E88" i="14" s="1"/>
  <c r="AC8" i="19"/>
  <c r="AB10" i="19"/>
  <c r="J31" i="14"/>
  <c r="J47" i="7"/>
  <c r="E66" i="16"/>
  <c r="G29" i="16"/>
  <c r="H26" i="16"/>
  <c r="G141" i="16"/>
  <c r="K26" i="9"/>
  <c r="J44" i="9"/>
  <c r="I69" i="16"/>
  <c r="T142" i="16"/>
  <c r="AJ76" i="14"/>
  <c r="I9" i="17"/>
  <c r="F53" i="14" s="1"/>
  <c r="I12" i="17"/>
  <c r="AB5" i="19"/>
  <c r="AD5" i="19"/>
  <c r="AH5" i="19"/>
  <c r="AC5" i="19"/>
  <c r="V11" i="16"/>
  <c r="U130" i="16"/>
  <c r="I32" i="16"/>
  <c r="H145" i="16"/>
  <c r="H27" i="6"/>
  <c r="I28" i="6"/>
  <c r="M69" i="16"/>
  <c r="AG142" i="16"/>
  <c r="AG130" i="16"/>
  <c r="AH11" i="16"/>
  <c r="M51" i="16"/>
  <c r="E12" i="16"/>
  <c r="E131" i="16" s="1"/>
  <c r="G23" i="4"/>
  <c r="Y11" i="10"/>
  <c r="F48" i="6"/>
  <c r="F10" i="14" s="1"/>
  <c r="D40" i="15"/>
  <c r="G13" i="15"/>
  <c r="H24" i="15"/>
  <c r="Y5" i="19"/>
  <c r="X11" i="19"/>
  <c r="AB7" i="19"/>
  <c r="AH7" i="19"/>
  <c r="AD7" i="19"/>
  <c r="H130" i="16"/>
  <c r="I11" i="16"/>
  <c r="J29" i="6"/>
  <c r="I50" i="6"/>
  <c r="I9" i="14" s="1"/>
  <c r="U29" i="16"/>
  <c r="U142" i="16" s="1"/>
  <c r="V26" i="16"/>
  <c r="U141" i="16"/>
  <c r="T133" i="16"/>
  <c r="I54" i="16"/>
  <c r="U14" i="16"/>
  <c r="F77" i="14"/>
  <c r="F78" i="14" s="1"/>
  <c r="F79" i="14" s="1"/>
  <c r="F80" i="14" s="1"/>
  <c r="F81" i="14" s="1"/>
  <c r="F82" i="14" s="1"/>
  <c r="F83" i="14" s="1"/>
  <c r="F84" i="14" s="1"/>
  <c r="F85" i="14" s="1"/>
  <c r="F86" i="14" s="1"/>
  <c r="J22" i="4"/>
  <c r="H26" i="4" s="1"/>
  <c r="I21" i="4"/>
  <c r="I17" i="4"/>
  <c r="I18" i="4"/>
  <c r="H11" i="4"/>
  <c r="H20" i="4"/>
  <c r="G74" i="7"/>
  <c r="T11" i="10"/>
  <c r="G8" i="14"/>
  <c r="G77" i="14" s="1"/>
  <c r="G48" i="6"/>
  <c r="G10" i="14" s="1"/>
  <c r="AI26" i="16"/>
  <c r="AH141" i="16"/>
  <c r="AH29" i="16"/>
  <c r="AH142" i="16" s="1"/>
  <c r="X11" i="10"/>
  <c r="AC6" i="19"/>
  <c r="E74" i="7"/>
  <c r="AE129" i="16"/>
  <c r="AF10" i="16"/>
  <c r="W76" i="14"/>
  <c r="J76" i="14"/>
  <c r="AE133" i="16"/>
  <c r="AF14" i="16"/>
  <c r="P10" i="15"/>
  <c r="Q10" i="15" s="1"/>
  <c r="R10" i="15" s="1"/>
  <c r="S10" i="15" s="1"/>
  <c r="G37" i="15"/>
  <c r="V37" i="15" s="1"/>
  <c r="Y6" i="19"/>
  <c r="C6" i="17"/>
  <c r="AL6" i="17" s="1"/>
  <c r="AL11" i="17" s="1"/>
  <c r="Y5" i="17"/>
  <c r="Y11" i="17" s="1"/>
  <c r="T11" i="19"/>
  <c r="T129" i="16"/>
  <c r="I50" i="16"/>
  <c r="U10" i="16"/>
  <c r="I8" i="4"/>
  <c r="G37" i="6"/>
  <c r="I7" i="4" s="1"/>
  <c r="H38" i="6"/>
  <c r="H49" i="6" s="1"/>
  <c r="E63" i="14"/>
  <c r="J5" i="13"/>
  <c r="E31" i="7" s="1"/>
  <c r="I43" i="9"/>
  <c r="I24" i="9"/>
  <c r="J25" i="9"/>
  <c r="E10" i="16"/>
  <c r="G43" i="4"/>
  <c r="F14" i="16"/>
  <c r="F9" i="16"/>
  <c r="G25" i="4"/>
  <c r="G27" i="4" s="1"/>
  <c r="L28" i="5"/>
  <c r="K23" i="5"/>
  <c r="K32" i="5" s="1"/>
  <c r="K40" i="5" s="1"/>
  <c r="K21" i="7" s="1"/>
  <c r="K38" i="5"/>
  <c r="K34" i="9"/>
  <c r="J33" i="9"/>
  <c r="Y8" i="19"/>
  <c r="L9" i="4"/>
  <c r="L13" i="4" s="1"/>
  <c r="K39" i="6"/>
  <c r="H11" i="18"/>
  <c r="G11" i="18"/>
  <c r="AM39" i="19" l="1"/>
  <c r="AR22" i="19"/>
  <c r="AH34" i="19"/>
  <c r="AL87" i="19"/>
  <c r="AP87" i="19" s="1"/>
  <c r="AN87" i="19"/>
  <c r="AM87" i="19" s="1"/>
  <c r="AN74" i="19"/>
  <c r="AM74" i="19" s="1"/>
  <c r="AL74" i="19"/>
  <c r="AP74" i="19" s="1"/>
  <c r="AL86" i="19"/>
  <c r="AP86" i="19" s="1"/>
  <c r="AN86" i="19"/>
  <c r="AM86" i="19" s="1"/>
  <c r="AP71" i="19"/>
  <c r="AL71" i="19"/>
  <c r="AN71" i="19"/>
  <c r="AM71" i="19" s="1"/>
  <c r="AX38" i="19"/>
  <c r="AW38" i="19" s="1"/>
  <c r="BA38" i="19"/>
  <c r="BE38" i="19" s="1"/>
  <c r="AL70" i="19"/>
  <c r="AN70" i="19"/>
  <c r="AM70" i="19" s="1"/>
  <c r="AP70" i="19"/>
  <c r="BA19" i="19"/>
  <c r="BE19" i="19" s="1"/>
  <c r="BC19" i="19" s="1"/>
  <c r="BB19" i="19" s="1"/>
  <c r="AX19" i="19"/>
  <c r="AW19" i="19" s="1"/>
  <c r="BA37" i="19"/>
  <c r="BE37" i="19" s="1"/>
  <c r="BC37" i="19"/>
  <c r="BB37" i="19" s="1"/>
  <c r="AX37" i="19"/>
  <c r="AW37" i="19" s="1"/>
  <c r="AN90" i="19"/>
  <c r="AM90" i="19" s="1"/>
  <c r="AL90" i="19"/>
  <c r="AP90" i="19" s="1"/>
  <c r="AN49" i="19"/>
  <c r="AM49" i="19" s="1"/>
  <c r="AL49" i="19"/>
  <c r="AP49" i="19"/>
  <c r="AN53" i="19"/>
  <c r="AM53" i="19" s="1"/>
  <c r="AL53" i="19"/>
  <c r="AP53" i="19" s="1"/>
  <c r="AV35" i="19"/>
  <c r="AZ35" i="19"/>
  <c r="AS35" i="19"/>
  <c r="AR35" i="19" s="1"/>
  <c r="AN58" i="19"/>
  <c r="AM58" i="19" s="1"/>
  <c r="AL58" i="19"/>
  <c r="AP58" i="19" s="1"/>
  <c r="AL66" i="19"/>
  <c r="AP66" i="19"/>
  <c r="AN66" i="19"/>
  <c r="AM66" i="19" s="1"/>
  <c r="AN50" i="19"/>
  <c r="AM50" i="19" s="1"/>
  <c r="AL50" i="19"/>
  <c r="AP50" i="19" s="1"/>
  <c r="AL78" i="19"/>
  <c r="AP78" i="19" s="1"/>
  <c r="AN78" i="19"/>
  <c r="AM78" i="19" s="1"/>
  <c r="AX29" i="19"/>
  <c r="AW29" i="19" s="1"/>
  <c r="BA29" i="19"/>
  <c r="BE29" i="19" s="1"/>
  <c r="BC29" i="19"/>
  <c r="AL67" i="19"/>
  <c r="AP67" i="19" s="1"/>
  <c r="AN67" i="19"/>
  <c r="AM67" i="19" s="1"/>
  <c r="AN54" i="19"/>
  <c r="AM54" i="19" s="1"/>
  <c r="AL54" i="19"/>
  <c r="AP54" i="19" s="1"/>
  <c r="AL63" i="19"/>
  <c r="AP63" i="19" s="1"/>
  <c r="AN63" i="19"/>
  <c r="AM63" i="19" s="1"/>
  <c r="AN82" i="19"/>
  <c r="AM82" i="19" s="1"/>
  <c r="AL82" i="19"/>
  <c r="AP82" i="19" s="1"/>
  <c r="AN59" i="19"/>
  <c r="AM59" i="19" s="1"/>
  <c r="AL59" i="19"/>
  <c r="AP59" i="19" s="1"/>
  <c r="AL62" i="19"/>
  <c r="AP62" i="19"/>
  <c r="AN62" i="19"/>
  <c r="AM62" i="19" s="1"/>
  <c r="AN52" i="19"/>
  <c r="AM52" i="19" s="1"/>
  <c r="AP52" i="19"/>
  <c r="AL52" i="19"/>
  <c r="AX20" i="19"/>
  <c r="AW20" i="19" s="1"/>
  <c r="BA20" i="19"/>
  <c r="BE20" i="19" s="1"/>
  <c r="BC20" i="19"/>
  <c r="BB20" i="19" s="1"/>
  <c r="AL95" i="19"/>
  <c r="AP95" i="19" s="1"/>
  <c r="AN95" i="19"/>
  <c r="AM95" i="19" s="1"/>
  <c r="AL48" i="19"/>
  <c r="AP48" i="19" s="1"/>
  <c r="AN48" i="19"/>
  <c r="AM48" i="19" s="1"/>
  <c r="AL79" i="19"/>
  <c r="AP79" i="19" s="1"/>
  <c r="AN79" i="19"/>
  <c r="AM79" i="19" s="1"/>
  <c r="AN65" i="19"/>
  <c r="AM65" i="19" s="1"/>
  <c r="AL65" i="19"/>
  <c r="AP65" i="19" s="1"/>
  <c r="AQ31" i="19"/>
  <c r="AU31" i="19" s="1"/>
  <c r="AX26" i="19"/>
  <c r="AW26" i="19" s="1"/>
  <c r="BA26" i="19"/>
  <c r="BE26" i="19" s="1"/>
  <c r="BC26" i="19"/>
  <c r="AL93" i="19"/>
  <c r="AP93" i="19" s="1"/>
  <c r="AN93" i="19"/>
  <c r="AM93" i="19" s="1"/>
  <c r="AM40" i="19"/>
  <c r="AL64" i="19"/>
  <c r="AP64" i="19" s="1"/>
  <c r="AN64" i="19"/>
  <c r="AM64" i="19" s="1"/>
  <c r="AL88" i="19"/>
  <c r="AP88" i="19"/>
  <c r="AN88" i="19"/>
  <c r="AM88" i="19" s="1"/>
  <c r="AP42" i="19"/>
  <c r="AN42" i="19"/>
  <c r="AM42" i="19" s="1"/>
  <c r="AL47" i="19"/>
  <c r="AP47" i="19" s="1"/>
  <c r="AN47" i="19"/>
  <c r="AM47" i="19" s="1"/>
  <c r="AL84" i="19"/>
  <c r="AP84" i="19"/>
  <c r="AN84" i="19"/>
  <c r="AM84" i="19" s="1"/>
  <c r="AL80" i="19"/>
  <c r="AP80" i="19"/>
  <c r="AN80" i="19"/>
  <c r="AM80" i="19" s="1"/>
  <c r="AN51" i="19"/>
  <c r="AM51" i="19" s="1"/>
  <c r="AL51" i="19"/>
  <c r="AP51" i="19" s="1"/>
  <c r="AQ27" i="19"/>
  <c r="AU27" i="19"/>
  <c r="AV27" i="19" s="1"/>
  <c r="AZ27" i="19" s="1"/>
  <c r="AQ40" i="19"/>
  <c r="AU40" i="19" s="1"/>
  <c r="AL34" i="19"/>
  <c r="AP34" i="19" s="1"/>
  <c r="AN34" i="19" s="1"/>
  <c r="AM34" i="19" s="1"/>
  <c r="AN56" i="19"/>
  <c r="AM56" i="19" s="1"/>
  <c r="AL56" i="19"/>
  <c r="AP56" i="19" s="1"/>
  <c r="AN57" i="19"/>
  <c r="AM57" i="19" s="1"/>
  <c r="AL57" i="19"/>
  <c r="AP57" i="19" s="1"/>
  <c r="AN61" i="19"/>
  <c r="AM61" i="19" s="1"/>
  <c r="AP61" i="19"/>
  <c r="AL61" i="19"/>
  <c r="AV22" i="19"/>
  <c r="AZ22" i="19"/>
  <c r="AV24" i="19"/>
  <c r="AZ24" i="19" s="1"/>
  <c r="AN81" i="19"/>
  <c r="AM81" i="19" s="1"/>
  <c r="AL81" i="19"/>
  <c r="AP81" i="19" s="1"/>
  <c r="AN92" i="19"/>
  <c r="AM92" i="19" s="1"/>
  <c r="AL92" i="19"/>
  <c r="AP92" i="19" s="1"/>
  <c r="AL94" i="19"/>
  <c r="AP94" i="19" s="1"/>
  <c r="AN94" i="19"/>
  <c r="AM94" i="19" s="1"/>
  <c r="AP30" i="19"/>
  <c r="AV23" i="19"/>
  <c r="AZ23" i="19" s="1"/>
  <c r="AL75" i="19"/>
  <c r="AP75" i="19" s="1"/>
  <c r="AN75" i="19"/>
  <c r="AM75" i="19" s="1"/>
  <c r="AL96" i="19"/>
  <c r="AP96" i="19" s="1"/>
  <c r="AN96" i="19"/>
  <c r="AM96" i="19" s="1"/>
  <c r="AS25" i="19"/>
  <c r="AR25" i="19" s="1"/>
  <c r="AN44" i="19"/>
  <c r="AM44" i="19" s="1"/>
  <c r="AL44" i="19"/>
  <c r="AP44" i="19"/>
  <c r="AN46" i="19"/>
  <c r="AM46" i="19" s="1"/>
  <c r="AL46" i="19"/>
  <c r="AP46" i="19" s="1"/>
  <c r="AP32" i="19"/>
  <c r="AN32" i="19"/>
  <c r="AM32" i="19" s="1"/>
  <c r="AQ33" i="19"/>
  <c r="AU33" i="19" s="1"/>
  <c r="AV33" i="19" s="1"/>
  <c r="AZ33" i="19" s="1"/>
  <c r="AN55" i="19"/>
  <c r="AM55" i="19" s="1"/>
  <c r="AL55" i="19"/>
  <c r="AP55" i="19" s="1"/>
  <c r="AN91" i="19"/>
  <c r="AM91" i="19" s="1"/>
  <c r="AL91" i="19"/>
  <c r="AP91" i="19" s="1"/>
  <c r="AZ28" i="19"/>
  <c r="AV28" i="19"/>
  <c r="AN60" i="19"/>
  <c r="AM60" i="19" s="1"/>
  <c r="AL60" i="19"/>
  <c r="AP60" i="19"/>
  <c r="AV41" i="19"/>
  <c r="AZ41" i="19" s="1"/>
  <c r="AX25" i="19"/>
  <c r="BC25" i="19"/>
  <c r="BA25" i="19"/>
  <c r="BE25" i="19" s="1"/>
  <c r="AM21" i="19"/>
  <c r="AN89" i="19"/>
  <c r="AM89" i="19" s="1"/>
  <c r="AL89" i="19"/>
  <c r="AP89" i="19" s="1"/>
  <c r="AL83" i="19"/>
  <c r="AP83" i="19" s="1"/>
  <c r="AN83" i="19"/>
  <c r="AM83" i="19" s="1"/>
  <c r="AQ39" i="19"/>
  <c r="AU39" i="19"/>
  <c r="AV39" i="19" s="1"/>
  <c r="AZ39" i="19" s="1"/>
  <c r="AL68" i="19"/>
  <c r="AN68" i="19"/>
  <c r="AM68" i="19" s="1"/>
  <c r="AP68" i="19"/>
  <c r="AN77" i="19"/>
  <c r="AM77" i="19" s="1"/>
  <c r="AL77" i="19"/>
  <c r="AP77" i="19" s="1"/>
  <c r="AN45" i="19"/>
  <c r="AM45" i="19" s="1"/>
  <c r="AL45" i="19"/>
  <c r="AP45" i="19" s="1"/>
  <c r="AN85" i="19"/>
  <c r="AM85" i="19" s="1"/>
  <c r="AL85" i="19"/>
  <c r="AP85" i="19" s="1"/>
  <c r="AI30" i="19"/>
  <c r="AH30" i="19" s="1"/>
  <c r="AL72" i="19"/>
  <c r="AP72" i="19"/>
  <c r="AN72" i="19"/>
  <c r="AM72" i="19" s="1"/>
  <c r="AN43" i="19"/>
  <c r="AM43" i="19" s="1"/>
  <c r="AL43" i="19"/>
  <c r="AP43" i="19" s="1"/>
  <c r="AN69" i="19"/>
  <c r="AM69" i="19" s="1"/>
  <c r="AL69" i="19"/>
  <c r="AP69" i="19" s="1"/>
  <c r="AL76" i="19"/>
  <c r="AP76" i="19" s="1"/>
  <c r="AN76" i="19"/>
  <c r="AM76" i="19" s="1"/>
  <c r="AQ21" i="19"/>
  <c r="AU21" i="19" s="1"/>
  <c r="AV21" i="19" s="1"/>
  <c r="AZ21" i="19" s="1"/>
  <c r="AQ36" i="19"/>
  <c r="AU36" i="19" s="1"/>
  <c r="AS36" i="19" s="1"/>
  <c r="AR36" i="19" s="1"/>
  <c r="AS23" i="19"/>
  <c r="AR23" i="19" s="1"/>
  <c r="AN73" i="19"/>
  <c r="AM73" i="19" s="1"/>
  <c r="AP73" i="19"/>
  <c r="AL73" i="19"/>
  <c r="D14" i="15"/>
  <c r="E12" i="7"/>
  <c r="E20" i="14" s="1"/>
  <c r="E64" i="14" s="1"/>
  <c r="F10" i="7"/>
  <c r="G10" i="7"/>
  <c r="G18" i="14" s="1"/>
  <c r="Y11" i="19"/>
  <c r="AC11" i="19"/>
  <c r="AG5" i="19"/>
  <c r="AM5" i="19"/>
  <c r="AI5" i="19"/>
  <c r="AG7" i="19"/>
  <c r="AG3" i="19"/>
  <c r="AI3" i="19"/>
  <c r="AM3" i="19"/>
  <c r="H8" i="14"/>
  <c r="H77" i="14" s="1"/>
  <c r="E134" i="14"/>
  <c r="G78" i="14"/>
  <c r="L39" i="6"/>
  <c r="M9" i="4"/>
  <c r="M13" i="4" s="1"/>
  <c r="D9" i="15"/>
  <c r="AF133" i="16"/>
  <c r="AG14" i="16"/>
  <c r="F17" i="16"/>
  <c r="F136" i="16" s="1"/>
  <c r="F68" i="14"/>
  <c r="F55" i="14"/>
  <c r="L34" i="9"/>
  <c r="K33" i="9"/>
  <c r="J7" i="17"/>
  <c r="E21" i="15"/>
  <c r="F128" i="16"/>
  <c r="AG10" i="19"/>
  <c r="AI10" i="19"/>
  <c r="AM10" i="19"/>
  <c r="G9" i="16"/>
  <c r="H25" i="4"/>
  <c r="H27" i="4" s="1"/>
  <c r="W26" i="16"/>
  <c r="V141" i="16"/>
  <c r="V29" i="16"/>
  <c r="V142" i="16" s="1"/>
  <c r="AB2" i="19"/>
  <c r="AH2" i="19"/>
  <c r="AD2" i="19"/>
  <c r="J43" i="9"/>
  <c r="J24" i="9"/>
  <c r="K25" i="9"/>
  <c r="F133" i="16"/>
  <c r="G14" i="16"/>
  <c r="F63" i="14"/>
  <c r="K5" i="13"/>
  <c r="F31" i="7" s="1"/>
  <c r="J32" i="16"/>
  <c r="I145" i="16"/>
  <c r="AH10" i="19"/>
  <c r="AH130" i="16"/>
  <c r="AI11" i="16"/>
  <c r="E89" i="14"/>
  <c r="E90" i="14" s="1"/>
  <c r="L23" i="5"/>
  <c r="L32" i="5" s="1"/>
  <c r="L40" i="5" s="1"/>
  <c r="L21" i="7" s="1"/>
  <c r="M28" i="5"/>
  <c r="L38" i="5"/>
  <c r="D20" i="15"/>
  <c r="D19" i="15" s="1"/>
  <c r="H43" i="4"/>
  <c r="I42" i="9"/>
  <c r="H37" i="6"/>
  <c r="J7" i="4" s="1"/>
  <c r="J8" i="4"/>
  <c r="I38" i="6"/>
  <c r="AF129" i="16"/>
  <c r="AG10" i="16"/>
  <c r="AD10" i="19"/>
  <c r="J133" i="14"/>
  <c r="X76" i="14"/>
  <c r="K31" i="14"/>
  <c r="K47" i="7"/>
  <c r="D12" i="15"/>
  <c r="F10" i="16"/>
  <c r="E129" i="16"/>
  <c r="K22" i="4"/>
  <c r="I26" i="4" s="1"/>
  <c r="J21" i="4"/>
  <c r="J17" i="4"/>
  <c r="J18" i="4"/>
  <c r="I11" i="4"/>
  <c r="I20" i="4"/>
  <c r="J50" i="6"/>
  <c r="J9" i="14" s="1"/>
  <c r="K29" i="6"/>
  <c r="I24" i="15"/>
  <c r="N133" i="14"/>
  <c r="AK76" i="14"/>
  <c r="L26" i="9"/>
  <c r="K44" i="9"/>
  <c r="H141" i="16"/>
  <c r="H29" i="16"/>
  <c r="H142" i="16" s="1"/>
  <c r="I26" i="16"/>
  <c r="H37" i="15"/>
  <c r="T10" i="15"/>
  <c r="U10" i="15" s="1"/>
  <c r="V10" i="15" s="1"/>
  <c r="F133" i="14"/>
  <c r="K76" i="14"/>
  <c r="AI141" i="16"/>
  <c r="AJ26" i="16"/>
  <c r="AI29" i="16"/>
  <c r="AI142" i="16" s="1"/>
  <c r="F12" i="16"/>
  <c r="F131" i="16" s="1"/>
  <c r="H23" i="4"/>
  <c r="U133" i="16"/>
  <c r="V14" i="16"/>
  <c r="J11" i="16"/>
  <c r="I130" i="16"/>
  <c r="V130" i="16"/>
  <c r="W11" i="16"/>
  <c r="G142" i="16"/>
  <c r="E69" i="16"/>
  <c r="AB8" i="19"/>
  <c r="AH8" i="19"/>
  <c r="AD8" i="19"/>
  <c r="AB3" i="19"/>
  <c r="AH3" i="19"/>
  <c r="AD3" i="19"/>
  <c r="AB6" i="19"/>
  <c r="AH6" i="19"/>
  <c r="AD6" i="19"/>
  <c r="E41" i="14"/>
  <c r="E51" i="7"/>
  <c r="E38" i="7"/>
  <c r="E16" i="16"/>
  <c r="U129" i="16"/>
  <c r="V10" i="16"/>
  <c r="G63" i="14"/>
  <c r="L5" i="13"/>
  <c r="G31" i="7" s="1"/>
  <c r="H13" i="15"/>
  <c r="I49" i="6"/>
  <c r="I27" i="6"/>
  <c r="J28" i="6"/>
  <c r="AB4" i="19"/>
  <c r="AH4" i="19"/>
  <c r="AD4" i="19"/>
  <c r="BB25" i="19" l="1"/>
  <c r="AW25" i="19"/>
  <c r="BB26" i="19"/>
  <c r="AV40" i="19"/>
  <c r="AZ40" i="19" s="1"/>
  <c r="AS40" i="19"/>
  <c r="AR40" i="19" s="1"/>
  <c r="AS48" i="19"/>
  <c r="AR48" i="19" s="1"/>
  <c r="AQ48" i="19"/>
  <c r="AU48" i="19" s="1"/>
  <c r="AV31" i="19"/>
  <c r="AZ31" i="19" s="1"/>
  <c r="AS31" i="19"/>
  <c r="AR31" i="19" s="1"/>
  <c r="AS95" i="19"/>
  <c r="AR95" i="19" s="1"/>
  <c r="AQ95" i="19"/>
  <c r="AU95" i="19" s="1"/>
  <c r="AS78" i="19"/>
  <c r="AR78" i="19" s="1"/>
  <c r="AQ78" i="19"/>
  <c r="AU78" i="19" s="1"/>
  <c r="AS86" i="19"/>
  <c r="AR86" i="19" s="1"/>
  <c r="AQ86" i="19"/>
  <c r="AU86" i="19"/>
  <c r="AS50" i="19"/>
  <c r="AR50" i="19" s="1"/>
  <c r="AQ50" i="19"/>
  <c r="AU50" i="19" s="1"/>
  <c r="AS92" i="19"/>
  <c r="AR92" i="19" s="1"/>
  <c r="AQ92" i="19"/>
  <c r="AU92" i="19" s="1"/>
  <c r="AS59" i="19"/>
  <c r="AR59" i="19" s="1"/>
  <c r="AQ59" i="19"/>
  <c r="AU59" i="19" s="1"/>
  <c r="BC38" i="19"/>
  <c r="BB38" i="19" s="1"/>
  <c r="BF38" i="19"/>
  <c r="BJ38" i="19" s="1"/>
  <c r="BH38" i="19"/>
  <c r="AS96" i="19"/>
  <c r="AR96" i="19" s="1"/>
  <c r="AQ96" i="19"/>
  <c r="AU96" i="19" s="1"/>
  <c r="AX24" i="19"/>
  <c r="AW24" i="19" s="1"/>
  <c r="BA24" i="19"/>
  <c r="BE24" i="19" s="1"/>
  <c r="BC24" i="19"/>
  <c r="AS76" i="19"/>
  <c r="AR76" i="19" s="1"/>
  <c r="AQ76" i="19"/>
  <c r="AU76" i="19" s="1"/>
  <c r="AQ54" i="19"/>
  <c r="AS54" i="19"/>
  <c r="AR54" i="19" s="1"/>
  <c r="AU54" i="19"/>
  <c r="AS69" i="19"/>
  <c r="AR69" i="19" s="1"/>
  <c r="AQ69" i="19"/>
  <c r="AU69" i="19" s="1"/>
  <c r="AQ81" i="19"/>
  <c r="AU81" i="19" s="1"/>
  <c r="AS81" i="19"/>
  <c r="AR81" i="19" s="1"/>
  <c r="AS57" i="19"/>
  <c r="AR57" i="19" s="1"/>
  <c r="AU57" i="19"/>
  <c r="AQ57" i="19"/>
  <c r="AS64" i="19"/>
  <c r="AR64" i="19" s="1"/>
  <c r="AQ64" i="19"/>
  <c r="AU64" i="19" s="1"/>
  <c r="AQ65" i="19"/>
  <c r="AU65" i="19"/>
  <c r="AS65" i="19"/>
  <c r="AR65" i="19" s="1"/>
  <c r="AS43" i="19"/>
  <c r="AR43" i="19" s="1"/>
  <c r="AQ43" i="19"/>
  <c r="AU43" i="19" s="1"/>
  <c r="AX23" i="19"/>
  <c r="AW23" i="19" s="1"/>
  <c r="BC23" i="19"/>
  <c r="BB23" i="19" s="1"/>
  <c r="BA23" i="19"/>
  <c r="BE23" i="19" s="1"/>
  <c r="AX41" i="19"/>
  <c r="AW41" i="19" s="1"/>
  <c r="BE41" i="19"/>
  <c r="BA41" i="19"/>
  <c r="AQ55" i="19"/>
  <c r="AU55" i="19" s="1"/>
  <c r="AS55" i="19"/>
  <c r="AR55" i="19" s="1"/>
  <c r="AU52" i="19"/>
  <c r="AQ52" i="19"/>
  <c r="AS52" i="19"/>
  <c r="AR52" i="19" s="1"/>
  <c r="BA35" i="19"/>
  <c r="BE35" i="19" s="1"/>
  <c r="AS91" i="19"/>
  <c r="AR91" i="19" s="1"/>
  <c r="AQ91" i="19"/>
  <c r="AU91" i="19" s="1"/>
  <c r="AQ32" i="19"/>
  <c r="AU32" i="19" s="1"/>
  <c r="AS80" i="19"/>
  <c r="AR80" i="19" s="1"/>
  <c r="AQ80" i="19"/>
  <c r="AU80" i="19" s="1"/>
  <c r="AQ42" i="19"/>
  <c r="AU42" i="19"/>
  <c r="AS42" i="19" s="1"/>
  <c r="AR42" i="19" s="1"/>
  <c r="BB29" i="19"/>
  <c r="AX28" i="19"/>
  <c r="AW28" i="19" s="1"/>
  <c r="BA28" i="19"/>
  <c r="BE28" i="19" s="1"/>
  <c r="BC28" i="19"/>
  <c r="AQ71" i="19"/>
  <c r="AU71" i="19" s="1"/>
  <c r="AS71" i="19"/>
  <c r="AR71" i="19" s="1"/>
  <c r="AQ73" i="19"/>
  <c r="AU73" i="19" s="1"/>
  <c r="AS73" i="19"/>
  <c r="AR73" i="19" s="1"/>
  <c r="AS77" i="19"/>
  <c r="AR77" i="19" s="1"/>
  <c r="AQ77" i="19"/>
  <c r="AU77" i="19" s="1"/>
  <c r="AQ46" i="19"/>
  <c r="AU46" i="19"/>
  <c r="AS46" i="19"/>
  <c r="AR46" i="19" s="1"/>
  <c r="AQ94" i="19"/>
  <c r="AU94" i="19" s="1"/>
  <c r="AS94" i="19"/>
  <c r="AR94" i="19" s="1"/>
  <c r="AQ93" i="19"/>
  <c r="AU93" i="19" s="1"/>
  <c r="AS93" i="19"/>
  <c r="AR93" i="19" s="1"/>
  <c r="BF29" i="19"/>
  <c r="BJ29" i="19" s="1"/>
  <c r="BH29" i="19"/>
  <c r="BG29" i="19" s="1"/>
  <c r="AX35" i="19"/>
  <c r="AW35" i="19" s="1"/>
  <c r="AX21" i="19"/>
  <c r="BA21" i="19"/>
  <c r="BE21" i="19" s="1"/>
  <c r="BC21" i="19" s="1"/>
  <c r="AS67" i="19"/>
  <c r="AR67" i="19" s="1"/>
  <c r="AQ67" i="19"/>
  <c r="AU67" i="19" s="1"/>
  <c r="AS72" i="19"/>
  <c r="AR72" i="19" s="1"/>
  <c r="AQ72" i="19"/>
  <c r="AU72" i="19" s="1"/>
  <c r="AQ83" i="19"/>
  <c r="AS83" i="19"/>
  <c r="AR83" i="19" s="1"/>
  <c r="AU83" i="19"/>
  <c r="BA22" i="19"/>
  <c r="BE22" i="19" s="1"/>
  <c r="AX27" i="19"/>
  <c r="BA27" i="19"/>
  <c r="BE27" i="19" s="1"/>
  <c r="BC27" i="19"/>
  <c r="BB27" i="19" s="1"/>
  <c r="AS88" i="19"/>
  <c r="AR88" i="19" s="1"/>
  <c r="AQ88" i="19"/>
  <c r="AU88" i="19" s="1"/>
  <c r="AQ62" i="19"/>
  <c r="AU62" i="19"/>
  <c r="AS62" i="19"/>
  <c r="AR62" i="19" s="1"/>
  <c r="AU63" i="19"/>
  <c r="AS63" i="19"/>
  <c r="AR63" i="19" s="1"/>
  <c r="AQ63" i="19"/>
  <c r="AQ66" i="19"/>
  <c r="AU66" i="19"/>
  <c r="AS66" i="19"/>
  <c r="AR66" i="19" s="1"/>
  <c r="AS53" i="19"/>
  <c r="AR53" i="19" s="1"/>
  <c r="AQ53" i="19"/>
  <c r="AU53" i="19" s="1"/>
  <c r="AX39" i="19"/>
  <c r="BC39" i="19"/>
  <c r="BB39" i="19" s="1"/>
  <c r="BA39" i="19"/>
  <c r="BE39" i="19" s="1"/>
  <c r="AQ30" i="19"/>
  <c r="AU30" i="19"/>
  <c r="AS30" i="19" s="1"/>
  <c r="AR30" i="19" s="1"/>
  <c r="AS82" i="19"/>
  <c r="AR82" i="19" s="1"/>
  <c r="AQ82" i="19"/>
  <c r="AU82" i="19" s="1"/>
  <c r="AS70" i="19"/>
  <c r="AR70" i="19" s="1"/>
  <c r="AQ70" i="19"/>
  <c r="AU70" i="19" s="1"/>
  <c r="AU68" i="19"/>
  <c r="AS68" i="19"/>
  <c r="AR68" i="19" s="1"/>
  <c r="AQ68" i="19"/>
  <c r="AS89" i="19"/>
  <c r="AR89" i="19" s="1"/>
  <c r="AQ89" i="19"/>
  <c r="AU89" i="19" s="1"/>
  <c r="AS60" i="19"/>
  <c r="AR60" i="19" s="1"/>
  <c r="AQ60" i="19"/>
  <c r="AU60" i="19" s="1"/>
  <c r="AS44" i="19"/>
  <c r="AR44" i="19" s="1"/>
  <c r="AQ44" i="19"/>
  <c r="AU44" i="19" s="1"/>
  <c r="AQ75" i="19"/>
  <c r="AU75" i="19" s="1"/>
  <c r="AS75" i="19"/>
  <c r="AR75" i="19" s="1"/>
  <c r="AX22" i="19"/>
  <c r="AS56" i="19"/>
  <c r="AR56" i="19" s="1"/>
  <c r="AQ56" i="19"/>
  <c r="AU56" i="19" s="1"/>
  <c r="AS84" i="19"/>
  <c r="AR84" i="19" s="1"/>
  <c r="AQ84" i="19"/>
  <c r="AU84" i="19"/>
  <c r="BF26" i="19"/>
  <c r="BJ26" i="19" s="1"/>
  <c r="BH26" i="19" s="1"/>
  <c r="BG26" i="19" s="1"/>
  <c r="BF37" i="19"/>
  <c r="BJ37" i="19" s="1"/>
  <c r="AQ74" i="19"/>
  <c r="AU74" i="19" s="1"/>
  <c r="AS74" i="19"/>
  <c r="AR74" i="19" s="1"/>
  <c r="AS27" i="19"/>
  <c r="AR27" i="19" s="1"/>
  <c r="AQ79" i="19"/>
  <c r="AU79" i="19" s="1"/>
  <c r="AS79" i="19"/>
  <c r="AR79" i="19" s="1"/>
  <c r="BF20" i="19"/>
  <c r="BJ20" i="19" s="1"/>
  <c r="AQ58" i="19"/>
  <c r="AU58" i="19" s="1"/>
  <c r="AS58" i="19"/>
  <c r="AR58" i="19" s="1"/>
  <c r="AS49" i="19"/>
  <c r="AR49" i="19" s="1"/>
  <c r="AQ49" i="19"/>
  <c r="AU49" i="19" s="1"/>
  <c r="AZ36" i="19"/>
  <c r="AX36" i="19"/>
  <c r="AW36" i="19" s="1"/>
  <c r="AV36" i="19"/>
  <c r="AS85" i="19"/>
  <c r="AR85" i="19" s="1"/>
  <c r="AU85" i="19"/>
  <c r="AQ85" i="19"/>
  <c r="AS33" i="19"/>
  <c r="AR33" i="19" s="1"/>
  <c r="AQ51" i="19"/>
  <c r="AU51" i="19" s="1"/>
  <c r="AS51" i="19"/>
  <c r="AR51" i="19" s="1"/>
  <c r="AS45" i="19"/>
  <c r="AR45" i="19" s="1"/>
  <c r="AQ45" i="19"/>
  <c r="AU45" i="19" s="1"/>
  <c r="AQ90" i="19"/>
  <c r="AU90" i="19" s="1"/>
  <c r="AS90" i="19"/>
  <c r="AR90" i="19" s="1"/>
  <c r="AS21" i="19"/>
  <c r="AR21" i="19" s="1"/>
  <c r="AS39" i="19"/>
  <c r="AR39" i="19" s="1"/>
  <c r="BF25" i="19"/>
  <c r="BJ25" i="19" s="1"/>
  <c r="BH25" i="19" s="1"/>
  <c r="BG25" i="19" s="1"/>
  <c r="AX33" i="19"/>
  <c r="BA33" i="19"/>
  <c r="BE33" i="19" s="1"/>
  <c r="BC33" i="19" s="1"/>
  <c r="AN30" i="19"/>
  <c r="AM30" i="19" s="1"/>
  <c r="AQ61" i="19"/>
  <c r="AU61" i="19" s="1"/>
  <c r="AS61" i="19"/>
  <c r="AR61" i="19" s="1"/>
  <c r="AQ34" i="19"/>
  <c r="AU34" i="19" s="1"/>
  <c r="AS34" i="19" s="1"/>
  <c r="AR34" i="19" s="1"/>
  <c r="AU47" i="19"/>
  <c r="AQ47" i="19"/>
  <c r="AS47" i="19"/>
  <c r="AR47" i="19" s="1"/>
  <c r="BF19" i="19"/>
  <c r="BJ19" i="19" s="1"/>
  <c r="BH19" i="19" s="1"/>
  <c r="BG19" i="19" s="1"/>
  <c r="AS87" i="19"/>
  <c r="AR87" i="19" s="1"/>
  <c r="AQ87" i="19"/>
  <c r="AU87" i="19" s="1"/>
  <c r="E14" i="15"/>
  <c r="F14" i="15" s="1"/>
  <c r="G12" i="7"/>
  <c r="G20" i="14" s="1"/>
  <c r="G64" i="14" s="1"/>
  <c r="E22" i="14"/>
  <c r="E65" i="14" s="1"/>
  <c r="AB11" i="19"/>
  <c r="F12" i="7"/>
  <c r="F20" i="14" s="1"/>
  <c r="F18" i="14"/>
  <c r="F87" i="14" s="1"/>
  <c r="F88" i="14" s="1"/>
  <c r="AL7" i="19"/>
  <c r="AL10" i="19"/>
  <c r="E9" i="15"/>
  <c r="AL8" i="19"/>
  <c r="AN8" i="19"/>
  <c r="J27" i="6"/>
  <c r="K28" i="6"/>
  <c r="G22" i="14"/>
  <c r="J51" i="16"/>
  <c r="W130" i="16"/>
  <c r="X11" i="16"/>
  <c r="F129" i="16"/>
  <c r="G10" i="16"/>
  <c r="AG129" i="16"/>
  <c r="M50" i="16"/>
  <c r="AH10" i="16"/>
  <c r="K24" i="9"/>
  <c r="L25" i="9"/>
  <c r="K43" i="9"/>
  <c r="J12" i="17"/>
  <c r="J9" i="17"/>
  <c r="G53" i="14" s="1"/>
  <c r="E135" i="14"/>
  <c r="G79" i="14"/>
  <c r="AG6" i="19"/>
  <c r="AM6" i="19"/>
  <c r="AI6" i="19"/>
  <c r="L76" i="14"/>
  <c r="I37" i="15"/>
  <c r="W10" i="15"/>
  <c r="X10" i="15" s="1"/>
  <c r="Y10" i="15" s="1"/>
  <c r="AL76" i="14"/>
  <c r="M38" i="5"/>
  <c r="M23" i="5"/>
  <c r="M32" i="5" s="1"/>
  <c r="M40" i="5" s="1"/>
  <c r="M21" i="7" s="1"/>
  <c r="N28" i="5"/>
  <c r="J66" i="16"/>
  <c r="X26" i="16"/>
  <c r="W141" i="16"/>
  <c r="W29" i="16"/>
  <c r="G41" i="14"/>
  <c r="G51" i="7"/>
  <c r="G57" i="7" s="1"/>
  <c r="G38" i="7"/>
  <c r="G48" i="14" s="1"/>
  <c r="G66" i="14" s="1"/>
  <c r="I8" i="14"/>
  <c r="I77" i="14" s="1"/>
  <c r="I48" i="6"/>
  <c r="I10" i="14" s="1"/>
  <c r="I37" i="6"/>
  <c r="K7" i="4" s="1"/>
  <c r="K8" i="4"/>
  <c r="J38" i="6"/>
  <c r="L31" i="14"/>
  <c r="L47" i="7"/>
  <c r="AI130" i="16"/>
  <c r="AJ11" i="16"/>
  <c r="J42" i="9"/>
  <c r="M34" i="9"/>
  <c r="L33" i="9"/>
  <c r="AG133" i="16"/>
  <c r="M54" i="16"/>
  <c r="AH14" i="16"/>
  <c r="AG4" i="19"/>
  <c r="AM4" i="19"/>
  <c r="AI4" i="19"/>
  <c r="H48" i="6"/>
  <c r="H10" i="14" s="1"/>
  <c r="AG8" i="19"/>
  <c r="AM8" i="19"/>
  <c r="AI8" i="19"/>
  <c r="G12" i="16"/>
  <c r="I23" i="4"/>
  <c r="I13" i="15"/>
  <c r="V129" i="16"/>
  <c r="W10" i="16"/>
  <c r="J26" i="16"/>
  <c r="I141" i="16"/>
  <c r="I29" i="16"/>
  <c r="I142" i="16" s="1"/>
  <c r="E51" i="15"/>
  <c r="J24" i="15"/>
  <c r="H9" i="16"/>
  <c r="I25" i="4"/>
  <c r="I27" i="4" s="1"/>
  <c r="J145" i="16"/>
  <c r="K32" i="16"/>
  <c r="F72" i="16"/>
  <c r="G128" i="16"/>
  <c r="E49" i="16"/>
  <c r="H78" i="14"/>
  <c r="AI7" i="19"/>
  <c r="AL5" i="19"/>
  <c r="M39" i="6"/>
  <c r="N9" i="4"/>
  <c r="N13" i="4" s="1"/>
  <c r="F51" i="16"/>
  <c r="K11" i="16"/>
  <c r="J130" i="16"/>
  <c r="V133" i="16"/>
  <c r="W14" i="16"/>
  <c r="AK26" i="16"/>
  <c r="AJ141" i="16"/>
  <c r="N66" i="16"/>
  <c r="AJ29" i="16"/>
  <c r="K18" i="4"/>
  <c r="L22" i="4"/>
  <c r="J26" i="4" s="1"/>
  <c r="K21" i="4"/>
  <c r="K17" i="4"/>
  <c r="J20" i="4"/>
  <c r="J11" i="4"/>
  <c r="AD11" i="19"/>
  <c r="AM7" i="19"/>
  <c r="E135" i="16"/>
  <c r="F16" i="16"/>
  <c r="K50" i="6"/>
  <c r="K9" i="14" s="1"/>
  <c r="L29" i="6"/>
  <c r="AH11" i="19"/>
  <c r="E57" i="7"/>
  <c r="L44" i="9"/>
  <c r="M26" i="9"/>
  <c r="E15" i="16"/>
  <c r="E48" i="14"/>
  <c r="Y76" i="14"/>
  <c r="E20" i="15"/>
  <c r="E19" i="15" s="1"/>
  <c r="I43" i="4"/>
  <c r="F41" i="14"/>
  <c r="F51" i="7"/>
  <c r="F57" i="7" s="1"/>
  <c r="F38" i="7"/>
  <c r="F48" i="14" s="1"/>
  <c r="F66" i="14" s="1"/>
  <c r="E54" i="16"/>
  <c r="G133" i="16"/>
  <c r="H14" i="16"/>
  <c r="AG2" i="19"/>
  <c r="AM2" i="19"/>
  <c r="AI2" i="19"/>
  <c r="I11" i="18"/>
  <c r="E91" i="14" l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BB28" i="19"/>
  <c r="BB24" i="19"/>
  <c r="BB33" i="19"/>
  <c r="BB21" i="19"/>
  <c r="AW33" i="19"/>
  <c r="AX94" i="19"/>
  <c r="AW94" i="19" s="1"/>
  <c r="AV94" i="19"/>
  <c r="AZ94" i="19" s="1"/>
  <c r="AV80" i="19"/>
  <c r="AZ80" i="19" s="1"/>
  <c r="AX80" i="19"/>
  <c r="AW80" i="19" s="1"/>
  <c r="AV50" i="19"/>
  <c r="AZ50" i="19" s="1"/>
  <c r="AX50" i="19"/>
  <c r="AW50" i="19" s="1"/>
  <c r="AV70" i="19"/>
  <c r="AZ70" i="19" s="1"/>
  <c r="AX70" i="19"/>
  <c r="AW70" i="19" s="1"/>
  <c r="AV96" i="19"/>
  <c r="AX96" i="19"/>
  <c r="AW96" i="19" s="1"/>
  <c r="AZ96" i="19"/>
  <c r="AV60" i="19"/>
  <c r="AZ60" i="19" s="1"/>
  <c r="AX60" i="19"/>
  <c r="AW60" i="19" s="1"/>
  <c r="AV88" i="19"/>
  <c r="AZ88" i="19" s="1"/>
  <c r="AX88" i="19"/>
  <c r="AW88" i="19" s="1"/>
  <c r="AV91" i="19"/>
  <c r="AZ91" i="19" s="1"/>
  <c r="AX91" i="19"/>
  <c r="AW91" i="19" s="1"/>
  <c r="AS32" i="19"/>
  <c r="AR32" i="19" s="1"/>
  <c r="AV32" i="19"/>
  <c r="AZ32" i="19" s="1"/>
  <c r="BK37" i="19"/>
  <c r="BO37" i="19" s="1"/>
  <c r="BM37" i="19" s="1"/>
  <c r="BL37" i="19" s="1"/>
  <c r="BH37" i="19"/>
  <c r="BG37" i="19" s="1"/>
  <c r="AX31" i="19"/>
  <c r="AW31" i="19" s="1"/>
  <c r="BA31" i="19"/>
  <c r="BE31" i="19" s="1"/>
  <c r="BC31" i="19"/>
  <c r="AV75" i="19"/>
  <c r="AZ75" i="19" s="1"/>
  <c r="AX75" i="19"/>
  <c r="AW75" i="19" s="1"/>
  <c r="BK20" i="19"/>
  <c r="BO20" i="19" s="1"/>
  <c r="BH20" i="19"/>
  <c r="BG20" i="19" s="1"/>
  <c r="AX44" i="19"/>
  <c r="AW44" i="19" s="1"/>
  <c r="AV44" i="19"/>
  <c r="AZ44" i="19" s="1"/>
  <c r="BA40" i="19"/>
  <c r="BE40" i="19" s="1"/>
  <c r="AX40" i="19"/>
  <c r="AW40" i="19" s="1"/>
  <c r="AX72" i="19"/>
  <c r="AW72" i="19" s="1"/>
  <c r="AV72" i="19"/>
  <c r="AZ72" i="19" s="1"/>
  <c r="E12" i="15"/>
  <c r="BA36" i="19"/>
  <c r="BE36" i="19" s="1"/>
  <c r="AW39" i="19"/>
  <c r="AV63" i="19"/>
  <c r="AZ63" i="19" s="1"/>
  <c r="AX63" i="19"/>
  <c r="AW63" i="19" s="1"/>
  <c r="BF27" i="19"/>
  <c r="BJ27" i="19" s="1"/>
  <c r="BH27" i="19" s="1"/>
  <c r="BG27" i="19" s="1"/>
  <c r="BK29" i="19"/>
  <c r="BO29" i="19" s="1"/>
  <c r="BF28" i="19"/>
  <c r="BJ28" i="19" s="1"/>
  <c r="BH28" i="19" s="1"/>
  <c r="BG28" i="19" s="1"/>
  <c r="AX69" i="19"/>
  <c r="AW69" i="19" s="1"/>
  <c r="AV69" i="19"/>
  <c r="AZ69" i="19" s="1"/>
  <c r="BF24" i="19"/>
  <c r="BJ24" i="19" s="1"/>
  <c r="BH24" i="19" s="1"/>
  <c r="BG24" i="19" s="1"/>
  <c r="AV59" i="19"/>
  <c r="AZ59" i="19" s="1"/>
  <c r="AX59" i="19"/>
  <c r="AW59" i="19" s="1"/>
  <c r="AW22" i="19"/>
  <c r="BF35" i="19"/>
  <c r="BJ35" i="19" s="1"/>
  <c r="BH35" i="19"/>
  <c r="AX81" i="19"/>
  <c r="AW81" i="19" s="1"/>
  <c r="AV81" i="19"/>
  <c r="AZ81" i="19" s="1"/>
  <c r="AX86" i="19"/>
  <c r="AW86" i="19" s="1"/>
  <c r="AV86" i="19"/>
  <c r="AZ86" i="19" s="1"/>
  <c r="AX87" i="19"/>
  <c r="AW87" i="19" s="1"/>
  <c r="AV87" i="19"/>
  <c r="AZ87" i="19" s="1"/>
  <c r="AZ34" i="19"/>
  <c r="AV34" i="19"/>
  <c r="BK25" i="19"/>
  <c r="BO25" i="19" s="1"/>
  <c r="BM25" i="19" s="1"/>
  <c r="BL25" i="19" s="1"/>
  <c r="AX51" i="19"/>
  <c r="AW51" i="19" s="1"/>
  <c r="AV51" i="19"/>
  <c r="AZ51" i="19" s="1"/>
  <c r="AZ49" i="19"/>
  <c r="AX49" i="19"/>
  <c r="AW49" i="19" s="1"/>
  <c r="AV49" i="19"/>
  <c r="AV79" i="19"/>
  <c r="AZ79" i="19" s="1"/>
  <c r="AX79" i="19"/>
  <c r="AW79" i="19" s="1"/>
  <c r="BK26" i="19"/>
  <c r="BO26" i="19" s="1"/>
  <c r="BM26" i="19" s="1"/>
  <c r="BL26" i="19" s="1"/>
  <c r="AV89" i="19"/>
  <c r="AZ89" i="19" s="1"/>
  <c r="AX89" i="19"/>
  <c r="AW89" i="19" s="1"/>
  <c r="AX82" i="19"/>
  <c r="AW82" i="19" s="1"/>
  <c r="AV82" i="19"/>
  <c r="AZ82" i="19" s="1"/>
  <c r="AX53" i="19"/>
  <c r="AW53" i="19" s="1"/>
  <c r="AV53" i="19"/>
  <c r="AZ53" i="19" s="1"/>
  <c r="AW27" i="19"/>
  <c r="AX67" i="19"/>
  <c r="AW67" i="19" s="1"/>
  <c r="AV67" i="19"/>
  <c r="AZ67" i="19" s="1"/>
  <c r="AX77" i="19"/>
  <c r="AW77" i="19" s="1"/>
  <c r="AV77" i="19"/>
  <c r="AZ77" i="19" s="1"/>
  <c r="BF23" i="19"/>
  <c r="BJ23" i="19" s="1"/>
  <c r="AX64" i="19"/>
  <c r="AW64" i="19" s="1"/>
  <c r="AV64" i="19"/>
  <c r="AZ64" i="19" s="1"/>
  <c r="AX48" i="19"/>
  <c r="AW48" i="19" s="1"/>
  <c r="AV48" i="19"/>
  <c r="AZ48" i="19" s="1"/>
  <c r="AX47" i="19"/>
  <c r="AW47" i="19" s="1"/>
  <c r="AV47" i="19"/>
  <c r="AZ47" i="19" s="1"/>
  <c r="AV84" i="19"/>
  <c r="AZ84" i="19" s="1"/>
  <c r="AX84" i="19"/>
  <c r="AW84" i="19" s="1"/>
  <c r="AX62" i="19"/>
  <c r="AW62" i="19" s="1"/>
  <c r="AV62" i="19"/>
  <c r="AZ62" i="19" s="1"/>
  <c r="BF22" i="19"/>
  <c r="BJ22" i="19" s="1"/>
  <c r="BH22" i="19"/>
  <c r="AV93" i="19"/>
  <c r="AZ93" i="19"/>
  <c r="AX93" i="19"/>
  <c r="AW93" i="19" s="1"/>
  <c r="AV52" i="19"/>
  <c r="AZ52" i="19" s="1"/>
  <c r="AX52" i="19"/>
  <c r="AW52" i="19" s="1"/>
  <c r="AX54" i="19"/>
  <c r="AW54" i="19" s="1"/>
  <c r="AV54" i="19"/>
  <c r="AZ54" i="19" s="1"/>
  <c r="AX92" i="19"/>
  <c r="AW92" i="19" s="1"/>
  <c r="AV92" i="19"/>
  <c r="AZ92" i="19" s="1"/>
  <c r="AX78" i="19"/>
  <c r="AW78" i="19" s="1"/>
  <c r="AV78" i="19"/>
  <c r="AZ78" i="19" s="1"/>
  <c r="AZ61" i="19"/>
  <c r="AX61" i="19"/>
  <c r="AW61" i="19" s="1"/>
  <c r="AV61" i="19"/>
  <c r="BC22" i="19"/>
  <c r="BB22" i="19" s="1"/>
  <c r="AX65" i="19"/>
  <c r="AW65" i="19" s="1"/>
  <c r="AV65" i="19"/>
  <c r="AZ65" i="19" s="1"/>
  <c r="BK19" i="19"/>
  <c r="BO19" i="19" s="1"/>
  <c r="AX85" i="19"/>
  <c r="AW85" i="19" s="1"/>
  <c r="AV85" i="19"/>
  <c r="AZ85" i="19" s="1"/>
  <c r="AX58" i="19"/>
  <c r="AW58" i="19" s="1"/>
  <c r="AV58" i="19"/>
  <c r="AZ58" i="19" s="1"/>
  <c r="AV74" i="19"/>
  <c r="AZ74" i="19" s="1"/>
  <c r="AX74" i="19"/>
  <c r="AW74" i="19" s="1"/>
  <c r="AV30" i="19"/>
  <c r="AZ30" i="19" s="1"/>
  <c r="AV66" i="19"/>
  <c r="AZ66" i="19" s="1"/>
  <c r="AX66" i="19"/>
  <c r="AW66" i="19" s="1"/>
  <c r="AX83" i="19"/>
  <c r="AW83" i="19" s="1"/>
  <c r="AV83" i="19"/>
  <c r="AZ83" i="19" s="1"/>
  <c r="BF21" i="19"/>
  <c r="BJ21" i="19" s="1"/>
  <c r="BH21" i="19"/>
  <c r="BG21" i="19" s="1"/>
  <c r="AV73" i="19"/>
  <c r="AX73" i="19"/>
  <c r="AW73" i="19" s="1"/>
  <c r="AZ73" i="19"/>
  <c r="AV42" i="19"/>
  <c r="AZ42" i="19"/>
  <c r="AV55" i="19"/>
  <c r="AZ55" i="19"/>
  <c r="AX55" i="19"/>
  <c r="AW55" i="19" s="1"/>
  <c r="AX43" i="19"/>
  <c r="AW43" i="19" s="1"/>
  <c r="AV43" i="19"/>
  <c r="AZ43" i="19" s="1"/>
  <c r="AX57" i="19"/>
  <c r="AW57" i="19" s="1"/>
  <c r="AV57" i="19"/>
  <c r="AZ57" i="19" s="1"/>
  <c r="AX95" i="19"/>
  <c r="AW95" i="19" s="1"/>
  <c r="AV95" i="19"/>
  <c r="AZ95" i="19" s="1"/>
  <c r="BF41" i="19"/>
  <c r="BJ41" i="19" s="1"/>
  <c r="BH41" i="19"/>
  <c r="AV90" i="19"/>
  <c r="AZ90" i="19" s="1"/>
  <c r="AX90" i="19"/>
  <c r="AW90" i="19" s="1"/>
  <c r="AX56" i="19"/>
  <c r="AW56" i="19" s="1"/>
  <c r="AV56" i="19"/>
  <c r="AZ56" i="19" s="1"/>
  <c r="AV68" i="19"/>
  <c r="AZ68" i="19" s="1"/>
  <c r="AX68" i="19"/>
  <c r="AW68" i="19" s="1"/>
  <c r="AW21" i="19"/>
  <c r="BC41" i="19"/>
  <c r="BB41" i="19" s="1"/>
  <c r="AV76" i="19"/>
  <c r="AZ76" i="19" s="1"/>
  <c r="AX76" i="19"/>
  <c r="AW76" i="19" s="1"/>
  <c r="BG38" i="19"/>
  <c r="AV46" i="19"/>
  <c r="AZ46" i="19" s="1"/>
  <c r="AX46" i="19"/>
  <c r="AW46" i="19" s="1"/>
  <c r="BF33" i="19"/>
  <c r="BJ33" i="19" s="1"/>
  <c r="AX45" i="19"/>
  <c r="AW45" i="19" s="1"/>
  <c r="AV45" i="19"/>
  <c r="AZ45" i="19" s="1"/>
  <c r="BF39" i="19"/>
  <c r="BJ39" i="19" s="1"/>
  <c r="BH39" i="19"/>
  <c r="BG39" i="19" s="1"/>
  <c r="AX71" i="19"/>
  <c r="AW71" i="19" s="1"/>
  <c r="AV71" i="19"/>
  <c r="AZ71" i="19" s="1"/>
  <c r="BC35" i="19"/>
  <c r="BB35" i="19" s="1"/>
  <c r="BK38" i="19"/>
  <c r="BO38" i="19" s="1"/>
  <c r="F89" i="14"/>
  <c r="F90" i="14" s="1"/>
  <c r="AG11" i="19"/>
  <c r="H10" i="7"/>
  <c r="G14" i="15" s="1"/>
  <c r="F64" i="14"/>
  <c r="F22" i="14"/>
  <c r="F65" i="14" s="1"/>
  <c r="AR8" i="19"/>
  <c r="AR7" i="19"/>
  <c r="AM11" i="19"/>
  <c r="AI11" i="19"/>
  <c r="F9" i="15"/>
  <c r="D36" i="15" s="1"/>
  <c r="J27" i="4"/>
  <c r="E40" i="15"/>
  <c r="J13" i="15"/>
  <c r="L8" i="4"/>
  <c r="J37" i="6"/>
  <c r="L7" i="4" s="1"/>
  <c r="K38" i="6"/>
  <c r="E134" i="16"/>
  <c r="F15" i="16"/>
  <c r="E19" i="16"/>
  <c r="K24" i="15"/>
  <c r="N34" i="9"/>
  <c r="M33" i="9"/>
  <c r="I78" i="14"/>
  <c r="X141" i="16"/>
  <c r="X29" i="16"/>
  <c r="X142" i="16" s="1"/>
  <c r="Y26" i="16"/>
  <c r="M76" i="14"/>
  <c r="K42" i="9"/>
  <c r="AI10" i="16"/>
  <c r="AH129" i="16"/>
  <c r="G65" i="14"/>
  <c r="G50" i="14"/>
  <c r="AL2" i="19"/>
  <c r="AN2" i="19"/>
  <c r="AR2" i="19"/>
  <c r="AN7" i="19"/>
  <c r="L50" i="6"/>
  <c r="L9" i="14" s="1"/>
  <c r="M29" i="6"/>
  <c r="I9" i="16"/>
  <c r="J25" i="4"/>
  <c r="N51" i="16"/>
  <c r="AJ130" i="16"/>
  <c r="AK11" i="16"/>
  <c r="M22" i="4"/>
  <c r="K26" i="4" s="1"/>
  <c r="L18" i="4"/>
  <c r="L21" i="4"/>
  <c r="K20" i="4"/>
  <c r="L17" i="4"/>
  <c r="K11" i="4"/>
  <c r="L24" i="9"/>
  <c r="L43" i="9"/>
  <c r="M25" i="9"/>
  <c r="J49" i="6"/>
  <c r="K7" i="17"/>
  <c r="F21" i="15"/>
  <c r="D48" i="15" s="1"/>
  <c r="AK29" i="16"/>
  <c r="AK142" i="16" s="1"/>
  <c r="AL26" i="16"/>
  <c r="AK141" i="16"/>
  <c r="E52" i="16"/>
  <c r="G131" i="16"/>
  <c r="O28" i="5"/>
  <c r="N23" i="5"/>
  <c r="N32" i="5" s="1"/>
  <c r="N40" i="5" s="1"/>
  <c r="N21" i="7" s="1"/>
  <c r="N38" i="5"/>
  <c r="K27" i="6"/>
  <c r="L28" i="6"/>
  <c r="K49" i="6"/>
  <c r="E66" i="14"/>
  <c r="E50" i="14"/>
  <c r="L32" i="16"/>
  <c r="K145" i="16"/>
  <c r="O9" i="4"/>
  <c r="O13" i="4" s="1"/>
  <c r="N39" i="6"/>
  <c r="H79" i="14"/>
  <c r="E117" i="14"/>
  <c r="E118" i="14" s="1"/>
  <c r="M31" i="14"/>
  <c r="M47" i="7"/>
  <c r="F50" i="14"/>
  <c r="E50" i="16"/>
  <c r="G129" i="16"/>
  <c r="H10" i="16"/>
  <c r="AR10" i="19"/>
  <c r="H63" i="14"/>
  <c r="M5" i="13"/>
  <c r="H31" i="7" s="1"/>
  <c r="I63" i="14"/>
  <c r="N5" i="13"/>
  <c r="I31" i="7" s="1"/>
  <c r="F20" i="15"/>
  <c r="J43" i="4"/>
  <c r="Z76" i="14"/>
  <c r="M44" i="9"/>
  <c r="N26" i="9"/>
  <c r="F135" i="16"/>
  <c r="G16" i="16"/>
  <c r="AR5" i="19"/>
  <c r="F66" i="16"/>
  <c r="K26" i="16"/>
  <c r="J141" i="16"/>
  <c r="J29" i="16"/>
  <c r="AH133" i="16"/>
  <c r="AI14" i="16"/>
  <c r="G80" i="14"/>
  <c r="E136" i="14"/>
  <c r="AN10" i="19"/>
  <c r="AL6" i="19"/>
  <c r="AR6" i="19"/>
  <c r="AN6" i="19"/>
  <c r="AL4" i="19"/>
  <c r="AN4" i="19"/>
  <c r="AR4" i="19"/>
  <c r="J54" i="16"/>
  <c r="W133" i="16"/>
  <c r="X14" i="16"/>
  <c r="H133" i="16"/>
  <c r="I14" i="16"/>
  <c r="H12" i="16"/>
  <c r="H131" i="16" s="1"/>
  <c r="J23" i="4"/>
  <c r="K130" i="16"/>
  <c r="L11" i="16"/>
  <c r="J50" i="16"/>
  <c r="X10" i="16"/>
  <c r="W129" i="16"/>
  <c r="X130" i="16"/>
  <c r="Y11" i="16"/>
  <c r="AL3" i="19"/>
  <c r="AR3" i="19"/>
  <c r="AN3" i="19"/>
  <c r="J37" i="15"/>
  <c r="Z10" i="15"/>
  <c r="AA10" i="15" s="1"/>
  <c r="AB10" i="15" s="1"/>
  <c r="N69" i="16"/>
  <c r="AJ142" i="16"/>
  <c r="AN5" i="19"/>
  <c r="H128" i="16"/>
  <c r="D41" i="15"/>
  <c r="F12" i="15"/>
  <c r="D39" i="15" s="1"/>
  <c r="J69" i="16"/>
  <c r="W142" i="16"/>
  <c r="AM76" i="14"/>
  <c r="G17" i="16"/>
  <c r="G68" i="14"/>
  <c r="G55" i="14"/>
  <c r="J11" i="18"/>
  <c r="BB31" i="19" l="1"/>
  <c r="BC91" i="19"/>
  <c r="BB91" i="19" s="1"/>
  <c r="BA91" i="19"/>
  <c r="BE91" i="19" s="1"/>
  <c r="BC52" i="19"/>
  <c r="BB52" i="19" s="1"/>
  <c r="BA52" i="19"/>
  <c r="BE52" i="19" s="1"/>
  <c r="BK23" i="19"/>
  <c r="BO23" i="19" s="1"/>
  <c r="BH23" i="19"/>
  <c r="BG23" i="19" s="1"/>
  <c r="BE82" i="19"/>
  <c r="BC82" i="19"/>
  <c r="BB82" i="19" s="1"/>
  <c r="BA82" i="19"/>
  <c r="BF40" i="19"/>
  <c r="BJ40" i="19" s="1"/>
  <c r="BH40" i="19"/>
  <c r="BC40" i="19"/>
  <c r="BB40" i="19" s="1"/>
  <c r="BC95" i="19"/>
  <c r="BB95" i="19" s="1"/>
  <c r="BA95" i="19"/>
  <c r="BE95" i="19" s="1"/>
  <c r="BC83" i="19"/>
  <c r="BB83" i="19" s="1"/>
  <c r="BA83" i="19"/>
  <c r="BE83" i="19" s="1"/>
  <c r="BC87" i="19"/>
  <c r="BB87" i="19" s="1"/>
  <c r="BA87" i="19"/>
  <c r="BE87" i="19" s="1"/>
  <c r="BC77" i="19"/>
  <c r="BB77" i="19" s="1"/>
  <c r="BA77" i="19"/>
  <c r="BE77" i="19" s="1"/>
  <c r="BC86" i="19"/>
  <c r="BB86" i="19" s="1"/>
  <c r="BA86" i="19"/>
  <c r="BE86" i="19" s="1"/>
  <c r="BC43" i="19"/>
  <c r="BB43" i="19" s="1"/>
  <c r="BA43" i="19"/>
  <c r="BE43" i="19" s="1"/>
  <c r="AX30" i="19"/>
  <c r="AW30" i="19" s="1"/>
  <c r="BA30" i="19"/>
  <c r="BE30" i="19" s="1"/>
  <c r="BC30" i="19"/>
  <c r="BB30" i="19" s="1"/>
  <c r="BC65" i="19"/>
  <c r="BB65" i="19" s="1"/>
  <c r="BA65" i="19"/>
  <c r="BE65" i="19" s="1"/>
  <c r="BC36" i="19"/>
  <c r="BB36" i="19" s="1"/>
  <c r="BF36" i="19"/>
  <c r="BJ36" i="19" s="1"/>
  <c r="BP38" i="19"/>
  <c r="BT38" i="19" s="1"/>
  <c r="BR38" i="19" s="1"/>
  <c r="BQ38" i="19" s="1"/>
  <c r="BM38" i="19"/>
  <c r="BL38" i="19" s="1"/>
  <c r="BE51" i="19"/>
  <c r="BC51" i="19"/>
  <c r="BB51" i="19" s="1"/>
  <c r="BA51" i="19"/>
  <c r="BM20" i="19"/>
  <c r="BL20" i="19" s="1"/>
  <c r="BP20" i="19"/>
  <c r="BT20" i="19" s="1"/>
  <c r="BR20" i="19"/>
  <c r="BQ20" i="19" s="1"/>
  <c r="BM19" i="19"/>
  <c r="BL19" i="19" s="1"/>
  <c r="BP19" i="19"/>
  <c r="BT19" i="19"/>
  <c r="BC72" i="19"/>
  <c r="BB72" i="19" s="1"/>
  <c r="BA72" i="19"/>
  <c r="BE72" i="19" s="1"/>
  <c r="BE94" i="19"/>
  <c r="BC94" i="19"/>
  <c r="BB94" i="19" s="1"/>
  <c r="BA94" i="19"/>
  <c r="BC74" i="19"/>
  <c r="BB74" i="19" s="1"/>
  <c r="BA74" i="19"/>
  <c r="BE74" i="19" s="1"/>
  <c r="BC64" i="19"/>
  <c r="BB64" i="19" s="1"/>
  <c r="BA64" i="19"/>
  <c r="BE64" i="19" s="1"/>
  <c r="BM29" i="19"/>
  <c r="BL29" i="19" s="1"/>
  <c r="BP29" i="19"/>
  <c r="BT29" i="19" s="1"/>
  <c r="BR29" i="19"/>
  <c r="BQ29" i="19" s="1"/>
  <c r="BC75" i="19"/>
  <c r="BB75" i="19" s="1"/>
  <c r="BA75" i="19"/>
  <c r="BE75" i="19" s="1"/>
  <c r="BC69" i="19"/>
  <c r="BB69" i="19" s="1"/>
  <c r="BA69" i="19"/>
  <c r="BE69" i="19" s="1"/>
  <c r="BC70" i="19"/>
  <c r="BB70" i="19" s="1"/>
  <c r="BA70" i="19"/>
  <c r="BE70" i="19" s="1"/>
  <c r="BC71" i="19"/>
  <c r="BB71" i="19" s="1"/>
  <c r="BA71" i="19"/>
  <c r="BE71" i="19" s="1"/>
  <c r="BC68" i="19"/>
  <c r="BB68" i="19" s="1"/>
  <c r="BA68" i="19"/>
  <c r="BE68" i="19" s="1"/>
  <c r="BC55" i="19"/>
  <c r="BB55" i="19" s="1"/>
  <c r="BA55" i="19"/>
  <c r="BE55" i="19" s="1"/>
  <c r="BK21" i="19"/>
  <c r="BO21" i="19" s="1"/>
  <c r="BM21" i="19"/>
  <c r="BL21" i="19" s="1"/>
  <c r="BC78" i="19"/>
  <c r="BB78" i="19" s="1"/>
  <c r="BE78" i="19"/>
  <c r="BA78" i="19"/>
  <c r="BC89" i="19"/>
  <c r="BB89" i="19" s="1"/>
  <c r="BA89" i="19"/>
  <c r="BE89" i="19" s="1"/>
  <c r="BK35" i="19"/>
  <c r="BO35" i="19" s="1"/>
  <c r="BM35" i="19"/>
  <c r="BL35" i="19" s="1"/>
  <c r="BC63" i="19"/>
  <c r="BB63" i="19" s="1"/>
  <c r="BA63" i="19"/>
  <c r="BE63" i="19" s="1"/>
  <c r="BC88" i="19"/>
  <c r="BB88" i="19" s="1"/>
  <c r="BA88" i="19"/>
  <c r="BE88" i="19" s="1"/>
  <c r="BC67" i="19"/>
  <c r="BB67" i="19" s="1"/>
  <c r="BA67" i="19"/>
  <c r="BE67" i="19" s="1"/>
  <c r="BC49" i="19"/>
  <c r="BB49" i="19" s="1"/>
  <c r="BA49" i="19"/>
  <c r="BE49" i="19" s="1"/>
  <c r="BE46" i="19"/>
  <c r="BC46" i="19"/>
  <c r="BB46" i="19" s="1"/>
  <c r="BA46" i="19"/>
  <c r="BE56" i="19"/>
  <c r="BC56" i="19"/>
  <c r="BB56" i="19" s="1"/>
  <c r="BA56" i="19"/>
  <c r="BC84" i="19"/>
  <c r="BB84" i="19" s="1"/>
  <c r="BE84" i="19"/>
  <c r="BA84" i="19"/>
  <c r="BP37" i="19"/>
  <c r="BT37" i="19" s="1"/>
  <c r="BE50" i="19"/>
  <c r="BC50" i="19"/>
  <c r="BB50" i="19" s="1"/>
  <c r="BA50" i="19"/>
  <c r="BC57" i="19"/>
  <c r="BB57" i="19" s="1"/>
  <c r="BA57" i="19"/>
  <c r="BE57" i="19" s="1"/>
  <c r="AX42" i="19"/>
  <c r="AW42" i="19" s="1"/>
  <c r="BA42" i="19"/>
  <c r="BE42" i="19" s="1"/>
  <c r="BC92" i="19"/>
  <c r="BB92" i="19" s="1"/>
  <c r="BA92" i="19"/>
  <c r="BE92" i="19" s="1"/>
  <c r="BC93" i="19"/>
  <c r="BB93" i="19" s="1"/>
  <c r="BA93" i="19"/>
  <c r="BE93" i="19" s="1"/>
  <c r="BC47" i="19"/>
  <c r="BB47" i="19" s="1"/>
  <c r="BA47" i="19"/>
  <c r="BE47" i="19" s="1"/>
  <c r="BC53" i="19"/>
  <c r="BB53" i="19" s="1"/>
  <c r="BA53" i="19"/>
  <c r="BE53" i="19" s="1"/>
  <c r="BP26" i="19"/>
  <c r="BT26" i="19" s="1"/>
  <c r="BR26" i="19"/>
  <c r="BQ26" i="19" s="1"/>
  <c r="BK28" i="19"/>
  <c r="BO28" i="19" s="1"/>
  <c r="BM28" i="19"/>
  <c r="BL28" i="19" s="1"/>
  <c r="AX32" i="19"/>
  <c r="AW32" i="19" s="1"/>
  <c r="AV5" i="19" s="1"/>
  <c r="BA32" i="19"/>
  <c r="BE32" i="19" s="1"/>
  <c r="BC32" i="19" s="1"/>
  <c r="BC60" i="19"/>
  <c r="BB60" i="19" s="1"/>
  <c r="BA60" i="19"/>
  <c r="BE60" i="19" s="1"/>
  <c r="BC61" i="19"/>
  <c r="BB61" i="19" s="1"/>
  <c r="BA61" i="19"/>
  <c r="BE61" i="19" s="1"/>
  <c r="H12" i="7"/>
  <c r="H20" i="14" s="1"/>
  <c r="H64" i="14" s="1"/>
  <c r="H18" i="14"/>
  <c r="BK39" i="19"/>
  <c r="BO39" i="19" s="1"/>
  <c r="BE58" i="19"/>
  <c r="BC58" i="19"/>
  <c r="BB58" i="19" s="1"/>
  <c r="BA58" i="19"/>
  <c r="BC96" i="19"/>
  <c r="BB96" i="19" s="1"/>
  <c r="BE96" i="19"/>
  <c r="BA96" i="19"/>
  <c r="BC80" i="19"/>
  <c r="BB80" i="19" s="1"/>
  <c r="BA80" i="19"/>
  <c r="BE80" i="19" s="1"/>
  <c r="BC45" i="19"/>
  <c r="BB45" i="19" s="1"/>
  <c r="BA45" i="19"/>
  <c r="BE45" i="19" s="1"/>
  <c r="BC76" i="19"/>
  <c r="BB76" i="19" s="1"/>
  <c r="BA76" i="19"/>
  <c r="BE76" i="19" s="1"/>
  <c r="BC90" i="19"/>
  <c r="BB90" i="19" s="1"/>
  <c r="BA90" i="19"/>
  <c r="BE90" i="19" s="1"/>
  <c r="BC73" i="19"/>
  <c r="BB73" i="19" s="1"/>
  <c r="BA73" i="19"/>
  <c r="BE73" i="19" s="1"/>
  <c r="BC54" i="19"/>
  <c r="BB54" i="19" s="1"/>
  <c r="BA54" i="19"/>
  <c r="BE54" i="19" s="1"/>
  <c r="BG22" i="19"/>
  <c r="BC48" i="19"/>
  <c r="BB48" i="19" s="1"/>
  <c r="BA48" i="19"/>
  <c r="BE48" i="19" s="1"/>
  <c r="BC79" i="19"/>
  <c r="BB79" i="19" s="1"/>
  <c r="BA79" i="19"/>
  <c r="BE79" i="19" s="1"/>
  <c r="BP25" i="19"/>
  <c r="BT25" i="19"/>
  <c r="BR25" i="19"/>
  <c r="BQ25" i="19" s="1"/>
  <c r="BC59" i="19"/>
  <c r="BB59" i="19" s="1"/>
  <c r="BA59" i="19"/>
  <c r="BE59" i="19" s="1"/>
  <c r="BC44" i="19"/>
  <c r="BB44" i="19" s="1"/>
  <c r="BA44" i="19"/>
  <c r="BE44" i="19" s="1"/>
  <c r="BK33" i="19"/>
  <c r="BO33" i="19" s="1"/>
  <c r="BM33" i="19" s="1"/>
  <c r="BL33" i="19" s="1"/>
  <c r="BG41" i="19"/>
  <c r="BC66" i="19"/>
  <c r="BB66" i="19" s="1"/>
  <c r="BA66" i="19"/>
  <c r="BE66" i="19" s="1"/>
  <c r="BC85" i="19"/>
  <c r="BB85" i="19" s="1"/>
  <c r="BA85" i="19"/>
  <c r="BE85" i="19" s="1"/>
  <c r="BK22" i="19"/>
  <c r="BO22" i="19" s="1"/>
  <c r="BM22" i="19"/>
  <c r="BL22" i="19" s="1"/>
  <c r="BC81" i="19"/>
  <c r="BB81" i="19" s="1"/>
  <c r="BA81" i="19"/>
  <c r="BE81" i="19" s="1"/>
  <c r="BF31" i="19"/>
  <c r="BJ31" i="19" s="1"/>
  <c r="BG35" i="19"/>
  <c r="BH33" i="19"/>
  <c r="BG33" i="19" s="1"/>
  <c r="BK41" i="19"/>
  <c r="BO41" i="19" s="1"/>
  <c r="BM41" i="19"/>
  <c r="BL41" i="19" s="1"/>
  <c r="BC62" i="19"/>
  <c r="BB62" i="19" s="1"/>
  <c r="BA62" i="19"/>
  <c r="BE62" i="19" s="1"/>
  <c r="AX34" i="19"/>
  <c r="AW34" i="19" s="1"/>
  <c r="AV2" i="19" s="1"/>
  <c r="BA34" i="19"/>
  <c r="BE34" i="19" s="1"/>
  <c r="BC34" i="19" s="1"/>
  <c r="BK24" i="19"/>
  <c r="BO24" i="19" s="1"/>
  <c r="BK27" i="19"/>
  <c r="BO27" i="19" s="1"/>
  <c r="BM27" i="19" s="1"/>
  <c r="BL27" i="19" s="1"/>
  <c r="I10" i="7"/>
  <c r="H14" i="15" s="1"/>
  <c r="AL11" i="19"/>
  <c r="F91" i="14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E119" i="14"/>
  <c r="E120" i="14" s="1"/>
  <c r="E121" i="14" s="1"/>
  <c r="E122" i="14" s="1"/>
  <c r="E123" i="14" s="1"/>
  <c r="E124" i="14" s="1"/>
  <c r="E125" i="14" s="1"/>
  <c r="M32" i="16"/>
  <c r="L145" i="16"/>
  <c r="J8" i="14"/>
  <c r="J77" i="14" s="1"/>
  <c r="J48" i="6"/>
  <c r="J10" i="14" s="1"/>
  <c r="G9" i="15"/>
  <c r="K37" i="15"/>
  <c r="W37" i="15" s="1"/>
  <c r="AC10" i="15"/>
  <c r="AD10" i="15" s="1"/>
  <c r="AE10" i="15" s="1"/>
  <c r="AF10" i="15" s="1"/>
  <c r="I133" i="16"/>
  <c r="J14" i="16"/>
  <c r="K141" i="16"/>
  <c r="L26" i="16"/>
  <c r="K29" i="16"/>
  <c r="K142" i="16" s="1"/>
  <c r="H51" i="7"/>
  <c r="H41" i="14"/>
  <c r="H38" i="7"/>
  <c r="H48" i="14" s="1"/>
  <c r="H66" i="14" s="1"/>
  <c r="O23" i="5"/>
  <c r="O32" i="5" s="1"/>
  <c r="O40" i="5" s="1"/>
  <c r="O21" i="7" s="1"/>
  <c r="P28" i="5"/>
  <c r="O38" i="5"/>
  <c r="K12" i="17"/>
  <c r="K9" i="17"/>
  <c r="H53" i="14" s="1"/>
  <c r="I12" i="16"/>
  <c r="I131" i="16" s="1"/>
  <c r="K23" i="4"/>
  <c r="I128" i="16"/>
  <c r="AQ3" i="19"/>
  <c r="AW3" i="19"/>
  <c r="AS3" i="19"/>
  <c r="Z26" i="16"/>
  <c r="Y141" i="16"/>
  <c r="Y29" i="16"/>
  <c r="Y142" i="16" s="1"/>
  <c r="E138" i="16"/>
  <c r="E33" i="16"/>
  <c r="K37" i="6"/>
  <c r="M7" i="4" s="1"/>
  <c r="M8" i="4"/>
  <c r="L38" i="6"/>
  <c r="G12" i="15"/>
  <c r="M11" i="16"/>
  <c r="L130" i="16"/>
  <c r="M50" i="6"/>
  <c r="M9" i="14" s="1"/>
  <c r="N29" i="6"/>
  <c r="F134" i="16"/>
  <c r="G15" i="16"/>
  <c r="E56" i="16"/>
  <c r="G135" i="16"/>
  <c r="H16" i="16"/>
  <c r="F19" i="15"/>
  <c r="D47" i="15"/>
  <c r="H129" i="16"/>
  <c r="I10" i="16"/>
  <c r="H80" i="14"/>
  <c r="K8" i="14"/>
  <c r="K48" i="6"/>
  <c r="K10" i="14" s="1"/>
  <c r="M24" i="9"/>
  <c r="N25" i="9"/>
  <c r="M43" i="9"/>
  <c r="I79" i="14"/>
  <c r="I80" i="14" s="1"/>
  <c r="K13" i="15"/>
  <c r="AQ5" i="19"/>
  <c r="AS5" i="19"/>
  <c r="AW5" i="19"/>
  <c r="G67" i="14"/>
  <c r="G57" i="14"/>
  <c r="G70" i="14" s="1"/>
  <c r="L20" i="4"/>
  <c r="M18" i="4"/>
  <c r="M17" i="4"/>
  <c r="M21" i="4"/>
  <c r="N22" i="4"/>
  <c r="L26" i="4" s="1"/>
  <c r="L11" i="4"/>
  <c r="AQ10" i="19"/>
  <c r="AS10" i="19"/>
  <c r="AW10" i="19"/>
  <c r="AQ4" i="19"/>
  <c r="AS4" i="19"/>
  <c r="AW4" i="19"/>
  <c r="Y130" i="16"/>
  <c r="Z11" i="16"/>
  <c r="AI133" i="16"/>
  <c r="AJ14" i="16"/>
  <c r="P9" i="4"/>
  <c r="P13" i="4" s="1"/>
  <c r="O39" i="6"/>
  <c r="L27" i="6"/>
  <c r="M28" i="6"/>
  <c r="L49" i="6"/>
  <c r="L42" i="9"/>
  <c r="AK130" i="16"/>
  <c r="AL11" i="16"/>
  <c r="AJ10" i="16"/>
  <c r="AI129" i="16"/>
  <c r="AS7" i="19"/>
  <c r="AQ7" i="19"/>
  <c r="AW7" i="19"/>
  <c r="G20" i="15"/>
  <c r="K43" i="4"/>
  <c r="AQ8" i="19"/>
  <c r="AS8" i="19"/>
  <c r="AW8" i="19"/>
  <c r="O26" i="9"/>
  <c r="N44" i="9"/>
  <c r="I41" i="14"/>
  <c r="I51" i="7"/>
  <c r="I57" i="7" s="1"/>
  <c r="I38" i="7"/>
  <c r="I48" i="14" s="1"/>
  <c r="I66" i="14" s="1"/>
  <c r="AL29" i="16"/>
  <c r="AL142" i="16" s="1"/>
  <c r="AL141" i="16"/>
  <c r="AM26" i="16"/>
  <c r="AR11" i="19"/>
  <c r="O34" i="9"/>
  <c r="N33" i="9"/>
  <c r="J9" i="16"/>
  <c r="K25" i="4"/>
  <c r="K27" i="4" s="1"/>
  <c r="G136" i="16"/>
  <c r="E57" i="16"/>
  <c r="X133" i="16"/>
  <c r="Y14" i="16"/>
  <c r="E137" i="14"/>
  <c r="G81" i="14"/>
  <c r="Y10" i="16"/>
  <c r="X129" i="16"/>
  <c r="J142" i="16"/>
  <c r="F69" i="16"/>
  <c r="F67" i="14"/>
  <c r="F57" i="14"/>
  <c r="F70" i="14" s="1"/>
  <c r="E67" i="14"/>
  <c r="E57" i="14"/>
  <c r="AN11" i="19"/>
  <c r="G133" i="14"/>
  <c r="N76" i="14"/>
  <c r="L24" i="15"/>
  <c r="O133" i="14"/>
  <c r="AN76" i="14"/>
  <c r="AQ6" i="19"/>
  <c r="AS6" i="19"/>
  <c r="AW6" i="19"/>
  <c r="AA76" i="14"/>
  <c r="K133" i="14"/>
  <c r="H22" i="14"/>
  <c r="N31" i="14"/>
  <c r="N47" i="7"/>
  <c r="AQ2" i="19"/>
  <c r="AS2" i="19"/>
  <c r="AW2" i="19"/>
  <c r="I18" i="14"/>
  <c r="I12" i="7"/>
  <c r="I20" i="14" s="1"/>
  <c r="K11" i="18"/>
  <c r="BB34" i="19" l="1"/>
  <c r="BB32" i="19"/>
  <c r="BP39" i="19"/>
  <c r="BT39" i="19" s="1"/>
  <c r="BR39" i="19"/>
  <c r="BQ39" i="19" s="1"/>
  <c r="BM39" i="19"/>
  <c r="BL39" i="19" s="1"/>
  <c r="BH88" i="19"/>
  <c r="BG88" i="19" s="1"/>
  <c r="BF88" i="19"/>
  <c r="BJ88" i="19" s="1"/>
  <c r="BO36" i="19"/>
  <c r="BM36" i="19"/>
  <c r="BL36" i="19" s="1"/>
  <c r="BK36" i="19"/>
  <c r="BH36" i="19"/>
  <c r="BG36" i="19" s="1"/>
  <c r="BH90" i="19"/>
  <c r="BG90" i="19" s="1"/>
  <c r="BF90" i="19"/>
  <c r="BJ90" i="19" s="1"/>
  <c r="BH61" i="19"/>
  <c r="BG61" i="19" s="1"/>
  <c r="BF61" i="19"/>
  <c r="BJ61" i="19" s="1"/>
  <c r="BH92" i="19"/>
  <c r="BG92" i="19" s="1"/>
  <c r="BF92" i="19"/>
  <c r="BJ92" i="19" s="1"/>
  <c r="BH86" i="19"/>
  <c r="BG86" i="19" s="1"/>
  <c r="BF86" i="19"/>
  <c r="BJ86" i="19" s="1"/>
  <c r="BU37" i="19"/>
  <c r="BY37" i="19" s="1"/>
  <c r="BW37" i="19" s="1"/>
  <c r="BV37" i="19" s="1"/>
  <c r="BR37" i="19"/>
  <c r="BQ37" i="19" s="1"/>
  <c r="BF65" i="19"/>
  <c r="BJ65" i="19"/>
  <c r="BH65" i="19"/>
  <c r="BG65" i="19" s="1"/>
  <c r="BM23" i="19"/>
  <c r="BL23" i="19" s="1"/>
  <c r="BP23" i="19"/>
  <c r="BT23" i="19" s="1"/>
  <c r="BH53" i="19"/>
  <c r="BG53" i="19" s="1"/>
  <c r="BF53" i="19"/>
  <c r="BJ53" i="19" s="1"/>
  <c r="BF42" i="19"/>
  <c r="BJ42" i="19" s="1"/>
  <c r="BH42" i="19"/>
  <c r="BC42" i="19"/>
  <c r="BB42" i="19" s="1"/>
  <c r="BM24" i="19"/>
  <c r="BL24" i="19" s="1"/>
  <c r="BP24" i="19"/>
  <c r="BT24" i="19" s="1"/>
  <c r="BR24" i="19"/>
  <c r="BQ24" i="19" s="1"/>
  <c r="BF80" i="19"/>
  <c r="BJ80" i="19"/>
  <c r="BH80" i="19"/>
  <c r="BG80" i="19" s="1"/>
  <c r="BH47" i="19"/>
  <c r="BG47" i="19" s="1"/>
  <c r="BF47" i="19"/>
  <c r="BJ47" i="19" s="1"/>
  <c r="BK31" i="19"/>
  <c r="BO31" i="19"/>
  <c r="BM31" i="19" s="1"/>
  <c r="BL31" i="19" s="1"/>
  <c r="BH54" i="19"/>
  <c r="BG54" i="19" s="1"/>
  <c r="BF54" i="19"/>
  <c r="BJ54" i="19"/>
  <c r="BH89" i="19"/>
  <c r="BG89" i="19" s="1"/>
  <c r="BF89" i="19"/>
  <c r="BJ89" i="19" s="1"/>
  <c r="BF82" i="19"/>
  <c r="BJ82" i="19" s="1"/>
  <c r="BH82" i="19"/>
  <c r="BG82" i="19" s="1"/>
  <c r="AX2" i="19"/>
  <c r="BH81" i="19"/>
  <c r="BG81" i="19" s="1"/>
  <c r="BF81" i="19"/>
  <c r="BJ81" i="19" s="1"/>
  <c r="BU25" i="19"/>
  <c r="BY25" i="19" s="1"/>
  <c r="BH68" i="19"/>
  <c r="BG68" i="19" s="1"/>
  <c r="BF68" i="19"/>
  <c r="BJ68" i="19" s="1"/>
  <c r="BH75" i="19"/>
  <c r="BG75" i="19" s="1"/>
  <c r="BF75" i="19"/>
  <c r="BJ75" i="19"/>
  <c r="BH95" i="19"/>
  <c r="BG95" i="19" s="1"/>
  <c r="BF95" i="19"/>
  <c r="BJ95" i="19" s="1"/>
  <c r="BF50" i="19"/>
  <c r="BJ50" i="19" s="1"/>
  <c r="BH50" i="19"/>
  <c r="BG50" i="19" s="1"/>
  <c r="BH74" i="19"/>
  <c r="BG74" i="19" s="1"/>
  <c r="BF74" i="19"/>
  <c r="BJ74" i="19" s="1"/>
  <c r="BY19" i="19"/>
  <c r="BW19" i="19" s="1"/>
  <c r="BU19" i="19"/>
  <c r="BH51" i="19"/>
  <c r="BG51" i="19" s="1"/>
  <c r="BF51" i="19"/>
  <c r="BJ51" i="19" s="1"/>
  <c r="BF62" i="19"/>
  <c r="BJ62" i="19"/>
  <c r="BH62" i="19"/>
  <c r="BG62" i="19" s="1"/>
  <c r="BH45" i="19"/>
  <c r="BG45" i="19" s="1"/>
  <c r="BF45" i="19"/>
  <c r="BJ45" i="19" s="1"/>
  <c r="BH56" i="19"/>
  <c r="BG56" i="19" s="1"/>
  <c r="BF56" i="19"/>
  <c r="BJ56" i="19" s="1"/>
  <c r="BF73" i="19"/>
  <c r="BJ73" i="19" s="1"/>
  <c r="BH73" i="19"/>
  <c r="BG73" i="19" s="1"/>
  <c r="BP28" i="19"/>
  <c r="BT28" i="19"/>
  <c r="BP27" i="19"/>
  <c r="BT27" i="19" s="1"/>
  <c r="BR27" i="19"/>
  <c r="BQ27" i="19" s="1"/>
  <c r="BP33" i="19"/>
  <c r="BT33" i="19" s="1"/>
  <c r="BR33" i="19"/>
  <c r="BQ33" i="19" s="1"/>
  <c r="BH79" i="19"/>
  <c r="BG79" i="19" s="1"/>
  <c r="BF79" i="19"/>
  <c r="BJ79" i="19" s="1"/>
  <c r="BF58" i="19"/>
  <c r="BJ58" i="19" s="1"/>
  <c r="BH58" i="19"/>
  <c r="BG58" i="19" s="1"/>
  <c r="BH93" i="19"/>
  <c r="BG93" i="19" s="1"/>
  <c r="BF93" i="19"/>
  <c r="BJ93" i="19" s="1"/>
  <c r="BF78" i="19"/>
  <c r="BH78" i="19"/>
  <c r="BG78" i="19" s="1"/>
  <c r="BJ78" i="19"/>
  <c r="BH71" i="19"/>
  <c r="BG71" i="19" s="1"/>
  <c r="BF71" i="19"/>
  <c r="BJ71" i="19" s="1"/>
  <c r="BU38" i="19"/>
  <c r="BY38" i="19" s="1"/>
  <c r="BW38" i="19"/>
  <c r="BV38" i="19" s="1"/>
  <c r="BJ77" i="19"/>
  <c r="BH77" i="19"/>
  <c r="BG77" i="19" s="1"/>
  <c r="BF77" i="19"/>
  <c r="BP41" i="19"/>
  <c r="BT41" i="19" s="1"/>
  <c r="BT22" i="19"/>
  <c r="BP22" i="19"/>
  <c r="BH44" i="19"/>
  <c r="BG44" i="19" s="1"/>
  <c r="BF44" i="19"/>
  <c r="BJ44" i="19" s="1"/>
  <c r="BH60" i="19"/>
  <c r="BG60" i="19" s="1"/>
  <c r="BF60" i="19"/>
  <c r="BJ60" i="19" s="1"/>
  <c r="BU26" i="19"/>
  <c r="BY26" i="19" s="1"/>
  <c r="BF57" i="19"/>
  <c r="BH57" i="19"/>
  <c r="BG57" i="19" s="1"/>
  <c r="BJ57" i="19"/>
  <c r="BF46" i="19"/>
  <c r="BJ46" i="19" s="1"/>
  <c r="BH46" i="19"/>
  <c r="BG46" i="19" s="1"/>
  <c r="BJ63" i="19"/>
  <c r="BH63" i="19"/>
  <c r="BG63" i="19" s="1"/>
  <c r="BF63" i="19"/>
  <c r="BU29" i="19"/>
  <c r="BY29" i="19" s="1"/>
  <c r="BW29" i="19" s="1"/>
  <c r="BV29" i="19" s="1"/>
  <c r="BH94" i="19"/>
  <c r="BG94" i="19" s="1"/>
  <c r="BF94" i="19"/>
  <c r="BJ94" i="19" s="1"/>
  <c r="BU20" i="19"/>
  <c r="BY20" i="19" s="1"/>
  <c r="BF30" i="19"/>
  <c r="BJ30" i="19" s="1"/>
  <c r="BH30" i="19" s="1"/>
  <c r="BG30" i="19" s="1"/>
  <c r="BG40" i="19"/>
  <c r="BF52" i="19"/>
  <c r="BJ52" i="19"/>
  <c r="BH52" i="19"/>
  <c r="BG52" i="19" s="1"/>
  <c r="BH85" i="19"/>
  <c r="BG85" i="19" s="1"/>
  <c r="BF85" i="19"/>
  <c r="BJ85" i="19"/>
  <c r="BF48" i="19"/>
  <c r="BJ48" i="19" s="1"/>
  <c r="BH48" i="19"/>
  <c r="BG48" i="19" s="1"/>
  <c r="BH84" i="19"/>
  <c r="BG84" i="19" s="1"/>
  <c r="BF84" i="19"/>
  <c r="BJ84" i="19" s="1"/>
  <c r="BF49" i="19"/>
  <c r="BJ49" i="19"/>
  <c r="BH49" i="19"/>
  <c r="BG49" i="19" s="1"/>
  <c r="BH70" i="19"/>
  <c r="BG70" i="19" s="1"/>
  <c r="BF70" i="19"/>
  <c r="BJ70" i="19" s="1"/>
  <c r="BH72" i="19"/>
  <c r="BG72" i="19" s="1"/>
  <c r="BF72" i="19"/>
  <c r="BJ72" i="19" s="1"/>
  <c r="BH87" i="19"/>
  <c r="BG87" i="19" s="1"/>
  <c r="BF87" i="19"/>
  <c r="BJ87" i="19" s="1"/>
  <c r="BK40" i="19"/>
  <c r="BO40" i="19" s="1"/>
  <c r="BM40" i="19"/>
  <c r="BL40" i="19" s="1"/>
  <c r="BF59" i="19"/>
  <c r="BH59" i="19"/>
  <c r="BG59" i="19" s="1"/>
  <c r="BJ59" i="19"/>
  <c r="BP21" i="19"/>
  <c r="BT21" i="19" s="1"/>
  <c r="BR21" i="19" s="1"/>
  <c r="BQ21" i="19" s="1"/>
  <c r="BH64" i="19"/>
  <c r="BG64" i="19" s="1"/>
  <c r="BF64" i="19"/>
  <c r="BJ64" i="19"/>
  <c r="BH43" i="19"/>
  <c r="BG43" i="19" s="1"/>
  <c r="BF43" i="19"/>
  <c r="BJ43" i="19" s="1"/>
  <c r="BJ91" i="19"/>
  <c r="BH91" i="19"/>
  <c r="BG91" i="19" s="1"/>
  <c r="BF91" i="19"/>
  <c r="BF34" i="19"/>
  <c r="BJ34" i="19" s="1"/>
  <c r="BH31" i="19"/>
  <c r="BG31" i="19" s="1"/>
  <c r="BH66" i="19"/>
  <c r="BG66" i="19" s="1"/>
  <c r="BF66" i="19"/>
  <c r="BJ66" i="19" s="1"/>
  <c r="BH76" i="19"/>
  <c r="BG76" i="19" s="1"/>
  <c r="BF76" i="19"/>
  <c r="BJ76" i="19" s="1"/>
  <c r="BF96" i="19"/>
  <c r="BJ96" i="19"/>
  <c r="BH96" i="19"/>
  <c r="BG96" i="19" s="1"/>
  <c r="BF32" i="19"/>
  <c r="BJ32" i="19" s="1"/>
  <c r="BF67" i="19"/>
  <c r="BJ67" i="19" s="1"/>
  <c r="BH67" i="19"/>
  <c r="BG67" i="19" s="1"/>
  <c r="BP35" i="19"/>
  <c r="BT35" i="19"/>
  <c r="BJ55" i="19"/>
  <c r="BH55" i="19"/>
  <c r="BG55" i="19" s="1"/>
  <c r="BF55" i="19"/>
  <c r="BH69" i="19"/>
  <c r="BG69" i="19" s="1"/>
  <c r="BF69" i="19"/>
  <c r="BJ69" i="19" s="1"/>
  <c r="BR19" i="19"/>
  <c r="BQ19" i="19" s="1"/>
  <c r="BF83" i="19"/>
  <c r="BJ83" i="19" s="1"/>
  <c r="BH83" i="19"/>
  <c r="BG83" i="19" s="1"/>
  <c r="E126" i="14"/>
  <c r="J10" i="7"/>
  <c r="J12" i="7" s="1"/>
  <c r="J20" i="14" s="1"/>
  <c r="J64" i="14" s="1"/>
  <c r="AQ11" i="19"/>
  <c r="F119" i="14"/>
  <c r="F120" i="14" s="1"/>
  <c r="F121" i="14" s="1"/>
  <c r="F122" i="14" s="1"/>
  <c r="F123" i="14" s="1"/>
  <c r="F124" i="14" s="1"/>
  <c r="F125" i="14" s="1"/>
  <c r="BB2" i="19"/>
  <c r="BB5" i="19"/>
  <c r="AX5" i="19"/>
  <c r="AS11" i="19"/>
  <c r="BA8" i="19"/>
  <c r="H9" i="15"/>
  <c r="BA7" i="19"/>
  <c r="AW11" i="19"/>
  <c r="AB76" i="14"/>
  <c r="Q9" i="4"/>
  <c r="Q13" i="4" s="1"/>
  <c r="P39" i="6"/>
  <c r="H135" i="16"/>
  <c r="I16" i="16"/>
  <c r="N8" i="4"/>
  <c r="M38" i="6"/>
  <c r="L37" i="6"/>
  <c r="N7" i="4" s="1"/>
  <c r="J63" i="14"/>
  <c r="O5" i="13"/>
  <c r="J31" i="7" s="1"/>
  <c r="N32" i="16"/>
  <c r="M145" i="16"/>
  <c r="G72" i="16"/>
  <c r="AL130" i="16"/>
  <c r="AM11" i="16"/>
  <c r="AJ133" i="16"/>
  <c r="N54" i="16"/>
  <c r="AK14" i="16"/>
  <c r="K77" i="14"/>
  <c r="O22" i="4"/>
  <c r="M26" i="4" s="1"/>
  <c r="N21" i="4"/>
  <c r="N17" i="4"/>
  <c r="N18" i="4"/>
  <c r="M20" i="4"/>
  <c r="M11" i="4"/>
  <c r="Z29" i="16"/>
  <c r="K66" i="16"/>
  <c r="AA26" i="16"/>
  <c r="Z141" i="16"/>
  <c r="H17" i="16"/>
  <c r="H136" i="16" s="1"/>
  <c r="H68" i="14"/>
  <c r="H55" i="14"/>
  <c r="H57" i="7"/>
  <c r="AV8" i="19"/>
  <c r="BB8" i="19"/>
  <c r="AX8" i="19"/>
  <c r="AV7" i="19"/>
  <c r="BB7" i="19"/>
  <c r="AX7" i="19"/>
  <c r="M24" i="15"/>
  <c r="F51" i="15"/>
  <c r="O33" i="9"/>
  <c r="P34" i="9"/>
  <c r="H20" i="15"/>
  <c r="L43" i="4"/>
  <c r="H81" i="14"/>
  <c r="AV3" i="19"/>
  <c r="BB3" i="19"/>
  <c r="AX3" i="19"/>
  <c r="L7" i="17"/>
  <c r="G21" i="15"/>
  <c r="G19" i="15"/>
  <c r="Z130" i="16"/>
  <c r="K51" i="16"/>
  <c r="AA11" i="16"/>
  <c r="K9" i="16"/>
  <c r="L25" i="4"/>
  <c r="L27" i="4" s="1"/>
  <c r="L13" i="15"/>
  <c r="I129" i="16"/>
  <c r="J10" i="16"/>
  <c r="G134" i="16"/>
  <c r="H15" i="16"/>
  <c r="E55" i="16"/>
  <c r="N11" i="16"/>
  <c r="M130" i="16"/>
  <c r="G51" i="16"/>
  <c r="L29" i="16"/>
  <c r="L142" i="16" s="1"/>
  <c r="M26" i="16"/>
  <c r="L141" i="16"/>
  <c r="L37" i="15"/>
  <c r="AG10" i="15"/>
  <c r="AH10" i="15" s="1"/>
  <c r="AI10" i="15" s="1"/>
  <c r="K63" i="14"/>
  <c r="P5" i="13"/>
  <c r="K31" i="7" s="1"/>
  <c r="BA3" i="19"/>
  <c r="BG3" i="19"/>
  <c r="BC3" i="19"/>
  <c r="BA4" i="19"/>
  <c r="BC4" i="19"/>
  <c r="BG4" i="19"/>
  <c r="AO76" i="14"/>
  <c r="L8" i="14"/>
  <c r="L77" i="14" s="1"/>
  <c r="L48" i="6"/>
  <c r="L10" i="14" s="1"/>
  <c r="I81" i="14"/>
  <c r="E38" i="16"/>
  <c r="E146" i="16"/>
  <c r="P23" i="5"/>
  <c r="P32" i="5" s="1"/>
  <c r="P40" i="5" s="1"/>
  <c r="P21" i="7" s="1"/>
  <c r="R28" i="5"/>
  <c r="P38" i="5"/>
  <c r="AV6" i="19"/>
  <c r="BB6" i="19"/>
  <c r="AX6" i="19"/>
  <c r="Y133" i="16"/>
  <c r="Z14" i="16"/>
  <c r="F49" i="16"/>
  <c r="J128" i="16"/>
  <c r="AJ129" i="16"/>
  <c r="AK10" i="16"/>
  <c r="N50" i="16"/>
  <c r="O76" i="14"/>
  <c r="O66" i="16"/>
  <c r="AM29" i="16"/>
  <c r="AN26" i="16"/>
  <c r="AM141" i="16"/>
  <c r="I64" i="14"/>
  <c r="I22" i="14"/>
  <c r="H65" i="14"/>
  <c r="H50" i="14"/>
  <c r="D25" i="15"/>
  <c r="E70" i="14"/>
  <c r="Y129" i="16"/>
  <c r="Z10" i="16"/>
  <c r="N28" i="6"/>
  <c r="M49" i="6"/>
  <c r="M27" i="6"/>
  <c r="M42" i="9"/>
  <c r="O29" i="6"/>
  <c r="N50" i="6"/>
  <c r="N9" i="14" s="1"/>
  <c r="I14" i="15"/>
  <c r="H12" i="15"/>
  <c r="O47" i="7"/>
  <c r="O31" i="14"/>
  <c r="F54" i="16"/>
  <c r="J133" i="16"/>
  <c r="K14" i="16"/>
  <c r="AV10" i="19"/>
  <c r="BB10" i="19"/>
  <c r="AX10" i="19"/>
  <c r="F134" i="14"/>
  <c r="J78" i="14"/>
  <c r="E138" i="14"/>
  <c r="G82" i="14"/>
  <c r="O44" i="9"/>
  <c r="P26" i="9"/>
  <c r="J12" i="16"/>
  <c r="L23" i="4"/>
  <c r="N24" i="9"/>
  <c r="O25" i="9"/>
  <c r="N43" i="9"/>
  <c r="D46" i="15"/>
  <c r="AV4" i="19"/>
  <c r="BB4" i="19"/>
  <c r="AX4" i="19"/>
  <c r="J18" i="14"/>
  <c r="L11" i="18"/>
  <c r="BV19" i="19" l="1"/>
  <c r="BG42" i="19"/>
  <c r="BR23" i="19"/>
  <c r="BQ23" i="19" s="1"/>
  <c r="BU23" i="19"/>
  <c r="BY23" i="19" s="1"/>
  <c r="BW23" i="19" s="1"/>
  <c r="BZ26" i="19"/>
  <c r="CD26" i="19" s="1"/>
  <c r="BW26" i="19"/>
  <c r="BV26" i="19" s="1"/>
  <c r="BK47" i="19"/>
  <c r="BO47" i="19" s="1"/>
  <c r="BM47" i="19"/>
  <c r="BL47" i="19" s="1"/>
  <c r="BK61" i="19"/>
  <c r="BO61" i="19" s="1"/>
  <c r="BM61" i="19"/>
  <c r="BL61" i="19" s="1"/>
  <c r="BM88" i="19"/>
  <c r="BL88" i="19" s="1"/>
  <c r="BK88" i="19"/>
  <c r="BO88" i="19" s="1"/>
  <c r="BK83" i="19"/>
  <c r="BO83" i="19" s="1"/>
  <c r="BM83" i="19"/>
  <c r="BL83" i="19" s="1"/>
  <c r="BZ20" i="19"/>
  <c r="CD20" i="19" s="1"/>
  <c r="BW20" i="19"/>
  <c r="BV20" i="19" s="1"/>
  <c r="BK68" i="19"/>
  <c r="BO68" i="19" s="1"/>
  <c r="BM68" i="19"/>
  <c r="BL68" i="19" s="1"/>
  <c r="BK89" i="19"/>
  <c r="BO89" i="19" s="1"/>
  <c r="BM89" i="19"/>
  <c r="BL89" i="19" s="1"/>
  <c r="BM70" i="19"/>
  <c r="BL70" i="19" s="1"/>
  <c r="BK70" i="19"/>
  <c r="BO70" i="19" s="1"/>
  <c r="BK74" i="19"/>
  <c r="BO74" i="19" s="1"/>
  <c r="BM74" i="19"/>
  <c r="BL74" i="19" s="1"/>
  <c r="BK58" i="19"/>
  <c r="BM58" i="19"/>
  <c r="BL58" i="19" s="1"/>
  <c r="BO58" i="19"/>
  <c r="BM90" i="19"/>
  <c r="BL90" i="19" s="1"/>
  <c r="BK90" i="19"/>
  <c r="BO90" i="19" s="1"/>
  <c r="BW25" i="19"/>
  <c r="BV25" i="19" s="1"/>
  <c r="BZ25" i="19"/>
  <c r="CD25" i="19" s="1"/>
  <c r="BK32" i="19"/>
  <c r="BO32" i="19" s="1"/>
  <c r="BM32" i="19" s="1"/>
  <c r="BL32" i="19" s="1"/>
  <c r="BH32" i="19"/>
  <c r="BG32" i="19" s="1"/>
  <c r="BM73" i="19"/>
  <c r="BL73" i="19" s="1"/>
  <c r="BK73" i="19"/>
  <c r="BO73" i="19" s="1"/>
  <c r="BM86" i="19"/>
  <c r="BL86" i="19" s="1"/>
  <c r="BK86" i="19"/>
  <c r="BO86" i="19" s="1"/>
  <c r="BU35" i="19"/>
  <c r="BY35" i="19" s="1"/>
  <c r="BK78" i="19"/>
  <c r="BO78" i="19"/>
  <c r="BM78" i="19"/>
  <c r="BL78" i="19" s="1"/>
  <c r="BM60" i="19"/>
  <c r="BL60" i="19" s="1"/>
  <c r="BK60" i="19"/>
  <c r="BO60" i="19" s="1"/>
  <c r="BT36" i="19"/>
  <c r="BP36" i="19"/>
  <c r="BO96" i="19"/>
  <c r="BM96" i="19"/>
  <c r="BL96" i="19" s="1"/>
  <c r="BK96" i="19"/>
  <c r="BK79" i="19"/>
  <c r="BO79" i="19" s="1"/>
  <c r="BM79" i="19"/>
  <c r="BL79" i="19" s="1"/>
  <c r="BM69" i="19"/>
  <c r="BL69" i="19" s="1"/>
  <c r="BK69" i="19"/>
  <c r="BO69" i="19" s="1"/>
  <c r="BO76" i="19"/>
  <c r="BK76" i="19"/>
  <c r="BM76" i="19"/>
  <c r="BL76" i="19" s="1"/>
  <c r="BU21" i="19"/>
  <c r="BY21" i="19" s="1"/>
  <c r="BW21" i="19" s="1"/>
  <c r="BV21" i="19" s="1"/>
  <c r="BO72" i="19"/>
  <c r="BM72" i="19"/>
  <c r="BL72" i="19" s="1"/>
  <c r="BK72" i="19"/>
  <c r="BM84" i="19"/>
  <c r="BL84" i="19" s="1"/>
  <c r="BK84" i="19"/>
  <c r="BO84" i="19" s="1"/>
  <c r="BM52" i="19"/>
  <c r="BL52" i="19" s="1"/>
  <c r="BK52" i="19"/>
  <c r="BO52" i="19" s="1"/>
  <c r="BM94" i="19"/>
  <c r="BL94" i="19" s="1"/>
  <c r="BK94" i="19"/>
  <c r="BO94" i="19" s="1"/>
  <c r="BK46" i="19"/>
  <c r="BO46" i="19" s="1"/>
  <c r="BM46" i="19"/>
  <c r="BL46" i="19" s="1"/>
  <c r="BK51" i="19"/>
  <c r="BO51" i="19" s="1"/>
  <c r="BM51" i="19"/>
  <c r="BL51" i="19" s="1"/>
  <c r="BK82" i="19"/>
  <c r="BO82" i="19" s="1"/>
  <c r="BM82" i="19"/>
  <c r="BL82" i="19" s="1"/>
  <c r="BP31" i="19"/>
  <c r="BT31" i="19" s="1"/>
  <c r="BR31" i="19" s="1"/>
  <c r="BQ31" i="19" s="1"/>
  <c r="BZ37" i="19"/>
  <c r="CD37" i="19" s="1"/>
  <c r="BO34" i="19"/>
  <c r="BK34" i="19"/>
  <c r="BM49" i="19"/>
  <c r="BL49" i="19" s="1"/>
  <c r="BK49" i="19"/>
  <c r="BO49" i="19" s="1"/>
  <c r="BM80" i="19"/>
  <c r="BL80" i="19" s="1"/>
  <c r="BK80" i="19"/>
  <c r="BO80" i="19" s="1"/>
  <c r="BM67" i="19"/>
  <c r="BL67" i="19" s="1"/>
  <c r="BK67" i="19"/>
  <c r="BO67" i="19" s="1"/>
  <c r="BM91" i="19"/>
  <c r="BL91" i="19" s="1"/>
  <c r="BK91" i="19"/>
  <c r="BO91" i="19" s="1"/>
  <c r="BM59" i="19"/>
  <c r="BL59" i="19" s="1"/>
  <c r="BK59" i="19"/>
  <c r="BO59" i="19" s="1"/>
  <c r="BK57" i="19"/>
  <c r="BO57" i="19" s="1"/>
  <c r="BM57" i="19"/>
  <c r="BL57" i="19" s="1"/>
  <c r="BM44" i="19"/>
  <c r="BL44" i="19" s="1"/>
  <c r="BK44" i="19"/>
  <c r="BO44" i="19" s="1"/>
  <c r="BK77" i="19"/>
  <c r="BO77" i="19" s="1"/>
  <c r="BM77" i="19"/>
  <c r="BL77" i="19" s="1"/>
  <c r="BK93" i="19"/>
  <c r="BO93" i="19" s="1"/>
  <c r="BM93" i="19"/>
  <c r="BL93" i="19" s="1"/>
  <c r="BY33" i="19"/>
  <c r="BW33" i="19" s="1"/>
  <c r="BV33" i="19" s="1"/>
  <c r="BU33" i="19"/>
  <c r="BK56" i="19"/>
  <c r="BO56" i="19" s="1"/>
  <c r="BM56" i="19"/>
  <c r="BL56" i="19" s="1"/>
  <c r="BK50" i="19"/>
  <c r="BO50" i="19" s="1"/>
  <c r="BM50" i="19"/>
  <c r="BL50" i="19" s="1"/>
  <c r="BU24" i="19"/>
  <c r="BY24" i="19" s="1"/>
  <c r="BW24" i="19" s="1"/>
  <c r="BV24" i="19" s="1"/>
  <c r="BK87" i="19"/>
  <c r="BO87" i="19"/>
  <c r="BM87" i="19"/>
  <c r="BL87" i="19" s="1"/>
  <c r="BM63" i="19"/>
  <c r="BL63" i="19" s="1"/>
  <c r="BK63" i="19"/>
  <c r="BO63" i="19" s="1"/>
  <c r="BK62" i="19"/>
  <c r="BO62" i="19" s="1"/>
  <c r="BM62" i="19"/>
  <c r="BL62" i="19" s="1"/>
  <c r="BM66" i="19"/>
  <c r="BL66" i="19" s="1"/>
  <c r="BK66" i="19"/>
  <c r="BO66" i="19" s="1"/>
  <c r="BK43" i="19"/>
  <c r="BO43" i="19" s="1"/>
  <c r="BM43" i="19"/>
  <c r="BL43" i="19" s="1"/>
  <c r="BK95" i="19"/>
  <c r="BO95" i="19" s="1"/>
  <c r="BM95" i="19"/>
  <c r="BL95" i="19" s="1"/>
  <c r="BU41" i="19"/>
  <c r="BY41" i="19" s="1"/>
  <c r="BW41" i="19" s="1"/>
  <c r="BV41" i="19" s="1"/>
  <c r="BK48" i="19"/>
  <c r="BM48" i="19"/>
  <c r="BL48" i="19" s="1"/>
  <c r="BO48" i="19"/>
  <c r="BZ29" i="19"/>
  <c r="CD29" i="19" s="1"/>
  <c r="CB29" i="19"/>
  <c r="CA29" i="19" s="1"/>
  <c r="BZ38" i="19"/>
  <c r="CD38" i="19" s="1"/>
  <c r="CB38" i="19" s="1"/>
  <c r="CA38" i="19" s="1"/>
  <c r="BU27" i="19"/>
  <c r="BY27" i="19" s="1"/>
  <c r="BW27" i="19" s="1"/>
  <c r="BV27" i="19" s="1"/>
  <c r="BM45" i="19"/>
  <c r="BL45" i="19" s="1"/>
  <c r="BK45" i="19"/>
  <c r="BO45" i="19" s="1"/>
  <c r="BM53" i="19"/>
  <c r="BL53" i="19" s="1"/>
  <c r="BK53" i="19"/>
  <c r="BO53" i="19" s="1"/>
  <c r="BO55" i="19"/>
  <c r="BM55" i="19"/>
  <c r="BL55" i="19" s="1"/>
  <c r="BK55" i="19"/>
  <c r="BM64" i="19"/>
  <c r="BL64" i="19" s="1"/>
  <c r="BK64" i="19"/>
  <c r="BO64" i="19" s="1"/>
  <c r="BO85" i="19"/>
  <c r="BM85" i="19"/>
  <c r="BL85" i="19" s="1"/>
  <c r="BK85" i="19"/>
  <c r="BK30" i="19"/>
  <c r="BO30" i="19" s="1"/>
  <c r="BM30" i="19"/>
  <c r="BL30" i="19" s="1"/>
  <c r="BR22" i="19"/>
  <c r="BQ22" i="19" s="1"/>
  <c r="BU22" i="19"/>
  <c r="BY22" i="19" s="1"/>
  <c r="BW22" i="19"/>
  <c r="BM71" i="19"/>
  <c r="BL71" i="19" s="1"/>
  <c r="BK71" i="19"/>
  <c r="BO71" i="19" s="1"/>
  <c r="BR28" i="19"/>
  <c r="BQ28" i="19" s="1"/>
  <c r="BU28" i="19"/>
  <c r="BY28" i="19" s="1"/>
  <c r="BZ19" i="19"/>
  <c r="CD19" i="19" s="1"/>
  <c r="BM75" i="19"/>
  <c r="BL75" i="19" s="1"/>
  <c r="BK75" i="19"/>
  <c r="BO75" i="19" s="1"/>
  <c r="BK81" i="19"/>
  <c r="BO81" i="19" s="1"/>
  <c r="BM81" i="19"/>
  <c r="BL81" i="19" s="1"/>
  <c r="BK54" i="19"/>
  <c r="BO54" i="19" s="1"/>
  <c r="BM54" i="19"/>
  <c r="BL54" i="19" s="1"/>
  <c r="BK65" i="19"/>
  <c r="BO65" i="19" s="1"/>
  <c r="BM65" i="19"/>
  <c r="BL65" i="19" s="1"/>
  <c r="BK92" i="19"/>
  <c r="BO92" i="19" s="1"/>
  <c r="BM92" i="19"/>
  <c r="BL92" i="19" s="1"/>
  <c r="BR35" i="19"/>
  <c r="BQ35" i="19" s="1"/>
  <c r="BH34" i="19"/>
  <c r="BG34" i="19" s="1"/>
  <c r="BP40" i="19"/>
  <c r="BT40" i="19" s="1"/>
  <c r="BR41" i="19"/>
  <c r="BQ41" i="19" s="1"/>
  <c r="BK42" i="19"/>
  <c r="BO42" i="19" s="1"/>
  <c r="BU39" i="19"/>
  <c r="BY39" i="19" s="1"/>
  <c r="BW39" i="19"/>
  <c r="BV39" i="19" s="1"/>
  <c r="F126" i="14"/>
  <c r="AV11" i="19"/>
  <c r="K10" i="7"/>
  <c r="J14" i="15" s="1"/>
  <c r="BB11" i="19"/>
  <c r="AX11" i="19"/>
  <c r="BF7" i="19"/>
  <c r="BF10" i="19"/>
  <c r="BF2" i="19"/>
  <c r="I9" i="15"/>
  <c r="E36" i="15" s="1"/>
  <c r="N24" i="15"/>
  <c r="AC76" i="14"/>
  <c r="E139" i="14"/>
  <c r="G83" i="14"/>
  <c r="O69" i="16"/>
  <c r="AM142" i="16"/>
  <c r="AP76" i="14"/>
  <c r="K128" i="16"/>
  <c r="K12" i="16"/>
  <c r="K131" i="16" s="1"/>
  <c r="M23" i="4"/>
  <c r="K78" i="14"/>
  <c r="J16" i="16"/>
  <c r="I135" i="16"/>
  <c r="BA10" i="19"/>
  <c r="BG10" i="19"/>
  <c r="BC10" i="19"/>
  <c r="J131" i="16"/>
  <c r="F52" i="16"/>
  <c r="E25" i="15"/>
  <c r="D23" i="15"/>
  <c r="D27" i="15" s="1"/>
  <c r="AL10" i="16"/>
  <c r="AK129" i="16"/>
  <c r="R38" i="5"/>
  <c r="R23" i="5"/>
  <c r="R32" i="5" s="1"/>
  <c r="R40" i="5" s="1"/>
  <c r="R21" i="7" s="1"/>
  <c r="S28" i="5"/>
  <c r="H134" i="16"/>
  <c r="I15" i="16"/>
  <c r="AA130" i="16"/>
  <c r="AB11" i="16"/>
  <c r="H82" i="14"/>
  <c r="AK133" i="16"/>
  <c r="AL14" i="16"/>
  <c r="O32" i="16"/>
  <c r="N145" i="16"/>
  <c r="BA6" i="19"/>
  <c r="BG6" i="19"/>
  <c r="BC6" i="19"/>
  <c r="AN141" i="16"/>
  <c r="AN29" i="16"/>
  <c r="AN142" i="16" s="1"/>
  <c r="AO26" i="16"/>
  <c r="M37" i="15"/>
  <c r="AJ10" i="15"/>
  <c r="AK10" i="15" s="1"/>
  <c r="AL10" i="15" s="1"/>
  <c r="H57" i="14"/>
  <c r="H67" i="14"/>
  <c r="P47" i="7"/>
  <c r="P31" i="14"/>
  <c r="N26" i="16"/>
  <c r="M141" i="16"/>
  <c r="M29" i="16"/>
  <c r="G66" i="16"/>
  <c r="I20" i="15"/>
  <c r="M43" i="4"/>
  <c r="J41" i="14"/>
  <c r="J51" i="7"/>
  <c r="J38" i="7"/>
  <c r="J48" i="14" s="1"/>
  <c r="J66" i="14" s="1"/>
  <c r="BC8" i="19"/>
  <c r="M8" i="14"/>
  <c r="M77" i="14" s="1"/>
  <c r="O28" i="6"/>
  <c r="N27" i="6"/>
  <c r="N49" i="6"/>
  <c r="P76" i="14"/>
  <c r="J129" i="16"/>
  <c r="K10" i="16"/>
  <c r="F50" i="16"/>
  <c r="BF3" i="19"/>
  <c r="BH3" i="19"/>
  <c r="BL3" i="19"/>
  <c r="L9" i="16"/>
  <c r="M25" i="4"/>
  <c r="M27" i="4" s="1"/>
  <c r="J22" i="14"/>
  <c r="R9" i="4"/>
  <c r="R13" i="4" s="1"/>
  <c r="R39" i="6"/>
  <c r="BA2" i="19"/>
  <c r="BC2" i="19"/>
  <c r="BG2" i="19"/>
  <c r="BG8" i="19"/>
  <c r="O50" i="6"/>
  <c r="O9" i="14" s="1"/>
  <c r="P29" i="6"/>
  <c r="P44" i="9"/>
  <c r="Q26" i="9"/>
  <c r="K50" i="16"/>
  <c r="AA10" i="16"/>
  <c r="Z129" i="16"/>
  <c r="I65" i="14"/>
  <c r="I50" i="14"/>
  <c r="E149" i="16"/>
  <c r="E39" i="16"/>
  <c r="E150" i="16" s="1"/>
  <c r="E40" i="16"/>
  <c r="K41" i="14"/>
  <c r="K51" i="7"/>
  <c r="K57" i="7" s="1"/>
  <c r="K38" i="7"/>
  <c r="K48" i="14" s="1"/>
  <c r="K66" i="14" s="1"/>
  <c r="P33" i="9"/>
  <c r="Q34" i="9"/>
  <c r="AA141" i="16"/>
  <c r="AA29" i="16"/>
  <c r="AA142" i="16" s="1"/>
  <c r="AB26" i="16"/>
  <c r="AN11" i="16"/>
  <c r="O51" i="16"/>
  <c r="AM130" i="16"/>
  <c r="N42" i="9"/>
  <c r="E41" i="15"/>
  <c r="I12" i="15"/>
  <c r="E39" i="15" s="1"/>
  <c r="I82" i="14"/>
  <c r="F40" i="15"/>
  <c r="M13" i="15"/>
  <c r="L9" i="17"/>
  <c r="I53" i="14" s="1"/>
  <c r="L12" i="17"/>
  <c r="P22" i="4"/>
  <c r="N26" i="4" s="1"/>
  <c r="O21" i="4"/>
  <c r="O17" i="4"/>
  <c r="O18" i="4"/>
  <c r="N20" i="4"/>
  <c r="N11" i="4"/>
  <c r="BG7" i="19"/>
  <c r="K18" i="14"/>
  <c r="P25" i="9"/>
  <c r="O43" i="9"/>
  <c r="O42" i="9" s="1"/>
  <c r="O24" i="9"/>
  <c r="J79" i="14"/>
  <c r="F135" i="14"/>
  <c r="K133" i="16"/>
  <c r="L14" i="16"/>
  <c r="Z133" i="16"/>
  <c r="K54" i="16"/>
  <c r="AA14" i="16"/>
  <c r="L63" i="14"/>
  <c r="Q5" i="13"/>
  <c r="L31" i="7" s="1"/>
  <c r="N130" i="16"/>
  <c r="O11" i="16"/>
  <c r="Z142" i="16"/>
  <c r="K69" i="16"/>
  <c r="O8" i="4"/>
  <c r="M37" i="6"/>
  <c r="O7" i="4" s="1"/>
  <c r="N38" i="6"/>
  <c r="BC7" i="19"/>
  <c r="BA5" i="19"/>
  <c r="BG5" i="19"/>
  <c r="BC5" i="19"/>
  <c r="M11" i="18"/>
  <c r="BV23" i="19" l="1"/>
  <c r="BV22" i="19"/>
  <c r="CB37" i="19"/>
  <c r="CA37" i="19" s="1"/>
  <c r="CE37" i="19"/>
  <c r="CI37" i="19" s="1"/>
  <c r="CJ37" i="19" s="1"/>
  <c r="CN37" i="19" s="1"/>
  <c r="CB19" i="19"/>
  <c r="CA19" i="19" s="1"/>
  <c r="CE19" i="19"/>
  <c r="CI19" i="19" s="1"/>
  <c r="BP80" i="19"/>
  <c r="BT80" i="19" s="1"/>
  <c r="BR80" i="19"/>
  <c r="BQ80" i="19" s="1"/>
  <c r="CE25" i="19"/>
  <c r="CI25" i="19" s="1"/>
  <c r="CG25" i="19" s="1"/>
  <c r="CF25" i="19" s="1"/>
  <c r="CB25" i="19"/>
  <c r="CA25" i="19" s="1"/>
  <c r="CB20" i="19"/>
  <c r="CA20" i="19" s="1"/>
  <c r="CE20" i="19"/>
  <c r="CI20" i="19" s="1"/>
  <c r="BR63" i="19"/>
  <c r="BQ63" i="19" s="1"/>
  <c r="BP63" i="19"/>
  <c r="BT63" i="19" s="1"/>
  <c r="BR57" i="19"/>
  <c r="BQ57" i="19" s="1"/>
  <c r="BP57" i="19"/>
  <c r="BT57" i="19" s="1"/>
  <c r="BP82" i="19"/>
  <c r="BT82" i="19"/>
  <c r="BR82" i="19"/>
  <c r="BQ82" i="19" s="1"/>
  <c r="BZ35" i="19"/>
  <c r="CD35" i="19" s="1"/>
  <c r="CB35" i="19"/>
  <c r="CA35" i="19" s="1"/>
  <c r="BW35" i="19"/>
  <c r="BV35" i="19" s="1"/>
  <c r="BP42" i="19"/>
  <c r="BT42" i="19" s="1"/>
  <c r="BR42" i="19"/>
  <c r="BQ42" i="19" s="1"/>
  <c r="BM42" i="19"/>
  <c r="BL42" i="19" s="1"/>
  <c r="BZ28" i="19"/>
  <c r="CD28" i="19" s="1"/>
  <c r="CB28" i="19"/>
  <c r="CA28" i="19" s="1"/>
  <c r="BW28" i="19"/>
  <c r="BV28" i="19" s="1"/>
  <c r="BP53" i="19"/>
  <c r="BT53" i="19" s="1"/>
  <c r="BR53" i="19"/>
  <c r="BQ53" i="19" s="1"/>
  <c r="BR49" i="19"/>
  <c r="BQ49" i="19" s="1"/>
  <c r="BP49" i="19"/>
  <c r="BT49" i="19" s="1"/>
  <c r="BR84" i="19"/>
  <c r="BQ84" i="19" s="1"/>
  <c r="BP84" i="19"/>
  <c r="BT84" i="19" s="1"/>
  <c r="BP86" i="19"/>
  <c r="BT86" i="19"/>
  <c r="BR86" i="19"/>
  <c r="BQ86" i="19" s="1"/>
  <c r="BP90" i="19"/>
  <c r="BT90" i="19" s="1"/>
  <c r="BR90" i="19"/>
  <c r="BQ90" i="19" s="1"/>
  <c r="CB26" i="19"/>
  <c r="CA26" i="19" s="1"/>
  <c r="CE26" i="19"/>
  <c r="CI26" i="19" s="1"/>
  <c r="CJ26" i="19" s="1"/>
  <c r="CN26" i="19" s="1"/>
  <c r="CG26" i="19"/>
  <c r="BR64" i="19"/>
  <c r="BQ64" i="19" s="1"/>
  <c r="BP64" i="19"/>
  <c r="BT64" i="19" s="1"/>
  <c r="BU40" i="19"/>
  <c r="BY40" i="19" s="1"/>
  <c r="BW40" i="19" s="1"/>
  <c r="BV40" i="19" s="1"/>
  <c r="BR40" i="19"/>
  <c r="BQ40" i="19" s="1"/>
  <c r="BR93" i="19"/>
  <c r="BQ93" i="19" s="1"/>
  <c r="BP93" i="19"/>
  <c r="BT93" i="19" s="1"/>
  <c r="BP69" i="19"/>
  <c r="BT69" i="19" s="1"/>
  <c r="BR69" i="19"/>
  <c r="BQ69" i="19" s="1"/>
  <c r="BR88" i="19"/>
  <c r="BQ88" i="19" s="1"/>
  <c r="BP88" i="19"/>
  <c r="BT88" i="19" s="1"/>
  <c r="BR45" i="19"/>
  <c r="BQ45" i="19" s="1"/>
  <c r="BP45" i="19"/>
  <c r="BT45" i="19" s="1"/>
  <c r="BR91" i="19"/>
  <c r="BQ91" i="19" s="1"/>
  <c r="BP91" i="19"/>
  <c r="BT91" i="19" s="1"/>
  <c r="BR89" i="19"/>
  <c r="BQ89" i="19" s="1"/>
  <c r="BP89" i="19"/>
  <c r="BT89" i="19" s="1"/>
  <c r="BR95" i="19"/>
  <c r="BQ95" i="19" s="1"/>
  <c r="BP95" i="19"/>
  <c r="BT95" i="19" s="1"/>
  <c r="BR76" i="19"/>
  <c r="BQ76" i="19" s="1"/>
  <c r="BP76" i="19"/>
  <c r="BT76" i="19" s="1"/>
  <c r="BR96" i="19"/>
  <c r="BQ96" i="19" s="1"/>
  <c r="BP96" i="19"/>
  <c r="BT96" i="19" s="1"/>
  <c r="BR65" i="19"/>
  <c r="BQ65" i="19" s="1"/>
  <c r="BP65" i="19"/>
  <c r="BT65" i="19" s="1"/>
  <c r="BZ22" i="19"/>
  <c r="CD22" i="19" s="1"/>
  <c r="CE29" i="19"/>
  <c r="CI29" i="19" s="1"/>
  <c r="BP46" i="19"/>
  <c r="BT46" i="19" s="1"/>
  <c r="BR46" i="19"/>
  <c r="BQ46" i="19" s="1"/>
  <c r="BR47" i="19"/>
  <c r="BQ47" i="19" s="1"/>
  <c r="BP47" i="19"/>
  <c r="BT47" i="19" s="1"/>
  <c r="BR48" i="19"/>
  <c r="BQ48" i="19" s="1"/>
  <c r="BP48" i="19"/>
  <c r="BT48" i="19" s="1"/>
  <c r="BR43" i="19"/>
  <c r="BQ43" i="19" s="1"/>
  <c r="BP43" i="19"/>
  <c r="BT43" i="19" s="1"/>
  <c r="BR56" i="19"/>
  <c r="BQ56" i="19" s="1"/>
  <c r="BP56" i="19"/>
  <c r="BT56" i="19" s="1"/>
  <c r="BP77" i="19"/>
  <c r="BT77" i="19"/>
  <c r="BR77" i="19"/>
  <c r="BQ77" i="19" s="1"/>
  <c r="BU31" i="19"/>
  <c r="BY31" i="19" s="1"/>
  <c r="BW31" i="19"/>
  <c r="BV31" i="19" s="1"/>
  <c r="BR94" i="19"/>
  <c r="BQ94" i="19" s="1"/>
  <c r="BP94" i="19"/>
  <c r="BT94" i="19" s="1"/>
  <c r="BR36" i="19"/>
  <c r="BQ36" i="19" s="1"/>
  <c r="BU36" i="19"/>
  <c r="BY36" i="19" s="1"/>
  <c r="BT32" i="19"/>
  <c r="BR32" i="19" s="1"/>
  <c r="BQ32" i="19" s="1"/>
  <c r="BP32" i="19"/>
  <c r="BR58" i="19"/>
  <c r="BQ58" i="19" s="1"/>
  <c r="BT58" i="19"/>
  <c r="BP58" i="19"/>
  <c r="BP83" i="19"/>
  <c r="BT83" i="19" s="1"/>
  <c r="BR83" i="19"/>
  <c r="BQ83" i="19" s="1"/>
  <c r="BR59" i="19"/>
  <c r="BQ59" i="19" s="1"/>
  <c r="BP59" i="19"/>
  <c r="BT59" i="19" s="1"/>
  <c r="BR54" i="19"/>
  <c r="BQ54" i="19" s="1"/>
  <c r="BP54" i="19"/>
  <c r="BT54" i="19" s="1"/>
  <c r="BP66" i="19"/>
  <c r="BT66" i="19" s="1"/>
  <c r="BR66" i="19"/>
  <c r="BQ66" i="19" s="1"/>
  <c r="BR87" i="19"/>
  <c r="BQ87" i="19" s="1"/>
  <c r="BP87" i="19"/>
  <c r="BT87" i="19" s="1"/>
  <c r="BT44" i="19"/>
  <c r="BR44" i="19"/>
  <c r="BQ44" i="19" s="1"/>
  <c r="BP44" i="19"/>
  <c r="BR72" i="19"/>
  <c r="BQ72" i="19" s="1"/>
  <c r="BP72" i="19"/>
  <c r="BT72" i="19" s="1"/>
  <c r="BR60" i="19"/>
  <c r="BQ60" i="19" s="1"/>
  <c r="BP60" i="19"/>
  <c r="BT60" i="19" s="1"/>
  <c r="BP50" i="19"/>
  <c r="BT50" i="19" s="1"/>
  <c r="BR50" i="19"/>
  <c r="BQ50" i="19" s="1"/>
  <c r="K12" i="7"/>
  <c r="K20" i="14" s="1"/>
  <c r="K64" i="14" s="1"/>
  <c r="BZ39" i="19"/>
  <c r="CD39" i="19" s="1"/>
  <c r="CB39" i="19"/>
  <c r="CA39" i="19" s="1"/>
  <c r="BP30" i="19"/>
  <c r="BT30" i="19" s="1"/>
  <c r="BR30" i="19"/>
  <c r="BQ30" i="19" s="1"/>
  <c r="BP52" i="19"/>
  <c r="BT52" i="19"/>
  <c r="BR52" i="19"/>
  <c r="BQ52" i="19" s="1"/>
  <c r="BP81" i="19"/>
  <c r="BT81" i="19" s="1"/>
  <c r="BR81" i="19"/>
  <c r="BQ81" i="19" s="1"/>
  <c r="BR55" i="19"/>
  <c r="BQ55" i="19" s="1"/>
  <c r="BP55" i="19"/>
  <c r="BT55" i="19"/>
  <c r="BZ27" i="19"/>
  <c r="CD27" i="19" s="1"/>
  <c r="CB27" i="19"/>
  <c r="CA27" i="19" s="1"/>
  <c r="BZ33" i="19"/>
  <c r="CD33" i="19" s="1"/>
  <c r="CB33" i="19"/>
  <c r="CA33" i="19" s="1"/>
  <c r="BR67" i="19"/>
  <c r="BQ67" i="19" s="1"/>
  <c r="BP67" i="19"/>
  <c r="BT67" i="19" s="1"/>
  <c r="BZ21" i="19"/>
  <c r="CD21" i="19"/>
  <c r="BP79" i="19"/>
  <c r="BT79" i="19" s="1"/>
  <c r="BR79" i="19"/>
  <c r="BQ79" i="19" s="1"/>
  <c r="BP68" i="19"/>
  <c r="BT68" i="19" s="1"/>
  <c r="BR68" i="19"/>
  <c r="BQ68" i="19" s="1"/>
  <c r="BP75" i="19"/>
  <c r="BT75" i="19" s="1"/>
  <c r="BR75" i="19"/>
  <c r="BQ75" i="19" s="1"/>
  <c r="BP71" i="19"/>
  <c r="BT71" i="19" s="1"/>
  <c r="BR71" i="19"/>
  <c r="BQ71" i="19" s="1"/>
  <c r="BZ41" i="19"/>
  <c r="CD41" i="19" s="1"/>
  <c r="BT62" i="19"/>
  <c r="BR62" i="19"/>
  <c r="BQ62" i="19" s="1"/>
  <c r="BP62" i="19"/>
  <c r="CD24" i="19"/>
  <c r="CB24" i="19"/>
  <c r="CA24" i="19" s="1"/>
  <c r="BZ24" i="19"/>
  <c r="BM34" i="19"/>
  <c r="BL34" i="19" s="1"/>
  <c r="BK2" i="19" s="1"/>
  <c r="BP34" i="19"/>
  <c r="BT34" i="19" s="1"/>
  <c r="BR78" i="19"/>
  <c r="BQ78" i="19" s="1"/>
  <c r="BP78" i="19"/>
  <c r="BT78" i="19" s="1"/>
  <c r="BP73" i="19"/>
  <c r="BT73" i="19" s="1"/>
  <c r="BR73" i="19"/>
  <c r="BQ73" i="19" s="1"/>
  <c r="BP74" i="19"/>
  <c r="BT74" i="19" s="1"/>
  <c r="BR74" i="19"/>
  <c r="BQ74" i="19" s="1"/>
  <c r="BZ23" i="19"/>
  <c r="CD23" i="19" s="1"/>
  <c r="CB23" i="19"/>
  <c r="CA23" i="19" s="1"/>
  <c r="BP92" i="19"/>
  <c r="BT92" i="19" s="1"/>
  <c r="BR92" i="19"/>
  <c r="BQ92" i="19" s="1"/>
  <c r="BR85" i="19"/>
  <c r="BQ85" i="19" s="1"/>
  <c r="BP85" i="19"/>
  <c r="BT85" i="19" s="1"/>
  <c r="CE38" i="19"/>
  <c r="CI38" i="19" s="1"/>
  <c r="CJ38" i="19" s="1"/>
  <c r="CN38" i="19" s="1"/>
  <c r="CG38" i="19"/>
  <c r="CF38" i="19" s="1"/>
  <c r="BR51" i="19"/>
  <c r="BQ51" i="19" s="1"/>
  <c r="BP51" i="19"/>
  <c r="BT51" i="19" s="1"/>
  <c r="BP70" i="19"/>
  <c r="BT70" i="19" s="1"/>
  <c r="BR70" i="19"/>
  <c r="BQ70" i="19" s="1"/>
  <c r="BR61" i="19"/>
  <c r="BQ61" i="19" s="1"/>
  <c r="BP61" i="19"/>
  <c r="BT61" i="19" s="1"/>
  <c r="L10" i="7"/>
  <c r="BA11" i="19"/>
  <c r="BL2" i="19"/>
  <c r="BH10" i="19"/>
  <c r="BK4" i="19"/>
  <c r="BQ4" i="19"/>
  <c r="BM4" i="19"/>
  <c r="BK7" i="19"/>
  <c r="J9" i="15"/>
  <c r="BG11" i="19"/>
  <c r="J20" i="15"/>
  <c r="N43" i="4"/>
  <c r="L41" i="14"/>
  <c r="L51" i="7"/>
  <c r="L57" i="7" s="1"/>
  <c r="L38" i="7"/>
  <c r="L48" i="14" s="1"/>
  <c r="L66" i="14" s="1"/>
  <c r="BC11" i="19"/>
  <c r="E47" i="15"/>
  <c r="N141" i="16"/>
  <c r="N29" i="16"/>
  <c r="N142" i="16" s="1"/>
  <c r="O26" i="16"/>
  <c r="Q25" i="9"/>
  <c r="P43" i="9"/>
  <c r="P24" i="9"/>
  <c r="L12" i="16"/>
  <c r="L131" i="16" s="1"/>
  <c r="N23" i="4"/>
  <c r="M7" i="17"/>
  <c r="H21" i="15"/>
  <c r="H19" i="15" s="1"/>
  <c r="AN130" i="16"/>
  <c r="AO11" i="16"/>
  <c r="AB10" i="16"/>
  <c r="AA129" i="16"/>
  <c r="N8" i="14"/>
  <c r="N77" i="14" s="1"/>
  <c r="N48" i="6"/>
  <c r="N10" i="14" s="1"/>
  <c r="AL129" i="16"/>
  <c r="AM10" i="16"/>
  <c r="N37" i="6"/>
  <c r="P7" i="4" s="1"/>
  <c r="P8" i="4"/>
  <c r="O38" i="6"/>
  <c r="I17" i="16"/>
  <c r="I136" i="16" s="1"/>
  <c r="I55" i="14"/>
  <c r="I68" i="14"/>
  <c r="K129" i="16"/>
  <c r="L10" i="16"/>
  <c r="P133" i="14"/>
  <c r="G190" i="14" s="1"/>
  <c r="L133" i="14"/>
  <c r="F190" i="14" s="1"/>
  <c r="BH7" i="19"/>
  <c r="AC26" i="16"/>
  <c r="AB29" i="16"/>
  <c r="AB142" i="16" s="1"/>
  <c r="AB141" i="16"/>
  <c r="R29" i="6"/>
  <c r="P50" i="6"/>
  <c r="P9" i="14" s="1"/>
  <c r="B108" i="3" a="1"/>
  <c r="B108" i="3" s="1"/>
  <c r="P18" i="4"/>
  <c r="Q22" i="4"/>
  <c r="O26" i="4" s="1"/>
  <c r="P21" i="4"/>
  <c r="P17" i="4"/>
  <c r="O20" i="4"/>
  <c r="O11" i="4"/>
  <c r="L133" i="16"/>
  <c r="M14" i="16"/>
  <c r="N13" i="15"/>
  <c r="K14" i="15"/>
  <c r="J12" i="15"/>
  <c r="F6" i="16"/>
  <c r="E151" i="16"/>
  <c r="D8" i="15"/>
  <c r="D7" i="15" s="1"/>
  <c r="D16" i="15" s="1"/>
  <c r="R26" i="9"/>
  <c r="Q44" i="9"/>
  <c r="O49" i="6"/>
  <c r="O27" i="6"/>
  <c r="P28" i="6"/>
  <c r="E66" i="7"/>
  <c r="I134" i="16"/>
  <c r="J15" i="16"/>
  <c r="F25" i="15"/>
  <c r="E23" i="15"/>
  <c r="E27" i="15" s="1"/>
  <c r="O24" i="15"/>
  <c r="BF4" i="19"/>
  <c r="BL4" i="19"/>
  <c r="BH4" i="19"/>
  <c r="BL7" i="19"/>
  <c r="L128" i="16"/>
  <c r="H70" i="14"/>
  <c r="N37" i="15"/>
  <c r="AM10" i="15"/>
  <c r="AN10" i="15" s="1"/>
  <c r="AO10" i="15" s="1"/>
  <c r="O37" i="15" s="1"/>
  <c r="O145" i="16"/>
  <c r="P32" i="16"/>
  <c r="K16" i="16"/>
  <c r="J135" i="16"/>
  <c r="F56" i="16"/>
  <c r="AC11" i="16"/>
  <c r="AB130" i="16"/>
  <c r="M9" i="16"/>
  <c r="N25" i="4"/>
  <c r="N27" i="4" s="1"/>
  <c r="S39" i="6"/>
  <c r="T9" i="4"/>
  <c r="T13" i="4" s="1"/>
  <c r="Q33" i="9"/>
  <c r="R34" i="9"/>
  <c r="M48" i="6"/>
  <c r="M10" i="14" s="1"/>
  <c r="AL133" i="16"/>
  <c r="AM14" i="16"/>
  <c r="S23" i="5"/>
  <c r="S32" i="5" s="1"/>
  <c r="S40" i="5" s="1"/>
  <c r="S21" i="7" s="1"/>
  <c r="T28" i="5"/>
  <c r="S38" i="5"/>
  <c r="K79" i="14"/>
  <c r="K80" i="14" s="1"/>
  <c r="L78" i="14"/>
  <c r="BF8" i="19"/>
  <c r="BH8" i="19"/>
  <c r="BL8" i="19"/>
  <c r="BF5" i="19"/>
  <c r="BL5" i="19"/>
  <c r="BH5" i="19"/>
  <c r="BF6" i="19"/>
  <c r="BH6" i="19"/>
  <c r="BL6" i="19"/>
  <c r="F136" i="14"/>
  <c r="J80" i="14"/>
  <c r="I57" i="14"/>
  <c r="I70" i="14" s="1"/>
  <c r="I67" i="14"/>
  <c r="G134" i="14"/>
  <c r="M78" i="14"/>
  <c r="R31" i="14"/>
  <c r="R47" i="7"/>
  <c r="E140" i="14"/>
  <c r="G84" i="14"/>
  <c r="J65" i="14"/>
  <c r="J50" i="14"/>
  <c r="J57" i="7"/>
  <c r="M142" i="16"/>
  <c r="G69" i="16"/>
  <c r="AP26" i="16"/>
  <c r="AO29" i="16"/>
  <c r="AO142" i="16" s="1"/>
  <c r="AO141" i="16"/>
  <c r="O130" i="16"/>
  <c r="P11" i="16"/>
  <c r="AA133" i="16"/>
  <c r="AB14" i="16"/>
  <c r="H133" i="14"/>
  <c r="E190" i="14" s="1"/>
  <c r="H83" i="14"/>
  <c r="H84" i="14" s="1"/>
  <c r="BH2" i="19"/>
  <c r="BL10" i="19"/>
  <c r="N11" i="18"/>
  <c r="K22" i="14" l="1"/>
  <c r="CF26" i="19"/>
  <c r="BW75" i="19"/>
  <c r="BV75" i="19" s="1"/>
  <c r="BU75" i="19"/>
  <c r="BY75" i="19" s="1"/>
  <c r="BW69" i="19"/>
  <c r="BV69" i="19" s="1"/>
  <c r="BU69" i="19"/>
  <c r="BY69" i="19" s="1"/>
  <c r="BW91" i="19"/>
  <c r="BV91" i="19" s="1"/>
  <c r="BU91" i="19"/>
  <c r="BY91" i="19" s="1"/>
  <c r="BW57" i="19"/>
  <c r="BV57" i="19" s="1"/>
  <c r="BU57" i="19"/>
  <c r="BY57" i="19" s="1"/>
  <c r="BW84" i="19"/>
  <c r="BV84" i="19" s="1"/>
  <c r="BU84" i="19"/>
  <c r="BY84" i="19" s="1"/>
  <c r="BW36" i="19"/>
  <c r="BV36" i="19" s="1"/>
  <c r="BZ36" i="19"/>
  <c r="CD36" i="19" s="1"/>
  <c r="BW70" i="19"/>
  <c r="BV70" i="19" s="1"/>
  <c r="BU70" i="19"/>
  <c r="BY70" i="19" s="1"/>
  <c r="BW50" i="19"/>
  <c r="BV50" i="19" s="1"/>
  <c r="BU50" i="19"/>
  <c r="BY50" i="19" s="1"/>
  <c r="BU56" i="19"/>
  <c r="BY56" i="19" s="1"/>
  <c r="BW56" i="19"/>
  <c r="BV56" i="19" s="1"/>
  <c r="CJ19" i="19"/>
  <c r="CN19" i="19" s="1"/>
  <c r="CG19" i="19"/>
  <c r="CF19" i="19" s="1"/>
  <c r="BW64" i="19"/>
  <c r="BV64" i="19" s="1"/>
  <c r="BU64" i="19"/>
  <c r="BY64" i="19" s="1"/>
  <c r="CJ20" i="19"/>
  <c r="CN20" i="19" s="1"/>
  <c r="CG20" i="19"/>
  <c r="CF20" i="19" s="1"/>
  <c r="BU51" i="19"/>
  <c r="BY51" i="19"/>
  <c r="BW51" i="19"/>
  <c r="BV51" i="19" s="1"/>
  <c r="BR34" i="19"/>
  <c r="BQ34" i="19" s="1"/>
  <c r="BU34" i="19"/>
  <c r="BY34" i="19" s="1"/>
  <c r="CE41" i="19"/>
  <c r="CI41" i="19" s="1"/>
  <c r="CG41" i="19" s="1"/>
  <c r="CF41" i="19" s="1"/>
  <c r="CB41" i="19"/>
  <c r="CA41" i="19" s="1"/>
  <c r="BU79" i="19"/>
  <c r="BY79" i="19" s="1"/>
  <c r="BW79" i="19"/>
  <c r="BV79" i="19" s="1"/>
  <c r="BW46" i="19"/>
  <c r="BV46" i="19" s="1"/>
  <c r="BU46" i="19"/>
  <c r="BY46" i="19" s="1"/>
  <c r="CE22" i="19"/>
  <c r="CI22" i="19" s="1"/>
  <c r="CJ22" i="19" s="1"/>
  <c r="CN22" i="19" s="1"/>
  <c r="CG22" i="19"/>
  <c r="CB22" i="19"/>
  <c r="CA22" i="19" s="1"/>
  <c r="BY93" i="19"/>
  <c r="BW93" i="19"/>
  <c r="BV93" i="19" s="1"/>
  <c r="BU93" i="19"/>
  <c r="BW73" i="19"/>
  <c r="BV73" i="19" s="1"/>
  <c r="BU73" i="19"/>
  <c r="BY73" i="19" s="1"/>
  <c r="CE24" i="19"/>
  <c r="CI24" i="19" s="1"/>
  <c r="CG24" i="19" s="1"/>
  <c r="CF24" i="19" s="1"/>
  <c r="BW71" i="19"/>
  <c r="BV71" i="19" s="1"/>
  <c r="BU71" i="19"/>
  <c r="BY71" i="19" s="1"/>
  <c r="CE27" i="19"/>
  <c r="CI27" i="19" s="1"/>
  <c r="CG27" i="19" s="1"/>
  <c r="CF27" i="19" s="1"/>
  <c r="BU87" i="19"/>
  <c r="BY87" i="19" s="1"/>
  <c r="BW87" i="19"/>
  <c r="BV87" i="19" s="1"/>
  <c r="BW77" i="19"/>
  <c r="BV77" i="19" s="1"/>
  <c r="BU77" i="19"/>
  <c r="BY77" i="19" s="1"/>
  <c r="BW45" i="19"/>
  <c r="BV45" i="19" s="1"/>
  <c r="BY45" i="19"/>
  <c r="BU45" i="19"/>
  <c r="CL26" i="19"/>
  <c r="CK26" i="19" s="1"/>
  <c r="CO26" i="19"/>
  <c r="CS26" i="19" s="1"/>
  <c r="CQ26" i="19" s="1"/>
  <c r="CP26" i="19" s="1"/>
  <c r="CE28" i="19"/>
  <c r="CI28" i="19" s="1"/>
  <c r="BU82" i="19"/>
  <c r="BY82" i="19"/>
  <c r="BW82" i="19"/>
  <c r="BV82" i="19" s="1"/>
  <c r="BU78" i="19"/>
  <c r="BY78" i="19" s="1"/>
  <c r="BW78" i="19"/>
  <c r="BV78" i="19" s="1"/>
  <c r="CB21" i="19"/>
  <c r="CA21" i="19" s="1"/>
  <c r="CE21" i="19"/>
  <c r="CI21" i="19" s="1"/>
  <c r="CG21" i="19"/>
  <c r="BW55" i="19"/>
  <c r="BV55" i="19" s="1"/>
  <c r="BU55" i="19"/>
  <c r="BY55" i="19" s="1"/>
  <c r="BW60" i="19"/>
  <c r="BV60" i="19" s="1"/>
  <c r="BY60" i="19"/>
  <c r="BU60" i="19"/>
  <c r="BW83" i="19"/>
  <c r="BV83" i="19" s="1"/>
  <c r="BU83" i="19"/>
  <c r="BY83" i="19" s="1"/>
  <c r="BU47" i="19"/>
  <c r="BY47" i="19" s="1"/>
  <c r="BW47" i="19"/>
  <c r="BV47" i="19" s="1"/>
  <c r="BW95" i="19"/>
  <c r="BV95" i="19" s="1"/>
  <c r="BU95" i="19"/>
  <c r="BY95" i="19" s="1"/>
  <c r="BW52" i="19"/>
  <c r="BV52" i="19" s="1"/>
  <c r="BU52" i="19"/>
  <c r="BY52" i="19" s="1"/>
  <c r="BW44" i="19"/>
  <c r="BV44" i="19" s="1"/>
  <c r="BU44" i="19"/>
  <c r="BY44" i="19" s="1"/>
  <c r="BW92" i="19"/>
  <c r="BV92" i="19" s="1"/>
  <c r="BY92" i="19"/>
  <c r="BU92" i="19"/>
  <c r="BY30" i="19"/>
  <c r="BU30" i="19"/>
  <c r="BU88" i="19"/>
  <c r="BY88" i="19" s="1"/>
  <c r="BW88" i="19"/>
  <c r="BV88" i="19" s="1"/>
  <c r="BW49" i="19"/>
  <c r="BV49" i="19" s="1"/>
  <c r="BY49" i="19"/>
  <c r="BU49" i="19"/>
  <c r="BW48" i="19"/>
  <c r="BV48" i="19" s="1"/>
  <c r="BU48" i="19"/>
  <c r="BY48" i="19" s="1"/>
  <c r="BW62" i="19"/>
  <c r="BV62" i="19" s="1"/>
  <c r="BU62" i="19"/>
  <c r="BY62" i="19" s="1"/>
  <c r="BW67" i="19"/>
  <c r="BV67" i="19" s="1"/>
  <c r="BU67" i="19"/>
  <c r="BY67" i="19" s="1"/>
  <c r="BU72" i="19"/>
  <c r="BY72" i="19" s="1"/>
  <c r="BW72" i="19"/>
  <c r="BV72" i="19" s="1"/>
  <c r="BW66" i="19"/>
  <c r="BV66" i="19" s="1"/>
  <c r="BU66" i="19"/>
  <c r="BY66" i="19" s="1"/>
  <c r="BU58" i="19"/>
  <c r="BY58" i="19"/>
  <c r="BW58" i="19"/>
  <c r="BV58" i="19" s="1"/>
  <c r="BU94" i="19"/>
  <c r="BY94" i="19" s="1"/>
  <c r="BW94" i="19"/>
  <c r="BV94" i="19" s="1"/>
  <c r="BW65" i="19"/>
  <c r="BV65" i="19" s="1"/>
  <c r="BU65" i="19"/>
  <c r="BY65" i="19" s="1"/>
  <c r="BU89" i="19"/>
  <c r="BY89" i="19" s="1"/>
  <c r="BW89" i="19"/>
  <c r="BV89" i="19" s="1"/>
  <c r="BZ40" i="19"/>
  <c r="CD40" i="19"/>
  <c r="BU90" i="19"/>
  <c r="BY90" i="19" s="1"/>
  <c r="BW90" i="19"/>
  <c r="BV90" i="19" s="1"/>
  <c r="BU42" i="19"/>
  <c r="BY42" i="19" s="1"/>
  <c r="BW42" i="19"/>
  <c r="BV42" i="19" s="1"/>
  <c r="CJ29" i="19"/>
  <c r="CN29" i="19" s="1"/>
  <c r="BW80" i="19"/>
  <c r="BV80" i="19" s="1"/>
  <c r="BU80" i="19"/>
  <c r="BY80" i="19" s="1"/>
  <c r="CE23" i="19"/>
  <c r="CI23" i="19" s="1"/>
  <c r="CG23" i="19" s="1"/>
  <c r="CF23" i="19" s="1"/>
  <c r="CI39" i="19"/>
  <c r="CE39" i="19"/>
  <c r="BW54" i="19"/>
  <c r="BV54" i="19" s="1"/>
  <c r="BU54" i="19"/>
  <c r="BY54" i="19" s="1"/>
  <c r="CG37" i="19"/>
  <c r="CF37" i="19" s="1"/>
  <c r="BY85" i="19"/>
  <c r="BW85" i="19"/>
  <c r="BV85" i="19" s="1"/>
  <c r="BU85" i="19"/>
  <c r="BY76" i="19"/>
  <c r="BW76" i="19"/>
  <c r="BV76" i="19" s="1"/>
  <c r="BU76" i="19"/>
  <c r="BW61" i="19"/>
  <c r="BV61" i="19" s="1"/>
  <c r="BU61" i="19"/>
  <c r="BY61" i="19" s="1"/>
  <c r="BY68" i="19"/>
  <c r="BW68" i="19"/>
  <c r="BV68" i="19" s="1"/>
  <c r="BU68" i="19"/>
  <c r="BU81" i="19"/>
  <c r="BY81" i="19" s="1"/>
  <c r="BW81" i="19"/>
  <c r="BV81" i="19" s="1"/>
  <c r="BU43" i="19"/>
  <c r="BY43" i="19" s="1"/>
  <c r="BW43" i="19"/>
  <c r="BV43" i="19" s="1"/>
  <c r="BW96" i="19"/>
  <c r="BV96" i="19" s="1"/>
  <c r="BU96" i="19"/>
  <c r="BY96" i="19" s="1"/>
  <c r="BW86" i="19"/>
  <c r="BV86" i="19" s="1"/>
  <c r="BU86" i="19"/>
  <c r="BY86" i="19" s="1"/>
  <c r="BU53" i="19"/>
  <c r="BW53" i="19"/>
  <c r="BV53" i="19" s="1"/>
  <c r="BY53" i="19"/>
  <c r="BW63" i="19"/>
  <c r="BV63" i="19" s="1"/>
  <c r="BU63" i="19"/>
  <c r="BY63" i="19"/>
  <c r="CJ25" i="19"/>
  <c r="CN25" i="19" s="1"/>
  <c r="CL37" i="19"/>
  <c r="CK37" i="19" s="1"/>
  <c r="CO37" i="19"/>
  <c r="CS37" i="19" s="1"/>
  <c r="CQ37" i="19" s="1"/>
  <c r="BU32" i="19"/>
  <c r="BY32" i="19" s="1"/>
  <c r="BW32" i="19"/>
  <c r="BV32" i="19" s="1"/>
  <c r="CL38" i="19"/>
  <c r="CK38" i="19" s="1"/>
  <c r="CO38" i="19"/>
  <c r="CS38" i="19" s="1"/>
  <c r="CQ38" i="19"/>
  <c r="CP38" i="19" s="1"/>
  <c r="BW74" i="19"/>
  <c r="BV74" i="19" s="1"/>
  <c r="BU74" i="19"/>
  <c r="BY74" i="19" s="1"/>
  <c r="CE33" i="19"/>
  <c r="CI33" i="19" s="1"/>
  <c r="CG33" i="19"/>
  <c r="CF33" i="19" s="1"/>
  <c r="BW59" i="19"/>
  <c r="BV59" i="19" s="1"/>
  <c r="BU59" i="19"/>
  <c r="BY59" i="19" s="1"/>
  <c r="BZ31" i="19"/>
  <c r="CD31" i="19"/>
  <c r="CG29" i="19"/>
  <c r="CF29" i="19" s="1"/>
  <c r="CI35" i="19"/>
  <c r="CG35" i="19" s="1"/>
  <c r="CF35" i="19" s="1"/>
  <c r="CE35" i="19"/>
  <c r="BF11" i="19"/>
  <c r="M10" i="7"/>
  <c r="L14" i="15" s="1"/>
  <c r="L12" i="7"/>
  <c r="L20" i="14" s="1"/>
  <c r="L18" i="14"/>
  <c r="BL11" i="19"/>
  <c r="BQ2" i="19"/>
  <c r="BH11" i="19"/>
  <c r="K9" i="15"/>
  <c r="BP3" i="19"/>
  <c r="BV3" i="19"/>
  <c r="BR3" i="19"/>
  <c r="K65" i="14"/>
  <c r="K50" i="14"/>
  <c r="N63" i="14"/>
  <c r="S5" i="13"/>
  <c r="N31" i="7" s="1"/>
  <c r="M12" i="17"/>
  <c r="M9" i="17"/>
  <c r="J53" i="14" s="1"/>
  <c r="M10" i="17"/>
  <c r="J36" i="16" s="1"/>
  <c r="BK6" i="19"/>
  <c r="BM6" i="19"/>
  <c r="BQ6" i="19"/>
  <c r="BK3" i="19"/>
  <c r="BM3" i="19"/>
  <c r="BQ3" i="19"/>
  <c r="U28" i="5"/>
  <c r="T38" i="5"/>
  <c r="T23" i="5"/>
  <c r="T32" i="5" s="1"/>
  <c r="T40" i="5" s="1"/>
  <c r="T21" i="7" s="1"/>
  <c r="R28" i="6"/>
  <c r="P27" i="6"/>
  <c r="O37" i="6"/>
  <c r="Q7" i="4" s="1"/>
  <c r="P38" i="6"/>
  <c r="P49" i="6" s="1"/>
  <c r="Q8" i="4"/>
  <c r="N78" i="14"/>
  <c r="BK8" i="19"/>
  <c r="BM8" i="19"/>
  <c r="BQ8" i="19"/>
  <c r="AC130" i="16"/>
  <c r="L51" i="16"/>
  <c r="F91" i="16" s="1"/>
  <c r="L91" i="16" s="1"/>
  <c r="P24" i="15"/>
  <c r="Q24" i="15" s="1"/>
  <c r="G51" i="15"/>
  <c r="V51" i="15" s="1"/>
  <c r="F125" i="16"/>
  <c r="F18" i="16"/>
  <c r="M12" i="16"/>
  <c r="O23" i="4"/>
  <c r="AB133" i="16"/>
  <c r="AC14" i="16"/>
  <c r="F137" i="14"/>
  <c r="J81" i="14"/>
  <c r="S31" i="14"/>
  <c r="S47" i="7"/>
  <c r="M128" i="16"/>
  <c r="G49" i="16"/>
  <c r="X37" i="15"/>
  <c r="P37" i="15"/>
  <c r="K12" i="15"/>
  <c r="N9" i="16"/>
  <c r="O25" i="4"/>
  <c r="O27" i="4" s="1"/>
  <c r="AC29" i="16"/>
  <c r="L66" i="16"/>
  <c r="F106" i="16" s="1"/>
  <c r="L102" i="16" s="1"/>
  <c r="AC141" i="16"/>
  <c r="O29" i="16"/>
  <c r="O142" i="16" s="1"/>
  <c r="P26" i="16"/>
  <c r="O141" i="16"/>
  <c r="BK10" i="19"/>
  <c r="BQ10" i="19"/>
  <c r="BM10" i="19"/>
  <c r="P66" i="16"/>
  <c r="G106" i="16" s="1"/>
  <c r="M102" i="16" s="1"/>
  <c r="AP29" i="16"/>
  <c r="AP141" i="16"/>
  <c r="BP7" i="19"/>
  <c r="BV7" i="19"/>
  <c r="BR7" i="19"/>
  <c r="E141" i="14"/>
  <c r="G85" i="14"/>
  <c r="AM133" i="16"/>
  <c r="O54" i="16"/>
  <c r="AN14" i="16"/>
  <c r="D52" i="15"/>
  <c r="G25" i="15"/>
  <c r="F23" i="15"/>
  <c r="O8" i="14"/>
  <c r="O77" i="14" s="1"/>
  <c r="O78" i="14" s="1"/>
  <c r="R22" i="4"/>
  <c r="P26" i="4" s="1"/>
  <c r="Q21" i="4"/>
  <c r="Q17" i="4"/>
  <c r="Q18" i="4"/>
  <c r="P11" i="4"/>
  <c r="P20" i="4"/>
  <c r="AB129" i="16"/>
  <c r="AC10" i="16"/>
  <c r="BP6" i="19"/>
  <c r="BV6" i="19"/>
  <c r="BR6" i="19"/>
  <c r="BQ7" i="19"/>
  <c r="J67" i="14"/>
  <c r="G135" i="14"/>
  <c r="P130" i="16"/>
  <c r="H51" i="16"/>
  <c r="E91" i="16" s="1"/>
  <c r="K91" i="16" s="1"/>
  <c r="O13" i="15"/>
  <c r="L129" i="16"/>
  <c r="M10" i="16"/>
  <c r="AP11" i="16"/>
  <c r="AO130" i="16"/>
  <c r="P42" i="9"/>
  <c r="BM7" i="19"/>
  <c r="F55" i="16"/>
  <c r="J134" i="16"/>
  <c r="K15" i="16"/>
  <c r="S26" i="9"/>
  <c r="R44" i="9"/>
  <c r="M133" i="16"/>
  <c r="G54" i="16"/>
  <c r="N14" i="16"/>
  <c r="Q43" i="9"/>
  <c r="Q42" i="9" s="1"/>
  <c r="Q24" i="9"/>
  <c r="R25" i="9"/>
  <c r="M63" i="14"/>
  <c r="R5" i="13"/>
  <c r="M31" i="7" s="1"/>
  <c r="U9" i="4"/>
  <c r="U13" i="4" s="1"/>
  <c r="T39" i="6"/>
  <c r="BK5" i="19"/>
  <c r="BM5" i="19"/>
  <c r="BQ5" i="19"/>
  <c r="L79" i="14"/>
  <c r="L80" i="14" s="1"/>
  <c r="S34" i="9"/>
  <c r="R33" i="9"/>
  <c r="L16" i="16"/>
  <c r="K135" i="16"/>
  <c r="AM129" i="16"/>
  <c r="AN10" i="16"/>
  <c r="O50" i="16"/>
  <c r="I83" i="14"/>
  <c r="I84" i="14" s="1"/>
  <c r="M18" i="14"/>
  <c r="M12" i="7"/>
  <c r="M20" i="14" s="1"/>
  <c r="M64" i="14" s="1"/>
  <c r="K81" i="14"/>
  <c r="P145" i="16"/>
  <c r="H72" i="16"/>
  <c r="E112" i="16" s="1"/>
  <c r="K106" i="16" s="1"/>
  <c r="S29" i="6"/>
  <c r="R50" i="6"/>
  <c r="R9" i="14" s="1"/>
  <c r="K20" i="15"/>
  <c r="O43" i="4"/>
  <c r="BM2" i="19"/>
  <c r="O11" i="18"/>
  <c r="CF22" i="19" l="1"/>
  <c r="CF21" i="19"/>
  <c r="CP37" i="19"/>
  <c r="CB67" i="19"/>
  <c r="CA67" i="19" s="1"/>
  <c r="BZ67" i="19"/>
  <c r="CD67" i="19" s="1"/>
  <c r="CL20" i="19"/>
  <c r="CK20" i="19" s="1"/>
  <c r="CO20" i="19"/>
  <c r="CS20" i="19" s="1"/>
  <c r="CQ20" i="19" s="1"/>
  <c r="CP20" i="19" s="1"/>
  <c r="CB88" i="19"/>
  <c r="CA88" i="19" s="1"/>
  <c r="BZ88" i="19"/>
  <c r="CD88" i="19" s="1"/>
  <c r="CB43" i="19"/>
  <c r="CA43" i="19" s="1"/>
  <c r="BZ43" i="19"/>
  <c r="CD43" i="19" s="1"/>
  <c r="CO25" i="19"/>
  <c r="CS25" i="19" s="1"/>
  <c r="CQ25" i="19" s="1"/>
  <c r="CL25" i="19"/>
  <c r="CK25" i="19" s="1"/>
  <c r="BZ62" i="19"/>
  <c r="CD62" i="19" s="1"/>
  <c r="CB62" i="19"/>
  <c r="CA62" i="19" s="1"/>
  <c r="BZ96" i="19"/>
  <c r="CD96" i="19" s="1"/>
  <c r="CB96" i="19"/>
  <c r="CA96" i="19" s="1"/>
  <c r="BZ34" i="19"/>
  <c r="CD34" i="19" s="1"/>
  <c r="BW34" i="19"/>
  <c r="BV34" i="19" s="1"/>
  <c r="CI36" i="19"/>
  <c r="CJ36" i="19" s="1"/>
  <c r="CN36" i="19" s="1"/>
  <c r="CE36" i="19"/>
  <c r="CB36" i="19"/>
  <c r="CA36" i="19" s="1"/>
  <c r="CB72" i="19"/>
  <c r="CA72" i="19" s="1"/>
  <c r="BZ72" i="19"/>
  <c r="CD72" i="19" s="1"/>
  <c r="CG28" i="19"/>
  <c r="CF28" i="19" s="1"/>
  <c r="CJ28" i="19"/>
  <c r="CN28" i="19"/>
  <c r="BZ56" i="19"/>
  <c r="CD56" i="19" s="1"/>
  <c r="CB56" i="19"/>
  <c r="CA56" i="19" s="1"/>
  <c r="BZ81" i="19"/>
  <c r="CD81" i="19" s="1"/>
  <c r="CB81" i="19"/>
  <c r="CA81" i="19" s="1"/>
  <c r="BZ44" i="19"/>
  <c r="CD44" i="19" s="1"/>
  <c r="CB44" i="19"/>
  <c r="CA44" i="19" s="1"/>
  <c r="CB87" i="19"/>
  <c r="CA87" i="19" s="1"/>
  <c r="BZ87" i="19"/>
  <c r="CD87" i="19" s="1"/>
  <c r="CO29" i="19"/>
  <c r="CS29" i="19" s="1"/>
  <c r="CL29" i="19"/>
  <c r="BZ65" i="19"/>
  <c r="CD65" i="19" s="1"/>
  <c r="CB65" i="19"/>
  <c r="CA65" i="19" s="1"/>
  <c r="BZ73" i="19"/>
  <c r="CD73" i="19" s="1"/>
  <c r="CB73" i="19"/>
  <c r="CA73" i="19" s="1"/>
  <c r="CS19" i="19"/>
  <c r="CO19" i="19"/>
  <c r="CL19" i="19"/>
  <c r="CK19" i="19" s="1"/>
  <c r="CB70" i="19"/>
  <c r="CA70" i="19" s="1"/>
  <c r="BZ70" i="19"/>
  <c r="CD70" i="19" s="1"/>
  <c r="BZ32" i="19"/>
  <c r="CD32" i="19" s="1"/>
  <c r="BZ42" i="19"/>
  <c r="CD42" i="19" s="1"/>
  <c r="BZ83" i="19"/>
  <c r="CD83" i="19" s="1"/>
  <c r="CB83" i="19"/>
  <c r="CA83" i="19" s="1"/>
  <c r="CJ21" i="19"/>
  <c r="CN21" i="19" s="1"/>
  <c r="BZ63" i="19"/>
  <c r="CB63" i="19"/>
  <c r="CA63" i="19" s="1"/>
  <c r="CD63" i="19"/>
  <c r="BZ51" i="19"/>
  <c r="CD51" i="19" s="1"/>
  <c r="CB51" i="19"/>
  <c r="CA51" i="19" s="1"/>
  <c r="CB57" i="19"/>
  <c r="CA57" i="19" s="1"/>
  <c r="CD57" i="19"/>
  <c r="BZ57" i="19"/>
  <c r="CJ33" i="19"/>
  <c r="CN33" i="19"/>
  <c r="CL33" i="19"/>
  <c r="CK33" i="19" s="1"/>
  <c r="CJ23" i="19"/>
  <c r="CN23" i="19" s="1"/>
  <c r="CJ24" i="19"/>
  <c r="CN24" i="19"/>
  <c r="CJ41" i="19"/>
  <c r="CN41" i="19" s="1"/>
  <c r="BZ91" i="19"/>
  <c r="CD91" i="19" s="1"/>
  <c r="CB91" i="19"/>
  <c r="CA91" i="19" s="1"/>
  <c r="CB66" i="19"/>
  <c r="CA66" i="19" s="1"/>
  <c r="BZ66" i="19"/>
  <c r="CD66" i="19" s="1"/>
  <c r="CD77" i="19"/>
  <c r="CB77" i="19"/>
  <c r="CA77" i="19" s="1"/>
  <c r="BZ77" i="19"/>
  <c r="BZ93" i="19"/>
  <c r="CD93" i="19" s="1"/>
  <c r="CB93" i="19"/>
  <c r="CA93" i="19" s="1"/>
  <c r="CJ35" i="19"/>
  <c r="CN35" i="19" s="1"/>
  <c r="BZ74" i="19"/>
  <c r="CD74" i="19" s="1"/>
  <c r="CB74" i="19"/>
  <c r="CA74" i="19" s="1"/>
  <c r="CT37" i="19"/>
  <c r="CX37" i="19" s="1"/>
  <c r="CV37" i="19"/>
  <c r="CU37" i="19" s="1"/>
  <c r="BZ53" i="19"/>
  <c r="CD53" i="19" s="1"/>
  <c r="CB53" i="19"/>
  <c r="CA53" i="19" s="1"/>
  <c r="CB68" i="19"/>
  <c r="CA68" i="19" s="1"/>
  <c r="BZ68" i="19"/>
  <c r="CD68" i="19" s="1"/>
  <c r="BZ85" i="19"/>
  <c r="CD85" i="19" s="1"/>
  <c r="CB85" i="19"/>
  <c r="CA85" i="19" s="1"/>
  <c r="CB80" i="19"/>
  <c r="CA80" i="19" s="1"/>
  <c r="BZ80" i="19"/>
  <c r="CD80" i="19" s="1"/>
  <c r="CB90" i="19"/>
  <c r="CA90" i="19" s="1"/>
  <c r="BZ90" i="19"/>
  <c r="CD90" i="19" s="1"/>
  <c r="CB48" i="19"/>
  <c r="CA48" i="19" s="1"/>
  <c r="BZ48" i="19"/>
  <c r="CD48" i="19" s="1"/>
  <c r="BZ52" i="19"/>
  <c r="CB52" i="19"/>
  <c r="CA52" i="19" s="1"/>
  <c r="CD52" i="19"/>
  <c r="CT26" i="19"/>
  <c r="CX26" i="19" s="1"/>
  <c r="CV26" i="19"/>
  <c r="CU26" i="19" s="1"/>
  <c r="CL22" i="19"/>
  <c r="CK22" i="19" s="1"/>
  <c r="CO22" i="19"/>
  <c r="CS22" i="19" s="1"/>
  <c r="CQ22" i="19"/>
  <c r="BZ76" i="19"/>
  <c r="CD76" i="19" s="1"/>
  <c r="CB76" i="19"/>
  <c r="CA76" i="19" s="1"/>
  <c r="CG39" i="19"/>
  <c r="CF39" i="19" s="1"/>
  <c r="CJ39" i="19"/>
  <c r="CN39" i="19"/>
  <c r="CL39" i="19" s="1"/>
  <c r="CK39" i="19" s="1"/>
  <c r="BZ47" i="19"/>
  <c r="CD47" i="19" s="1"/>
  <c r="CB47" i="19"/>
  <c r="CA47" i="19" s="1"/>
  <c r="CB61" i="19"/>
  <c r="CA61" i="19" s="1"/>
  <c r="BZ61" i="19"/>
  <c r="CD61" i="19" s="1"/>
  <c r="CB40" i="19"/>
  <c r="CA40" i="19" s="1"/>
  <c r="CE40" i="19"/>
  <c r="CI40" i="19"/>
  <c r="CJ40" i="19" s="1"/>
  <c r="CN40" i="19" s="1"/>
  <c r="CB94" i="19"/>
  <c r="CA94" i="19" s="1"/>
  <c r="BZ94" i="19"/>
  <c r="CD94" i="19" s="1"/>
  <c r="BW30" i="19"/>
  <c r="BV30" i="19" s="1"/>
  <c r="BZ30" i="19"/>
  <c r="CD30" i="19" s="1"/>
  <c r="CB60" i="19"/>
  <c r="CA60" i="19" s="1"/>
  <c r="BZ60" i="19"/>
  <c r="CD60" i="19" s="1"/>
  <c r="CB78" i="19"/>
  <c r="CA78" i="19" s="1"/>
  <c r="BZ78" i="19"/>
  <c r="CD78" i="19" s="1"/>
  <c r="CD46" i="19"/>
  <c r="BZ46" i="19"/>
  <c r="CB46" i="19"/>
  <c r="CA46" i="19" s="1"/>
  <c r="CB69" i="19"/>
  <c r="CA69" i="19" s="1"/>
  <c r="BZ69" i="19"/>
  <c r="CD69" i="19" s="1"/>
  <c r="CB31" i="19"/>
  <c r="CA31" i="19" s="1"/>
  <c r="CE31" i="19"/>
  <c r="CI31" i="19" s="1"/>
  <c r="BZ54" i="19"/>
  <c r="CD54" i="19" s="1"/>
  <c r="CB54" i="19"/>
  <c r="CA54" i="19" s="1"/>
  <c r="CB95" i="19"/>
  <c r="CA95" i="19" s="1"/>
  <c r="BZ95" i="19"/>
  <c r="CD95" i="19" s="1"/>
  <c r="BZ64" i="19"/>
  <c r="CD64" i="19" s="1"/>
  <c r="CB64" i="19"/>
  <c r="CA64" i="19" s="1"/>
  <c r="CT38" i="19"/>
  <c r="CX38" i="19" s="1"/>
  <c r="BZ86" i="19"/>
  <c r="CD86" i="19"/>
  <c r="CB86" i="19"/>
  <c r="CA86" i="19" s="1"/>
  <c r="BZ58" i="19"/>
  <c r="CD58" i="19" s="1"/>
  <c r="CB58" i="19"/>
  <c r="CA58" i="19" s="1"/>
  <c r="CB49" i="19"/>
  <c r="CA49" i="19" s="1"/>
  <c r="BZ49" i="19"/>
  <c r="CD49" i="19" s="1"/>
  <c r="CB92" i="19"/>
  <c r="CA92" i="19" s="1"/>
  <c r="BZ92" i="19"/>
  <c r="CD92" i="19" s="1"/>
  <c r="CB55" i="19"/>
  <c r="CA55" i="19" s="1"/>
  <c r="BZ55" i="19"/>
  <c r="CD55" i="19" s="1"/>
  <c r="CB82" i="19"/>
  <c r="CA82" i="19" s="1"/>
  <c r="BZ82" i="19"/>
  <c r="CD82" i="19" s="1"/>
  <c r="BZ45" i="19"/>
  <c r="CD45" i="19"/>
  <c r="CB45" i="19"/>
  <c r="CA45" i="19" s="1"/>
  <c r="CJ27" i="19"/>
  <c r="CN27" i="19" s="1"/>
  <c r="CB50" i="19"/>
  <c r="CA50" i="19" s="1"/>
  <c r="BZ50" i="19"/>
  <c r="CD50" i="19" s="1"/>
  <c r="CB84" i="19"/>
  <c r="CA84" i="19" s="1"/>
  <c r="BZ84" i="19"/>
  <c r="CD84" i="19" s="1"/>
  <c r="CB75" i="19"/>
  <c r="CA75" i="19" s="1"/>
  <c r="BZ75" i="19"/>
  <c r="CD75" i="19" s="1"/>
  <c r="CB59" i="19"/>
  <c r="CA59" i="19" s="1"/>
  <c r="BZ59" i="19"/>
  <c r="CD59" i="19" s="1"/>
  <c r="CB89" i="19"/>
  <c r="CA89" i="19" s="1"/>
  <c r="BZ89" i="19"/>
  <c r="CD89" i="19" s="1"/>
  <c r="BZ71" i="19"/>
  <c r="CD71" i="19" s="1"/>
  <c r="CB71" i="19"/>
  <c r="CA71" i="19" s="1"/>
  <c r="CB79" i="19"/>
  <c r="CA79" i="19" s="1"/>
  <c r="BZ79" i="19"/>
  <c r="CD79" i="19" s="1"/>
  <c r="N10" i="7"/>
  <c r="BK11" i="19"/>
  <c r="L64" i="14"/>
  <c r="L22" i="14"/>
  <c r="M22" i="14"/>
  <c r="M65" i="14" s="1"/>
  <c r="BQ11" i="19"/>
  <c r="BU3" i="19"/>
  <c r="BW3" i="19"/>
  <c r="CA3" i="19"/>
  <c r="L9" i="15"/>
  <c r="F36" i="15" s="1"/>
  <c r="P8" i="14"/>
  <c r="P77" i="14" s="1"/>
  <c r="BU2" i="19"/>
  <c r="CA2" i="19"/>
  <c r="BW2" i="19"/>
  <c r="BU6" i="19"/>
  <c r="BU8" i="19"/>
  <c r="AN129" i="16"/>
  <c r="AO10" i="16"/>
  <c r="H25" i="15"/>
  <c r="G23" i="15"/>
  <c r="G27" i="15" s="1"/>
  <c r="E142" i="14"/>
  <c r="G86" i="14"/>
  <c r="M131" i="16"/>
  <c r="G52" i="16"/>
  <c r="P13" i="15"/>
  <c r="G40" i="15"/>
  <c r="V40" i="15" s="1"/>
  <c r="BM11" i="19"/>
  <c r="M16" i="16"/>
  <c r="L135" i="16"/>
  <c r="T26" i="9"/>
  <c r="S44" i="9"/>
  <c r="O9" i="16"/>
  <c r="P25" i="4"/>
  <c r="P27" i="4" s="1"/>
  <c r="P141" i="16"/>
  <c r="P29" i="16"/>
  <c r="H66" i="16"/>
  <c r="E106" i="16" s="1"/>
  <c r="K102" i="16" s="1"/>
  <c r="F41" i="15"/>
  <c r="M14" i="15"/>
  <c r="L12" i="15"/>
  <c r="F39" i="15" s="1"/>
  <c r="T31" i="14"/>
  <c r="T47" i="7"/>
  <c r="K67" i="14"/>
  <c r="L20" i="15"/>
  <c r="P43" i="4"/>
  <c r="M41" i="14"/>
  <c r="M51" i="7"/>
  <c r="M38" i="7"/>
  <c r="M48" i="14" s="1"/>
  <c r="M66" i="14" s="1"/>
  <c r="H85" i="14"/>
  <c r="H86" i="14" s="1"/>
  <c r="AP142" i="16"/>
  <c r="P69" i="16"/>
  <c r="G109" i="16" s="1"/>
  <c r="M103" i="16" s="1"/>
  <c r="F138" i="14"/>
  <c r="J82" i="14"/>
  <c r="K82" i="14" s="1"/>
  <c r="N79" i="14"/>
  <c r="F76" i="16"/>
  <c r="J148" i="16"/>
  <c r="BP5" i="19"/>
  <c r="BV5" i="19"/>
  <c r="BR5" i="19"/>
  <c r="S50" i="6"/>
  <c r="S9" i="14" s="1"/>
  <c r="T29" i="6"/>
  <c r="T34" i="9"/>
  <c r="S33" i="9"/>
  <c r="K134" i="16"/>
  <c r="L15" i="16"/>
  <c r="AP130" i="16"/>
  <c r="P51" i="16"/>
  <c r="G91" i="16" s="1"/>
  <c r="M91" i="16" s="1"/>
  <c r="M79" i="14"/>
  <c r="L50" i="16"/>
  <c r="F90" i="16" s="1"/>
  <c r="L90" i="16" s="1"/>
  <c r="AC129" i="16"/>
  <c r="O48" i="6"/>
  <c r="O10" i="14" s="1"/>
  <c r="AN133" i="16"/>
  <c r="AO14" i="16"/>
  <c r="R24" i="15"/>
  <c r="U23" i="5"/>
  <c r="U32" i="5" s="1"/>
  <c r="U40" i="5" s="1"/>
  <c r="V28" i="5"/>
  <c r="V23" i="5" s="1"/>
  <c r="V32" i="5" s="1"/>
  <c r="U38" i="5"/>
  <c r="J17" i="16"/>
  <c r="J55" i="14"/>
  <c r="J57" i="14" s="1"/>
  <c r="J68" i="14"/>
  <c r="BP2" i="19"/>
  <c r="BR2" i="19"/>
  <c r="BV2" i="19"/>
  <c r="N128" i="16"/>
  <c r="F137" i="16"/>
  <c r="F19" i="16"/>
  <c r="R49" i="6"/>
  <c r="R27" i="6"/>
  <c r="S28" i="6"/>
  <c r="BP10" i="19"/>
  <c r="BR10" i="19"/>
  <c r="BV10" i="19"/>
  <c r="I85" i="14"/>
  <c r="I86" i="14" s="1"/>
  <c r="L81" i="14"/>
  <c r="G50" i="16"/>
  <c r="N10" i="16"/>
  <c r="M129" i="16"/>
  <c r="L54" i="16"/>
  <c r="F94" i="16" s="1"/>
  <c r="L94" i="16" s="1"/>
  <c r="AC133" i="16"/>
  <c r="P37" i="6"/>
  <c r="R7" i="4" s="1"/>
  <c r="R8" i="4"/>
  <c r="R38" i="6"/>
  <c r="B107" i="3" a="1"/>
  <c r="B107" i="3" s="1"/>
  <c r="B113" i="3" s="1"/>
  <c r="B118" i="3" s="1"/>
  <c r="N7" i="17"/>
  <c r="I21" i="15"/>
  <c r="BP8" i="19"/>
  <c r="BR8" i="19"/>
  <c r="BV8" i="19"/>
  <c r="U39" i="6"/>
  <c r="V9" i="4"/>
  <c r="V13" i="4" s="1"/>
  <c r="R43" i="9"/>
  <c r="R24" i="9"/>
  <c r="S25" i="9"/>
  <c r="N133" i="16"/>
  <c r="O14" i="16"/>
  <c r="BP4" i="19"/>
  <c r="BV4" i="19"/>
  <c r="BR4" i="19"/>
  <c r="N12" i="16"/>
  <c r="N131" i="16" s="1"/>
  <c r="P23" i="4"/>
  <c r="D50" i="15"/>
  <c r="F27" i="15"/>
  <c r="D54" i="15" s="1"/>
  <c r="AC142" i="16"/>
  <c r="L69" i="16"/>
  <c r="F109" i="16" s="1"/>
  <c r="L103" i="16" s="1"/>
  <c r="R18" i="4"/>
  <c r="T22" i="4"/>
  <c r="Q26" i="4" s="1"/>
  <c r="R21" i="4"/>
  <c r="R17" i="4"/>
  <c r="Q20" i="4"/>
  <c r="Q11" i="4"/>
  <c r="N41" i="14"/>
  <c r="N51" i="7"/>
  <c r="N57" i="7" s="1"/>
  <c r="N38" i="7"/>
  <c r="N48" i="14" s="1"/>
  <c r="N66" i="14" s="1"/>
  <c r="P11" i="18"/>
  <c r="CP25" i="19" l="1"/>
  <c r="CJ31" i="19"/>
  <c r="CN31" i="19" s="1"/>
  <c r="CG31" i="19"/>
  <c r="CF31" i="19" s="1"/>
  <c r="CB32" i="19"/>
  <c r="CA32" i="19" s="1"/>
  <c r="CE32" i="19"/>
  <c r="CI32" i="19" s="1"/>
  <c r="CB30" i="19"/>
  <c r="CA30" i="19" s="1"/>
  <c r="CE30" i="19"/>
  <c r="CI30" i="19" s="1"/>
  <c r="CJ30" i="19" s="1"/>
  <c r="CN30" i="19" s="1"/>
  <c r="CE48" i="19"/>
  <c r="CI48" i="19" s="1"/>
  <c r="CG48" i="19"/>
  <c r="CF48" i="19" s="1"/>
  <c r="CO35" i="19"/>
  <c r="CS35" i="19" s="1"/>
  <c r="CQ35" i="19"/>
  <c r="CP35" i="19" s="1"/>
  <c r="CL35" i="19"/>
  <c r="CK35" i="19" s="1"/>
  <c r="CE91" i="19"/>
  <c r="CI91" i="19"/>
  <c r="CG91" i="19"/>
  <c r="CF91" i="19" s="1"/>
  <c r="CL21" i="19"/>
  <c r="CK21" i="19" s="1"/>
  <c r="CO21" i="19"/>
  <c r="CS21" i="19" s="1"/>
  <c r="CG43" i="19"/>
  <c r="CF43" i="19" s="1"/>
  <c r="CE43" i="19"/>
  <c r="CI43" i="19" s="1"/>
  <c r="CG83" i="19"/>
  <c r="CF83" i="19" s="1"/>
  <c r="CE83" i="19"/>
  <c r="CI83" i="19" s="1"/>
  <c r="CG88" i="19"/>
  <c r="CF88" i="19" s="1"/>
  <c r="CE88" i="19"/>
  <c r="CI88" i="19" s="1"/>
  <c r="CG71" i="19"/>
  <c r="CF71" i="19" s="1"/>
  <c r="CE71" i="19"/>
  <c r="CI71" i="19" s="1"/>
  <c r="CE58" i="19"/>
  <c r="CI58" i="19" s="1"/>
  <c r="CG58" i="19"/>
  <c r="CF58" i="19" s="1"/>
  <c r="CE90" i="19"/>
  <c r="CI90" i="19" s="1"/>
  <c r="CG90" i="19"/>
  <c r="CF90" i="19" s="1"/>
  <c r="CL41" i="19"/>
  <c r="CK41" i="19" s="1"/>
  <c r="CO41" i="19"/>
  <c r="CS41" i="19" s="1"/>
  <c r="CQ41" i="19" s="1"/>
  <c r="CB34" i="19"/>
  <c r="CA34" i="19" s="1"/>
  <c r="CE34" i="19"/>
  <c r="CI34" i="19" s="1"/>
  <c r="CB42" i="19"/>
  <c r="CA42" i="19" s="1"/>
  <c r="CE42" i="19"/>
  <c r="CI42" i="19" s="1"/>
  <c r="CE73" i="19"/>
  <c r="CI73" i="19" s="1"/>
  <c r="CG73" i="19"/>
  <c r="CF73" i="19" s="1"/>
  <c r="CI96" i="19"/>
  <c r="CG96" i="19"/>
  <c r="CF96" i="19" s="1"/>
  <c r="CE96" i="19"/>
  <c r="CL23" i="19"/>
  <c r="CK23" i="19" s="1"/>
  <c r="CO23" i="19"/>
  <c r="CS23" i="19" s="1"/>
  <c r="CY38" i="19"/>
  <c r="DC38" i="19" s="1"/>
  <c r="CV38" i="19"/>
  <c r="CU38" i="19" s="1"/>
  <c r="CG70" i="19"/>
  <c r="CF70" i="19" s="1"/>
  <c r="CE70" i="19"/>
  <c r="CI70" i="19" s="1"/>
  <c r="CG65" i="19"/>
  <c r="CF65" i="19" s="1"/>
  <c r="CE65" i="19"/>
  <c r="CI65" i="19" s="1"/>
  <c r="CI79" i="19"/>
  <c r="CG79" i="19"/>
  <c r="CF79" i="19" s="1"/>
  <c r="CE79" i="19"/>
  <c r="CE69" i="19"/>
  <c r="CI69" i="19" s="1"/>
  <c r="CG69" i="19"/>
  <c r="CF69" i="19" s="1"/>
  <c r="CG61" i="19"/>
  <c r="CF61" i="19" s="1"/>
  <c r="CE61" i="19"/>
  <c r="CI61" i="19" s="1"/>
  <c r="CE85" i="19"/>
  <c r="CI85" i="19" s="1"/>
  <c r="CG85" i="19"/>
  <c r="CF85" i="19" s="1"/>
  <c r="CG67" i="19"/>
  <c r="CF67" i="19" s="1"/>
  <c r="CE67" i="19"/>
  <c r="CI67" i="19" s="1"/>
  <c r="CL27" i="19"/>
  <c r="CK27" i="19" s="1"/>
  <c r="CO27" i="19"/>
  <c r="CS27" i="19" s="1"/>
  <c r="CQ27" i="19" s="1"/>
  <c r="CP27" i="19" s="1"/>
  <c r="CE95" i="19"/>
  <c r="CI95" i="19" s="1"/>
  <c r="CG95" i="19"/>
  <c r="CF95" i="19" s="1"/>
  <c r="CG77" i="19"/>
  <c r="CF77" i="19" s="1"/>
  <c r="CE77" i="19"/>
  <c r="CI77" i="19" s="1"/>
  <c r="CL24" i="19"/>
  <c r="CK24" i="19" s="1"/>
  <c r="CO24" i="19"/>
  <c r="CS24" i="19" s="1"/>
  <c r="CQ24" i="19"/>
  <c r="CP24" i="19" s="1"/>
  <c r="CE57" i="19"/>
  <c r="CI57" i="19" s="1"/>
  <c r="CG57" i="19"/>
  <c r="CF57" i="19" s="1"/>
  <c r="CO28" i="19"/>
  <c r="CS28" i="19" s="1"/>
  <c r="CQ28" i="19" s="1"/>
  <c r="CL36" i="19"/>
  <c r="CO36" i="19"/>
  <c r="CS36" i="19" s="1"/>
  <c r="CQ36" i="19" s="1"/>
  <c r="CE92" i="19"/>
  <c r="CI92" i="19" s="1"/>
  <c r="CG92" i="19"/>
  <c r="CF92" i="19" s="1"/>
  <c r="CG68" i="19"/>
  <c r="CF68" i="19" s="1"/>
  <c r="CE68" i="19"/>
  <c r="CI68" i="19" s="1"/>
  <c r="CG66" i="19"/>
  <c r="CF66" i="19" s="1"/>
  <c r="CE66" i="19"/>
  <c r="CI66" i="19" s="1"/>
  <c r="CE59" i="19"/>
  <c r="CI59" i="19" s="1"/>
  <c r="CG59" i="19"/>
  <c r="CF59" i="19" s="1"/>
  <c r="CL40" i="19"/>
  <c r="CO40" i="19"/>
  <c r="CS40" i="19" s="1"/>
  <c r="CQ40" i="19"/>
  <c r="CG62" i="19"/>
  <c r="CF62" i="19" s="1"/>
  <c r="CE62" i="19"/>
  <c r="CI62" i="19" s="1"/>
  <c r="CE86" i="19"/>
  <c r="CI86" i="19" s="1"/>
  <c r="CG86" i="19"/>
  <c r="CF86" i="19" s="1"/>
  <c r="CE75" i="19"/>
  <c r="CI75" i="19" s="1"/>
  <c r="CG75" i="19"/>
  <c r="CF75" i="19" s="1"/>
  <c r="CY26" i="19"/>
  <c r="DC26" i="19" s="1"/>
  <c r="DA26" i="19"/>
  <c r="CZ26" i="19" s="1"/>
  <c r="CG44" i="19"/>
  <c r="CF44" i="19" s="1"/>
  <c r="CE44" i="19"/>
  <c r="CI44" i="19" s="1"/>
  <c r="CE74" i="19"/>
  <c r="CI74" i="19" s="1"/>
  <c r="CG74" i="19"/>
  <c r="CF74" i="19" s="1"/>
  <c r="CG45" i="19"/>
  <c r="CF45" i="19" s="1"/>
  <c r="CE45" i="19"/>
  <c r="CI45" i="19" s="1"/>
  <c r="CG49" i="19"/>
  <c r="CF49" i="19" s="1"/>
  <c r="CE49" i="19"/>
  <c r="CI49" i="19" s="1"/>
  <c r="CG54" i="19"/>
  <c r="CF54" i="19" s="1"/>
  <c r="CE54" i="19"/>
  <c r="CI54" i="19"/>
  <c r="CE52" i="19"/>
  <c r="CI52" i="19" s="1"/>
  <c r="CG52" i="19"/>
  <c r="CF52" i="19" s="1"/>
  <c r="CG51" i="19"/>
  <c r="CF51" i="19" s="1"/>
  <c r="CE51" i="19"/>
  <c r="CI51" i="19" s="1"/>
  <c r="CG72" i="19"/>
  <c r="CF72" i="19" s="1"/>
  <c r="CE72" i="19"/>
  <c r="CI72" i="19" s="1"/>
  <c r="CT25" i="19"/>
  <c r="CX25" i="19" s="1"/>
  <c r="CV25" i="19" s="1"/>
  <c r="CU25" i="19" s="1"/>
  <c r="CT20" i="19"/>
  <c r="CX20" i="19" s="1"/>
  <c r="CV20" i="19"/>
  <c r="CU20" i="19" s="1"/>
  <c r="CG60" i="19"/>
  <c r="CF60" i="19" s="1"/>
  <c r="CE60" i="19"/>
  <c r="CI60" i="19" s="1"/>
  <c r="CO39" i="19"/>
  <c r="CS39" i="19" s="1"/>
  <c r="CQ39" i="19" s="1"/>
  <c r="CP39" i="19" s="1"/>
  <c r="CG84" i="19"/>
  <c r="CF84" i="19" s="1"/>
  <c r="CE84" i="19"/>
  <c r="CI84" i="19" s="1"/>
  <c r="CE80" i="19"/>
  <c r="CI80" i="19" s="1"/>
  <c r="CG80" i="19"/>
  <c r="CF80" i="19" s="1"/>
  <c r="CE53" i="19"/>
  <c r="CI53" i="19" s="1"/>
  <c r="CG53" i="19"/>
  <c r="CF53" i="19" s="1"/>
  <c r="CG63" i="19"/>
  <c r="CF63" i="19" s="1"/>
  <c r="CE63" i="19"/>
  <c r="CI63" i="19" s="1"/>
  <c r="CK29" i="19"/>
  <c r="CI81" i="19"/>
  <c r="CG81" i="19"/>
  <c r="CF81" i="19" s="1"/>
  <c r="CE81" i="19"/>
  <c r="CG82" i="19"/>
  <c r="CF82" i="19" s="1"/>
  <c r="CE82" i="19"/>
  <c r="CI82" i="19"/>
  <c r="CG46" i="19"/>
  <c r="CF46" i="19" s="1"/>
  <c r="CE46" i="19"/>
  <c r="CI46" i="19" s="1"/>
  <c r="CG94" i="19"/>
  <c r="CF94" i="19" s="1"/>
  <c r="CE94" i="19"/>
  <c r="CI94" i="19" s="1"/>
  <c r="CE76" i="19"/>
  <c r="CI76" i="19" s="1"/>
  <c r="CG76" i="19"/>
  <c r="CF76" i="19" s="1"/>
  <c r="CG93" i="19"/>
  <c r="CF93" i="19" s="1"/>
  <c r="CE93" i="19"/>
  <c r="CI93" i="19" s="1"/>
  <c r="CO33" i="19"/>
  <c r="CS33" i="19" s="1"/>
  <c r="CQ33" i="19"/>
  <c r="CP33" i="19" s="1"/>
  <c r="CQ19" i="19"/>
  <c r="CP19" i="19" s="1"/>
  <c r="CT19" i="19"/>
  <c r="CX19" i="19"/>
  <c r="CT29" i="19"/>
  <c r="CX29" i="19" s="1"/>
  <c r="CV29" i="19"/>
  <c r="CG89" i="19"/>
  <c r="CF89" i="19" s="1"/>
  <c r="CE89" i="19"/>
  <c r="CI89" i="19" s="1"/>
  <c r="CG50" i="19"/>
  <c r="CF50" i="19" s="1"/>
  <c r="CE50" i="19"/>
  <c r="CI50" i="19" s="1"/>
  <c r="CG78" i="19"/>
  <c r="CF78" i="19" s="1"/>
  <c r="CE78" i="19"/>
  <c r="CI78" i="19" s="1"/>
  <c r="CP22" i="19"/>
  <c r="CY37" i="19"/>
  <c r="DC37" i="19" s="1"/>
  <c r="DA37" i="19"/>
  <c r="CZ37" i="19" s="1"/>
  <c r="CQ29" i="19"/>
  <c r="CP29" i="19" s="1"/>
  <c r="CE56" i="19"/>
  <c r="CI56" i="19" s="1"/>
  <c r="CG56" i="19"/>
  <c r="CF56" i="19" s="1"/>
  <c r="CG55" i="19"/>
  <c r="CF55" i="19" s="1"/>
  <c r="CE55" i="19"/>
  <c r="CI55" i="19" s="1"/>
  <c r="CG64" i="19"/>
  <c r="CF64" i="19" s="1"/>
  <c r="CE64" i="19"/>
  <c r="CI64" i="19" s="1"/>
  <c r="CG40" i="19"/>
  <c r="CF40" i="19" s="1"/>
  <c r="CG47" i="19"/>
  <c r="CF47" i="19" s="1"/>
  <c r="CE47" i="19"/>
  <c r="CI47" i="19" s="1"/>
  <c r="CT22" i="19"/>
  <c r="CX22" i="19" s="1"/>
  <c r="CV22" i="19"/>
  <c r="CU22" i="19" s="1"/>
  <c r="CG87" i="19"/>
  <c r="CF87" i="19" s="1"/>
  <c r="CE87" i="19"/>
  <c r="CI87" i="19" s="1"/>
  <c r="CL28" i="19"/>
  <c r="CK28" i="19" s="1"/>
  <c r="CG36" i="19"/>
  <c r="CF36" i="19" s="1"/>
  <c r="O10" i="7"/>
  <c r="N14" i="15" s="1"/>
  <c r="N18" i="14"/>
  <c r="N12" i="7"/>
  <c r="N20" i="14" s="1"/>
  <c r="L65" i="14"/>
  <c r="L50" i="14"/>
  <c r="L67" i="14" s="1"/>
  <c r="BP11" i="19"/>
  <c r="BW6" i="19"/>
  <c r="M50" i="14"/>
  <c r="M67" i="14" s="1"/>
  <c r="CA6" i="19"/>
  <c r="BV11" i="19"/>
  <c r="M9" i="15"/>
  <c r="BZ10" i="19"/>
  <c r="BZ6" i="19"/>
  <c r="P78" i="14"/>
  <c r="H134" i="14"/>
  <c r="E191" i="14" s="1"/>
  <c r="O12" i="16"/>
  <c r="O131" i="16" s="1"/>
  <c r="Q23" i="4"/>
  <c r="AO133" i="16"/>
  <c r="AP14" i="16"/>
  <c r="R42" i="9"/>
  <c r="E48" i="15"/>
  <c r="I19" i="15"/>
  <c r="U22" i="4"/>
  <c r="R26" i="4" s="1"/>
  <c r="T21" i="4"/>
  <c r="R11" i="4"/>
  <c r="R20" i="4"/>
  <c r="L82" i="14"/>
  <c r="S27" i="6"/>
  <c r="T28" i="6"/>
  <c r="S49" i="6"/>
  <c r="F57" i="16"/>
  <c r="J136" i="16"/>
  <c r="T5" i="13"/>
  <c r="O31" i="7" s="1"/>
  <c r="O63" i="14"/>
  <c r="M57" i="7"/>
  <c r="M135" i="16"/>
  <c r="N16" i="16"/>
  <c r="G56" i="16"/>
  <c r="I25" i="15"/>
  <c r="H23" i="15"/>
  <c r="H27" i="15" s="1"/>
  <c r="P48" i="6"/>
  <c r="P10" i="14" s="1"/>
  <c r="AO129" i="16"/>
  <c r="AP10" i="16"/>
  <c r="BR11" i="19"/>
  <c r="M15" i="16"/>
  <c r="L134" i="16"/>
  <c r="J83" i="14"/>
  <c r="K83" i="14" s="1"/>
  <c r="F139" i="14"/>
  <c r="M20" i="15"/>
  <c r="Q43" i="4"/>
  <c r="M12" i="15"/>
  <c r="O128" i="16"/>
  <c r="CA8" i="19"/>
  <c r="BU5" i="19"/>
  <c r="CA5" i="19"/>
  <c r="BW5" i="19"/>
  <c r="R8" i="14"/>
  <c r="R77" i="14" s="1"/>
  <c r="R78" i="14" s="1"/>
  <c r="U39" i="5"/>
  <c r="U21" i="7"/>
  <c r="G136" i="14"/>
  <c r="M80" i="14"/>
  <c r="F47" i="15"/>
  <c r="BW8" i="19"/>
  <c r="F138" i="16"/>
  <c r="F33" i="16"/>
  <c r="S24" i="15"/>
  <c r="T44" i="9"/>
  <c r="U26" i="9"/>
  <c r="Q13" i="15"/>
  <c r="BZ4" i="19"/>
  <c r="CB4" i="19"/>
  <c r="CF4" i="19"/>
  <c r="S43" i="9"/>
  <c r="S24" i="9"/>
  <c r="T25" i="9"/>
  <c r="U34" i="9"/>
  <c r="T33" i="9"/>
  <c r="P142" i="16"/>
  <c r="H69" i="16"/>
  <c r="E109" i="16" s="1"/>
  <c r="K103" i="16" s="1"/>
  <c r="E143" i="14"/>
  <c r="G87" i="14"/>
  <c r="H87" i="14" s="1"/>
  <c r="BU7" i="19"/>
  <c r="CA7" i="19"/>
  <c r="BW7" i="19"/>
  <c r="V39" i="6"/>
  <c r="W9" i="4"/>
  <c r="W13" i="4" s="1"/>
  <c r="N12" i="17"/>
  <c r="N10" i="17"/>
  <c r="K36" i="16" s="1"/>
  <c r="K148" i="16" s="1"/>
  <c r="N9" i="17"/>
  <c r="K53" i="14" s="1"/>
  <c r="BU4" i="19"/>
  <c r="CA4" i="19"/>
  <c r="BW4" i="19"/>
  <c r="O133" i="16"/>
  <c r="P14" i="16"/>
  <c r="U29" i="6"/>
  <c r="T50" i="6"/>
  <c r="T9" i="14" s="1"/>
  <c r="BZ8" i="19"/>
  <c r="BU10" i="19"/>
  <c r="BW10" i="19"/>
  <c r="CA10" i="19"/>
  <c r="N80" i="14"/>
  <c r="R37" i="6"/>
  <c r="T7" i="4" s="1"/>
  <c r="T8" i="4"/>
  <c r="S38" i="6"/>
  <c r="O79" i="14"/>
  <c r="O80" i="14" s="1"/>
  <c r="N129" i="16"/>
  <c r="O10" i="16"/>
  <c r="P9" i="16"/>
  <c r="Q25" i="4"/>
  <c r="Q27" i="4" s="1"/>
  <c r="J70" i="14"/>
  <c r="Q11" i="18"/>
  <c r="CP28" i="19" l="1"/>
  <c r="CP41" i="19"/>
  <c r="CP36" i="19"/>
  <c r="CL64" i="19"/>
  <c r="CK64" i="19" s="1"/>
  <c r="CJ64" i="19"/>
  <c r="CN64" i="19" s="1"/>
  <c r="CL88" i="19"/>
  <c r="CK88" i="19" s="1"/>
  <c r="CJ88" i="19"/>
  <c r="CN88" i="19" s="1"/>
  <c r="CQ21" i="19"/>
  <c r="CP21" i="19" s="1"/>
  <c r="CT21" i="19"/>
  <c r="CX21" i="19" s="1"/>
  <c r="CL70" i="19"/>
  <c r="CK70" i="19" s="1"/>
  <c r="CJ70" i="19"/>
  <c r="CN70" i="19" s="1"/>
  <c r="CJ34" i="19"/>
  <c r="CN34" i="19"/>
  <c r="CG34" i="19"/>
  <c r="CF34" i="19" s="1"/>
  <c r="CN85" i="19"/>
  <c r="CL85" i="19"/>
  <c r="CK85" i="19" s="1"/>
  <c r="CJ85" i="19"/>
  <c r="CL78" i="19"/>
  <c r="CK78" i="19" s="1"/>
  <c r="CJ78" i="19"/>
  <c r="CN78" i="19" s="1"/>
  <c r="CJ83" i="19"/>
  <c r="CN83" i="19" s="1"/>
  <c r="CL83" i="19"/>
  <c r="CK83" i="19" s="1"/>
  <c r="CJ32" i="19"/>
  <c r="CN32" i="19" s="1"/>
  <c r="CG32" i="19"/>
  <c r="CF32" i="19" s="1"/>
  <c r="CN68" i="19"/>
  <c r="CL68" i="19"/>
  <c r="CK68" i="19" s="1"/>
  <c r="CJ68" i="19"/>
  <c r="CL46" i="19"/>
  <c r="CK46" i="19" s="1"/>
  <c r="CJ46" i="19"/>
  <c r="CN46" i="19" s="1"/>
  <c r="CL69" i="19"/>
  <c r="CK69" i="19" s="1"/>
  <c r="CJ69" i="19"/>
  <c r="CN69" i="19" s="1"/>
  <c r="CL89" i="19"/>
  <c r="CK89" i="19" s="1"/>
  <c r="CJ89" i="19"/>
  <c r="CN89" i="19" s="1"/>
  <c r="CL63" i="19"/>
  <c r="CK63" i="19" s="1"/>
  <c r="CJ63" i="19"/>
  <c r="CN63" i="19" s="1"/>
  <c r="CL67" i="19"/>
  <c r="CK67" i="19" s="1"/>
  <c r="CJ67" i="19"/>
  <c r="CN67" i="19"/>
  <c r="CJ42" i="19"/>
  <c r="CN42" i="19" s="1"/>
  <c r="CG42" i="19"/>
  <c r="CF42" i="19" s="1"/>
  <c r="CQ23" i="19"/>
  <c r="CP23" i="19" s="1"/>
  <c r="CT23" i="19"/>
  <c r="CX23" i="19"/>
  <c r="CV23" i="19" s="1"/>
  <c r="CO31" i="19"/>
  <c r="CS31" i="19" s="1"/>
  <c r="CQ31" i="19" s="1"/>
  <c r="CP31" i="19" s="1"/>
  <c r="CL31" i="19"/>
  <c r="CK31" i="19" s="1"/>
  <c r="CL53" i="19"/>
  <c r="CK53" i="19" s="1"/>
  <c r="CJ53" i="19"/>
  <c r="CN53" i="19" s="1"/>
  <c r="CJ45" i="19"/>
  <c r="CN45" i="19" s="1"/>
  <c r="CL45" i="19"/>
  <c r="CK45" i="19" s="1"/>
  <c r="CK40" i="19"/>
  <c r="CL57" i="19"/>
  <c r="CK57" i="19" s="1"/>
  <c r="CJ57" i="19"/>
  <c r="CN57" i="19" s="1"/>
  <c r="CJ79" i="19"/>
  <c r="CN79" i="19" s="1"/>
  <c r="CL79" i="19"/>
  <c r="CK79" i="19" s="1"/>
  <c r="DD38" i="19"/>
  <c r="DH38" i="19" s="1"/>
  <c r="DF38" i="19" s="1"/>
  <c r="DE38" i="19" s="1"/>
  <c r="CL73" i="19"/>
  <c r="CK73" i="19" s="1"/>
  <c r="CJ73" i="19"/>
  <c r="CN73" i="19" s="1"/>
  <c r="CN71" i="19"/>
  <c r="CL71" i="19"/>
  <c r="CK71" i="19" s="1"/>
  <c r="CJ71" i="19"/>
  <c r="CL43" i="19"/>
  <c r="CK43" i="19" s="1"/>
  <c r="CJ43" i="19"/>
  <c r="CN43" i="19" s="1"/>
  <c r="CL75" i="19"/>
  <c r="CK75" i="19" s="1"/>
  <c r="CJ75" i="19"/>
  <c r="CN75" i="19" s="1"/>
  <c r="CL65" i="19"/>
  <c r="CK65" i="19" s="1"/>
  <c r="CJ65" i="19"/>
  <c r="CN65" i="19" s="1"/>
  <c r="CL87" i="19"/>
  <c r="CK87" i="19" s="1"/>
  <c r="CJ87" i="19"/>
  <c r="CN87" i="19" s="1"/>
  <c r="DH37" i="19"/>
  <c r="DD37" i="19"/>
  <c r="CT33" i="19"/>
  <c r="CX33" i="19" s="1"/>
  <c r="CV33" i="19"/>
  <c r="CU33" i="19" s="1"/>
  <c r="CL80" i="19"/>
  <c r="CK80" i="19" s="1"/>
  <c r="CJ80" i="19"/>
  <c r="CN80" i="19" s="1"/>
  <c r="CY20" i="19"/>
  <c r="DC20" i="19" s="1"/>
  <c r="DA20" i="19"/>
  <c r="CZ20" i="19" s="1"/>
  <c r="CJ52" i="19"/>
  <c r="CN52" i="19" s="1"/>
  <c r="CL52" i="19"/>
  <c r="CK52" i="19" s="1"/>
  <c r="CJ59" i="19"/>
  <c r="CN59" i="19" s="1"/>
  <c r="CL59" i="19"/>
  <c r="CK59" i="19" s="1"/>
  <c r="CT24" i="19"/>
  <c r="CX24" i="19" s="1"/>
  <c r="CT35" i="19"/>
  <c r="CX35" i="19" s="1"/>
  <c r="CJ93" i="19"/>
  <c r="CN93" i="19" s="1"/>
  <c r="CL93" i="19"/>
  <c r="CK93" i="19" s="1"/>
  <c r="CL84" i="19"/>
  <c r="CK84" i="19" s="1"/>
  <c r="CJ84" i="19"/>
  <c r="CN84" i="19" s="1"/>
  <c r="CL54" i="19"/>
  <c r="CK54" i="19" s="1"/>
  <c r="CJ54" i="19"/>
  <c r="CN54" i="19" s="1"/>
  <c r="CN74" i="19"/>
  <c r="CL74" i="19"/>
  <c r="CK74" i="19" s="1"/>
  <c r="CJ74" i="19"/>
  <c r="CJ86" i="19"/>
  <c r="CN86" i="19" s="1"/>
  <c r="CL86" i="19"/>
  <c r="CK86" i="19" s="1"/>
  <c r="CL66" i="19"/>
  <c r="CK66" i="19" s="1"/>
  <c r="CJ66" i="19"/>
  <c r="CN66" i="19" s="1"/>
  <c r="CT36" i="19"/>
  <c r="CX36" i="19" s="1"/>
  <c r="CV36" i="19" s="1"/>
  <c r="CU36" i="19" s="1"/>
  <c r="CJ61" i="19"/>
  <c r="CN61" i="19" s="1"/>
  <c r="CL61" i="19"/>
  <c r="CK61" i="19" s="1"/>
  <c r="CU29" i="19"/>
  <c r="CL82" i="19"/>
  <c r="CK82" i="19" s="1"/>
  <c r="CJ82" i="19"/>
  <c r="CN82" i="19" s="1"/>
  <c r="CY25" i="19"/>
  <c r="DC25" i="19" s="1"/>
  <c r="DA25" i="19"/>
  <c r="CZ25" i="19" s="1"/>
  <c r="CL44" i="19"/>
  <c r="CK44" i="19" s="1"/>
  <c r="CJ44" i="19"/>
  <c r="CN44" i="19" s="1"/>
  <c r="CJ62" i="19"/>
  <c r="CN62" i="19"/>
  <c r="CL62" i="19"/>
  <c r="CK62" i="19" s="1"/>
  <c r="CK36" i="19"/>
  <c r="CL77" i="19"/>
  <c r="CK77" i="19" s="1"/>
  <c r="CN77" i="19"/>
  <c r="CJ77" i="19"/>
  <c r="CL48" i="19"/>
  <c r="CK48" i="19" s="1"/>
  <c r="CJ48" i="19"/>
  <c r="CN48" i="19" s="1"/>
  <c r="CL92" i="19"/>
  <c r="CK92" i="19" s="1"/>
  <c r="CJ92" i="19"/>
  <c r="CN92" i="19" s="1"/>
  <c r="CT41" i="19"/>
  <c r="CX41" i="19" s="1"/>
  <c r="CL55" i="19"/>
  <c r="CK55" i="19" s="1"/>
  <c r="CJ55" i="19"/>
  <c r="CN55" i="19" s="1"/>
  <c r="CY22" i="19"/>
  <c r="DC22" i="19" s="1"/>
  <c r="DA22" i="19"/>
  <c r="CZ22" i="19" s="1"/>
  <c r="CY29" i="19"/>
  <c r="DC29" i="19" s="1"/>
  <c r="CJ72" i="19"/>
  <c r="CN72" i="19" s="1"/>
  <c r="CL72" i="19"/>
  <c r="CK72" i="19" s="1"/>
  <c r="CL90" i="19"/>
  <c r="CK90" i="19" s="1"/>
  <c r="CJ90" i="19"/>
  <c r="CN90" i="19" s="1"/>
  <c r="CG30" i="19"/>
  <c r="CF30" i="19" s="1"/>
  <c r="CJ47" i="19"/>
  <c r="CN47" i="19" s="1"/>
  <c r="CL47" i="19"/>
  <c r="CK47" i="19" s="1"/>
  <c r="CV19" i="19"/>
  <c r="CU19" i="19" s="1"/>
  <c r="CY19" i="19"/>
  <c r="DC19" i="19" s="1"/>
  <c r="CL76" i="19"/>
  <c r="CK76" i="19" s="1"/>
  <c r="CJ76" i="19"/>
  <c r="CN76" i="19" s="1"/>
  <c r="CT39" i="19"/>
  <c r="CX39" i="19" s="1"/>
  <c r="CV39" i="19" s="1"/>
  <c r="CU39" i="19" s="1"/>
  <c r="CL49" i="19"/>
  <c r="CK49" i="19" s="1"/>
  <c r="CJ49" i="19"/>
  <c r="CN49" i="19" s="1"/>
  <c r="CP40" i="19"/>
  <c r="CT28" i="19"/>
  <c r="CX28" i="19" s="1"/>
  <c r="CV28" i="19"/>
  <c r="CU28" i="19" s="1"/>
  <c r="CL96" i="19"/>
  <c r="CK96" i="19" s="1"/>
  <c r="CJ96" i="19"/>
  <c r="CN96" i="19" s="1"/>
  <c r="CL91" i="19"/>
  <c r="CK91" i="19" s="1"/>
  <c r="CJ91" i="19"/>
  <c r="CN91" i="19" s="1"/>
  <c r="CL30" i="19"/>
  <c r="CO30" i="19"/>
  <c r="CS30" i="19" s="1"/>
  <c r="CQ30" i="19" s="1"/>
  <c r="CP30" i="19" s="1"/>
  <c r="CL81" i="19"/>
  <c r="CK81" i="19" s="1"/>
  <c r="CJ81" i="19"/>
  <c r="CN81" i="19" s="1"/>
  <c r="CT27" i="19"/>
  <c r="CX27" i="19" s="1"/>
  <c r="CV27" i="19" s="1"/>
  <c r="CU27" i="19" s="1"/>
  <c r="CL56" i="19"/>
  <c r="CK56" i="19" s="1"/>
  <c r="CJ56" i="19"/>
  <c r="CN56" i="19" s="1"/>
  <c r="CL50" i="19"/>
  <c r="CK50" i="19" s="1"/>
  <c r="CJ50" i="19"/>
  <c r="CN50" i="19" s="1"/>
  <c r="CL94" i="19"/>
  <c r="CK94" i="19" s="1"/>
  <c r="CJ94" i="19"/>
  <c r="CN94" i="19" s="1"/>
  <c r="CL60" i="19"/>
  <c r="CK60" i="19" s="1"/>
  <c r="CJ60" i="19"/>
  <c r="CN60" i="19" s="1"/>
  <c r="CJ51" i="19"/>
  <c r="CN51" i="19" s="1"/>
  <c r="CL51" i="19"/>
  <c r="CK51" i="19" s="1"/>
  <c r="DD26" i="19"/>
  <c r="DH26" i="19"/>
  <c r="DF26" i="19" s="1"/>
  <c r="DE26" i="19" s="1"/>
  <c r="CX40" i="19"/>
  <c r="CT40" i="19"/>
  <c r="CJ95" i="19"/>
  <c r="CN95" i="19" s="1"/>
  <c r="CL95" i="19"/>
  <c r="CK95" i="19" s="1"/>
  <c r="DA38" i="19"/>
  <c r="CZ38" i="19" s="1"/>
  <c r="CL58" i="19"/>
  <c r="CK58" i="19" s="1"/>
  <c r="CJ58" i="19"/>
  <c r="CN58" i="19" s="1"/>
  <c r="BU11" i="19"/>
  <c r="N64" i="14"/>
  <c r="N22" i="14"/>
  <c r="O18" i="14"/>
  <c r="O12" i="7"/>
  <c r="O20" i="14" s="1"/>
  <c r="P10" i="7"/>
  <c r="O14" i="15" s="1"/>
  <c r="CF6" i="19"/>
  <c r="CB8" i="19"/>
  <c r="CB6" i="19"/>
  <c r="BW11" i="19"/>
  <c r="CA11" i="19"/>
  <c r="N9" i="15"/>
  <c r="R27" i="4"/>
  <c r="F146" i="16"/>
  <c r="F38" i="16"/>
  <c r="T20" i="4"/>
  <c r="U18" i="4"/>
  <c r="U17" i="4"/>
  <c r="V22" i="4"/>
  <c r="T26" i="4" s="1"/>
  <c r="U21" i="4"/>
  <c r="T11" i="4"/>
  <c r="T24" i="15"/>
  <c r="H51" i="15"/>
  <c r="G137" i="14"/>
  <c r="M81" i="14"/>
  <c r="N81" i="14" s="1"/>
  <c r="H135" i="14"/>
  <c r="E192" i="14" s="1"/>
  <c r="P79" i="14"/>
  <c r="BZ7" i="19"/>
  <c r="CB7" i="19"/>
  <c r="CF7" i="19"/>
  <c r="J21" i="15"/>
  <c r="J19" i="15" s="1"/>
  <c r="O7" i="17"/>
  <c r="P128" i="16"/>
  <c r="H49" i="16"/>
  <c r="E89" i="16" s="1"/>
  <c r="K89" i="16" s="1"/>
  <c r="G88" i="14"/>
  <c r="H88" i="14" s="1"/>
  <c r="E144" i="14"/>
  <c r="T24" i="9"/>
  <c r="T43" i="9"/>
  <c r="T42" i="9" s="1"/>
  <c r="U25" i="9"/>
  <c r="U31" i="14"/>
  <c r="U47" i="7"/>
  <c r="G55" i="16"/>
  <c r="M134" i="16"/>
  <c r="N15" i="16"/>
  <c r="AP129" i="16"/>
  <c r="P50" i="16"/>
  <c r="G90" i="16" s="1"/>
  <c r="M90" i="16" s="1"/>
  <c r="T27" i="6"/>
  <c r="U28" i="6"/>
  <c r="BZ3" i="19"/>
  <c r="CF3" i="19"/>
  <c r="CB3" i="19"/>
  <c r="V34" i="9"/>
  <c r="U33" i="9"/>
  <c r="S8" i="14"/>
  <c r="S77" i="14" s="1"/>
  <c r="S78" i="14" s="1"/>
  <c r="E46" i="15"/>
  <c r="P10" i="16"/>
  <c r="O129" i="16"/>
  <c r="U50" i="6"/>
  <c r="U9" i="14" s="1"/>
  <c r="V29" i="6"/>
  <c r="X9" i="4"/>
  <c r="X13" i="4" s="1"/>
  <c r="W39" i="6"/>
  <c r="N12" i="15"/>
  <c r="P63" i="14"/>
  <c r="U5" i="13"/>
  <c r="P31" i="7" s="1"/>
  <c r="P54" i="16"/>
  <c r="G94" i="16" s="1"/>
  <c r="M94" i="16" s="1"/>
  <c r="AP133" i="16"/>
  <c r="CB10" i="19"/>
  <c r="P133" i="16"/>
  <c r="H54" i="16"/>
  <c r="E94" i="16" s="1"/>
  <c r="K94" i="16" s="1"/>
  <c r="S42" i="9"/>
  <c r="R13" i="15"/>
  <c r="R48" i="6"/>
  <c r="R10" i="14" s="1"/>
  <c r="N20" i="15"/>
  <c r="R43" i="4"/>
  <c r="I87" i="14"/>
  <c r="L83" i="14"/>
  <c r="BZ2" i="19"/>
  <c r="CB2" i="19"/>
  <c r="CF2" i="19"/>
  <c r="BZ5" i="19"/>
  <c r="CB5" i="19"/>
  <c r="CF5" i="19"/>
  <c r="CF10" i="19"/>
  <c r="E52" i="15"/>
  <c r="I23" i="15"/>
  <c r="E50" i="15" s="1"/>
  <c r="O51" i="7"/>
  <c r="O41" i="14"/>
  <c r="O38" i="7"/>
  <c r="O48" i="14" s="1"/>
  <c r="O66" i="14" s="1"/>
  <c r="P12" i="16"/>
  <c r="R23" i="4"/>
  <c r="S37" i="6"/>
  <c r="U7" i="4" s="1"/>
  <c r="U8" i="4"/>
  <c r="T38" i="6"/>
  <c r="CF8" i="19"/>
  <c r="U44" i="9"/>
  <c r="V26" i="9"/>
  <c r="K17" i="16"/>
  <c r="K68" i="14"/>
  <c r="K55" i="14"/>
  <c r="K57" i="14" s="1"/>
  <c r="J25" i="15" s="1"/>
  <c r="F140" i="14"/>
  <c r="J84" i="14"/>
  <c r="K84" i="14" s="1"/>
  <c r="N135" i="16"/>
  <c r="O16" i="16"/>
  <c r="R9" i="16"/>
  <c r="R25" i="4"/>
  <c r="S11" i="18"/>
  <c r="CU23" i="19" l="1"/>
  <c r="CQ57" i="19"/>
  <c r="CP57" i="19" s="1"/>
  <c r="CO57" i="19"/>
  <c r="CS57" i="19" s="1"/>
  <c r="DD19" i="19"/>
  <c r="DH19" i="19" s="1"/>
  <c r="DF19" i="19" s="1"/>
  <c r="DA19" i="19"/>
  <c r="CZ19" i="19" s="1"/>
  <c r="CQ48" i="19"/>
  <c r="CP48" i="19" s="1"/>
  <c r="CO48" i="19"/>
  <c r="CS48" i="19" s="1"/>
  <c r="CV35" i="19"/>
  <c r="CU35" i="19" s="1"/>
  <c r="CY35" i="19"/>
  <c r="DC35" i="19" s="1"/>
  <c r="DA35" i="19" s="1"/>
  <c r="CQ45" i="19"/>
  <c r="CP45" i="19" s="1"/>
  <c r="CO45" i="19"/>
  <c r="CS45" i="19" s="1"/>
  <c r="CQ88" i="19"/>
  <c r="CP88" i="19" s="1"/>
  <c r="CO88" i="19"/>
  <c r="CS88" i="19" s="1"/>
  <c r="CQ58" i="19"/>
  <c r="CP58" i="19" s="1"/>
  <c r="CO58" i="19"/>
  <c r="CS58" i="19" s="1"/>
  <c r="CQ69" i="19"/>
  <c r="CP69" i="19" s="1"/>
  <c r="CO69" i="19"/>
  <c r="CS69" i="19" s="1"/>
  <c r="CQ84" i="19"/>
  <c r="CP84" i="19" s="1"/>
  <c r="CO84" i="19"/>
  <c r="CS84" i="19" s="1"/>
  <c r="CQ43" i="19"/>
  <c r="CP43" i="19" s="1"/>
  <c r="CO43" i="19"/>
  <c r="CS43" i="19" s="1"/>
  <c r="CQ64" i="19"/>
  <c r="CP64" i="19" s="1"/>
  <c r="CO64" i="19"/>
  <c r="CS64" i="19" s="1"/>
  <c r="CV24" i="19"/>
  <c r="CU24" i="19" s="1"/>
  <c r="CY24" i="19"/>
  <c r="DC24" i="19" s="1"/>
  <c r="DA24" i="19" s="1"/>
  <c r="CQ50" i="19"/>
  <c r="CP50" i="19" s="1"/>
  <c r="CO50" i="19"/>
  <c r="CS50" i="19" s="1"/>
  <c r="CQ90" i="19"/>
  <c r="CP90" i="19" s="1"/>
  <c r="CO90" i="19"/>
  <c r="CS90" i="19" s="1"/>
  <c r="CQ76" i="19"/>
  <c r="CP76" i="19" s="1"/>
  <c r="CO76" i="19"/>
  <c r="CS76" i="19" s="1"/>
  <c r="CV41" i="19"/>
  <c r="CU41" i="19" s="1"/>
  <c r="CY41" i="19"/>
  <c r="DC41" i="19" s="1"/>
  <c r="DA41" i="19"/>
  <c r="CQ52" i="19"/>
  <c r="CP52" i="19" s="1"/>
  <c r="CO52" i="19"/>
  <c r="CS52" i="19" s="1"/>
  <c r="CQ79" i="19"/>
  <c r="CP79" i="19" s="1"/>
  <c r="CO79" i="19"/>
  <c r="CS79" i="19" s="1"/>
  <c r="CQ81" i="19"/>
  <c r="CP81" i="19" s="1"/>
  <c r="CO81" i="19"/>
  <c r="CS81" i="19" s="1"/>
  <c r="CY21" i="19"/>
  <c r="DC21" i="19" s="1"/>
  <c r="CQ62" i="19"/>
  <c r="CP62" i="19" s="1"/>
  <c r="CO62" i="19"/>
  <c r="CS62" i="19" s="1"/>
  <c r="CQ86" i="19"/>
  <c r="CP86" i="19" s="1"/>
  <c r="CO86" i="19"/>
  <c r="CS86" i="19" s="1"/>
  <c r="CQ59" i="19"/>
  <c r="CP59" i="19" s="1"/>
  <c r="CO59" i="19"/>
  <c r="CS59" i="19" s="1"/>
  <c r="CQ75" i="19"/>
  <c r="CP75" i="19" s="1"/>
  <c r="CO75" i="19"/>
  <c r="CS75" i="19" s="1"/>
  <c r="CQ73" i="19"/>
  <c r="CP73" i="19" s="1"/>
  <c r="CO73" i="19"/>
  <c r="CS73" i="19" s="1"/>
  <c r="CL42" i="19"/>
  <c r="CK42" i="19" s="1"/>
  <c r="CO42" i="19"/>
  <c r="CS42" i="19" s="1"/>
  <c r="CQ42" i="19"/>
  <c r="CQ85" i="19"/>
  <c r="CP85" i="19" s="1"/>
  <c r="CO85" i="19"/>
  <c r="CS85" i="19" s="1"/>
  <c r="CQ68" i="19"/>
  <c r="CP68" i="19" s="1"/>
  <c r="CO68" i="19"/>
  <c r="CS68" i="19" s="1"/>
  <c r="CY28" i="19"/>
  <c r="DC28" i="19" s="1"/>
  <c r="DA28" i="19"/>
  <c r="CZ28" i="19" s="1"/>
  <c r="DD22" i="19"/>
  <c r="DH22" i="19" s="1"/>
  <c r="DF22" i="19"/>
  <c r="DE22" i="19" s="1"/>
  <c r="CY33" i="19"/>
  <c r="DC33" i="19"/>
  <c r="DA33" i="19" s="1"/>
  <c r="CZ33" i="19" s="1"/>
  <c r="CQ67" i="19"/>
  <c r="CP67" i="19" s="1"/>
  <c r="CO67" i="19"/>
  <c r="CS67" i="19" s="1"/>
  <c r="CL32" i="19"/>
  <c r="CK32" i="19" s="1"/>
  <c r="CJ5" i="19" s="1"/>
  <c r="CO32" i="19"/>
  <c r="CS32" i="19" s="1"/>
  <c r="DI26" i="19"/>
  <c r="DM26" i="19" s="1"/>
  <c r="DK26" i="19"/>
  <c r="DJ26" i="19" s="1"/>
  <c r="CQ47" i="19"/>
  <c r="CP47" i="19" s="1"/>
  <c r="CO47" i="19"/>
  <c r="CS47" i="19" s="1"/>
  <c r="CT30" i="19"/>
  <c r="CX30" i="19" s="1"/>
  <c r="CQ55" i="19"/>
  <c r="CP55" i="19" s="1"/>
  <c r="CO55" i="19"/>
  <c r="CS55" i="19" s="1"/>
  <c r="CQ44" i="19"/>
  <c r="CP44" i="19" s="1"/>
  <c r="CO44" i="19"/>
  <c r="CS44" i="19" s="1"/>
  <c r="CQ61" i="19"/>
  <c r="CP61" i="19" s="1"/>
  <c r="CO61" i="19"/>
  <c r="CS61" i="19" s="1"/>
  <c r="CQ93" i="19"/>
  <c r="CP93" i="19" s="1"/>
  <c r="CO93" i="19"/>
  <c r="CS93" i="19" s="1"/>
  <c r="CT31" i="19"/>
  <c r="CX31" i="19" s="1"/>
  <c r="CL34" i="19"/>
  <c r="CK34" i="19" s="1"/>
  <c r="CQ34" i="19"/>
  <c r="CP34" i="19" s="1"/>
  <c r="CO34" i="19"/>
  <c r="CS34" i="19" s="1"/>
  <c r="DD29" i="19"/>
  <c r="DH29" i="19"/>
  <c r="CQ71" i="19"/>
  <c r="CP71" i="19" s="1"/>
  <c r="CO71" i="19"/>
  <c r="CS71" i="19" s="1"/>
  <c r="CQ51" i="19"/>
  <c r="CP51" i="19" s="1"/>
  <c r="CO51" i="19"/>
  <c r="CS51" i="19" s="1"/>
  <c r="CQ56" i="19"/>
  <c r="CP56" i="19" s="1"/>
  <c r="CO56" i="19"/>
  <c r="CS56" i="19" s="1"/>
  <c r="CK30" i="19"/>
  <c r="CQ49" i="19"/>
  <c r="CP49" i="19" s="1"/>
  <c r="CO49" i="19"/>
  <c r="CS49" i="19" s="1"/>
  <c r="CQ74" i="19"/>
  <c r="CP74" i="19" s="1"/>
  <c r="CO74" i="19"/>
  <c r="CS74" i="19" s="1"/>
  <c r="DF37" i="19"/>
  <c r="DE37" i="19" s="1"/>
  <c r="DI37" i="19"/>
  <c r="DM37" i="19" s="1"/>
  <c r="DM38" i="19"/>
  <c r="DI38" i="19"/>
  <c r="CQ46" i="19"/>
  <c r="CP46" i="19" s="1"/>
  <c r="CO46" i="19"/>
  <c r="CS46" i="19" s="1"/>
  <c r="CQ83" i="19"/>
  <c r="CP83" i="19" s="1"/>
  <c r="CO83" i="19"/>
  <c r="CS83" i="19" s="1"/>
  <c r="CQ95" i="19"/>
  <c r="CP95" i="19" s="1"/>
  <c r="CO95" i="19"/>
  <c r="CS95" i="19" s="1"/>
  <c r="CQ60" i="19"/>
  <c r="CP60" i="19" s="1"/>
  <c r="CO60" i="19"/>
  <c r="CS60" i="19" s="1"/>
  <c r="CQ91" i="19"/>
  <c r="CP91" i="19" s="1"/>
  <c r="CO91" i="19"/>
  <c r="CS91" i="19" s="1"/>
  <c r="CQ77" i="19"/>
  <c r="CP77" i="19" s="1"/>
  <c r="CO77" i="19"/>
  <c r="CS77" i="19" s="1"/>
  <c r="CY36" i="19"/>
  <c r="DC36" i="19" s="1"/>
  <c r="DA36" i="19"/>
  <c r="CZ36" i="19" s="1"/>
  <c r="CQ54" i="19"/>
  <c r="CP54" i="19" s="1"/>
  <c r="CO54" i="19"/>
  <c r="CS54" i="19" s="1"/>
  <c r="CQ87" i="19"/>
  <c r="CP87" i="19" s="1"/>
  <c r="CO87" i="19"/>
  <c r="CS87" i="19" s="1"/>
  <c r="CY23" i="19"/>
  <c r="DC23" i="19" s="1"/>
  <c r="DA23" i="19"/>
  <c r="CZ23" i="19" s="1"/>
  <c r="CQ63" i="19"/>
  <c r="CP63" i="19" s="1"/>
  <c r="CO63" i="19"/>
  <c r="CS63" i="19" s="1"/>
  <c r="CQ78" i="19"/>
  <c r="CP78" i="19" s="1"/>
  <c r="CO78" i="19"/>
  <c r="CS78" i="19" s="1"/>
  <c r="CQ70" i="19"/>
  <c r="CP70" i="19" s="1"/>
  <c r="CO70" i="19"/>
  <c r="CS70" i="19" s="1"/>
  <c r="CQ72" i="19"/>
  <c r="CP72" i="19" s="1"/>
  <c r="CO72" i="19"/>
  <c r="CS72" i="19" s="1"/>
  <c r="DD25" i="19"/>
  <c r="DH25" i="19" s="1"/>
  <c r="DF25" i="19"/>
  <c r="DE25" i="19" s="1"/>
  <c r="CQ66" i="19"/>
  <c r="CP66" i="19" s="1"/>
  <c r="CO66" i="19"/>
  <c r="CS66" i="19" s="1"/>
  <c r="DD20" i="19"/>
  <c r="DH20" i="19" s="1"/>
  <c r="DF20" i="19"/>
  <c r="DE20" i="19" s="1"/>
  <c r="CV40" i="19"/>
  <c r="CU40" i="19" s="1"/>
  <c r="DC40" i="19"/>
  <c r="CY40" i="19"/>
  <c r="DA40" i="19"/>
  <c r="CZ40" i="19" s="1"/>
  <c r="CQ94" i="19"/>
  <c r="CP94" i="19" s="1"/>
  <c r="CO94" i="19"/>
  <c r="CS94" i="19" s="1"/>
  <c r="CY27" i="19"/>
  <c r="DC27" i="19" s="1"/>
  <c r="DA27" i="19"/>
  <c r="CZ27" i="19" s="1"/>
  <c r="CQ96" i="19"/>
  <c r="CP96" i="19" s="1"/>
  <c r="CO96" i="19"/>
  <c r="CS96" i="19" s="1"/>
  <c r="CY39" i="19"/>
  <c r="DC39" i="19" s="1"/>
  <c r="DA39" i="19"/>
  <c r="CZ39" i="19" s="1"/>
  <c r="DA29" i="19"/>
  <c r="CZ29" i="19" s="1"/>
  <c r="CQ92" i="19"/>
  <c r="CP92" i="19" s="1"/>
  <c r="CO92" i="19"/>
  <c r="CS92" i="19" s="1"/>
  <c r="CQ82" i="19"/>
  <c r="CP82" i="19" s="1"/>
  <c r="CO82" i="19"/>
  <c r="CS82" i="19" s="1"/>
  <c r="CQ80" i="19"/>
  <c r="CP80" i="19" s="1"/>
  <c r="CO80" i="19"/>
  <c r="CS80" i="19" s="1"/>
  <c r="CQ65" i="19"/>
  <c r="CP65" i="19" s="1"/>
  <c r="CO65" i="19"/>
  <c r="CS65" i="19" s="1"/>
  <c r="CQ53" i="19"/>
  <c r="CP53" i="19" s="1"/>
  <c r="CO53" i="19"/>
  <c r="CS53" i="19" s="1"/>
  <c r="CQ89" i="19"/>
  <c r="CP89" i="19" s="1"/>
  <c r="CO89" i="19"/>
  <c r="CS89" i="19" s="1"/>
  <c r="CV21" i="19"/>
  <c r="CU21" i="19" s="1"/>
  <c r="R10" i="7"/>
  <c r="O64" i="14"/>
  <c r="O22" i="14"/>
  <c r="O65" i="14" s="1"/>
  <c r="P12" i="7"/>
  <c r="P20" i="14" s="1"/>
  <c r="P64" i="14" s="1"/>
  <c r="P18" i="14"/>
  <c r="N65" i="14"/>
  <c r="N50" i="14"/>
  <c r="N67" i="14" s="1"/>
  <c r="BZ11" i="19"/>
  <c r="O81" i="14"/>
  <c r="CJ2" i="19"/>
  <c r="J23" i="15"/>
  <c r="J27" i="15" s="1"/>
  <c r="N134" i="16"/>
  <c r="O15" i="16"/>
  <c r="P51" i="7"/>
  <c r="P57" i="7" s="1"/>
  <c r="P41" i="14"/>
  <c r="P38" i="7"/>
  <c r="P48" i="14" s="1"/>
  <c r="P66" i="14" s="1"/>
  <c r="CB11" i="19"/>
  <c r="R63" i="14"/>
  <c r="W5" i="13"/>
  <c r="R31" i="7" s="1"/>
  <c r="U27" i="6"/>
  <c r="V28" i="6"/>
  <c r="CE4" i="19"/>
  <c r="CG4" i="19"/>
  <c r="CK4" i="19"/>
  <c r="CE3" i="19"/>
  <c r="CK3" i="19"/>
  <c r="CG3" i="19"/>
  <c r="U24" i="9"/>
  <c r="U43" i="9"/>
  <c r="U42" i="9" s="1"/>
  <c r="V25" i="9"/>
  <c r="CE10" i="19"/>
  <c r="CG10" i="19"/>
  <c r="CK10" i="19"/>
  <c r="O57" i="7"/>
  <c r="E70" i="7"/>
  <c r="K136" i="16"/>
  <c r="V8" i="4"/>
  <c r="T37" i="6"/>
  <c r="V7" i="4" s="1"/>
  <c r="U38" i="6"/>
  <c r="S13" i="15"/>
  <c r="I27" i="15"/>
  <c r="E54" i="15" s="1"/>
  <c r="R12" i="16"/>
  <c r="R131" i="16" s="1"/>
  <c r="T23" i="4"/>
  <c r="CE8" i="19"/>
  <c r="CG8" i="19"/>
  <c r="CK8" i="19"/>
  <c r="CE7" i="19"/>
  <c r="CG7" i="19"/>
  <c r="CK7" i="19"/>
  <c r="CE5" i="19"/>
  <c r="CG5" i="19"/>
  <c r="CK5" i="19"/>
  <c r="O20" i="15"/>
  <c r="T43" i="4"/>
  <c r="V50" i="6"/>
  <c r="V9" i="14" s="1"/>
  <c r="W29" i="6"/>
  <c r="L84" i="14"/>
  <c r="P14" i="15"/>
  <c r="G41" i="15"/>
  <c r="V41" i="15" s="1"/>
  <c r="O12" i="15"/>
  <c r="G39" i="15" s="1"/>
  <c r="V39" i="15" s="1"/>
  <c r="H50" i="16"/>
  <c r="E90" i="16" s="1"/>
  <c r="K90" i="16" s="1"/>
  <c r="P129" i="16"/>
  <c r="T49" i="6"/>
  <c r="F66" i="7"/>
  <c r="CE2" i="19"/>
  <c r="CG2" i="19"/>
  <c r="CK2" i="19"/>
  <c r="G138" i="14"/>
  <c r="M82" i="14"/>
  <c r="O50" i="14"/>
  <c r="X39" i="6"/>
  <c r="Y9" i="4"/>
  <c r="Y13" i="4" s="1"/>
  <c r="S48" i="6"/>
  <c r="S10" i="14" s="1"/>
  <c r="E145" i="14"/>
  <c r="G89" i="14"/>
  <c r="H89" i="14" s="1"/>
  <c r="U24" i="15"/>
  <c r="CE6" i="19"/>
  <c r="CG6" i="19"/>
  <c r="CK6" i="19"/>
  <c r="CF11" i="19"/>
  <c r="R128" i="16"/>
  <c r="O135" i="16"/>
  <c r="P16" i="16"/>
  <c r="V18" i="4"/>
  <c r="W22" i="4"/>
  <c r="U26" i="4" s="1"/>
  <c r="V21" i="4"/>
  <c r="U20" i="4"/>
  <c r="V17" i="4"/>
  <c r="U11" i="4"/>
  <c r="V44" i="9"/>
  <c r="W26" i="9"/>
  <c r="R79" i="14"/>
  <c r="R80" i="14" s="1"/>
  <c r="R81" i="14" s="1"/>
  <c r="R82" i="14" s="1"/>
  <c r="R83" i="14" s="1"/>
  <c r="R84" i="14" s="1"/>
  <c r="R85" i="14" s="1"/>
  <c r="R86" i="14" s="1"/>
  <c r="S79" i="14"/>
  <c r="S80" i="14" s="1"/>
  <c r="S81" i="14" s="1"/>
  <c r="S82" i="14" s="1"/>
  <c r="S83" i="14" s="1"/>
  <c r="S84" i="14" s="1"/>
  <c r="S85" i="14" s="1"/>
  <c r="S86" i="14" s="1"/>
  <c r="O10" i="17"/>
  <c r="L36" i="16" s="1"/>
  <c r="L148" i="16" s="1"/>
  <c r="O12" i="17"/>
  <c r="O9" i="17"/>
  <c r="L53" i="14" s="1"/>
  <c r="W34" i="9"/>
  <c r="V33" i="9"/>
  <c r="K70" i="14"/>
  <c r="O9" i="15"/>
  <c r="S27" i="4"/>
  <c r="T27" i="4" s="1"/>
  <c r="F141" i="14"/>
  <c r="J85" i="14"/>
  <c r="P131" i="16"/>
  <c r="H52" i="16"/>
  <c r="E92" i="16" s="1"/>
  <c r="K92" i="16" s="1"/>
  <c r="I88" i="14"/>
  <c r="H136" i="14"/>
  <c r="E193" i="14" s="1"/>
  <c r="J190" i="14" s="1"/>
  <c r="P80" i="14"/>
  <c r="S9" i="16"/>
  <c r="T25" i="4"/>
  <c r="F149" i="16"/>
  <c r="F39" i="16"/>
  <c r="F150" i="16" s="1"/>
  <c r="F40" i="16"/>
  <c r="T11" i="18"/>
  <c r="DE19" i="19" l="1"/>
  <c r="CZ41" i="19"/>
  <c r="CZ24" i="19"/>
  <c r="CZ35" i="19"/>
  <c r="CV30" i="19"/>
  <c r="CU30" i="19" s="1"/>
  <c r="CY30" i="19"/>
  <c r="DC30" i="19" s="1"/>
  <c r="DD21" i="19"/>
  <c r="DH21" i="19" s="1"/>
  <c r="DF21" i="19" s="1"/>
  <c r="DA21" i="19"/>
  <c r="CZ21" i="19" s="1"/>
  <c r="DN37" i="19"/>
  <c r="DR37" i="19" s="1"/>
  <c r="DK37" i="19"/>
  <c r="DJ37" i="19" s="1"/>
  <c r="CT95" i="19"/>
  <c r="CX95" i="19"/>
  <c r="CV95" i="19"/>
  <c r="CU95" i="19" s="1"/>
  <c r="DN38" i="19"/>
  <c r="DR38" i="19" s="1"/>
  <c r="DI29" i="19"/>
  <c r="DM29" i="19" s="1"/>
  <c r="DK29" i="19" s="1"/>
  <c r="DJ29" i="19" s="1"/>
  <c r="CX58" i="19"/>
  <c r="CV58" i="19"/>
  <c r="CU58" i="19" s="1"/>
  <c r="CT58" i="19"/>
  <c r="CV80" i="19"/>
  <c r="CU80" i="19" s="1"/>
  <c r="CT80" i="19"/>
  <c r="CX80" i="19" s="1"/>
  <c r="DD39" i="19"/>
  <c r="DH39" i="19" s="1"/>
  <c r="DF39" i="19" s="1"/>
  <c r="DE39" i="19" s="1"/>
  <c r="DI25" i="19"/>
  <c r="DM25" i="19" s="1"/>
  <c r="DK25" i="19" s="1"/>
  <c r="DJ25" i="19" s="1"/>
  <c r="DD36" i="19"/>
  <c r="DH36" i="19" s="1"/>
  <c r="CT67" i="19"/>
  <c r="CX67" i="19" s="1"/>
  <c r="CV67" i="19"/>
  <c r="CU67" i="19" s="1"/>
  <c r="DD28" i="19"/>
  <c r="DH28" i="19" s="1"/>
  <c r="DF28" i="19" s="1"/>
  <c r="DE28" i="19" s="1"/>
  <c r="CT73" i="19"/>
  <c r="CX73" i="19" s="1"/>
  <c r="CV73" i="19"/>
  <c r="CU73" i="19" s="1"/>
  <c r="CV62" i="19"/>
  <c r="CU62" i="19" s="1"/>
  <c r="CT62" i="19"/>
  <c r="CX62" i="19" s="1"/>
  <c r="CX90" i="19"/>
  <c r="CV90" i="19"/>
  <c r="CU90" i="19" s="1"/>
  <c r="CT90" i="19"/>
  <c r="CT48" i="19"/>
  <c r="CX48" i="19" s="1"/>
  <c r="CV48" i="19"/>
  <c r="CU48" i="19" s="1"/>
  <c r="CT93" i="19"/>
  <c r="CV93" i="19"/>
  <c r="CU93" i="19" s="1"/>
  <c r="CX93" i="19"/>
  <c r="CT79" i="19"/>
  <c r="CX79" i="19" s="1"/>
  <c r="CV79" i="19"/>
  <c r="CU79" i="19" s="1"/>
  <c r="CT96" i="19"/>
  <c r="CX96" i="19"/>
  <c r="CV96" i="19"/>
  <c r="CU96" i="19" s="1"/>
  <c r="DD40" i="19"/>
  <c r="DH40" i="19" s="1"/>
  <c r="DF40" i="19"/>
  <c r="DE40" i="19" s="1"/>
  <c r="CT72" i="19"/>
  <c r="CX72" i="19" s="1"/>
  <c r="CV72" i="19"/>
  <c r="CU72" i="19" s="1"/>
  <c r="CT77" i="19"/>
  <c r="CX77" i="19" s="1"/>
  <c r="CV77" i="19"/>
  <c r="CU77" i="19" s="1"/>
  <c r="CV83" i="19"/>
  <c r="CU83" i="19" s="1"/>
  <c r="CT83" i="19"/>
  <c r="CX83" i="19" s="1"/>
  <c r="CV56" i="19"/>
  <c r="CU56" i="19" s="1"/>
  <c r="CT56" i="19"/>
  <c r="CX56" i="19" s="1"/>
  <c r="DF29" i="19"/>
  <c r="DE29" i="19" s="1"/>
  <c r="CV61" i="19"/>
  <c r="CU61" i="19" s="1"/>
  <c r="CT61" i="19"/>
  <c r="CX61" i="19" s="1"/>
  <c r="CT47" i="19"/>
  <c r="CV47" i="19"/>
  <c r="CU47" i="19" s="1"/>
  <c r="CX47" i="19"/>
  <c r="CV68" i="19"/>
  <c r="CU68" i="19" s="1"/>
  <c r="CT68" i="19"/>
  <c r="CX68" i="19" s="1"/>
  <c r="CV52" i="19"/>
  <c r="CU52" i="19" s="1"/>
  <c r="CT52" i="19"/>
  <c r="CX52" i="19" s="1"/>
  <c r="CV43" i="19"/>
  <c r="CU43" i="19" s="1"/>
  <c r="CT43" i="19"/>
  <c r="CX43" i="19" s="1"/>
  <c r="CV88" i="19"/>
  <c r="CU88" i="19" s="1"/>
  <c r="CT88" i="19"/>
  <c r="CX88" i="19" s="1"/>
  <c r="CV63" i="19"/>
  <c r="CU63" i="19" s="1"/>
  <c r="CT63" i="19"/>
  <c r="CX63" i="19" s="1"/>
  <c r="CT89" i="19"/>
  <c r="CX89" i="19" s="1"/>
  <c r="CV89" i="19"/>
  <c r="CU89" i="19" s="1"/>
  <c r="CV82" i="19"/>
  <c r="CU82" i="19" s="1"/>
  <c r="CT82" i="19"/>
  <c r="CX82" i="19" s="1"/>
  <c r="DH23" i="19"/>
  <c r="DD23" i="19"/>
  <c r="CT34" i="19"/>
  <c r="CX34" i="19" s="1"/>
  <c r="CV34" i="19" s="1"/>
  <c r="CU34" i="19" s="1"/>
  <c r="CT75" i="19"/>
  <c r="CX75" i="19" s="1"/>
  <c r="CV75" i="19"/>
  <c r="CU75" i="19" s="1"/>
  <c r="CV50" i="19"/>
  <c r="CU50" i="19" s="1"/>
  <c r="CT50" i="19"/>
  <c r="CX50" i="19" s="1"/>
  <c r="CX70" i="19"/>
  <c r="CT70" i="19"/>
  <c r="CV70" i="19"/>
  <c r="CU70" i="19" s="1"/>
  <c r="CV87" i="19"/>
  <c r="CU87" i="19" s="1"/>
  <c r="CT87" i="19"/>
  <c r="CX87" i="19"/>
  <c r="CT91" i="19"/>
  <c r="CX91" i="19" s="1"/>
  <c r="CV91" i="19"/>
  <c r="CU91" i="19" s="1"/>
  <c r="CX46" i="19"/>
  <c r="CV46" i="19"/>
  <c r="CU46" i="19" s="1"/>
  <c r="CT46" i="19"/>
  <c r="CV51" i="19"/>
  <c r="CU51" i="19" s="1"/>
  <c r="CT51" i="19"/>
  <c r="CX51" i="19" s="1"/>
  <c r="CV44" i="19"/>
  <c r="CU44" i="19" s="1"/>
  <c r="CT44" i="19"/>
  <c r="CX44" i="19" s="1"/>
  <c r="DD33" i="19"/>
  <c r="DH33" i="19" s="1"/>
  <c r="DF33" i="19"/>
  <c r="DE33" i="19" s="1"/>
  <c r="CV85" i="19"/>
  <c r="CU85" i="19" s="1"/>
  <c r="CT85" i="19"/>
  <c r="CX85" i="19"/>
  <c r="CV84" i="19"/>
  <c r="CU84" i="19" s="1"/>
  <c r="CT84" i="19"/>
  <c r="CX84" i="19"/>
  <c r="CX45" i="19"/>
  <c r="CV45" i="19"/>
  <c r="CU45" i="19" s="1"/>
  <c r="CT45" i="19"/>
  <c r="CV64" i="19"/>
  <c r="CU64" i="19" s="1"/>
  <c r="CX64" i="19"/>
  <c r="CT64" i="19"/>
  <c r="CT53" i="19"/>
  <c r="CX53" i="19" s="1"/>
  <c r="CV53" i="19"/>
  <c r="CU53" i="19" s="1"/>
  <c r="CV92" i="19"/>
  <c r="CU92" i="19" s="1"/>
  <c r="CT92" i="19"/>
  <c r="CX92" i="19" s="1"/>
  <c r="DD27" i="19"/>
  <c r="DH27" i="19" s="1"/>
  <c r="DF27" i="19"/>
  <c r="DE27" i="19" s="1"/>
  <c r="DM20" i="19"/>
  <c r="DI20" i="19"/>
  <c r="CV74" i="19"/>
  <c r="CU74" i="19" s="1"/>
  <c r="CT74" i="19"/>
  <c r="CX74" i="19" s="1"/>
  <c r="DN26" i="19"/>
  <c r="DR26" i="19"/>
  <c r="DP26" i="19"/>
  <c r="DO26" i="19" s="1"/>
  <c r="CV59" i="19"/>
  <c r="CU59" i="19" s="1"/>
  <c r="CT59" i="19"/>
  <c r="CX59" i="19" s="1"/>
  <c r="DD41" i="19"/>
  <c r="DH41" i="19" s="1"/>
  <c r="DF41" i="19" s="1"/>
  <c r="DE41" i="19" s="1"/>
  <c r="DI19" i="19"/>
  <c r="DM19" i="19" s="1"/>
  <c r="DK19" i="19" s="1"/>
  <c r="DJ19" i="19" s="1"/>
  <c r="CT94" i="19"/>
  <c r="CX94" i="19"/>
  <c r="CV94" i="19"/>
  <c r="CU94" i="19" s="1"/>
  <c r="CT66" i="19"/>
  <c r="CX66" i="19" s="1"/>
  <c r="CV66" i="19"/>
  <c r="CU66" i="19" s="1"/>
  <c r="CT78" i="19"/>
  <c r="CX78" i="19" s="1"/>
  <c r="CV78" i="19"/>
  <c r="CU78" i="19" s="1"/>
  <c r="CV54" i="19"/>
  <c r="CU54" i="19" s="1"/>
  <c r="CT54" i="19"/>
  <c r="CX54" i="19" s="1"/>
  <c r="CV60" i="19"/>
  <c r="CU60" i="19" s="1"/>
  <c r="CX60" i="19"/>
  <c r="CT60" i="19"/>
  <c r="DK38" i="19"/>
  <c r="DJ38" i="19" s="1"/>
  <c r="CT71" i="19"/>
  <c r="CX71" i="19"/>
  <c r="CV71" i="19"/>
  <c r="CU71" i="19" s="1"/>
  <c r="DC31" i="19"/>
  <c r="CY31" i="19"/>
  <c r="CV55" i="19"/>
  <c r="CU55" i="19" s="1"/>
  <c r="CT55" i="19"/>
  <c r="CX55" i="19" s="1"/>
  <c r="CX32" i="19"/>
  <c r="CV32" i="19" s="1"/>
  <c r="CT32" i="19"/>
  <c r="CP42" i="19"/>
  <c r="CV81" i="19"/>
  <c r="CU81" i="19" s="1"/>
  <c r="CT81" i="19"/>
  <c r="CX81" i="19" s="1"/>
  <c r="DD24" i="19"/>
  <c r="DH24" i="19" s="1"/>
  <c r="CT69" i="19"/>
  <c r="CX69" i="19" s="1"/>
  <c r="CV69" i="19"/>
  <c r="CU69" i="19" s="1"/>
  <c r="CV57" i="19"/>
  <c r="CU57" i="19" s="1"/>
  <c r="CT57" i="19"/>
  <c r="CX57" i="19" s="1"/>
  <c r="CV65" i="19"/>
  <c r="CU65" i="19" s="1"/>
  <c r="CT65" i="19"/>
  <c r="CX65" i="19" s="1"/>
  <c r="CV49" i="19"/>
  <c r="CU49" i="19" s="1"/>
  <c r="CT49" i="19"/>
  <c r="CX49" i="19" s="1"/>
  <c r="CV31" i="19"/>
  <c r="CU31" i="19" s="1"/>
  <c r="CQ32" i="19"/>
  <c r="CP32" i="19" s="1"/>
  <c r="DI22" i="19"/>
  <c r="DM22" i="19" s="1"/>
  <c r="CT42" i="19"/>
  <c r="CX42" i="19" s="1"/>
  <c r="CV42" i="19" s="1"/>
  <c r="CU42" i="19" s="1"/>
  <c r="CV86" i="19"/>
  <c r="CU86" i="19" s="1"/>
  <c r="CT86" i="19"/>
  <c r="CX86" i="19" s="1"/>
  <c r="CT76" i="19"/>
  <c r="CX76" i="19" s="1"/>
  <c r="CV76" i="19"/>
  <c r="CU76" i="19" s="1"/>
  <c r="DD35" i="19"/>
  <c r="DH35" i="19" s="1"/>
  <c r="P22" i="14"/>
  <c r="P65" i="14" s="1"/>
  <c r="R12" i="7"/>
  <c r="R20" i="14" s="1"/>
  <c r="R18" i="14"/>
  <c r="R87" i="14" s="1"/>
  <c r="R88" i="14" s="1"/>
  <c r="S10" i="7"/>
  <c r="S18" i="14" s="1"/>
  <c r="CE11" i="19"/>
  <c r="CL5" i="19"/>
  <c r="CK11" i="19"/>
  <c r="I89" i="14"/>
  <c r="CO7" i="19"/>
  <c r="CO4" i="19"/>
  <c r="CQ4" i="19"/>
  <c r="CU4" i="19"/>
  <c r="CO2" i="19"/>
  <c r="R41" i="14"/>
  <c r="R51" i="7"/>
  <c r="R16" i="16"/>
  <c r="R38" i="7"/>
  <c r="CJ7" i="19"/>
  <c r="CP7" i="19"/>
  <c r="CL7" i="19"/>
  <c r="V24" i="15"/>
  <c r="G139" i="14"/>
  <c r="M83" i="14"/>
  <c r="H40" i="15"/>
  <c r="T13" i="15"/>
  <c r="CP5" i="19"/>
  <c r="CL2" i="19"/>
  <c r="S128" i="16"/>
  <c r="T8" i="14"/>
  <c r="T77" i="14" s="1"/>
  <c r="T48" i="6"/>
  <c r="T10" i="14" s="1"/>
  <c r="W8" i="4"/>
  <c r="U37" i="6"/>
  <c r="W7" i="4" s="1"/>
  <c r="V38" i="6"/>
  <c r="V24" i="9"/>
  <c r="W25" i="9"/>
  <c r="V43" i="9"/>
  <c r="CP2" i="19"/>
  <c r="S12" i="16"/>
  <c r="S131" i="16" s="1"/>
  <c r="U23" i="4"/>
  <c r="P81" i="14"/>
  <c r="H137" i="14"/>
  <c r="E194" i="14" s="1"/>
  <c r="G90" i="14"/>
  <c r="H90" i="14" s="1"/>
  <c r="E146" i="14"/>
  <c r="W18" i="4"/>
  <c r="X22" i="4"/>
  <c r="V26" i="4" s="1"/>
  <c r="W21" i="4"/>
  <c r="W17" i="4"/>
  <c r="V20" i="4"/>
  <c r="V11" i="4"/>
  <c r="E76" i="7"/>
  <c r="B119" i="3" s="1"/>
  <c r="CJ4" i="19"/>
  <c r="CP4" i="19"/>
  <c r="CL4" i="19"/>
  <c r="Q9" i="15"/>
  <c r="P7" i="17"/>
  <c r="K21" i="15"/>
  <c r="K19" i="15" s="1"/>
  <c r="Y39" i="6"/>
  <c r="Z9" i="4"/>
  <c r="Z13" i="4" s="1"/>
  <c r="CO3" i="19"/>
  <c r="CU3" i="19"/>
  <c r="CQ3" i="19"/>
  <c r="G36" i="15"/>
  <c r="V36" i="15" s="1"/>
  <c r="P9" i="15"/>
  <c r="T9" i="16"/>
  <c r="U25" i="4"/>
  <c r="U27" i="4" s="1"/>
  <c r="O67" i="14"/>
  <c r="CJ6" i="19"/>
  <c r="CP6" i="19"/>
  <c r="CL6" i="19"/>
  <c r="W44" i="9"/>
  <c r="X26" i="9"/>
  <c r="U49" i="6"/>
  <c r="CJ8" i="19"/>
  <c r="CP8" i="19"/>
  <c r="CL8" i="19"/>
  <c r="N82" i="14"/>
  <c r="N83" i="14" s="1"/>
  <c r="CO5" i="19"/>
  <c r="G47" i="15"/>
  <c r="V47" i="15" s="1"/>
  <c r="P20" i="15"/>
  <c r="F142" i="14"/>
  <c r="J86" i="14"/>
  <c r="W33" i="9"/>
  <c r="X34" i="9"/>
  <c r="S63" i="14"/>
  <c r="X5" i="13"/>
  <c r="S31" i="7" s="1"/>
  <c r="X29" i="6"/>
  <c r="W50" i="6"/>
  <c r="W9" i="14" s="1"/>
  <c r="W28" i="6"/>
  <c r="V49" i="6"/>
  <c r="V27" i="6"/>
  <c r="P15" i="16"/>
  <c r="O134" i="16"/>
  <c r="CJ3" i="19"/>
  <c r="CP3" i="19"/>
  <c r="CL3" i="19"/>
  <c r="Q14" i="15"/>
  <c r="P12" i="15"/>
  <c r="Q20" i="15"/>
  <c r="U43" i="4"/>
  <c r="CJ10" i="19"/>
  <c r="CP10" i="19"/>
  <c r="CL10" i="19"/>
  <c r="CG11" i="19"/>
  <c r="F151" i="16"/>
  <c r="E8" i="15"/>
  <c r="E7" i="15" s="1"/>
  <c r="E16" i="15" s="1"/>
  <c r="G6" i="16"/>
  <c r="L17" i="16"/>
  <c r="L68" i="14"/>
  <c r="L55" i="14"/>
  <c r="L57" i="14" s="1"/>
  <c r="P135" i="16"/>
  <c r="H56" i="16"/>
  <c r="E96" i="16" s="1"/>
  <c r="K96" i="16" s="1"/>
  <c r="K85" i="14"/>
  <c r="U11" i="18"/>
  <c r="DE21" i="19" l="1"/>
  <c r="CU32" i="19"/>
  <c r="CY78" i="19"/>
  <c r="DC78" i="19" s="1"/>
  <c r="DA78" i="19"/>
  <c r="CZ78" i="19" s="1"/>
  <c r="DA80" i="19"/>
  <c r="CZ80" i="19" s="1"/>
  <c r="CY80" i="19"/>
  <c r="DC80" i="19" s="1"/>
  <c r="CY76" i="19"/>
  <c r="DC76" i="19" s="1"/>
  <c r="DA76" i="19"/>
  <c r="CZ76" i="19" s="1"/>
  <c r="DA74" i="19"/>
  <c r="CZ74" i="19" s="1"/>
  <c r="CY74" i="19"/>
  <c r="DC74" i="19" s="1"/>
  <c r="CY91" i="19"/>
  <c r="DC91" i="19" s="1"/>
  <c r="DA91" i="19"/>
  <c r="CZ91" i="19" s="1"/>
  <c r="DA54" i="19"/>
  <c r="CZ54" i="19" s="1"/>
  <c r="CY54" i="19"/>
  <c r="DC54" i="19" s="1"/>
  <c r="DF36" i="19"/>
  <c r="DE36" i="19" s="1"/>
  <c r="DI36" i="19"/>
  <c r="DM36" i="19"/>
  <c r="DK36" i="19"/>
  <c r="DJ36" i="19" s="1"/>
  <c r="CY88" i="19"/>
  <c r="DC88" i="19" s="1"/>
  <c r="DA88" i="19"/>
  <c r="CZ88" i="19" s="1"/>
  <c r="DA83" i="19"/>
  <c r="CZ83" i="19" s="1"/>
  <c r="CY83" i="19"/>
  <c r="DC83" i="19" s="1"/>
  <c r="DA48" i="19"/>
  <c r="CZ48" i="19" s="1"/>
  <c r="CY48" i="19"/>
  <c r="DC48" i="19" s="1"/>
  <c r="DF35" i="19"/>
  <c r="DE35" i="19" s="1"/>
  <c r="DI35" i="19"/>
  <c r="DM35" i="19" s="1"/>
  <c r="DA82" i="19"/>
  <c r="CZ82" i="19" s="1"/>
  <c r="CY82" i="19"/>
  <c r="DC82" i="19" s="1"/>
  <c r="CY43" i="19"/>
  <c r="DC43" i="19" s="1"/>
  <c r="DA43" i="19"/>
  <c r="CZ43" i="19" s="1"/>
  <c r="DS37" i="19"/>
  <c r="DW37" i="19" s="1"/>
  <c r="DP37" i="19"/>
  <c r="DO37" i="19" s="1"/>
  <c r="DA51" i="19"/>
  <c r="CZ51" i="19" s="1"/>
  <c r="CY51" i="19"/>
  <c r="DC51" i="19" s="1"/>
  <c r="DK22" i="19"/>
  <c r="DJ22" i="19" s="1"/>
  <c r="DR22" i="19"/>
  <c r="DN22" i="19"/>
  <c r="DI24" i="19"/>
  <c r="DM24" i="19" s="1"/>
  <c r="DK24" i="19" s="1"/>
  <c r="DF24" i="19"/>
  <c r="DE24" i="19" s="1"/>
  <c r="DA77" i="19"/>
  <c r="CZ77" i="19" s="1"/>
  <c r="CY77" i="19"/>
  <c r="DC77" i="19" s="1"/>
  <c r="CY79" i="19"/>
  <c r="DC79" i="19" s="1"/>
  <c r="DA79" i="19"/>
  <c r="CZ79" i="19" s="1"/>
  <c r="DA86" i="19"/>
  <c r="CZ86" i="19" s="1"/>
  <c r="CY86" i="19"/>
  <c r="DC86" i="19" s="1"/>
  <c r="DA65" i="19"/>
  <c r="CZ65" i="19" s="1"/>
  <c r="CY65" i="19"/>
  <c r="DC65" i="19" s="1"/>
  <c r="DA72" i="19"/>
  <c r="CZ72" i="19" s="1"/>
  <c r="CY72" i="19"/>
  <c r="DC72" i="19" s="1"/>
  <c r="DA62" i="19"/>
  <c r="CZ62" i="19" s="1"/>
  <c r="CY62" i="19"/>
  <c r="DC62" i="19" s="1"/>
  <c r="DP38" i="19"/>
  <c r="DO38" i="19" s="1"/>
  <c r="DS38" i="19"/>
  <c r="DW38" i="19" s="1"/>
  <c r="DD30" i="19"/>
  <c r="DH30" i="19" s="1"/>
  <c r="DF30" i="19"/>
  <c r="DA30" i="19"/>
  <c r="CZ30" i="19" s="1"/>
  <c r="DA71" i="19"/>
  <c r="CZ71" i="19" s="1"/>
  <c r="CY71" i="19"/>
  <c r="DC71" i="19" s="1"/>
  <c r="DS26" i="19"/>
  <c r="DW26" i="19" s="1"/>
  <c r="DA75" i="19"/>
  <c r="CZ75" i="19" s="1"/>
  <c r="CY75" i="19"/>
  <c r="DC75" i="19" s="1"/>
  <c r="DI40" i="19"/>
  <c r="DM40" i="19" s="1"/>
  <c r="DA67" i="19"/>
  <c r="CZ67" i="19" s="1"/>
  <c r="CY67" i="19"/>
  <c r="DC67" i="19" s="1"/>
  <c r="DA49" i="19"/>
  <c r="CZ49" i="19" s="1"/>
  <c r="CY49" i="19"/>
  <c r="DC49" i="19" s="1"/>
  <c r="DA69" i="19"/>
  <c r="CZ69" i="19" s="1"/>
  <c r="CY69" i="19"/>
  <c r="DC69" i="19" s="1"/>
  <c r="DI27" i="19"/>
  <c r="DM27" i="19" s="1"/>
  <c r="DK27" i="19" s="1"/>
  <c r="DJ27" i="19" s="1"/>
  <c r="DA89" i="19"/>
  <c r="CZ89" i="19" s="1"/>
  <c r="CY89" i="19"/>
  <c r="DC89" i="19" s="1"/>
  <c r="DA61" i="19"/>
  <c r="CZ61" i="19" s="1"/>
  <c r="CY61" i="19"/>
  <c r="DC61" i="19" s="1"/>
  <c r="S12" i="7"/>
  <c r="S20" i="14" s="1"/>
  <c r="S64" i="14" s="1"/>
  <c r="CY32" i="19"/>
  <c r="DC32" i="19" s="1"/>
  <c r="DA32" i="19" s="1"/>
  <c r="CZ32" i="19" s="1"/>
  <c r="DN19" i="19"/>
  <c r="DR19" i="19" s="1"/>
  <c r="DA92" i="19"/>
  <c r="CZ92" i="19" s="1"/>
  <c r="CY92" i="19"/>
  <c r="DC92" i="19" s="1"/>
  <c r="CY34" i="19"/>
  <c r="DC34" i="19" s="1"/>
  <c r="DA34" i="19"/>
  <c r="CZ34" i="19" s="1"/>
  <c r="DA63" i="19"/>
  <c r="CZ63" i="19" s="1"/>
  <c r="CY63" i="19"/>
  <c r="DC63" i="19" s="1"/>
  <c r="CY52" i="19"/>
  <c r="DC52" i="19" s="1"/>
  <c r="DA52" i="19"/>
  <c r="CZ52" i="19" s="1"/>
  <c r="CY96" i="19"/>
  <c r="DC96" i="19" s="1"/>
  <c r="DA96" i="19"/>
  <c r="CZ96" i="19" s="1"/>
  <c r="DA95" i="19"/>
  <c r="CZ95" i="19" s="1"/>
  <c r="CY95" i="19"/>
  <c r="DC95" i="19" s="1"/>
  <c r="DM21" i="19"/>
  <c r="DK21" i="19" s="1"/>
  <c r="DJ21" i="19" s="1"/>
  <c r="DI21" i="19"/>
  <c r="DN20" i="19"/>
  <c r="DR20" i="19" s="1"/>
  <c r="DA85" i="19"/>
  <c r="CZ85" i="19" s="1"/>
  <c r="CY85" i="19"/>
  <c r="DC85" i="19" s="1"/>
  <c r="DA87" i="19"/>
  <c r="CZ87" i="19" s="1"/>
  <c r="CY87" i="19"/>
  <c r="DC87" i="19" s="1"/>
  <c r="DA90" i="19"/>
  <c r="CZ90" i="19" s="1"/>
  <c r="CY90" i="19"/>
  <c r="DC90" i="19"/>
  <c r="CY55" i="19"/>
  <c r="DC55" i="19" s="1"/>
  <c r="DA55" i="19"/>
  <c r="CZ55" i="19" s="1"/>
  <c r="DC45" i="19"/>
  <c r="CY45" i="19"/>
  <c r="DA45" i="19"/>
  <c r="CZ45" i="19" s="1"/>
  <c r="DI33" i="19"/>
  <c r="DM33" i="19" s="1"/>
  <c r="DK33" i="19" s="1"/>
  <c r="DJ33" i="19" s="1"/>
  <c r="CY46" i="19"/>
  <c r="DC46" i="19" s="1"/>
  <c r="DA46" i="19"/>
  <c r="CZ46" i="19" s="1"/>
  <c r="CY42" i="19"/>
  <c r="DC42" i="19" s="1"/>
  <c r="DA42" i="19"/>
  <c r="CZ42" i="19" s="1"/>
  <c r="DC60" i="19"/>
  <c r="DA60" i="19"/>
  <c r="CZ60" i="19" s="1"/>
  <c r="CY60" i="19"/>
  <c r="DI41" i="19"/>
  <c r="DM41" i="19" s="1"/>
  <c r="DA84" i="19"/>
  <c r="CZ84" i="19" s="1"/>
  <c r="CY84" i="19"/>
  <c r="DC84" i="19" s="1"/>
  <c r="DA44" i="19"/>
  <c r="CZ44" i="19" s="1"/>
  <c r="CY44" i="19"/>
  <c r="DC44" i="19" s="1"/>
  <c r="DC70" i="19"/>
  <c r="CY70" i="19"/>
  <c r="DA70" i="19"/>
  <c r="CZ70" i="19" s="1"/>
  <c r="DF23" i="19"/>
  <c r="DE23" i="19" s="1"/>
  <c r="DI23" i="19"/>
  <c r="DM23" i="19" s="1"/>
  <c r="DA68" i="19"/>
  <c r="CZ68" i="19" s="1"/>
  <c r="CY68" i="19"/>
  <c r="DC68" i="19" s="1"/>
  <c r="DA56" i="19"/>
  <c r="CZ56" i="19" s="1"/>
  <c r="CY56" i="19"/>
  <c r="DC56" i="19" s="1"/>
  <c r="DA73" i="19"/>
  <c r="CZ73" i="19" s="1"/>
  <c r="CY73" i="19"/>
  <c r="DC73" i="19" s="1"/>
  <c r="DN25" i="19"/>
  <c r="DR25" i="19" s="1"/>
  <c r="DP25" i="19" s="1"/>
  <c r="DO25" i="19" s="1"/>
  <c r="DA58" i="19"/>
  <c r="CZ58" i="19" s="1"/>
  <c r="CY58" i="19"/>
  <c r="DC58" i="19" s="1"/>
  <c r="DA94" i="19"/>
  <c r="CZ94" i="19" s="1"/>
  <c r="CY94" i="19"/>
  <c r="DC94" i="19" s="1"/>
  <c r="DA64" i="19"/>
  <c r="CZ64" i="19" s="1"/>
  <c r="CY64" i="19"/>
  <c r="DC64" i="19" s="1"/>
  <c r="CY93" i="19"/>
  <c r="DC93" i="19" s="1"/>
  <c r="DA93" i="19"/>
  <c r="CZ93" i="19" s="1"/>
  <c r="CY81" i="19"/>
  <c r="DC81" i="19"/>
  <c r="DA81" i="19"/>
  <c r="CZ81" i="19" s="1"/>
  <c r="DA66" i="19"/>
  <c r="CZ66" i="19" s="1"/>
  <c r="CY66" i="19"/>
  <c r="DC66" i="19" s="1"/>
  <c r="CY59" i="19"/>
  <c r="DC59" i="19" s="1"/>
  <c r="DA59" i="19"/>
  <c r="CZ59" i="19" s="1"/>
  <c r="DK20" i="19"/>
  <c r="DJ20" i="19" s="1"/>
  <c r="DA53" i="19"/>
  <c r="CZ53" i="19" s="1"/>
  <c r="CY53" i="19"/>
  <c r="DC53" i="19" s="1"/>
  <c r="DA50" i="19"/>
  <c r="CZ50" i="19" s="1"/>
  <c r="CY50" i="19"/>
  <c r="DC50" i="19" s="1"/>
  <c r="DA57" i="19"/>
  <c r="CZ57" i="19" s="1"/>
  <c r="CY57" i="19"/>
  <c r="DC57" i="19" s="1"/>
  <c r="DA31" i="19"/>
  <c r="CZ31" i="19" s="1"/>
  <c r="DD31" i="19"/>
  <c r="DH31" i="19" s="1"/>
  <c r="DA47" i="19"/>
  <c r="CZ47" i="19" s="1"/>
  <c r="CY47" i="19"/>
  <c r="DC47" i="19" s="1"/>
  <c r="DK28" i="19"/>
  <c r="DJ28" i="19" s="1"/>
  <c r="DI28" i="19"/>
  <c r="DM28" i="19"/>
  <c r="DI39" i="19"/>
  <c r="DM39" i="19" s="1"/>
  <c r="DK39" i="19" s="1"/>
  <c r="DJ39" i="19" s="1"/>
  <c r="DN29" i="19"/>
  <c r="DR29" i="19" s="1"/>
  <c r="DP29" i="19" s="1"/>
  <c r="DO29" i="19" s="1"/>
  <c r="P50" i="14"/>
  <c r="P67" i="14" s="1"/>
  <c r="S87" i="14"/>
  <c r="S88" i="14" s="1"/>
  <c r="CJ11" i="19"/>
  <c r="R64" i="14"/>
  <c r="R22" i="14"/>
  <c r="R65" i="14" s="1"/>
  <c r="R89" i="14"/>
  <c r="R90" i="14" s="1"/>
  <c r="T10" i="7"/>
  <c r="T18" i="14" s="1"/>
  <c r="CQ7" i="19"/>
  <c r="CU7" i="19"/>
  <c r="CU5" i="19"/>
  <c r="CU2" i="19"/>
  <c r="CQ5" i="19"/>
  <c r="CT7" i="19"/>
  <c r="R9" i="15"/>
  <c r="J87" i="14"/>
  <c r="F143" i="14"/>
  <c r="U8" i="14"/>
  <c r="U77" i="14" s="1"/>
  <c r="U48" i="6"/>
  <c r="U10" i="14" s="1"/>
  <c r="P9" i="17"/>
  <c r="M53" i="14" s="1"/>
  <c r="P10" i="17"/>
  <c r="M36" i="16" s="1"/>
  <c r="U9" i="16"/>
  <c r="V25" i="4"/>
  <c r="V27" i="4" s="1"/>
  <c r="CT6" i="19"/>
  <c r="L136" i="16"/>
  <c r="CO8" i="19"/>
  <c r="CU8" i="19"/>
  <c r="CQ8" i="19"/>
  <c r="S41" i="14"/>
  <c r="S51" i="7"/>
  <c r="S57" i="7" s="1"/>
  <c r="S38" i="7"/>
  <c r="S48" i="14" s="1"/>
  <c r="S66" i="14" s="1"/>
  <c r="N84" i="14"/>
  <c r="X44" i="9"/>
  <c r="Y26" i="9"/>
  <c r="I49" i="16"/>
  <c r="T128" i="16"/>
  <c r="B120" i="3"/>
  <c r="B121" i="3"/>
  <c r="V37" i="6"/>
  <c r="X7" i="4" s="1"/>
  <c r="W38" i="6"/>
  <c r="X8" i="4"/>
  <c r="G140" i="14"/>
  <c r="M84" i="14"/>
  <c r="CQ2" i="19"/>
  <c r="CO10" i="19"/>
  <c r="CU10" i="19"/>
  <c r="CQ10" i="19"/>
  <c r="T12" i="16"/>
  <c r="V23" i="4"/>
  <c r="S22" i="14"/>
  <c r="G91" i="14"/>
  <c r="E147" i="14"/>
  <c r="X17" i="4"/>
  <c r="Y22" i="4"/>
  <c r="W26" i="4" s="1"/>
  <c r="X21" i="4"/>
  <c r="X18" i="4"/>
  <c r="W20" i="4"/>
  <c r="W11" i="4"/>
  <c r="R14" i="15"/>
  <c r="Q12" i="15"/>
  <c r="Y29" i="6"/>
  <c r="X50" i="6"/>
  <c r="X9" i="14" s="1"/>
  <c r="H55" i="16"/>
  <c r="E95" i="16" s="1"/>
  <c r="K95" i="16" s="1"/>
  <c r="P134" i="16"/>
  <c r="O82" i="14"/>
  <c r="O83" i="14" s="1"/>
  <c r="O84" i="14" s="1"/>
  <c r="I90" i="14"/>
  <c r="R15" i="16"/>
  <c r="R48" i="14"/>
  <c r="L70" i="14"/>
  <c r="K25" i="15"/>
  <c r="X28" i="6"/>
  <c r="W27" i="6"/>
  <c r="AA9" i="4"/>
  <c r="AA13" i="4" s="1"/>
  <c r="Z39" i="6"/>
  <c r="G18" i="16"/>
  <c r="G125" i="16"/>
  <c r="R20" i="15"/>
  <c r="V43" i="4"/>
  <c r="CP11" i="19"/>
  <c r="T63" i="14"/>
  <c r="Y5" i="13"/>
  <c r="T31" i="7" s="1"/>
  <c r="CL11" i="19"/>
  <c r="W24" i="15"/>
  <c r="I51" i="15"/>
  <c r="S16" i="16"/>
  <c r="R135" i="16"/>
  <c r="CO6" i="19"/>
  <c r="CU6" i="19"/>
  <c r="CQ6" i="19"/>
  <c r="X25" i="9"/>
  <c r="W43" i="9"/>
  <c r="W24" i="9"/>
  <c r="U13" i="15"/>
  <c r="X33" i="9"/>
  <c r="Y34" i="9"/>
  <c r="K86" i="14"/>
  <c r="K87" i="14" s="1"/>
  <c r="V8" i="14"/>
  <c r="V77" i="14" s="1"/>
  <c r="V48" i="6"/>
  <c r="V10" i="14" s="1"/>
  <c r="L85" i="14"/>
  <c r="L86" i="14" s="1"/>
  <c r="H138" i="14"/>
  <c r="E195" i="14" s="1"/>
  <c r="V42" i="9"/>
  <c r="I134" i="14"/>
  <c r="T78" i="14"/>
  <c r="R57" i="7"/>
  <c r="V11" i="18"/>
  <c r="DE30" i="19" l="1"/>
  <c r="DJ24" i="19"/>
  <c r="DD48" i="19"/>
  <c r="DH48" i="19" s="1"/>
  <c r="DF48" i="19"/>
  <c r="DE48" i="19" s="1"/>
  <c r="DF93" i="19"/>
  <c r="DE93" i="19" s="1"/>
  <c r="DD93" i="19"/>
  <c r="DH93" i="19" s="1"/>
  <c r="DF87" i="19"/>
  <c r="DE87" i="19" s="1"/>
  <c r="DD87" i="19"/>
  <c r="DH87" i="19" s="1"/>
  <c r="DF89" i="19"/>
  <c r="DE89" i="19" s="1"/>
  <c r="DD89" i="19"/>
  <c r="DH89" i="19" s="1"/>
  <c r="DF65" i="19"/>
  <c r="DE65" i="19" s="1"/>
  <c r="DD65" i="19"/>
  <c r="DH65" i="19" s="1"/>
  <c r="DU37" i="19"/>
  <c r="DT37" i="19" s="1"/>
  <c r="DX37" i="19"/>
  <c r="EB37" i="19" s="1"/>
  <c r="DN35" i="19"/>
  <c r="DR35" i="19" s="1"/>
  <c r="DK35" i="19"/>
  <c r="DJ35" i="19" s="1"/>
  <c r="DK23" i="19"/>
  <c r="DJ23" i="19" s="1"/>
  <c r="DN23" i="19"/>
  <c r="DR23" i="19" s="1"/>
  <c r="DP23" i="19"/>
  <c r="DD77" i="19"/>
  <c r="DH77" i="19" s="1"/>
  <c r="DF77" i="19"/>
  <c r="DE77" i="19" s="1"/>
  <c r="DF31" i="19"/>
  <c r="DE31" i="19" s="1"/>
  <c r="DI31" i="19"/>
  <c r="DM31" i="19" s="1"/>
  <c r="DK31" i="19"/>
  <c r="DJ31" i="19" s="1"/>
  <c r="DN41" i="19"/>
  <c r="DR41" i="19" s="1"/>
  <c r="DK41" i="19"/>
  <c r="DJ41" i="19" s="1"/>
  <c r="DD92" i="19"/>
  <c r="DH92" i="19" s="1"/>
  <c r="DF92" i="19"/>
  <c r="DE92" i="19" s="1"/>
  <c r="DK40" i="19"/>
  <c r="DJ40" i="19" s="1"/>
  <c r="DN40" i="19"/>
  <c r="DR40" i="19" s="1"/>
  <c r="DF49" i="19"/>
  <c r="DE49" i="19" s="1"/>
  <c r="DD49" i="19"/>
  <c r="DH49" i="19" s="1"/>
  <c r="DF72" i="19"/>
  <c r="DE72" i="19" s="1"/>
  <c r="DD72" i="19"/>
  <c r="DH72" i="19" s="1"/>
  <c r="DD75" i="19"/>
  <c r="DH75" i="19"/>
  <c r="DF75" i="19"/>
  <c r="DE75" i="19" s="1"/>
  <c r="DF86" i="19"/>
  <c r="DE86" i="19" s="1"/>
  <c r="DD86" i="19"/>
  <c r="DH86" i="19"/>
  <c r="DF43" i="19"/>
  <c r="DE43" i="19" s="1"/>
  <c r="DD43" i="19"/>
  <c r="DH43" i="19" s="1"/>
  <c r="DD56" i="19"/>
  <c r="DH56" i="19" s="1"/>
  <c r="DF56" i="19"/>
  <c r="DE56" i="19" s="1"/>
  <c r="DD85" i="19"/>
  <c r="DH85" i="19" s="1"/>
  <c r="DF85" i="19"/>
  <c r="DE85" i="19" s="1"/>
  <c r="DD50" i="19"/>
  <c r="DH50" i="19" s="1"/>
  <c r="DF50" i="19"/>
  <c r="DE50" i="19" s="1"/>
  <c r="DD53" i="19"/>
  <c r="DH53" i="19" s="1"/>
  <c r="DF53" i="19"/>
  <c r="DE53" i="19" s="1"/>
  <c r="DF68" i="19"/>
  <c r="DE68" i="19" s="1"/>
  <c r="DD68" i="19"/>
  <c r="DH68" i="19" s="1"/>
  <c r="DW20" i="19"/>
  <c r="DS20" i="19"/>
  <c r="DP20" i="19"/>
  <c r="DO20" i="19" s="1"/>
  <c r="DX26" i="19"/>
  <c r="EB26" i="19" s="1"/>
  <c r="DU26" i="19"/>
  <c r="DT26" i="19" s="1"/>
  <c r="DF62" i="19"/>
  <c r="DE62" i="19" s="1"/>
  <c r="DD62" i="19"/>
  <c r="DH62" i="19" s="1"/>
  <c r="DF88" i="19"/>
  <c r="DE88" i="19" s="1"/>
  <c r="DD88" i="19"/>
  <c r="DH88" i="19" s="1"/>
  <c r="DF67" i="19"/>
  <c r="DE67" i="19" s="1"/>
  <c r="DD67" i="19"/>
  <c r="DH67" i="19" s="1"/>
  <c r="DS22" i="19"/>
  <c r="DW22" i="19" s="1"/>
  <c r="DU22" i="19"/>
  <c r="DF74" i="19"/>
  <c r="DE74" i="19" s="1"/>
  <c r="DD74" i="19"/>
  <c r="DH74" i="19" s="1"/>
  <c r="DD42" i="19"/>
  <c r="DH42" i="19" s="1"/>
  <c r="DN36" i="19"/>
  <c r="DR36" i="19"/>
  <c r="DP36" i="19" s="1"/>
  <c r="DO36" i="19" s="1"/>
  <c r="DD66" i="19"/>
  <c r="DH66" i="19" s="1"/>
  <c r="DF66" i="19"/>
  <c r="DE66" i="19" s="1"/>
  <c r="DF94" i="19"/>
  <c r="DE94" i="19" s="1"/>
  <c r="DD94" i="19"/>
  <c r="DH94" i="19" s="1"/>
  <c r="DF55" i="19"/>
  <c r="DE55" i="19" s="1"/>
  <c r="DD55" i="19"/>
  <c r="DH55" i="19" s="1"/>
  <c r="DF95" i="19"/>
  <c r="DE95" i="19" s="1"/>
  <c r="DD95" i="19"/>
  <c r="DH95" i="19" s="1"/>
  <c r="DD32" i="19"/>
  <c r="DH32" i="19" s="1"/>
  <c r="DF32" i="19"/>
  <c r="DE32" i="19" s="1"/>
  <c r="DN27" i="19"/>
  <c r="DR27" i="19" s="1"/>
  <c r="DD71" i="19"/>
  <c r="DH71" i="19" s="1"/>
  <c r="DF71" i="19"/>
  <c r="DE71" i="19" s="1"/>
  <c r="DF51" i="19"/>
  <c r="DE51" i="19" s="1"/>
  <c r="DD51" i="19"/>
  <c r="DH51" i="19" s="1"/>
  <c r="DF82" i="19"/>
  <c r="DE82" i="19" s="1"/>
  <c r="DD82" i="19"/>
  <c r="DH82" i="19" s="1"/>
  <c r="DD84" i="19"/>
  <c r="DH84" i="19" s="1"/>
  <c r="DF84" i="19"/>
  <c r="DE84" i="19" s="1"/>
  <c r="DN21" i="19"/>
  <c r="DR21" i="19" s="1"/>
  <c r="DP21" i="19"/>
  <c r="DO21" i="19" s="1"/>
  <c r="DF81" i="19"/>
  <c r="DE81" i="19" s="1"/>
  <c r="DD81" i="19"/>
  <c r="DH81" i="19" s="1"/>
  <c r="DF46" i="19"/>
  <c r="DE46" i="19" s="1"/>
  <c r="DD46" i="19"/>
  <c r="DH46" i="19" s="1"/>
  <c r="DD90" i="19"/>
  <c r="DH90" i="19" s="1"/>
  <c r="DF90" i="19"/>
  <c r="DE90" i="19" s="1"/>
  <c r="DD34" i="19"/>
  <c r="DH34" i="19" s="1"/>
  <c r="DF69" i="19"/>
  <c r="DE69" i="19" s="1"/>
  <c r="DD69" i="19"/>
  <c r="DH69" i="19" s="1"/>
  <c r="DH83" i="19"/>
  <c r="DF83" i="19"/>
  <c r="DE83" i="19" s="1"/>
  <c r="DD83" i="19"/>
  <c r="DD76" i="19"/>
  <c r="DF76" i="19"/>
  <c r="DE76" i="19" s="1"/>
  <c r="DH76" i="19"/>
  <c r="DF64" i="19"/>
  <c r="DE64" i="19" s="1"/>
  <c r="DD64" i="19"/>
  <c r="DH64" i="19" s="1"/>
  <c r="DF63" i="19"/>
  <c r="DE63" i="19" s="1"/>
  <c r="DD63" i="19"/>
  <c r="DH63" i="19" s="1"/>
  <c r="DN39" i="19"/>
  <c r="DR39" i="19" s="1"/>
  <c r="DP39" i="19"/>
  <c r="DO39" i="19" s="1"/>
  <c r="DD58" i="19"/>
  <c r="DH58" i="19" s="1"/>
  <c r="DF58" i="19"/>
  <c r="DE58" i="19" s="1"/>
  <c r="DD61" i="19"/>
  <c r="DH61" i="19" s="1"/>
  <c r="DF61" i="19"/>
  <c r="DE61" i="19" s="1"/>
  <c r="DF54" i="19"/>
  <c r="DE54" i="19" s="1"/>
  <c r="DD54" i="19"/>
  <c r="DH54" i="19" s="1"/>
  <c r="DF80" i="19"/>
  <c r="DE80" i="19" s="1"/>
  <c r="DD80" i="19"/>
  <c r="DH80" i="19" s="1"/>
  <c r="DF47" i="19"/>
  <c r="DE47" i="19" s="1"/>
  <c r="DD47" i="19"/>
  <c r="DH47" i="19" s="1"/>
  <c r="DD45" i="19"/>
  <c r="DH45" i="19" s="1"/>
  <c r="DF45" i="19"/>
  <c r="DE45" i="19" s="1"/>
  <c r="DX38" i="19"/>
  <c r="EB38" i="19" s="1"/>
  <c r="DS29" i="19"/>
  <c r="DW29" i="19" s="1"/>
  <c r="DU29" i="19"/>
  <c r="DT29" i="19" s="1"/>
  <c r="DF57" i="19"/>
  <c r="DE57" i="19" s="1"/>
  <c r="DD57" i="19"/>
  <c r="DH57" i="19" s="1"/>
  <c r="DF70" i="19"/>
  <c r="DE70" i="19" s="1"/>
  <c r="DD70" i="19"/>
  <c r="DH70" i="19" s="1"/>
  <c r="DN33" i="19"/>
  <c r="DR33" i="19" s="1"/>
  <c r="DF96" i="19"/>
  <c r="DE96" i="19" s="1"/>
  <c r="DD96" i="19"/>
  <c r="DH96" i="19" s="1"/>
  <c r="DN24" i="19"/>
  <c r="DR24" i="19" s="1"/>
  <c r="DF73" i="19"/>
  <c r="DE73" i="19" s="1"/>
  <c r="DD73" i="19"/>
  <c r="DH73" i="19" s="1"/>
  <c r="DS19" i="19"/>
  <c r="DW19" i="19" s="1"/>
  <c r="DN28" i="19"/>
  <c r="DR28" i="19" s="1"/>
  <c r="DP28" i="19"/>
  <c r="DO28" i="19" s="1"/>
  <c r="DF44" i="19"/>
  <c r="DE44" i="19" s="1"/>
  <c r="DD44" i="19"/>
  <c r="DH44" i="19" s="1"/>
  <c r="DI30" i="19"/>
  <c r="DM30" i="19" s="1"/>
  <c r="DK30" i="19"/>
  <c r="DJ30" i="19" s="1"/>
  <c r="DH59" i="19"/>
  <c r="DF59" i="19"/>
  <c r="DE59" i="19" s="1"/>
  <c r="DD59" i="19"/>
  <c r="DW25" i="19"/>
  <c r="DS25" i="19"/>
  <c r="DF60" i="19"/>
  <c r="DE60" i="19" s="1"/>
  <c r="DD60" i="19"/>
  <c r="DH60" i="19" s="1"/>
  <c r="DF52" i="19"/>
  <c r="DE52" i="19" s="1"/>
  <c r="DD52" i="19"/>
  <c r="DH52" i="19" s="1"/>
  <c r="DP19" i="19"/>
  <c r="DO19" i="19" s="1"/>
  <c r="DU38" i="19"/>
  <c r="DT38" i="19" s="1"/>
  <c r="DF79" i="19"/>
  <c r="DE79" i="19" s="1"/>
  <c r="DD79" i="19"/>
  <c r="DH79" i="19" s="1"/>
  <c r="DP22" i="19"/>
  <c r="DO22" i="19" s="1"/>
  <c r="DF91" i="19"/>
  <c r="DE91" i="19" s="1"/>
  <c r="DD91" i="19"/>
  <c r="DH91" i="19" s="1"/>
  <c r="DD78" i="19"/>
  <c r="DH78" i="19"/>
  <c r="DF78" i="19"/>
  <c r="DE78" i="19" s="1"/>
  <c r="T12" i="7"/>
  <c r="T20" i="14" s="1"/>
  <c r="T64" i="14" s="1"/>
  <c r="CO11" i="19"/>
  <c r="U10" i="7"/>
  <c r="R91" i="14"/>
  <c r="R92" i="14" s="1"/>
  <c r="R93" i="14" s="1"/>
  <c r="R94" i="14" s="1"/>
  <c r="R95" i="14" s="1"/>
  <c r="R96" i="14" s="1"/>
  <c r="R97" i="14" s="1"/>
  <c r="R98" i="14" s="1"/>
  <c r="R99" i="14" s="1"/>
  <c r="R100" i="14" s="1"/>
  <c r="R101" i="14" s="1"/>
  <c r="R102" i="14" s="1"/>
  <c r="R103" i="14" s="1"/>
  <c r="R104" i="14" s="1"/>
  <c r="R105" i="14" s="1"/>
  <c r="R106" i="14" s="1"/>
  <c r="R107" i="14" s="1"/>
  <c r="R108" i="14" s="1"/>
  <c r="R109" i="14" s="1"/>
  <c r="R110" i="14" s="1"/>
  <c r="R111" i="14" s="1"/>
  <c r="R112" i="14" s="1"/>
  <c r="R113" i="14" s="1"/>
  <c r="R114" i="14" s="1"/>
  <c r="R115" i="14" s="1"/>
  <c r="R116" i="14" s="1"/>
  <c r="R117" i="14" s="1"/>
  <c r="R118" i="14" s="1"/>
  <c r="S89" i="14"/>
  <c r="S90" i="14" s="1"/>
  <c r="S91" i="14" s="1"/>
  <c r="S92" i="14" s="1"/>
  <c r="S93" i="14" s="1"/>
  <c r="S94" i="14" s="1"/>
  <c r="S95" i="14" s="1"/>
  <c r="S96" i="14" s="1"/>
  <c r="S97" i="14" s="1"/>
  <c r="S98" i="14" s="1"/>
  <c r="S99" i="14" s="1"/>
  <c r="S100" i="14" s="1"/>
  <c r="S101" i="14" s="1"/>
  <c r="S102" i="14" s="1"/>
  <c r="S103" i="14" s="1"/>
  <c r="S104" i="14" s="1"/>
  <c r="S105" i="14" s="1"/>
  <c r="S106" i="14" s="1"/>
  <c r="S107" i="14" s="1"/>
  <c r="S108" i="14" s="1"/>
  <c r="S109" i="14" s="1"/>
  <c r="S110" i="14" s="1"/>
  <c r="S111" i="14" s="1"/>
  <c r="S112" i="14" s="1"/>
  <c r="S113" i="14" s="1"/>
  <c r="S114" i="14" s="1"/>
  <c r="S115" i="14" s="1"/>
  <c r="S116" i="14" s="1"/>
  <c r="CU11" i="19"/>
  <c r="CV6" i="19"/>
  <c r="L87" i="14"/>
  <c r="CY6" i="19"/>
  <c r="S9" i="15"/>
  <c r="H36" i="15" s="1"/>
  <c r="CY5" i="19"/>
  <c r="CY4" i="19"/>
  <c r="DE4" i="19"/>
  <c r="DA4" i="19"/>
  <c r="CY7" i="19"/>
  <c r="K23" i="15"/>
  <c r="K27" i="15" s="1"/>
  <c r="V9" i="16"/>
  <c r="W25" i="4"/>
  <c r="W27" i="4" s="1"/>
  <c r="CT5" i="19"/>
  <c r="CZ5" i="19"/>
  <c r="CV5" i="19"/>
  <c r="Z22" i="4"/>
  <c r="X26" i="4" s="1"/>
  <c r="Y21" i="4"/>
  <c r="Y17" i="4"/>
  <c r="Y18" i="4"/>
  <c r="X20" i="4"/>
  <c r="X11" i="4"/>
  <c r="U63" i="14"/>
  <c r="Z5" i="13"/>
  <c r="U31" i="7" s="1"/>
  <c r="W37" i="6"/>
  <c r="Y7" i="4" s="1"/>
  <c r="Y8" i="4"/>
  <c r="X38" i="6"/>
  <c r="M17" i="16"/>
  <c r="M68" i="14"/>
  <c r="M55" i="14"/>
  <c r="M57" i="14" s="1"/>
  <c r="M70" i="14" s="1"/>
  <c r="T79" i="14"/>
  <c r="I135" i="14"/>
  <c r="Y33" i="9"/>
  <c r="Z34" i="9"/>
  <c r="V13" i="15"/>
  <c r="S20" i="15"/>
  <c r="W43" i="4"/>
  <c r="U78" i="14"/>
  <c r="CZ7" i="19"/>
  <c r="AA5" i="13"/>
  <c r="V31" i="7" s="1"/>
  <c r="V63" i="14"/>
  <c r="T16" i="16"/>
  <c r="S135" i="16"/>
  <c r="S14" i="15"/>
  <c r="R12" i="15"/>
  <c r="CV7" i="19"/>
  <c r="E58" i="16"/>
  <c r="G137" i="16"/>
  <c r="G19" i="16"/>
  <c r="E148" i="14"/>
  <c r="G92" i="14"/>
  <c r="CT8" i="19"/>
  <c r="CZ8" i="19"/>
  <c r="CV8" i="19"/>
  <c r="P82" i="14"/>
  <c r="R66" i="14"/>
  <c r="R50" i="14"/>
  <c r="S65" i="14"/>
  <c r="S50" i="14"/>
  <c r="M85" i="14"/>
  <c r="G141" i="14"/>
  <c r="U128" i="16"/>
  <c r="F144" i="14"/>
  <c r="J88" i="14"/>
  <c r="K88" i="14" s="1"/>
  <c r="AB9" i="4"/>
  <c r="AB13" i="4" s="1"/>
  <c r="AA39" i="6"/>
  <c r="CT2" i="19"/>
  <c r="CZ2" i="19"/>
  <c r="CV2" i="19"/>
  <c r="V78" i="14"/>
  <c r="CQ11" i="19"/>
  <c r="W42" i="9"/>
  <c r="Y25" i="9"/>
  <c r="X43" i="9"/>
  <c r="X42" i="9" s="1"/>
  <c r="X24" i="9"/>
  <c r="X24" i="15"/>
  <c r="W49" i="6"/>
  <c r="S15" i="16"/>
  <c r="R134" i="16"/>
  <c r="Z29" i="6"/>
  <c r="Y50" i="6"/>
  <c r="Y9" i="14" s="1"/>
  <c r="U12" i="16"/>
  <c r="U131" i="16" s="1"/>
  <c r="W23" i="4"/>
  <c r="P12" i="17"/>
  <c r="H91" i="14"/>
  <c r="CT4" i="19"/>
  <c r="CZ4" i="19"/>
  <c r="CV4" i="19"/>
  <c r="T41" i="14"/>
  <c r="T51" i="7"/>
  <c r="T38" i="7"/>
  <c r="T48" i="14" s="1"/>
  <c r="T66" i="14" s="1"/>
  <c r="T131" i="16"/>
  <c r="I52" i="16"/>
  <c r="X49" i="6"/>
  <c r="X27" i="6"/>
  <c r="Y28" i="6"/>
  <c r="Z26" i="9"/>
  <c r="Y44" i="9"/>
  <c r="CZ6" i="19"/>
  <c r="M148" i="16"/>
  <c r="G76" i="16"/>
  <c r="CT3" i="19"/>
  <c r="CV3" i="19"/>
  <c r="CZ3" i="19"/>
  <c r="CT10" i="19"/>
  <c r="CV10" i="19"/>
  <c r="CZ10" i="19"/>
  <c r="W11" i="18"/>
  <c r="DO23" i="19" l="1"/>
  <c r="DX19" i="19"/>
  <c r="EB19" i="19" s="1"/>
  <c r="DU19" i="19"/>
  <c r="DT19" i="19" s="1"/>
  <c r="DF34" i="19"/>
  <c r="DE34" i="19" s="1"/>
  <c r="DI34" i="19"/>
  <c r="DM34" i="19" s="1"/>
  <c r="DK94" i="19"/>
  <c r="DJ94" i="19" s="1"/>
  <c r="DI94" i="19"/>
  <c r="DM94" i="19" s="1"/>
  <c r="DK72" i="19"/>
  <c r="DJ72" i="19" s="1"/>
  <c r="DI72" i="19"/>
  <c r="DM72" i="19" s="1"/>
  <c r="DI73" i="19"/>
  <c r="DM73" i="19" s="1"/>
  <c r="DK73" i="19"/>
  <c r="DJ73" i="19" s="1"/>
  <c r="DI87" i="19"/>
  <c r="DM87" i="19" s="1"/>
  <c r="DK87" i="19"/>
  <c r="DJ87" i="19" s="1"/>
  <c r="DK60" i="19"/>
  <c r="DJ60" i="19" s="1"/>
  <c r="DI60" i="19"/>
  <c r="DM60" i="19" s="1"/>
  <c r="DP24" i="19"/>
  <c r="DO24" i="19" s="1"/>
  <c r="DS24" i="19"/>
  <c r="DW24" i="19" s="1"/>
  <c r="DX24" i="19" s="1"/>
  <c r="EB24" i="19" s="1"/>
  <c r="DU24" i="19"/>
  <c r="DM82" i="19"/>
  <c r="DK82" i="19"/>
  <c r="DJ82" i="19" s="1"/>
  <c r="DI82" i="19"/>
  <c r="DP35" i="19"/>
  <c r="DO35" i="19" s="1"/>
  <c r="DS35" i="19"/>
  <c r="DW35" i="19" s="1"/>
  <c r="DS41" i="19"/>
  <c r="DW41" i="19" s="1"/>
  <c r="DP41" i="19"/>
  <c r="DO41" i="19" s="1"/>
  <c r="DI44" i="19"/>
  <c r="DM44" i="19" s="1"/>
  <c r="DK44" i="19"/>
  <c r="DJ44" i="19" s="1"/>
  <c r="DK96" i="19"/>
  <c r="DJ96" i="19" s="1"/>
  <c r="DI96" i="19"/>
  <c r="DM96" i="19" s="1"/>
  <c r="DI63" i="19"/>
  <c r="DM63" i="19" s="1"/>
  <c r="DK63" i="19"/>
  <c r="DJ63" i="19" s="1"/>
  <c r="DZ38" i="19"/>
  <c r="DY38" i="19" s="1"/>
  <c r="EC38" i="19"/>
  <c r="EG38" i="19" s="1"/>
  <c r="DI51" i="19"/>
  <c r="DM51" i="19" s="1"/>
  <c r="DK51" i="19"/>
  <c r="DJ51" i="19" s="1"/>
  <c r="DS33" i="19"/>
  <c r="DW33" i="19" s="1"/>
  <c r="DP33" i="19"/>
  <c r="DO33" i="19" s="1"/>
  <c r="DK64" i="19"/>
  <c r="DJ64" i="19" s="1"/>
  <c r="DM64" i="19"/>
  <c r="DI64" i="19"/>
  <c r="DI61" i="19"/>
  <c r="DM61" i="19" s="1"/>
  <c r="DK61" i="19"/>
  <c r="DJ61" i="19" s="1"/>
  <c r="DI91" i="19"/>
  <c r="DM91" i="19"/>
  <c r="DK91" i="19"/>
  <c r="DJ91" i="19" s="1"/>
  <c r="DI83" i="19"/>
  <c r="DM83" i="19" s="1"/>
  <c r="DK83" i="19"/>
  <c r="DJ83" i="19" s="1"/>
  <c r="DN30" i="19"/>
  <c r="DR30" i="19" s="1"/>
  <c r="DP30" i="19"/>
  <c r="DO30" i="19" s="1"/>
  <c r="DK80" i="19"/>
  <c r="DJ80" i="19" s="1"/>
  <c r="DI80" i="19"/>
  <c r="DM80" i="19" s="1"/>
  <c r="DI58" i="19"/>
  <c r="DM58" i="19" s="1"/>
  <c r="DK58" i="19"/>
  <c r="DJ58" i="19" s="1"/>
  <c r="DM32" i="19"/>
  <c r="DK32" i="19" s="1"/>
  <c r="DJ32" i="19" s="1"/>
  <c r="DI32" i="19"/>
  <c r="DI43" i="19"/>
  <c r="DM43" i="19" s="1"/>
  <c r="DK43" i="19"/>
  <c r="DJ43" i="19" s="1"/>
  <c r="DK68" i="19"/>
  <c r="DJ68" i="19" s="1"/>
  <c r="DI68" i="19"/>
  <c r="DM68" i="19" s="1"/>
  <c r="DM74" i="19"/>
  <c r="DK74" i="19"/>
  <c r="DJ74" i="19" s="1"/>
  <c r="DI74" i="19"/>
  <c r="DN31" i="19"/>
  <c r="DR31" i="19"/>
  <c r="DP31" i="19"/>
  <c r="DO31" i="19" s="1"/>
  <c r="DI79" i="19"/>
  <c r="DM79" i="19" s="1"/>
  <c r="DK79" i="19"/>
  <c r="DJ79" i="19" s="1"/>
  <c r="DX29" i="19"/>
  <c r="EB29" i="19" s="1"/>
  <c r="DK76" i="19"/>
  <c r="DJ76" i="19" s="1"/>
  <c r="DI76" i="19"/>
  <c r="DM76" i="19" s="1"/>
  <c r="DI95" i="19"/>
  <c r="DM95" i="19" s="1"/>
  <c r="DK95" i="19"/>
  <c r="DJ95" i="19" s="1"/>
  <c r="DK66" i="19"/>
  <c r="DJ66" i="19" s="1"/>
  <c r="DI66" i="19"/>
  <c r="DM66" i="19" s="1"/>
  <c r="DT22" i="19"/>
  <c r="DI53" i="19"/>
  <c r="DM53" i="19" s="1"/>
  <c r="DK53" i="19"/>
  <c r="DJ53" i="19" s="1"/>
  <c r="DI92" i="19"/>
  <c r="DM92" i="19" s="1"/>
  <c r="DK92" i="19"/>
  <c r="DJ92" i="19" s="1"/>
  <c r="DZ37" i="19"/>
  <c r="DY37" i="19" s="1"/>
  <c r="EC37" i="19"/>
  <c r="EG37" i="19" s="1"/>
  <c r="DI69" i="19"/>
  <c r="DM69" i="19" s="1"/>
  <c r="DK69" i="19"/>
  <c r="DJ69" i="19" s="1"/>
  <c r="DK62" i="19"/>
  <c r="DJ62" i="19" s="1"/>
  <c r="DI62" i="19"/>
  <c r="DM62" i="19" s="1"/>
  <c r="DI54" i="19"/>
  <c r="DM54" i="19" s="1"/>
  <c r="DK54" i="19"/>
  <c r="DJ54" i="19" s="1"/>
  <c r="DS39" i="19"/>
  <c r="DW39" i="19" s="1"/>
  <c r="DX39" i="19" s="1"/>
  <c r="EB39" i="19" s="1"/>
  <c r="DU39" i="19"/>
  <c r="DT39" i="19" s="1"/>
  <c r="DS21" i="19"/>
  <c r="DW21" i="19" s="1"/>
  <c r="DX21" i="19" s="1"/>
  <c r="EB21" i="19" s="1"/>
  <c r="DU21" i="19"/>
  <c r="DT21" i="19" s="1"/>
  <c r="DX22" i="19"/>
  <c r="EB22" i="19"/>
  <c r="DZ26" i="19"/>
  <c r="DY26" i="19" s="1"/>
  <c r="EE26" i="19"/>
  <c r="EC26" i="19"/>
  <c r="EG26" i="19" s="1"/>
  <c r="DK86" i="19"/>
  <c r="DJ86" i="19" s="1"/>
  <c r="DI86" i="19"/>
  <c r="DM86" i="19" s="1"/>
  <c r="DK77" i="19"/>
  <c r="DJ77" i="19" s="1"/>
  <c r="DI77" i="19"/>
  <c r="DM77" i="19" s="1"/>
  <c r="DK93" i="19"/>
  <c r="DJ93" i="19" s="1"/>
  <c r="DI93" i="19"/>
  <c r="DM93" i="19" s="1"/>
  <c r="DI57" i="19"/>
  <c r="DM57" i="19" s="1"/>
  <c r="DK57" i="19"/>
  <c r="DJ57" i="19" s="1"/>
  <c r="DI42" i="19"/>
  <c r="DM42" i="19" s="1"/>
  <c r="DK42" i="19"/>
  <c r="DI75" i="19"/>
  <c r="DM75" i="19" s="1"/>
  <c r="DK75" i="19"/>
  <c r="DJ75" i="19" s="1"/>
  <c r="DK81" i="19"/>
  <c r="DJ81" i="19" s="1"/>
  <c r="DI81" i="19"/>
  <c r="DM81" i="19" s="1"/>
  <c r="DU25" i="19"/>
  <c r="DT25" i="19" s="1"/>
  <c r="DX25" i="19"/>
  <c r="EB25" i="19" s="1"/>
  <c r="DI55" i="19"/>
  <c r="DM55" i="19" s="1"/>
  <c r="DK55" i="19"/>
  <c r="DJ55" i="19" s="1"/>
  <c r="DS36" i="19"/>
  <c r="DW36" i="19" s="1"/>
  <c r="DK67" i="19"/>
  <c r="DJ67" i="19" s="1"/>
  <c r="DI67" i="19"/>
  <c r="DM67" i="19" s="1"/>
  <c r="DI50" i="19"/>
  <c r="DM50" i="19"/>
  <c r="DK50" i="19"/>
  <c r="DJ50" i="19" s="1"/>
  <c r="DK49" i="19"/>
  <c r="DJ49" i="19" s="1"/>
  <c r="DI49" i="19"/>
  <c r="DM49" i="19" s="1"/>
  <c r="DK65" i="19"/>
  <c r="DJ65" i="19" s="1"/>
  <c r="DI65" i="19"/>
  <c r="DM65" i="19"/>
  <c r="DK47" i="19"/>
  <c r="DJ47" i="19" s="1"/>
  <c r="DI47" i="19"/>
  <c r="DM47" i="19" s="1"/>
  <c r="DK56" i="19"/>
  <c r="DJ56" i="19" s="1"/>
  <c r="DI56" i="19"/>
  <c r="DM56" i="19" s="1"/>
  <c r="DI78" i="19"/>
  <c r="DM78" i="19" s="1"/>
  <c r="DK78" i="19"/>
  <c r="DJ78" i="19" s="1"/>
  <c r="DK70" i="19"/>
  <c r="DJ70" i="19" s="1"/>
  <c r="DI70" i="19"/>
  <c r="DM70" i="19" s="1"/>
  <c r="DK90" i="19"/>
  <c r="DJ90" i="19" s="1"/>
  <c r="DI90" i="19"/>
  <c r="DM90" i="19" s="1"/>
  <c r="DK84" i="19"/>
  <c r="DJ84" i="19" s="1"/>
  <c r="DI84" i="19"/>
  <c r="DM84" i="19" s="1"/>
  <c r="DI71" i="19"/>
  <c r="DM71" i="19" s="1"/>
  <c r="DK71" i="19"/>
  <c r="DJ71" i="19" s="1"/>
  <c r="DU23" i="19"/>
  <c r="DT23" i="19" s="1"/>
  <c r="DW23" i="19"/>
  <c r="DS23" i="19"/>
  <c r="DI59" i="19"/>
  <c r="DM59" i="19" s="1"/>
  <c r="DK59" i="19"/>
  <c r="DJ59" i="19" s="1"/>
  <c r="DS27" i="19"/>
  <c r="DW27" i="19" s="1"/>
  <c r="DS40" i="19"/>
  <c r="DW40" i="19" s="1"/>
  <c r="DX40" i="19" s="1"/>
  <c r="EB40" i="19" s="1"/>
  <c r="DU40" i="19"/>
  <c r="DK52" i="19"/>
  <c r="DJ52" i="19" s="1"/>
  <c r="DI52" i="19"/>
  <c r="DM52" i="19" s="1"/>
  <c r="DW28" i="19"/>
  <c r="DS28" i="19"/>
  <c r="DI45" i="19"/>
  <c r="DM45" i="19" s="1"/>
  <c r="DK45" i="19"/>
  <c r="DJ45" i="19" s="1"/>
  <c r="DI46" i="19"/>
  <c r="DM46" i="19" s="1"/>
  <c r="DK46" i="19"/>
  <c r="DJ46" i="19" s="1"/>
  <c r="DP27" i="19"/>
  <c r="DO27" i="19" s="1"/>
  <c r="DF42" i="19"/>
  <c r="DE42" i="19" s="1"/>
  <c r="DI88" i="19"/>
  <c r="DM88" i="19" s="1"/>
  <c r="DK88" i="19"/>
  <c r="DJ88" i="19" s="1"/>
  <c r="DU20" i="19"/>
  <c r="DT20" i="19" s="1"/>
  <c r="EB20" i="19"/>
  <c r="DZ20" i="19"/>
  <c r="DX20" i="19"/>
  <c r="DI85" i="19"/>
  <c r="DM85" i="19" s="1"/>
  <c r="DK85" i="19"/>
  <c r="DJ85" i="19" s="1"/>
  <c r="DP40" i="19"/>
  <c r="DO40" i="19" s="1"/>
  <c r="DK89" i="19"/>
  <c r="DJ89" i="19" s="1"/>
  <c r="DI89" i="19"/>
  <c r="DM89" i="19" s="1"/>
  <c r="DM48" i="19"/>
  <c r="DI48" i="19"/>
  <c r="DK48" i="19"/>
  <c r="DJ48" i="19" s="1"/>
  <c r="T22" i="14"/>
  <c r="T65" i="14" s="1"/>
  <c r="V10" i="7"/>
  <c r="S117" i="14"/>
  <c r="S118" i="14" s="1"/>
  <c r="CT11" i="19"/>
  <c r="U18" i="14"/>
  <c r="U12" i="7"/>
  <c r="U20" i="14" s="1"/>
  <c r="H92" i="14"/>
  <c r="I91" i="14"/>
  <c r="T9" i="15"/>
  <c r="DD7" i="19"/>
  <c r="Y43" i="9"/>
  <c r="Y42" i="9" s="1"/>
  <c r="Y24" i="9"/>
  <c r="Z25" i="9"/>
  <c r="E149" i="14"/>
  <c r="G93" i="14"/>
  <c r="I40" i="15"/>
  <c r="W13" i="15"/>
  <c r="DD6" i="19"/>
  <c r="V12" i="16"/>
  <c r="V131" i="16" s="1"/>
  <c r="X23" i="4"/>
  <c r="DA7" i="19"/>
  <c r="Z28" i="6"/>
  <c r="Y27" i="6"/>
  <c r="F145" i="14"/>
  <c r="J89" i="14"/>
  <c r="X8" i="14"/>
  <c r="Q7" i="17"/>
  <c r="L21" i="15"/>
  <c r="W8" i="14"/>
  <c r="W77" i="14" s="1"/>
  <c r="W48" i="6"/>
  <c r="W10" i="14" s="1"/>
  <c r="H139" i="14"/>
  <c r="E196" i="14" s="1"/>
  <c r="P83" i="14"/>
  <c r="L88" i="14"/>
  <c r="U41" i="14"/>
  <c r="U51" i="7"/>
  <c r="U57" i="7" s="1"/>
  <c r="U38" i="7"/>
  <c r="U48" i="14" s="1"/>
  <c r="U66" i="14" s="1"/>
  <c r="W9" i="16"/>
  <c r="X25" i="4"/>
  <c r="X27" i="4" s="1"/>
  <c r="CY3" i="19"/>
  <c r="DA3" i="19"/>
  <c r="DE3" i="19"/>
  <c r="DE6" i="19"/>
  <c r="R67" i="14"/>
  <c r="S134" i="16"/>
  <c r="T15" i="16"/>
  <c r="Y24" i="15"/>
  <c r="AC9" i="4"/>
  <c r="AC13" i="4" s="1"/>
  <c r="AB39" i="6"/>
  <c r="I56" i="16"/>
  <c r="U16" i="16"/>
  <c r="T135" i="16"/>
  <c r="U79" i="14"/>
  <c r="V79" i="14" s="1"/>
  <c r="T50" i="14"/>
  <c r="G57" i="16"/>
  <c r="M136" i="16"/>
  <c r="L25" i="15"/>
  <c r="DA6" i="19"/>
  <c r="CY10" i="19"/>
  <c r="DA10" i="19"/>
  <c r="DE10" i="19"/>
  <c r="AA34" i="9"/>
  <c r="Z33" i="9"/>
  <c r="DD2" i="19"/>
  <c r="V128" i="16"/>
  <c r="T57" i="7"/>
  <c r="CV11" i="19"/>
  <c r="G33" i="16"/>
  <c r="G138" i="16"/>
  <c r="E59" i="16"/>
  <c r="T20" i="15"/>
  <c r="X43" i="4"/>
  <c r="X37" i="6"/>
  <c r="Z7" i="4" s="1"/>
  <c r="Z8" i="4"/>
  <c r="Y38" i="6"/>
  <c r="Y49" i="6" s="1"/>
  <c r="DE5" i="19"/>
  <c r="CY8" i="19"/>
  <c r="DE8" i="19"/>
  <c r="DA8" i="19"/>
  <c r="CZ11" i="19"/>
  <c r="M86" i="14"/>
  <c r="G142" i="14"/>
  <c r="T14" i="15"/>
  <c r="H41" i="15"/>
  <c r="S12" i="15"/>
  <c r="H39" i="15" s="1"/>
  <c r="V41" i="14"/>
  <c r="V51" i="7"/>
  <c r="V57" i="7" s="1"/>
  <c r="V38" i="7"/>
  <c r="V48" i="14" s="1"/>
  <c r="V66" i="14" s="1"/>
  <c r="H47" i="15"/>
  <c r="N85" i="14"/>
  <c r="DA5" i="19"/>
  <c r="R119" i="14"/>
  <c r="R120" i="14" s="1"/>
  <c r="R121" i="14" s="1"/>
  <c r="AA26" i="9"/>
  <c r="Z44" i="9"/>
  <c r="AA29" i="6"/>
  <c r="Z50" i="6"/>
  <c r="Z9" i="14" s="1"/>
  <c r="S67" i="14"/>
  <c r="T80" i="14"/>
  <c r="I136" i="14"/>
  <c r="AA22" i="4"/>
  <c r="Y26" i="4" s="1"/>
  <c r="Z21" i="4"/>
  <c r="Z17" i="4"/>
  <c r="Z18" i="4"/>
  <c r="Y11" i="4"/>
  <c r="Y20" i="4"/>
  <c r="CY2" i="19"/>
  <c r="DE2" i="19"/>
  <c r="DA2" i="19"/>
  <c r="DE7" i="19"/>
  <c r="X11" i="18"/>
  <c r="DT40" i="19" l="1"/>
  <c r="DY20" i="19"/>
  <c r="DT24" i="19"/>
  <c r="DP72" i="19"/>
  <c r="DO72" i="19" s="1"/>
  <c r="DN72" i="19"/>
  <c r="DR72" i="19" s="1"/>
  <c r="DP57" i="19"/>
  <c r="DO57" i="19" s="1"/>
  <c r="DN57" i="19"/>
  <c r="DR57" i="19" s="1"/>
  <c r="DU35" i="19"/>
  <c r="DT35" i="19" s="1"/>
  <c r="EB35" i="19"/>
  <c r="DX35" i="19"/>
  <c r="DP60" i="19"/>
  <c r="DO60" i="19" s="1"/>
  <c r="DN60" i="19"/>
  <c r="DR60" i="19" s="1"/>
  <c r="DU27" i="19"/>
  <c r="DT27" i="19" s="1"/>
  <c r="DX27" i="19"/>
  <c r="EB27" i="19" s="1"/>
  <c r="DP43" i="19"/>
  <c r="DO43" i="19" s="1"/>
  <c r="DN43" i="19"/>
  <c r="DR43" i="19" s="1"/>
  <c r="DN54" i="19"/>
  <c r="DR54" i="19" s="1"/>
  <c r="DP54" i="19"/>
  <c r="DO54" i="19" s="1"/>
  <c r="DN70" i="19"/>
  <c r="DR70" i="19" s="1"/>
  <c r="DP70" i="19"/>
  <c r="DO70" i="19" s="1"/>
  <c r="DN34" i="19"/>
  <c r="DR34" i="19" s="1"/>
  <c r="DP34" i="19" s="1"/>
  <c r="DO34" i="19" s="1"/>
  <c r="DK34" i="19"/>
  <c r="DJ34" i="19" s="1"/>
  <c r="DN61" i="19"/>
  <c r="DR61" i="19" s="1"/>
  <c r="DP61" i="19"/>
  <c r="DO61" i="19" s="1"/>
  <c r="DU41" i="19"/>
  <c r="DT41" i="19" s="1"/>
  <c r="DX41" i="19"/>
  <c r="EB41" i="19" s="1"/>
  <c r="DP90" i="19"/>
  <c r="DO90" i="19" s="1"/>
  <c r="DN90" i="19"/>
  <c r="DR90" i="19" s="1"/>
  <c r="DR53" i="19"/>
  <c r="DN53" i="19"/>
  <c r="DP53" i="19"/>
  <c r="DO53" i="19" s="1"/>
  <c r="DN56" i="19"/>
  <c r="DR56" i="19" s="1"/>
  <c r="DP56" i="19"/>
  <c r="DO56" i="19" s="1"/>
  <c r="DZ25" i="19"/>
  <c r="DY25" i="19" s="1"/>
  <c r="EC25" i="19"/>
  <c r="EG25" i="19" s="1"/>
  <c r="EE25" i="19" s="1"/>
  <c r="ED25" i="19" s="1"/>
  <c r="DP81" i="19"/>
  <c r="DO81" i="19" s="1"/>
  <c r="DN81" i="19"/>
  <c r="DR81" i="19" s="1"/>
  <c r="DX36" i="19"/>
  <c r="EB36" i="19" s="1"/>
  <c r="DU36" i="19"/>
  <c r="DT36" i="19" s="1"/>
  <c r="DP75" i="19"/>
  <c r="DO75" i="19" s="1"/>
  <c r="DN75" i="19"/>
  <c r="DR75" i="19" s="1"/>
  <c r="DP63" i="19"/>
  <c r="DO63" i="19" s="1"/>
  <c r="DN63" i="19"/>
  <c r="DR63" i="19" s="1"/>
  <c r="DP85" i="19"/>
  <c r="DO85" i="19" s="1"/>
  <c r="DN85" i="19"/>
  <c r="DR85" i="19" s="1"/>
  <c r="DP77" i="19"/>
  <c r="DO77" i="19" s="1"/>
  <c r="DN77" i="19"/>
  <c r="DR77" i="19" s="1"/>
  <c r="DZ29" i="19"/>
  <c r="DY29" i="19" s="1"/>
  <c r="EE29" i="19"/>
  <c r="EC29" i="19"/>
  <c r="EG29" i="19" s="1"/>
  <c r="EB33" i="19"/>
  <c r="DX33" i="19"/>
  <c r="DU33" i="19"/>
  <c r="DT33" i="19" s="1"/>
  <c r="DP46" i="19"/>
  <c r="DO46" i="19" s="1"/>
  <c r="DN46" i="19"/>
  <c r="DR46" i="19" s="1"/>
  <c r="DP69" i="19"/>
  <c r="DO69" i="19" s="1"/>
  <c r="DN69" i="19"/>
  <c r="DR69" i="19" s="1"/>
  <c r="DP51" i="19"/>
  <c r="DO51" i="19" s="1"/>
  <c r="DN51" i="19"/>
  <c r="DR51" i="19" s="1"/>
  <c r="EC19" i="19"/>
  <c r="EG19" i="19" s="1"/>
  <c r="DZ19" i="19"/>
  <c r="DR91" i="19"/>
  <c r="DP91" i="19"/>
  <c r="DO91" i="19" s="1"/>
  <c r="DN91" i="19"/>
  <c r="EC20" i="19"/>
  <c r="EG20" i="19" s="1"/>
  <c r="EE20" i="19" s="1"/>
  <c r="ED20" i="19" s="1"/>
  <c r="DZ22" i="19"/>
  <c r="DY22" i="19" s="1"/>
  <c r="EC22" i="19"/>
  <c r="EG22" i="19" s="1"/>
  <c r="EE22" i="19" s="1"/>
  <c r="ED22" i="19" s="1"/>
  <c r="DP80" i="19"/>
  <c r="DO80" i="19" s="1"/>
  <c r="DN80" i="19"/>
  <c r="DR80" i="19" s="1"/>
  <c r="DZ40" i="19"/>
  <c r="DY40" i="19" s="1"/>
  <c r="EC40" i="19"/>
  <c r="EG40" i="19" s="1"/>
  <c r="EE40" i="19" s="1"/>
  <c r="ED40" i="19" s="1"/>
  <c r="DP71" i="19"/>
  <c r="DO71" i="19" s="1"/>
  <c r="DN71" i="19"/>
  <c r="DR71" i="19" s="1"/>
  <c r="DN65" i="19"/>
  <c r="DR65" i="19" s="1"/>
  <c r="DP65" i="19"/>
  <c r="DO65" i="19" s="1"/>
  <c r="DR67" i="19"/>
  <c r="DP67" i="19"/>
  <c r="DO67" i="19" s="1"/>
  <c r="DN67" i="19"/>
  <c r="DJ42" i="19"/>
  <c r="DP62" i="19"/>
  <c r="DO62" i="19" s="1"/>
  <c r="DN62" i="19"/>
  <c r="DR62" i="19" s="1"/>
  <c r="DP92" i="19"/>
  <c r="DO92" i="19" s="1"/>
  <c r="DN92" i="19"/>
  <c r="DR92" i="19" s="1"/>
  <c r="DN95" i="19"/>
  <c r="DR95" i="19" s="1"/>
  <c r="DP95" i="19"/>
  <c r="DO95" i="19" s="1"/>
  <c r="DW31" i="19"/>
  <c r="DS31" i="19"/>
  <c r="DZ24" i="19"/>
  <c r="DY24" i="19" s="1"/>
  <c r="EC24" i="19"/>
  <c r="EG24" i="19" s="1"/>
  <c r="EE24" i="19"/>
  <c r="DN73" i="19"/>
  <c r="DR73" i="19" s="1"/>
  <c r="DP73" i="19"/>
  <c r="DO73" i="19" s="1"/>
  <c r="DP45" i="19"/>
  <c r="DO45" i="19" s="1"/>
  <c r="DN45" i="19"/>
  <c r="DR45" i="19" s="1"/>
  <c r="DP84" i="19"/>
  <c r="DO84" i="19" s="1"/>
  <c r="DN84" i="19"/>
  <c r="DR84" i="19" s="1"/>
  <c r="DN42" i="19"/>
  <c r="DR42" i="19" s="1"/>
  <c r="DP76" i="19"/>
  <c r="DO76" i="19" s="1"/>
  <c r="DN76" i="19"/>
  <c r="DR76" i="19" s="1"/>
  <c r="DP48" i="19"/>
  <c r="DO48" i="19" s="1"/>
  <c r="DN48" i="19"/>
  <c r="DR48" i="19" s="1"/>
  <c r="DP55" i="19"/>
  <c r="DO55" i="19" s="1"/>
  <c r="DN55" i="19"/>
  <c r="DR55" i="19" s="1"/>
  <c r="DP58" i="19"/>
  <c r="DO58" i="19" s="1"/>
  <c r="DN58" i="19"/>
  <c r="DR58" i="19" s="1"/>
  <c r="DN87" i="19"/>
  <c r="DR87" i="19" s="1"/>
  <c r="DP87" i="19"/>
  <c r="DO87" i="19" s="1"/>
  <c r="DN88" i="19"/>
  <c r="DR88" i="19" s="1"/>
  <c r="DP88" i="19"/>
  <c r="DO88" i="19" s="1"/>
  <c r="DR78" i="19"/>
  <c r="DP78" i="19"/>
  <c r="DO78" i="19" s="1"/>
  <c r="DN78" i="19"/>
  <c r="DN86" i="19"/>
  <c r="DR86" i="19" s="1"/>
  <c r="DP86" i="19"/>
  <c r="DO86" i="19" s="1"/>
  <c r="DZ21" i="19"/>
  <c r="DY21" i="19" s="1"/>
  <c r="EC21" i="19"/>
  <c r="EG21" i="19" s="1"/>
  <c r="EE21" i="19" s="1"/>
  <c r="DS30" i="19"/>
  <c r="DW30" i="19" s="1"/>
  <c r="DX30" i="19" s="1"/>
  <c r="EB30" i="19" s="1"/>
  <c r="DU30" i="19"/>
  <c r="DT30" i="19" s="1"/>
  <c r="DP96" i="19"/>
  <c r="DO96" i="19" s="1"/>
  <c r="DN96" i="19"/>
  <c r="DR96" i="19" s="1"/>
  <c r="DR47" i="19"/>
  <c r="DP47" i="19"/>
  <c r="DO47" i="19" s="1"/>
  <c r="DN47" i="19"/>
  <c r="DP79" i="19"/>
  <c r="DO79" i="19" s="1"/>
  <c r="DN79" i="19"/>
  <c r="DR79" i="19" s="1"/>
  <c r="DN82" i="19"/>
  <c r="DR82" i="19" s="1"/>
  <c r="DP82" i="19"/>
  <c r="DO82" i="19" s="1"/>
  <c r="DR59" i="19"/>
  <c r="DP59" i="19"/>
  <c r="DO59" i="19" s="1"/>
  <c r="DN59" i="19"/>
  <c r="DP49" i="19"/>
  <c r="DO49" i="19" s="1"/>
  <c r="DN49" i="19"/>
  <c r="DR49" i="19" s="1"/>
  <c r="DN52" i="19"/>
  <c r="DR52" i="19" s="1"/>
  <c r="DP52" i="19"/>
  <c r="DO52" i="19" s="1"/>
  <c r="EH26" i="19"/>
  <c r="EL26" i="19" s="1"/>
  <c r="DZ39" i="19"/>
  <c r="DY39" i="19" s="1"/>
  <c r="EC39" i="19"/>
  <c r="EG39" i="19" s="1"/>
  <c r="DN74" i="19"/>
  <c r="DR74" i="19" s="1"/>
  <c r="DP74" i="19"/>
  <c r="DO74" i="19" s="1"/>
  <c r="DN32" i="19"/>
  <c r="DR32" i="19" s="1"/>
  <c r="DN83" i="19"/>
  <c r="DR83" i="19" s="1"/>
  <c r="DP83" i="19"/>
  <c r="DO83" i="19" s="1"/>
  <c r="DN64" i="19"/>
  <c r="DR64" i="19" s="1"/>
  <c r="DP64" i="19"/>
  <c r="DO64" i="19" s="1"/>
  <c r="DP94" i="19"/>
  <c r="DO94" i="19" s="1"/>
  <c r="DN94" i="19"/>
  <c r="DR94" i="19" s="1"/>
  <c r="DR50" i="19"/>
  <c r="DP50" i="19"/>
  <c r="DO50" i="19" s="1"/>
  <c r="DN50" i="19"/>
  <c r="DP89" i="19"/>
  <c r="DO89" i="19" s="1"/>
  <c r="DN89" i="19"/>
  <c r="DR89" i="19" s="1"/>
  <c r="DU28" i="19"/>
  <c r="DT28" i="19" s="1"/>
  <c r="DX28" i="19"/>
  <c r="EB28" i="19" s="1"/>
  <c r="DX23" i="19"/>
  <c r="EB23" i="19"/>
  <c r="DP93" i="19"/>
  <c r="DO93" i="19" s="1"/>
  <c r="DN93" i="19"/>
  <c r="DR93" i="19" s="1"/>
  <c r="ED26" i="19"/>
  <c r="EE37" i="19"/>
  <c r="ED37" i="19" s="1"/>
  <c r="EL37" i="19"/>
  <c r="EJ37" i="19" s="1"/>
  <c r="EI37" i="19" s="1"/>
  <c r="EH37" i="19"/>
  <c r="DP66" i="19"/>
  <c r="DO66" i="19" s="1"/>
  <c r="DN66" i="19"/>
  <c r="DR66" i="19" s="1"/>
  <c r="DP68" i="19"/>
  <c r="DO68" i="19" s="1"/>
  <c r="DN68" i="19"/>
  <c r="DR68" i="19" s="1"/>
  <c r="EE38" i="19"/>
  <c r="ED38" i="19" s="1"/>
  <c r="EH38" i="19"/>
  <c r="EL38" i="19" s="1"/>
  <c r="DP44" i="19"/>
  <c r="DO44" i="19" s="1"/>
  <c r="DN44" i="19"/>
  <c r="DR44" i="19" s="1"/>
  <c r="CY11" i="19"/>
  <c r="V18" i="14"/>
  <c r="V12" i="7"/>
  <c r="V20" i="14" s="1"/>
  <c r="W10" i="7"/>
  <c r="W18" i="14" s="1"/>
  <c r="H93" i="14"/>
  <c r="U64" i="14"/>
  <c r="U22" i="14"/>
  <c r="U65" i="14" s="1"/>
  <c r="I92" i="14"/>
  <c r="S119" i="14"/>
  <c r="S120" i="14" s="1"/>
  <c r="S121" i="14" s="1"/>
  <c r="DF2" i="19"/>
  <c r="Y8" i="14"/>
  <c r="U9" i="15"/>
  <c r="DA11" i="19"/>
  <c r="Z27" i="6"/>
  <c r="AA28" i="6"/>
  <c r="DE11" i="19"/>
  <c r="Q10" i="17"/>
  <c r="N36" i="16" s="1"/>
  <c r="N148" i="16" s="1"/>
  <c r="Q9" i="17"/>
  <c r="N53" i="14" s="1"/>
  <c r="Q12" i="17"/>
  <c r="DF6" i="19"/>
  <c r="DD10" i="19"/>
  <c r="DJ10" i="19"/>
  <c r="DF10" i="19"/>
  <c r="W12" i="16"/>
  <c r="Y23" i="4"/>
  <c r="I55" i="16"/>
  <c r="T134" i="16"/>
  <c r="U15" i="16"/>
  <c r="J134" i="14"/>
  <c r="W78" i="14"/>
  <c r="T67" i="14"/>
  <c r="X48" i="6"/>
  <c r="X10" i="14" s="1"/>
  <c r="DJ6" i="19"/>
  <c r="X13" i="15"/>
  <c r="AA17" i="4"/>
  <c r="AA18" i="4"/>
  <c r="AB22" i="4"/>
  <c r="Z26" i="4" s="1"/>
  <c r="AA21" i="4"/>
  <c r="Z11" i="4"/>
  <c r="Z20" i="4"/>
  <c r="AC39" i="6"/>
  <c r="AD9" i="4"/>
  <c r="AD13" i="4" s="1"/>
  <c r="DD8" i="19"/>
  <c r="DJ8" i="19"/>
  <c r="DF8" i="19"/>
  <c r="X9" i="16"/>
  <c r="Y25" i="4"/>
  <c r="Y27" i="4" s="1"/>
  <c r="DD5" i="19"/>
  <c r="DJ5" i="19"/>
  <c r="DF5" i="19"/>
  <c r="AA50" i="6"/>
  <c r="AA9" i="14" s="1"/>
  <c r="AB29" i="6"/>
  <c r="DD3" i="19"/>
  <c r="DJ3" i="19"/>
  <c r="DF3" i="19"/>
  <c r="E73" i="16"/>
  <c r="G146" i="16"/>
  <c r="G38" i="16"/>
  <c r="AB34" i="9"/>
  <c r="AA33" i="9"/>
  <c r="U80" i="14"/>
  <c r="V80" i="14" s="1"/>
  <c r="X77" i="14"/>
  <c r="X78" i="14" s="1"/>
  <c r="N86" i="14"/>
  <c r="O85" i="14"/>
  <c r="O86" i="14" s="1"/>
  <c r="U14" i="15"/>
  <c r="T12" i="15"/>
  <c r="F52" i="15"/>
  <c r="L23" i="15"/>
  <c r="F50" i="15" s="1"/>
  <c r="Z24" i="15"/>
  <c r="J51" i="15"/>
  <c r="P84" i="14"/>
  <c r="H140" i="14"/>
  <c r="E197" i="14" s="1"/>
  <c r="F146" i="14"/>
  <c r="J90" i="14"/>
  <c r="DF7" i="19"/>
  <c r="W128" i="16"/>
  <c r="J49" i="16"/>
  <c r="F48" i="15"/>
  <c r="L19" i="15"/>
  <c r="AB26" i="9"/>
  <c r="AA44" i="9"/>
  <c r="Y37" i="6"/>
  <c r="AA7" i="4" s="1"/>
  <c r="AA8" i="4"/>
  <c r="Z38" i="6"/>
  <c r="E150" i="14"/>
  <c r="G94" i="14"/>
  <c r="Z24" i="9"/>
  <c r="AA25" i="9"/>
  <c r="Z43" i="9"/>
  <c r="Z42" i="9" s="1"/>
  <c r="DJ7" i="19"/>
  <c r="DI3" i="19"/>
  <c r="DK3" i="19"/>
  <c r="DO3" i="19"/>
  <c r="DD4" i="19"/>
  <c r="DJ4" i="19"/>
  <c r="DF4" i="19"/>
  <c r="U135" i="16"/>
  <c r="V16" i="16"/>
  <c r="I137" i="14"/>
  <c r="T81" i="14"/>
  <c r="G143" i="14"/>
  <c r="M87" i="14"/>
  <c r="U20" i="15"/>
  <c r="Y43" i="4"/>
  <c r="DJ2" i="19"/>
  <c r="AB5" i="13"/>
  <c r="W31" i="7" s="1"/>
  <c r="W63" i="14"/>
  <c r="K89" i="14"/>
  <c r="Y11" i="18"/>
  <c r="ED21" i="19" l="1"/>
  <c r="ED29" i="19"/>
  <c r="DU73" i="19"/>
  <c r="DT73" i="19" s="1"/>
  <c r="DS73" i="19"/>
  <c r="DW73" i="19" s="1"/>
  <c r="DU65" i="19"/>
  <c r="DT65" i="19" s="1"/>
  <c r="DS65" i="19"/>
  <c r="DW65" i="19" s="1"/>
  <c r="DZ28" i="19"/>
  <c r="DY28" i="19" s="1"/>
  <c r="EE28" i="19"/>
  <c r="ED28" i="19" s="1"/>
  <c r="EC28" i="19"/>
  <c r="EG28" i="19" s="1"/>
  <c r="DS86" i="19"/>
  <c r="DW86" i="19" s="1"/>
  <c r="DU86" i="19"/>
  <c r="DT86" i="19" s="1"/>
  <c r="DP42" i="19"/>
  <c r="DO42" i="19" s="1"/>
  <c r="DS42" i="19"/>
  <c r="DW42" i="19" s="1"/>
  <c r="DX42" i="19" s="1"/>
  <c r="EB42" i="19" s="1"/>
  <c r="DU69" i="19"/>
  <c r="DT69" i="19" s="1"/>
  <c r="DS69" i="19"/>
  <c r="DW69" i="19" s="1"/>
  <c r="DW75" i="19"/>
  <c r="DU75" i="19"/>
  <c r="DT75" i="19" s="1"/>
  <c r="DS75" i="19"/>
  <c r="EM38" i="19"/>
  <c r="EQ38" i="19" s="1"/>
  <c r="EO38" i="19"/>
  <c r="EN38" i="19" s="1"/>
  <c r="EJ38" i="19"/>
  <c r="EI38" i="19" s="1"/>
  <c r="DU89" i="19"/>
  <c r="DT89" i="19" s="1"/>
  <c r="DS89" i="19"/>
  <c r="DW89" i="19" s="1"/>
  <c r="DS64" i="19"/>
  <c r="DW64" i="19" s="1"/>
  <c r="DU64" i="19"/>
  <c r="DT64" i="19" s="1"/>
  <c r="EM26" i="19"/>
  <c r="EQ26" i="19" s="1"/>
  <c r="EO26" i="19"/>
  <c r="EJ26" i="19"/>
  <c r="EI26" i="19" s="1"/>
  <c r="DU57" i="19"/>
  <c r="DT57" i="19" s="1"/>
  <c r="DS57" i="19"/>
  <c r="DW57" i="19" s="1"/>
  <c r="DS76" i="19"/>
  <c r="DW76" i="19" s="1"/>
  <c r="DU76" i="19"/>
  <c r="DT76" i="19" s="1"/>
  <c r="DS70" i="19"/>
  <c r="DW70" i="19" s="1"/>
  <c r="DU70" i="19"/>
  <c r="DT70" i="19" s="1"/>
  <c r="DU94" i="19"/>
  <c r="DT94" i="19" s="1"/>
  <c r="DS94" i="19"/>
  <c r="DW94" i="19" s="1"/>
  <c r="DZ41" i="19"/>
  <c r="DY41" i="19" s="1"/>
  <c r="EC41" i="19"/>
  <c r="EG41" i="19" s="1"/>
  <c r="DU45" i="19"/>
  <c r="DT45" i="19" s="1"/>
  <c r="DS45" i="19"/>
  <c r="DW45" i="19" s="1"/>
  <c r="DZ27" i="19"/>
  <c r="DY27" i="19" s="1"/>
  <c r="EC27" i="19"/>
  <c r="EG27" i="19" s="1"/>
  <c r="DW68" i="19"/>
  <c r="DS68" i="19"/>
  <c r="DU68" i="19"/>
  <c r="DT68" i="19" s="1"/>
  <c r="DU93" i="19"/>
  <c r="DT93" i="19" s="1"/>
  <c r="DS93" i="19"/>
  <c r="DW93" i="19" s="1"/>
  <c r="DS79" i="19"/>
  <c r="DW79" i="19" s="1"/>
  <c r="DU79" i="19"/>
  <c r="DT79" i="19" s="1"/>
  <c r="DW80" i="19"/>
  <c r="DS80" i="19"/>
  <c r="DU80" i="19"/>
  <c r="DT80" i="19" s="1"/>
  <c r="DW72" i="19"/>
  <c r="DU72" i="19"/>
  <c r="DT72" i="19" s="1"/>
  <c r="DS72" i="19"/>
  <c r="DS51" i="19"/>
  <c r="DW51" i="19" s="1"/>
  <c r="DU51" i="19"/>
  <c r="DT51" i="19" s="1"/>
  <c r="DS32" i="19"/>
  <c r="DW32" i="19" s="1"/>
  <c r="DX32" i="19" s="1"/>
  <c r="EB32" i="19" s="1"/>
  <c r="DP32" i="19"/>
  <c r="DO32" i="19" s="1"/>
  <c r="DU88" i="19"/>
  <c r="DT88" i="19" s="1"/>
  <c r="DS88" i="19"/>
  <c r="DW88" i="19" s="1"/>
  <c r="DS95" i="19"/>
  <c r="DW95" i="19" s="1"/>
  <c r="DU95" i="19"/>
  <c r="DT95" i="19" s="1"/>
  <c r="EJ19" i="19"/>
  <c r="EI19" i="19" s="1"/>
  <c r="EH19" i="19"/>
  <c r="EL19" i="19" s="1"/>
  <c r="EE19" i="19"/>
  <c r="DU62" i="19"/>
  <c r="DT62" i="19" s="1"/>
  <c r="DS62" i="19"/>
  <c r="DW62" i="19" s="1"/>
  <c r="DS63" i="19"/>
  <c r="DW63" i="19" s="1"/>
  <c r="DU63" i="19"/>
  <c r="DT63" i="19" s="1"/>
  <c r="DU43" i="19"/>
  <c r="DT43" i="19" s="1"/>
  <c r="DS43" i="19"/>
  <c r="DW43" i="19" s="1"/>
  <c r="DZ35" i="19"/>
  <c r="DY35" i="19" s="1"/>
  <c r="EC35" i="19"/>
  <c r="EG35" i="19" s="1"/>
  <c r="DU44" i="19"/>
  <c r="DT44" i="19" s="1"/>
  <c r="DS44" i="19"/>
  <c r="DW44" i="19" s="1"/>
  <c r="DU96" i="19"/>
  <c r="DT96" i="19" s="1"/>
  <c r="DS96" i="19"/>
  <c r="DW96" i="19" s="1"/>
  <c r="DU71" i="19"/>
  <c r="DT71" i="19" s="1"/>
  <c r="DS71" i="19"/>
  <c r="DW71" i="19" s="1"/>
  <c r="ED19" i="19"/>
  <c r="DY19" i="19"/>
  <c r="EH29" i="19"/>
  <c r="EL29" i="19" s="1"/>
  <c r="DU90" i="19"/>
  <c r="DT90" i="19" s="1"/>
  <c r="DS90" i="19"/>
  <c r="DW90" i="19" s="1"/>
  <c r="DU91" i="19"/>
  <c r="DT91" i="19" s="1"/>
  <c r="DS91" i="19"/>
  <c r="DW91" i="19" s="1"/>
  <c r="DS66" i="19"/>
  <c r="DW66" i="19" s="1"/>
  <c r="DU66" i="19"/>
  <c r="DT66" i="19" s="1"/>
  <c r="DS82" i="19"/>
  <c r="DW82" i="19" s="1"/>
  <c r="DU82" i="19"/>
  <c r="DT82" i="19" s="1"/>
  <c r="DS87" i="19"/>
  <c r="DW87" i="19" s="1"/>
  <c r="DU87" i="19"/>
  <c r="DT87" i="19" s="1"/>
  <c r="DU31" i="19"/>
  <c r="DT31" i="19" s="1"/>
  <c r="EB31" i="19"/>
  <c r="DX31" i="19"/>
  <c r="EH22" i="19"/>
  <c r="EL22" i="19" s="1"/>
  <c r="EJ22" i="19"/>
  <c r="EI22" i="19" s="1"/>
  <c r="EH25" i="19"/>
  <c r="EL25" i="19" s="1"/>
  <c r="EJ25" i="19" s="1"/>
  <c r="EI25" i="19" s="1"/>
  <c r="DS34" i="19"/>
  <c r="DW34" i="19"/>
  <c r="DU47" i="19"/>
  <c r="DT47" i="19" s="1"/>
  <c r="DS47" i="19"/>
  <c r="DW47" i="19" s="1"/>
  <c r="EC33" i="19"/>
  <c r="EG33" i="19" s="1"/>
  <c r="EE33" i="19" s="1"/>
  <c r="DW53" i="19"/>
  <c r="DS53" i="19"/>
  <c r="DU53" i="19"/>
  <c r="DT53" i="19" s="1"/>
  <c r="W12" i="7"/>
  <c r="W20" i="14" s="1"/>
  <c r="W64" i="14" s="1"/>
  <c r="DU74" i="19"/>
  <c r="DT74" i="19" s="1"/>
  <c r="DS74" i="19"/>
  <c r="DW74" i="19" s="1"/>
  <c r="DS52" i="19"/>
  <c r="DU52" i="19"/>
  <c r="DT52" i="19" s="1"/>
  <c r="DW52" i="19"/>
  <c r="DU58" i="19"/>
  <c r="DT58" i="19" s="1"/>
  <c r="DS58" i="19"/>
  <c r="DW58" i="19" s="1"/>
  <c r="DU46" i="19"/>
  <c r="DT46" i="19" s="1"/>
  <c r="DS46" i="19"/>
  <c r="DW46" i="19" s="1"/>
  <c r="DU59" i="19"/>
  <c r="DT59" i="19" s="1"/>
  <c r="DS59" i="19"/>
  <c r="DW59" i="19" s="1"/>
  <c r="DZ23" i="19"/>
  <c r="DY23" i="19" s="1"/>
  <c r="EC23" i="19"/>
  <c r="EG23" i="19" s="1"/>
  <c r="EH39" i="19"/>
  <c r="EL39" i="19" s="1"/>
  <c r="EJ39" i="19"/>
  <c r="DS49" i="19"/>
  <c r="DW49" i="19" s="1"/>
  <c r="DU49" i="19"/>
  <c r="DT49" i="19" s="1"/>
  <c r="DZ30" i="19"/>
  <c r="DY30" i="19" s="1"/>
  <c r="EC30" i="19"/>
  <c r="EG30" i="19" s="1"/>
  <c r="EH40" i="19"/>
  <c r="EL40" i="19" s="1"/>
  <c r="EJ40" i="19"/>
  <c r="EI40" i="19" s="1"/>
  <c r="DS77" i="19"/>
  <c r="DW77" i="19" s="1"/>
  <c r="DU77" i="19"/>
  <c r="DT77" i="19" s="1"/>
  <c r="EE39" i="19"/>
  <c r="ED39" i="19" s="1"/>
  <c r="DS78" i="19"/>
  <c r="DW78" i="19" s="1"/>
  <c r="DU78" i="19"/>
  <c r="DT78" i="19" s="1"/>
  <c r="DS55" i="19"/>
  <c r="DW55" i="19" s="1"/>
  <c r="DU55" i="19"/>
  <c r="DT55" i="19" s="1"/>
  <c r="DU67" i="19"/>
  <c r="DT67" i="19" s="1"/>
  <c r="DS67" i="19"/>
  <c r="DW67" i="19" s="1"/>
  <c r="EH20" i="19"/>
  <c r="EL20" i="19" s="1"/>
  <c r="EJ20" i="19" s="1"/>
  <c r="EI20" i="19" s="1"/>
  <c r="DU56" i="19"/>
  <c r="DT56" i="19" s="1"/>
  <c r="DS56" i="19"/>
  <c r="DW56" i="19" s="1"/>
  <c r="DS60" i="19"/>
  <c r="DW60" i="19" s="1"/>
  <c r="DU60" i="19"/>
  <c r="DT60" i="19" s="1"/>
  <c r="EM37" i="19"/>
  <c r="EQ37" i="19" s="1"/>
  <c r="DU50" i="19"/>
  <c r="DT50" i="19" s="1"/>
  <c r="DS50" i="19"/>
  <c r="DW50" i="19" s="1"/>
  <c r="DS83" i="19"/>
  <c r="DW83" i="19" s="1"/>
  <c r="DU83" i="19"/>
  <c r="DT83" i="19" s="1"/>
  <c r="EH21" i="19"/>
  <c r="EL21" i="19" s="1"/>
  <c r="EJ21" i="19"/>
  <c r="EI21" i="19" s="1"/>
  <c r="DW84" i="19"/>
  <c r="DS84" i="19"/>
  <c r="DU84" i="19"/>
  <c r="DT84" i="19" s="1"/>
  <c r="ED24" i="19"/>
  <c r="DS92" i="19"/>
  <c r="DW92" i="19" s="1"/>
  <c r="DU92" i="19"/>
  <c r="DT92" i="19" s="1"/>
  <c r="DU85" i="19"/>
  <c r="DT85" i="19" s="1"/>
  <c r="DS85" i="19"/>
  <c r="DW85" i="19" s="1"/>
  <c r="DZ36" i="19"/>
  <c r="DY36" i="19" s="1"/>
  <c r="EC36" i="19"/>
  <c r="EG36" i="19" s="1"/>
  <c r="DS48" i="19"/>
  <c r="DW48" i="19" s="1"/>
  <c r="DU48" i="19"/>
  <c r="DT48" i="19" s="1"/>
  <c r="EH24" i="19"/>
  <c r="EL24" i="19" s="1"/>
  <c r="EJ24" i="19" s="1"/>
  <c r="EI24" i="19" s="1"/>
  <c r="DZ33" i="19"/>
  <c r="DU81" i="19"/>
  <c r="DT81" i="19" s="1"/>
  <c r="DS81" i="19"/>
  <c r="DW81" i="19"/>
  <c r="DU61" i="19"/>
  <c r="DT61" i="19" s="1"/>
  <c r="DS61" i="19"/>
  <c r="DW61" i="19" s="1"/>
  <c r="DU54" i="19"/>
  <c r="DT54" i="19" s="1"/>
  <c r="DS54" i="19"/>
  <c r="DW54" i="19" s="1"/>
  <c r="K90" i="14"/>
  <c r="U50" i="14"/>
  <c r="X10" i="7"/>
  <c r="H94" i="14"/>
  <c r="V64" i="14"/>
  <c r="V22" i="14"/>
  <c r="DD11" i="19"/>
  <c r="I93" i="14"/>
  <c r="DJ11" i="19"/>
  <c r="DF11" i="19"/>
  <c r="W22" i="14"/>
  <c r="W65" i="14" s="1"/>
  <c r="DN3" i="19"/>
  <c r="DT3" i="19"/>
  <c r="DP3" i="19"/>
  <c r="V9" i="15"/>
  <c r="I36" i="15" s="1"/>
  <c r="U67" i="14"/>
  <c r="J91" i="14"/>
  <c r="K91" i="14" s="1"/>
  <c r="F147" i="14"/>
  <c r="AC34" i="9"/>
  <c r="AB33" i="9"/>
  <c r="X12" i="16"/>
  <c r="X131" i="16" s="1"/>
  <c r="Z23" i="4"/>
  <c r="Y77" i="14"/>
  <c r="Y78" i="14" s="1"/>
  <c r="V14" i="15"/>
  <c r="U12" i="15"/>
  <c r="G149" i="16"/>
  <c r="E78" i="16"/>
  <c r="G39" i="16"/>
  <c r="G40" i="16"/>
  <c r="X128" i="16"/>
  <c r="Y9" i="16"/>
  <c r="Z25" i="4"/>
  <c r="Z27" i="4" s="1"/>
  <c r="W79" i="14"/>
  <c r="J135" i="14"/>
  <c r="N17" i="16"/>
  <c r="N68" i="14"/>
  <c r="N55" i="14"/>
  <c r="N57" i="14" s="1"/>
  <c r="AA27" i="6"/>
  <c r="AB28" i="6"/>
  <c r="AA49" i="6"/>
  <c r="DI6" i="19"/>
  <c r="DO6" i="19"/>
  <c r="DK6" i="19"/>
  <c r="AA24" i="15"/>
  <c r="DI7" i="19"/>
  <c r="DO7" i="19"/>
  <c r="DK7" i="19"/>
  <c r="Z37" i="6"/>
  <c r="AB7" i="4" s="1"/>
  <c r="AB8" i="4"/>
  <c r="AA38" i="6"/>
  <c r="H141" i="14"/>
  <c r="E198" i="14" s="1"/>
  <c r="P85" i="14"/>
  <c r="X63" i="14"/>
  <c r="AC5" i="13"/>
  <c r="X31" i="7" s="1"/>
  <c r="DI10" i="19"/>
  <c r="DO10" i="19"/>
  <c r="DK10" i="19"/>
  <c r="AB25" i="9"/>
  <c r="AA43" i="9"/>
  <c r="AA42" i="9" s="1"/>
  <c r="AA24" i="9"/>
  <c r="N87" i="14"/>
  <c r="X79" i="14"/>
  <c r="AB50" i="6"/>
  <c r="AB9" i="14" s="1"/>
  <c r="AC29" i="6"/>
  <c r="J52" i="16"/>
  <c r="W131" i="16"/>
  <c r="Z49" i="6"/>
  <c r="DI4" i="19"/>
  <c r="DO4" i="19"/>
  <c r="DK4" i="19"/>
  <c r="DI2" i="19"/>
  <c r="DO2" i="19"/>
  <c r="DK2" i="19"/>
  <c r="V20" i="15"/>
  <c r="Z43" i="4"/>
  <c r="AC22" i="4"/>
  <c r="AA26" i="4" s="1"/>
  <c r="AB21" i="4"/>
  <c r="AB17" i="4"/>
  <c r="AB18" i="4"/>
  <c r="AA11" i="4"/>
  <c r="AA20" i="4"/>
  <c r="L89" i="14"/>
  <c r="U134" i="16"/>
  <c r="V15" i="16"/>
  <c r="DI5" i="19"/>
  <c r="DO5" i="19"/>
  <c r="DK5" i="19"/>
  <c r="W41" i="14"/>
  <c r="W51" i="7"/>
  <c r="W38" i="7"/>
  <c r="W48" i="14" s="1"/>
  <c r="W66" i="14" s="1"/>
  <c r="DI8" i="19"/>
  <c r="DO8" i="19"/>
  <c r="DK8" i="19"/>
  <c r="E151" i="14"/>
  <c r="G95" i="14"/>
  <c r="F46" i="15"/>
  <c r="L27" i="15"/>
  <c r="F54" i="15" s="1"/>
  <c r="U81" i="14"/>
  <c r="U82" i="14" s="1"/>
  <c r="DN4" i="19"/>
  <c r="DP4" i="19"/>
  <c r="DT4" i="19"/>
  <c r="X18" i="14"/>
  <c r="X12" i="7"/>
  <c r="X20" i="14" s="1"/>
  <c r="X64" i="14" s="1"/>
  <c r="I138" i="14"/>
  <c r="T82" i="14"/>
  <c r="Y13" i="15"/>
  <c r="M21" i="15"/>
  <c r="M19" i="15" s="1"/>
  <c r="R7" i="17"/>
  <c r="V135" i="16"/>
  <c r="W16" i="16"/>
  <c r="G144" i="14"/>
  <c r="M88" i="14"/>
  <c r="AB44" i="9"/>
  <c r="AC26" i="9"/>
  <c r="AE39" i="6"/>
  <c r="AE9" i="4"/>
  <c r="AE13" i="4" s="1"/>
  <c r="Y48" i="6"/>
  <c r="Y10" i="14" s="1"/>
  <c r="Z11" i="18"/>
  <c r="EI39" i="19" l="1"/>
  <c r="EN26" i="19"/>
  <c r="DX77" i="19"/>
  <c r="EB77" i="19" s="1"/>
  <c r="DZ77" i="19"/>
  <c r="DY77" i="19" s="1"/>
  <c r="DZ82" i="19"/>
  <c r="DY82" i="19" s="1"/>
  <c r="DX82" i="19"/>
  <c r="EB82" i="19" s="1"/>
  <c r="EO37" i="19"/>
  <c r="EN37" i="19" s="1"/>
  <c r="ER37" i="19"/>
  <c r="EV37" i="19" s="1"/>
  <c r="ET37" i="19"/>
  <c r="DZ79" i="19"/>
  <c r="DY79" i="19" s="1"/>
  <c r="DX79" i="19"/>
  <c r="EB79" i="19" s="1"/>
  <c r="DZ64" i="19"/>
  <c r="DY64" i="19" s="1"/>
  <c r="DX64" i="19"/>
  <c r="EB64" i="19" s="1"/>
  <c r="DZ93" i="19"/>
  <c r="DY93" i="19" s="1"/>
  <c r="DX93" i="19"/>
  <c r="EB93" i="19" s="1"/>
  <c r="EB96" i="19"/>
  <c r="DZ96" i="19"/>
  <c r="DY96" i="19" s="1"/>
  <c r="DX96" i="19"/>
  <c r="DX65" i="19"/>
  <c r="EB65" i="19" s="1"/>
  <c r="DZ65" i="19"/>
  <c r="DY65" i="19" s="1"/>
  <c r="DX56" i="19"/>
  <c r="EB56" i="19" s="1"/>
  <c r="DZ56" i="19"/>
  <c r="DY56" i="19" s="1"/>
  <c r="EB78" i="19"/>
  <c r="DZ78" i="19"/>
  <c r="DY78" i="19" s="1"/>
  <c r="DX78" i="19"/>
  <c r="DZ46" i="19"/>
  <c r="DY46" i="19" s="1"/>
  <c r="DX46" i="19"/>
  <c r="EB46" i="19" s="1"/>
  <c r="DX50" i="19"/>
  <c r="EB50" i="19" s="1"/>
  <c r="DZ50" i="19"/>
  <c r="DY50" i="19" s="1"/>
  <c r="DZ43" i="19"/>
  <c r="DY43" i="19" s="1"/>
  <c r="DX43" i="19"/>
  <c r="EB43" i="19" s="1"/>
  <c r="DX45" i="19"/>
  <c r="EB45" i="19" s="1"/>
  <c r="DZ45" i="19"/>
  <c r="DY45" i="19" s="1"/>
  <c r="DZ49" i="19"/>
  <c r="DY49" i="19" s="1"/>
  <c r="DX49" i="19"/>
  <c r="EB49" i="19" s="1"/>
  <c r="DZ44" i="19"/>
  <c r="DY44" i="19" s="1"/>
  <c r="DX44" i="19"/>
  <c r="EB44" i="19" s="1"/>
  <c r="DX73" i="19"/>
  <c r="DZ73" i="19"/>
  <c r="DY73" i="19" s="1"/>
  <c r="EB73" i="19"/>
  <c r="DX54" i="19"/>
  <c r="EB54" i="19" s="1"/>
  <c r="DZ54" i="19"/>
  <c r="DY54" i="19" s="1"/>
  <c r="DZ92" i="19"/>
  <c r="DY92" i="19" s="1"/>
  <c r="DX92" i="19"/>
  <c r="EB92" i="19" s="1"/>
  <c r="EM29" i="19"/>
  <c r="EQ29" i="19" s="1"/>
  <c r="ER29" i="19" s="1"/>
  <c r="EV29" i="19" s="1"/>
  <c r="EO29" i="19"/>
  <c r="EJ29" i="19"/>
  <c r="EI29" i="19" s="1"/>
  <c r="DZ59" i="19"/>
  <c r="DY59" i="19" s="1"/>
  <c r="DX59" i="19"/>
  <c r="EB59" i="19" s="1"/>
  <c r="DZ68" i="19"/>
  <c r="DY68" i="19" s="1"/>
  <c r="DX68" i="19"/>
  <c r="EB68" i="19" s="1"/>
  <c r="DX57" i="19"/>
  <c r="EB57" i="19" s="1"/>
  <c r="DZ57" i="19"/>
  <c r="DY57" i="19" s="1"/>
  <c r="DX69" i="19"/>
  <c r="EB69" i="19" s="1"/>
  <c r="DZ69" i="19"/>
  <c r="DY69" i="19" s="1"/>
  <c r="EM21" i="19"/>
  <c r="EQ21" i="19" s="1"/>
  <c r="EO21" i="19"/>
  <c r="EN21" i="19" s="1"/>
  <c r="EM22" i="19"/>
  <c r="EQ22" i="19"/>
  <c r="EO22" i="19"/>
  <c r="EN22" i="19" s="1"/>
  <c r="DZ51" i="19"/>
  <c r="DY51" i="19" s="1"/>
  <c r="DX51" i="19"/>
  <c r="EB51" i="19" s="1"/>
  <c r="EH27" i="19"/>
  <c r="EL27" i="19" s="1"/>
  <c r="DZ67" i="19"/>
  <c r="DY67" i="19" s="1"/>
  <c r="DX67" i="19"/>
  <c r="EB67" i="19" s="1"/>
  <c r="EL33" i="19"/>
  <c r="EJ33" i="19" s="1"/>
  <c r="EI33" i="19" s="1"/>
  <c r="EH33" i="19"/>
  <c r="EH41" i="19"/>
  <c r="EL41" i="19" s="1"/>
  <c r="EJ41" i="19" s="1"/>
  <c r="DZ89" i="19"/>
  <c r="DY89" i="19" s="1"/>
  <c r="DX89" i="19"/>
  <c r="EB89" i="19" s="1"/>
  <c r="EM24" i="19"/>
  <c r="EQ24" i="19"/>
  <c r="EO24" i="19" s="1"/>
  <c r="EN24" i="19" s="1"/>
  <c r="DZ60" i="19"/>
  <c r="DY60" i="19" s="1"/>
  <c r="DX60" i="19"/>
  <c r="EB60" i="19" s="1"/>
  <c r="DZ74" i="19"/>
  <c r="DY74" i="19" s="1"/>
  <c r="DX74" i="19"/>
  <c r="EB74" i="19" s="1"/>
  <c r="DZ47" i="19"/>
  <c r="DY47" i="19" s="1"/>
  <c r="DX47" i="19"/>
  <c r="EB47" i="19" s="1"/>
  <c r="DZ95" i="19"/>
  <c r="DY95" i="19" s="1"/>
  <c r="DX95" i="19"/>
  <c r="EB95" i="19" s="1"/>
  <c r="EE27" i="19"/>
  <c r="ED27" i="19" s="1"/>
  <c r="DZ94" i="19"/>
  <c r="DY94" i="19" s="1"/>
  <c r="DX94" i="19"/>
  <c r="EB94" i="19" s="1"/>
  <c r="DU42" i="19"/>
  <c r="DT42" i="19" s="1"/>
  <c r="DX61" i="19"/>
  <c r="EB61" i="19" s="1"/>
  <c r="DZ61" i="19"/>
  <c r="DY61" i="19" s="1"/>
  <c r="DX83" i="19"/>
  <c r="EB83" i="19" s="1"/>
  <c r="DZ83" i="19"/>
  <c r="DY83" i="19" s="1"/>
  <c r="DX55" i="19"/>
  <c r="EB55" i="19" s="1"/>
  <c r="DZ55" i="19"/>
  <c r="DY55" i="19" s="1"/>
  <c r="DZ31" i="19"/>
  <c r="DY31" i="19" s="1"/>
  <c r="EC31" i="19"/>
  <c r="EG31" i="19" s="1"/>
  <c r="DZ66" i="19"/>
  <c r="DY66" i="19" s="1"/>
  <c r="DX66" i="19"/>
  <c r="EB66" i="19" s="1"/>
  <c r="DX63" i="19"/>
  <c r="EB63" i="19" s="1"/>
  <c r="DZ63" i="19"/>
  <c r="DY63" i="19" s="1"/>
  <c r="DZ88" i="19"/>
  <c r="DY88" i="19" s="1"/>
  <c r="DX88" i="19"/>
  <c r="EB88" i="19" s="1"/>
  <c r="DZ42" i="19"/>
  <c r="EC42" i="19"/>
  <c r="EG42" i="19" s="1"/>
  <c r="DX48" i="19"/>
  <c r="EB48" i="19" s="1"/>
  <c r="DZ48" i="19"/>
  <c r="DY48" i="19" s="1"/>
  <c r="EM40" i="19"/>
  <c r="EQ40" i="19" s="1"/>
  <c r="EM39" i="19"/>
  <c r="EQ39" i="19" s="1"/>
  <c r="DU34" i="19"/>
  <c r="DT34" i="19" s="1"/>
  <c r="DX34" i="19"/>
  <c r="EB34" i="19" s="1"/>
  <c r="DZ91" i="19"/>
  <c r="DY91" i="19" s="1"/>
  <c r="DX91" i="19"/>
  <c r="EB91" i="19" s="1"/>
  <c r="EB62" i="19"/>
  <c r="DZ62" i="19"/>
  <c r="DY62" i="19" s="1"/>
  <c r="DX62" i="19"/>
  <c r="DZ72" i="19"/>
  <c r="DY72" i="19" s="1"/>
  <c r="DX72" i="19"/>
  <c r="EB72" i="19" s="1"/>
  <c r="ER26" i="19"/>
  <c r="EV26" i="19" s="1"/>
  <c r="ET26" i="19" s="1"/>
  <c r="ES26" i="19" s="1"/>
  <c r="ER38" i="19"/>
  <c r="EV38" i="19" s="1"/>
  <c r="ET38" i="19" s="1"/>
  <c r="ES38" i="19" s="1"/>
  <c r="DZ81" i="19"/>
  <c r="DY81" i="19" s="1"/>
  <c r="EB81" i="19"/>
  <c r="DX81" i="19"/>
  <c r="EE36" i="19"/>
  <c r="ED36" i="19" s="1"/>
  <c r="EH36" i="19"/>
  <c r="EL36" i="19" s="1"/>
  <c r="EH30" i="19"/>
  <c r="EL30" i="19" s="1"/>
  <c r="EH23" i="19"/>
  <c r="EL23" i="19" s="1"/>
  <c r="EJ23" i="19"/>
  <c r="DZ58" i="19"/>
  <c r="DY58" i="19" s="1"/>
  <c r="DX58" i="19"/>
  <c r="EB58" i="19" s="1"/>
  <c r="DZ71" i="19"/>
  <c r="DY71" i="19" s="1"/>
  <c r="DX71" i="19"/>
  <c r="EB71" i="19" s="1"/>
  <c r="EE35" i="19"/>
  <c r="ED35" i="19" s="1"/>
  <c r="EH35" i="19"/>
  <c r="EL35" i="19" s="1"/>
  <c r="EB70" i="19"/>
  <c r="DZ70" i="19"/>
  <c r="DY70" i="19" s="1"/>
  <c r="DX70" i="19"/>
  <c r="L90" i="14"/>
  <c r="EE30" i="19"/>
  <c r="ED30" i="19" s="1"/>
  <c r="EE23" i="19"/>
  <c r="ED23" i="19" s="1"/>
  <c r="DZ87" i="19"/>
  <c r="DY87" i="19" s="1"/>
  <c r="DX87" i="19"/>
  <c r="EB87" i="19" s="1"/>
  <c r="DZ90" i="19"/>
  <c r="DY90" i="19" s="1"/>
  <c r="DX90" i="19"/>
  <c r="EB90" i="19" s="1"/>
  <c r="DU32" i="19"/>
  <c r="DT32" i="19" s="1"/>
  <c r="DZ86" i="19"/>
  <c r="DY86" i="19" s="1"/>
  <c r="DX86" i="19"/>
  <c r="EB86" i="19" s="1"/>
  <c r="ED33" i="19"/>
  <c r="DY33" i="19"/>
  <c r="DX85" i="19"/>
  <c r="EB85" i="19" s="1"/>
  <c r="DZ85" i="19"/>
  <c r="DY85" i="19" s="1"/>
  <c r="DZ84" i="19"/>
  <c r="DY84" i="19" s="1"/>
  <c r="DX84" i="19"/>
  <c r="EB84" i="19" s="1"/>
  <c r="EM20" i="19"/>
  <c r="EQ20" i="19" s="1"/>
  <c r="EO20" i="19"/>
  <c r="EN20" i="19" s="1"/>
  <c r="DX52" i="19"/>
  <c r="EB52" i="19" s="1"/>
  <c r="DZ52" i="19"/>
  <c r="DY52" i="19" s="1"/>
  <c r="DZ53" i="19"/>
  <c r="DY53" i="19" s="1"/>
  <c r="DX53" i="19"/>
  <c r="EB53" i="19" s="1"/>
  <c r="EM25" i="19"/>
  <c r="EQ25" i="19" s="1"/>
  <c r="EM19" i="19"/>
  <c r="EQ19" i="19" s="1"/>
  <c r="DZ32" i="19"/>
  <c r="EE32" i="19"/>
  <c r="ED32" i="19" s="1"/>
  <c r="EC32" i="19"/>
  <c r="EG32" i="19" s="1"/>
  <c r="DX80" i="19"/>
  <c r="EB80" i="19" s="1"/>
  <c r="DZ80" i="19"/>
  <c r="DY80" i="19" s="1"/>
  <c r="EE41" i="19"/>
  <c r="ED41" i="19" s="1"/>
  <c r="DZ76" i="19"/>
  <c r="DY76" i="19" s="1"/>
  <c r="DX76" i="19"/>
  <c r="EB76" i="19" s="1"/>
  <c r="DZ75" i="19"/>
  <c r="DY75" i="19" s="1"/>
  <c r="DX75" i="19"/>
  <c r="EB75" i="19" s="1"/>
  <c r="EH28" i="19"/>
  <c r="EL28" i="19" s="1"/>
  <c r="I94" i="14"/>
  <c r="V65" i="14"/>
  <c r="V50" i="14"/>
  <c r="V67" i="14" s="1"/>
  <c r="Y10" i="7"/>
  <c r="DI11" i="19"/>
  <c r="X22" i="14"/>
  <c r="DS6" i="19"/>
  <c r="W9" i="15"/>
  <c r="DS4" i="19"/>
  <c r="DU4" i="19"/>
  <c r="DY4" i="19"/>
  <c r="G96" i="14"/>
  <c r="E152" i="14"/>
  <c r="AB27" i="6"/>
  <c r="AC28" i="6"/>
  <c r="Y128" i="16"/>
  <c r="DP5" i="19"/>
  <c r="DN5" i="19"/>
  <c r="DT5" i="19"/>
  <c r="DN10" i="19"/>
  <c r="DT10" i="19"/>
  <c r="DP10" i="19"/>
  <c r="AG9" i="4"/>
  <c r="AG13" i="4" s="1"/>
  <c r="AF39" i="6"/>
  <c r="W20" i="15"/>
  <c r="AA43" i="4"/>
  <c r="N88" i="14"/>
  <c r="O87" i="14"/>
  <c r="V134" i="16"/>
  <c r="W15" i="16"/>
  <c r="I47" i="15"/>
  <c r="P86" i="14"/>
  <c r="H142" i="14"/>
  <c r="E199" i="14" s="1"/>
  <c r="N70" i="14"/>
  <c r="M25" i="15"/>
  <c r="AA8" i="14"/>
  <c r="AA77" i="14" s="1"/>
  <c r="AA48" i="6"/>
  <c r="AA10" i="14" s="1"/>
  <c r="DN2" i="19"/>
  <c r="DP2" i="19"/>
  <c r="DT2" i="19"/>
  <c r="Y63" i="14"/>
  <c r="AD5" i="13"/>
  <c r="Y31" i="7" s="1"/>
  <c r="AC44" i="9"/>
  <c r="AD26" i="9"/>
  <c r="Z13" i="15"/>
  <c r="J40" i="15"/>
  <c r="Y12" i="16"/>
  <c r="Y131" i="16" s="1"/>
  <c r="AA23" i="4"/>
  <c r="W50" i="14"/>
  <c r="Z8" i="14"/>
  <c r="Z77" i="14" s="1"/>
  <c r="Z48" i="6"/>
  <c r="Z10" i="14" s="1"/>
  <c r="AB24" i="15"/>
  <c r="E80" i="16"/>
  <c r="F46" i="16" s="1"/>
  <c r="H6" i="16"/>
  <c r="F8" i="15"/>
  <c r="G151" i="16"/>
  <c r="I41" i="15"/>
  <c r="W14" i="15"/>
  <c r="V12" i="15"/>
  <c r="I39" i="15" s="1"/>
  <c r="AD34" i="9"/>
  <c r="AC33" i="9"/>
  <c r="V81" i="14"/>
  <c r="V82" i="14" s="1"/>
  <c r="DN6" i="19"/>
  <c r="DP6" i="19"/>
  <c r="DT6" i="19"/>
  <c r="X65" i="14"/>
  <c r="I139" i="14"/>
  <c r="T83" i="14"/>
  <c r="W57" i="7"/>
  <c r="AB24" i="9"/>
  <c r="AB43" i="9"/>
  <c r="AB42" i="9" s="1"/>
  <c r="AC25" i="9"/>
  <c r="AC8" i="4"/>
  <c r="AA37" i="6"/>
  <c r="AC7" i="4" s="1"/>
  <c r="AB38" i="6"/>
  <c r="AB49" i="6" s="1"/>
  <c r="N136" i="16"/>
  <c r="G150" i="16"/>
  <c r="E79" i="16"/>
  <c r="Y79" i="14"/>
  <c r="DN7" i="19"/>
  <c r="DP7" i="19"/>
  <c r="DT7" i="19"/>
  <c r="DN8" i="19"/>
  <c r="DT8" i="19"/>
  <c r="DP8" i="19"/>
  <c r="L91" i="14"/>
  <c r="DS8" i="19"/>
  <c r="M89" i="14"/>
  <c r="G145" i="14"/>
  <c r="DK11" i="19"/>
  <c r="F148" i="14"/>
  <c r="J92" i="14"/>
  <c r="K92" i="14" s="1"/>
  <c r="Z9" i="16"/>
  <c r="AA25" i="4"/>
  <c r="AA27" i="4" s="1"/>
  <c r="R10" i="17"/>
  <c r="O36" i="16" s="1"/>
  <c r="O148" i="16" s="1"/>
  <c r="R9" i="17"/>
  <c r="O53" i="14" s="1"/>
  <c r="J56" i="16"/>
  <c r="W135" i="16"/>
  <c r="X16" i="16"/>
  <c r="DO11" i="19"/>
  <c r="AE29" i="6"/>
  <c r="AC50" i="6"/>
  <c r="AC9" i="14" s="1"/>
  <c r="C108" i="3" a="1"/>
  <c r="C108" i="3" s="1"/>
  <c r="C114" i="3" s="1"/>
  <c r="X41" i="14"/>
  <c r="X51" i="7"/>
  <c r="X57" i="7" s="1"/>
  <c r="X38" i="7"/>
  <c r="X48" i="14" s="1"/>
  <c r="X66" i="14" s="1"/>
  <c r="AD22" i="4"/>
  <c r="AB26" i="4" s="1"/>
  <c r="AC21" i="4"/>
  <c r="AC18" i="4"/>
  <c r="AC17" i="4"/>
  <c r="AB20" i="4"/>
  <c r="AB11" i="4"/>
  <c r="J136" i="14"/>
  <c r="W80" i="14"/>
  <c r="X80" i="14" s="1"/>
  <c r="H95" i="14"/>
  <c r="AA11" i="18"/>
  <c r="EN29" i="19" l="1"/>
  <c r="DY32" i="19"/>
  <c r="EI41" i="19"/>
  <c r="DY42" i="19"/>
  <c r="ES37" i="19"/>
  <c r="EE48" i="19"/>
  <c r="ED48" i="19" s="1"/>
  <c r="EC48" i="19"/>
  <c r="EG48" i="19" s="1"/>
  <c r="EH42" i="19"/>
  <c r="EL42" i="19" s="1"/>
  <c r="EJ42" i="19"/>
  <c r="EI42" i="19" s="1"/>
  <c r="EE42" i="19"/>
  <c r="ED42" i="19" s="1"/>
  <c r="EE57" i="19"/>
  <c r="ED57" i="19" s="1"/>
  <c r="EC57" i="19"/>
  <c r="EG57" i="19" s="1"/>
  <c r="EO25" i="19"/>
  <c r="EN25" i="19" s="1"/>
  <c r="ER25" i="19"/>
  <c r="EV25" i="19" s="1"/>
  <c r="EE68" i="19"/>
  <c r="ED68" i="19" s="1"/>
  <c r="EC68" i="19"/>
  <c r="EG68" i="19" s="1"/>
  <c r="EM36" i="19"/>
  <c r="EQ36" i="19" s="1"/>
  <c r="EO36" i="19" s="1"/>
  <c r="EN36" i="19" s="1"/>
  <c r="EJ36" i="19"/>
  <c r="EI36" i="19" s="1"/>
  <c r="EE56" i="19"/>
  <c r="ED56" i="19" s="1"/>
  <c r="EC56" i="19"/>
  <c r="EG56" i="19" s="1"/>
  <c r="EO19" i="19"/>
  <c r="EN19" i="19" s="1"/>
  <c r="ER19" i="19"/>
  <c r="EV19" i="19" s="1"/>
  <c r="EE91" i="19"/>
  <c r="ED91" i="19" s="1"/>
  <c r="EC91" i="19"/>
  <c r="EG91" i="19" s="1"/>
  <c r="EE92" i="19"/>
  <c r="ED92" i="19" s="1"/>
  <c r="EC92" i="19"/>
  <c r="EG92" i="19" s="1"/>
  <c r="EE54" i="19"/>
  <c r="ED54" i="19" s="1"/>
  <c r="EG54" i="19"/>
  <c r="EC54" i="19"/>
  <c r="EE71" i="19"/>
  <c r="ED71" i="19" s="1"/>
  <c r="EC71" i="19"/>
  <c r="EG71" i="19" s="1"/>
  <c r="EM30" i="19"/>
  <c r="EQ30" i="19" s="1"/>
  <c r="EO30" i="19"/>
  <c r="EJ30" i="19"/>
  <c r="EI30" i="19" s="1"/>
  <c r="EE80" i="19"/>
  <c r="ED80" i="19" s="1"/>
  <c r="EC80" i="19"/>
  <c r="EG80" i="19" s="1"/>
  <c r="ER39" i="19"/>
  <c r="EV39" i="19" s="1"/>
  <c r="EO39" i="19"/>
  <c r="EN39" i="19" s="1"/>
  <c r="EM28" i="19"/>
  <c r="EQ28" i="19" s="1"/>
  <c r="EO28" i="19"/>
  <c r="EJ28" i="19"/>
  <c r="EI28" i="19" s="1"/>
  <c r="ER40" i="19"/>
  <c r="EV40" i="19" s="1"/>
  <c r="EO40" i="19"/>
  <c r="EN40" i="19" s="1"/>
  <c r="EM27" i="19"/>
  <c r="EQ27" i="19" s="1"/>
  <c r="ER27" i="19" s="1"/>
  <c r="EV27" i="19" s="1"/>
  <c r="EO27" i="19"/>
  <c r="EN27" i="19" s="1"/>
  <c r="EJ27" i="19"/>
  <c r="EI27" i="19" s="1"/>
  <c r="EE75" i="19"/>
  <c r="ED75" i="19" s="1"/>
  <c r="EC75" i="19"/>
  <c r="EG75" i="19" s="1"/>
  <c r="EE86" i="19"/>
  <c r="ED86" i="19" s="1"/>
  <c r="EC86" i="19"/>
  <c r="EG86" i="19" s="1"/>
  <c r="EE76" i="19"/>
  <c r="ED76" i="19" s="1"/>
  <c r="EC76" i="19"/>
  <c r="EG76" i="19" s="1"/>
  <c r="EG52" i="19"/>
  <c r="EE52" i="19"/>
  <c r="ED52" i="19" s="1"/>
  <c r="EC52" i="19"/>
  <c r="EG81" i="19"/>
  <c r="EE81" i="19"/>
  <c r="ED81" i="19" s="1"/>
  <c r="EC81" i="19"/>
  <c r="EE63" i="19"/>
  <c r="ED63" i="19" s="1"/>
  <c r="EC63" i="19"/>
  <c r="EG63" i="19" s="1"/>
  <c r="EE95" i="19"/>
  <c r="ED95" i="19" s="1"/>
  <c r="EC95" i="19"/>
  <c r="EG95" i="19" s="1"/>
  <c r="ET20" i="19"/>
  <c r="ES20" i="19" s="1"/>
  <c r="ER20" i="19"/>
  <c r="EV20" i="19" s="1"/>
  <c r="EE62" i="19"/>
  <c r="ED62" i="19" s="1"/>
  <c r="EC62" i="19"/>
  <c r="EG62" i="19" s="1"/>
  <c r="EE47" i="19"/>
  <c r="ED47" i="19" s="1"/>
  <c r="EC47" i="19"/>
  <c r="EG47" i="19" s="1"/>
  <c r="EE67" i="19"/>
  <c r="ED67" i="19" s="1"/>
  <c r="EC67" i="19"/>
  <c r="EG67" i="19" s="1"/>
  <c r="ER22" i="19"/>
  <c r="EV22" i="19" s="1"/>
  <c r="ET22" i="19"/>
  <c r="ES22" i="19" s="1"/>
  <c r="ET29" i="19"/>
  <c r="ES29" i="19" s="1"/>
  <c r="EW29" i="19"/>
  <c r="FA29" i="19" s="1"/>
  <c r="EG43" i="19"/>
  <c r="EE43" i="19"/>
  <c r="ED43" i="19" s="1"/>
  <c r="EC43" i="19"/>
  <c r="EE78" i="19"/>
  <c r="ED78" i="19" s="1"/>
  <c r="EC78" i="19"/>
  <c r="EG78" i="19" s="1"/>
  <c r="EE96" i="19"/>
  <c r="ED96" i="19" s="1"/>
  <c r="EC96" i="19"/>
  <c r="EG96" i="19" s="1"/>
  <c r="EW37" i="19"/>
  <c r="FA37" i="19" s="1"/>
  <c r="EY37" i="19" s="1"/>
  <c r="EX37" i="19" s="1"/>
  <c r="EE66" i="19"/>
  <c r="ED66" i="19" s="1"/>
  <c r="EC66" i="19"/>
  <c r="EG66" i="19" s="1"/>
  <c r="EE84" i="19"/>
  <c r="ED84" i="19" s="1"/>
  <c r="EC84" i="19"/>
  <c r="EG84" i="19" s="1"/>
  <c r="EW38" i="19"/>
  <c r="FA38" i="19" s="1"/>
  <c r="EY38" i="19"/>
  <c r="EX38" i="19" s="1"/>
  <c r="EH31" i="19"/>
  <c r="EL31" i="19" s="1"/>
  <c r="EE61" i="19"/>
  <c r="ED61" i="19" s="1"/>
  <c r="EG61" i="19"/>
  <c r="EC61" i="19"/>
  <c r="EE89" i="19"/>
  <c r="ED89" i="19" s="1"/>
  <c r="EC89" i="19"/>
  <c r="EG89" i="19" s="1"/>
  <c r="EE93" i="19"/>
  <c r="ED93" i="19" s="1"/>
  <c r="EC93" i="19"/>
  <c r="EG93" i="19" s="1"/>
  <c r="EE45" i="19"/>
  <c r="ED45" i="19" s="1"/>
  <c r="EC45" i="19"/>
  <c r="EG45" i="19" s="1"/>
  <c r="EE58" i="19"/>
  <c r="ED58" i="19" s="1"/>
  <c r="EC58" i="19"/>
  <c r="EG58" i="19" s="1"/>
  <c r="EE31" i="19"/>
  <c r="ED31" i="19" s="1"/>
  <c r="EE74" i="19"/>
  <c r="ED74" i="19" s="1"/>
  <c r="EC74" i="19"/>
  <c r="EG74" i="19" s="1"/>
  <c r="EG44" i="19"/>
  <c r="EE44" i="19"/>
  <c r="ED44" i="19" s="1"/>
  <c r="EC44" i="19"/>
  <c r="EE82" i="19"/>
  <c r="ED82" i="19" s="1"/>
  <c r="EC82" i="19"/>
  <c r="EG82" i="19" s="1"/>
  <c r="EE53" i="19"/>
  <c r="ED53" i="19" s="1"/>
  <c r="EC53" i="19"/>
  <c r="EG53" i="19" s="1"/>
  <c r="EE90" i="19"/>
  <c r="ED90" i="19" s="1"/>
  <c r="EC90" i="19"/>
  <c r="EG90" i="19" s="1"/>
  <c r="FA26" i="19"/>
  <c r="EW26" i="19"/>
  <c r="EE88" i="19"/>
  <c r="ED88" i="19" s="1"/>
  <c r="EC88" i="19"/>
  <c r="EG88" i="19" s="1"/>
  <c r="EE94" i="19"/>
  <c r="ED94" i="19" s="1"/>
  <c r="EC94" i="19"/>
  <c r="EG94" i="19" s="1"/>
  <c r="ER21" i="19"/>
  <c r="EV21" i="19" s="1"/>
  <c r="ET21" i="19"/>
  <c r="ES21" i="19" s="1"/>
  <c r="EE50" i="19"/>
  <c r="ED50" i="19" s="1"/>
  <c r="EC50" i="19"/>
  <c r="EG50" i="19" s="1"/>
  <c r="EE64" i="19"/>
  <c r="ED64" i="19" s="1"/>
  <c r="EC64" i="19"/>
  <c r="EG64" i="19" s="1"/>
  <c r="EE83" i="19"/>
  <c r="ED83" i="19" s="1"/>
  <c r="EC83" i="19"/>
  <c r="EG83" i="19" s="1"/>
  <c r="ER24" i="19"/>
  <c r="EV24" i="19" s="1"/>
  <c r="EM33" i="19"/>
  <c r="EQ33" i="19" s="1"/>
  <c r="EO33" i="19" s="1"/>
  <c r="EN33" i="19" s="1"/>
  <c r="EE73" i="19"/>
  <c r="ED73" i="19" s="1"/>
  <c r="EC73" i="19"/>
  <c r="EG73" i="19" s="1"/>
  <c r="EL32" i="19"/>
  <c r="EJ32" i="19"/>
  <c r="EI32" i="19" s="1"/>
  <c r="EH32" i="19"/>
  <c r="EG85" i="19"/>
  <c r="EE85" i="19"/>
  <c r="ED85" i="19" s="1"/>
  <c r="EC85" i="19"/>
  <c r="EE70" i="19"/>
  <c r="ED70" i="19" s="1"/>
  <c r="EC70" i="19"/>
  <c r="EG70" i="19" s="1"/>
  <c r="EI23" i="19"/>
  <c r="EE72" i="19"/>
  <c r="ED72" i="19" s="1"/>
  <c r="EC72" i="19"/>
  <c r="EG72" i="19" s="1"/>
  <c r="DZ34" i="19"/>
  <c r="DY34" i="19" s="1"/>
  <c r="EC34" i="19"/>
  <c r="EG34" i="19" s="1"/>
  <c r="EE60" i="19"/>
  <c r="ED60" i="19" s="1"/>
  <c r="EC60" i="19"/>
  <c r="EG60" i="19" s="1"/>
  <c r="EM41" i="19"/>
  <c r="EQ41" i="19" s="1"/>
  <c r="EE59" i="19"/>
  <c r="ED59" i="19" s="1"/>
  <c r="EC59" i="19"/>
  <c r="EG59" i="19" s="1"/>
  <c r="EE49" i="19"/>
  <c r="ED49" i="19" s="1"/>
  <c r="EC49" i="19"/>
  <c r="EG49" i="19" s="1"/>
  <c r="EG46" i="19"/>
  <c r="EE46" i="19"/>
  <c r="ED46" i="19" s="1"/>
  <c r="EC46" i="19"/>
  <c r="EE87" i="19"/>
  <c r="ED87" i="19" s="1"/>
  <c r="EC87" i="19"/>
  <c r="EG87" i="19" s="1"/>
  <c r="EJ35" i="19"/>
  <c r="EI35" i="19" s="1"/>
  <c r="EM35" i="19"/>
  <c r="EQ35" i="19" s="1"/>
  <c r="EO35" i="19" s="1"/>
  <c r="EN35" i="19" s="1"/>
  <c r="EQ23" i="19"/>
  <c r="EM23" i="19"/>
  <c r="EE55" i="19"/>
  <c r="ED55" i="19" s="1"/>
  <c r="EC55" i="19"/>
  <c r="EG55" i="19" s="1"/>
  <c r="EE51" i="19"/>
  <c r="ED51" i="19" s="1"/>
  <c r="EC51" i="19"/>
  <c r="EG51" i="19" s="1"/>
  <c r="EE69" i="19"/>
  <c r="ED69" i="19" s="1"/>
  <c r="EC69" i="19"/>
  <c r="EG69" i="19" s="1"/>
  <c r="EE65" i="19"/>
  <c r="ED65" i="19" s="1"/>
  <c r="EC65" i="19"/>
  <c r="EG65" i="19" s="1"/>
  <c r="EG79" i="19"/>
  <c r="EE79" i="19"/>
  <c r="ED79" i="19" s="1"/>
  <c r="EC79" i="19"/>
  <c r="EE77" i="19"/>
  <c r="ED77" i="19" s="1"/>
  <c r="EC77" i="19"/>
  <c r="EG77" i="19" s="1"/>
  <c r="Z10" i="7"/>
  <c r="Y12" i="7"/>
  <c r="Y20" i="14" s="1"/>
  <c r="Y18" i="14"/>
  <c r="DN11" i="19"/>
  <c r="DY8" i="19"/>
  <c r="N89" i="14"/>
  <c r="AB8" i="14"/>
  <c r="AB77" i="14" s="1"/>
  <c r="DX10" i="19"/>
  <c r="DX7" i="19"/>
  <c r="X9" i="15"/>
  <c r="E153" i="14"/>
  <c r="G97" i="14"/>
  <c r="DS7" i="19"/>
  <c r="DU7" i="19"/>
  <c r="DY7" i="19"/>
  <c r="Y80" i="14"/>
  <c r="AC24" i="9"/>
  <c r="AD25" i="9"/>
  <c r="AC43" i="9"/>
  <c r="K134" i="14"/>
  <c r="Z78" i="14"/>
  <c r="X20" i="15"/>
  <c r="AB43" i="4"/>
  <c r="AH9" i="4"/>
  <c r="AH13" i="4" s="1"/>
  <c r="AG39" i="6"/>
  <c r="DY6" i="19"/>
  <c r="W67" i="14"/>
  <c r="Y41" i="14"/>
  <c r="Y51" i="7"/>
  <c r="Y57" i="7" s="1"/>
  <c r="Y38" i="7"/>
  <c r="Y48" i="14" s="1"/>
  <c r="Y66" i="14" s="1"/>
  <c r="DU6" i="19"/>
  <c r="X14" i="15"/>
  <c r="W12" i="15"/>
  <c r="AE26" i="9"/>
  <c r="AD44" i="9"/>
  <c r="Z12" i="16"/>
  <c r="AB23" i="4"/>
  <c r="F7" i="15"/>
  <c r="D35" i="15"/>
  <c r="AA63" i="14"/>
  <c r="AF5" i="13"/>
  <c r="AA31" i="7" s="1"/>
  <c r="Z63" i="14"/>
  <c r="AE5" i="13"/>
  <c r="Z31" i="7" s="1"/>
  <c r="H143" i="14"/>
  <c r="E200" i="14" s="1"/>
  <c r="P87" i="14"/>
  <c r="H96" i="14"/>
  <c r="X50" i="14"/>
  <c r="H125" i="16"/>
  <c r="H18" i="16"/>
  <c r="AA78" i="14"/>
  <c r="J55" i="16"/>
  <c r="X15" i="16"/>
  <c r="W134" i="16"/>
  <c r="AC27" i="6"/>
  <c r="AE28" i="6"/>
  <c r="DS2" i="19"/>
  <c r="DU2" i="19"/>
  <c r="DY2" i="19"/>
  <c r="DS3" i="19"/>
  <c r="DY3" i="19"/>
  <c r="DU3" i="19"/>
  <c r="X135" i="16"/>
  <c r="Y16" i="16"/>
  <c r="F149" i="14"/>
  <c r="J93" i="14"/>
  <c r="DS5" i="19"/>
  <c r="DU5" i="19"/>
  <c r="DY5" i="19"/>
  <c r="DT11" i="19"/>
  <c r="M23" i="15"/>
  <c r="M27" i="15" s="1"/>
  <c r="AE34" i="9"/>
  <c r="AD33" i="9"/>
  <c r="AA13" i="15"/>
  <c r="DP11" i="19"/>
  <c r="DX2" i="19"/>
  <c r="DX3" i="19"/>
  <c r="ED3" i="19"/>
  <c r="DZ3" i="19"/>
  <c r="DS10" i="19"/>
  <c r="DY10" i="19"/>
  <c r="DU10" i="19"/>
  <c r="AA9" i="16"/>
  <c r="AB25" i="4"/>
  <c r="AB27" i="4" s="1"/>
  <c r="AE50" i="6"/>
  <c r="AE9" i="14" s="1"/>
  <c r="AF29" i="6"/>
  <c r="O17" i="16"/>
  <c r="O68" i="14"/>
  <c r="O55" i="14"/>
  <c r="O57" i="14" s="1"/>
  <c r="O70" i="14" s="1"/>
  <c r="Z128" i="16"/>
  <c r="K49" i="16"/>
  <c r="AD8" i="4"/>
  <c r="AB37" i="6"/>
  <c r="AD7" i="4" s="1"/>
  <c r="AC38" i="6"/>
  <c r="T84" i="14"/>
  <c r="I140" i="14"/>
  <c r="J137" i="14"/>
  <c r="W81" i="14"/>
  <c r="R12" i="17"/>
  <c r="I95" i="14"/>
  <c r="U83" i="14"/>
  <c r="G146" i="14"/>
  <c r="M90" i="14"/>
  <c r="N90" i="14" s="1"/>
  <c r="DU8" i="19"/>
  <c r="L92" i="14"/>
  <c r="AD21" i="4"/>
  <c r="AD18" i="4"/>
  <c r="AC20" i="4"/>
  <c r="AE22" i="4"/>
  <c r="AC26" i="4" s="1"/>
  <c r="AD17" i="4"/>
  <c r="AC11" i="4"/>
  <c r="K51" i="15"/>
  <c r="W51" i="15" s="1"/>
  <c r="AC24" i="15"/>
  <c r="AD24" i="15" s="1"/>
  <c r="O88" i="14"/>
  <c r="O89" i="14" s="1"/>
  <c r="Z18" i="14"/>
  <c r="Z12" i="7"/>
  <c r="Z20" i="14" s="1"/>
  <c r="Z64" i="14" s="1"/>
  <c r="AB11" i="18"/>
  <c r="EH63" i="19" l="1"/>
  <c r="EL63" i="19" s="1"/>
  <c r="EJ63" i="19"/>
  <c r="EI63" i="19" s="1"/>
  <c r="FB29" i="19"/>
  <c r="FF29" i="19" s="1"/>
  <c r="EY29" i="19"/>
  <c r="EX29" i="19" s="1"/>
  <c r="EH62" i="19"/>
  <c r="EL62" i="19" s="1"/>
  <c r="EJ62" i="19"/>
  <c r="EI62" i="19" s="1"/>
  <c r="EM31" i="19"/>
  <c r="EQ31" i="19" s="1"/>
  <c r="EJ31" i="19"/>
  <c r="EI31" i="19" s="1"/>
  <c r="EH48" i="19"/>
  <c r="EL48" i="19" s="1"/>
  <c r="EJ48" i="19"/>
  <c r="EI48" i="19" s="1"/>
  <c r="ER41" i="19"/>
  <c r="EV41" i="19" s="1"/>
  <c r="ET41" i="19" s="1"/>
  <c r="EO41" i="19"/>
  <c r="EN41" i="19" s="1"/>
  <c r="EH50" i="19"/>
  <c r="EL50" i="19" s="1"/>
  <c r="EJ50" i="19"/>
  <c r="EI50" i="19" s="1"/>
  <c r="EH83" i="19"/>
  <c r="EL83" i="19" s="1"/>
  <c r="EJ83" i="19"/>
  <c r="EI83" i="19" s="1"/>
  <c r="EJ67" i="19"/>
  <c r="EI67" i="19" s="1"/>
  <c r="EH67" i="19"/>
  <c r="EL67" i="19" s="1"/>
  <c r="EH81" i="19"/>
  <c r="EL81" i="19" s="1"/>
  <c r="EJ81" i="19"/>
  <c r="EI81" i="19" s="1"/>
  <c r="EH57" i="19"/>
  <c r="EL57" i="19"/>
  <c r="EJ57" i="19"/>
  <c r="EI57" i="19" s="1"/>
  <c r="EJ79" i="19"/>
  <c r="EI79" i="19" s="1"/>
  <c r="EH79" i="19"/>
  <c r="EL79" i="19" s="1"/>
  <c r="EQ32" i="19"/>
  <c r="EM32" i="19"/>
  <c r="EW21" i="19"/>
  <c r="FA21" i="19" s="1"/>
  <c r="EJ90" i="19"/>
  <c r="EI90" i="19" s="1"/>
  <c r="EH90" i="19"/>
  <c r="EL90" i="19" s="1"/>
  <c r="EJ44" i="19"/>
  <c r="EI44" i="19" s="1"/>
  <c r="EH44" i="19"/>
  <c r="EL44" i="19" s="1"/>
  <c r="EL93" i="19"/>
  <c r="EJ93" i="19"/>
  <c r="EI93" i="19" s="1"/>
  <c r="EH93" i="19"/>
  <c r="EJ43" i="19"/>
  <c r="EI43" i="19" s="1"/>
  <c r="EH43" i="19"/>
  <c r="EL43" i="19" s="1"/>
  <c r="EH95" i="19"/>
  <c r="EL95" i="19" s="1"/>
  <c r="EJ95" i="19"/>
  <c r="EI95" i="19" s="1"/>
  <c r="EN28" i="19"/>
  <c r="EN30" i="19"/>
  <c r="EH55" i="19"/>
  <c r="EL55" i="19" s="1"/>
  <c r="EJ55" i="19"/>
  <c r="EI55" i="19" s="1"/>
  <c r="FB26" i="19"/>
  <c r="FF26" i="19" s="1"/>
  <c r="FD26" i="19" s="1"/>
  <c r="FC26" i="19" s="1"/>
  <c r="EJ75" i="19"/>
  <c r="EI75" i="19" s="1"/>
  <c r="EH75" i="19"/>
  <c r="EL75" i="19" s="1"/>
  <c r="EJ92" i="19"/>
  <c r="EI92" i="19" s="1"/>
  <c r="EH92" i="19"/>
  <c r="EL92" i="19" s="1"/>
  <c r="EJ65" i="19"/>
  <c r="EI65" i="19" s="1"/>
  <c r="EH65" i="19"/>
  <c r="EL65" i="19" s="1"/>
  <c r="EH70" i="19"/>
  <c r="EL70" i="19" s="1"/>
  <c r="EJ70" i="19"/>
  <c r="EI70" i="19" s="1"/>
  <c r="EJ73" i="19"/>
  <c r="EI73" i="19" s="1"/>
  <c r="EH73" i="19"/>
  <c r="EL73" i="19"/>
  <c r="EH94" i="19"/>
  <c r="EL94" i="19" s="1"/>
  <c r="EJ94" i="19"/>
  <c r="EI94" i="19" s="1"/>
  <c r="EJ74" i="19"/>
  <c r="EI74" i="19" s="1"/>
  <c r="EH74" i="19"/>
  <c r="EL74" i="19" s="1"/>
  <c r="FB37" i="19"/>
  <c r="FF37" i="19" s="1"/>
  <c r="EJ47" i="19"/>
  <c r="EI47" i="19" s="1"/>
  <c r="EH47" i="19"/>
  <c r="EL47" i="19" s="1"/>
  <c r="ER28" i="19"/>
  <c r="EV28" i="19" s="1"/>
  <c r="ET28" i="19" s="1"/>
  <c r="ES28" i="19" s="1"/>
  <c r="ER30" i="19"/>
  <c r="EV30" i="19" s="1"/>
  <c r="ET30" i="19" s="1"/>
  <c r="ES30" i="19" s="1"/>
  <c r="EH91" i="19"/>
  <c r="EL91" i="19"/>
  <c r="EJ91" i="19"/>
  <c r="EI91" i="19" s="1"/>
  <c r="EH53" i="19"/>
  <c r="EL53" i="19" s="1"/>
  <c r="EJ53" i="19"/>
  <c r="EI53" i="19" s="1"/>
  <c r="EH96" i="19"/>
  <c r="EL96" i="19" s="1"/>
  <c r="EJ96" i="19"/>
  <c r="EI96" i="19" s="1"/>
  <c r="ER36" i="19"/>
  <c r="EV36" i="19" s="1"/>
  <c r="ET36" i="19"/>
  <c r="ES36" i="19" s="1"/>
  <c r="EJ69" i="19"/>
  <c r="EI69" i="19" s="1"/>
  <c r="EH69" i="19"/>
  <c r="EL69" i="19" s="1"/>
  <c r="EJ49" i="19"/>
  <c r="EI49" i="19" s="1"/>
  <c r="EH49" i="19"/>
  <c r="EL49" i="19" s="1"/>
  <c r="EH88" i="19"/>
  <c r="EJ88" i="19"/>
  <c r="EI88" i="19" s="1"/>
  <c r="EL88" i="19"/>
  <c r="FB38" i="19"/>
  <c r="FF38" i="19" s="1"/>
  <c r="FD38" i="19" s="1"/>
  <c r="FC38" i="19" s="1"/>
  <c r="EJ76" i="19"/>
  <c r="EI76" i="19" s="1"/>
  <c r="EH76" i="19"/>
  <c r="EL76" i="19" s="1"/>
  <c r="ET27" i="19"/>
  <c r="ES27" i="19" s="1"/>
  <c r="EW27" i="19"/>
  <c r="FA27" i="19" s="1"/>
  <c r="EW39" i="19"/>
  <c r="FA39" i="19" s="1"/>
  <c r="EY39" i="19" s="1"/>
  <c r="FA19" i="19"/>
  <c r="EY19" i="19" s="1"/>
  <c r="EX19" i="19" s="1"/>
  <c r="EW19" i="19"/>
  <c r="EJ68" i="19"/>
  <c r="EI68" i="19" s="1"/>
  <c r="EH68" i="19"/>
  <c r="EL68" i="19" s="1"/>
  <c r="EM42" i="19"/>
  <c r="EQ42" i="19" s="1"/>
  <c r="EJ60" i="19"/>
  <c r="EI60" i="19" s="1"/>
  <c r="EH60" i="19"/>
  <c r="EL60" i="19" s="1"/>
  <c r="EL89" i="19"/>
  <c r="EJ89" i="19"/>
  <c r="EI89" i="19" s="1"/>
  <c r="EH89" i="19"/>
  <c r="EH52" i="19"/>
  <c r="EL52" i="19"/>
  <c r="EJ52" i="19"/>
  <c r="EI52" i="19" s="1"/>
  <c r="EJ71" i="19"/>
  <c r="EI71" i="19" s="1"/>
  <c r="EH71" i="19"/>
  <c r="EL71" i="19" s="1"/>
  <c r="EL77" i="19"/>
  <c r="EH77" i="19"/>
  <c r="EJ77" i="19"/>
  <c r="EI77" i="19" s="1"/>
  <c r="ER35" i="19"/>
  <c r="EV35" i="19" s="1"/>
  <c r="ET35" i="19"/>
  <c r="ES35" i="19" s="1"/>
  <c r="EE34" i="19"/>
  <c r="ED34" i="19" s="1"/>
  <c r="EH34" i="19"/>
  <c r="EL34" i="19"/>
  <c r="EJ34" i="19" s="1"/>
  <c r="EI34" i="19" s="1"/>
  <c r="ET33" i="19"/>
  <c r="ES33" i="19" s="1"/>
  <c r="ER33" i="19"/>
  <c r="EV33" i="19" s="1"/>
  <c r="EL82" i="19"/>
  <c r="EJ82" i="19"/>
  <c r="EI82" i="19" s="1"/>
  <c r="EH82" i="19"/>
  <c r="EJ58" i="19"/>
  <c r="EI58" i="19" s="1"/>
  <c r="EH58" i="19"/>
  <c r="EL58" i="19" s="1"/>
  <c r="EH84" i="19"/>
  <c r="EL84" i="19" s="1"/>
  <c r="EJ84" i="19"/>
  <c r="EI84" i="19" s="1"/>
  <c r="EJ78" i="19"/>
  <c r="EI78" i="19" s="1"/>
  <c r="EH78" i="19"/>
  <c r="EL78" i="19" s="1"/>
  <c r="ET39" i="19"/>
  <c r="ES39" i="19" s="1"/>
  <c r="ET19" i="19"/>
  <c r="ES19" i="19" s="1"/>
  <c r="EO23" i="19"/>
  <c r="EN23" i="19" s="1"/>
  <c r="ER23" i="19"/>
  <c r="EV23" i="19" s="1"/>
  <c r="ET23" i="19" s="1"/>
  <c r="ES23" i="19" s="1"/>
  <c r="EJ46" i="19"/>
  <c r="EI46" i="19" s="1"/>
  <c r="EH46" i="19"/>
  <c r="EL46" i="19" s="1"/>
  <c r="EJ51" i="19"/>
  <c r="EI51" i="19" s="1"/>
  <c r="EH51" i="19"/>
  <c r="EL51" i="19" s="1"/>
  <c r="EJ59" i="19"/>
  <c r="EI59" i="19" s="1"/>
  <c r="EH59" i="19"/>
  <c r="EL59" i="19" s="1"/>
  <c r="EH85" i="19"/>
  <c r="EL85" i="19" s="1"/>
  <c r="EJ85" i="19"/>
  <c r="EI85" i="19" s="1"/>
  <c r="EW24" i="19"/>
  <c r="FA24" i="19" s="1"/>
  <c r="EH61" i="19"/>
  <c r="EL61" i="19" s="1"/>
  <c r="EJ61" i="19"/>
  <c r="EI61" i="19" s="1"/>
  <c r="EH86" i="19"/>
  <c r="EL86" i="19" s="1"/>
  <c r="EJ86" i="19"/>
  <c r="EI86" i="19" s="1"/>
  <c r="EY40" i="19"/>
  <c r="EW40" i="19"/>
  <c r="FA40" i="19" s="1"/>
  <c r="EH80" i="19"/>
  <c r="EL80" i="19"/>
  <c r="EJ80" i="19"/>
  <c r="EI80" i="19" s="1"/>
  <c r="EJ54" i="19"/>
  <c r="EI54" i="19" s="1"/>
  <c r="EH54" i="19"/>
  <c r="EL54" i="19"/>
  <c r="ET25" i="19"/>
  <c r="ES25" i="19" s="1"/>
  <c r="FA25" i="19"/>
  <c r="EW25" i="19"/>
  <c r="EY25" i="19"/>
  <c r="EJ64" i="19"/>
  <c r="EI64" i="19" s="1"/>
  <c r="EH64" i="19"/>
  <c r="EL64" i="19" s="1"/>
  <c r="EJ87" i="19"/>
  <c r="EI87" i="19" s="1"/>
  <c r="EH87" i="19"/>
  <c r="EL87" i="19" s="1"/>
  <c r="EL72" i="19"/>
  <c r="EH72" i="19"/>
  <c r="EJ72" i="19"/>
  <c r="EI72" i="19" s="1"/>
  <c r="ET24" i="19"/>
  <c r="ES24" i="19" s="1"/>
  <c r="EY26" i="19"/>
  <c r="EX26" i="19" s="1"/>
  <c r="EJ45" i="19"/>
  <c r="EI45" i="19" s="1"/>
  <c r="EH45" i="19"/>
  <c r="EL45" i="19" s="1"/>
  <c r="EJ66" i="19"/>
  <c r="EI66" i="19" s="1"/>
  <c r="EH66" i="19"/>
  <c r="EL66" i="19" s="1"/>
  <c r="EW22" i="19"/>
  <c r="FA22" i="19" s="1"/>
  <c r="FA20" i="19"/>
  <c r="EY20" i="19" s="1"/>
  <c r="EX20" i="19" s="1"/>
  <c r="EW20" i="19"/>
  <c r="ET40" i="19"/>
  <c r="ES40" i="19" s="1"/>
  <c r="EH56" i="19"/>
  <c r="EL56" i="19" s="1"/>
  <c r="EJ56" i="19"/>
  <c r="EI56" i="19" s="1"/>
  <c r="Y64" i="14"/>
  <c r="Y22" i="14"/>
  <c r="Y65" i="14" s="1"/>
  <c r="AA10" i="7"/>
  <c r="AA18" i="14" s="1"/>
  <c r="DS11" i="19"/>
  <c r="H97" i="14"/>
  <c r="ED2" i="19"/>
  <c r="I96" i="14"/>
  <c r="EC8" i="19"/>
  <c r="Y9" i="15"/>
  <c r="J36" i="15" s="1"/>
  <c r="AC27" i="4"/>
  <c r="AE24" i="15"/>
  <c r="AB9" i="16"/>
  <c r="AC25" i="4"/>
  <c r="O136" i="16"/>
  <c r="DZ2" i="19"/>
  <c r="DU11" i="19"/>
  <c r="AC42" i="9"/>
  <c r="H144" i="14"/>
  <c r="E201" i="14" s="1"/>
  <c r="P88" i="14"/>
  <c r="S7" i="17"/>
  <c r="N21" i="15"/>
  <c r="N19" i="15" s="1"/>
  <c r="AE8" i="4"/>
  <c r="AE38" i="6"/>
  <c r="AC37" i="6"/>
  <c r="AE7" i="4" s="1"/>
  <c r="C107" i="3" a="1"/>
  <c r="C107" i="3" s="1"/>
  <c r="C113" i="3" s="1"/>
  <c r="C118" i="3" s="1"/>
  <c r="AG29" i="6"/>
  <c r="AF50" i="6"/>
  <c r="AF9" i="14" s="1"/>
  <c r="Y135" i="16"/>
  <c r="Z16" i="16"/>
  <c r="AC49" i="6"/>
  <c r="H137" i="16"/>
  <c r="H19" i="16"/>
  <c r="G147" i="14"/>
  <c r="M91" i="14"/>
  <c r="N91" i="14" s="1"/>
  <c r="J138" i="14"/>
  <c r="W82" i="14"/>
  <c r="AG22" i="4"/>
  <c r="AD26" i="4" s="1"/>
  <c r="AE21" i="4"/>
  <c r="AE17" i="4"/>
  <c r="AE18" i="4"/>
  <c r="AD20" i="4"/>
  <c r="AD11" i="4"/>
  <c r="AB13" i="15"/>
  <c r="AF28" i="6"/>
  <c r="AE27" i="6"/>
  <c r="Z22" i="14"/>
  <c r="D34" i="15"/>
  <c r="F16" i="15"/>
  <c r="D43" i="15" s="1"/>
  <c r="AE44" i="9"/>
  <c r="AF26" i="9"/>
  <c r="Y20" i="15"/>
  <c r="AC43" i="4"/>
  <c r="DZ7" i="19"/>
  <c r="DX4" i="19"/>
  <c r="ED4" i="19"/>
  <c r="DZ4" i="19"/>
  <c r="AD24" i="9"/>
  <c r="AE25" i="9"/>
  <c r="AD43" i="9"/>
  <c r="Z41" i="14"/>
  <c r="Z51" i="7"/>
  <c r="Z57" i="7" s="1"/>
  <c r="Z38" i="7"/>
  <c r="Z48" i="14" s="1"/>
  <c r="Z66" i="14" s="1"/>
  <c r="ED7" i="19"/>
  <c r="AI9" i="4"/>
  <c r="AI13" i="4" s="1"/>
  <c r="AH39" i="6"/>
  <c r="O90" i="14"/>
  <c r="U84" i="14"/>
  <c r="AA128" i="16"/>
  <c r="AE33" i="9"/>
  <c r="AF34" i="9"/>
  <c r="J94" i="14"/>
  <c r="F150" i="14"/>
  <c r="X67" i="14"/>
  <c r="AA41" i="14"/>
  <c r="AA51" i="7"/>
  <c r="AA57" i="7" s="1"/>
  <c r="AA38" i="7"/>
  <c r="AA48" i="14" s="1"/>
  <c r="AA66" i="14" s="1"/>
  <c r="Y14" i="15"/>
  <c r="X12" i="15"/>
  <c r="Z79" i="14"/>
  <c r="AA79" i="14" s="1"/>
  <c r="K135" i="14"/>
  <c r="AB48" i="6"/>
  <c r="AB10" i="14" s="1"/>
  <c r="AA12" i="16"/>
  <c r="AA131" i="16" s="1"/>
  <c r="AC23" i="4"/>
  <c r="Z131" i="16"/>
  <c r="K52" i="16"/>
  <c r="G98" i="14"/>
  <c r="E154" i="14"/>
  <c r="DX6" i="19"/>
  <c r="ED6" i="19"/>
  <c r="DZ6" i="19"/>
  <c r="DZ10" i="19"/>
  <c r="AB78" i="14"/>
  <c r="X81" i="14"/>
  <c r="Y81" i="14" s="1"/>
  <c r="I141" i="14"/>
  <c r="T85" i="14"/>
  <c r="DX5" i="19"/>
  <c r="DZ5" i="19"/>
  <c r="ED5" i="19"/>
  <c r="N25" i="15"/>
  <c r="DY11" i="19"/>
  <c r="Y15" i="16"/>
  <c r="X134" i="16"/>
  <c r="V83" i="14"/>
  <c r="V84" i="14" s="1"/>
  <c r="DX8" i="19"/>
  <c r="ED8" i="19"/>
  <c r="DZ8" i="19"/>
  <c r="ED10" i="19"/>
  <c r="K93" i="14"/>
  <c r="AA12" i="7"/>
  <c r="AA20" i="14" s="1"/>
  <c r="AC11" i="18"/>
  <c r="EX39" i="19" l="1"/>
  <c r="ES41" i="19"/>
  <c r="EX40" i="19"/>
  <c r="EO79" i="19"/>
  <c r="EN79" i="19" s="1"/>
  <c r="EM79" i="19"/>
  <c r="EQ79" i="19" s="1"/>
  <c r="EO48" i="19"/>
  <c r="EN48" i="19" s="1"/>
  <c r="EM48" i="19"/>
  <c r="EQ48" i="19"/>
  <c r="EM86" i="19"/>
  <c r="EQ86" i="19" s="1"/>
  <c r="EO86" i="19"/>
  <c r="EN86" i="19" s="1"/>
  <c r="EO94" i="19"/>
  <c r="EN94" i="19" s="1"/>
  <c r="EM94" i="19"/>
  <c r="EQ94" i="19" s="1"/>
  <c r="EO44" i="19"/>
  <c r="EN44" i="19" s="1"/>
  <c r="EM44" i="19"/>
  <c r="EQ44" i="19" s="1"/>
  <c r="EO83" i="19"/>
  <c r="EN83" i="19" s="1"/>
  <c r="EM83" i="19"/>
  <c r="EQ83" i="19" s="1"/>
  <c r="EO31" i="19"/>
  <c r="EN31" i="19" s="1"/>
  <c r="ER31" i="19"/>
  <c r="EV31" i="19" s="1"/>
  <c r="EM61" i="19"/>
  <c r="EQ61" i="19" s="1"/>
  <c r="EO61" i="19"/>
  <c r="EN61" i="19" s="1"/>
  <c r="EO96" i="19"/>
  <c r="EN96" i="19" s="1"/>
  <c r="EM96" i="19"/>
  <c r="EQ96" i="19" s="1"/>
  <c r="EM95" i="19"/>
  <c r="EQ95" i="19"/>
  <c r="EO95" i="19"/>
  <c r="EN95" i="19" s="1"/>
  <c r="EO90" i="19"/>
  <c r="EN90" i="19" s="1"/>
  <c r="EM90" i="19"/>
  <c r="EQ90" i="19" s="1"/>
  <c r="FB27" i="19"/>
  <c r="FF27" i="19" s="1"/>
  <c r="FD27" i="19"/>
  <c r="FC27" i="19" s="1"/>
  <c r="EY27" i="19"/>
  <c r="EX27" i="19" s="1"/>
  <c r="EO50" i="19"/>
  <c r="EN50" i="19" s="1"/>
  <c r="EM50" i="19"/>
  <c r="EQ50" i="19" s="1"/>
  <c r="FG37" i="19"/>
  <c r="FK37" i="19" s="1"/>
  <c r="FI37" i="19"/>
  <c r="FH37" i="19" s="1"/>
  <c r="FD37" i="19"/>
  <c r="FC37" i="19" s="1"/>
  <c r="FB21" i="19"/>
  <c r="FF21" i="19"/>
  <c r="FD21" i="19" s="1"/>
  <c r="FC21" i="19" s="1"/>
  <c r="EY21" i="19"/>
  <c r="EX21" i="19" s="1"/>
  <c r="FB24" i="19"/>
  <c r="FF24" i="19" s="1"/>
  <c r="EY24" i="19"/>
  <c r="EX24" i="19" s="1"/>
  <c r="EM84" i="19"/>
  <c r="EQ84" i="19" s="1"/>
  <c r="EO84" i="19"/>
  <c r="EN84" i="19" s="1"/>
  <c r="FK29" i="19"/>
  <c r="FI29" i="19" s="1"/>
  <c r="FG29" i="19"/>
  <c r="FD29" i="19"/>
  <c r="FC29" i="19" s="1"/>
  <c r="FB22" i="19"/>
  <c r="FF22" i="19" s="1"/>
  <c r="FD22" i="19"/>
  <c r="EY22" i="19"/>
  <c r="EX22" i="19" s="1"/>
  <c r="EO85" i="19"/>
  <c r="EN85" i="19" s="1"/>
  <c r="EM85" i="19"/>
  <c r="EQ85" i="19" s="1"/>
  <c r="EO69" i="19"/>
  <c r="EN69" i="19" s="1"/>
  <c r="EM69" i="19"/>
  <c r="EQ69" i="19" s="1"/>
  <c r="EO81" i="19"/>
  <c r="EN81" i="19" s="1"/>
  <c r="EM81" i="19"/>
  <c r="EQ81" i="19" s="1"/>
  <c r="EM65" i="19"/>
  <c r="EQ65" i="19"/>
  <c r="EO65" i="19"/>
  <c r="EN65" i="19" s="1"/>
  <c r="EO67" i="19"/>
  <c r="EN67" i="19" s="1"/>
  <c r="EM67" i="19"/>
  <c r="EQ67" i="19" s="1"/>
  <c r="EQ78" i="19"/>
  <c r="EO78" i="19"/>
  <c r="EN78" i="19" s="1"/>
  <c r="EM78" i="19"/>
  <c r="EW36" i="19"/>
  <c r="FA36" i="19" s="1"/>
  <c r="EY36" i="19" s="1"/>
  <c r="EX36" i="19" s="1"/>
  <c r="EO93" i="19"/>
  <c r="EN93" i="19" s="1"/>
  <c r="EM93" i="19"/>
  <c r="EQ93" i="19" s="1"/>
  <c r="EO57" i="19"/>
  <c r="EN57" i="19" s="1"/>
  <c r="EM57" i="19"/>
  <c r="EQ57" i="19" s="1"/>
  <c r="EO62" i="19"/>
  <c r="EN62" i="19" s="1"/>
  <c r="EM62" i="19"/>
  <c r="EQ62" i="19" s="1"/>
  <c r="ER42" i="19"/>
  <c r="EV42" i="19" s="1"/>
  <c r="EQ88" i="19"/>
  <c r="EO88" i="19"/>
  <c r="EN88" i="19" s="1"/>
  <c r="EM88" i="19"/>
  <c r="EM91" i="19"/>
  <c r="EQ91" i="19" s="1"/>
  <c r="EO91" i="19"/>
  <c r="EN91" i="19" s="1"/>
  <c r="EM73" i="19"/>
  <c r="EQ73" i="19" s="1"/>
  <c r="EO73" i="19"/>
  <c r="EN73" i="19" s="1"/>
  <c r="EM46" i="19"/>
  <c r="EQ46" i="19" s="1"/>
  <c r="EO46" i="19"/>
  <c r="EN46" i="19" s="1"/>
  <c r="EO82" i="19"/>
  <c r="EN82" i="19" s="1"/>
  <c r="EM82" i="19"/>
  <c r="EQ82" i="19" s="1"/>
  <c r="EO45" i="19"/>
  <c r="EN45" i="19" s="1"/>
  <c r="EM45" i="19"/>
  <c r="EQ45" i="19" s="1"/>
  <c r="EW33" i="19"/>
  <c r="FA33" i="19" s="1"/>
  <c r="EO75" i="19"/>
  <c r="EN75" i="19" s="1"/>
  <c r="EM75" i="19"/>
  <c r="EQ75" i="19" s="1"/>
  <c r="EO56" i="19"/>
  <c r="EN56" i="19" s="1"/>
  <c r="EM56" i="19"/>
  <c r="EQ56" i="19" s="1"/>
  <c r="EM92" i="19"/>
  <c r="EQ92" i="19" s="1"/>
  <c r="EO92" i="19"/>
  <c r="EN92" i="19" s="1"/>
  <c r="EO87" i="19"/>
  <c r="EN87" i="19" s="1"/>
  <c r="EM87" i="19"/>
  <c r="EQ87" i="19" s="1"/>
  <c r="EM54" i="19"/>
  <c r="EQ54" i="19" s="1"/>
  <c r="EO54" i="19"/>
  <c r="EN54" i="19" s="1"/>
  <c r="EW35" i="19"/>
  <c r="FA35" i="19" s="1"/>
  <c r="EO68" i="19"/>
  <c r="EN68" i="19" s="1"/>
  <c r="EM68" i="19"/>
  <c r="EQ68" i="19" s="1"/>
  <c r="EO64" i="19"/>
  <c r="EN64" i="19" s="1"/>
  <c r="EM64" i="19"/>
  <c r="EQ64" i="19"/>
  <c r="EO49" i="19"/>
  <c r="EN49" i="19" s="1"/>
  <c r="EM49" i="19"/>
  <c r="EQ49" i="19" s="1"/>
  <c r="FA30" i="19"/>
  <c r="EW30" i="19"/>
  <c r="EM74" i="19"/>
  <c r="EQ74" i="19" s="1"/>
  <c r="EO74" i="19"/>
  <c r="EN74" i="19" s="1"/>
  <c r="EO66" i="19"/>
  <c r="EN66" i="19" s="1"/>
  <c r="EM66" i="19"/>
  <c r="EQ66" i="19" s="1"/>
  <c r="EO72" i="19"/>
  <c r="EN72" i="19" s="1"/>
  <c r="EM72" i="19"/>
  <c r="EQ72" i="19" s="1"/>
  <c r="EO52" i="19"/>
  <c r="EN52" i="19" s="1"/>
  <c r="EM52" i="19"/>
  <c r="EQ52" i="19" s="1"/>
  <c r="EW41" i="19"/>
  <c r="FA41" i="19" s="1"/>
  <c r="FB20" i="19"/>
  <c r="FF20" i="19" s="1"/>
  <c r="FD20" i="19"/>
  <c r="FC20" i="19" s="1"/>
  <c r="FA23" i="19"/>
  <c r="EW23" i="19"/>
  <c r="EO77" i="19"/>
  <c r="EN77" i="19" s="1"/>
  <c r="EM77" i="19"/>
  <c r="EQ77" i="19"/>
  <c r="EO89" i="19"/>
  <c r="EN89" i="19" s="1"/>
  <c r="EM89" i="19"/>
  <c r="EQ89" i="19" s="1"/>
  <c r="EQ76" i="19"/>
  <c r="EO76" i="19"/>
  <c r="EN76" i="19" s="1"/>
  <c r="EM76" i="19"/>
  <c r="EO70" i="19"/>
  <c r="EN70" i="19" s="1"/>
  <c r="EM70" i="19"/>
  <c r="EQ70" i="19" s="1"/>
  <c r="EO32" i="19"/>
  <c r="EN32" i="19" s="1"/>
  <c r="ER32" i="19"/>
  <c r="EV32" i="19" s="1"/>
  <c r="ET32" i="19"/>
  <c r="EX25" i="19"/>
  <c r="EO80" i="19"/>
  <c r="EN80" i="19" s="1"/>
  <c r="EM80" i="19"/>
  <c r="EQ80" i="19" s="1"/>
  <c r="EO59" i="19"/>
  <c r="EN59" i="19" s="1"/>
  <c r="EQ59" i="19"/>
  <c r="EM59" i="19"/>
  <c r="EO58" i="19"/>
  <c r="EN58" i="19" s="1"/>
  <c r="EM58" i="19"/>
  <c r="EQ58" i="19" s="1"/>
  <c r="EM34" i="19"/>
  <c r="EQ34" i="19" s="1"/>
  <c r="EO34" i="19"/>
  <c r="EN34" i="19" s="1"/>
  <c r="EO71" i="19"/>
  <c r="EN71" i="19" s="1"/>
  <c r="EM71" i="19"/>
  <c r="EQ71" i="19" s="1"/>
  <c r="EO60" i="19"/>
  <c r="EN60" i="19" s="1"/>
  <c r="EM60" i="19"/>
  <c r="EQ60" i="19" s="1"/>
  <c r="FB19" i="19"/>
  <c r="FF19" i="19" s="1"/>
  <c r="EW28" i="19"/>
  <c r="FA28" i="19" s="1"/>
  <c r="FG26" i="19"/>
  <c r="FK26" i="19" s="1"/>
  <c r="FI26" i="19"/>
  <c r="FH26" i="19" s="1"/>
  <c r="EO43" i="19"/>
  <c r="EN43" i="19" s="1"/>
  <c r="EM43" i="19"/>
  <c r="EQ43" i="19" s="1"/>
  <c r="EQ53" i="19"/>
  <c r="EO53" i="19"/>
  <c r="EN53" i="19" s="1"/>
  <c r="EM53" i="19"/>
  <c r="EO47" i="19"/>
  <c r="EN47" i="19" s="1"/>
  <c r="EM47" i="19"/>
  <c r="EQ47" i="19" s="1"/>
  <c r="FB25" i="19"/>
  <c r="FF25" i="19" s="1"/>
  <c r="FD25" i="19" s="1"/>
  <c r="FC25" i="19" s="1"/>
  <c r="FB40" i="19"/>
  <c r="FF40" i="19" s="1"/>
  <c r="FD40" i="19"/>
  <c r="FC40" i="19" s="1"/>
  <c r="EO51" i="19"/>
  <c r="EN51" i="19" s="1"/>
  <c r="EM51" i="19"/>
  <c r="EQ51" i="19" s="1"/>
  <c r="EO42" i="19"/>
  <c r="EN42" i="19" s="1"/>
  <c r="FB39" i="19"/>
  <c r="FF39" i="19" s="1"/>
  <c r="FD39" i="19" s="1"/>
  <c r="FC39" i="19" s="1"/>
  <c r="FG38" i="19"/>
  <c r="FK38" i="19" s="1"/>
  <c r="FI38" i="19"/>
  <c r="FH38" i="19" s="1"/>
  <c r="EO55" i="19"/>
  <c r="EN55" i="19" s="1"/>
  <c r="EM55" i="19"/>
  <c r="EQ55" i="19" s="1"/>
  <c r="EO63" i="19"/>
  <c r="EN63" i="19" s="1"/>
  <c r="EM63" i="19"/>
  <c r="EQ63" i="19" s="1"/>
  <c r="DX11" i="19"/>
  <c r="Y50" i="14"/>
  <c r="Y67" i="14" s="1"/>
  <c r="AB10" i="7"/>
  <c r="AB18" i="14" s="1"/>
  <c r="K94" i="14"/>
  <c r="L93" i="14"/>
  <c r="I97" i="14"/>
  <c r="EE8" i="19"/>
  <c r="ED11" i="19"/>
  <c r="EI8" i="19"/>
  <c r="EH10" i="19"/>
  <c r="I142" i="14"/>
  <c r="T86" i="14"/>
  <c r="J95" i="14"/>
  <c r="F151" i="14"/>
  <c r="AJ9" i="4"/>
  <c r="AJ13" i="4" s="1"/>
  <c r="AI39" i="6"/>
  <c r="H138" i="16"/>
  <c r="H33" i="16"/>
  <c r="AH22" i="4"/>
  <c r="AE26" i="4" s="1"/>
  <c r="AF26" i="4" s="1"/>
  <c r="AG21" i="4"/>
  <c r="AE11" i="4"/>
  <c r="AE20" i="4"/>
  <c r="DZ11" i="19"/>
  <c r="EC3" i="19"/>
  <c r="EI3" i="19"/>
  <c r="EE3" i="19"/>
  <c r="EH7" i="19"/>
  <c r="AF33" i="9"/>
  <c r="AG34" i="9"/>
  <c r="Z20" i="15"/>
  <c r="AD43" i="4"/>
  <c r="G148" i="14"/>
  <c r="M92" i="14"/>
  <c r="N92" i="14" s="1"/>
  <c r="AG8" i="4"/>
  <c r="AE37" i="6"/>
  <c r="AG7" i="4" s="1"/>
  <c r="AF38" i="6"/>
  <c r="G99" i="14"/>
  <c r="E155" i="14"/>
  <c r="H98" i="14"/>
  <c r="X82" i="14"/>
  <c r="X83" i="14" s="1"/>
  <c r="J47" i="15"/>
  <c r="Z65" i="14"/>
  <c r="Z50" i="14"/>
  <c r="AB12" i="16"/>
  <c r="AB131" i="16" s="1"/>
  <c r="AD23" i="4"/>
  <c r="AC8" i="14"/>
  <c r="AC77" i="14" s="1"/>
  <c r="AC48" i="6"/>
  <c r="AC10" i="14" s="1"/>
  <c r="AB79" i="14"/>
  <c r="U85" i="14"/>
  <c r="U86" i="14" s="1"/>
  <c r="AD42" i="9"/>
  <c r="Z135" i="16"/>
  <c r="K56" i="16"/>
  <c r="AA16" i="16"/>
  <c r="P89" i="14"/>
  <c r="H145" i="14"/>
  <c r="E202" i="14" s="1"/>
  <c r="EC2" i="19"/>
  <c r="EE2" i="19"/>
  <c r="EI2" i="19"/>
  <c r="AA64" i="14"/>
  <c r="AA22" i="14"/>
  <c r="N23" i="15"/>
  <c r="N27" i="15" s="1"/>
  <c r="AC13" i="15"/>
  <c r="K40" i="15"/>
  <c r="W40" i="15" s="1"/>
  <c r="K136" i="14"/>
  <c r="Z80" i="14"/>
  <c r="O91" i="14"/>
  <c r="AF25" i="9"/>
  <c r="AE43" i="9"/>
  <c r="AE42" i="9" s="1"/>
  <c r="AE24" i="9"/>
  <c r="AE49" i="6"/>
  <c r="S10" i="17"/>
  <c r="P36" i="16" s="1"/>
  <c r="S9" i="17"/>
  <c r="P53" i="14" s="1"/>
  <c r="AB128" i="16"/>
  <c r="EC7" i="19"/>
  <c r="EI7" i="19"/>
  <c r="EE7" i="19"/>
  <c r="J139" i="14"/>
  <c r="W83" i="14"/>
  <c r="Z15" i="16"/>
  <c r="Y134" i="16"/>
  <c r="EC10" i="19"/>
  <c r="EI10" i="19"/>
  <c r="EE10" i="19"/>
  <c r="AG28" i="6"/>
  <c r="AF27" i="6"/>
  <c r="AF49" i="6"/>
  <c r="AC9" i="16"/>
  <c r="AD25" i="4"/>
  <c r="EC6" i="19"/>
  <c r="EI6" i="19"/>
  <c r="EE6" i="19"/>
  <c r="EH2" i="19"/>
  <c r="AB63" i="14"/>
  <c r="AG5" i="13"/>
  <c r="AB31" i="7" s="1"/>
  <c r="V85" i="14"/>
  <c r="V86" i="14" s="1"/>
  <c r="Z14" i="15"/>
  <c r="J41" i="15"/>
  <c r="Y12" i="15"/>
  <c r="J39" i="15" s="1"/>
  <c r="AF44" i="9"/>
  <c r="AG26" i="9"/>
  <c r="AH29" i="6"/>
  <c r="AG50" i="6"/>
  <c r="AG9" i="14" s="1"/>
  <c r="AF24" i="15"/>
  <c r="Z9" i="15"/>
  <c r="AD27" i="4"/>
  <c r="EC5" i="19"/>
  <c r="EI5" i="19"/>
  <c r="EE5" i="19"/>
  <c r="EC4" i="19"/>
  <c r="EE4" i="19"/>
  <c r="EI4" i="19"/>
  <c r="AD11" i="18"/>
  <c r="FH29" i="19" l="1"/>
  <c r="ET45" i="19"/>
  <c r="ES45" i="19" s="1"/>
  <c r="ER45" i="19"/>
  <c r="EV45" i="19" s="1"/>
  <c r="ET57" i="19"/>
  <c r="ES57" i="19" s="1"/>
  <c r="ER57" i="19"/>
  <c r="EV57" i="19" s="1"/>
  <c r="ET67" i="19"/>
  <c r="ES67" i="19" s="1"/>
  <c r="ER67" i="19"/>
  <c r="EV67" i="19" s="1"/>
  <c r="FB33" i="19"/>
  <c r="FF33" i="19" s="1"/>
  <c r="FD33" i="19"/>
  <c r="FC33" i="19" s="1"/>
  <c r="EY33" i="19"/>
  <c r="EX33" i="19" s="1"/>
  <c r="ET69" i="19"/>
  <c r="ES69" i="19" s="1"/>
  <c r="ER69" i="19"/>
  <c r="EV69" i="19" s="1"/>
  <c r="FD19" i="19"/>
  <c r="FC19" i="19" s="1"/>
  <c r="FG19" i="19"/>
  <c r="FK19" i="19" s="1"/>
  <c r="FI19" i="19"/>
  <c r="FB41" i="19"/>
  <c r="FF41" i="19" s="1"/>
  <c r="FD41" i="19"/>
  <c r="FC41" i="19" s="1"/>
  <c r="EY41" i="19"/>
  <c r="EX41" i="19" s="1"/>
  <c r="ET92" i="19"/>
  <c r="ES92" i="19" s="1"/>
  <c r="ER92" i="19"/>
  <c r="EV92" i="19" s="1"/>
  <c r="FB35" i="19"/>
  <c r="FF35" i="19" s="1"/>
  <c r="FD35" i="19" s="1"/>
  <c r="FC35" i="19" s="1"/>
  <c r="EY35" i="19"/>
  <c r="EX35" i="19" s="1"/>
  <c r="FB28" i="19"/>
  <c r="FF28" i="19" s="1"/>
  <c r="FD28" i="19"/>
  <c r="EY28" i="19"/>
  <c r="EX28" i="19" s="1"/>
  <c r="ET51" i="19"/>
  <c r="ES51" i="19" s="1"/>
  <c r="ER51" i="19"/>
  <c r="EV51" i="19" s="1"/>
  <c r="ET83" i="19"/>
  <c r="ES83" i="19" s="1"/>
  <c r="ER83" i="19"/>
  <c r="EV83" i="19" s="1"/>
  <c r="ET75" i="19"/>
  <c r="ES75" i="19" s="1"/>
  <c r="ER75" i="19"/>
  <c r="EV75" i="19" s="1"/>
  <c r="ET81" i="19"/>
  <c r="ES81" i="19" s="1"/>
  <c r="ER81" i="19"/>
  <c r="EV81" i="19" s="1"/>
  <c r="ET96" i="19"/>
  <c r="ES96" i="19" s="1"/>
  <c r="ER96" i="19"/>
  <c r="EV96" i="19" s="1"/>
  <c r="ET80" i="19"/>
  <c r="ES80" i="19" s="1"/>
  <c r="ER80" i="19"/>
  <c r="EV80" i="19" s="1"/>
  <c r="ET54" i="19"/>
  <c r="ES54" i="19" s="1"/>
  <c r="ER54" i="19"/>
  <c r="EV54" i="19" s="1"/>
  <c r="ET58" i="19"/>
  <c r="ES58" i="19" s="1"/>
  <c r="ER58" i="19"/>
  <c r="EV58" i="19" s="1"/>
  <c r="FB23" i="19"/>
  <c r="FF23" i="19" s="1"/>
  <c r="FD23" i="19"/>
  <c r="FL38" i="19"/>
  <c r="FP38" i="19" s="1"/>
  <c r="FN38" i="19"/>
  <c r="FM38" i="19" s="1"/>
  <c r="FG40" i="19"/>
  <c r="FK40" i="19" s="1"/>
  <c r="FI40" i="19" s="1"/>
  <c r="FH40" i="19" s="1"/>
  <c r="ET43" i="19"/>
  <c r="ES43" i="19" s="1"/>
  <c r="ER43" i="19"/>
  <c r="EV43" i="19" s="1"/>
  <c r="ES32" i="19"/>
  <c r="ET89" i="19"/>
  <c r="ES89" i="19" s="1"/>
  <c r="ER89" i="19"/>
  <c r="EV89" i="19" s="1"/>
  <c r="ET49" i="19"/>
  <c r="ES49" i="19" s="1"/>
  <c r="ER49" i="19"/>
  <c r="EV49" i="19" s="1"/>
  <c r="ET46" i="19"/>
  <c r="ES46" i="19" s="1"/>
  <c r="ER46" i="19"/>
  <c r="EV46" i="19" s="1"/>
  <c r="EW42" i="19"/>
  <c r="FA42" i="19" s="1"/>
  <c r="ET72" i="19"/>
  <c r="ES72" i="19" s="1"/>
  <c r="ER72" i="19"/>
  <c r="EV72" i="19" s="1"/>
  <c r="FB30" i="19"/>
  <c r="FF30" i="19" s="1"/>
  <c r="FD30" i="19" s="1"/>
  <c r="EV88" i="19"/>
  <c r="ET88" i="19"/>
  <c r="ES88" i="19" s="1"/>
  <c r="ER88" i="19"/>
  <c r="ET50" i="19"/>
  <c r="ES50" i="19" s="1"/>
  <c r="ER50" i="19"/>
  <c r="EV50" i="19" s="1"/>
  <c r="ET60" i="19"/>
  <c r="ES60" i="19" s="1"/>
  <c r="EV60" i="19"/>
  <c r="ER60" i="19"/>
  <c r="EW32" i="19"/>
  <c r="FA32" i="19" s="1"/>
  <c r="FG20" i="19"/>
  <c r="FK20" i="19" s="1"/>
  <c r="FI20" i="19" s="1"/>
  <c r="FH20" i="19" s="1"/>
  <c r="EV66" i="19"/>
  <c r="ET66" i="19"/>
  <c r="ES66" i="19" s="1"/>
  <c r="ER66" i="19"/>
  <c r="ET42" i="19"/>
  <c r="ET86" i="19"/>
  <c r="ES86" i="19" s="1"/>
  <c r="ER86" i="19"/>
  <c r="EV86" i="19" s="1"/>
  <c r="ET93" i="19"/>
  <c r="ES93" i="19" s="1"/>
  <c r="ER93" i="19"/>
  <c r="EV93" i="19" s="1"/>
  <c r="EW31" i="19"/>
  <c r="FA31" i="19" s="1"/>
  <c r="ET56" i="19"/>
  <c r="ES56" i="19" s="1"/>
  <c r="ER56" i="19"/>
  <c r="EV56" i="19" s="1"/>
  <c r="EV73" i="19"/>
  <c r="ET73" i="19"/>
  <c r="ES73" i="19" s="1"/>
  <c r="ER73" i="19"/>
  <c r="ET62" i="19"/>
  <c r="ES62" i="19" s="1"/>
  <c r="ER62" i="19"/>
  <c r="EV62" i="19" s="1"/>
  <c r="FB36" i="19"/>
  <c r="FF36" i="19" s="1"/>
  <c r="FD36" i="19"/>
  <c r="FC36" i="19" s="1"/>
  <c r="EV65" i="19"/>
  <c r="ET65" i="19"/>
  <c r="ES65" i="19" s="1"/>
  <c r="ER65" i="19"/>
  <c r="ET85" i="19"/>
  <c r="ES85" i="19" s="1"/>
  <c r="ER85" i="19"/>
  <c r="EV85" i="19" s="1"/>
  <c r="FP29" i="19"/>
  <c r="FL29" i="19"/>
  <c r="FN29" i="19"/>
  <c r="FM29" i="19" s="1"/>
  <c r="FG21" i="19"/>
  <c r="FK21" i="19" s="1"/>
  <c r="ET48" i="19"/>
  <c r="ES48" i="19" s="1"/>
  <c r="ER48" i="19"/>
  <c r="EV48" i="19" s="1"/>
  <c r="ET53" i="19"/>
  <c r="ES53" i="19" s="1"/>
  <c r="ER53" i="19"/>
  <c r="EV53" i="19" s="1"/>
  <c r="ET95" i="19"/>
  <c r="ES95" i="19" s="1"/>
  <c r="ER95" i="19"/>
  <c r="EV95" i="19" s="1"/>
  <c r="ET63" i="19"/>
  <c r="ES63" i="19" s="1"/>
  <c r="ER63" i="19"/>
  <c r="EV63" i="19" s="1"/>
  <c r="ET47" i="19"/>
  <c r="ES47" i="19" s="1"/>
  <c r="ER47" i="19"/>
  <c r="EV47" i="19" s="1"/>
  <c r="FL26" i="19"/>
  <c r="FP26" i="19" s="1"/>
  <c r="FN26" i="19" s="1"/>
  <c r="FM26" i="19" s="1"/>
  <c r="ET71" i="19"/>
  <c r="ES71" i="19" s="1"/>
  <c r="ER71" i="19"/>
  <c r="EV71" i="19" s="1"/>
  <c r="ET70" i="19"/>
  <c r="ES70" i="19" s="1"/>
  <c r="ER70" i="19"/>
  <c r="EV70" i="19" s="1"/>
  <c r="FK27" i="19"/>
  <c r="FG27" i="19"/>
  <c r="FI27" i="19"/>
  <c r="FH27" i="19" s="1"/>
  <c r="FG24" i="19"/>
  <c r="FK24" i="19"/>
  <c r="FG25" i="19"/>
  <c r="FK25" i="19" s="1"/>
  <c r="FI25" i="19"/>
  <c r="FH25" i="19" s="1"/>
  <c r="ET64" i="19"/>
  <c r="ES64" i="19" s="1"/>
  <c r="ER64" i="19"/>
  <c r="EV64" i="19" s="1"/>
  <c r="ET74" i="19"/>
  <c r="ES74" i="19" s="1"/>
  <c r="ER74" i="19"/>
  <c r="EV74" i="19" s="1"/>
  <c r="ET91" i="19"/>
  <c r="ES91" i="19" s="1"/>
  <c r="ER91" i="19"/>
  <c r="EV91" i="19" s="1"/>
  <c r="ET84" i="19"/>
  <c r="ES84" i="19" s="1"/>
  <c r="ER84" i="19"/>
  <c r="EV84" i="19" s="1"/>
  <c r="ET90" i="19"/>
  <c r="ES90" i="19" s="1"/>
  <c r="ER90" i="19"/>
  <c r="EV90" i="19" s="1"/>
  <c r="EV44" i="19"/>
  <c r="ET44" i="19"/>
  <c r="ES44" i="19" s="1"/>
  <c r="ER44" i="19"/>
  <c r="ET76" i="19"/>
  <c r="ES76" i="19" s="1"/>
  <c r="ER76" i="19"/>
  <c r="EV76" i="19" s="1"/>
  <c r="ET55" i="19"/>
  <c r="ES55" i="19" s="1"/>
  <c r="ER55" i="19"/>
  <c r="EV55" i="19" s="1"/>
  <c r="EY23" i="19"/>
  <c r="EX23" i="19" s="1"/>
  <c r="ET52" i="19"/>
  <c r="ES52" i="19" s="1"/>
  <c r="ER52" i="19"/>
  <c r="EV52" i="19" s="1"/>
  <c r="EY30" i="19"/>
  <c r="EX30" i="19" s="1"/>
  <c r="ET68" i="19"/>
  <c r="ES68" i="19" s="1"/>
  <c r="ER68" i="19"/>
  <c r="EV68" i="19" s="1"/>
  <c r="ET87" i="19"/>
  <c r="ES87" i="19" s="1"/>
  <c r="ER87" i="19"/>
  <c r="EV87" i="19" s="1"/>
  <c r="EV82" i="19"/>
  <c r="ET82" i="19"/>
  <c r="ES82" i="19" s="1"/>
  <c r="ER82" i="19"/>
  <c r="ET78" i="19"/>
  <c r="ES78" i="19" s="1"/>
  <c r="ER78" i="19"/>
  <c r="EV78" i="19" s="1"/>
  <c r="FC22" i="19"/>
  <c r="ET61" i="19"/>
  <c r="ES61" i="19" s="1"/>
  <c r="ER61" i="19"/>
  <c r="EV61" i="19" s="1"/>
  <c r="ET79" i="19"/>
  <c r="ES79" i="19" s="1"/>
  <c r="ER79" i="19"/>
  <c r="EV79" i="19" s="1"/>
  <c r="FG39" i="19"/>
  <c r="FK39" i="19"/>
  <c r="FI39" i="19" s="1"/>
  <c r="FH39" i="19" s="1"/>
  <c r="ET59" i="19"/>
  <c r="ES59" i="19" s="1"/>
  <c r="ER59" i="19"/>
  <c r="EV59" i="19" s="1"/>
  <c r="ET77" i="19"/>
  <c r="ES77" i="19" s="1"/>
  <c r="ER77" i="19"/>
  <c r="EV77" i="19" s="1"/>
  <c r="ER34" i="19"/>
  <c r="EV34" i="19" s="1"/>
  <c r="ET34" i="19"/>
  <c r="ES34" i="19" s="1"/>
  <c r="FK22" i="19"/>
  <c r="FG22" i="19"/>
  <c r="FD24" i="19"/>
  <c r="FC24" i="19" s="1"/>
  <c r="FL37" i="19"/>
  <c r="FP37" i="19"/>
  <c r="ET31" i="19"/>
  <c r="ES31" i="19" s="1"/>
  <c r="ET94" i="19"/>
  <c r="ES94" i="19" s="1"/>
  <c r="ER94" i="19"/>
  <c r="EV94" i="19" s="1"/>
  <c r="AC10" i="7"/>
  <c r="AB12" i="7"/>
  <c r="AB20" i="14" s="1"/>
  <c r="AB64" i="14" s="1"/>
  <c r="K95" i="14"/>
  <c r="EC11" i="19"/>
  <c r="L94" i="14"/>
  <c r="EN2" i="19"/>
  <c r="EJ10" i="19"/>
  <c r="EJ2" i="19"/>
  <c r="EN7" i="19"/>
  <c r="EN10" i="19"/>
  <c r="EM8" i="19"/>
  <c r="ES8" i="19"/>
  <c r="AH26" i="9"/>
  <c r="AG44" i="9"/>
  <c r="AF8" i="14"/>
  <c r="AF48" i="6"/>
  <c r="AF10" i="14" s="1"/>
  <c r="S12" i="17"/>
  <c r="O92" i="14"/>
  <c r="L134" i="14"/>
  <c r="F191" i="14" s="1"/>
  <c r="AC78" i="14"/>
  <c r="H99" i="14"/>
  <c r="I98" i="14"/>
  <c r="AG33" i="9"/>
  <c r="AH34" i="9"/>
  <c r="AJ39" i="6"/>
  <c r="AK9" i="4"/>
  <c r="AK13" i="4" s="1"/>
  <c r="AB41" i="14"/>
  <c r="AB51" i="7"/>
  <c r="AB57" i="7" s="1"/>
  <c r="AB38" i="7"/>
  <c r="AB48" i="14" s="1"/>
  <c r="AB66" i="14" s="1"/>
  <c r="K55" i="16"/>
  <c r="AA15" i="16"/>
  <c r="Z134" i="16"/>
  <c r="K137" i="14"/>
  <c r="Z81" i="14"/>
  <c r="EI11" i="19"/>
  <c r="AF37" i="6"/>
  <c r="AH7" i="4" s="1"/>
  <c r="AH8" i="4"/>
  <c r="AG38" i="6"/>
  <c r="AG25" i="9"/>
  <c r="AF43" i="9"/>
  <c r="AF24" i="9"/>
  <c r="AA65" i="14"/>
  <c r="AA50" i="14"/>
  <c r="AC63" i="14"/>
  <c r="AH5" i="13"/>
  <c r="AC31" i="7" s="1"/>
  <c r="AG49" i="6"/>
  <c r="AG27" i="6"/>
  <c r="AH28" i="6"/>
  <c r="J140" i="14"/>
  <c r="W84" i="14"/>
  <c r="EE11" i="19"/>
  <c r="E156" i="14"/>
  <c r="G100" i="14"/>
  <c r="AI22" i="4"/>
  <c r="AG26" i="4" s="1"/>
  <c r="AH21" i="4"/>
  <c r="AH17" i="4"/>
  <c r="AH18" i="4"/>
  <c r="AG20" i="4"/>
  <c r="AG11" i="4"/>
  <c r="EH6" i="19"/>
  <c r="EJ6" i="19"/>
  <c r="EN6" i="19"/>
  <c r="P148" i="16"/>
  <c r="H76" i="16"/>
  <c r="E116" i="16" s="1"/>
  <c r="K109" i="16" s="1"/>
  <c r="AB16" i="16"/>
  <c r="AA135" i="16"/>
  <c r="X84" i="14"/>
  <c r="AE9" i="16"/>
  <c r="AE25" i="4"/>
  <c r="AF25" i="4" s="1"/>
  <c r="Z67" i="14"/>
  <c r="H146" i="16"/>
  <c r="H38" i="16"/>
  <c r="F152" i="14"/>
  <c r="J96" i="14"/>
  <c r="T87" i="14"/>
  <c r="U87" i="14" s="1"/>
  <c r="I143" i="14"/>
  <c r="EH5" i="19"/>
  <c r="EN5" i="19"/>
  <c r="EJ5" i="19"/>
  <c r="L49" i="16"/>
  <c r="F89" i="16" s="1"/>
  <c r="L89" i="16" s="1"/>
  <c r="AC128" i="16"/>
  <c r="AA9" i="15"/>
  <c r="AE27" i="4"/>
  <c r="AE48" i="6"/>
  <c r="AE10" i="14" s="1"/>
  <c r="AE8" i="14"/>
  <c r="AE77" i="14" s="1"/>
  <c r="AE78" i="14" s="1"/>
  <c r="M93" i="14"/>
  <c r="G149" i="14"/>
  <c r="EH4" i="19"/>
  <c r="EN4" i="19"/>
  <c r="EJ4" i="19"/>
  <c r="EH3" i="19"/>
  <c r="EJ3" i="19"/>
  <c r="EN3" i="19"/>
  <c r="AA14" i="15"/>
  <c r="Z12" i="15"/>
  <c r="EH8" i="19"/>
  <c r="EJ8" i="19"/>
  <c r="EN8" i="19"/>
  <c r="AD13" i="15"/>
  <c r="P90" i="14"/>
  <c r="H146" i="14"/>
  <c r="E203" i="14" s="1"/>
  <c r="J191" i="14" s="1"/>
  <c r="AC12" i="16"/>
  <c r="AE23" i="4"/>
  <c r="EM5" i="19"/>
  <c r="L51" i="15"/>
  <c r="AG24" i="15"/>
  <c r="AI29" i="6"/>
  <c r="AH50" i="6"/>
  <c r="AH9" i="14" s="1"/>
  <c r="P17" i="16"/>
  <c r="P68" i="14"/>
  <c r="P55" i="14"/>
  <c r="P57" i="14" s="1"/>
  <c r="AA20" i="15"/>
  <c r="AE43" i="4"/>
  <c r="EJ7" i="19"/>
  <c r="AA80" i="14"/>
  <c r="AA81" i="14" s="1"/>
  <c r="Y82" i="14"/>
  <c r="Y83" i="14" s="1"/>
  <c r="AF11" i="18"/>
  <c r="FC28" i="19" l="1"/>
  <c r="FH19" i="19"/>
  <c r="L95" i="14"/>
  <c r="FC30" i="19"/>
  <c r="FL21" i="19"/>
  <c r="FP21" i="19" s="1"/>
  <c r="FN21" i="19" s="1"/>
  <c r="FM21" i="19" s="1"/>
  <c r="FI21" i="19"/>
  <c r="FH21" i="19" s="1"/>
  <c r="EY56" i="19"/>
  <c r="EX56" i="19" s="1"/>
  <c r="EW56" i="19"/>
  <c r="FA56" i="19" s="1"/>
  <c r="FB42" i="19"/>
  <c r="FF42" i="19" s="1"/>
  <c r="FD42" i="19" s="1"/>
  <c r="FC42" i="19" s="1"/>
  <c r="EY42" i="19"/>
  <c r="EX42" i="19" s="1"/>
  <c r="EY58" i="19"/>
  <c r="EX58" i="19" s="1"/>
  <c r="EW58" i="19"/>
  <c r="FA58" i="19" s="1"/>
  <c r="EY70" i="19"/>
  <c r="EX70" i="19" s="1"/>
  <c r="EW70" i="19"/>
  <c r="FA70" i="19" s="1"/>
  <c r="EY75" i="19"/>
  <c r="EX75" i="19" s="1"/>
  <c r="EW75" i="19"/>
  <c r="FA75" i="19" s="1"/>
  <c r="FA84" i="19"/>
  <c r="EY84" i="19"/>
  <c r="EX84" i="19" s="1"/>
  <c r="EW84" i="19"/>
  <c r="FB31" i="19"/>
  <c r="FF31" i="19" s="1"/>
  <c r="FD31" i="19"/>
  <c r="FC31" i="19" s="1"/>
  <c r="EY31" i="19"/>
  <c r="EX31" i="19" s="1"/>
  <c r="EY59" i="19"/>
  <c r="EX59" i="19" s="1"/>
  <c r="EW59" i="19"/>
  <c r="FA59" i="19" s="1"/>
  <c r="EY68" i="19"/>
  <c r="EX68" i="19" s="1"/>
  <c r="EW68" i="19"/>
  <c r="FA68" i="19" s="1"/>
  <c r="EY71" i="19"/>
  <c r="EX71" i="19" s="1"/>
  <c r="EW71" i="19"/>
  <c r="FA71" i="19" s="1"/>
  <c r="FA62" i="19"/>
  <c r="EY62" i="19"/>
  <c r="EX62" i="19" s="1"/>
  <c r="EW62" i="19"/>
  <c r="EY80" i="19"/>
  <c r="EX80" i="19" s="1"/>
  <c r="EW80" i="19"/>
  <c r="FA80" i="19" s="1"/>
  <c r="EY78" i="19"/>
  <c r="EX78" i="19" s="1"/>
  <c r="EW78" i="19"/>
  <c r="FA78" i="19" s="1"/>
  <c r="FB32" i="19"/>
  <c r="FF32" i="19" s="1"/>
  <c r="FD32" i="19" s="1"/>
  <c r="EY32" i="19"/>
  <c r="EX32" i="19" s="1"/>
  <c r="FA86" i="19"/>
  <c r="EY86" i="19"/>
  <c r="EX86" i="19" s="1"/>
  <c r="EW86" i="19"/>
  <c r="EY72" i="19"/>
  <c r="EX72" i="19" s="1"/>
  <c r="EW72" i="19"/>
  <c r="FA72" i="19" s="1"/>
  <c r="EY61" i="19"/>
  <c r="EX61" i="19" s="1"/>
  <c r="EW61" i="19"/>
  <c r="FA61" i="19" s="1"/>
  <c r="EY82" i="19"/>
  <c r="EX82" i="19" s="1"/>
  <c r="EW82" i="19"/>
  <c r="FA82" i="19" s="1"/>
  <c r="EY44" i="19"/>
  <c r="EX44" i="19" s="1"/>
  <c r="EW44" i="19"/>
  <c r="FA44" i="19" s="1"/>
  <c r="EY74" i="19"/>
  <c r="EX74" i="19" s="1"/>
  <c r="EW74" i="19"/>
  <c r="FA74" i="19" s="1"/>
  <c r="EY95" i="19"/>
  <c r="EX95" i="19" s="1"/>
  <c r="EW95" i="19"/>
  <c r="FA95" i="19" s="1"/>
  <c r="EY65" i="19"/>
  <c r="EX65" i="19" s="1"/>
  <c r="EW65" i="19"/>
  <c r="FA65" i="19" s="1"/>
  <c r="EY73" i="19"/>
  <c r="EX73" i="19" s="1"/>
  <c r="EW73" i="19"/>
  <c r="FA73" i="19" s="1"/>
  <c r="EY50" i="19"/>
  <c r="EX50" i="19" s="1"/>
  <c r="EW50" i="19"/>
  <c r="FA50" i="19" s="1"/>
  <c r="EY89" i="19"/>
  <c r="EX89" i="19" s="1"/>
  <c r="EW89" i="19"/>
  <c r="FA89" i="19" s="1"/>
  <c r="FQ38" i="19"/>
  <c r="FU38" i="19" s="1"/>
  <c r="FS38" i="19" s="1"/>
  <c r="FR38" i="19" s="1"/>
  <c r="FG28" i="19"/>
  <c r="FK28" i="19" s="1"/>
  <c r="FI28" i="19"/>
  <c r="FH28" i="19" s="1"/>
  <c r="FG41" i="19"/>
  <c r="FK41" i="19" s="1"/>
  <c r="FI41" i="19"/>
  <c r="FH41" i="19" s="1"/>
  <c r="FG33" i="19"/>
  <c r="FK33" i="19" s="1"/>
  <c r="FI33" i="19"/>
  <c r="FH33" i="19" s="1"/>
  <c r="FL20" i="19"/>
  <c r="FP20" i="19" s="1"/>
  <c r="FN20" i="19" s="1"/>
  <c r="FM20" i="19" s="1"/>
  <c r="FC23" i="19"/>
  <c r="EY67" i="19"/>
  <c r="EX67" i="19" s="1"/>
  <c r="EW67" i="19"/>
  <c r="FA67" i="19" s="1"/>
  <c r="EY52" i="19"/>
  <c r="EX52" i="19" s="1"/>
  <c r="EW52" i="19"/>
  <c r="FA52" i="19" s="1"/>
  <c r="FP24" i="19"/>
  <c r="FL24" i="19"/>
  <c r="EY90" i="19"/>
  <c r="EX90" i="19" s="1"/>
  <c r="EW90" i="19"/>
  <c r="FA90" i="19" s="1"/>
  <c r="K96" i="14"/>
  <c r="EY55" i="19"/>
  <c r="EX55" i="19" s="1"/>
  <c r="EW55" i="19"/>
  <c r="FA55" i="19" s="1"/>
  <c r="EY64" i="19"/>
  <c r="EX64" i="19" s="1"/>
  <c r="EW64" i="19"/>
  <c r="FA64" i="19" s="1"/>
  <c r="EY53" i="19"/>
  <c r="EX53" i="19" s="1"/>
  <c r="EW53" i="19"/>
  <c r="FA53" i="19" s="1"/>
  <c r="FK36" i="19"/>
  <c r="FI36" i="19" s="1"/>
  <c r="FH36" i="19" s="1"/>
  <c r="FG36" i="19"/>
  <c r="FG23" i="19"/>
  <c r="FK23" i="19" s="1"/>
  <c r="FI23" i="19"/>
  <c r="FH23" i="19" s="1"/>
  <c r="EY83" i="19"/>
  <c r="EX83" i="19" s="1"/>
  <c r="EW83" i="19"/>
  <c r="FA83" i="19" s="1"/>
  <c r="FL19" i="19"/>
  <c r="FP19" i="19" s="1"/>
  <c r="FN19" i="19"/>
  <c r="FM19" i="19" s="1"/>
  <c r="FN37" i="19"/>
  <c r="FM37" i="19" s="1"/>
  <c r="FQ37" i="19"/>
  <c r="FU37" i="19" s="1"/>
  <c r="EY93" i="19"/>
  <c r="EX93" i="19" s="1"/>
  <c r="EW93" i="19"/>
  <c r="FA93" i="19" s="1"/>
  <c r="EY66" i="19"/>
  <c r="EX66" i="19" s="1"/>
  <c r="EW66" i="19"/>
  <c r="FA66" i="19" s="1"/>
  <c r="EY87" i="19"/>
  <c r="EX87" i="19" s="1"/>
  <c r="EW87" i="19"/>
  <c r="FA87" i="19" s="1"/>
  <c r="FI22" i="19"/>
  <c r="FH22" i="19" s="1"/>
  <c r="FL22" i="19"/>
  <c r="FP22" i="19" s="1"/>
  <c r="FN22" i="19"/>
  <c r="FL27" i="19"/>
  <c r="FP27" i="19" s="1"/>
  <c r="FN27" i="19" s="1"/>
  <c r="FM27" i="19" s="1"/>
  <c r="FQ26" i="19"/>
  <c r="FU26" i="19" s="1"/>
  <c r="FQ29" i="19"/>
  <c r="FU29" i="19" s="1"/>
  <c r="FS29" i="19" s="1"/>
  <c r="FR29" i="19" s="1"/>
  <c r="EY43" i="19"/>
  <c r="EX43" i="19" s="1"/>
  <c r="FA43" i="19"/>
  <c r="EW43" i="19"/>
  <c r="EY96" i="19"/>
  <c r="EX96" i="19" s="1"/>
  <c r="EW96" i="19"/>
  <c r="FA96" i="19" s="1"/>
  <c r="FG35" i="19"/>
  <c r="FK35" i="19" s="1"/>
  <c r="FI35" i="19" s="1"/>
  <c r="FH35" i="19" s="1"/>
  <c r="EY57" i="19"/>
  <c r="EX57" i="19" s="1"/>
  <c r="EW57" i="19"/>
  <c r="FA57" i="19" s="1"/>
  <c r="EY94" i="19"/>
  <c r="EX94" i="19" s="1"/>
  <c r="EW94" i="19"/>
  <c r="FA94" i="19" s="1"/>
  <c r="FL39" i="19"/>
  <c r="FP39" i="19" s="1"/>
  <c r="FN39" i="19"/>
  <c r="FM39" i="19" s="1"/>
  <c r="FA76" i="19"/>
  <c r="EY76" i="19"/>
  <c r="EX76" i="19" s="1"/>
  <c r="EW76" i="19"/>
  <c r="EY47" i="19"/>
  <c r="EX47" i="19" s="1"/>
  <c r="EW47" i="19"/>
  <c r="FA47" i="19" s="1"/>
  <c r="EY48" i="19"/>
  <c r="EX48" i="19" s="1"/>
  <c r="EW48" i="19"/>
  <c r="FA48" i="19" s="1"/>
  <c r="EY85" i="19"/>
  <c r="EX85" i="19" s="1"/>
  <c r="EW85" i="19"/>
  <c r="FA85" i="19" s="1"/>
  <c r="ES42" i="19"/>
  <c r="EY88" i="19"/>
  <c r="EX88" i="19" s="1"/>
  <c r="FA88" i="19"/>
  <c r="EW88" i="19"/>
  <c r="EY46" i="19"/>
  <c r="EX46" i="19" s="1"/>
  <c r="EW46" i="19"/>
  <c r="FA46" i="19" s="1"/>
  <c r="EY51" i="19"/>
  <c r="EX51" i="19" s="1"/>
  <c r="EW51" i="19"/>
  <c r="FA51" i="19" s="1"/>
  <c r="EY92" i="19"/>
  <c r="EX92" i="19" s="1"/>
  <c r="EW92" i="19"/>
  <c r="FA92" i="19" s="1"/>
  <c r="EY69" i="19"/>
  <c r="EX69" i="19" s="1"/>
  <c r="EW69" i="19"/>
  <c r="FA69" i="19" s="1"/>
  <c r="EW34" i="19"/>
  <c r="FA34" i="19" s="1"/>
  <c r="FL25" i="19"/>
  <c r="FP25" i="19"/>
  <c r="FN25" i="19" s="1"/>
  <c r="FM25" i="19" s="1"/>
  <c r="EY81" i="19"/>
  <c r="EX81" i="19" s="1"/>
  <c r="EW81" i="19"/>
  <c r="FA81" i="19" s="1"/>
  <c r="EY45" i="19"/>
  <c r="EX45" i="19" s="1"/>
  <c r="EW45" i="19"/>
  <c r="FA45" i="19" s="1"/>
  <c r="EY77" i="19"/>
  <c r="EX77" i="19" s="1"/>
  <c r="EW77" i="19"/>
  <c r="FA77" i="19" s="1"/>
  <c r="EY79" i="19"/>
  <c r="EX79" i="19" s="1"/>
  <c r="EW79" i="19"/>
  <c r="FA79" i="19" s="1"/>
  <c r="EY91" i="19"/>
  <c r="EX91" i="19" s="1"/>
  <c r="EW91" i="19"/>
  <c r="FA91" i="19" s="1"/>
  <c r="FI24" i="19"/>
  <c r="FH24" i="19" s="1"/>
  <c r="EY63" i="19"/>
  <c r="EX63" i="19" s="1"/>
  <c r="EW63" i="19"/>
  <c r="FA63" i="19" s="1"/>
  <c r="EY60" i="19"/>
  <c r="EX60" i="19" s="1"/>
  <c r="EW60" i="19"/>
  <c r="FA60" i="19" s="1"/>
  <c r="FG30" i="19"/>
  <c r="FK30" i="19" s="1"/>
  <c r="EY49" i="19"/>
  <c r="EX49" i="19" s="1"/>
  <c r="EW49" i="19"/>
  <c r="FA49" i="19" s="1"/>
  <c r="FL40" i="19"/>
  <c r="FP40" i="19" s="1"/>
  <c r="EY54" i="19"/>
  <c r="EX54" i="19" s="1"/>
  <c r="EW54" i="19"/>
  <c r="FA54" i="19" s="1"/>
  <c r="AB22" i="14"/>
  <c r="AB65" i="14" s="1"/>
  <c r="EH11" i="19"/>
  <c r="AE10" i="7"/>
  <c r="AC12" i="7"/>
  <c r="AC20" i="14" s="1"/>
  <c r="AC18" i="14"/>
  <c r="EJ11" i="19"/>
  <c r="ES5" i="19"/>
  <c r="EN11" i="19"/>
  <c r="EO5" i="19"/>
  <c r="I99" i="14"/>
  <c r="EO8" i="19"/>
  <c r="ER7" i="19"/>
  <c r="ER5" i="19"/>
  <c r="ER3" i="19"/>
  <c r="EX3" i="19"/>
  <c r="ET3" i="19"/>
  <c r="L96" i="14"/>
  <c r="AI28" i="6"/>
  <c r="AH27" i="6"/>
  <c r="Y84" i="14"/>
  <c r="AB20" i="15"/>
  <c r="AG43" i="4"/>
  <c r="H57" i="16"/>
  <c r="E97" i="16" s="1"/>
  <c r="K97" i="16" s="1"/>
  <c r="P136" i="16"/>
  <c r="AF42" i="9"/>
  <c r="AJ22" i="4"/>
  <c r="AH26" i="4" s="1"/>
  <c r="AI21" i="4"/>
  <c r="AI17" i="4"/>
  <c r="AI18" i="4"/>
  <c r="AH20" i="4"/>
  <c r="AH11" i="4"/>
  <c r="AF77" i="14"/>
  <c r="AF78" i="14" s="1"/>
  <c r="AF79" i="14" s="1"/>
  <c r="AF80" i="14" s="1"/>
  <c r="AF81" i="14" s="1"/>
  <c r="AF82" i="14" s="1"/>
  <c r="AF83" i="14" s="1"/>
  <c r="AF84" i="14" s="1"/>
  <c r="AF85" i="14" s="1"/>
  <c r="AF86" i="14" s="1"/>
  <c r="AC131" i="16"/>
  <c r="L52" i="16"/>
  <c r="F92" i="16" s="1"/>
  <c r="L92" i="16" s="1"/>
  <c r="AF63" i="14"/>
  <c r="AK5" i="13"/>
  <c r="AF31" i="7" s="1"/>
  <c r="AB14" i="15"/>
  <c r="AA12" i="15"/>
  <c r="M94" i="14"/>
  <c r="G150" i="14"/>
  <c r="AC16" i="16"/>
  <c r="AB135" i="16"/>
  <c r="AG8" i="14"/>
  <c r="AG43" i="9"/>
  <c r="AG42" i="9" s="1"/>
  <c r="AG24" i="9"/>
  <c r="AH25" i="9"/>
  <c r="AA134" i="16"/>
  <c r="AB15" i="16"/>
  <c r="EM2" i="19"/>
  <c r="ES2" i="19"/>
  <c r="EO2" i="19"/>
  <c r="AI34" i="9"/>
  <c r="AH33" i="9"/>
  <c r="AB80" i="14"/>
  <c r="AB81" i="14" s="1"/>
  <c r="T88" i="14"/>
  <c r="U88" i="14" s="1"/>
  <c r="I144" i="14"/>
  <c r="N93" i="14"/>
  <c r="AE12" i="16"/>
  <c r="AE131" i="16" s="1"/>
  <c r="AG23" i="4"/>
  <c r="E157" i="14"/>
  <c r="G101" i="14"/>
  <c r="AC41" i="14"/>
  <c r="AC51" i="7"/>
  <c r="AC38" i="7"/>
  <c r="AC48" i="14" s="1"/>
  <c r="AC66" i="14" s="1"/>
  <c r="K138" i="14"/>
  <c r="Z82" i="14"/>
  <c r="H100" i="14"/>
  <c r="V87" i="14"/>
  <c r="EM7" i="19"/>
  <c r="EO7" i="19"/>
  <c r="ES7" i="19"/>
  <c r="AE79" i="14"/>
  <c r="AE80" i="14" s="1"/>
  <c r="AE81" i="14" s="1"/>
  <c r="AE82" i="14" s="1"/>
  <c r="AE83" i="14" s="1"/>
  <c r="AE84" i="14" s="1"/>
  <c r="AE85" i="14" s="1"/>
  <c r="AE86" i="14" s="1"/>
  <c r="F153" i="14"/>
  <c r="J97" i="14"/>
  <c r="L135" i="14"/>
  <c r="F192" i="14" s="1"/>
  <c r="AC79" i="14"/>
  <c r="EM6" i="19"/>
  <c r="EO6" i="19"/>
  <c r="ES6" i="19"/>
  <c r="EM3" i="19"/>
  <c r="EO3" i="19"/>
  <c r="ES3" i="19"/>
  <c r="ER8" i="19"/>
  <c r="EX8" i="19"/>
  <c r="H147" i="14"/>
  <c r="E204" i="14" s="1"/>
  <c r="P91" i="14"/>
  <c r="AJ5" i="13"/>
  <c r="AE31" i="7" s="1"/>
  <c r="AE63" i="14"/>
  <c r="AI26" i="9"/>
  <c r="AH44" i="9"/>
  <c r="EM10" i="19"/>
  <c r="ES10" i="19"/>
  <c r="EO10" i="19"/>
  <c r="AJ29" i="6"/>
  <c r="AI50" i="6"/>
  <c r="AI9" i="14" s="1"/>
  <c r="H149" i="16"/>
  <c r="H39" i="16"/>
  <c r="H150" i="16" s="1"/>
  <c r="H40" i="16"/>
  <c r="AE128" i="16"/>
  <c r="AF9" i="16"/>
  <c r="AG25" i="4"/>
  <c r="J141" i="14"/>
  <c r="W85" i="14"/>
  <c r="AA67" i="14"/>
  <c r="O93" i="14"/>
  <c r="EM4" i="19"/>
  <c r="ES4" i="19"/>
  <c r="EO4" i="19"/>
  <c r="AE18" i="14"/>
  <c r="AE12" i="7"/>
  <c r="AE20" i="14" s="1"/>
  <c r="AE64" i="14" s="1"/>
  <c r="P70" i="14"/>
  <c r="R54" i="14"/>
  <c r="R69" i="14" s="1"/>
  <c r="R56" i="14"/>
  <c r="O25" i="15"/>
  <c r="AH24" i="15"/>
  <c r="AE13" i="15"/>
  <c r="AB9" i="15"/>
  <c r="AG27" i="4"/>
  <c r="AI8" i="4"/>
  <c r="AG37" i="6"/>
  <c r="AI7" i="4" s="1"/>
  <c r="AH38" i="6"/>
  <c r="AL9" i="4"/>
  <c r="AL13" i="4" s="1"/>
  <c r="AK39" i="6"/>
  <c r="T7" i="17"/>
  <c r="T12" i="17" s="1"/>
  <c r="O21" i="15"/>
  <c r="ER6" i="19"/>
  <c r="ET6" i="19"/>
  <c r="AG11" i="18"/>
  <c r="FM22" i="19" l="1"/>
  <c r="FC32" i="19"/>
  <c r="FB34" i="19"/>
  <c r="FF34" i="19" s="1"/>
  <c r="FD34" i="19" s="1"/>
  <c r="EY34" i="19"/>
  <c r="EX34" i="19" s="1"/>
  <c r="FB78" i="19"/>
  <c r="FF78" i="19" s="1"/>
  <c r="FD78" i="19"/>
  <c r="FC78" i="19" s="1"/>
  <c r="FB60" i="19"/>
  <c r="FF60" i="19" s="1"/>
  <c r="FD60" i="19"/>
  <c r="FC60" i="19" s="1"/>
  <c r="FN40" i="19"/>
  <c r="FM40" i="19" s="1"/>
  <c r="FQ40" i="19"/>
  <c r="FU40" i="19" s="1"/>
  <c r="FS40" i="19"/>
  <c r="FS26" i="19"/>
  <c r="FR26" i="19" s="1"/>
  <c r="FV26" i="19"/>
  <c r="FZ26" i="19" s="1"/>
  <c r="FX26" i="19" s="1"/>
  <c r="FW26" i="19" s="1"/>
  <c r="FD80" i="19"/>
  <c r="FC80" i="19" s="1"/>
  <c r="FB80" i="19"/>
  <c r="FF80" i="19" s="1"/>
  <c r="FB44" i="19"/>
  <c r="FF44" i="19" s="1"/>
  <c r="FD44" i="19"/>
  <c r="FC44" i="19" s="1"/>
  <c r="FD75" i="19"/>
  <c r="FC75" i="19" s="1"/>
  <c r="FB75" i="19"/>
  <c r="FF75" i="19" s="1"/>
  <c r="FI30" i="19"/>
  <c r="FH30" i="19" s="1"/>
  <c r="FL30" i="19"/>
  <c r="FP30" i="19"/>
  <c r="FS37" i="19"/>
  <c r="FR37" i="19" s="1"/>
  <c r="FV37" i="19"/>
  <c r="FZ37" i="19" s="1"/>
  <c r="FD82" i="19"/>
  <c r="FC82" i="19" s="1"/>
  <c r="FB82" i="19"/>
  <c r="FF82" i="19" s="1"/>
  <c r="FD46" i="19"/>
  <c r="FC46" i="19" s="1"/>
  <c r="FB46" i="19"/>
  <c r="FF46" i="19" s="1"/>
  <c r="FB90" i="19"/>
  <c r="FF90" i="19" s="1"/>
  <c r="FD90" i="19"/>
  <c r="FC90" i="19" s="1"/>
  <c r="FD57" i="19"/>
  <c r="FC57" i="19" s="1"/>
  <c r="FF57" i="19"/>
  <c r="FB57" i="19"/>
  <c r="FQ22" i="19"/>
  <c r="FU22" i="19" s="1"/>
  <c r="FS22" i="19"/>
  <c r="FR22" i="19" s="1"/>
  <c r="FL23" i="19"/>
  <c r="FP23" i="19" s="1"/>
  <c r="FN23" i="19" s="1"/>
  <c r="FM23" i="19" s="1"/>
  <c r="FD55" i="19"/>
  <c r="FC55" i="19" s="1"/>
  <c r="FB55" i="19"/>
  <c r="FF55" i="19" s="1"/>
  <c r="FD52" i="19"/>
  <c r="FC52" i="19" s="1"/>
  <c r="FB52" i="19"/>
  <c r="FF52" i="19" s="1"/>
  <c r="FL33" i="19"/>
  <c r="FP33" i="19" s="1"/>
  <c r="FN33" i="19"/>
  <c r="FM33" i="19" s="1"/>
  <c r="FD59" i="19"/>
  <c r="FC59" i="19" s="1"/>
  <c r="FB59" i="19"/>
  <c r="FF59" i="19" s="1"/>
  <c r="FD92" i="19"/>
  <c r="FC92" i="19" s="1"/>
  <c r="FB92" i="19"/>
  <c r="FF92" i="19" s="1"/>
  <c r="FB89" i="19"/>
  <c r="FF89" i="19" s="1"/>
  <c r="FD89" i="19"/>
  <c r="FC89" i="19" s="1"/>
  <c r="FB77" i="19"/>
  <c r="FF77" i="19"/>
  <c r="FD77" i="19"/>
  <c r="FC77" i="19" s="1"/>
  <c r="FD51" i="19"/>
  <c r="FC51" i="19" s="1"/>
  <c r="FB51" i="19"/>
  <c r="FF51" i="19"/>
  <c r="FD50" i="19"/>
  <c r="FC50" i="19" s="1"/>
  <c r="FB50" i="19"/>
  <c r="FF50" i="19" s="1"/>
  <c r="FD74" i="19"/>
  <c r="FC74" i="19" s="1"/>
  <c r="FB74" i="19"/>
  <c r="FF74" i="19" s="1"/>
  <c r="FB61" i="19"/>
  <c r="FF61" i="19" s="1"/>
  <c r="FD61" i="19"/>
  <c r="FC61" i="19" s="1"/>
  <c r="FG42" i="19"/>
  <c r="FK42" i="19" s="1"/>
  <c r="FI42" i="19" s="1"/>
  <c r="FH42" i="19" s="1"/>
  <c r="FB79" i="19"/>
  <c r="FF79" i="19" s="1"/>
  <c r="FD79" i="19"/>
  <c r="FC79" i="19" s="1"/>
  <c r="FB63" i="19"/>
  <c r="FF63" i="19" s="1"/>
  <c r="FD63" i="19"/>
  <c r="FC63" i="19" s="1"/>
  <c r="FV29" i="19"/>
  <c r="FZ29" i="19" s="1"/>
  <c r="FX29" i="19"/>
  <c r="FW29" i="19" s="1"/>
  <c r="FB87" i="19"/>
  <c r="FF87" i="19" s="1"/>
  <c r="FD87" i="19"/>
  <c r="FC87" i="19" s="1"/>
  <c r="FD67" i="19"/>
  <c r="FC67" i="19" s="1"/>
  <c r="FB67" i="19"/>
  <c r="FF67" i="19" s="1"/>
  <c r="FP41" i="19"/>
  <c r="FL41" i="19"/>
  <c r="FG32" i="19"/>
  <c r="FK32" i="19" s="1"/>
  <c r="FI32" i="19" s="1"/>
  <c r="FH32" i="19" s="1"/>
  <c r="FD56" i="19"/>
  <c r="FC56" i="19" s="1"/>
  <c r="FB56" i="19"/>
  <c r="FF56" i="19" s="1"/>
  <c r="FB47" i="19"/>
  <c r="FF47" i="19" s="1"/>
  <c r="FD47" i="19"/>
  <c r="FC47" i="19" s="1"/>
  <c r="FD43" i="19"/>
  <c r="FC43" i="19" s="1"/>
  <c r="FB43" i="19"/>
  <c r="FF43" i="19" s="1"/>
  <c r="FB95" i="19"/>
  <c r="FF95" i="19" s="1"/>
  <c r="FD95" i="19"/>
  <c r="FC95" i="19" s="1"/>
  <c r="FB86" i="19"/>
  <c r="FF86" i="19" s="1"/>
  <c r="FD86" i="19"/>
  <c r="FC86" i="19" s="1"/>
  <c r="FB84" i="19"/>
  <c r="FD84" i="19"/>
  <c r="FC84" i="19" s="1"/>
  <c r="FF84" i="19"/>
  <c r="FD49" i="19"/>
  <c r="FC49" i="19" s="1"/>
  <c r="FB49" i="19"/>
  <c r="FF49" i="19" s="1"/>
  <c r="FD45" i="19"/>
  <c r="FC45" i="19" s="1"/>
  <c r="FB45" i="19"/>
  <c r="FF45" i="19" s="1"/>
  <c r="FD85" i="19"/>
  <c r="FC85" i="19" s="1"/>
  <c r="FB85" i="19"/>
  <c r="FF85" i="19" s="1"/>
  <c r="FD76" i="19"/>
  <c r="FC76" i="19" s="1"/>
  <c r="FB76" i="19"/>
  <c r="FF76" i="19" s="1"/>
  <c r="FL35" i="19"/>
  <c r="FP35" i="19"/>
  <c r="FL36" i="19"/>
  <c r="FP36" i="19" s="1"/>
  <c r="FN36" i="19" s="1"/>
  <c r="FM36" i="19" s="1"/>
  <c r="FB73" i="19"/>
  <c r="FF73" i="19" s="1"/>
  <c r="FD73" i="19"/>
  <c r="FC73" i="19" s="1"/>
  <c r="FD72" i="19"/>
  <c r="FC72" i="19" s="1"/>
  <c r="FB72" i="19"/>
  <c r="FF72" i="19" s="1"/>
  <c r="FB62" i="19"/>
  <c r="FF62" i="19" s="1"/>
  <c r="FD62" i="19"/>
  <c r="FC62" i="19" s="1"/>
  <c r="FB70" i="19"/>
  <c r="FF70" i="19" s="1"/>
  <c r="FD70" i="19"/>
  <c r="FC70" i="19" s="1"/>
  <c r="FU25" i="19"/>
  <c r="FS25" i="19" s="1"/>
  <c r="FR25" i="19" s="1"/>
  <c r="FQ25" i="19"/>
  <c r="FB88" i="19"/>
  <c r="FF88" i="19" s="1"/>
  <c r="FD88" i="19"/>
  <c r="FC88" i="19" s="1"/>
  <c r="FB96" i="19"/>
  <c r="FF96" i="19" s="1"/>
  <c r="FD96" i="19"/>
  <c r="FC96" i="19" s="1"/>
  <c r="FD66" i="19"/>
  <c r="FC66" i="19" s="1"/>
  <c r="FB66" i="19"/>
  <c r="FF66" i="19" s="1"/>
  <c r="FQ19" i="19"/>
  <c r="FU19" i="19" s="1"/>
  <c r="FD53" i="19"/>
  <c r="FC53" i="19" s="1"/>
  <c r="FB53" i="19"/>
  <c r="FF53" i="19" s="1"/>
  <c r="FL28" i="19"/>
  <c r="FP28" i="19" s="1"/>
  <c r="FN28" i="19" s="1"/>
  <c r="FM28" i="19" s="1"/>
  <c r="FD71" i="19"/>
  <c r="FC71" i="19" s="1"/>
  <c r="FB71" i="19"/>
  <c r="FF71" i="19" s="1"/>
  <c r="FG31" i="19"/>
  <c r="FK31" i="19" s="1"/>
  <c r="FI31" i="19" s="1"/>
  <c r="FH31" i="19" s="1"/>
  <c r="FD54" i="19"/>
  <c r="FC54" i="19" s="1"/>
  <c r="FB54" i="19"/>
  <c r="FF54" i="19" s="1"/>
  <c r="FN24" i="19"/>
  <c r="FM24" i="19" s="1"/>
  <c r="FQ24" i="19"/>
  <c r="FU24" i="19" s="1"/>
  <c r="FD91" i="19"/>
  <c r="FC91" i="19" s="1"/>
  <c r="FB91" i="19"/>
  <c r="FF91" i="19" s="1"/>
  <c r="FD81" i="19"/>
  <c r="FC81" i="19" s="1"/>
  <c r="FB81" i="19"/>
  <c r="FF81" i="19" s="1"/>
  <c r="FD69" i="19"/>
  <c r="FC69" i="19" s="1"/>
  <c r="FB69" i="19"/>
  <c r="FF69" i="19" s="1"/>
  <c r="FB48" i="19"/>
  <c r="FF48" i="19" s="1"/>
  <c r="FD48" i="19"/>
  <c r="FC48" i="19" s="1"/>
  <c r="FQ39" i="19"/>
  <c r="FU39" i="19" s="1"/>
  <c r="FS39" i="19" s="1"/>
  <c r="FR39" i="19" s="1"/>
  <c r="FD83" i="19"/>
  <c r="FC83" i="19" s="1"/>
  <c r="FB83" i="19"/>
  <c r="FF83" i="19" s="1"/>
  <c r="FD65" i="19"/>
  <c r="FC65" i="19" s="1"/>
  <c r="FB65" i="19"/>
  <c r="FF65" i="19" s="1"/>
  <c r="FD58" i="19"/>
  <c r="FC58" i="19" s="1"/>
  <c r="FB58" i="19"/>
  <c r="FF58" i="19" s="1"/>
  <c r="FD94" i="19"/>
  <c r="FC94" i="19" s="1"/>
  <c r="FB94" i="19"/>
  <c r="FF94" i="19" s="1"/>
  <c r="FQ27" i="19"/>
  <c r="FU27" i="19" s="1"/>
  <c r="FS27" i="19" s="1"/>
  <c r="FR27" i="19" s="1"/>
  <c r="FB93" i="19"/>
  <c r="FF93" i="19" s="1"/>
  <c r="FD93" i="19"/>
  <c r="FC93" i="19" s="1"/>
  <c r="FF64" i="19"/>
  <c r="FD64" i="19"/>
  <c r="FC64" i="19" s="1"/>
  <c r="FB64" i="19"/>
  <c r="FQ20" i="19"/>
  <c r="FU20" i="19" s="1"/>
  <c r="FV38" i="19"/>
  <c r="FZ38" i="19" s="1"/>
  <c r="FX38" i="19" s="1"/>
  <c r="FW38" i="19" s="1"/>
  <c r="FF68" i="19"/>
  <c r="FD68" i="19"/>
  <c r="FC68" i="19" s="1"/>
  <c r="FB68" i="19"/>
  <c r="FQ21" i="19"/>
  <c r="FU21" i="19" s="1"/>
  <c r="FS21" i="19"/>
  <c r="FR21" i="19" s="1"/>
  <c r="AB50" i="14"/>
  <c r="AB67" i="14" s="1"/>
  <c r="AF10" i="7"/>
  <c r="AC64" i="14"/>
  <c r="AC22" i="14"/>
  <c r="AC65" i="14" s="1"/>
  <c r="EM11" i="19"/>
  <c r="N94" i="14"/>
  <c r="O94" i="14" s="1"/>
  <c r="ET5" i="19"/>
  <c r="EX7" i="19"/>
  <c r="EX5" i="19"/>
  <c r="U7" i="17"/>
  <c r="P21" i="15"/>
  <c r="AI24" i="15"/>
  <c r="EX6" i="19"/>
  <c r="AL39" i="6"/>
  <c r="AM9" i="4"/>
  <c r="AM13" i="4" s="1"/>
  <c r="AF13" i="15"/>
  <c r="P25" i="15"/>
  <c r="G52" i="15"/>
  <c r="V52" i="15" s="1"/>
  <c r="O23" i="15"/>
  <c r="G50" i="15" s="1"/>
  <c r="V50" i="15" s="1"/>
  <c r="ET8" i="19"/>
  <c r="V88" i="14"/>
  <c r="AC135" i="16"/>
  <c r="L56" i="16"/>
  <c r="F96" i="16" s="1"/>
  <c r="L96" i="16" s="1"/>
  <c r="AE87" i="14"/>
  <c r="AE88" i="14" s="1"/>
  <c r="AE89" i="14" s="1"/>
  <c r="AE90" i="14" s="1"/>
  <c r="H101" i="14"/>
  <c r="AF12" i="16"/>
  <c r="AF131" i="16" s="1"/>
  <c r="AH23" i="4"/>
  <c r="K36" i="15"/>
  <c r="W36" i="15" s="1"/>
  <c r="AC9" i="15"/>
  <c r="W86" i="14"/>
  <c r="J142" i="14"/>
  <c r="F154" i="14"/>
  <c r="J98" i="14"/>
  <c r="H148" i="14"/>
  <c r="E205" i="14" s="1"/>
  <c r="J192" i="14" s="1"/>
  <c r="B97" i="3" s="1"/>
  <c r="P92" i="14"/>
  <c r="Z83" i="14"/>
  <c r="K139" i="14"/>
  <c r="AG48" i="6"/>
  <c r="AG10" i="14" s="1"/>
  <c r="X85" i="14"/>
  <c r="E158" i="14"/>
  <c r="G102" i="14"/>
  <c r="AH43" i="9"/>
  <c r="AH24" i="9"/>
  <c r="AI25" i="9"/>
  <c r="AF128" i="16"/>
  <c r="AH37" i="6"/>
  <c r="AJ7" i="4" s="1"/>
  <c r="AJ8" i="4"/>
  <c r="AI38" i="6"/>
  <c r="H151" i="16"/>
  <c r="G8" i="15"/>
  <c r="G7" i="15" s="1"/>
  <c r="G16" i="15" s="1"/>
  <c r="I6" i="16"/>
  <c r="L136" i="14"/>
  <c r="F193" i="14" s="1"/>
  <c r="K190" i="14" s="1"/>
  <c r="AC80" i="14"/>
  <c r="I100" i="14"/>
  <c r="AG77" i="14"/>
  <c r="G151" i="14"/>
  <c r="M95" i="14"/>
  <c r="AD20" i="15"/>
  <c r="AH43" i="4"/>
  <c r="K97" i="14"/>
  <c r="AJ34" i="9"/>
  <c r="AI33" i="9"/>
  <c r="AK22" i="4"/>
  <c r="AI26" i="4" s="1"/>
  <c r="AJ21" i="4"/>
  <c r="AJ18" i="4"/>
  <c r="AJ17" i="4"/>
  <c r="AI11" i="4"/>
  <c r="AI20" i="4"/>
  <c r="EO11" i="19"/>
  <c r="AG9" i="16"/>
  <c r="AH25" i="4"/>
  <c r="K47" i="15"/>
  <c r="W47" i="15" s="1"/>
  <c r="AC20" i="15"/>
  <c r="AI49" i="6"/>
  <c r="AI27" i="6"/>
  <c r="AJ28" i="6"/>
  <c r="ER2" i="19"/>
  <c r="EX2" i="19"/>
  <c r="ET2" i="19"/>
  <c r="EW6" i="19"/>
  <c r="AJ50" i="6"/>
  <c r="AJ9" i="14" s="1"/>
  <c r="AK29" i="6"/>
  <c r="AJ26" i="9"/>
  <c r="AI44" i="9"/>
  <c r="AE51" i="7"/>
  <c r="AE41" i="14"/>
  <c r="AE38" i="7"/>
  <c r="AE16" i="16"/>
  <c r="AC57" i="7"/>
  <c r="F76" i="7" s="1"/>
  <c r="C119" i="3" s="1"/>
  <c r="F70" i="7"/>
  <c r="I145" i="14"/>
  <c r="T89" i="14"/>
  <c r="ES11" i="19"/>
  <c r="AB134" i="16"/>
  <c r="AC15" i="16"/>
  <c r="AC14" i="15"/>
  <c r="K41" i="15"/>
  <c r="W41" i="15" s="1"/>
  <c r="AB12" i="15"/>
  <c r="K39" i="15" s="1"/>
  <c r="W39" i="15" s="1"/>
  <c r="AF51" i="7"/>
  <c r="AF57" i="7" s="1"/>
  <c r="AF41" i="14"/>
  <c r="AF38" i="7"/>
  <c r="AF48" i="14" s="1"/>
  <c r="AF66" i="14" s="1"/>
  <c r="ER4" i="19"/>
  <c r="EX4" i="19"/>
  <c r="ET4" i="19"/>
  <c r="AA82" i="14"/>
  <c r="AA83" i="14" s="1"/>
  <c r="AH49" i="6"/>
  <c r="EW5" i="19"/>
  <c r="ER10" i="19"/>
  <c r="EX10" i="19"/>
  <c r="ET10" i="19"/>
  <c r="G48" i="15"/>
  <c r="V48" i="15" s="1"/>
  <c r="O19" i="15"/>
  <c r="AD9" i="15"/>
  <c r="AH27" i="4"/>
  <c r="AE22" i="14"/>
  <c r="Y85" i="14"/>
  <c r="ET7" i="19"/>
  <c r="AH11" i="18"/>
  <c r="FR40" i="19" l="1"/>
  <c r="FC34" i="19"/>
  <c r="FG53" i="19"/>
  <c r="FK53" i="19" s="1"/>
  <c r="FI53" i="19"/>
  <c r="FH53" i="19" s="1"/>
  <c r="FI66" i="19"/>
  <c r="FH66" i="19" s="1"/>
  <c r="FG66" i="19"/>
  <c r="FK66" i="19" s="1"/>
  <c r="FI74" i="19"/>
  <c r="FH74" i="19" s="1"/>
  <c r="FK74" i="19"/>
  <c r="FG74" i="19"/>
  <c r="FI82" i="19"/>
  <c r="FH82" i="19" s="1"/>
  <c r="FG82" i="19"/>
  <c r="FK82" i="19" s="1"/>
  <c r="FX37" i="19"/>
  <c r="FW37" i="19" s="1"/>
  <c r="GA37" i="19"/>
  <c r="GE37" i="19" s="1"/>
  <c r="FI65" i="19"/>
  <c r="FH65" i="19" s="1"/>
  <c r="FG65" i="19"/>
  <c r="FK65" i="19" s="1"/>
  <c r="FI62" i="19"/>
  <c r="FH62" i="19" s="1"/>
  <c r="FG62" i="19"/>
  <c r="FK62" i="19"/>
  <c r="FI76" i="19"/>
  <c r="FH76" i="19" s="1"/>
  <c r="FG76" i="19"/>
  <c r="FK76" i="19" s="1"/>
  <c r="FI60" i="19"/>
  <c r="FH60" i="19" s="1"/>
  <c r="FG60" i="19"/>
  <c r="FK60" i="19" s="1"/>
  <c r="FI72" i="19"/>
  <c r="FH72" i="19" s="1"/>
  <c r="FG72" i="19"/>
  <c r="FK72" i="19" s="1"/>
  <c r="FG79" i="19"/>
  <c r="FK79" i="19" s="1"/>
  <c r="FI79" i="19"/>
  <c r="FH79" i="19" s="1"/>
  <c r="FV24" i="19"/>
  <c r="FZ24" i="19" s="1"/>
  <c r="FS24" i="19"/>
  <c r="FR24" i="19" s="1"/>
  <c r="FI47" i="19"/>
  <c r="FH47" i="19" s="1"/>
  <c r="FG47" i="19"/>
  <c r="FK47" i="19" s="1"/>
  <c r="FI90" i="19"/>
  <c r="FH90" i="19" s="1"/>
  <c r="FG90" i="19"/>
  <c r="FK90" i="19" s="1"/>
  <c r="FG78" i="19"/>
  <c r="FK78" i="19" s="1"/>
  <c r="FI78" i="19"/>
  <c r="FH78" i="19" s="1"/>
  <c r="FV20" i="19"/>
  <c r="FZ20" i="19" s="1"/>
  <c r="FX20" i="19"/>
  <c r="FS20" i="19"/>
  <c r="FR20" i="19" s="1"/>
  <c r="FI88" i="19"/>
  <c r="FH88" i="19" s="1"/>
  <c r="FG88" i="19"/>
  <c r="FK88" i="19"/>
  <c r="FI87" i="19"/>
  <c r="FH87" i="19" s="1"/>
  <c r="FG87" i="19"/>
  <c r="FK87" i="19" s="1"/>
  <c r="FI45" i="19"/>
  <c r="FH45" i="19" s="1"/>
  <c r="FG45" i="19"/>
  <c r="FK45" i="19" s="1"/>
  <c r="FI86" i="19"/>
  <c r="FH86" i="19" s="1"/>
  <c r="FG86" i="19"/>
  <c r="FK86" i="19"/>
  <c r="FG71" i="19"/>
  <c r="FK71" i="19" s="1"/>
  <c r="FI71" i="19"/>
  <c r="FH71" i="19" s="1"/>
  <c r="FN35" i="19"/>
  <c r="FM35" i="19" s="1"/>
  <c r="FQ35" i="19"/>
  <c r="FU35" i="19" s="1"/>
  <c r="FI48" i="19"/>
  <c r="FH48" i="19" s="1"/>
  <c r="FG48" i="19"/>
  <c r="FK48" i="19" s="1"/>
  <c r="FI56" i="19"/>
  <c r="FH56" i="19" s="1"/>
  <c r="FG56" i="19"/>
  <c r="FK56" i="19"/>
  <c r="FQ33" i="19"/>
  <c r="FU33" i="19" s="1"/>
  <c r="FS33" i="19" s="1"/>
  <c r="FR33" i="19" s="1"/>
  <c r="FV22" i="19"/>
  <c r="FZ22" i="19" s="1"/>
  <c r="FX22" i="19"/>
  <c r="FW22" i="19" s="1"/>
  <c r="FG68" i="19"/>
  <c r="FK68" i="19" s="1"/>
  <c r="FI68" i="19"/>
  <c r="FH68" i="19" s="1"/>
  <c r="FI64" i="19"/>
  <c r="FH64" i="19" s="1"/>
  <c r="FG64" i="19"/>
  <c r="FK64" i="19" s="1"/>
  <c r="FI77" i="19"/>
  <c r="FH77" i="19" s="1"/>
  <c r="FG77" i="19"/>
  <c r="FK77" i="19" s="1"/>
  <c r="FG46" i="19"/>
  <c r="FK46" i="19" s="1"/>
  <c r="FI46" i="19"/>
  <c r="FH46" i="19" s="1"/>
  <c r="FN30" i="19"/>
  <c r="FM30" i="19" s="1"/>
  <c r="FQ30" i="19"/>
  <c r="FU30" i="19" s="1"/>
  <c r="GA38" i="19"/>
  <c r="GE38" i="19" s="1"/>
  <c r="FI93" i="19"/>
  <c r="FH93" i="19" s="1"/>
  <c r="FG93" i="19"/>
  <c r="FK93" i="19" s="1"/>
  <c r="FI69" i="19"/>
  <c r="FH69" i="19" s="1"/>
  <c r="FG69" i="19"/>
  <c r="FK69" i="19" s="1"/>
  <c r="FG49" i="19"/>
  <c r="FK49" i="19" s="1"/>
  <c r="FI49" i="19"/>
  <c r="FH49" i="19" s="1"/>
  <c r="FI50" i="19"/>
  <c r="FH50" i="19" s="1"/>
  <c r="FG50" i="19"/>
  <c r="FK50" i="19" s="1"/>
  <c r="FG52" i="19"/>
  <c r="FK52" i="19"/>
  <c r="FI52" i="19"/>
  <c r="FH52" i="19" s="1"/>
  <c r="GA26" i="19"/>
  <c r="GE26" i="19" s="1"/>
  <c r="GF26" i="19" s="1"/>
  <c r="GJ26" i="19" s="1"/>
  <c r="GH26" i="19" s="1"/>
  <c r="FV19" i="19"/>
  <c r="FZ19" i="19" s="1"/>
  <c r="FX19" i="19"/>
  <c r="FQ28" i="19"/>
  <c r="FU28" i="19" s="1"/>
  <c r="FS28" i="19" s="1"/>
  <c r="FR28" i="19" s="1"/>
  <c r="FV25" i="19"/>
  <c r="FZ25" i="19" s="1"/>
  <c r="FI95" i="19"/>
  <c r="FH95" i="19" s="1"/>
  <c r="FG95" i="19"/>
  <c r="FK95" i="19" s="1"/>
  <c r="FI89" i="19"/>
  <c r="FH89" i="19" s="1"/>
  <c r="FG89" i="19"/>
  <c r="FK89" i="19" s="1"/>
  <c r="FI57" i="19"/>
  <c r="FH57" i="19" s="1"/>
  <c r="FG57" i="19"/>
  <c r="FK57" i="19" s="1"/>
  <c r="FG75" i="19"/>
  <c r="FK75" i="19"/>
  <c r="FI75" i="19"/>
  <c r="FH75" i="19" s="1"/>
  <c r="FI81" i="19"/>
  <c r="FH81" i="19" s="1"/>
  <c r="FG81" i="19"/>
  <c r="FK81" i="19" s="1"/>
  <c r="FI84" i="19"/>
  <c r="FH84" i="19" s="1"/>
  <c r="FG84" i="19"/>
  <c r="FK84" i="19"/>
  <c r="FG43" i="19"/>
  <c r="FK43" i="19" s="1"/>
  <c r="FI43" i="19"/>
  <c r="FH43" i="19" s="1"/>
  <c r="FL32" i="19"/>
  <c r="FP32" i="19" s="1"/>
  <c r="FL42" i="19"/>
  <c r="FP42" i="19" s="1"/>
  <c r="FI51" i="19"/>
  <c r="FH51" i="19" s="1"/>
  <c r="FK51" i="19"/>
  <c r="FG51" i="19"/>
  <c r="FI92" i="19"/>
  <c r="FH92" i="19" s="1"/>
  <c r="FG92" i="19"/>
  <c r="FK92" i="19" s="1"/>
  <c r="FI55" i="19"/>
  <c r="FH55" i="19" s="1"/>
  <c r="FG55" i="19"/>
  <c r="FK55" i="19" s="1"/>
  <c r="FI83" i="19"/>
  <c r="FH83" i="19" s="1"/>
  <c r="FG83" i="19"/>
  <c r="FK83" i="19" s="1"/>
  <c r="FZ21" i="19"/>
  <c r="FV21" i="19"/>
  <c r="FI94" i="19"/>
  <c r="FH94" i="19" s="1"/>
  <c r="FG94" i="19"/>
  <c r="FK94" i="19" s="1"/>
  <c r="FI96" i="19"/>
  <c r="FH96" i="19" s="1"/>
  <c r="FG96" i="19"/>
  <c r="FK96" i="19" s="1"/>
  <c r="FI70" i="19"/>
  <c r="FH70" i="19" s="1"/>
  <c r="FG70" i="19"/>
  <c r="FK70" i="19" s="1"/>
  <c r="FG73" i="19"/>
  <c r="FK73" i="19" s="1"/>
  <c r="FI73" i="19"/>
  <c r="FH73" i="19" s="1"/>
  <c r="FK85" i="19"/>
  <c r="FG85" i="19"/>
  <c r="FI85" i="19"/>
  <c r="FH85" i="19" s="1"/>
  <c r="GA29" i="19"/>
  <c r="GE29" i="19" s="1"/>
  <c r="FV40" i="19"/>
  <c r="FZ40" i="19" s="1"/>
  <c r="FX40" i="19"/>
  <c r="FW40" i="19" s="1"/>
  <c r="FV27" i="19"/>
  <c r="FZ27" i="19" s="1"/>
  <c r="FX27" i="19" s="1"/>
  <c r="FW27" i="19" s="1"/>
  <c r="FG54" i="19"/>
  <c r="FK54" i="19" s="1"/>
  <c r="FI54" i="19"/>
  <c r="FH54" i="19" s="1"/>
  <c r="FI91" i="19"/>
  <c r="FH91" i="19" s="1"/>
  <c r="FG91" i="19"/>
  <c r="FK91" i="19" s="1"/>
  <c r="FN41" i="19"/>
  <c r="FM41" i="19" s="1"/>
  <c r="FQ41" i="19"/>
  <c r="FU41" i="19" s="1"/>
  <c r="FS41" i="19" s="1"/>
  <c r="FG61" i="19"/>
  <c r="FK61" i="19"/>
  <c r="FI61" i="19"/>
  <c r="FH61" i="19" s="1"/>
  <c r="FG59" i="19"/>
  <c r="FK59" i="19" s="1"/>
  <c r="FI59" i="19"/>
  <c r="FH59" i="19" s="1"/>
  <c r="FG44" i="19"/>
  <c r="FK44" i="19" s="1"/>
  <c r="FI44" i="19"/>
  <c r="FH44" i="19" s="1"/>
  <c r="FG58" i="19"/>
  <c r="FK58" i="19" s="1"/>
  <c r="FI58" i="19"/>
  <c r="FH58" i="19" s="1"/>
  <c r="FV39" i="19"/>
  <c r="FZ39" i="19" s="1"/>
  <c r="FL31" i="19"/>
  <c r="FP31" i="19" s="1"/>
  <c r="FN31" i="19"/>
  <c r="FM31" i="19" s="1"/>
  <c r="FS19" i="19"/>
  <c r="FR19" i="19" s="1"/>
  <c r="FQ36" i="19"/>
  <c r="FU36" i="19" s="1"/>
  <c r="FS36" i="19"/>
  <c r="FR36" i="19" s="1"/>
  <c r="FK67" i="19"/>
  <c r="FG67" i="19"/>
  <c r="FI67" i="19"/>
  <c r="FH67" i="19" s="1"/>
  <c r="FI63" i="19"/>
  <c r="FH63" i="19" s="1"/>
  <c r="FG63" i="19"/>
  <c r="FK63" i="19" s="1"/>
  <c r="FQ23" i="19"/>
  <c r="FU23" i="19" s="1"/>
  <c r="FS23" i="19" s="1"/>
  <c r="FR23" i="19" s="1"/>
  <c r="FG80" i="19"/>
  <c r="FK80" i="19" s="1"/>
  <c r="FI80" i="19"/>
  <c r="FH80" i="19" s="1"/>
  <c r="FG34" i="19"/>
  <c r="FK34" i="19" s="1"/>
  <c r="FI34" i="19"/>
  <c r="FH34" i="19" s="1"/>
  <c r="AC50" i="14"/>
  <c r="AC67" i="14" s="1"/>
  <c r="AF18" i="14"/>
  <c r="AF87" i="14" s="1"/>
  <c r="AF88" i="14" s="1"/>
  <c r="AF12" i="7"/>
  <c r="AF20" i="14" s="1"/>
  <c r="AG10" i="7"/>
  <c r="AG12" i="7" s="1"/>
  <c r="AG20" i="14" s="1"/>
  <c r="AG64" i="14" s="1"/>
  <c r="ER11" i="19"/>
  <c r="K98" i="14"/>
  <c r="EX11" i="19"/>
  <c r="FC5" i="19"/>
  <c r="FB8" i="19"/>
  <c r="FB10" i="19"/>
  <c r="FB4" i="19"/>
  <c r="FD4" i="19"/>
  <c r="FH4" i="19"/>
  <c r="AE15" i="16"/>
  <c r="AE48" i="14"/>
  <c r="AE66" i="14" s="1"/>
  <c r="EW7" i="19"/>
  <c r="FC7" i="19"/>
  <c r="EY7" i="19"/>
  <c r="I146" i="14"/>
  <c r="T90" i="14"/>
  <c r="AH9" i="16"/>
  <c r="AI25" i="4"/>
  <c r="AI27" i="4" s="1"/>
  <c r="AE57" i="7"/>
  <c r="EY6" i="19"/>
  <c r="I18" i="16"/>
  <c r="I125" i="16"/>
  <c r="AI43" i="9"/>
  <c r="AI42" i="9" s="1"/>
  <c r="AI24" i="9"/>
  <c r="AJ25" i="9"/>
  <c r="AG63" i="14"/>
  <c r="AL5" i="13"/>
  <c r="AG31" i="7" s="1"/>
  <c r="M51" i="15"/>
  <c r="AJ24" i="15"/>
  <c r="FC6" i="19"/>
  <c r="G152" i="14"/>
  <c r="M96" i="14"/>
  <c r="H149" i="14"/>
  <c r="E206" i="14" s="1"/>
  <c r="P93" i="14"/>
  <c r="FB7" i="19"/>
  <c r="AE20" i="15"/>
  <c r="AI43" i="4"/>
  <c r="AB82" i="14"/>
  <c r="AB83" i="14" s="1"/>
  <c r="EY5" i="19"/>
  <c r="C121" i="3"/>
  <c r="C120" i="3"/>
  <c r="AJ44" i="9"/>
  <c r="AK26" i="9"/>
  <c r="AH42" i="9"/>
  <c r="W87" i="14"/>
  <c r="J143" i="14"/>
  <c r="L40" i="15"/>
  <c r="AG13" i="15"/>
  <c r="EW10" i="19"/>
  <c r="EY10" i="19"/>
  <c r="FC10" i="19"/>
  <c r="EW4" i="19"/>
  <c r="FC4" i="19"/>
  <c r="EY4" i="19"/>
  <c r="EW8" i="19"/>
  <c r="FC8" i="19"/>
  <c r="EY8" i="19"/>
  <c r="EW2" i="19"/>
  <c r="FC2" i="19"/>
  <c r="EY2" i="19"/>
  <c r="AK50" i="6"/>
  <c r="AK9" i="14" s="1"/>
  <c r="AL29" i="6"/>
  <c r="M49" i="16"/>
  <c r="AG128" i="16"/>
  <c r="AG12" i="16"/>
  <c r="AI23" i="4"/>
  <c r="M134" i="14"/>
  <c r="AG78" i="14"/>
  <c r="AI37" i="6"/>
  <c r="AK7" i="4" s="1"/>
  <c r="AK8" i="4"/>
  <c r="AJ38" i="6"/>
  <c r="E159" i="14"/>
  <c r="G103" i="14"/>
  <c r="H102" i="14"/>
  <c r="U12" i="17"/>
  <c r="U10" i="17"/>
  <c r="R36" i="16" s="1"/>
  <c r="R148" i="16" s="1"/>
  <c r="U9" i="17"/>
  <c r="R53" i="14" s="1"/>
  <c r="AD14" i="15"/>
  <c r="AC12" i="15"/>
  <c r="AE65" i="14"/>
  <c r="AE9" i="15"/>
  <c r="L55" i="16"/>
  <c r="F95" i="16" s="1"/>
  <c r="L95" i="16" s="1"/>
  <c r="AC134" i="16"/>
  <c r="AJ27" i="6"/>
  <c r="AK28" i="6"/>
  <c r="AJ49" i="6"/>
  <c r="EW3" i="19"/>
  <c r="EY3" i="19"/>
  <c r="FC3" i="19"/>
  <c r="I101" i="14"/>
  <c r="X86" i="14"/>
  <c r="J99" i="14"/>
  <c r="K99" i="14" s="1"/>
  <c r="F155" i="14"/>
  <c r="AE91" i="14"/>
  <c r="AE92" i="14" s="1"/>
  <c r="AE93" i="14" s="1"/>
  <c r="AE94" i="14" s="1"/>
  <c r="AE95" i="14" s="1"/>
  <c r="AE96" i="14" s="1"/>
  <c r="AE97" i="14" s="1"/>
  <c r="AE98" i="14" s="1"/>
  <c r="AE99" i="14" s="1"/>
  <c r="AE100" i="14" s="1"/>
  <c r="AE101" i="14" s="1"/>
  <c r="AE102" i="14" s="1"/>
  <c r="AE103" i="14" s="1"/>
  <c r="AE104" i="14" s="1"/>
  <c r="AE105" i="14" s="1"/>
  <c r="AE106" i="14" s="1"/>
  <c r="AE107" i="14" s="1"/>
  <c r="AE108" i="14" s="1"/>
  <c r="AE109" i="14" s="1"/>
  <c r="AE110" i="14" s="1"/>
  <c r="AE111" i="14" s="1"/>
  <c r="AE112" i="14" s="1"/>
  <c r="AE113" i="14" s="1"/>
  <c r="AE114" i="14" s="1"/>
  <c r="AE115" i="14" s="1"/>
  <c r="AE116" i="14" s="1"/>
  <c r="AK34" i="9"/>
  <c r="AJ33" i="9"/>
  <c r="L97" i="14"/>
  <c r="G46" i="15"/>
  <c r="V46" i="15" s="1"/>
  <c r="O27" i="15"/>
  <c r="G54" i="15" s="1"/>
  <c r="V54" i="15" s="1"/>
  <c r="AH8" i="14"/>
  <c r="AH77" i="14" s="1"/>
  <c r="AH78" i="14" s="1"/>
  <c r="AH48" i="6"/>
  <c r="AH10" i="14" s="1"/>
  <c r="AE135" i="16"/>
  <c r="AF16" i="16"/>
  <c r="N95" i="14"/>
  <c r="AK18" i="4"/>
  <c r="AL22" i="4"/>
  <c r="AJ26" i="4" s="1"/>
  <c r="AK21" i="4"/>
  <c r="AK17" i="4"/>
  <c r="AJ11" i="4"/>
  <c r="AJ20" i="4"/>
  <c r="K140" i="14"/>
  <c r="Z84" i="14"/>
  <c r="AM39" i="6"/>
  <c r="AN9" i="4"/>
  <c r="AN13" i="4" s="1"/>
  <c r="ET11" i="19"/>
  <c r="AI8" i="14"/>
  <c r="AI77" i="14" s="1"/>
  <c r="AI78" i="14" s="1"/>
  <c r="AI48" i="6"/>
  <c r="AI10" i="14" s="1"/>
  <c r="L137" i="14"/>
  <c r="F194" i="14" s="1"/>
  <c r="AC81" i="14"/>
  <c r="FB3" i="19"/>
  <c r="FH3" i="19"/>
  <c r="FD3" i="19"/>
  <c r="U89" i="14"/>
  <c r="AG18" i="14"/>
  <c r="AI11" i="18"/>
  <c r="FR41" i="19" l="1"/>
  <c r="FW20" i="19"/>
  <c r="FL79" i="19"/>
  <c r="FP79" i="19" s="1"/>
  <c r="FN79" i="19"/>
  <c r="FM79" i="19" s="1"/>
  <c r="FN58" i="19"/>
  <c r="FM58" i="19" s="1"/>
  <c r="FP58" i="19"/>
  <c r="FL58" i="19"/>
  <c r="FN71" i="19"/>
  <c r="FM71" i="19" s="1"/>
  <c r="FL71" i="19"/>
  <c r="FP71" i="19" s="1"/>
  <c r="FN42" i="19"/>
  <c r="FM42" i="19" s="1"/>
  <c r="FQ42" i="19"/>
  <c r="FU42" i="19" s="1"/>
  <c r="FL72" i="19"/>
  <c r="FP72" i="19" s="1"/>
  <c r="FN72" i="19"/>
  <c r="FM72" i="19" s="1"/>
  <c r="GJ29" i="19"/>
  <c r="GH29" i="19" s="1"/>
  <c r="GG29" i="19" s="1"/>
  <c r="GF29" i="19"/>
  <c r="GC29" i="19"/>
  <c r="GB29" i="19" s="1"/>
  <c r="FN32" i="19"/>
  <c r="FM32" i="19" s="1"/>
  <c r="FQ32" i="19"/>
  <c r="FU32" i="19"/>
  <c r="FS32" i="19"/>
  <c r="FR32" i="19" s="1"/>
  <c r="FL64" i="19"/>
  <c r="FP64" i="19" s="1"/>
  <c r="FN64" i="19"/>
  <c r="FM64" i="19" s="1"/>
  <c r="FS30" i="19"/>
  <c r="FR30" i="19" s="1"/>
  <c r="FV30" i="19"/>
  <c r="FZ30" i="19" s="1"/>
  <c r="FX30" i="19"/>
  <c r="FN48" i="19"/>
  <c r="FM48" i="19" s="1"/>
  <c r="FL48" i="19"/>
  <c r="FP48" i="19" s="1"/>
  <c r="GF37" i="19"/>
  <c r="GJ37" i="19" s="1"/>
  <c r="GH37" i="19" s="1"/>
  <c r="GC37" i="19"/>
  <c r="GB37" i="19" s="1"/>
  <c r="FX39" i="19"/>
  <c r="FW39" i="19" s="1"/>
  <c r="GA39" i="19"/>
  <c r="GE39" i="19" s="1"/>
  <c r="GC39" i="19" s="1"/>
  <c r="GB39" i="19" s="1"/>
  <c r="FL57" i="19"/>
  <c r="FP57" i="19" s="1"/>
  <c r="FN57" i="19"/>
  <c r="FM57" i="19" s="1"/>
  <c r="FN69" i="19"/>
  <c r="FM69" i="19" s="1"/>
  <c r="FL69" i="19"/>
  <c r="FP69" i="19" s="1"/>
  <c r="FX25" i="19"/>
  <c r="FW25" i="19" s="1"/>
  <c r="GA25" i="19"/>
  <c r="GE25" i="19" s="1"/>
  <c r="GC38" i="19"/>
  <c r="GB38" i="19" s="1"/>
  <c r="GF38" i="19"/>
  <c r="GJ38" i="19" s="1"/>
  <c r="GH38" i="19" s="1"/>
  <c r="GG38" i="19" s="1"/>
  <c r="FL66" i="19"/>
  <c r="FP66" i="19" s="1"/>
  <c r="FN66" i="19"/>
  <c r="FM66" i="19" s="1"/>
  <c r="FL54" i="19"/>
  <c r="FP54" i="19" s="1"/>
  <c r="FN54" i="19"/>
  <c r="FM54" i="19" s="1"/>
  <c r="FN49" i="19"/>
  <c r="FM49" i="19" s="1"/>
  <c r="FP49" i="19"/>
  <c r="FL49" i="19"/>
  <c r="FV35" i="19"/>
  <c r="FZ35" i="19" s="1"/>
  <c r="FX35" i="19" s="1"/>
  <c r="FW35" i="19" s="1"/>
  <c r="FS35" i="19"/>
  <c r="FR35" i="19" s="1"/>
  <c r="FN82" i="19"/>
  <c r="FM82" i="19" s="1"/>
  <c r="FL82" i="19"/>
  <c r="FP82" i="19" s="1"/>
  <c r="FL53" i="19"/>
  <c r="FP53" i="19" s="1"/>
  <c r="FN53" i="19"/>
  <c r="FM53" i="19" s="1"/>
  <c r="FN70" i="19"/>
  <c r="FM70" i="19" s="1"/>
  <c r="FL70" i="19"/>
  <c r="FP70" i="19" s="1"/>
  <c r="GA21" i="19"/>
  <c r="GE21" i="19" s="1"/>
  <c r="GF21" i="19" s="1"/>
  <c r="GJ21" i="19" s="1"/>
  <c r="GH21" i="19" s="1"/>
  <c r="GC21" i="19"/>
  <c r="GB21" i="19" s="1"/>
  <c r="FN51" i="19"/>
  <c r="FM51" i="19" s="1"/>
  <c r="FL51" i="19"/>
  <c r="FP51" i="19" s="1"/>
  <c r="FN84" i="19"/>
  <c r="FM84" i="19" s="1"/>
  <c r="FL84" i="19"/>
  <c r="FP84" i="19" s="1"/>
  <c r="FN52" i="19"/>
  <c r="FM52" i="19" s="1"/>
  <c r="FL52" i="19"/>
  <c r="FP52" i="19" s="1"/>
  <c r="FL87" i="19"/>
  <c r="FP87" i="19" s="1"/>
  <c r="FN87" i="19"/>
  <c r="FM87" i="19" s="1"/>
  <c r="GA24" i="19"/>
  <c r="GE24" i="19" s="1"/>
  <c r="GF24" i="19" s="1"/>
  <c r="GJ24" i="19" s="1"/>
  <c r="GH24" i="19" s="1"/>
  <c r="FL74" i="19"/>
  <c r="FN74" i="19"/>
  <c r="FM74" i="19" s="1"/>
  <c r="FP74" i="19"/>
  <c r="FL34" i="19"/>
  <c r="FP34" i="19"/>
  <c r="FP83" i="19"/>
  <c r="FN83" i="19"/>
  <c r="FM83" i="19" s="1"/>
  <c r="FL83" i="19"/>
  <c r="FL68" i="19"/>
  <c r="FN68" i="19"/>
  <c r="FM68" i="19" s="1"/>
  <c r="FP68" i="19"/>
  <c r="FL78" i="19"/>
  <c r="FP78" i="19"/>
  <c r="FN78" i="19"/>
  <c r="FM78" i="19" s="1"/>
  <c r="FN76" i="19"/>
  <c r="FM76" i="19" s="1"/>
  <c r="FL76" i="19"/>
  <c r="FP76" i="19" s="1"/>
  <c r="FL67" i="19"/>
  <c r="FP67" i="19" s="1"/>
  <c r="FN67" i="19"/>
  <c r="FM67" i="19" s="1"/>
  <c r="FL61" i="19"/>
  <c r="FP61" i="19" s="1"/>
  <c r="FN61" i="19"/>
  <c r="FM61" i="19" s="1"/>
  <c r="FP93" i="19"/>
  <c r="FN93" i="19"/>
  <c r="FM93" i="19" s="1"/>
  <c r="FL93" i="19"/>
  <c r="FN46" i="19"/>
  <c r="FM46" i="19" s="1"/>
  <c r="FL46" i="19"/>
  <c r="FP46" i="19" s="1"/>
  <c r="FN88" i="19"/>
  <c r="FM88" i="19" s="1"/>
  <c r="FL88" i="19"/>
  <c r="FP88" i="19" s="1"/>
  <c r="FN90" i="19"/>
  <c r="FM90" i="19" s="1"/>
  <c r="FL90" i="19"/>
  <c r="FP90" i="19" s="1"/>
  <c r="FN96" i="19"/>
  <c r="FM96" i="19" s="1"/>
  <c r="FL96" i="19"/>
  <c r="FP96" i="19" s="1"/>
  <c r="FN50" i="19"/>
  <c r="FM50" i="19" s="1"/>
  <c r="FL50" i="19"/>
  <c r="FP50" i="19" s="1"/>
  <c r="FL80" i="19"/>
  <c r="FP80" i="19" s="1"/>
  <c r="FN80" i="19"/>
  <c r="FM80" i="19" s="1"/>
  <c r="FN55" i="19"/>
  <c r="FM55" i="19" s="1"/>
  <c r="FL55" i="19"/>
  <c r="FP55" i="19" s="1"/>
  <c r="FN81" i="19"/>
  <c r="FM81" i="19" s="1"/>
  <c r="FL81" i="19"/>
  <c r="FP81" i="19" s="1"/>
  <c r="FN89" i="19"/>
  <c r="FM89" i="19" s="1"/>
  <c r="FL89" i="19"/>
  <c r="FP89" i="19" s="1"/>
  <c r="FW19" i="19"/>
  <c r="FN77" i="19"/>
  <c r="FM77" i="19" s="1"/>
  <c r="FL77" i="19"/>
  <c r="FP77" i="19" s="1"/>
  <c r="GA22" i="19"/>
  <c r="GE22" i="19"/>
  <c r="FN86" i="19"/>
  <c r="FM86" i="19" s="1"/>
  <c r="FL86" i="19"/>
  <c r="FP86" i="19" s="1"/>
  <c r="FL62" i="19"/>
  <c r="FP62" i="19" s="1"/>
  <c r="FN62" i="19"/>
  <c r="FM62" i="19" s="1"/>
  <c r="FV36" i="19"/>
  <c r="FZ36" i="19" s="1"/>
  <c r="FX36" i="19" s="1"/>
  <c r="FW36" i="19" s="1"/>
  <c r="FN94" i="19"/>
  <c r="FM94" i="19" s="1"/>
  <c r="FL94" i="19"/>
  <c r="FP94" i="19" s="1"/>
  <c r="GA19" i="19"/>
  <c r="GE19" i="19" s="1"/>
  <c r="GF19" i="19" s="1"/>
  <c r="GJ19" i="19" s="1"/>
  <c r="GH19" i="19" s="1"/>
  <c r="GG19" i="19" s="1"/>
  <c r="GC19" i="19"/>
  <c r="GB19" i="19" s="1"/>
  <c r="FN47" i="19"/>
  <c r="FM47" i="19" s="1"/>
  <c r="FL47" i="19"/>
  <c r="FP47" i="19" s="1"/>
  <c r="FN59" i="19"/>
  <c r="FM59" i="19" s="1"/>
  <c r="FL59" i="19"/>
  <c r="FP59" i="19" s="1"/>
  <c r="FV23" i="19"/>
  <c r="FZ23" i="19" s="1"/>
  <c r="FX23" i="19"/>
  <c r="FW23" i="19" s="1"/>
  <c r="FV41" i="19"/>
  <c r="FZ41" i="19" s="1"/>
  <c r="FX41" i="19"/>
  <c r="FW41" i="19" s="1"/>
  <c r="GA27" i="19"/>
  <c r="GE27" i="19" s="1"/>
  <c r="GF27" i="19" s="1"/>
  <c r="GJ27" i="19" s="1"/>
  <c r="GH27" i="19" s="1"/>
  <c r="GG27" i="19" s="1"/>
  <c r="GC27" i="19"/>
  <c r="GB27" i="19" s="1"/>
  <c r="FL85" i="19"/>
  <c r="FP85" i="19" s="1"/>
  <c r="FN85" i="19"/>
  <c r="FM85" i="19" s="1"/>
  <c r="FN92" i="19"/>
  <c r="FM92" i="19" s="1"/>
  <c r="FL92" i="19"/>
  <c r="FP92" i="19" s="1"/>
  <c r="FN95" i="19"/>
  <c r="FM95" i="19" s="1"/>
  <c r="FL95" i="19"/>
  <c r="FP95" i="19" s="1"/>
  <c r="GC26" i="19"/>
  <c r="GB26" i="19" s="1"/>
  <c r="FV33" i="19"/>
  <c r="FZ33" i="19" s="1"/>
  <c r="FX33" i="19"/>
  <c r="FW33" i="19" s="1"/>
  <c r="FV28" i="19"/>
  <c r="FZ28" i="19" s="1"/>
  <c r="FX28" i="19"/>
  <c r="FW28" i="19" s="1"/>
  <c r="FN63" i="19"/>
  <c r="FM63" i="19" s="1"/>
  <c r="FL63" i="19"/>
  <c r="FP63" i="19" s="1"/>
  <c r="FN44" i="19"/>
  <c r="FM44" i="19" s="1"/>
  <c r="FL44" i="19"/>
  <c r="FP44" i="19" s="1"/>
  <c r="FX21" i="19"/>
  <c r="FW21" i="19" s="1"/>
  <c r="FL75" i="19"/>
  <c r="FP75" i="19"/>
  <c r="FN75" i="19"/>
  <c r="FM75" i="19" s="1"/>
  <c r="FN56" i="19"/>
  <c r="FM56" i="19" s="1"/>
  <c r="FL56" i="19"/>
  <c r="FP56" i="19" s="1"/>
  <c r="FN45" i="19"/>
  <c r="FM45" i="19" s="1"/>
  <c r="FL45" i="19"/>
  <c r="FP45" i="19" s="1"/>
  <c r="FN65" i="19"/>
  <c r="FM65" i="19" s="1"/>
  <c r="FL65" i="19"/>
  <c r="FP65" i="19" s="1"/>
  <c r="FQ31" i="19"/>
  <c r="FU31" i="19" s="1"/>
  <c r="FN91" i="19"/>
  <c r="FM91" i="19" s="1"/>
  <c r="FL91" i="19"/>
  <c r="FP91" i="19" s="1"/>
  <c r="GA40" i="19"/>
  <c r="GE40" i="19"/>
  <c r="GF40" i="19" s="1"/>
  <c r="GJ40" i="19" s="1"/>
  <c r="GH40" i="19" s="1"/>
  <c r="GC40" i="19"/>
  <c r="GB40" i="19" s="1"/>
  <c r="FN73" i="19"/>
  <c r="FM73" i="19" s="1"/>
  <c r="FL73" i="19"/>
  <c r="FP73" i="19" s="1"/>
  <c r="FP43" i="19"/>
  <c r="FN43" i="19"/>
  <c r="FM43" i="19" s="1"/>
  <c r="FL43" i="19"/>
  <c r="GA20" i="19"/>
  <c r="GE20" i="19" s="1"/>
  <c r="GF20" i="19" s="1"/>
  <c r="GJ20" i="19" s="1"/>
  <c r="GH20" i="19" s="1"/>
  <c r="GC20" i="19"/>
  <c r="GB20" i="19" s="1"/>
  <c r="FX24" i="19"/>
  <c r="FW24" i="19" s="1"/>
  <c r="FP60" i="19"/>
  <c r="FN60" i="19"/>
  <c r="FM60" i="19" s="1"/>
  <c r="FL60" i="19"/>
  <c r="U90" i="14"/>
  <c r="L98" i="14"/>
  <c r="L99" i="14" s="1"/>
  <c r="AF89" i="14"/>
  <c r="AF90" i="14" s="1"/>
  <c r="AF64" i="14"/>
  <c r="AF22" i="14"/>
  <c r="AH10" i="7"/>
  <c r="AH12" i="7" s="1"/>
  <c r="AH20" i="14" s="1"/>
  <c r="AH64" i="14" s="1"/>
  <c r="EW11" i="19"/>
  <c r="FH7" i="19"/>
  <c r="FD7" i="19"/>
  <c r="AE117" i="14"/>
  <c r="AE118" i="14" s="1"/>
  <c r="AE50" i="14"/>
  <c r="AE67" i="14" s="1"/>
  <c r="EY11" i="19"/>
  <c r="X87" i="14"/>
  <c r="H103" i="14"/>
  <c r="FG10" i="19"/>
  <c r="AF9" i="15"/>
  <c r="L36" i="15" s="1"/>
  <c r="AJ8" i="14"/>
  <c r="AJ77" i="14" s="1"/>
  <c r="G104" i="14"/>
  <c r="E160" i="14"/>
  <c r="FC11" i="19"/>
  <c r="AH13" i="15"/>
  <c r="I137" i="16"/>
  <c r="I19" i="16"/>
  <c r="AH128" i="16"/>
  <c r="FH8" i="19"/>
  <c r="AI9" i="16"/>
  <c r="AJ25" i="4"/>
  <c r="AJ27" i="4" s="1"/>
  <c r="AK27" i="6"/>
  <c r="AL28" i="6"/>
  <c r="M52" i="16"/>
  <c r="AG131" i="16"/>
  <c r="Y86" i="14"/>
  <c r="AG22" i="14"/>
  <c r="I147" i="14"/>
  <c r="T91" i="14"/>
  <c r="FD8" i="19"/>
  <c r="AK24" i="15"/>
  <c r="AO9" i="4"/>
  <c r="AO13" i="4" s="1"/>
  <c r="AN39" i="6"/>
  <c r="F156" i="14"/>
  <c r="J100" i="14"/>
  <c r="K100" i="14" s="1"/>
  <c r="J144" i="14"/>
  <c r="W88" i="14"/>
  <c r="M97" i="14"/>
  <c r="G153" i="14"/>
  <c r="AG41" i="14"/>
  <c r="AG51" i="7"/>
  <c r="AG38" i="7"/>
  <c r="AG48" i="14" s="1"/>
  <c r="AG66" i="14" s="1"/>
  <c r="AE134" i="16"/>
  <c r="AF15" i="16"/>
  <c r="V89" i="14"/>
  <c r="AE14" i="15"/>
  <c r="AD12" i="15"/>
  <c r="AL8" i="4"/>
  <c r="AJ37" i="6"/>
  <c r="AL7" i="4" s="1"/>
  <c r="AK38" i="6"/>
  <c r="AF20" i="15"/>
  <c r="AJ43" i="4"/>
  <c r="AH63" i="14"/>
  <c r="AM5" i="13"/>
  <c r="AH31" i="7" s="1"/>
  <c r="B99" i="3"/>
  <c r="L138" i="14"/>
  <c r="F195" i="14" s="1"/>
  <c r="AC82" i="14"/>
  <c r="K141" i="14"/>
  <c r="Z85" i="14"/>
  <c r="N96" i="14"/>
  <c r="O95" i="14"/>
  <c r="FB6" i="19"/>
  <c r="FH6" i="19"/>
  <c r="FD6" i="19"/>
  <c r="I102" i="14"/>
  <c r="R17" i="16"/>
  <c r="R55" i="14"/>
  <c r="R57" i="14" s="1"/>
  <c r="R68" i="14"/>
  <c r="R122" i="14"/>
  <c r="R123" i="14" s="1"/>
  <c r="AK44" i="9"/>
  <c r="AL26" i="9"/>
  <c r="AJ24" i="9"/>
  <c r="AK25" i="9"/>
  <c r="AJ43" i="9"/>
  <c r="FB5" i="19"/>
  <c r="FD5" i="19"/>
  <c r="FH5" i="19"/>
  <c r="FB2" i="19"/>
  <c r="FD2" i="19"/>
  <c r="FH2" i="19"/>
  <c r="AI63" i="14"/>
  <c r="AN5" i="13"/>
  <c r="AI31" i="7" s="1"/>
  <c r="AL34" i="9"/>
  <c r="AK33" i="9"/>
  <c r="AL17" i="4"/>
  <c r="AL18" i="4"/>
  <c r="AM22" i="4"/>
  <c r="AK26" i="4" s="1"/>
  <c r="AL21" i="4"/>
  <c r="AK20" i="4"/>
  <c r="AK11" i="4"/>
  <c r="AL50" i="6"/>
  <c r="AL9" i="14" s="1"/>
  <c r="AM29" i="6"/>
  <c r="AA84" i="14"/>
  <c r="AB84" i="14" s="1"/>
  <c r="P94" i="14"/>
  <c r="H150" i="14"/>
  <c r="E207" i="14" s="1"/>
  <c r="FD10" i="19"/>
  <c r="AH12" i="16"/>
  <c r="AH131" i="16" s="1"/>
  <c r="AJ23" i="4"/>
  <c r="AF135" i="16"/>
  <c r="AG16" i="16"/>
  <c r="V7" i="17"/>
  <c r="Q21" i="15"/>
  <c r="Q19" i="15" s="1"/>
  <c r="M135" i="14"/>
  <c r="AG79" i="14"/>
  <c r="AH79" i="14" s="1"/>
  <c r="FH10" i="19"/>
  <c r="AJ11" i="18"/>
  <c r="GG26" i="19" l="1"/>
  <c r="AF91" i="14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FW30" i="19"/>
  <c r="FQ89" i="19"/>
  <c r="FU89" i="19" s="1"/>
  <c r="FS89" i="19"/>
  <c r="FR89" i="19" s="1"/>
  <c r="FS76" i="19"/>
  <c r="FR76" i="19" s="1"/>
  <c r="FQ76" i="19"/>
  <c r="FU76" i="19" s="1"/>
  <c r="FS65" i="19"/>
  <c r="FR65" i="19" s="1"/>
  <c r="FQ65" i="19"/>
  <c r="FU65" i="19" s="1"/>
  <c r="FQ47" i="19"/>
  <c r="FU47" i="19" s="1"/>
  <c r="FS47" i="19"/>
  <c r="FR47" i="19" s="1"/>
  <c r="FS56" i="19"/>
  <c r="FR56" i="19" s="1"/>
  <c r="FQ56" i="19"/>
  <c r="FU56" i="19" s="1"/>
  <c r="FQ94" i="19"/>
  <c r="FS94" i="19"/>
  <c r="FR94" i="19" s="1"/>
  <c r="FU94" i="19"/>
  <c r="FS55" i="19"/>
  <c r="FR55" i="19" s="1"/>
  <c r="FQ55" i="19"/>
  <c r="FU55" i="19" s="1"/>
  <c r="FS31" i="19"/>
  <c r="FR31" i="19" s="1"/>
  <c r="FV31" i="19"/>
  <c r="FZ31" i="19" s="1"/>
  <c r="FX31" i="19" s="1"/>
  <c r="FW31" i="19" s="1"/>
  <c r="FQ77" i="19"/>
  <c r="FU77" i="19" s="1"/>
  <c r="FS77" i="19"/>
  <c r="FR77" i="19" s="1"/>
  <c r="GC25" i="19"/>
  <c r="GB25" i="19" s="1"/>
  <c r="GF25" i="19"/>
  <c r="GJ25" i="19" s="1"/>
  <c r="GH25" i="19" s="1"/>
  <c r="FS64" i="19"/>
  <c r="FR64" i="19" s="1"/>
  <c r="FQ64" i="19"/>
  <c r="FU64" i="19" s="1"/>
  <c r="FQ61" i="19"/>
  <c r="FU61" i="19" s="1"/>
  <c r="FS61" i="19"/>
  <c r="FR61" i="19" s="1"/>
  <c r="FS72" i="19"/>
  <c r="FR72" i="19" s="1"/>
  <c r="FQ72" i="19"/>
  <c r="FU72" i="19" s="1"/>
  <c r="FS59" i="19"/>
  <c r="FR59" i="19" s="1"/>
  <c r="FQ59" i="19"/>
  <c r="FU59" i="19" s="1"/>
  <c r="FS53" i="19"/>
  <c r="FR53" i="19" s="1"/>
  <c r="FQ53" i="19"/>
  <c r="FU53" i="19" s="1"/>
  <c r="FV42" i="19"/>
  <c r="FZ42" i="19" s="1"/>
  <c r="FX42" i="19"/>
  <c r="FS42" i="19"/>
  <c r="FR42" i="19" s="1"/>
  <c r="FS79" i="19"/>
  <c r="FR79" i="19" s="1"/>
  <c r="FQ79" i="19"/>
  <c r="FU79" i="19" s="1"/>
  <c r="FS86" i="19"/>
  <c r="FR86" i="19" s="1"/>
  <c r="FQ86" i="19"/>
  <c r="FU86" i="19" s="1"/>
  <c r="FS83" i="19"/>
  <c r="FR83" i="19" s="1"/>
  <c r="FQ83" i="19"/>
  <c r="FU83" i="19" s="1"/>
  <c r="FS54" i="19"/>
  <c r="FR54" i="19" s="1"/>
  <c r="FQ54" i="19"/>
  <c r="FU54" i="19" s="1"/>
  <c r="FU69" i="19"/>
  <c r="FQ69" i="19"/>
  <c r="FS69" i="19"/>
  <c r="FR69" i="19" s="1"/>
  <c r="GG37" i="19"/>
  <c r="GG40" i="19"/>
  <c r="FQ75" i="19"/>
  <c r="FU75" i="19" s="1"/>
  <c r="FS75" i="19"/>
  <c r="FR75" i="19" s="1"/>
  <c r="GA28" i="19"/>
  <c r="GE28" i="19" s="1"/>
  <c r="FQ88" i="19"/>
  <c r="FU88" i="19" s="1"/>
  <c r="FS88" i="19"/>
  <c r="FR88" i="19" s="1"/>
  <c r="FS78" i="19"/>
  <c r="FR78" i="19" s="1"/>
  <c r="FQ78" i="19"/>
  <c r="FU78" i="19" s="1"/>
  <c r="FN34" i="19"/>
  <c r="FM34" i="19" s="1"/>
  <c r="FQ34" i="19"/>
  <c r="FU34" i="19" s="1"/>
  <c r="FS87" i="19"/>
  <c r="FR87" i="19" s="1"/>
  <c r="FQ87" i="19"/>
  <c r="FU87" i="19"/>
  <c r="GG21" i="19"/>
  <c r="FQ48" i="19"/>
  <c r="FU48" i="19"/>
  <c r="FS48" i="19"/>
  <c r="FR48" i="19" s="1"/>
  <c r="FS62" i="19"/>
  <c r="FR62" i="19" s="1"/>
  <c r="FQ62" i="19"/>
  <c r="FU62" i="19" s="1"/>
  <c r="FS82" i="19"/>
  <c r="FR82" i="19" s="1"/>
  <c r="FQ82" i="19"/>
  <c r="FU82" i="19" s="1"/>
  <c r="FQ71" i="19"/>
  <c r="FU71" i="19" s="1"/>
  <c r="FS71" i="19"/>
  <c r="FR71" i="19" s="1"/>
  <c r="GG20" i="19"/>
  <c r="FS45" i="19"/>
  <c r="FR45" i="19" s="1"/>
  <c r="FQ45" i="19"/>
  <c r="FU45" i="19" s="1"/>
  <c r="FS85" i="19"/>
  <c r="FR85" i="19" s="1"/>
  <c r="FQ85" i="19"/>
  <c r="FU85" i="19" s="1"/>
  <c r="GF22" i="19"/>
  <c r="GJ22" i="19" s="1"/>
  <c r="GH22" i="19" s="1"/>
  <c r="FQ80" i="19"/>
  <c r="FU80" i="19"/>
  <c r="FS80" i="19"/>
  <c r="FR80" i="19" s="1"/>
  <c r="FS52" i="19"/>
  <c r="FR52" i="19" s="1"/>
  <c r="FQ52" i="19"/>
  <c r="FU52" i="19" s="1"/>
  <c r="FS70" i="19"/>
  <c r="FR70" i="19" s="1"/>
  <c r="FQ70" i="19"/>
  <c r="FU70" i="19" s="1"/>
  <c r="FS66" i="19"/>
  <c r="FR66" i="19" s="1"/>
  <c r="FQ66" i="19"/>
  <c r="FU66" i="19" s="1"/>
  <c r="FV32" i="19"/>
  <c r="FZ32" i="19" s="1"/>
  <c r="FX32" i="19" s="1"/>
  <c r="FW32" i="19" s="1"/>
  <c r="FS58" i="19"/>
  <c r="FR58" i="19" s="1"/>
  <c r="FQ58" i="19"/>
  <c r="FU58" i="19" s="1"/>
  <c r="FS90" i="19"/>
  <c r="FR90" i="19" s="1"/>
  <c r="FQ90" i="19"/>
  <c r="FU90" i="19" s="1"/>
  <c r="AH18" i="14"/>
  <c r="FQ91" i="19"/>
  <c r="FU91" i="19" s="1"/>
  <c r="FS91" i="19"/>
  <c r="FR91" i="19" s="1"/>
  <c r="GA33" i="19"/>
  <c r="GE33" i="19" s="1"/>
  <c r="GC22" i="19"/>
  <c r="GB22" i="19" s="1"/>
  <c r="FU50" i="19"/>
  <c r="FS50" i="19"/>
  <c r="FR50" i="19" s="1"/>
  <c r="FQ50" i="19"/>
  <c r="FS46" i="19"/>
  <c r="FR46" i="19" s="1"/>
  <c r="FQ46" i="19"/>
  <c r="FU46" i="19" s="1"/>
  <c r="FQ68" i="19"/>
  <c r="FS68" i="19"/>
  <c r="FR68" i="19" s="1"/>
  <c r="FU68" i="19"/>
  <c r="FQ74" i="19"/>
  <c r="FU74" i="19" s="1"/>
  <c r="FS74" i="19"/>
  <c r="FR74" i="19" s="1"/>
  <c r="GA35" i="19"/>
  <c r="GE35" i="19" s="1"/>
  <c r="FS57" i="19"/>
  <c r="FR57" i="19" s="1"/>
  <c r="FQ57" i="19"/>
  <c r="FU57" i="19" s="1"/>
  <c r="FS60" i="19"/>
  <c r="FR60" i="19" s="1"/>
  <c r="FQ60" i="19"/>
  <c r="FU60" i="19" s="1"/>
  <c r="FS44" i="19"/>
  <c r="FR44" i="19" s="1"/>
  <c r="FQ44" i="19"/>
  <c r="FU44" i="19" s="1"/>
  <c r="FQ81" i="19"/>
  <c r="FU81" i="19" s="1"/>
  <c r="FS81" i="19"/>
  <c r="FR81" i="19" s="1"/>
  <c r="FQ67" i="19"/>
  <c r="FU67" i="19" s="1"/>
  <c r="FS67" i="19"/>
  <c r="FR67" i="19" s="1"/>
  <c r="FU84" i="19"/>
  <c r="FS84" i="19"/>
  <c r="FR84" i="19" s="1"/>
  <c r="FQ84" i="19"/>
  <c r="GA30" i="19"/>
  <c r="GE30" i="19" s="1"/>
  <c r="GF30" i="19" s="1"/>
  <c r="GJ30" i="19" s="1"/>
  <c r="GH30" i="19" s="1"/>
  <c r="GC30" i="19"/>
  <c r="GB30" i="19" s="1"/>
  <c r="FQ92" i="19"/>
  <c r="FU92" i="19" s="1"/>
  <c r="FS92" i="19"/>
  <c r="FR92" i="19" s="1"/>
  <c r="FU93" i="19"/>
  <c r="FS93" i="19"/>
  <c r="FR93" i="19" s="1"/>
  <c r="FQ93" i="19"/>
  <c r="GA23" i="19"/>
  <c r="GE23" i="19" s="1"/>
  <c r="GF23" i="19" s="1"/>
  <c r="GJ23" i="19" s="1"/>
  <c r="GH23" i="19" s="1"/>
  <c r="GG23" i="19" s="1"/>
  <c r="GC23" i="19"/>
  <c r="GB23" i="19" s="1"/>
  <c r="FQ43" i="19"/>
  <c r="FU43" i="19" s="1"/>
  <c r="FS43" i="19"/>
  <c r="FR43" i="19" s="1"/>
  <c r="FS95" i="19"/>
  <c r="FR95" i="19" s="1"/>
  <c r="FQ95" i="19"/>
  <c r="FU95" i="19" s="1"/>
  <c r="GA36" i="19"/>
  <c r="GE36" i="19" s="1"/>
  <c r="FS96" i="19"/>
  <c r="FR96" i="19" s="1"/>
  <c r="FQ96" i="19"/>
  <c r="FU96" i="19" s="1"/>
  <c r="FS49" i="19"/>
  <c r="FR49" i="19" s="1"/>
  <c r="FQ49" i="19"/>
  <c r="FU49" i="19" s="1"/>
  <c r="GF39" i="19"/>
  <c r="GJ39" i="19" s="1"/>
  <c r="GH39" i="19" s="1"/>
  <c r="GG39" i="19" s="1"/>
  <c r="FU73" i="19"/>
  <c r="FQ73" i="19"/>
  <c r="FS73" i="19"/>
  <c r="FR73" i="19" s="1"/>
  <c r="FS63" i="19"/>
  <c r="FR63" i="19" s="1"/>
  <c r="FQ63" i="19"/>
  <c r="FU63" i="19" s="1"/>
  <c r="GA41" i="19"/>
  <c r="GE41" i="19"/>
  <c r="GF41" i="19" s="1"/>
  <c r="GJ41" i="19" s="1"/>
  <c r="GH41" i="19" s="1"/>
  <c r="GC24" i="19"/>
  <c r="GB24" i="19" s="1"/>
  <c r="FU51" i="19"/>
  <c r="FS51" i="19"/>
  <c r="FR51" i="19" s="1"/>
  <c r="FQ51" i="19"/>
  <c r="V90" i="14"/>
  <c r="U91" i="14"/>
  <c r="X88" i="14"/>
  <c r="AF65" i="14"/>
  <c r="AF50" i="14"/>
  <c r="AF67" i="14" s="1"/>
  <c r="FB11" i="19"/>
  <c r="AI10" i="7"/>
  <c r="AI18" i="14" s="1"/>
  <c r="Y87" i="14"/>
  <c r="AE119" i="14"/>
  <c r="AE120" i="14" s="1"/>
  <c r="AE121" i="14" s="1"/>
  <c r="I103" i="14"/>
  <c r="H104" i="14"/>
  <c r="O96" i="14"/>
  <c r="AI79" i="14"/>
  <c r="FL6" i="19"/>
  <c r="FL7" i="19"/>
  <c r="FL10" i="19"/>
  <c r="FR10" i="19"/>
  <c r="FN10" i="19"/>
  <c r="AG9" i="15"/>
  <c r="M56" i="16"/>
  <c r="AG135" i="16"/>
  <c r="AH16" i="16"/>
  <c r="L100" i="14"/>
  <c r="R136" i="16"/>
  <c r="AF134" i="16"/>
  <c r="AG15" i="16"/>
  <c r="F157" i="14"/>
  <c r="J101" i="14"/>
  <c r="FG5" i="19"/>
  <c r="FI5" i="19"/>
  <c r="FM5" i="19"/>
  <c r="AM34" i="9"/>
  <c r="AL33" i="9"/>
  <c r="AJ9" i="16"/>
  <c r="AK25" i="4"/>
  <c r="AK27" i="4" s="1"/>
  <c r="FG3" i="19"/>
  <c r="FM3" i="19"/>
  <c r="FI3" i="19"/>
  <c r="AP9" i="4"/>
  <c r="AP13" i="4" s="1"/>
  <c r="AO39" i="6"/>
  <c r="AI128" i="16"/>
  <c r="AI41" i="14"/>
  <c r="AI51" i="7"/>
  <c r="AI57" i="7" s="1"/>
  <c r="AI38" i="7"/>
  <c r="AI48" i="14" s="1"/>
  <c r="AI66" i="14" s="1"/>
  <c r="AL44" i="9"/>
  <c r="AM26" i="9"/>
  <c r="AK37" i="6"/>
  <c r="AM7" i="4" s="1"/>
  <c r="AM8" i="4"/>
  <c r="AL38" i="6"/>
  <c r="AG57" i="7"/>
  <c r="E161" i="14"/>
  <c r="G105" i="14"/>
  <c r="FG2" i="19"/>
  <c r="FI2" i="19"/>
  <c r="FM2" i="19"/>
  <c r="FG4" i="19"/>
  <c r="FI4" i="19"/>
  <c r="FM4" i="19"/>
  <c r="FG8" i="19"/>
  <c r="FI8" i="19"/>
  <c r="FM8" i="19"/>
  <c r="H151" i="14"/>
  <c r="E208" i="14" s="1"/>
  <c r="P95" i="14"/>
  <c r="FH11" i="19"/>
  <c r="AM17" i="4"/>
  <c r="AM18" i="4"/>
  <c r="AN22" i="4"/>
  <c r="AL26" i="4" s="1"/>
  <c r="AM21" i="4"/>
  <c r="AL20" i="4"/>
  <c r="AL11" i="4"/>
  <c r="V91" i="14"/>
  <c r="FG6" i="19"/>
  <c r="FI6" i="19"/>
  <c r="FM6" i="19"/>
  <c r="G154" i="14"/>
  <c r="M98" i="14"/>
  <c r="V10" i="17"/>
  <c r="S36" i="16" s="1"/>
  <c r="S148" i="16" s="1"/>
  <c r="V9" i="17"/>
  <c r="S53" i="14" s="1"/>
  <c r="AA85" i="14"/>
  <c r="AA86" i="14" s="1"/>
  <c r="FD11" i="19"/>
  <c r="R124" i="14"/>
  <c r="R125" i="14" s="1"/>
  <c r="R126" i="14" s="1"/>
  <c r="AH41" i="14"/>
  <c r="AH51" i="7"/>
  <c r="AH57" i="7" s="1"/>
  <c r="AH38" i="7"/>
  <c r="AH48" i="14" s="1"/>
  <c r="AH66" i="14" s="1"/>
  <c r="J145" i="14"/>
  <c r="W89" i="14"/>
  <c r="T92" i="14"/>
  <c r="U92" i="14" s="1"/>
  <c r="I148" i="14"/>
  <c r="AK49" i="6"/>
  <c r="I33" i="16"/>
  <c r="I138" i="16"/>
  <c r="M136" i="14"/>
  <c r="AG80" i="14"/>
  <c r="K101" i="14"/>
  <c r="AI12" i="16"/>
  <c r="AI131" i="16" s="1"/>
  <c r="AK23" i="4"/>
  <c r="L139" i="14"/>
  <c r="F196" i="14" s="1"/>
  <c r="AC83" i="14"/>
  <c r="AM50" i="6"/>
  <c r="AM9" i="14" s="1"/>
  <c r="AN29" i="6"/>
  <c r="AJ42" i="9"/>
  <c r="N97" i="14"/>
  <c r="O97" i="14" s="1"/>
  <c r="AH22" i="14"/>
  <c r="AG20" i="15"/>
  <c r="AK43" i="4"/>
  <c r="AL24" i="15"/>
  <c r="AL27" i="6"/>
  <c r="AM28" i="6"/>
  <c r="AL49" i="6"/>
  <c r="AJ48" i="6"/>
  <c r="AJ10" i="14" s="1"/>
  <c r="FM10" i="19"/>
  <c r="AK24" i="9"/>
  <c r="AL25" i="9"/>
  <c r="AK43" i="9"/>
  <c r="AK42" i="9" s="1"/>
  <c r="R70" i="14"/>
  <c r="Q25" i="15"/>
  <c r="K142" i="14"/>
  <c r="Z86" i="14"/>
  <c r="L47" i="15"/>
  <c r="AF14" i="15"/>
  <c r="AE12" i="15"/>
  <c r="AG65" i="14"/>
  <c r="AG50" i="14"/>
  <c r="AI13" i="15"/>
  <c r="N134" i="14"/>
  <c r="AJ78" i="14"/>
  <c r="FI10" i="19"/>
  <c r="FG7" i="19"/>
  <c r="FM7" i="19"/>
  <c r="FI7" i="19"/>
  <c r="AK11" i="18"/>
  <c r="GG22" i="19" l="1"/>
  <c r="FX52" i="19"/>
  <c r="FW52" i="19" s="1"/>
  <c r="FV52" i="19"/>
  <c r="FZ52" i="19" s="1"/>
  <c r="FX53" i="19"/>
  <c r="FW53" i="19" s="1"/>
  <c r="FV53" i="19"/>
  <c r="FZ53" i="19" s="1"/>
  <c r="FX47" i="19"/>
  <c r="FW47" i="19" s="1"/>
  <c r="FV47" i="19"/>
  <c r="FZ47" i="19" s="1"/>
  <c r="GF33" i="19"/>
  <c r="GJ33" i="19"/>
  <c r="GH33" i="19" s="1"/>
  <c r="GC33" i="19"/>
  <c r="GB33" i="19" s="1"/>
  <c r="GC36" i="19"/>
  <c r="GB36" i="19" s="1"/>
  <c r="GF36" i="19"/>
  <c r="GJ36" i="19" s="1"/>
  <c r="GH36" i="19" s="1"/>
  <c r="FX66" i="19"/>
  <c r="FW66" i="19" s="1"/>
  <c r="FV66" i="19"/>
  <c r="FZ66" i="19" s="1"/>
  <c r="FV86" i="19"/>
  <c r="FZ86" i="19" s="1"/>
  <c r="FX86" i="19"/>
  <c r="FW86" i="19" s="1"/>
  <c r="FX65" i="19"/>
  <c r="FW65" i="19" s="1"/>
  <c r="FV65" i="19"/>
  <c r="FZ65" i="19" s="1"/>
  <c r="FX57" i="19"/>
  <c r="FW57" i="19" s="1"/>
  <c r="FV57" i="19"/>
  <c r="FZ57" i="19" s="1"/>
  <c r="FX91" i="19"/>
  <c r="FW91" i="19" s="1"/>
  <c r="FV91" i="19"/>
  <c r="FZ91" i="19" s="1"/>
  <c r="FX85" i="19"/>
  <c r="FW85" i="19" s="1"/>
  <c r="FZ85" i="19"/>
  <c r="FV85" i="19"/>
  <c r="GF28" i="19"/>
  <c r="GJ28" i="19" s="1"/>
  <c r="GH28" i="19" s="1"/>
  <c r="GG28" i="19" s="1"/>
  <c r="GC28" i="19"/>
  <c r="GB28" i="19" s="1"/>
  <c r="FX56" i="19"/>
  <c r="FW56" i="19" s="1"/>
  <c r="FV56" i="19"/>
  <c r="FZ56" i="19" s="1"/>
  <c r="FV96" i="19"/>
  <c r="FZ96" i="19" s="1"/>
  <c r="FX96" i="19"/>
  <c r="FW96" i="19" s="1"/>
  <c r="GF35" i="19"/>
  <c r="GJ35" i="19" s="1"/>
  <c r="GH35" i="19" s="1"/>
  <c r="GG35" i="19" s="1"/>
  <c r="GC35" i="19"/>
  <c r="GB35" i="19" s="1"/>
  <c r="FX95" i="19"/>
  <c r="FW95" i="19" s="1"/>
  <c r="FV95" i="19"/>
  <c r="FZ95" i="19" s="1"/>
  <c r="FV93" i="19"/>
  <c r="FZ93" i="19" s="1"/>
  <c r="FX93" i="19"/>
  <c r="FW93" i="19" s="1"/>
  <c r="FV68" i="19"/>
  <c r="FX68" i="19"/>
  <c r="FW68" i="19" s="1"/>
  <c r="FZ68" i="19"/>
  <c r="FX90" i="19"/>
  <c r="FW90" i="19" s="1"/>
  <c r="FV90" i="19"/>
  <c r="FZ90" i="19" s="1"/>
  <c r="FX48" i="19"/>
  <c r="FW48" i="19" s="1"/>
  <c r="FV48" i="19"/>
  <c r="FZ48" i="19" s="1"/>
  <c r="FX72" i="19"/>
  <c r="FW72" i="19" s="1"/>
  <c r="FV72" i="19"/>
  <c r="FZ72" i="19" s="1"/>
  <c r="FX74" i="19"/>
  <c r="FW74" i="19" s="1"/>
  <c r="FV74" i="19"/>
  <c r="FZ74" i="19" s="1"/>
  <c r="FX50" i="19"/>
  <c r="FW50" i="19" s="1"/>
  <c r="FV50" i="19"/>
  <c r="FZ50" i="19" s="1"/>
  <c r="FZ80" i="19"/>
  <c r="FX80" i="19"/>
  <c r="FW80" i="19" s="1"/>
  <c r="FV80" i="19"/>
  <c r="FX63" i="19"/>
  <c r="FW63" i="19" s="1"/>
  <c r="FV63" i="19"/>
  <c r="FZ63" i="19" s="1"/>
  <c r="FX49" i="19"/>
  <c r="FW49" i="19" s="1"/>
  <c r="FV49" i="19"/>
  <c r="FZ49" i="19" s="1"/>
  <c r="FX67" i="19"/>
  <c r="FW67" i="19" s="1"/>
  <c r="FV67" i="19"/>
  <c r="FZ67" i="19" s="1"/>
  <c r="FV70" i="19"/>
  <c r="FZ70" i="19" s="1"/>
  <c r="FX70" i="19"/>
  <c r="FW70" i="19" s="1"/>
  <c r="FX78" i="19"/>
  <c r="FW78" i="19" s="1"/>
  <c r="FV78" i="19"/>
  <c r="FZ78" i="19" s="1"/>
  <c r="FX75" i="19"/>
  <c r="FW75" i="19" s="1"/>
  <c r="FV75" i="19"/>
  <c r="FZ75" i="19"/>
  <c r="FX83" i="19"/>
  <c r="FW83" i="19" s="1"/>
  <c r="FZ83" i="19"/>
  <c r="FV83" i="19"/>
  <c r="FW42" i="19"/>
  <c r="FV77" i="19"/>
  <c r="FZ77" i="19"/>
  <c r="FX77" i="19"/>
  <c r="FW77" i="19" s="1"/>
  <c r="FZ34" i="19"/>
  <c r="FV34" i="19"/>
  <c r="FV92" i="19"/>
  <c r="FZ92" i="19" s="1"/>
  <c r="FX92" i="19"/>
  <c r="FW92" i="19" s="1"/>
  <c r="FX58" i="19"/>
  <c r="FW58" i="19" s="1"/>
  <c r="FV58" i="19"/>
  <c r="FZ58" i="19" s="1"/>
  <c r="FX71" i="19"/>
  <c r="FW71" i="19" s="1"/>
  <c r="FV71" i="19"/>
  <c r="FZ71" i="19" s="1"/>
  <c r="GA42" i="19"/>
  <c r="GE42" i="19" s="1"/>
  <c r="FX43" i="19"/>
  <c r="FW43" i="19" s="1"/>
  <c r="FV43" i="19"/>
  <c r="FZ43" i="19" s="1"/>
  <c r="FX81" i="19"/>
  <c r="FW81" i="19" s="1"/>
  <c r="FV81" i="19"/>
  <c r="FZ81" i="19" s="1"/>
  <c r="FZ46" i="19"/>
  <c r="FX46" i="19"/>
  <c r="FW46" i="19" s="1"/>
  <c r="FV46" i="19"/>
  <c r="FX82" i="19"/>
  <c r="FW82" i="19" s="1"/>
  <c r="FV82" i="19"/>
  <c r="FZ82" i="19" s="1"/>
  <c r="FX87" i="19"/>
  <c r="FW87" i="19" s="1"/>
  <c r="FV87" i="19"/>
  <c r="FZ87" i="19" s="1"/>
  <c r="FX61" i="19"/>
  <c r="FW61" i="19" s="1"/>
  <c r="FV61" i="19"/>
  <c r="FZ61" i="19" s="1"/>
  <c r="GA31" i="19"/>
  <c r="GE31" i="19" s="1"/>
  <c r="GC31" i="19" s="1"/>
  <c r="GB31" i="19" s="1"/>
  <c r="FV76" i="19"/>
  <c r="FZ76" i="19" s="1"/>
  <c r="FX76" i="19"/>
  <c r="FW76" i="19" s="1"/>
  <c r="FX51" i="19"/>
  <c r="FW51" i="19" s="1"/>
  <c r="FV51" i="19"/>
  <c r="FZ51" i="19" s="1"/>
  <c r="GG30" i="19"/>
  <c r="FX44" i="19"/>
  <c r="FW44" i="19" s="1"/>
  <c r="FV44" i="19"/>
  <c r="FZ44" i="19" s="1"/>
  <c r="FX88" i="19"/>
  <c r="FW88" i="19" s="1"/>
  <c r="FV88" i="19"/>
  <c r="FZ88" i="19" s="1"/>
  <c r="FX64" i="19"/>
  <c r="FW64" i="19" s="1"/>
  <c r="FV64" i="19"/>
  <c r="FZ64" i="19" s="1"/>
  <c r="FX84" i="19"/>
  <c r="FW84" i="19" s="1"/>
  <c r="FV84" i="19"/>
  <c r="FZ84" i="19" s="1"/>
  <c r="FX54" i="19"/>
  <c r="FW54" i="19" s="1"/>
  <c r="FV54" i="19"/>
  <c r="FZ54" i="19" s="1"/>
  <c r="FX94" i="19"/>
  <c r="FW94" i="19" s="1"/>
  <c r="FZ94" i="19"/>
  <c r="FV94" i="19"/>
  <c r="FV73" i="19"/>
  <c r="FZ73" i="19" s="1"/>
  <c r="FX73" i="19"/>
  <c r="FW73" i="19" s="1"/>
  <c r="GA32" i="19"/>
  <c r="GE32" i="19" s="1"/>
  <c r="GF32" i="19" s="1"/>
  <c r="GJ32" i="19" s="1"/>
  <c r="GH32" i="19" s="1"/>
  <c r="GC32" i="19"/>
  <c r="GB32" i="19" s="1"/>
  <c r="FX62" i="19"/>
  <c r="FW62" i="19" s="1"/>
  <c r="FV62" i="19"/>
  <c r="FZ62" i="19" s="1"/>
  <c r="FX55" i="19"/>
  <c r="FW55" i="19" s="1"/>
  <c r="FV55" i="19"/>
  <c r="FZ55" i="19" s="1"/>
  <c r="GC41" i="19"/>
  <c r="GB41" i="19" s="1"/>
  <c r="GG24" i="19"/>
  <c r="FZ60" i="19"/>
  <c r="FX60" i="19"/>
  <c r="FW60" i="19" s="1"/>
  <c r="FV60" i="19"/>
  <c r="FX45" i="19"/>
  <c r="FW45" i="19" s="1"/>
  <c r="FV45" i="19"/>
  <c r="FZ45" i="19" s="1"/>
  <c r="FS34" i="19"/>
  <c r="FR34" i="19" s="1"/>
  <c r="FX69" i="19"/>
  <c r="FW69" i="19" s="1"/>
  <c r="FV69" i="19"/>
  <c r="FZ69" i="19" s="1"/>
  <c r="FV79" i="19"/>
  <c r="FX79" i="19"/>
  <c r="FW79" i="19" s="1"/>
  <c r="FZ79" i="19"/>
  <c r="FX59" i="19"/>
  <c r="FW59" i="19" s="1"/>
  <c r="FV59" i="19"/>
  <c r="FZ59" i="19" s="1"/>
  <c r="GG25" i="19"/>
  <c r="FX89" i="19"/>
  <c r="FW89" i="19" s="1"/>
  <c r="FZ89" i="19"/>
  <c r="FV89" i="19"/>
  <c r="AI12" i="7"/>
  <c r="AI20" i="14" s="1"/>
  <c r="AI64" i="14" s="1"/>
  <c r="Y88" i="14"/>
  <c r="AJ10" i="7"/>
  <c r="H105" i="14"/>
  <c r="FG11" i="19"/>
  <c r="I104" i="14"/>
  <c r="AF119" i="14"/>
  <c r="AF120" i="14" s="1"/>
  <c r="AF121" i="14" s="1"/>
  <c r="FI11" i="19"/>
  <c r="FN6" i="19"/>
  <c r="FQ3" i="19"/>
  <c r="FW3" i="19"/>
  <c r="FS3" i="19"/>
  <c r="FQ5" i="19"/>
  <c r="FQ2" i="19"/>
  <c r="AH9" i="15"/>
  <c r="FQ8" i="19"/>
  <c r="AG67" i="14"/>
  <c r="AJ63" i="14"/>
  <c r="AO5" i="13"/>
  <c r="AJ31" i="7" s="1"/>
  <c r="M137" i="14"/>
  <c r="AG81" i="14"/>
  <c r="AP39" i="6"/>
  <c r="AR9" i="4" s="1"/>
  <c r="AR13" i="4" s="1"/>
  <c r="AQ9" i="4"/>
  <c r="AQ13" i="4" s="1"/>
  <c r="AM33" i="9"/>
  <c r="AN34" i="9"/>
  <c r="AN33" i="9" s="1"/>
  <c r="FR6" i="19"/>
  <c r="W90" i="14"/>
  <c r="J146" i="14"/>
  <c r="L41" i="15"/>
  <c r="AG14" i="15"/>
  <c r="AF12" i="15"/>
  <c r="L39" i="15" s="1"/>
  <c r="AH65" i="14"/>
  <c r="AH50" i="14"/>
  <c r="AJ12" i="16"/>
  <c r="AL23" i="4"/>
  <c r="AN8" i="4"/>
  <c r="AL37" i="6"/>
  <c r="AN7" i="4" s="1"/>
  <c r="AM38" i="6"/>
  <c r="AH15" i="16"/>
  <c r="AG134" i="16"/>
  <c r="M55" i="16"/>
  <c r="L101" i="14"/>
  <c r="FL5" i="19"/>
  <c r="FN5" i="19"/>
  <c r="FR5" i="19"/>
  <c r="AB85" i="14"/>
  <c r="AB86" i="14" s="1"/>
  <c r="V92" i="14"/>
  <c r="AK9" i="16"/>
  <c r="AL25" i="4"/>
  <c r="AL27" i="4" s="1"/>
  <c r="AH135" i="16"/>
  <c r="AI16" i="16"/>
  <c r="FL3" i="19"/>
  <c r="FR3" i="19"/>
  <c r="FN3" i="19"/>
  <c r="FL2" i="19"/>
  <c r="FR2" i="19"/>
  <c r="FN2" i="19"/>
  <c r="N98" i="14"/>
  <c r="O98" i="14" s="1"/>
  <c r="AN18" i="4"/>
  <c r="AO22" i="4"/>
  <c r="AM26" i="4" s="1"/>
  <c r="AN21" i="4"/>
  <c r="AN17" i="4"/>
  <c r="AM20" i="4"/>
  <c r="AM11" i="4"/>
  <c r="X89" i="14"/>
  <c r="AJ13" i="15"/>
  <c r="M40" i="15"/>
  <c r="AH20" i="15"/>
  <c r="AL43" i="4"/>
  <c r="AL24" i="9"/>
  <c r="AM25" i="9"/>
  <c r="AL43" i="9"/>
  <c r="AL42" i="9" s="1"/>
  <c r="AL8" i="14"/>
  <c r="AL48" i="6"/>
  <c r="AL10" i="14" s="1"/>
  <c r="L140" i="14"/>
  <c r="F197" i="14" s="1"/>
  <c r="AC84" i="14"/>
  <c r="AN28" i="6"/>
  <c r="AM49" i="6"/>
  <c r="AM27" i="6"/>
  <c r="I146" i="16"/>
  <c r="I38" i="16"/>
  <c r="S17" i="16"/>
  <c r="S68" i="14"/>
  <c r="S55" i="14"/>
  <c r="S57" i="14" s="1"/>
  <c r="R25" i="15" s="1"/>
  <c r="S122" i="14"/>
  <c r="S123" i="14" s="1"/>
  <c r="S124" i="14" s="1"/>
  <c r="S125" i="14" s="1"/>
  <c r="N135" i="14"/>
  <c r="AJ79" i="14"/>
  <c r="Z87" i="14"/>
  <c r="AA87" i="14" s="1"/>
  <c r="K143" i="14"/>
  <c r="AO29" i="6"/>
  <c r="AN50" i="6"/>
  <c r="AN9" i="14" s="1"/>
  <c r="I105" i="14"/>
  <c r="AK8" i="14"/>
  <c r="AK77" i="14" s="1"/>
  <c r="AK78" i="14" s="1"/>
  <c r="AK48" i="6"/>
  <c r="AK10" i="14" s="1"/>
  <c r="V12" i="17"/>
  <c r="G106" i="14"/>
  <c r="E162" i="14"/>
  <c r="AN26" i="9"/>
  <c r="AN44" i="9" s="1"/>
  <c r="AM44" i="9"/>
  <c r="FL4" i="19"/>
  <c r="FR4" i="19"/>
  <c r="FN4" i="19"/>
  <c r="H152" i="14"/>
  <c r="E209" i="14" s="1"/>
  <c r="P96" i="14"/>
  <c r="AM24" i="15"/>
  <c r="N51" i="15"/>
  <c r="FN7" i="19"/>
  <c r="FL8" i="19"/>
  <c r="FR8" i="19"/>
  <c r="FN8" i="19"/>
  <c r="AH80" i="14"/>
  <c r="Q23" i="15"/>
  <c r="Q27" i="15" s="1"/>
  <c r="I149" i="14"/>
  <c r="T93" i="14"/>
  <c r="U93" i="14" s="1"/>
  <c r="G155" i="14"/>
  <c r="M99" i="14"/>
  <c r="FM11" i="19"/>
  <c r="N49" i="16"/>
  <c r="AJ128" i="16"/>
  <c r="J102" i="14"/>
  <c r="F158" i="14"/>
  <c r="FR7" i="19"/>
  <c r="AJ18" i="14"/>
  <c r="AJ12" i="7"/>
  <c r="AJ20" i="14" s="1"/>
  <c r="AJ64" i="14" s="1"/>
  <c r="AL11" i="18"/>
  <c r="AI22" i="14" l="1"/>
  <c r="AI50" i="14" s="1"/>
  <c r="GG41" i="19"/>
  <c r="GG33" i="19"/>
  <c r="GC86" i="19"/>
  <c r="GB86" i="19" s="1"/>
  <c r="GA86" i="19"/>
  <c r="GE86" i="19" s="1"/>
  <c r="GC58" i="19"/>
  <c r="GB58" i="19" s="1"/>
  <c r="GA58" i="19"/>
  <c r="GE58" i="19" s="1"/>
  <c r="GA87" i="19"/>
  <c r="GE87" i="19" s="1"/>
  <c r="GC87" i="19"/>
  <c r="GB87" i="19" s="1"/>
  <c r="GA51" i="19"/>
  <c r="GE51" i="19" s="1"/>
  <c r="GC51" i="19"/>
  <c r="GB51" i="19" s="1"/>
  <c r="GC56" i="19"/>
  <c r="GB56" i="19" s="1"/>
  <c r="GA56" i="19"/>
  <c r="GE56" i="19" s="1"/>
  <c r="GA73" i="19"/>
  <c r="GE73" i="19" s="1"/>
  <c r="GC73" i="19"/>
  <c r="GB73" i="19" s="1"/>
  <c r="GA61" i="19"/>
  <c r="GE61" i="19" s="1"/>
  <c r="GC61" i="19"/>
  <c r="GB61" i="19" s="1"/>
  <c r="GA78" i="19"/>
  <c r="GE78" i="19" s="1"/>
  <c r="GC78" i="19"/>
  <c r="GB78" i="19" s="1"/>
  <c r="GA67" i="19"/>
  <c r="GE67" i="19" s="1"/>
  <c r="GC67" i="19"/>
  <c r="GB67" i="19" s="1"/>
  <c r="GA95" i="19"/>
  <c r="GE95" i="19" s="1"/>
  <c r="GC95" i="19"/>
  <c r="GB95" i="19" s="1"/>
  <c r="GA62" i="19"/>
  <c r="GE62" i="19" s="1"/>
  <c r="GC62" i="19"/>
  <c r="GB62" i="19" s="1"/>
  <c r="GC44" i="19"/>
  <c r="GB44" i="19" s="1"/>
  <c r="GA44" i="19"/>
  <c r="GE44" i="19" s="1"/>
  <c r="GC74" i="19"/>
  <c r="GB74" i="19" s="1"/>
  <c r="GA74" i="19"/>
  <c r="GE74" i="19" s="1"/>
  <c r="GA64" i="19"/>
  <c r="GE64" i="19" s="1"/>
  <c r="GC64" i="19"/>
  <c r="GB64" i="19" s="1"/>
  <c r="GC45" i="19"/>
  <c r="GB45" i="19" s="1"/>
  <c r="GA45" i="19"/>
  <c r="GE45" i="19" s="1"/>
  <c r="GC76" i="19"/>
  <c r="GB76" i="19" s="1"/>
  <c r="GA76" i="19"/>
  <c r="GE76" i="19" s="1"/>
  <c r="GF42" i="19"/>
  <c r="GJ42" i="19" s="1"/>
  <c r="GH42" i="19" s="1"/>
  <c r="GG42" i="19" s="1"/>
  <c r="GC42" i="19"/>
  <c r="GB42" i="19" s="1"/>
  <c r="GC69" i="19"/>
  <c r="GB69" i="19" s="1"/>
  <c r="GA69" i="19"/>
  <c r="GE69" i="19" s="1"/>
  <c r="GC60" i="19"/>
  <c r="GB60" i="19" s="1"/>
  <c r="GA60" i="19"/>
  <c r="GE60" i="19" s="1"/>
  <c r="GG32" i="19"/>
  <c r="GC80" i="19"/>
  <c r="GB80" i="19" s="1"/>
  <c r="GA80" i="19"/>
  <c r="GE80" i="19" s="1"/>
  <c r="GC48" i="19"/>
  <c r="GB48" i="19" s="1"/>
  <c r="GA48" i="19"/>
  <c r="GE48" i="19" s="1"/>
  <c r="GE93" i="19"/>
  <c r="GC93" i="19"/>
  <c r="GB93" i="19" s="1"/>
  <c r="GA93" i="19"/>
  <c r="GC96" i="19"/>
  <c r="GB96" i="19" s="1"/>
  <c r="GA96" i="19"/>
  <c r="GE96" i="19" s="1"/>
  <c r="GA81" i="19"/>
  <c r="GE81" i="19" s="1"/>
  <c r="GC81" i="19"/>
  <c r="GB81" i="19" s="1"/>
  <c r="GC84" i="19"/>
  <c r="GB84" i="19" s="1"/>
  <c r="GA84" i="19"/>
  <c r="GE84" i="19" s="1"/>
  <c r="GC43" i="19"/>
  <c r="GB43" i="19" s="1"/>
  <c r="GA43" i="19"/>
  <c r="GE43" i="19"/>
  <c r="GC77" i="19"/>
  <c r="GB77" i="19" s="1"/>
  <c r="GA77" i="19"/>
  <c r="GE77" i="19" s="1"/>
  <c r="GE50" i="19"/>
  <c r="GC50" i="19"/>
  <c r="GB50" i="19" s="1"/>
  <c r="GA50" i="19"/>
  <c r="GA91" i="19"/>
  <c r="GC91" i="19"/>
  <c r="GB91" i="19" s="1"/>
  <c r="GE91" i="19"/>
  <c r="GA47" i="19"/>
  <c r="GE47" i="19" s="1"/>
  <c r="GC47" i="19"/>
  <c r="GB47" i="19" s="1"/>
  <c r="GE59" i="19"/>
  <c r="GC59" i="19"/>
  <c r="GB59" i="19" s="1"/>
  <c r="GA59" i="19"/>
  <c r="GC55" i="19"/>
  <c r="GB55" i="19" s="1"/>
  <c r="GA55" i="19"/>
  <c r="GE55" i="19" s="1"/>
  <c r="GA82" i="19"/>
  <c r="GE82" i="19" s="1"/>
  <c r="GC82" i="19"/>
  <c r="GB82" i="19" s="1"/>
  <c r="GC49" i="19"/>
  <c r="GB49" i="19" s="1"/>
  <c r="GA49" i="19"/>
  <c r="GE49" i="19" s="1"/>
  <c r="GC90" i="19"/>
  <c r="GB90" i="19" s="1"/>
  <c r="GA90" i="19"/>
  <c r="GE90" i="19" s="1"/>
  <c r="GA66" i="19"/>
  <c r="GE66" i="19" s="1"/>
  <c r="GC66" i="19"/>
  <c r="GB66" i="19" s="1"/>
  <c r="GA89" i="19"/>
  <c r="GE89" i="19" s="1"/>
  <c r="GC89" i="19"/>
  <c r="GB89" i="19" s="1"/>
  <c r="GJ31" i="19"/>
  <c r="GH31" i="19" s="1"/>
  <c r="GG31" i="19" s="1"/>
  <c r="GF31" i="19"/>
  <c r="GC57" i="19"/>
  <c r="GB57" i="19" s="1"/>
  <c r="GA57" i="19"/>
  <c r="GE57" i="19" s="1"/>
  <c r="GC53" i="19"/>
  <c r="GB53" i="19" s="1"/>
  <c r="GA53" i="19"/>
  <c r="GE53" i="19" s="1"/>
  <c r="GA79" i="19"/>
  <c r="GE79" i="19" s="1"/>
  <c r="GC79" i="19"/>
  <c r="GB79" i="19" s="1"/>
  <c r="GA63" i="19"/>
  <c r="GE63" i="19" s="1"/>
  <c r="GC63" i="19"/>
  <c r="GB63" i="19" s="1"/>
  <c r="GE68" i="19"/>
  <c r="GA68" i="19"/>
  <c r="GC68" i="19"/>
  <c r="GB68" i="19" s="1"/>
  <c r="GG36" i="19"/>
  <c r="GC94" i="19"/>
  <c r="GB94" i="19" s="1"/>
  <c r="GA94" i="19"/>
  <c r="GE94" i="19" s="1"/>
  <c r="GC92" i="19"/>
  <c r="GB92" i="19" s="1"/>
  <c r="GA92" i="19"/>
  <c r="GE92" i="19" s="1"/>
  <c r="GA83" i="19"/>
  <c r="GE83" i="19"/>
  <c r="GC83" i="19"/>
  <c r="GB83" i="19" s="1"/>
  <c r="GA65" i="19"/>
  <c r="GE65" i="19" s="1"/>
  <c r="GC65" i="19"/>
  <c r="GB65" i="19" s="1"/>
  <c r="GA52" i="19"/>
  <c r="GE52" i="19" s="1"/>
  <c r="GC52" i="19"/>
  <c r="GB52" i="19" s="1"/>
  <c r="GA54" i="19"/>
  <c r="GE54" i="19" s="1"/>
  <c r="GC54" i="19"/>
  <c r="GB54" i="19" s="1"/>
  <c r="GC71" i="19"/>
  <c r="GB71" i="19" s="1"/>
  <c r="GA71" i="19"/>
  <c r="GE71" i="19" s="1"/>
  <c r="FX34" i="19"/>
  <c r="FW34" i="19" s="1"/>
  <c r="GA34" i="19"/>
  <c r="GE34" i="19" s="1"/>
  <c r="GA75" i="19"/>
  <c r="GE75" i="19" s="1"/>
  <c r="GC75" i="19"/>
  <c r="GB75" i="19" s="1"/>
  <c r="GA85" i="19"/>
  <c r="GE85" i="19" s="1"/>
  <c r="GC85" i="19"/>
  <c r="GB85" i="19" s="1"/>
  <c r="GE88" i="19"/>
  <c r="GC88" i="19"/>
  <c r="GB88" i="19" s="1"/>
  <c r="GA88" i="19"/>
  <c r="GC46" i="19"/>
  <c r="GB46" i="19" s="1"/>
  <c r="GA46" i="19"/>
  <c r="GE46" i="19" s="1"/>
  <c r="GA70" i="19"/>
  <c r="GE70" i="19" s="1"/>
  <c r="GC70" i="19"/>
  <c r="GB70" i="19" s="1"/>
  <c r="GC72" i="19"/>
  <c r="GB72" i="19" s="1"/>
  <c r="GA72" i="19"/>
  <c r="GE72" i="19" s="1"/>
  <c r="AK10" i="7"/>
  <c r="FL11" i="19"/>
  <c r="S126" i="14"/>
  <c r="FW8" i="19"/>
  <c r="FW2" i="19"/>
  <c r="FS5" i="19"/>
  <c r="AI9" i="15"/>
  <c r="M36" i="15" s="1"/>
  <c r="FV6" i="19"/>
  <c r="FV3" i="19"/>
  <c r="FX3" i="19"/>
  <c r="GB3" i="19"/>
  <c r="FV10" i="19"/>
  <c r="J103" i="14"/>
  <c r="F159" i="14"/>
  <c r="AH81" i="14"/>
  <c r="AH82" i="14" s="1"/>
  <c r="H153" i="14"/>
  <c r="E210" i="14" s="1"/>
  <c r="P97" i="14"/>
  <c r="AK79" i="14"/>
  <c r="AO28" i="6"/>
  <c r="AN27" i="6"/>
  <c r="AN25" i="9"/>
  <c r="AM43" i="9"/>
  <c r="AM42" i="9" s="1"/>
  <c r="AM24" i="9"/>
  <c r="AI135" i="16"/>
  <c r="AJ16" i="16"/>
  <c r="J147" i="14"/>
  <c r="W91" i="14"/>
  <c r="FS2" i="19"/>
  <c r="AM8" i="14"/>
  <c r="AM48" i="6"/>
  <c r="AM10" i="14" s="1"/>
  <c r="S70" i="14"/>
  <c r="AI65" i="14"/>
  <c r="AK13" i="15"/>
  <c r="AN24" i="15"/>
  <c r="AB87" i="14"/>
  <c r="AI15" i="16"/>
  <c r="AH134" i="16"/>
  <c r="FV8" i="19"/>
  <c r="AJ41" i="14"/>
  <c r="AJ51" i="7"/>
  <c r="AJ38" i="7"/>
  <c r="AJ48" i="14" s="1"/>
  <c r="AJ66" i="14" s="1"/>
  <c r="FQ7" i="19"/>
  <c r="FW7" i="19"/>
  <c r="FS7" i="19"/>
  <c r="AO50" i="6"/>
  <c r="AO9" i="14" s="1"/>
  <c r="AP29" i="6"/>
  <c r="S136" i="16"/>
  <c r="AC85" i="14"/>
  <c r="L141" i="14"/>
  <c r="F198" i="14" s="1"/>
  <c r="AK12" i="16"/>
  <c r="AK131" i="16" s="1"/>
  <c r="AM23" i="4"/>
  <c r="AO8" i="4"/>
  <c r="AM37" i="6"/>
  <c r="AO7" i="4" s="1"/>
  <c r="AN38" i="6"/>
  <c r="AN49" i="6" s="1"/>
  <c r="AH67" i="14"/>
  <c r="AJ22" i="14"/>
  <c r="FS8" i="19"/>
  <c r="FQ6" i="19"/>
  <c r="FW6" i="19"/>
  <c r="FS6" i="19"/>
  <c r="FW5" i="19"/>
  <c r="AK63" i="14"/>
  <c r="AP5" i="13"/>
  <c r="AK31" i="7" s="1"/>
  <c r="AJ131" i="16"/>
  <c r="N52" i="16"/>
  <c r="AH14" i="15"/>
  <c r="AG12" i="15"/>
  <c r="M138" i="14"/>
  <c r="AG82" i="14"/>
  <c r="R23" i="15"/>
  <c r="G107" i="14"/>
  <c r="E163" i="14"/>
  <c r="I149" i="16"/>
  <c r="I39" i="16"/>
  <c r="I150" i="16" s="1"/>
  <c r="I40" i="16"/>
  <c r="AP22" i="4"/>
  <c r="AN26" i="4" s="1"/>
  <c r="AO21" i="4"/>
  <c r="AO17" i="4"/>
  <c r="AO18" i="4"/>
  <c r="AN11" i="4"/>
  <c r="AN20" i="4"/>
  <c r="FQ4" i="19"/>
  <c r="FS4" i="19"/>
  <c r="FW4" i="19"/>
  <c r="AI80" i="14"/>
  <c r="AI81" i="14" s="1"/>
  <c r="AI82" i="14" s="1"/>
  <c r="FQ10" i="19"/>
  <c r="FS10" i="19"/>
  <c r="FW10" i="19"/>
  <c r="K144" i="14"/>
  <c r="Z88" i="14"/>
  <c r="AL63" i="14"/>
  <c r="AQ5" i="13"/>
  <c r="AL31" i="7" s="1"/>
  <c r="AI20" i="15"/>
  <c r="AM43" i="4"/>
  <c r="AL9" i="16"/>
  <c r="AM25" i="4"/>
  <c r="AM27" i="4" s="1"/>
  <c r="FN11" i="19"/>
  <c r="H106" i="14"/>
  <c r="I106" i="14" s="1"/>
  <c r="G156" i="14"/>
  <c r="M100" i="14"/>
  <c r="I150" i="14"/>
  <c r="T94" i="14"/>
  <c r="U94" i="14" s="1"/>
  <c r="W7" i="17"/>
  <c r="R21" i="15"/>
  <c r="R19" i="15" s="1"/>
  <c r="N136" i="14"/>
  <c r="AL77" i="14"/>
  <c r="AL78" i="14" s="1"/>
  <c r="AL79" i="14" s="1"/>
  <c r="X90" i="14"/>
  <c r="Y89" i="14"/>
  <c r="N99" i="14"/>
  <c r="FR11" i="19"/>
  <c r="AK128" i="16"/>
  <c r="V93" i="14"/>
  <c r="K102" i="14"/>
  <c r="AK18" i="14"/>
  <c r="AK12" i="7"/>
  <c r="AK20" i="14" s="1"/>
  <c r="AK64" i="14" s="1"/>
  <c r="AM11" i="18"/>
  <c r="GH96" i="19" l="1"/>
  <c r="GG96" i="19" s="1"/>
  <c r="GF96" i="19"/>
  <c r="GJ96" i="19" s="1"/>
  <c r="GF51" i="19"/>
  <c r="GJ51" i="19" s="1"/>
  <c r="GH51" i="19"/>
  <c r="GG51" i="19" s="1"/>
  <c r="GH94" i="19"/>
  <c r="GG94" i="19" s="1"/>
  <c r="GF94" i="19"/>
  <c r="GJ94" i="19" s="1"/>
  <c r="GF60" i="19"/>
  <c r="GJ60" i="19" s="1"/>
  <c r="GH60" i="19"/>
  <c r="GG60" i="19" s="1"/>
  <c r="GH45" i="19"/>
  <c r="GG45" i="19" s="1"/>
  <c r="GJ45" i="19"/>
  <c r="GF45" i="19"/>
  <c r="GH75" i="19"/>
  <c r="GG75" i="19" s="1"/>
  <c r="GF75" i="19"/>
  <c r="GJ75" i="19" s="1"/>
  <c r="GF87" i="19"/>
  <c r="GH87" i="19"/>
  <c r="GG87" i="19" s="1"/>
  <c r="GJ87" i="19"/>
  <c r="GF69" i="19"/>
  <c r="GJ69" i="19" s="1"/>
  <c r="GH69" i="19"/>
  <c r="GG69" i="19" s="1"/>
  <c r="GF58" i="19"/>
  <c r="GJ58" i="19" s="1"/>
  <c r="GH58" i="19"/>
  <c r="GG58" i="19" s="1"/>
  <c r="GH76" i="19"/>
  <c r="GG76" i="19" s="1"/>
  <c r="GF76" i="19"/>
  <c r="GJ76" i="19" s="1"/>
  <c r="GF61" i="19"/>
  <c r="GJ61" i="19" s="1"/>
  <c r="GH61" i="19"/>
  <c r="GG61" i="19" s="1"/>
  <c r="GF73" i="19"/>
  <c r="GJ73" i="19" s="1"/>
  <c r="GH73" i="19"/>
  <c r="GG73" i="19" s="1"/>
  <c r="GH85" i="19"/>
  <c r="GG85" i="19" s="1"/>
  <c r="GF85" i="19"/>
  <c r="GJ85" i="19" s="1"/>
  <c r="GH92" i="19"/>
  <c r="GG92" i="19" s="1"/>
  <c r="GF92" i="19"/>
  <c r="GJ92" i="19" s="1"/>
  <c r="GH49" i="19"/>
  <c r="GG49" i="19" s="1"/>
  <c r="GF49" i="19"/>
  <c r="GJ49" i="19" s="1"/>
  <c r="GH74" i="19"/>
  <c r="GG74" i="19" s="1"/>
  <c r="GF74" i="19"/>
  <c r="GJ74" i="19" s="1"/>
  <c r="GJ56" i="19"/>
  <c r="GF56" i="19"/>
  <c r="GH56" i="19"/>
  <c r="GG56" i="19" s="1"/>
  <c r="GH81" i="19"/>
  <c r="GG81" i="19" s="1"/>
  <c r="GF81" i="19"/>
  <c r="GJ81" i="19" s="1"/>
  <c r="GH80" i="19"/>
  <c r="GG80" i="19" s="1"/>
  <c r="GF80" i="19"/>
  <c r="GJ80" i="19" s="1"/>
  <c r="GJ34" i="19"/>
  <c r="GH34" i="19" s="1"/>
  <c r="GF34" i="19"/>
  <c r="GH63" i="19"/>
  <c r="GG63" i="19" s="1"/>
  <c r="GF63" i="19"/>
  <c r="GJ63" i="19" s="1"/>
  <c r="GF59" i="19"/>
  <c r="GJ59" i="19" s="1"/>
  <c r="GH59" i="19"/>
  <c r="GG59" i="19" s="1"/>
  <c r="GH50" i="19"/>
  <c r="GG50" i="19" s="1"/>
  <c r="GF50" i="19"/>
  <c r="GJ50" i="19" s="1"/>
  <c r="GJ93" i="19"/>
  <c r="GF93" i="19"/>
  <c r="GH93" i="19"/>
  <c r="GG93" i="19" s="1"/>
  <c r="GH65" i="19"/>
  <c r="GG65" i="19" s="1"/>
  <c r="GF65" i="19"/>
  <c r="GJ65" i="19" s="1"/>
  <c r="GH77" i="19"/>
  <c r="GG77" i="19" s="1"/>
  <c r="GF77" i="19"/>
  <c r="GJ77" i="19" s="1"/>
  <c r="GF48" i="19"/>
  <c r="GJ48" i="19" s="1"/>
  <c r="GH48" i="19"/>
  <c r="GG48" i="19" s="1"/>
  <c r="GH67" i="19"/>
  <c r="GG67" i="19" s="1"/>
  <c r="GF67" i="19"/>
  <c r="GJ67" i="19" s="1"/>
  <c r="GF72" i="19"/>
  <c r="GJ72" i="19" s="1"/>
  <c r="GH72" i="19"/>
  <c r="GG72" i="19" s="1"/>
  <c r="GH88" i="19"/>
  <c r="GG88" i="19" s="1"/>
  <c r="GF88" i="19"/>
  <c r="GJ88" i="19" s="1"/>
  <c r="GH71" i="19"/>
  <c r="GG71" i="19" s="1"/>
  <c r="GF71" i="19"/>
  <c r="GJ71" i="19" s="1"/>
  <c r="GH79" i="19"/>
  <c r="GG79" i="19" s="1"/>
  <c r="GF79" i="19"/>
  <c r="GJ79" i="19" s="1"/>
  <c r="GH89" i="19"/>
  <c r="GG89" i="19" s="1"/>
  <c r="GJ89" i="19"/>
  <c r="GF89" i="19"/>
  <c r="GH47" i="19"/>
  <c r="GG47" i="19" s="1"/>
  <c r="GF47" i="19"/>
  <c r="GJ47" i="19" s="1"/>
  <c r="GH44" i="19"/>
  <c r="GG44" i="19" s="1"/>
  <c r="GF44" i="19"/>
  <c r="GJ44" i="19" s="1"/>
  <c r="GH70" i="19"/>
  <c r="GG70" i="19" s="1"/>
  <c r="GF70" i="19"/>
  <c r="GJ70" i="19" s="1"/>
  <c r="GH83" i="19"/>
  <c r="GG83" i="19" s="1"/>
  <c r="GF83" i="19"/>
  <c r="GJ83" i="19" s="1"/>
  <c r="GF53" i="19"/>
  <c r="GJ53" i="19" s="1"/>
  <c r="GH53" i="19"/>
  <c r="GG53" i="19" s="1"/>
  <c r="GH82" i="19"/>
  <c r="GG82" i="19" s="1"/>
  <c r="GF82" i="19"/>
  <c r="GJ82" i="19" s="1"/>
  <c r="GH91" i="19"/>
  <c r="GG91" i="19" s="1"/>
  <c r="GF91" i="19"/>
  <c r="GJ91" i="19" s="1"/>
  <c r="GH43" i="19"/>
  <c r="GG43" i="19" s="1"/>
  <c r="GF43" i="19"/>
  <c r="GJ43" i="19" s="1"/>
  <c r="GH78" i="19"/>
  <c r="GG78" i="19" s="1"/>
  <c r="GF78" i="19"/>
  <c r="GJ78" i="19" s="1"/>
  <c r="GH46" i="19"/>
  <c r="GG46" i="19" s="1"/>
  <c r="GF46" i="19"/>
  <c r="GJ46" i="19" s="1"/>
  <c r="GH66" i="19"/>
  <c r="GG66" i="19" s="1"/>
  <c r="GF66" i="19"/>
  <c r="GJ66" i="19" s="1"/>
  <c r="GF55" i="19"/>
  <c r="GJ55" i="19" s="1"/>
  <c r="GH55" i="19"/>
  <c r="GG55" i="19" s="1"/>
  <c r="GH54" i="19"/>
  <c r="GG54" i="19" s="1"/>
  <c r="GF54" i="19"/>
  <c r="GJ54" i="19" s="1"/>
  <c r="GH57" i="19"/>
  <c r="GG57" i="19" s="1"/>
  <c r="GF57" i="19"/>
  <c r="GJ57" i="19" s="1"/>
  <c r="GH90" i="19"/>
  <c r="GG90" i="19" s="1"/>
  <c r="GF90" i="19"/>
  <c r="GJ90" i="19" s="1"/>
  <c r="GF62" i="19"/>
  <c r="GJ62" i="19"/>
  <c r="GH62" i="19"/>
  <c r="GG62" i="19" s="1"/>
  <c r="GF84" i="19"/>
  <c r="GJ84" i="19" s="1"/>
  <c r="GH84" i="19"/>
  <c r="GG84" i="19" s="1"/>
  <c r="GH64" i="19"/>
  <c r="GG64" i="19" s="1"/>
  <c r="GF64" i="19"/>
  <c r="GJ64" i="19" s="1"/>
  <c r="GH86" i="19"/>
  <c r="GG86" i="19" s="1"/>
  <c r="GF86" i="19"/>
  <c r="GJ86" i="19" s="1"/>
  <c r="GH68" i="19"/>
  <c r="GG68" i="19" s="1"/>
  <c r="GF68" i="19"/>
  <c r="GJ68" i="19" s="1"/>
  <c r="GC34" i="19"/>
  <c r="GB34" i="19" s="1"/>
  <c r="GA2" i="19" s="1"/>
  <c r="GH52" i="19"/>
  <c r="GG52" i="19" s="1"/>
  <c r="GF52" i="19"/>
  <c r="GJ52" i="19" s="1"/>
  <c r="GF95" i="19"/>
  <c r="GJ95" i="19" s="1"/>
  <c r="GH95" i="19"/>
  <c r="GG95" i="19" s="1"/>
  <c r="FQ11" i="19"/>
  <c r="AL10" i="7"/>
  <c r="AL18" i="14" s="1"/>
  <c r="R27" i="15"/>
  <c r="GB8" i="19"/>
  <c r="X91" i="14"/>
  <c r="H107" i="14"/>
  <c r="I107" i="14" s="1"/>
  <c r="K103" i="14"/>
  <c r="FX8" i="19"/>
  <c r="FW11" i="19"/>
  <c r="GA10" i="19"/>
  <c r="AN8" i="14"/>
  <c r="AJ9" i="15"/>
  <c r="AN27" i="4"/>
  <c r="N100" i="14"/>
  <c r="W10" i="17"/>
  <c r="T36" i="16" s="1"/>
  <c r="W12" i="17"/>
  <c r="W9" i="17"/>
  <c r="T53" i="14" s="1"/>
  <c r="E164" i="14"/>
  <c r="G108" i="14"/>
  <c r="AI14" i="15"/>
  <c r="AH12" i="15"/>
  <c r="AO24" i="15"/>
  <c r="AM77" i="14"/>
  <c r="AN43" i="9"/>
  <c r="AN24" i="9"/>
  <c r="GB6" i="19"/>
  <c r="AM63" i="14"/>
  <c r="AR5" i="13"/>
  <c r="AM31" i="7" s="1"/>
  <c r="AH83" i="14"/>
  <c r="Y90" i="14"/>
  <c r="FV2" i="19"/>
  <c r="GB2" i="19"/>
  <c r="FX2" i="19"/>
  <c r="AP50" i="6"/>
  <c r="AP9" i="14" s="1"/>
  <c r="D108" i="3" a="1"/>
  <c r="D108" i="3" s="1"/>
  <c r="D114" i="3" s="1"/>
  <c r="AL13" i="15"/>
  <c r="FS11" i="19"/>
  <c r="J104" i="14"/>
  <c r="F160" i="14"/>
  <c r="FX6" i="19"/>
  <c r="L102" i="14"/>
  <c r="K145" i="14"/>
  <c r="Z89" i="14"/>
  <c r="AM9" i="16"/>
  <c r="AN25" i="4"/>
  <c r="AI134" i="16"/>
  <c r="AJ15" i="16"/>
  <c r="J148" i="14"/>
  <c r="W92" i="14"/>
  <c r="GB10" i="19"/>
  <c r="AK41" i="14"/>
  <c r="AK51" i="7"/>
  <c r="AK57" i="7" s="1"/>
  <c r="AK38" i="7"/>
  <c r="AK48" i="14" s="1"/>
  <c r="AK66" i="14" s="1"/>
  <c r="AJ57" i="7"/>
  <c r="AI67" i="14"/>
  <c r="AO27" i="6"/>
  <c r="AP28" i="6"/>
  <c r="FX10" i="19"/>
  <c r="FV5" i="19"/>
  <c r="FX5" i="19"/>
  <c r="GB5" i="19"/>
  <c r="FV4" i="19"/>
  <c r="FX4" i="19"/>
  <c r="GB4" i="19"/>
  <c r="V94" i="14"/>
  <c r="T95" i="14"/>
  <c r="I151" i="14"/>
  <c r="AL128" i="16"/>
  <c r="I151" i="16"/>
  <c r="J6" i="16"/>
  <c r="H8" i="15"/>
  <c r="H7" i="15" s="1"/>
  <c r="H16" i="15" s="1"/>
  <c r="AK22" i="14"/>
  <c r="O99" i="14"/>
  <c r="AJ135" i="16"/>
  <c r="AK16" i="16"/>
  <c r="N56" i="16"/>
  <c r="AJ20" i="15"/>
  <c r="AN43" i="4"/>
  <c r="M139" i="14"/>
  <c r="AG83" i="14"/>
  <c r="AN37" i="6"/>
  <c r="AP7" i="4" s="1"/>
  <c r="AP8" i="4"/>
  <c r="AO38" i="6"/>
  <c r="AA88" i="14"/>
  <c r="P98" i="14"/>
  <c r="H154" i="14"/>
  <c r="E211" i="14" s="1"/>
  <c r="GA5" i="19"/>
  <c r="FV7" i="19"/>
  <c r="FX7" i="19"/>
  <c r="GB7" i="19"/>
  <c r="GA4" i="19"/>
  <c r="GG4" i="19"/>
  <c r="GC4" i="19"/>
  <c r="AL41" i="14"/>
  <c r="AL51" i="7"/>
  <c r="AL57" i="7" s="1"/>
  <c r="AL38" i="7"/>
  <c r="AL48" i="14" s="1"/>
  <c r="AL66" i="14" s="1"/>
  <c r="AJ65" i="14"/>
  <c r="AJ50" i="14"/>
  <c r="AJ80" i="14"/>
  <c r="M101" i="14"/>
  <c r="G157" i="14"/>
  <c r="M47" i="15"/>
  <c r="AL12" i="16"/>
  <c r="AL131" i="16" s="1"/>
  <c r="AN23" i="4"/>
  <c r="AQ22" i="4"/>
  <c r="AO26" i="4" s="1"/>
  <c r="AP21" i="4"/>
  <c r="AP17" i="4"/>
  <c r="AP18" i="4"/>
  <c r="AO11" i="4"/>
  <c r="AO20" i="4"/>
  <c r="L142" i="14"/>
  <c r="F199" i="14" s="1"/>
  <c r="AC86" i="14"/>
  <c r="AN11" i="18"/>
  <c r="AL12" i="7" l="1"/>
  <c r="AL20" i="14" s="1"/>
  <c r="GG34" i="19"/>
  <c r="AM10" i="7"/>
  <c r="Y91" i="14"/>
  <c r="FV11" i="19"/>
  <c r="K104" i="14"/>
  <c r="L103" i="14"/>
  <c r="GC5" i="19"/>
  <c r="GG10" i="19"/>
  <c r="GG5" i="19"/>
  <c r="AA89" i="14"/>
  <c r="GF3" i="19"/>
  <c r="GH3" i="19"/>
  <c r="GF6" i="19"/>
  <c r="GH6" i="19"/>
  <c r="GF5" i="19"/>
  <c r="GH5" i="19"/>
  <c r="GF10" i="19"/>
  <c r="GH10" i="19"/>
  <c r="GF7" i="19"/>
  <c r="GH7" i="19"/>
  <c r="GF4" i="19"/>
  <c r="GH4" i="19"/>
  <c r="GA6" i="19"/>
  <c r="GC6" i="19"/>
  <c r="GG6" i="19"/>
  <c r="GA7" i="19"/>
  <c r="GC7" i="19"/>
  <c r="GG7" i="19"/>
  <c r="AL64" i="14"/>
  <c r="AL22" i="14"/>
  <c r="H155" i="14"/>
  <c r="E212" i="14" s="1"/>
  <c r="P99" i="14"/>
  <c r="AO37" i="6"/>
  <c r="AQ7" i="4" s="1"/>
  <c r="AP38" i="6"/>
  <c r="AQ8" i="4"/>
  <c r="O100" i="14"/>
  <c r="T96" i="14"/>
  <c r="I152" i="14"/>
  <c r="N40" i="15"/>
  <c r="AM13" i="15"/>
  <c r="AM51" i="7"/>
  <c r="AM57" i="7" s="1"/>
  <c r="AM41" i="14"/>
  <c r="AM38" i="7"/>
  <c r="AM48" i="14" s="1"/>
  <c r="AM66" i="14" s="1"/>
  <c r="T148" i="16"/>
  <c r="I76" i="16"/>
  <c r="GC10" i="19"/>
  <c r="GA8" i="19"/>
  <c r="GG8" i="19"/>
  <c r="GC8" i="19"/>
  <c r="U95" i="14"/>
  <c r="O51" i="15"/>
  <c r="X7" i="17"/>
  <c r="S21" i="15"/>
  <c r="AK9" i="15"/>
  <c r="AO27" i="4"/>
  <c r="AK65" i="14"/>
  <c r="AK50" i="14"/>
  <c r="AR22" i="4"/>
  <c r="AP26" i="4" s="1"/>
  <c r="AQ21" i="4"/>
  <c r="AQ17" i="4"/>
  <c r="AQ18" i="4"/>
  <c r="AP20" i="4"/>
  <c r="AP11" i="4"/>
  <c r="AP49" i="6"/>
  <c r="AP27" i="6"/>
  <c r="AM128" i="16"/>
  <c r="O49" i="16"/>
  <c r="M41" i="15"/>
  <c r="AJ14" i="15"/>
  <c r="AI12" i="15"/>
  <c r="M39" i="15" s="1"/>
  <c r="GF8" i="19"/>
  <c r="GH8" i="19"/>
  <c r="N101" i="14"/>
  <c r="N137" i="14"/>
  <c r="AJ81" i="14"/>
  <c r="AK20" i="15"/>
  <c r="AO43" i="4"/>
  <c r="J125" i="16"/>
  <c r="J18" i="16"/>
  <c r="J149" i="14"/>
  <c r="W93" i="14"/>
  <c r="K146" i="14"/>
  <c r="Z90" i="14"/>
  <c r="X92" i="14"/>
  <c r="Y92" i="14" s="1"/>
  <c r="FX11" i="19"/>
  <c r="E165" i="14"/>
  <c r="G109" i="14"/>
  <c r="M140" i="14"/>
  <c r="AG84" i="14"/>
  <c r="AH84" i="14" s="1"/>
  <c r="AK80" i="14"/>
  <c r="AO49" i="6"/>
  <c r="N55" i="16"/>
  <c r="AJ134" i="16"/>
  <c r="AK15" i="16"/>
  <c r="L104" i="14"/>
  <c r="GB11" i="19"/>
  <c r="GC2" i="19"/>
  <c r="AN48" i="6"/>
  <c r="AN10" i="14" s="1"/>
  <c r="GA3" i="19"/>
  <c r="GC3" i="19"/>
  <c r="GG3" i="19"/>
  <c r="GF2" i="19"/>
  <c r="GH2" i="19"/>
  <c r="AM12" i="16"/>
  <c r="AO23" i="4"/>
  <c r="AJ67" i="14"/>
  <c r="AB88" i="14"/>
  <c r="F161" i="14"/>
  <c r="J105" i="14"/>
  <c r="K105" i="14" s="1"/>
  <c r="AN42" i="9"/>
  <c r="H108" i="14"/>
  <c r="AI83" i="14"/>
  <c r="GG2" i="19"/>
  <c r="AN77" i="14"/>
  <c r="AN78" i="14" s="1"/>
  <c r="AN9" i="16"/>
  <c r="AO25" i="4"/>
  <c r="L143" i="14"/>
  <c r="F200" i="14" s="1"/>
  <c r="AC87" i="14"/>
  <c r="M102" i="14"/>
  <c r="G158" i="14"/>
  <c r="AK135" i="16"/>
  <c r="AL16" i="16"/>
  <c r="AM78" i="14"/>
  <c r="O134" i="14"/>
  <c r="T17" i="16"/>
  <c r="T68" i="14"/>
  <c r="T55" i="14"/>
  <c r="T57" i="14" s="1"/>
  <c r="AO11" i="18"/>
  <c r="AM18" i="14" l="1"/>
  <c r="AM12" i="7"/>
  <c r="AM20" i="14" s="1"/>
  <c r="GA11" i="19"/>
  <c r="GF11" i="19"/>
  <c r="AN10" i="7"/>
  <c r="AN12" i="7" s="1"/>
  <c r="AN20" i="14" s="1"/>
  <c r="AN64" i="14" s="1"/>
  <c r="AB89" i="14"/>
  <c r="AA90" i="14"/>
  <c r="U96" i="14"/>
  <c r="GG11" i="19"/>
  <c r="N102" i="14"/>
  <c r="E166" i="14"/>
  <c r="G110" i="14"/>
  <c r="F58" i="16"/>
  <c r="J137" i="16"/>
  <c r="J19" i="16"/>
  <c r="X10" i="17"/>
  <c r="U36" i="16" s="1"/>
  <c r="U148" i="16" s="1"/>
  <c r="X9" i="17"/>
  <c r="U53" i="14" s="1"/>
  <c r="AN63" i="14"/>
  <c r="AS5" i="13"/>
  <c r="AN31" i="7" s="1"/>
  <c r="X51" i="15"/>
  <c r="P51" i="15"/>
  <c r="AL65" i="14"/>
  <c r="AL50" i="14"/>
  <c r="AO9" i="16"/>
  <c r="AP25" i="4"/>
  <c r="AI84" i="14"/>
  <c r="I57" i="16"/>
  <c r="T136" i="16"/>
  <c r="G159" i="14"/>
  <c r="M103" i="14"/>
  <c r="H109" i="14"/>
  <c r="I108" i="14"/>
  <c r="GC11" i="19"/>
  <c r="AO8" i="14"/>
  <c r="AO77" i="14" s="1"/>
  <c r="AO78" i="14" s="1"/>
  <c r="AO48" i="6"/>
  <c r="AO10" i="14" s="1"/>
  <c r="X93" i="14"/>
  <c r="Y93" i="14" s="1"/>
  <c r="AL20" i="15"/>
  <c r="AP43" i="4"/>
  <c r="AP8" i="14"/>
  <c r="AK67" i="14"/>
  <c r="I153" i="14"/>
  <c r="T97" i="14"/>
  <c r="T70" i="14"/>
  <c r="S25" i="15"/>
  <c r="L144" i="14"/>
  <c r="F201" i="14" s="1"/>
  <c r="AC88" i="14"/>
  <c r="AM131" i="16"/>
  <c r="O52" i="16"/>
  <c r="AK81" i="14"/>
  <c r="AK82" i="14" s="1"/>
  <c r="AL80" i="14"/>
  <c r="AL81" i="14" s="1"/>
  <c r="AL82" i="14" s="1"/>
  <c r="Z91" i="14"/>
  <c r="K147" i="14"/>
  <c r="AK14" i="15"/>
  <c r="AJ12" i="15"/>
  <c r="V95" i="14"/>
  <c r="O101" i="14"/>
  <c r="AN79" i="14"/>
  <c r="H156" i="14"/>
  <c r="E213" i="14" s="1"/>
  <c r="P100" i="14"/>
  <c r="O135" i="14"/>
  <c r="AM79" i="14"/>
  <c r="F162" i="14"/>
  <c r="J106" i="14"/>
  <c r="L105" i="14"/>
  <c r="N138" i="14"/>
  <c r="AJ82" i="14"/>
  <c r="AL9" i="15"/>
  <c r="N36" i="15" s="1"/>
  <c r="AP27" i="4"/>
  <c r="M141" i="14"/>
  <c r="AG85" i="14"/>
  <c r="AH85" i="14" s="1"/>
  <c r="W94" i="14"/>
  <c r="J150" i="14"/>
  <c r="AN12" i="16"/>
  <c r="AN131" i="16" s="1"/>
  <c r="AP23" i="4"/>
  <c r="AP37" i="6"/>
  <c r="AR7" i="4" s="1"/>
  <c r="AR8" i="4"/>
  <c r="D107" i="3" a="1"/>
  <c r="D107" i="3" s="1"/>
  <c r="D113" i="3" s="1"/>
  <c r="D118" i="3" s="1"/>
  <c r="AL135" i="16"/>
  <c r="AM16" i="16"/>
  <c r="GH11" i="19"/>
  <c r="AN128" i="16"/>
  <c r="AK134" i="16"/>
  <c r="AL15" i="16"/>
  <c r="H48" i="15"/>
  <c r="S19" i="15"/>
  <c r="AN13" i="15"/>
  <c r="AR17" i="4"/>
  <c r="AR18" i="4"/>
  <c r="AS22" i="4"/>
  <c r="AQ26" i="4" s="1"/>
  <c r="AR21" i="4"/>
  <c r="AQ11" i="4"/>
  <c r="AQ20" i="4"/>
  <c r="AP11" i="18"/>
  <c r="AQ11" i="18"/>
  <c r="AB90" i="14" l="1"/>
  <c r="V96" i="14"/>
  <c r="AM64" i="14"/>
  <c r="AM22" i="14"/>
  <c r="AO10" i="7"/>
  <c r="AN18" i="14"/>
  <c r="AP10" i="7"/>
  <c r="AP12" i="7" s="1"/>
  <c r="AP20" i="14" s="1"/>
  <c r="AP64" i="14" s="1"/>
  <c r="U97" i="14"/>
  <c r="I109" i="14"/>
  <c r="O102" i="14"/>
  <c r="N103" i="14"/>
  <c r="H110" i="14"/>
  <c r="AO13" i="15"/>
  <c r="AO12" i="16"/>
  <c r="AO131" i="16" s="1"/>
  <c r="AQ23" i="4"/>
  <c r="H46" i="15"/>
  <c r="AT22" i="4"/>
  <c r="AS21" i="4"/>
  <c r="AR11" i="4"/>
  <c r="AR20" i="4"/>
  <c r="J107" i="14"/>
  <c r="F163" i="14"/>
  <c r="AO63" i="14"/>
  <c r="AT5" i="13"/>
  <c r="AO31" i="7" s="1"/>
  <c r="F59" i="16"/>
  <c r="J33" i="16"/>
  <c r="J138" i="16"/>
  <c r="AI85" i="14"/>
  <c r="AM9" i="15"/>
  <c r="AQ27" i="4"/>
  <c r="AP48" i="6"/>
  <c r="AP10" i="14" s="1"/>
  <c r="AN22" i="14"/>
  <c r="E167" i="14"/>
  <c r="G111" i="14"/>
  <c r="AN51" i="7"/>
  <c r="AN41" i="14"/>
  <c r="AN38" i="7"/>
  <c r="AN48" i="14" s="1"/>
  <c r="AN66" i="14" s="1"/>
  <c r="AP9" i="16"/>
  <c r="AQ25" i="4"/>
  <c r="AM135" i="16"/>
  <c r="AN16" i="16"/>
  <c r="O56" i="16"/>
  <c r="O136" i="14"/>
  <c r="AM80" i="14"/>
  <c r="AL134" i="16"/>
  <c r="AM15" i="16"/>
  <c r="H157" i="14"/>
  <c r="E214" i="14" s="1"/>
  <c r="P101" i="14"/>
  <c r="H52" i="15"/>
  <c r="S23" i="15"/>
  <c r="H50" i="15" s="1"/>
  <c r="AP77" i="14"/>
  <c r="AO128" i="16"/>
  <c r="U17" i="16"/>
  <c r="U68" i="14"/>
  <c r="U55" i="14"/>
  <c r="U57" i="14" s="1"/>
  <c r="T25" i="15" s="1"/>
  <c r="AO79" i="14"/>
  <c r="AL14" i="15"/>
  <c r="AK12" i="15"/>
  <c r="AC89" i="14"/>
  <c r="L145" i="14"/>
  <c r="F202" i="14" s="1"/>
  <c r="AJ83" i="14"/>
  <c r="N139" i="14"/>
  <c r="K148" i="14"/>
  <c r="Z92" i="14"/>
  <c r="AM20" i="15"/>
  <c r="AQ43" i="4"/>
  <c r="G160" i="14"/>
  <c r="M104" i="14"/>
  <c r="AL67" i="14"/>
  <c r="X12" i="17"/>
  <c r="N47" i="15"/>
  <c r="K106" i="14"/>
  <c r="W95" i="14"/>
  <c r="J151" i="14"/>
  <c r="M142" i="14"/>
  <c r="AG86" i="14"/>
  <c r="AK83" i="14"/>
  <c r="AL83" i="14" s="1"/>
  <c r="I154" i="14"/>
  <c r="T98" i="14"/>
  <c r="X94" i="14"/>
  <c r="AA91" i="14"/>
  <c r="AB91" i="14" s="1"/>
  <c r="V97" i="14" l="1"/>
  <c r="U98" i="14"/>
  <c r="AP18" i="14"/>
  <c r="AM50" i="14"/>
  <c r="AM67" i="14" s="1"/>
  <c r="AM65" i="14"/>
  <c r="AO12" i="7"/>
  <c r="AO20" i="14" s="1"/>
  <c r="AO18" i="14"/>
  <c r="I110" i="14"/>
  <c r="K107" i="14"/>
  <c r="O103" i="14"/>
  <c r="H111" i="14"/>
  <c r="L106" i="14"/>
  <c r="S27" i="15"/>
  <c r="H54" i="15" s="1"/>
  <c r="AA92" i="14"/>
  <c r="AB92" i="14" s="1"/>
  <c r="Y7" i="17"/>
  <c r="T21" i="15"/>
  <c r="T19" i="15" s="1"/>
  <c r="U70" i="14"/>
  <c r="AN57" i="7"/>
  <c r="F164" i="14"/>
  <c r="J108" i="14"/>
  <c r="AN9" i="15"/>
  <c r="AG87" i="14"/>
  <c r="M143" i="14"/>
  <c r="O137" i="14"/>
  <c r="AM81" i="14"/>
  <c r="X95" i="14"/>
  <c r="F73" i="16"/>
  <c r="J146" i="16"/>
  <c r="J38" i="16"/>
  <c r="AP12" i="16"/>
  <c r="AR23" i="4"/>
  <c r="AN80" i="14"/>
  <c r="AN81" i="14" s="1"/>
  <c r="T23" i="15"/>
  <c r="G112" i="14"/>
  <c r="E168" i="14"/>
  <c r="I155" i="14"/>
  <c r="T99" i="14"/>
  <c r="AJ84" i="14"/>
  <c r="N140" i="14"/>
  <c r="U136" i="16"/>
  <c r="P102" i="14"/>
  <c r="H158" i="14"/>
  <c r="E215" i="14" s="1"/>
  <c r="AN135" i="16"/>
  <c r="AO16" i="16"/>
  <c r="AI86" i="14"/>
  <c r="P134" i="14"/>
  <c r="AP78" i="14"/>
  <c r="K149" i="14"/>
  <c r="Z93" i="14"/>
  <c r="J152" i="14"/>
  <c r="W96" i="14"/>
  <c r="M105" i="14"/>
  <c r="G161" i="14"/>
  <c r="AN65" i="14"/>
  <c r="AN50" i="14"/>
  <c r="AR25" i="4"/>
  <c r="AR27" i="4" s="1"/>
  <c r="AS23" i="4"/>
  <c r="O40" i="15"/>
  <c r="AC90" i="14"/>
  <c r="L146" i="14"/>
  <c r="F203" i="14" s="1"/>
  <c r="K191" i="14" s="1"/>
  <c r="N104" i="14"/>
  <c r="AO41" i="14"/>
  <c r="AO51" i="7"/>
  <c r="AO57" i="7" s="1"/>
  <c r="AO38" i="7"/>
  <c r="AO48" i="14" s="1"/>
  <c r="AO66" i="14" s="1"/>
  <c r="AR26" i="4"/>
  <c r="AT23" i="4"/>
  <c r="N41" i="15"/>
  <c r="AM14" i="15"/>
  <c r="AL12" i="15"/>
  <c r="N39" i="15" s="1"/>
  <c r="AK84" i="14"/>
  <c r="AN20" i="15"/>
  <c r="AR43" i="4"/>
  <c r="AM134" i="16"/>
  <c r="AN15" i="16"/>
  <c r="O55" i="16"/>
  <c r="AP128" i="16"/>
  <c r="P49" i="16"/>
  <c r="G89" i="16" s="1"/>
  <c r="M89" i="16" s="1"/>
  <c r="AP63" i="14"/>
  <c r="AP22" i="14"/>
  <c r="AU5" i="13"/>
  <c r="AP31" i="7" s="1"/>
  <c r="Y94" i="14"/>
  <c r="AH86" i="14"/>
  <c r="V98" i="14" l="1"/>
  <c r="H112" i="14"/>
  <c r="Y95" i="14"/>
  <c r="K108" i="14"/>
  <c r="AO64" i="14"/>
  <c r="AO22" i="14"/>
  <c r="AO65" i="14" s="1"/>
  <c r="L107" i="14"/>
  <c r="I111" i="14"/>
  <c r="I112" i="14" s="1"/>
  <c r="T27" i="15"/>
  <c r="N105" i="14"/>
  <c r="AO9" i="15"/>
  <c r="O36" i="15" s="1"/>
  <c r="AS27" i="4"/>
  <c r="AT27" i="4" s="1"/>
  <c r="AP41" i="14"/>
  <c r="AP51" i="7"/>
  <c r="AP38" i="7"/>
  <c r="AP48" i="14" s="1"/>
  <c r="AP66" i="14" s="1"/>
  <c r="AN134" i="16"/>
  <c r="AO15" i="16"/>
  <c r="G162" i="14"/>
  <c r="M106" i="14"/>
  <c r="N141" i="14"/>
  <c r="AJ85" i="14"/>
  <c r="AN14" i="15"/>
  <c r="AM12" i="15"/>
  <c r="T100" i="14"/>
  <c r="I156" i="14"/>
  <c r="AG88" i="14"/>
  <c r="M144" i="14"/>
  <c r="J149" i="16"/>
  <c r="F78" i="16"/>
  <c r="J39" i="16"/>
  <c r="J40" i="16"/>
  <c r="AO20" i="15"/>
  <c r="AS43" i="4"/>
  <c r="AT43" i="4" s="1"/>
  <c r="L147" i="14"/>
  <c r="F204" i="14" s="1"/>
  <c r="AC91" i="14"/>
  <c r="K150" i="14"/>
  <c r="Z94" i="14"/>
  <c r="AP131" i="16"/>
  <c r="P52" i="16"/>
  <c r="G92" i="16" s="1"/>
  <c r="M92" i="16" s="1"/>
  <c r="E169" i="14"/>
  <c r="G113" i="14"/>
  <c r="Y10" i="17"/>
  <c r="V36" i="16" s="1"/>
  <c r="V148" i="16" s="1"/>
  <c r="Y9" i="17"/>
  <c r="V53" i="14" s="1"/>
  <c r="AP16" i="16"/>
  <c r="AO135" i="16"/>
  <c r="AN67" i="14"/>
  <c r="F165" i="14"/>
  <c r="J109" i="14"/>
  <c r="J153" i="14"/>
  <c r="W97" i="14"/>
  <c r="U99" i="14"/>
  <c r="H159" i="14"/>
  <c r="E216" i="14" s="1"/>
  <c r="P103" i="14"/>
  <c r="X96" i="14"/>
  <c r="AA93" i="14"/>
  <c r="AH87" i="14"/>
  <c r="O104" i="14"/>
  <c r="X40" i="15"/>
  <c r="P40" i="15"/>
  <c r="P135" i="14"/>
  <c r="G192" i="14" s="1"/>
  <c r="AP79" i="14"/>
  <c r="O138" i="14"/>
  <c r="AM82" i="14"/>
  <c r="AO80" i="14"/>
  <c r="AO81" i="14" s="1"/>
  <c r="AO82" i="14" s="1"/>
  <c r="AP65" i="14"/>
  <c r="G191" i="14"/>
  <c r="Q134" i="14"/>
  <c r="Q135" i="14" s="1"/>
  <c r="AN82" i="14"/>
  <c r="AL84" i="14"/>
  <c r="L108" i="14" l="1"/>
  <c r="AO50" i="14"/>
  <c r="AH88" i="14"/>
  <c r="O105" i="14"/>
  <c r="N106" i="14"/>
  <c r="AA94" i="14"/>
  <c r="X97" i="14"/>
  <c r="AB93" i="14"/>
  <c r="AP50" i="14"/>
  <c r="AP67" i="14" s="1"/>
  <c r="V17" i="16"/>
  <c r="V68" i="14"/>
  <c r="V55" i="14"/>
  <c r="V57" i="14" s="1"/>
  <c r="F166" i="14"/>
  <c r="J110" i="14"/>
  <c r="AO67" i="14"/>
  <c r="Y96" i="14"/>
  <c r="K109" i="14"/>
  <c r="G114" i="14"/>
  <c r="E170" i="14"/>
  <c r="AI87" i="14"/>
  <c r="AP57" i="7"/>
  <c r="G76" i="7" s="1"/>
  <c r="D119" i="3" s="1"/>
  <c r="G70" i="7"/>
  <c r="AJ86" i="14"/>
  <c r="N142" i="14"/>
  <c r="AK85" i="14"/>
  <c r="AL85" i="14" s="1"/>
  <c r="P136" i="14"/>
  <c r="G193" i="14" s="1"/>
  <c r="L190" i="14" s="1"/>
  <c r="AP80" i="14"/>
  <c r="L148" i="14"/>
  <c r="F205" i="14" s="1"/>
  <c r="K192" i="14" s="1"/>
  <c r="C97" i="3" s="1"/>
  <c r="AC92" i="14"/>
  <c r="H160" i="14"/>
  <c r="E217" i="14" s="1"/>
  <c r="P104" i="14"/>
  <c r="M145" i="14"/>
  <c r="AG89" i="14"/>
  <c r="G163" i="14"/>
  <c r="M107" i="14"/>
  <c r="O47" i="15"/>
  <c r="J151" i="16"/>
  <c r="F80" i="16"/>
  <c r="G46" i="16" s="1"/>
  <c r="K6" i="16"/>
  <c r="I8" i="15"/>
  <c r="I157" i="14"/>
  <c r="T101" i="14"/>
  <c r="X36" i="15"/>
  <c r="P36" i="15"/>
  <c r="AN83" i="14"/>
  <c r="AP135" i="16"/>
  <c r="P56" i="16"/>
  <c r="G96" i="16" s="1"/>
  <c r="M96" i="16" s="1"/>
  <c r="J150" i="16"/>
  <c r="F79" i="16"/>
  <c r="U100" i="14"/>
  <c r="V99" i="14"/>
  <c r="AO83" i="14"/>
  <c r="Q136" i="14"/>
  <c r="AM83" i="14"/>
  <c r="O139" i="14"/>
  <c r="W98" i="14"/>
  <c r="J154" i="14"/>
  <c r="Y12" i="17"/>
  <c r="Z95" i="14"/>
  <c r="K151" i="14"/>
  <c r="AO14" i="15"/>
  <c r="AN12" i="15"/>
  <c r="AO134" i="16"/>
  <c r="AP15" i="16"/>
  <c r="H113" i="14"/>
  <c r="AH89" i="14" l="1"/>
  <c r="AI88" i="14"/>
  <c r="O106" i="14"/>
  <c r="H114" i="14"/>
  <c r="N107" i="14"/>
  <c r="U101" i="14"/>
  <c r="X98" i="14"/>
  <c r="Y97" i="14"/>
  <c r="K110" i="14"/>
  <c r="AA95" i="14"/>
  <c r="V100" i="14"/>
  <c r="AB94" i="14"/>
  <c r="L109" i="14"/>
  <c r="AL86" i="14"/>
  <c r="Q137" i="14"/>
  <c r="N143" i="14"/>
  <c r="AJ87" i="14"/>
  <c r="AC93" i="14"/>
  <c r="L149" i="14"/>
  <c r="F206" i="14" s="1"/>
  <c r="G164" i="14"/>
  <c r="M108" i="14"/>
  <c r="N108" i="14" s="1"/>
  <c r="D120" i="3"/>
  <c r="D121" i="3"/>
  <c r="J111" i="14"/>
  <c r="F167" i="14"/>
  <c r="Z7" i="17"/>
  <c r="U21" i="15"/>
  <c r="U19" i="15" s="1"/>
  <c r="K18" i="16"/>
  <c r="K125" i="16"/>
  <c r="J155" i="14"/>
  <c r="W99" i="14"/>
  <c r="P137" i="14"/>
  <c r="G194" i="14" s="1"/>
  <c r="AP81" i="14"/>
  <c r="V136" i="16"/>
  <c r="E35" i="15"/>
  <c r="I7" i="15"/>
  <c r="AP134" i="16"/>
  <c r="P55" i="16"/>
  <c r="G95" i="16" s="1"/>
  <c r="M95" i="16" s="1"/>
  <c r="I113" i="14"/>
  <c r="M146" i="14"/>
  <c r="AG90" i="14"/>
  <c r="K152" i="14"/>
  <c r="Z96" i="14"/>
  <c r="AK86" i="14"/>
  <c r="G115" i="14"/>
  <c r="E171" i="14"/>
  <c r="V70" i="14"/>
  <c r="U25" i="15"/>
  <c r="O41" i="15"/>
  <c r="AO12" i="15"/>
  <c r="O39" i="15" s="1"/>
  <c r="X39" i="15" s="1"/>
  <c r="O140" i="14"/>
  <c r="AM84" i="14"/>
  <c r="I158" i="14"/>
  <c r="T102" i="14"/>
  <c r="X47" i="15"/>
  <c r="P47" i="15"/>
  <c r="H161" i="14"/>
  <c r="E218" i="14" s="1"/>
  <c r="P105" i="14"/>
  <c r="AI89" i="14" l="1"/>
  <c r="V101" i="14"/>
  <c r="O107" i="14"/>
  <c r="O108" i="14" s="1"/>
  <c r="I114" i="14"/>
  <c r="L110" i="14"/>
  <c r="U102" i="14"/>
  <c r="AB95" i="14"/>
  <c r="Y98" i="14"/>
  <c r="X99" i="14"/>
  <c r="K111" i="14"/>
  <c r="AK87" i="14"/>
  <c r="AL87" i="14" s="1"/>
  <c r="E172" i="14"/>
  <c r="G116" i="14"/>
  <c r="K137" i="16"/>
  <c r="K19" i="16"/>
  <c r="P106" i="14"/>
  <c r="H162" i="14"/>
  <c r="E219" i="14" s="1"/>
  <c r="M109" i="14"/>
  <c r="G165" i="14"/>
  <c r="AJ88" i="14"/>
  <c r="N144" i="14"/>
  <c r="O141" i="14"/>
  <c r="AM85" i="14"/>
  <c r="H115" i="14"/>
  <c r="AG91" i="14"/>
  <c r="M147" i="14"/>
  <c r="P41" i="15"/>
  <c r="P39" i="15" s="1"/>
  <c r="X41" i="15"/>
  <c r="K153" i="14"/>
  <c r="Z97" i="14"/>
  <c r="P138" i="14"/>
  <c r="G195" i="14" s="1"/>
  <c r="AP82" i="14"/>
  <c r="Z10" i="17"/>
  <c r="W36" i="16" s="1"/>
  <c r="Z12" i="17"/>
  <c r="Z9" i="17"/>
  <c r="W53" i="14" s="1"/>
  <c r="Q138" i="14"/>
  <c r="U23" i="15"/>
  <c r="U27" i="15" s="1"/>
  <c r="AH90" i="14"/>
  <c r="I159" i="14"/>
  <c r="T103" i="14"/>
  <c r="J156" i="14"/>
  <c r="W100" i="14"/>
  <c r="L150" i="14"/>
  <c r="F207" i="14" s="1"/>
  <c r="AC94" i="14"/>
  <c r="E34" i="15"/>
  <c r="I16" i="15"/>
  <c r="E43" i="15" s="1"/>
  <c r="J112" i="14"/>
  <c r="F168" i="14"/>
  <c r="AN84" i="14"/>
  <c r="AA96" i="14"/>
  <c r="I115" i="14" l="1"/>
  <c r="AI90" i="14"/>
  <c r="V102" i="14"/>
  <c r="X100" i="14"/>
  <c r="Y99" i="14"/>
  <c r="Y100" i="14" s="1"/>
  <c r="AK88" i="14"/>
  <c r="AL88" i="14" s="1"/>
  <c r="L111" i="14"/>
  <c r="AA97" i="14"/>
  <c r="AH91" i="14"/>
  <c r="M110" i="14"/>
  <c r="G166" i="14"/>
  <c r="E173" i="14"/>
  <c r="G117" i="14"/>
  <c r="W68" i="14"/>
  <c r="W55" i="14"/>
  <c r="W57" i="14" s="1"/>
  <c r="W17" i="16"/>
  <c r="T104" i="14"/>
  <c r="I160" i="14"/>
  <c r="AA7" i="17"/>
  <c r="V21" i="15"/>
  <c r="H116" i="14"/>
  <c r="N109" i="14"/>
  <c r="AB96" i="14"/>
  <c r="J76" i="16"/>
  <c r="W148" i="16"/>
  <c r="AM86" i="14"/>
  <c r="O142" i="14"/>
  <c r="L151" i="14"/>
  <c r="F208" i="14" s="1"/>
  <c r="AC95" i="14"/>
  <c r="U103" i="14"/>
  <c r="P107" i="14"/>
  <c r="H163" i="14"/>
  <c r="E220" i="14" s="1"/>
  <c r="AN85" i="14"/>
  <c r="AN86" i="14" s="1"/>
  <c r="AO84" i="14"/>
  <c r="AP83" i="14"/>
  <c r="P139" i="14"/>
  <c r="G196" i="14" s="1"/>
  <c r="K138" i="16"/>
  <c r="K33" i="16"/>
  <c r="J157" i="14"/>
  <c r="W101" i="14"/>
  <c r="M148" i="14"/>
  <c r="AG92" i="14"/>
  <c r="N145" i="14"/>
  <c r="AJ89" i="14"/>
  <c r="F169" i="14"/>
  <c r="J113" i="14"/>
  <c r="Z98" i="14"/>
  <c r="K154" i="14"/>
  <c r="K112" i="14"/>
  <c r="V103" i="14" l="1"/>
  <c r="AI91" i="14"/>
  <c r="I116" i="14"/>
  <c r="AB97" i="14"/>
  <c r="AA98" i="14"/>
  <c r="AK89" i="14"/>
  <c r="AL89" i="14" s="1"/>
  <c r="L112" i="14"/>
  <c r="X101" i="14"/>
  <c r="Y101" i="14" s="1"/>
  <c r="U104" i="14"/>
  <c r="V104" i="14" s="1"/>
  <c r="G167" i="14"/>
  <c r="M111" i="14"/>
  <c r="N146" i="14"/>
  <c r="AJ90" i="14"/>
  <c r="K146" i="16"/>
  <c r="K38" i="16"/>
  <c r="Q139" i="14"/>
  <c r="N110" i="14"/>
  <c r="H117" i="14"/>
  <c r="W136" i="16"/>
  <c r="J57" i="16"/>
  <c r="F170" i="14"/>
  <c r="J114" i="14"/>
  <c r="AC96" i="14"/>
  <c r="L152" i="14"/>
  <c r="F209" i="14" s="1"/>
  <c r="K113" i="14"/>
  <c r="M149" i="14"/>
  <c r="AG93" i="14"/>
  <c r="H164" i="14"/>
  <c r="E221" i="14" s="1"/>
  <c r="P108" i="14"/>
  <c r="I48" i="15"/>
  <c r="V19" i="15"/>
  <c r="W70" i="14"/>
  <c r="V25" i="15"/>
  <c r="AP84" i="14"/>
  <c r="P140" i="14"/>
  <c r="G197" i="14" s="1"/>
  <c r="AA10" i="17"/>
  <c r="X36" i="16" s="1"/>
  <c r="X148" i="16" s="1"/>
  <c r="AA9" i="17"/>
  <c r="X53" i="14" s="1"/>
  <c r="W102" i="14"/>
  <c r="J158" i="14"/>
  <c r="AH92" i="14"/>
  <c r="O143" i="14"/>
  <c r="AM87" i="14"/>
  <c r="E174" i="14"/>
  <c r="G118" i="14"/>
  <c r="Z99" i="14"/>
  <c r="K155" i="14"/>
  <c r="AO85" i="14"/>
  <c r="AO86" i="14" s="1"/>
  <c r="O109" i="14"/>
  <c r="T105" i="14"/>
  <c r="I161" i="14"/>
  <c r="AB98" i="14" l="1"/>
  <c r="I117" i="14"/>
  <c r="AK90" i="14"/>
  <c r="AL90" i="14" s="1"/>
  <c r="O110" i="14"/>
  <c r="AA99" i="14"/>
  <c r="L113" i="14"/>
  <c r="N111" i="14"/>
  <c r="I162" i="14"/>
  <c r="T106" i="14"/>
  <c r="K156" i="14"/>
  <c r="Z100" i="14"/>
  <c r="W103" i="14"/>
  <c r="J159" i="14"/>
  <c r="M150" i="14"/>
  <c r="AG94" i="14"/>
  <c r="AJ91" i="14"/>
  <c r="N147" i="14"/>
  <c r="X102" i="14"/>
  <c r="Y102" i="14" s="1"/>
  <c r="E175" i="14"/>
  <c r="G119" i="14"/>
  <c r="X17" i="16"/>
  <c r="X68" i="14"/>
  <c r="X55" i="14"/>
  <c r="X57" i="14" s="1"/>
  <c r="X70" i="14" s="1"/>
  <c r="I52" i="15"/>
  <c r="V23" i="15"/>
  <c r="I50" i="15" s="1"/>
  <c r="AA12" i="17"/>
  <c r="K114" i="14"/>
  <c r="H118" i="14"/>
  <c r="G168" i="14"/>
  <c r="M112" i="14"/>
  <c r="O144" i="14"/>
  <c r="AM88" i="14"/>
  <c r="I46" i="15"/>
  <c r="AC97" i="14"/>
  <c r="L153" i="14"/>
  <c r="F210" i="14" s="1"/>
  <c r="U105" i="14"/>
  <c r="J115" i="14"/>
  <c r="F171" i="14"/>
  <c r="Q140" i="14"/>
  <c r="AH93" i="14"/>
  <c r="AI92" i="14"/>
  <c r="P141" i="14"/>
  <c r="G198" i="14" s="1"/>
  <c r="AP85" i="14"/>
  <c r="H165" i="14"/>
  <c r="E222" i="14" s="1"/>
  <c r="P109" i="14"/>
  <c r="K149" i="16"/>
  <c r="K40" i="16"/>
  <c r="K39" i="16"/>
  <c r="K150" i="16" s="1"/>
  <c r="AN87" i="14"/>
  <c r="AO87" i="14" s="1"/>
  <c r="AB99" i="14" l="1"/>
  <c r="O111" i="14"/>
  <c r="AH94" i="14"/>
  <c r="AK91" i="14"/>
  <c r="AL91" i="14" s="1"/>
  <c r="N112" i="14"/>
  <c r="AA100" i="14"/>
  <c r="W25" i="15"/>
  <c r="W23" i="15" s="1"/>
  <c r="L114" i="14"/>
  <c r="H119" i="14"/>
  <c r="V27" i="15"/>
  <c r="I54" i="15" s="1"/>
  <c r="F172" i="14"/>
  <c r="J116" i="14"/>
  <c r="G120" i="14"/>
  <c r="E176" i="14"/>
  <c r="U106" i="14"/>
  <c r="V105" i="14"/>
  <c r="AB7" i="17"/>
  <c r="W21" i="15"/>
  <c r="W19" i="15" s="1"/>
  <c r="J160" i="14"/>
  <c r="W104" i="14"/>
  <c r="AN88" i="14"/>
  <c r="AI93" i="14"/>
  <c r="X103" i="14"/>
  <c r="Z101" i="14"/>
  <c r="K157" i="14"/>
  <c r="I118" i="14"/>
  <c r="M113" i="14"/>
  <c r="G169" i="14"/>
  <c r="AG95" i="14"/>
  <c r="M151" i="14"/>
  <c r="I163" i="14"/>
  <c r="T107" i="14"/>
  <c r="X136" i="16"/>
  <c r="P142" i="14"/>
  <c r="G199" i="14" s="1"/>
  <c r="AP86" i="14"/>
  <c r="K115" i="14"/>
  <c r="O145" i="14"/>
  <c r="AM89" i="14"/>
  <c r="K151" i="16"/>
  <c r="L6" i="16"/>
  <c r="J8" i="15"/>
  <c r="J7" i="15" s="1"/>
  <c r="J16" i="15" s="1"/>
  <c r="AJ92" i="14"/>
  <c r="N148" i="14"/>
  <c r="P110" i="14"/>
  <c r="H166" i="14"/>
  <c r="E223" i="14" s="1"/>
  <c r="Q141" i="14"/>
  <c r="Q142" i="14" s="1"/>
  <c r="AC98" i="14"/>
  <c r="L154" i="14"/>
  <c r="F211" i="14" s="1"/>
  <c r="AB100" i="14" l="1"/>
  <c r="AI94" i="14"/>
  <c r="AH95" i="14"/>
  <c r="O112" i="14"/>
  <c r="N113" i="14"/>
  <c r="AA101" i="14"/>
  <c r="AB101" i="14" s="1"/>
  <c r="I119" i="14"/>
  <c r="K116" i="14"/>
  <c r="X104" i="14"/>
  <c r="H167" i="14"/>
  <c r="E224" i="14" s="1"/>
  <c r="P111" i="14"/>
  <c r="AM90" i="14"/>
  <c r="O146" i="14"/>
  <c r="T108" i="14"/>
  <c r="I164" i="14"/>
  <c r="U107" i="14"/>
  <c r="Y103" i="14"/>
  <c r="AN89" i="14"/>
  <c r="E177" i="14"/>
  <c r="G121" i="14"/>
  <c r="N149" i="14"/>
  <c r="AJ93" i="14"/>
  <c r="AG96" i="14"/>
  <c r="M152" i="14"/>
  <c r="L115" i="14"/>
  <c r="J161" i="14"/>
  <c r="W105" i="14"/>
  <c r="F173" i="14"/>
  <c r="J117" i="14"/>
  <c r="P143" i="14"/>
  <c r="G200" i="14" s="1"/>
  <c r="AP87" i="14"/>
  <c r="L155" i="14"/>
  <c r="F212" i="14" s="1"/>
  <c r="AC99" i="14"/>
  <c r="G170" i="14"/>
  <c r="M114" i="14"/>
  <c r="AK92" i="14"/>
  <c r="W27" i="15"/>
  <c r="H120" i="14"/>
  <c r="L18" i="16"/>
  <c r="L125" i="16"/>
  <c r="AB9" i="17"/>
  <c r="Y53" i="14" s="1"/>
  <c r="AB10" i="17"/>
  <c r="Y36" i="16" s="1"/>
  <c r="Y148" i="16" s="1"/>
  <c r="AO88" i="14"/>
  <c r="K158" i="14"/>
  <c r="Z102" i="14"/>
  <c r="V106" i="14"/>
  <c r="V107" i="14" l="1"/>
  <c r="AI95" i="14"/>
  <c r="AH96" i="14"/>
  <c r="O113" i="14"/>
  <c r="L116" i="14"/>
  <c r="Y104" i="14"/>
  <c r="AN90" i="14"/>
  <c r="X105" i="14"/>
  <c r="K117" i="14"/>
  <c r="H121" i="14"/>
  <c r="U108" i="14"/>
  <c r="L156" i="14"/>
  <c r="F213" i="14" s="1"/>
  <c r="AC100" i="14"/>
  <c r="L137" i="16"/>
  <c r="L19" i="16"/>
  <c r="W106" i="14"/>
  <c r="J162" i="14"/>
  <c r="G122" i="14"/>
  <c r="E178" i="14"/>
  <c r="Z103" i="14"/>
  <c r="K159" i="14"/>
  <c r="F174" i="14"/>
  <c r="J118" i="14"/>
  <c r="N150" i="14"/>
  <c r="AJ94" i="14"/>
  <c r="AO89" i="14"/>
  <c r="Q143" i="14"/>
  <c r="I120" i="14"/>
  <c r="I165" i="14"/>
  <c r="T109" i="14"/>
  <c r="G171" i="14"/>
  <c r="M115" i="14"/>
  <c r="N114" i="14"/>
  <c r="P144" i="14"/>
  <c r="G201" i="14" s="1"/>
  <c r="AP88" i="14"/>
  <c r="AB12" i="17"/>
  <c r="AM91" i="14"/>
  <c r="O147" i="14"/>
  <c r="Y17" i="16"/>
  <c r="Y55" i="14"/>
  <c r="Y57" i="14" s="1"/>
  <c r="Y68" i="14"/>
  <c r="AK93" i="14"/>
  <c r="AL92" i="14"/>
  <c r="AA102" i="14"/>
  <c r="M153" i="14"/>
  <c r="AG97" i="14"/>
  <c r="AH97" i="14" s="1"/>
  <c r="AI96" i="14"/>
  <c r="H168" i="14"/>
  <c r="E225" i="14" s="1"/>
  <c r="P112" i="14"/>
  <c r="V108" i="14" l="1"/>
  <c r="L117" i="14"/>
  <c r="AO90" i="14"/>
  <c r="AL93" i="14"/>
  <c r="Q144" i="14"/>
  <c r="Y105" i="14"/>
  <c r="K118" i="14"/>
  <c r="AN91" i="14"/>
  <c r="I121" i="14"/>
  <c r="N115" i="14"/>
  <c r="G123" i="14"/>
  <c r="E179" i="14"/>
  <c r="AK94" i="14"/>
  <c r="I166" i="14"/>
  <c r="T110" i="14"/>
  <c r="P113" i="14"/>
  <c r="H169" i="14"/>
  <c r="E226" i="14" s="1"/>
  <c r="P145" i="14"/>
  <c r="G202" i="14" s="1"/>
  <c r="AP89" i="14"/>
  <c r="J119" i="14"/>
  <c r="F175" i="14"/>
  <c r="J163" i="14"/>
  <c r="W107" i="14"/>
  <c r="Y70" i="14"/>
  <c r="X25" i="15"/>
  <c r="L33" i="16"/>
  <c r="L138" i="16"/>
  <c r="AI97" i="14"/>
  <c r="Y136" i="16"/>
  <c r="H122" i="14"/>
  <c r="AC7" i="17"/>
  <c r="X21" i="15"/>
  <c r="X19" i="15" s="1"/>
  <c r="N151" i="14"/>
  <c r="AJ95" i="14"/>
  <c r="M154" i="14"/>
  <c r="AG98" i="14"/>
  <c r="AH98" i="14" s="1"/>
  <c r="O114" i="14"/>
  <c r="K160" i="14"/>
  <c r="Z104" i="14"/>
  <c r="AC101" i="14"/>
  <c r="L157" i="14"/>
  <c r="F214" i="14" s="1"/>
  <c r="G172" i="14"/>
  <c r="M116" i="14"/>
  <c r="AA103" i="14"/>
  <c r="AB102" i="14"/>
  <c r="O148" i="14"/>
  <c r="AM92" i="14"/>
  <c r="X106" i="14"/>
  <c r="U109" i="14"/>
  <c r="AO91" i="14" l="1"/>
  <c r="L118" i="14"/>
  <c r="H123" i="14"/>
  <c r="N116" i="14"/>
  <c r="AA104" i="14"/>
  <c r="O115" i="14"/>
  <c r="Q145" i="14"/>
  <c r="AI98" i="14"/>
  <c r="O149" i="14"/>
  <c r="AM93" i="14"/>
  <c r="L158" i="14"/>
  <c r="F215" i="14" s="1"/>
  <c r="AC102" i="14"/>
  <c r="AJ96" i="14"/>
  <c r="N152" i="14"/>
  <c r="J164" i="14"/>
  <c r="W108" i="14"/>
  <c r="T111" i="14"/>
  <c r="I167" i="14"/>
  <c r="K161" i="14"/>
  <c r="Z105" i="14"/>
  <c r="AB103" i="14"/>
  <c r="AB104" i="14" s="1"/>
  <c r="AN92" i="14"/>
  <c r="J120" i="14"/>
  <c r="F176" i="14"/>
  <c r="K119" i="14"/>
  <c r="I122" i="14"/>
  <c r="AC12" i="17"/>
  <c r="AC9" i="17"/>
  <c r="Z53" i="14" s="1"/>
  <c r="AC10" i="17"/>
  <c r="Z36" i="16" s="1"/>
  <c r="AK95" i="14"/>
  <c r="P146" i="14"/>
  <c r="G203" i="14" s="1"/>
  <c r="L191" i="14" s="1"/>
  <c r="AP90" i="14"/>
  <c r="M117" i="14"/>
  <c r="G173" i="14"/>
  <c r="U110" i="14"/>
  <c r="V109" i="14"/>
  <c r="AG99" i="14"/>
  <c r="AH99" i="14" s="1"/>
  <c r="M155" i="14"/>
  <c r="X23" i="15"/>
  <c r="X27" i="15" s="1"/>
  <c r="E180" i="14"/>
  <c r="G124" i="14"/>
  <c r="L146" i="16"/>
  <c r="L38" i="16"/>
  <c r="X107" i="14"/>
  <c r="Y106" i="14"/>
  <c r="P114" i="14"/>
  <c r="H170" i="14"/>
  <c r="E227" i="14" s="1"/>
  <c r="AL94" i="14"/>
  <c r="I123" i="14" l="1"/>
  <c r="H124" i="14"/>
  <c r="K120" i="14"/>
  <c r="AN93" i="14"/>
  <c r="O116" i="14"/>
  <c r="AI99" i="14"/>
  <c r="X108" i="14"/>
  <c r="V110" i="14"/>
  <c r="U111" i="14"/>
  <c r="AK96" i="14"/>
  <c r="AD7" i="17"/>
  <c r="Y21" i="15"/>
  <c r="J165" i="14"/>
  <c r="W109" i="14"/>
  <c r="AM94" i="14"/>
  <c r="O150" i="14"/>
  <c r="P115" i="14"/>
  <c r="H171" i="14"/>
  <c r="E228" i="14" s="1"/>
  <c r="M118" i="14"/>
  <c r="G174" i="14"/>
  <c r="Y107" i="14"/>
  <c r="AP91" i="14"/>
  <c r="P147" i="14"/>
  <c r="G204" i="14" s="1"/>
  <c r="L149" i="16"/>
  <c r="L39" i="16"/>
  <c r="L150" i="16" s="1"/>
  <c r="L40" i="16"/>
  <c r="K162" i="14"/>
  <c r="Z106" i="14"/>
  <c r="AO92" i="14"/>
  <c r="M156" i="14"/>
  <c r="AG100" i="14"/>
  <c r="Q146" i="14"/>
  <c r="N117" i="14"/>
  <c r="N153" i="14"/>
  <c r="AJ97" i="14"/>
  <c r="L159" i="14"/>
  <c r="F216" i="14" s="1"/>
  <c r="AC103" i="14"/>
  <c r="Z148" i="16"/>
  <c r="K76" i="16"/>
  <c r="F177" i="14"/>
  <c r="J121" i="14"/>
  <c r="AL95" i="14"/>
  <c r="E181" i="14"/>
  <c r="G125" i="14"/>
  <c r="L119" i="14"/>
  <c r="Z17" i="16"/>
  <c r="Z55" i="14"/>
  <c r="Z57" i="14" s="1"/>
  <c r="Z68" i="14"/>
  <c r="T112" i="14"/>
  <c r="U112" i="14" s="1"/>
  <c r="I168" i="14"/>
  <c r="AA105" i="14"/>
  <c r="H125" i="14" l="1"/>
  <c r="I124" i="14"/>
  <c r="V111" i="14"/>
  <c r="V112" i="14" s="1"/>
  <c r="K121" i="14"/>
  <c r="L120" i="14"/>
  <c r="AO93" i="14"/>
  <c r="Y108" i="14"/>
  <c r="AL96" i="14"/>
  <c r="N154" i="14"/>
  <c r="AJ98" i="14"/>
  <c r="AP92" i="14"/>
  <c r="P148" i="14"/>
  <c r="G205" i="14" s="1"/>
  <c r="L192" i="14" s="1"/>
  <c r="D97" i="3" s="1"/>
  <c r="O151" i="14"/>
  <c r="AM95" i="14"/>
  <c r="Z70" i="14"/>
  <c r="Y25" i="15"/>
  <c r="W110" i="14"/>
  <c r="J166" i="14"/>
  <c r="Z136" i="16"/>
  <c r="K57" i="16"/>
  <c r="N118" i="14"/>
  <c r="O117" i="14"/>
  <c r="X109" i="14"/>
  <c r="F178" i="14"/>
  <c r="J122" i="14"/>
  <c r="Z107" i="14"/>
  <c r="K163" i="14"/>
  <c r="Q147" i="14"/>
  <c r="L151" i="16"/>
  <c r="K8" i="15"/>
  <c r="K7" i="15" s="1"/>
  <c r="K16" i="15" s="1"/>
  <c r="M6" i="16"/>
  <c r="AN94" i="14"/>
  <c r="M157" i="14"/>
  <c r="AG101" i="14"/>
  <c r="E182" i="14"/>
  <c r="G126" i="14"/>
  <c r="E183" i="14" s="1"/>
  <c r="L160" i="14"/>
  <c r="F217" i="14" s="1"/>
  <c r="AC104" i="14"/>
  <c r="G175" i="14"/>
  <c r="M119" i="14"/>
  <c r="J48" i="15"/>
  <c r="Y19" i="15"/>
  <c r="AA106" i="14"/>
  <c r="AD10" i="17"/>
  <c r="AA36" i="16" s="1"/>
  <c r="AA148" i="16" s="1"/>
  <c r="AD9" i="17"/>
  <c r="AA53" i="14" s="1"/>
  <c r="AH100" i="14"/>
  <c r="AB105" i="14"/>
  <c r="P116" i="14"/>
  <c r="H172" i="14"/>
  <c r="E229" i="14" s="1"/>
  <c r="AK97" i="14"/>
  <c r="AK98" i="14" s="1"/>
  <c r="T113" i="14"/>
  <c r="U113" i="14" s="1"/>
  <c r="I169" i="14"/>
  <c r="I125" i="14" l="1"/>
  <c r="L121" i="14"/>
  <c r="AO94" i="14"/>
  <c r="Y109" i="14"/>
  <c r="Q148" i="14"/>
  <c r="O118" i="14"/>
  <c r="AB106" i="14"/>
  <c r="X110" i="14"/>
  <c r="M158" i="14"/>
  <c r="AG102" i="14"/>
  <c r="V113" i="14"/>
  <c r="Z108" i="14"/>
  <c r="K164" i="14"/>
  <c r="AH101" i="14"/>
  <c r="AI100" i="14"/>
  <c r="G176" i="14"/>
  <c r="M120" i="14"/>
  <c r="AN95" i="14"/>
  <c r="J123" i="14"/>
  <c r="F179" i="14"/>
  <c r="AL97" i="14"/>
  <c r="AL98" i="14" s="1"/>
  <c r="M125" i="16"/>
  <c r="M18" i="16"/>
  <c r="P149" i="14"/>
  <c r="G206" i="14" s="1"/>
  <c r="AP93" i="14"/>
  <c r="J46" i="15"/>
  <c r="I170" i="14"/>
  <c r="T114" i="14"/>
  <c r="AA17" i="16"/>
  <c r="AA68" i="14"/>
  <c r="AA55" i="14"/>
  <c r="AA57" i="14" s="1"/>
  <c r="AA70" i="14" s="1"/>
  <c r="AC105" i="14"/>
  <c r="L161" i="14"/>
  <c r="F218" i="14" s="1"/>
  <c r="W111" i="14"/>
  <c r="J167" i="14"/>
  <c r="AJ99" i="14"/>
  <c r="N155" i="14"/>
  <c r="AD12" i="17"/>
  <c r="J52" i="15"/>
  <c r="Y23" i="15"/>
  <c r="J50" i="15" s="1"/>
  <c r="H126" i="14"/>
  <c r="I126" i="14" s="1"/>
  <c r="H173" i="14"/>
  <c r="E230" i="14" s="1"/>
  <c r="P117" i="14"/>
  <c r="AA107" i="14"/>
  <c r="N119" i="14"/>
  <c r="K122" i="14"/>
  <c r="O152" i="14"/>
  <c r="AM96" i="14"/>
  <c r="AO95" i="14" l="1"/>
  <c r="Y110" i="14"/>
  <c r="Z25" i="15"/>
  <c r="Z23" i="15" s="1"/>
  <c r="X111" i="14"/>
  <c r="N120" i="14"/>
  <c r="AB107" i="14"/>
  <c r="K123" i="14"/>
  <c r="AI101" i="14"/>
  <c r="AA108" i="14"/>
  <c r="AH102" i="14"/>
  <c r="I171" i="14"/>
  <c r="T115" i="14"/>
  <c r="U114" i="14"/>
  <c r="V114" i="14" s="1"/>
  <c r="L122" i="14"/>
  <c r="O119" i="14"/>
  <c r="J168" i="14"/>
  <c r="W112" i="14"/>
  <c r="Q149" i="14"/>
  <c r="Y27" i="15"/>
  <c r="J54" i="15" s="1"/>
  <c r="Z109" i="14"/>
  <c r="K165" i="14"/>
  <c r="AJ100" i="14"/>
  <c r="N156" i="14"/>
  <c r="M137" i="16"/>
  <c r="G58" i="16"/>
  <c r="M19" i="16"/>
  <c r="AK99" i="14"/>
  <c r="AL99" i="14" s="1"/>
  <c r="P118" i="14"/>
  <c r="H174" i="14"/>
  <c r="E231" i="14" s="1"/>
  <c r="J193" i="14" s="1"/>
  <c r="Z21" i="15"/>
  <c r="Z19" i="15" s="1"/>
  <c r="AE7" i="17"/>
  <c r="F180" i="14"/>
  <c r="J124" i="14"/>
  <c r="AA136" i="16"/>
  <c r="O153" i="14"/>
  <c r="AM97" i="14"/>
  <c r="AC106" i="14"/>
  <c r="L162" i="14"/>
  <c r="F219" i="14" s="1"/>
  <c r="P150" i="14"/>
  <c r="G207" i="14" s="1"/>
  <c r="AP94" i="14"/>
  <c r="AN96" i="14"/>
  <c r="M121" i="14"/>
  <c r="G177" i="14"/>
  <c r="AG103" i="14"/>
  <c r="M159" i="14"/>
  <c r="Y111" i="14" l="1"/>
  <c r="L123" i="14"/>
  <c r="O120" i="14"/>
  <c r="X112" i="14"/>
  <c r="AB108" i="14"/>
  <c r="AA109" i="14"/>
  <c r="AI102" i="14"/>
  <c r="Z27" i="15"/>
  <c r="Q150" i="14"/>
  <c r="AG104" i="14"/>
  <c r="M160" i="14"/>
  <c r="T116" i="14"/>
  <c r="I172" i="14"/>
  <c r="G178" i="14"/>
  <c r="M122" i="14"/>
  <c r="F181" i="14"/>
  <c r="J125" i="14"/>
  <c r="AH103" i="14"/>
  <c r="L163" i="14"/>
  <c r="F220" i="14" s="1"/>
  <c r="AC107" i="14"/>
  <c r="AE10" i="17"/>
  <c r="AB36" i="16" s="1"/>
  <c r="AB148" i="16" s="1"/>
  <c r="AE9" i="17"/>
  <c r="AB53" i="14" s="1"/>
  <c r="AJ101" i="14"/>
  <c r="N157" i="14"/>
  <c r="J169" i="14"/>
  <c r="W113" i="14"/>
  <c r="N121" i="14"/>
  <c r="AM98" i="14"/>
  <c r="O154" i="14"/>
  <c r="K124" i="14"/>
  <c r="H175" i="14"/>
  <c r="P119" i="14"/>
  <c r="AN97" i="14"/>
  <c r="AK100" i="14"/>
  <c r="K166" i="14"/>
  <c r="Z110" i="14"/>
  <c r="P151" i="14"/>
  <c r="G208" i="14" s="1"/>
  <c r="AP95" i="14"/>
  <c r="G59" i="16"/>
  <c r="M138" i="16"/>
  <c r="M33" i="16"/>
  <c r="U115" i="14"/>
  <c r="AO96" i="14"/>
  <c r="Y112" i="14" l="1"/>
  <c r="L124" i="14"/>
  <c r="AB109" i="14"/>
  <c r="U116" i="14"/>
  <c r="AN98" i="14"/>
  <c r="K125" i="14"/>
  <c r="P152" i="14"/>
  <c r="G209" i="14" s="1"/>
  <c r="AP96" i="14"/>
  <c r="AO97" i="14"/>
  <c r="H176" i="14"/>
  <c r="E233" i="14" s="1"/>
  <c r="J194" i="14" s="1"/>
  <c r="P120" i="14"/>
  <c r="W114" i="14"/>
  <c r="J170" i="14"/>
  <c r="L164" i="14"/>
  <c r="F221" i="14" s="1"/>
  <c r="AC108" i="14"/>
  <c r="N122" i="14"/>
  <c r="G179" i="14"/>
  <c r="M123" i="14"/>
  <c r="AB17" i="16"/>
  <c r="AB68" i="14"/>
  <c r="AB55" i="14"/>
  <c r="AB57" i="14" s="1"/>
  <c r="O121" i="14"/>
  <c r="AE12" i="17"/>
  <c r="V115" i="14"/>
  <c r="I173" i="14"/>
  <c r="T117" i="14"/>
  <c r="M146" i="16"/>
  <c r="G73" i="16"/>
  <c r="M38" i="16"/>
  <c r="Z111" i="14"/>
  <c r="K167" i="14"/>
  <c r="AJ102" i="14"/>
  <c r="N158" i="14"/>
  <c r="AA110" i="14"/>
  <c r="X113" i="14"/>
  <c r="AH104" i="14"/>
  <c r="AI103" i="14"/>
  <c r="M161" i="14"/>
  <c r="AG105" i="14"/>
  <c r="AK101" i="14"/>
  <c r="AM99" i="14"/>
  <c r="O155" i="14"/>
  <c r="AL100" i="14"/>
  <c r="F182" i="14"/>
  <c r="J126" i="14"/>
  <c r="F183" i="14" s="1"/>
  <c r="Q151" i="14"/>
  <c r="L125" i="14" l="1"/>
  <c r="AB110" i="14"/>
  <c r="Q152" i="14"/>
  <c r="V116" i="14"/>
  <c r="AO98" i="14"/>
  <c r="K126" i="14"/>
  <c r="L126" i="14" s="1"/>
  <c r="X114" i="14"/>
  <c r="AN99" i="14"/>
  <c r="AK102" i="14"/>
  <c r="N123" i="14"/>
  <c r="AL101" i="14"/>
  <c r="O122" i="14"/>
  <c r="AA111" i="14"/>
  <c r="O156" i="14"/>
  <c r="AM100" i="14"/>
  <c r="I174" i="14"/>
  <c r="T118" i="14"/>
  <c r="Y113" i="14"/>
  <c r="N159" i="14"/>
  <c r="AJ103" i="14"/>
  <c r="AB136" i="16"/>
  <c r="M162" i="14"/>
  <c r="AG106" i="14"/>
  <c r="J171" i="14"/>
  <c r="W115" i="14"/>
  <c r="G180" i="14"/>
  <c r="M124" i="14"/>
  <c r="H177" i="14"/>
  <c r="E234" i="14" s="1"/>
  <c r="P121" i="14"/>
  <c r="AI104" i="14"/>
  <c r="K168" i="14"/>
  <c r="Z112" i="14"/>
  <c r="U117" i="14"/>
  <c r="U118" i="14" s="1"/>
  <c r="M149" i="16"/>
  <c r="G78" i="16"/>
  <c r="M39" i="16"/>
  <c r="M40" i="16"/>
  <c r="AF7" i="17"/>
  <c r="AA21" i="15"/>
  <c r="AA19" i="15" s="1"/>
  <c r="AH105" i="14"/>
  <c r="AC109" i="14"/>
  <c r="L165" i="14"/>
  <c r="F222" i="14" s="1"/>
  <c r="P153" i="14"/>
  <c r="G210" i="14" s="1"/>
  <c r="AP97" i="14"/>
  <c r="AB70" i="14"/>
  <c r="AA25" i="15"/>
  <c r="AO99" i="14" l="1"/>
  <c r="AL102" i="14"/>
  <c r="N124" i="14"/>
  <c r="AN100" i="14"/>
  <c r="AA112" i="14"/>
  <c r="AK103" i="14"/>
  <c r="O123" i="14"/>
  <c r="Y114" i="14"/>
  <c r="AB111" i="14"/>
  <c r="AI105" i="14"/>
  <c r="AF9" i="17"/>
  <c r="AC53" i="14" s="1"/>
  <c r="AF10" i="17"/>
  <c r="AC36" i="16" s="1"/>
  <c r="AF12" i="17"/>
  <c r="M151" i="16"/>
  <c r="G80" i="16"/>
  <c r="H46" i="16" s="1"/>
  <c r="N6" i="16"/>
  <c r="L8" i="15"/>
  <c r="P122" i="14"/>
  <c r="H178" i="14"/>
  <c r="E235" i="14" s="1"/>
  <c r="V117" i="14"/>
  <c r="V118" i="14" s="1"/>
  <c r="L166" i="14"/>
  <c r="F223" i="14" s="1"/>
  <c r="AC110" i="14"/>
  <c r="G79" i="16"/>
  <c r="M150" i="16"/>
  <c r="AG107" i="14"/>
  <c r="M163" i="14"/>
  <c r="M125" i="14"/>
  <c r="G181" i="14"/>
  <c r="T119" i="14"/>
  <c r="U119" i="14" s="1"/>
  <c r="I175" i="14"/>
  <c r="AA23" i="15"/>
  <c r="AA27" i="15" s="1"/>
  <c r="AH106" i="14"/>
  <c r="Q153" i="14"/>
  <c r="O157" i="14"/>
  <c r="AM101" i="14"/>
  <c r="K169" i="14"/>
  <c r="Z113" i="14"/>
  <c r="J172" i="14"/>
  <c r="W116" i="14"/>
  <c r="AJ104" i="14"/>
  <c r="N160" i="14"/>
  <c r="P154" i="14"/>
  <c r="G211" i="14" s="1"/>
  <c r="AP98" i="14"/>
  <c r="X115" i="14"/>
  <c r="O124" i="14" l="1"/>
  <c r="AA113" i="14"/>
  <c r="AL103" i="14"/>
  <c r="AO100" i="14"/>
  <c r="AB112" i="14"/>
  <c r="AB113" i="14" s="1"/>
  <c r="AN101" i="14"/>
  <c r="X116" i="14"/>
  <c r="Q154" i="14"/>
  <c r="N161" i="14"/>
  <c r="AJ105" i="14"/>
  <c r="M126" i="14"/>
  <c r="G183" i="14" s="1"/>
  <c r="G182" i="14"/>
  <c r="AK104" i="14"/>
  <c r="J173" i="14"/>
  <c r="W117" i="14"/>
  <c r="Y115" i="14"/>
  <c r="AH107" i="14"/>
  <c r="V119" i="14"/>
  <c r="AI106" i="14"/>
  <c r="K170" i="14"/>
  <c r="Z114" i="14"/>
  <c r="M164" i="14"/>
  <c r="AG108" i="14"/>
  <c r="AG7" i="17"/>
  <c r="AG12" i="17" s="1"/>
  <c r="AB21" i="15"/>
  <c r="P123" i="14"/>
  <c r="H179" i="14"/>
  <c r="E236" i="14" s="1"/>
  <c r="J195" i="14" s="1"/>
  <c r="N125" i="14"/>
  <c r="F35" i="15"/>
  <c r="L7" i="15"/>
  <c r="AC17" i="16"/>
  <c r="AC68" i="14"/>
  <c r="AC55" i="14"/>
  <c r="AC57" i="14" s="1"/>
  <c r="AC148" i="16"/>
  <c r="L76" i="16"/>
  <c r="F116" i="16" s="1"/>
  <c r="L109" i="16" s="1"/>
  <c r="AP99" i="14"/>
  <c r="P155" i="14"/>
  <c r="G212" i="14" s="1"/>
  <c r="AM102" i="14"/>
  <c r="O158" i="14"/>
  <c r="T120" i="14"/>
  <c r="I176" i="14"/>
  <c r="L167" i="14"/>
  <c r="F224" i="14" s="1"/>
  <c r="AC111" i="14"/>
  <c r="N125" i="16"/>
  <c r="N18" i="16"/>
  <c r="AO101" i="14" l="1"/>
  <c r="AN102" i="14"/>
  <c r="AL104" i="14"/>
  <c r="X117" i="14"/>
  <c r="AH108" i="14"/>
  <c r="Y116" i="14"/>
  <c r="Q155" i="14"/>
  <c r="K48" i="15"/>
  <c r="W48" i="15" s="1"/>
  <c r="AB19" i="15"/>
  <c r="L168" i="14"/>
  <c r="F225" i="14" s="1"/>
  <c r="AC112" i="14"/>
  <c r="N126" i="14"/>
  <c r="O125" i="14"/>
  <c r="AK105" i="14"/>
  <c r="T121" i="14"/>
  <c r="I177" i="14"/>
  <c r="AH7" i="17"/>
  <c r="AC21" i="15"/>
  <c r="P124" i="14"/>
  <c r="H180" i="14"/>
  <c r="E237" i="14" s="1"/>
  <c r="J196" i="14" s="1"/>
  <c r="AI107" i="14"/>
  <c r="AC70" i="14"/>
  <c r="AE54" i="14"/>
  <c r="AE69" i="14" s="1"/>
  <c r="AB25" i="15"/>
  <c r="O159" i="14"/>
  <c r="AM103" i="14"/>
  <c r="N162" i="14"/>
  <c r="AJ106" i="14"/>
  <c r="M165" i="14"/>
  <c r="AG109" i="14"/>
  <c r="F34" i="15"/>
  <c r="L16" i="15"/>
  <c r="F43" i="15" s="1"/>
  <c r="U120" i="14"/>
  <c r="AC136" i="16"/>
  <c r="L57" i="16"/>
  <c r="F97" i="16" s="1"/>
  <c r="L97" i="16" s="1"/>
  <c r="N137" i="16"/>
  <c r="N19" i="16"/>
  <c r="P156" i="14"/>
  <c r="G213" i="14" s="1"/>
  <c r="AP100" i="14"/>
  <c r="Z115" i="14"/>
  <c r="K171" i="14"/>
  <c r="W118" i="14"/>
  <c r="J174" i="14"/>
  <c r="AA114" i="14"/>
  <c r="AO102" i="14" l="1"/>
  <c r="AL105" i="14"/>
  <c r="Y117" i="14"/>
  <c r="U121" i="14"/>
  <c r="AI108" i="14"/>
  <c r="AA115" i="14"/>
  <c r="M166" i="14"/>
  <c r="AG110" i="14"/>
  <c r="AH10" i="17"/>
  <c r="AE36" i="16" s="1"/>
  <c r="AE148" i="16" s="1"/>
  <c r="AH12" i="17"/>
  <c r="AH9" i="17"/>
  <c r="AE53" i="14" s="1"/>
  <c r="N163" i="14"/>
  <c r="AJ107" i="14"/>
  <c r="I178" i="14"/>
  <c r="T122" i="14"/>
  <c r="AH109" i="14"/>
  <c r="AB114" i="14"/>
  <c r="K46" i="15"/>
  <c r="W46" i="15" s="1"/>
  <c r="N138" i="16"/>
  <c r="N33" i="16"/>
  <c r="K52" i="15"/>
  <c r="W52" i="15" s="1"/>
  <c r="AC25" i="15"/>
  <c r="AB23" i="15"/>
  <c r="K50" i="15" s="1"/>
  <c r="W50" i="15" s="1"/>
  <c r="W119" i="14"/>
  <c r="J175" i="14"/>
  <c r="Z116" i="14"/>
  <c r="K172" i="14"/>
  <c r="V120" i="14"/>
  <c r="V121" i="14" s="1"/>
  <c r="Q156" i="14"/>
  <c r="AK106" i="14"/>
  <c r="H181" i="14"/>
  <c r="E238" i="14" s="1"/>
  <c r="P125" i="14"/>
  <c r="X118" i="14"/>
  <c r="AC113" i="14"/>
  <c r="L169" i="14"/>
  <c r="F226" i="14" s="1"/>
  <c r="P157" i="14"/>
  <c r="G214" i="14" s="1"/>
  <c r="AP101" i="14"/>
  <c r="O160" i="14"/>
  <c r="AM104" i="14"/>
  <c r="O126" i="14"/>
  <c r="AN103" i="14"/>
  <c r="U122" i="14" l="1"/>
  <c r="V122" i="14" s="1"/>
  <c r="AI109" i="14"/>
  <c r="AB115" i="14"/>
  <c r="AN104" i="14"/>
  <c r="AH110" i="14"/>
  <c r="AK107" i="14"/>
  <c r="Q157" i="14"/>
  <c r="O161" i="14"/>
  <c r="AM105" i="14"/>
  <c r="X119" i="14"/>
  <c r="Y118" i="14"/>
  <c r="Z117" i="14"/>
  <c r="K173" i="14"/>
  <c r="AJ108" i="14"/>
  <c r="N164" i="14"/>
  <c r="P158" i="14"/>
  <c r="G215" i="14" s="1"/>
  <c r="AP102" i="14"/>
  <c r="J176" i="14"/>
  <c r="W120" i="14"/>
  <c r="C99" i="3"/>
  <c r="P126" i="14"/>
  <c r="H183" i="14" s="1"/>
  <c r="E240" i="14" s="1"/>
  <c r="J197" i="14" s="1"/>
  <c r="H182" i="14"/>
  <c r="E239" i="14" s="1"/>
  <c r="AB27" i="15"/>
  <c r="K54" i="15" s="1"/>
  <c r="W54" i="15" s="1"/>
  <c r="AE17" i="16"/>
  <c r="AE68" i="14"/>
  <c r="AE55" i="14"/>
  <c r="AE57" i="14" s="1"/>
  <c r="AE70" i="14" s="1"/>
  <c r="AE122" i="14"/>
  <c r="AE123" i="14" s="1"/>
  <c r="AI7" i="17"/>
  <c r="AD21" i="15"/>
  <c r="AD19" i="15" s="1"/>
  <c r="AA116" i="14"/>
  <c r="AG111" i="14"/>
  <c r="M167" i="14"/>
  <c r="AC114" i="14"/>
  <c r="L170" i="14"/>
  <c r="F227" i="14" s="1"/>
  <c r="AL106" i="14"/>
  <c r="AO103" i="14"/>
  <c r="N146" i="16"/>
  <c r="N38" i="16"/>
  <c r="I179" i="14"/>
  <c r="T123" i="14"/>
  <c r="AH111" i="14" l="1"/>
  <c r="AI110" i="14"/>
  <c r="AN105" i="14"/>
  <c r="X120" i="14"/>
  <c r="AO104" i="14"/>
  <c r="AA117" i="14"/>
  <c r="AL107" i="14"/>
  <c r="N149" i="16"/>
  <c r="N40" i="16"/>
  <c r="N39" i="16"/>
  <c r="N150" i="16" s="1"/>
  <c r="AI10" i="17"/>
  <c r="AF36" i="16" s="1"/>
  <c r="AF148" i="16" s="1"/>
  <c r="AI12" i="17"/>
  <c r="AI9" i="17"/>
  <c r="AF53" i="14" s="1"/>
  <c r="AJ109" i="14"/>
  <c r="N165" i="14"/>
  <c r="AD25" i="15"/>
  <c r="AG112" i="14"/>
  <c r="AH112" i="14" s="1"/>
  <c r="M168" i="14"/>
  <c r="AE124" i="14"/>
  <c r="AE125" i="14" s="1"/>
  <c r="AE126" i="14" s="1"/>
  <c r="K174" i="14"/>
  <c r="Z118" i="14"/>
  <c r="J177" i="14"/>
  <c r="W121" i="14"/>
  <c r="Y119" i="14"/>
  <c r="AE136" i="16"/>
  <c r="L171" i="14"/>
  <c r="F228" i="14" s="1"/>
  <c r="AC115" i="14"/>
  <c r="AB116" i="14"/>
  <c r="P159" i="14"/>
  <c r="G216" i="14" s="1"/>
  <c r="AP103" i="14"/>
  <c r="AM106" i="14"/>
  <c r="O162" i="14"/>
  <c r="T124" i="14"/>
  <c r="I180" i="14"/>
  <c r="U123" i="14"/>
  <c r="AK108" i="14"/>
  <c r="Q158" i="14"/>
  <c r="AI111" i="14" l="1"/>
  <c r="AI112" i="14" s="1"/>
  <c r="AO105" i="14"/>
  <c r="AA118" i="14"/>
  <c r="AK109" i="14"/>
  <c r="AB117" i="14"/>
  <c r="Y120" i="14"/>
  <c r="X121" i="14"/>
  <c r="U124" i="14"/>
  <c r="AF17" i="16"/>
  <c r="AF68" i="14"/>
  <c r="AF55" i="14"/>
  <c r="AF57" i="14" s="1"/>
  <c r="AF70" i="14" s="1"/>
  <c r="AF122" i="14"/>
  <c r="AF123" i="14" s="1"/>
  <c r="AF124" i="14" s="1"/>
  <c r="AF125" i="14" s="1"/>
  <c r="I181" i="14"/>
  <c r="T125" i="14"/>
  <c r="V123" i="14"/>
  <c r="AD23" i="15"/>
  <c r="AD27" i="15" s="1"/>
  <c r="Q159" i="14"/>
  <c r="AL108" i="14"/>
  <c r="Z119" i="14"/>
  <c r="K175" i="14"/>
  <c r="L172" i="14"/>
  <c r="F229" i="14" s="1"/>
  <c r="AC116" i="14"/>
  <c r="AM107" i="14"/>
  <c r="O163" i="14"/>
  <c r="AJ110" i="14"/>
  <c r="N166" i="14"/>
  <c r="AP104" i="14"/>
  <c r="P160" i="14"/>
  <c r="G217" i="14" s="1"/>
  <c r="AJ7" i="17"/>
  <c r="AE21" i="15"/>
  <c r="AE19" i="15" s="1"/>
  <c r="AN106" i="14"/>
  <c r="W122" i="14"/>
  <c r="J178" i="14"/>
  <c r="M169" i="14"/>
  <c r="AG113" i="14"/>
  <c r="AH113" i="14" s="1"/>
  <c r="N151" i="16"/>
  <c r="M8" i="15"/>
  <c r="M7" i="15" s="1"/>
  <c r="M16" i="15" s="1"/>
  <c r="O6" i="16"/>
  <c r="AB118" i="14" l="1"/>
  <c r="Y121" i="14"/>
  <c r="V124" i="14"/>
  <c r="AK110" i="14"/>
  <c r="X122" i="14"/>
  <c r="AL109" i="14"/>
  <c r="AF126" i="14"/>
  <c r="U125" i="14"/>
  <c r="AI113" i="14"/>
  <c r="Q160" i="14"/>
  <c r="AC117" i="14"/>
  <c r="L173" i="14"/>
  <c r="F230" i="14" s="1"/>
  <c r="AF136" i="16"/>
  <c r="O164" i="14"/>
  <c r="AM108" i="14"/>
  <c r="AJ9" i="17"/>
  <c r="AG53" i="14" s="1"/>
  <c r="AJ10" i="17"/>
  <c r="AG36" i="16" s="1"/>
  <c r="AN107" i="14"/>
  <c r="AO106" i="14"/>
  <c r="O18" i="16"/>
  <c r="O125" i="16"/>
  <c r="M170" i="14"/>
  <c r="AG114" i="14"/>
  <c r="AH114" i="14" s="1"/>
  <c r="P161" i="14"/>
  <c r="G218" i="14" s="1"/>
  <c r="AP105" i="14"/>
  <c r="AE25" i="15"/>
  <c r="J179" i="14"/>
  <c r="W123" i="14"/>
  <c r="N167" i="14"/>
  <c r="AJ111" i="14"/>
  <c r="K176" i="14"/>
  <c r="Z120" i="14"/>
  <c r="I182" i="14"/>
  <c r="T126" i="14"/>
  <c r="I183" i="14" s="1"/>
  <c r="AA119" i="14"/>
  <c r="Y122" i="14" l="1"/>
  <c r="AK111" i="14"/>
  <c r="AL110" i="14"/>
  <c r="AI114" i="14"/>
  <c r="V125" i="14"/>
  <c r="AN108" i="14"/>
  <c r="Q161" i="14"/>
  <c r="AA120" i="14"/>
  <c r="AJ12" i="17"/>
  <c r="AE23" i="15"/>
  <c r="AE27" i="15" s="1"/>
  <c r="J180" i="14"/>
  <c r="W124" i="14"/>
  <c r="AG17" i="16"/>
  <c r="AG55" i="14"/>
  <c r="AG57" i="14" s="1"/>
  <c r="AG70" i="14" s="1"/>
  <c r="AG68" i="14"/>
  <c r="K177" i="14"/>
  <c r="Z121" i="14"/>
  <c r="O137" i="16"/>
  <c r="O19" i="16"/>
  <c r="O165" i="14"/>
  <c r="AM109" i="14"/>
  <c r="P162" i="14"/>
  <c r="G219" i="14" s="1"/>
  <c r="AP106" i="14"/>
  <c r="AO107" i="14"/>
  <c r="M76" i="16"/>
  <c r="AG148" i="16"/>
  <c r="X123" i="14"/>
  <c r="L174" i="14"/>
  <c r="F231" i="14" s="1"/>
  <c r="K193" i="14" s="1"/>
  <c r="AC118" i="14"/>
  <c r="AJ112" i="14"/>
  <c r="N168" i="14"/>
  <c r="AB119" i="14"/>
  <c r="AG115" i="14"/>
  <c r="M171" i="14"/>
  <c r="U126" i="14"/>
  <c r="AK112" i="14" l="1"/>
  <c r="AL111" i="14"/>
  <c r="V126" i="14"/>
  <c r="AB120" i="14"/>
  <c r="AO108" i="14"/>
  <c r="AN109" i="14"/>
  <c r="AF25" i="15"/>
  <c r="AF23" i="15" s="1"/>
  <c r="L50" i="15" s="1"/>
  <c r="K178" i="14"/>
  <c r="Z122" i="14"/>
  <c r="AG136" i="16"/>
  <c r="M57" i="16"/>
  <c r="AP107" i="14"/>
  <c r="P163" i="14"/>
  <c r="G220" i="14" s="1"/>
  <c r="L175" i="14"/>
  <c r="AC119" i="14"/>
  <c r="Q162" i="14"/>
  <c r="N169" i="14"/>
  <c r="AJ113" i="14"/>
  <c r="AA121" i="14"/>
  <c r="AM110" i="14"/>
  <c r="O166" i="14"/>
  <c r="AK7" i="17"/>
  <c r="AF21" i="15"/>
  <c r="M172" i="14"/>
  <c r="AG116" i="14"/>
  <c r="X124" i="14"/>
  <c r="Y123" i="14"/>
  <c r="AH115" i="14"/>
  <c r="O33" i="16"/>
  <c r="O138" i="16"/>
  <c r="J181" i="14"/>
  <c r="W125" i="14"/>
  <c r="AL112" i="14" l="1"/>
  <c r="AO109" i="14"/>
  <c r="AN110" i="14"/>
  <c r="L52" i="15"/>
  <c r="AA122" i="14"/>
  <c r="Y124" i="14"/>
  <c r="O146" i="16"/>
  <c r="O38" i="16"/>
  <c r="AK10" i="17"/>
  <c r="AH36" i="16" s="1"/>
  <c r="AH148" i="16" s="1"/>
  <c r="AK9" i="17"/>
  <c r="AH53" i="14" s="1"/>
  <c r="L176" i="14"/>
  <c r="F233" i="14" s="1"/>
  <c r="K194" i="14" s="1"/>
  <c r="AC120" i="14"/>
  <c r="AH116" i="14"/>
  <c r="AI115" i="14"/>
  <c r="O167" i="14"/>
  <c r="AM111" i="14"/>
  <c r="Z123" i="14"/>
  <c r="K179" i="14"/>
  <c r="AP108" i="14"/>
  <c r="P164" i="14"/>
  <c r="G221" i="14" s="1"/>
  <c r="N170" i="14"/>
  <c r="AJ114" i="14"/>
  <c r="W126" i="14"/>
  <c r="J183" i="14" s="1"/>
  <c r="J182" i="14"/>
  <c r="M173" i="14"/>
  <c r="AG117" i="14"/>
  <c r="X125" i="14"/>
  <c r="AB121" i="14"/>
  <c r="L48" i="15"/>
  <c r="AF19" i="15"/>
  <c r="Q163" i="14"/>
  <c r="AK113" i="14"/>
  <c r="AO110" i="14" l="1"/>
  <c r="AN111" i="14"/>
  <c r="AB122" i="14"/>
  <c r="AA123" i="14"/>
  <c r="AB123" i="14" s="1"/>
  <c r="Q164" i="14"/>
  <c r="Y125" i="14"/>
  <c r="AK114" i="14"/>
  <c r="X126" i="14"/>
  <c r="AH117" i="14"/>
  <c r="AC121" i="14"/>
  <c r="L177" i="14"/>
  <c r="F234" i="14" s="1"/>
  <c r="AF27" i="15"/>
  <c r="L54" i="15" s="1"/>
  <c r="L46" i="15"/>
  <c r="Z124" i="14"/>
  <c r="K180" i="14"/>
  <c r="AL113" i="14"/>
  <c r="AH17" i="16"/>
  <c r="AH55" i="14"/>
  <c r="AH57" i="14" s="1"/>
  <c r="AH68" i="14"/>
  <c r="AJ115" i="14"/>
  <c r="N171" i="14"/>
  <c r="O168" i="14"/>
  <c r="AM112" i="14"/>
  <c r="AK12" i="17"/>
  <c r="O149" i="16"/>
  <c r="O40" i="16"/>
  <c r="O39" i="16"/>
  <c r="O150" i="16" s="1"/>
  <c r="M174" i="14"/>
  <c r="AG118" i="14"/>
  <c r="P165" i="14"/>
  <c r="G222" i="14" s="1"/>
  <c r="AP109" i="14"/>
  <c r="AI116" i="14"/>
  <c r="AI117" i="14" l="1"/>
  <c r="AO111" i="14"/>
  <c r="AN112" i="14"/>
  <c r="Y126" i="14"/>
  <c r="AK115" i="14"/>
  <c r="AL114" i="14"/>
  <c r="AH118" i="14"/>
  <c r="AH70" i="14"/>
  <c r="AG25" i="15"/>
  <c r="AL7" i="17"/>
  <c r="AG21" i="15"/>
  <c r="AG19" i="15" s="1"/>
  <c r="P166" i="14"/>
  <c r="G223" i="14" s="1"/>
  <c r="AP110" i="14"/>
  <c r="O169" i="14"/>
  <c r="AM113" i="14"/>
  <c r="AC122" i="14"/>
  <c r="L178" i="14"/>
  <c r="F235" i="14" s="1"/>
  <c r="O151" i="16"/>
  <c r="P6" i="16"/>
  <c r="N8" i="15"/>
  <c r="N7" i="15" s="1"/>
  <c r="N16" i="15" s="1"/>
  <c r="Q165" i="14"/>
  <c r="AH136" i="16"/>
  <c r="AG119" i="14"/>
  <c r="M175" i="14"/>
  <c r="AJ116" i="14"/>
  <c r="N172" i="14"/>
  <c r="Z125" i="14"/>
  <c r="K181" i="14"/>
  <c r="AA124" i="14"/>
  <c r="AO112" i="14" l="1"/>
  <c r="AI118" i="14"/>
  <c r="AH119" i="14"/>
  <c r="AL115" i="14"/>
  <c r="AK116" i="14"/>
  <c r="AA125" i="14"/>
  <c r="P125" i="16"/>
  <c r="P18" i="16"/>
  <c r="K182" i="14"/>
  <c r="Z126" i="14"/>
  <c r="K183" i="14" s="1"/>
  <c r="L179" i="14"/>
  <c r="F236" i="14" s="1"/>
  <c r="K195" i="14" s="1"/>
  <c r="AC123" i="14"/>
  <c r="Q166" i="14"/>
  <c r="AM114" i="14"/>
  <c r="O170" i="14"/>
  <c r="AG120" i="14"/>
  <c r="M176" i="14"/>
  <c r="AL10" i="17"/>
  <c r="AI36" i="16" s="1"/>
  <c r="AI148" i="16" s="1"/>
  <c r="AL9" i="17"/>
  <c r="AI53" i="14" s="1"/>
  <c r="P167" i="14"/>
  <c r="G224" i="14" s="1"/>
  <c r="AP111" i="14"/>
  <c r="AB124" i="14"/>
  <c r="AG23" i="15"/>
  <c r="AG27" i="15" s="1"/>
  <c r="AJ117" i="14"/>
  <c r="N173" i="14"/>
  <c r="AN113" i="14"/>
  <c r="AO113" i="14" l="1"/>
  <c r="AI119" i="14"/>
  <c r="AH120" i="14"/>
  <c r="AL116" i="14"/>
  <c r="AB125" i="14"/>
  <c r="Q167" i="14"/>
  <c r="AL12" i="17"/>
  <c r="AJ118" i="14"/>
  <c r="N174" i="14"/>
  <c r="AK117" i="14"/>
  <c r="AA126" i="14"/>
  <c r="L180" i="14"/>
  <c r="F237" i="14" s="1"/>
  <c r="K196" i="14" s="1"/>
  <c r="AC124" i="14"/>
  <c r="AP112" i="14"/>
  <c r="P168" i="14"/>
  <c r="G225" i="14" s="1"/>
  <c r="AN114" i="14"/>
  <c r="AI17" i="16"/>
  <c r="AI55" i="14"/>
  <c r="AI57" i="14" s="1"/>
  <c r="AI68" i="14"/>
  <c r="M177" i="14"/>
  <c r="AG121" i="14"/>
  <c r="H58" i="16"/>
  <c r="E98" i="16" s="1"/>
  <c r="K98" i="16" s="1"/>
  <c r="P137" i="16"/>
  <c r="P19" i="16"/>
  <c r="AM115" i="14"/>
  <c r="O171" i="14"/>
  <c r="AH121" i="14" l="1"/>
  <c r="AI120" i="14"/>
  <c r="AO114" i="14"/>
  <c r="AL117" i="14"/>
  <c r="Q168" i="14"/>
  <c r="AB126" i="14"/>
  <c r="AI121" i="14"/>
  <c r="AI136" i="16"/>
  <c r="AN115" i="14"/>
  <c r="AK118" i="14"/>
  <c r="M178" i="14"/>
  <c r="AG122" i="14"/>
  <c r="AH122" i="14" s="1"/>
  <c r="AI70" i="14"/>
  <c r="AH25" i="15"/>
  <c r="N175" i="14"/>
  <c r="AJ119" i="14"/>
  <c r="P138" i="16"/>
  <c r="P33" i="16"/>
  <c r="H59" i="16"/>
  <c r="E99" i="16" s="1"/>
  <c r="K99" i="16" s="1"/>
  <c r="AP113" i="14"/>
  <c r="P169" i="14"/>
  <c r="G226" i="14" s="1"/>
  <c r="O172" i="14"/>
  <c r="AM116" i="14"/>
  <c r="AC125" i="14"/>
  <c r="L181" i="14"/>
  <c r="F238" i="14" s="1"/>
  <c r="AM7" i="17"/>
  <c r="AH21" i="15"/>
  <c r="AH19" i="15" s="1"/>
  <c r="AO115" i="14" l="1"/>
  <c r="Q169" i="14"/>
  <c r="AL118" i="14"/>
  <c r="AI122" i="14"/>
  <c r="L182" i="14"/>
  <c r="F239" i="14" s="1"/>
  <c r="AC126" i="14"/>
  <c r="L183" i="14" s="1"/>
  <c r="F240" i="14" s="1"/>
  <c r="K197" i="14" s="1"/>
  <c r="H73" i="16"/>
  <c r="E113" i="16" s="1"/>
  <c r="K107" i="16" s="1"/>
  <c r="P146" i="16"/>
  <c r="P38" i="16"/>
  <c r="AG123" i="14"/>
  <c r="AH123" i="14" s="1"/>
  <c r="M179" i="14"/>
  <c r="O173" i="14"/>
  <c r="AM117" i="14"/>
  <c r="AJ120" i="14"/>
  <c r="N176" i="14"/>
  <c r="AK119" i="14"/>
  <c r="P170" i="14"/>
  <c r="G227" i="14" s="1"/>
  <c r="AP114" i="14"/>
  <c r="AM10" i="17"/>
  <c r="AJ36" i="16" s="1"/>
  <c r="AM12" i="17"/>
  <c r="AM9" i="17"/>
  <c r="AJ53" i="14" s="1"/>
  <c r="AN116" i="14"/>
  <c r="AH23" i="15"/>
  <c r="AH27" i="15" s="1"/>
  <c r="AN117" i="14" l="1"/>
  <c r="AK120" i="14"/>
  <c r="Q170" i="14"/>
  <c r="AP115" i="14"/>
  <c r="P171" i="14"/>
  <c r="G228" i="14" s="1"/>
  <c r="M180" i="14"/>
  <c r="AG124" i="14"/>
  <c r="AH124" i="14" s="1"/>
  <c r="N177" i="14"/>
  <c r="AJ121" i="14"/>
  <c r="AL119" i="14"/>
  <c r="AJ17" i="16"/>
  <c r="AJ68" i="14"/>
  <c r="AJ55" i="14"/>
  <c r="AJ57" i="14" s="1"/>
  <c r="P149" i="16"/>
  <c r="H78" i="16"/>
  <c r="E118" i="16" s="1"/>
  <c r="K110" i="16" s="1"/>
  <c r="P40" i="16"/>
  <c r="P39" i="16"/>
  <c r="AO116" i="14"/>
  <c r="AN7" i="17"/>
  <c r="AI21" i="15"/>
  <c r="AM118" i="14"/>
  <c r="O174" i="14"/>
  <c r="AJ148" i="16"/>
  <c r="N76" i="16"/>
  <c r="AI123" i="14"/>
  <c r="AO117" i="14" l="1"/>
  <c r="AK121" i="14"/>
  <c r="AL120" i="14"/>
  <c r="Q171" i="14"/>
  <c r="O175" i="14"/>
  <c r="AM119" i="14"/>
  <c r="P151" i="16"/>
  <c r="H80" i="16"/>
  <c r="Q40" i="16"/>
  <c r="O8" i="15"/>
  <c r="Q6" i="16"/>
  <c r="M181" i="14"/>
  <c r="AG125" i="14"/>
  <c r="AN9" i="17"/>
  <c r="AK53" i="14" s="1"/>
  <c r="AN10" i="17"/>
  <c r="AK36" i="16" s="1"/>
  <c r="AK148" i="16" s="1"/>
  <c r="M48" i="15"/>
  <c r="AI19" i="15"/>
  <c r="N57" i="16"/>
  <c r="AJ136" i="16"/>
  <c r="AN118" i="14"/>
  <c r="AO118" i="14" s="1"/>
  <c r="AJ70" i="14"/>
  <c r="AI25" i="15"/>
  <c r="AI124" i="14"/>
  <c r="H79" i="16"/>
  <c r="E119" i="16" s="1"/>
  <c r="K111" i="16" s="1"/>
  <c r="P150" i="16"/>
  <c r="N178" i="14"/>
  <c r="AJ122" i="14"/>
  <c r="AP116" i="14"/>
  <c r="P172" i="14"/>
  <c r="G229" i="14" s="1"/>
  <c r="AL121" i="14" l="1"/>
  <c r="AN119" i="14"/>
  <c r="AO119" i="14" s="1"/>
  <c r="P173" i="14"/>
  <c r="G230" i="14" s="1"/>
  <c r="AP117" i="14"/>
  <c r="M52" i="15"/>
  <c r="AI23" i="15"/>
  <c r="M50" i="15" s="1"/>
  <c r="Q151" i="16"/>
  <c r="P8" i="15"/>
  <c r="R6" i="16"/>
  <c r="M46" i="15"/>
  <c r="Q125" i="16"/>
  <c r="Q18" i="16"/>
  <c r="Q137" i="16" s="1"/>
  <c r="I46" i="16"/>
  <c r="E120" i="16"/>
  <c r="AJ123" i="14"/>
  <c r="N179" i="14"/>
  <c r="O7" i="15"/>
  <c r="G35" i="15"/>
  <c r="V35" i="15" s="1"/>
  <c r="AK17" i="16"/>
  <c r="AK68" i="14"/>
  <c r="AK55" i="14"/>
  <c r="AK57" i="14" s="1"/>
  <c r="AK70" i="14" s="1"/>
  <c r="AN12" i="17"/>
  <c r="AK122" i="14"/>
  <c r="O176" i="14"/>
  <c r="AM120" i="14"/>
  <c r="M182" i="14"/>
  <c r="AG126" i="14"/>
  <c r="M183" i="14" s="1"/>
  <c r="Q172" i="14"/>
  <c r="AH125" i="14"/>
  <c r="Q173" i="14" l="1"/>
  <c r="AK123" i="14"/>
  <c r="AJ25" i="15"/>
  <c r="AJ23" i="15" s="1"/>
  <c r="AJ124" i="14"/>
  <c r="N180" i="14"/>
  <c r="R125" i="16"/>
  <c r="R18" i="16"/>
  <c r="F86" i="16"/>
  <c r="L86" i="16" s="1"/>
  <c r="K112" i="16"/>
  <c r="G34" i="15"/>
  <c r="V34" i="15" s="1"/>
  <c r="B98" i="3" s="1"/>
  <c r="O16" i="15"/>
  <c r="G43" i="15" s="1"/>
  <c r="V43" i="15" s="1"/>
  <c r="P174" i="14"/>
  <c r="G231" i="14" s="1"/>
  <c r="L193" i="14" s="1"/>
  <c r="AP118" i="14"/>
  <c r="AK136" i="16"/>
  <c r="O177" i="14"/>
  <c r="AM121" i="14"/>
  <c r="AI27" i="15"/>
  <c r="M54" i="15" s="1"/>
  <c r="AN120" i="14"/>
  <c r="AH126" i="14"/>
  <c r="AO7" i="17"/>
  <c r="AJ21" i="15"/>
  <c r="AJ19" i="15" s="1"/>
  <c r="AI125" i="14"/>
  <c r="AK124" i="14" l="1"/>
  <c r="AJ27" i="15"/>
  <c r="AN121" i="14"/>
  <c r="AO120" i="14"/>
  <c r="R137" i="16"/>
  <c r="R19" i="16"/>
  <c r="AJ125" i="14"/>
  <c r="N181" i="14"/>
  <c r="AO10" i="17"/>
  <c r="AL36" i="16" s="1"/>
  <c r="AL148" i="16" s="1"/>
  <c r="AO9" i="17"/>
  <c r="AL53" i="14" s="1"/>
  <c r="P175" i="14"/>
  <c r="AP119" i="14"/>
  <c r="B101" i="3"/>
  <c r="B100" i="3"/>
  <c r="O178" i="14"/>
  <c r="AI126" i="14"/>
  <c r="Q174" i="14"/>
  <c r="AO121" i="14" l="1"/>
  <c r="AJ126" i="14"/>
  <c r="N183" i="14" s="1"/>
  <c r="N182" i="14"/>
  <c r="R138" i="16"/>
  <c r="R33" i="16"/>
  <c r="Q175" i="14"/>
  <c r="AO12" i="17"/>
  <c r="AK125" i="14"/>
  <c r="AP120" i="14"/>
  <c r="P176" i="14"/>
  <c r="G233" i="14" s="1"/>
  <c r="L194" i="14" s="1"/>
  <c r="AL17" i="16"/>
  <c r="AL68" i="14"/>
  <c r="AL55" i="14"/>
  <c r="AL57" i="14" s="1"/>
  <c r="AL122" i="14"/>
  <c r="AL123" i="14" s="1"/>
  <c r="AL124" i="14" s="1"/>
  <c r="Q176" i="14" l="1"/>
  <c r="AL125" i="14"/>
  <c r="AP7" i="17"/>
  <c r="AK21" i="15"/>
  <c r="AK19" i="15" s="1"/>
  <c r="AL136" i="16"/>
  <c r="R146" i="16"/>
  <c r="R38" i="16"/>
  <c r="AP121" i="14"/>
  <c r="P177" i="14"/>
  <c r="G234" i="14" s="1"/>
  <c r="AK126" i="14"/>
  <c r="AL70" i="14"/>
  <c r="AK25" i="15"/>
  <c r="Q177" i="14" l="1"/>
  <c r="AL126" i="14"/>
  <c r="R149" i="16"/>
  <c r="R39" i="16"/>
  <c r="R150" i="16" s="1"/>
  <c r="R40" i="16"/>
  <c r="AK23" i="15"/>
  <c r="AK27" i="15" s="1"/>
  <c r="AP10" i="17"/>
  <c r="AM36" i="16" s="1"/>
  <c r="AP9" i="17"/>
  <c r="AM53" i="14" s="1"/>
  <c r="P178" i="14"/>
  <c r="G235" i="14" s="1"/>
  <c r="AP12" i="17" l="1"/>
  <c r="S6" i="16"/>
  <c r="R151" i="16"/>
  <c r="Q8" i="15"/>
  <c r="Q7" i="15" s="1"/>
  <c r="Q16" i="15" s="1"/>
  <c r="Q178" i="14"/>
  <c r="O76" i="16"/>
  <c r="AM148" i="16"/>
  <c r="AM17" i="16"/>
  <c r="AM68" i="14"/>
  <c r="AM55" i="14"/>
  <c r="AM57" i="14" s="1"/>
  <c r="AM122" i="14"/>
  <c r="AM136" i="16" l="1"/>
  <c r="O57" i="16"/>
  <c r="AM123" i="14"/>
  <c r="O179" i="14"/>
  <c r="AM70" i="14"/>
  <c r="AL25" i="15"/>
  <c r="S125" i="16"/>
  <c r="S18" i="16"/>
  <c r="AQ7" i="17"/>
  <c r="AL21" i="15"/>
  <c r="N48" i="15" l="1"/>
  <c r="AL19" i="15"/>
  <c r="N52" i="15"/>
  <c r="AL23" i="15"/>
  <c r="N50" i="15" s="1"/>
  <c r="O180" i="14"/>
  <c r="AM124" i="14"/>
  <c r="AQ10" i="17"/>
  <c r="AN36" i="16" s="1"/>
  <c r="AN148" i="16" s="1"/>
  <c r="AQ9" i="17"/>
  <c r="AN53" i="14" s="1"/>
  <c r="S137" i="16"/>
  <c r="S19" i="16"/>
  <c r="O181" i="14" l="1"/>
  <c r="AM125" i="14"/>
  <c r="AN17" i="16"/>
  <c r="AN68" i="14"/>
  <c r="AN55" i="14"/>
  <c r="AN57" i="14" s="1"/>
  <c r="AN122" i="14"/>
  <c r="AN123" i="14" s="1"/>
  <c r="AN124" i="14" s="1"/>
  <c r="N46" i="15"/>
  <c r="AL27" i="15"/>
  <c r="N54" i="15" s="1"/>
  <c r="S138" i="16"/>
  <c r="S33" i="16"/>
  <c r="AQ12" i="17"/>
  <c r="AN125" i="14" l="1"/>
  <c r="AN70" i="14"/>
  <c r="AM25" i="15"/>
  <c r="AR7" i="17"/>
  <c r="AM21" i="15"/>
  <c r="AM19" i="15" s="1"/>
  <c r="S38" i="16"/>
  <c r="S146" i="16"/>
  <c r="AM126" i="14"/>
  <c r="O183" i="14" s="1"/>
  <c r="O182" i="14"/>
  <c r="AN136" i="16"/>
  <c r="AR9" i="17" l="1"/>
  <c r="AO53" i="14" s="1"/>
  <c r="AR10" i="17"/>
  <c r="AO36" i="16" s="1"/>
  <c r="AO148" i="16" s="1"/>
  <c r="S149" i="16"/>
  <c r="S40" i="16"/>
  <c r="S39" i="16"/>
  <c r="S150" i="16" s="1"/>
  <c r="AN126" i="14"/>
  <c r="AM23" i="15"/>
  <c r="AM27" i="15" s="1"/>
  <c r="S151" i="16" l="1"/>
  <c r="T6" i="16"/>
  <c r="R8" i="15"/>
  <c r="R7" i="15" s="1"/>
  <c r="R16" i="15" s="1"/>
  <c r="AR12" i="17"/>
  <c r="AO17" i="16"/>
  <c r="AO55" i="14"/>
  <c r="AO57" i="14" s="1"/>
  <c r="AO68" i="14"/>
  <c r="AO122" i="14"/>
  <c r="AO123" i="14" s="1"/>
  <c r="AO124" i="14" s="1"/>
  <c r="AO125" i="14" s="1"/>
  <c r="AO126" i="14" l="1"/>
  <c r="AO70" i="14"/>
  <c r="AN25" i="15"/>
  <c r="T18" i="16"/>
  <c r="T125" i="16"/>
  <c r="AO136" i="16"/>
  <c r="AS7" i="17"/>
  <c r="AN21" i="15"/>
  <c r="AN19" i="15" s="1"/>
  <c r="AS9" i="17" l="1"/>
  <c r="AP53" i="14" s="1"/>
  <c r="AS10" i="17"/>
  <c r="AP36" i="16" s="1"/>
  <c r="T137" i="16"/>
  <c r="I58" i="16"/>
  <c r="T19" i="16"/>
  <c r="AN23" i="15"/>
  <c r="AN27" i="15" s="1"/>
  <c r="T33" i="16" l="1"/>
  <c r="I59" i="16"/>
  <c r="T138" i="16"/>
  <c r="AP17" i="16"/>
  <c r="AP55" i="14"/>
  <c r="AP57" i="14" s="1"/>
  <c r="AP68" i="14"/>
  <c r="AP122" i="14"/>
  <c r="P76" i="16"/>
  <c r="G116" i="16" s="1"/>
  <c r="M109" i="16" s="1"/>
  <c r="AP148" i="16"/>
  <c r="AS12" i="17"/>
  <c r="AO21" i="15" s="1"/>
  <c r="AP136" i="16" l="1"/>
  <c r="P57" i="16"/>
  <c r="G97" i="16" s="1"/>
  <c r="M97" i="16" s="1"/>
  <c r="AP70" i="14"/>
  <c r="AO25" i="15"/>
  <c r="O48" i="15"/>
  <c r="AO19" i="15"/>
  <c r="AP123" i="14"/>
  <c r="P179" i="14"/>
  <c r="T146" i="16"/>
  <c r="I73" i="16"/>
  <c r="T38" i="16"/>
  <c r="AP124" i="14" l="1"/>
  <c r="P180" i="14"/>
  <c r="G237" i="14" s="1"/>
  <c r="L196" i="14" s="1"/>
  <c r="O52" i="15"/>
  <c r="AO23" i="15"/>
  <c r="O50" i="15" s="1"/>
  <c r="X50" i="15" s="1"/>
  <c r="O46" i="15"/>
  <c r="X46" i="15" s="1"/>
  <c r="X48" i="15"/>
  <c r="P48" i="15"/>
  <c r="I78" i="16"/>
  <c r="T149" i="16"/>
  <c r="T40" i="16"/>
  <c r="T39" i="16"/>
  <c r="G236" i="14"/>
  <c r="L195" i="14" s="1"/>
  <c r="Q179" i="14"/>
  <c r="AO27" i="15" l="1"/>
  <c r="O54" i="15" s="1"/>
  <c r="X54" i="15" s="1"/>
  <c r="Q180" i="14"/>
  <c r="D99" i="3"/>
  <c r="T150" i="16"/>
  <c r="I79" i="16"/>
  <c r="T151" i="16"/>
  <c r="I80" i="16"/>
  <c r="J46" i="16" s="1"/>
  <c r="S8" i="15"/>
  <c r="U6" i="16"/>
  <c r="X52" i="15"/>
  <c r="P52" i="15"/>
  <c r="P181" i="14"/>
  <c r="G238" i="14" s="1"/>
  <c r="AP125" i="14"/>
  <c r="H35" i="15" l="1"/>
  <c r="S7" i="15"/>
  <c r="P182" i="14"/>
  <c r="G239" i="14" s="1"/>
  <c r="AP126" i="14"/>
  <c r="P183" i="14" s="1"/>
  <c r="G240" i="14" s="1"/>
  <c r="L197" i="14" s="1"/>
  <c r="Q181" i="14"/>
  <c r="U125" i="16"/>
  <c r="U18" i="16"/>
  <c r="Q182" i="14" l="1"/>
  <c r="Q183" i="14" s="1"/>
  <c r="U137" i="16"/>
  <c r="U19" i="16"/>
  <c r="S16" i="15"/>
  <c r="H43" i="15" s="1"/>
  <c r="H34" i="15"/>
  <c r="U33" i="16" l="1"/>
  <c r="U138" i="16"/>
  <c r="U146" i="16" l="1"/>
  <c r="U38" i="16"/>
  <c r="U149" i="16" l="1"/>
  <c r="U39" i="16"/>
  <c r="U150" i="16" s="1"/>
  <c r="U40" i="16"/>
  <c r="V6" i="16" l="1"/>
  <c r="U151" i="16"/>
  <c r="T8" i="15"/>
  <c r="T7" i="15" s="1"/>
  <c r="T16" i="15" s="1"/>
  <c r="V18" i="16" l="1"/>
  <c r="V125" i="16"/>
  <c r="V137" i="16" l="1"/>
  <c r="V19" i="16"/>
  <c r="V138" i="16" l="1"/>
  <c r="V33" i="16"/>
  <c r="V146" i="16" l="1"/>
  <c r="V38" i="16"/>
  <c r="V149" i="16" l="1"/>
  <c r="V40" i="16"/>
  <c r="V39" i="16"/>
  <c r="V150" i="16" s="1"/>
  <c r="V151" i="16" l="1"/>
  <c r="W6" i="16"/>
  <c r="U8" i="15"/>
  <c r="U7" i="15" s="1"/>
  <c r="U16" i="15" s="1"/>
  <c r="W18" i="16" l="1"/>
  <c r="W125" i="16"/>
  <c r="J58" i="16" l="1"/>
  <c r="W137" i="16"/>
  <c r="W19" i="16"/>
  <c r="W33" i="16" l="1"/>
  <c r="J59" i="16"/>
  <c r="W138" i="16"/>
  <c r="J73" i="16" l="1"/>
  <c r="W146" i="16"/>
  <c r="W38" i="16"/>
  <c r="W149" i="16" l="1"/>
  <c r="J78" i="16"/>
  <c r="W39" i="16"/>
  <c r="W40" i="16"/>
  <c r="J80" i="16" l="1"/>
  <c r="K46" i="16" s="1"/>
  <c r="X6" i="16"/>
  <c r="W151" i="16"/>
  <c r="V8" i="15"/>
  <c r="W150" i="16"/>
  <c r="J79" i="16"/>
  <c r="V7" i="15" l="1"/>
  <c r="I35" i="15"/>
  <c r="X18" i="16"/>
  <c r="X125" i="16"/>
  <c r="X137" i="16" l="1"/>
  <c r="X19" i="16"/>
  <c r="V16" i="15"/>
  <c r="I43" i="15" s="1"/>
  <c r="I34" i="15"/>
  <c r="X138" i="16" l="1"/>
  <c r="X33" i="16"/>
  <c r="X146" i="16" l="1"/>
  <c r="X38" i="16"/>
  <c r="X149" i="16" l="1"/>
  <c r="X39" i="16"/>
  <c r="X150" i="16" s="1"/>
  <c r="X40" i="16"/>
  <c r="X151" i="16" l="1"/>
  <c r="Y6" i="16"/>
  <c r="W8" i="15"/>
  <c r="W7" i="15" s="1"/>
  <c r="W16" i="15" s="1"/>
  <c r="Y125" i="16" l="1"/>
  <c r="Y18" i="16"/>
  <c r="Y137" i="16" l="1"/>
  <c r="Y19" i="16"/>
  <c r="Y138" i="16" l="1"/>
  <c r="Y33" i="16"/>
  <c r="Y146" i="16" l="1"/>
  <c r="Y38" i="16"/>
  <c r="Y149" i="16" l="1"/>
  <c r="Y39" i="16"/>
  <c r="Y150" i="16" s="1"/>
  <c r="Y40" i="16"/>
  <c r="Y151" i="16" l="1"/>
  <c r="X8" i="15"/>
  <c r="X7" i="15" s="1"/>
  <c r="X16" i="15" s="1"/>
  <c r="Z6" i="16"/>
  <c r="Z125" i="16" l="1"/>
  <c r="Z18" i="16"/>
  <c r="K58" i="16" l="1"/>
  <c r="Z137" i="16"/>
  <c r="Z19" i="16"/>
  <c r="Z138" i="16" l="1"/>
  <c r="Z33" i="16"/>
  <c r="K59" i="16"/>
  <c r="Z146" i="16" l="1"/>
  <c r="Z38" i="16"/>
  <c r="K73" i="16"/>
  <c r="Z149" i="16" l="1"/>
  <c r="K78" i="16"/>
  <c r="Z39" i="16"/>
  <c r="Z40" i="16"/>
  <c r="Z151" i="16" l="1"/>
  <c r="AA6" i="16"/>
  <c r="Y8" i="15"/>
  <c r="K80" i="16"/>
  <c r="L46" i="16" s="1"/>
  <c r="Z150" i="16"/>
  <c r="K79" i="16"/>
  <c r="Y7" i="15" l="1"/>
  <c r="J35" i="15"/>
  <c r="AA125" i="16"/>
  <c r="AA18" i="16"/>
  <c r="AA137" i="16" l="1"/>
  <c r="AA19" i="16"/>
  <c r="J34" i="15"/>
  <c r="Y16" i="15"/>
  <c r="J43" i="15" s="1"/>
  <c r="AA138" i="16" l="1"/>
  <c r="AA33" i="16"/>
  <c r="AA38" i="16" l="1"/>
  <c r="AA146" i="16"/>
  <c r="AA149" i="16" l="1"/>
  <c r="AA39" i="16"/>
  <c r="AA150" i="16" s="1"/>
  <c r="AA40" i="16"/>
  <c r="AA151" i="16" l="1"/>
  <c r="Z8" i="15"/>
  <c r="Z7" i="15" s="1"/>
  <c r="Z16" i="15" s="1"/>
  <c r="AB6" i="16"/>
  <c r="AB18" i="16" l="1"/>
  <c r="AB125" i="16"/>
  <c r="AB137" i="16" l="1"/>
  <c r="AB19" i="16"/>
  <c r="AB33" i="16" l="1"/>
  <c r="AB138" i="16"/>
  <c r="AB146" i="16" l="1"/>
  <c r="AB38" i="16"/>
  <c r="AB149" i="16" l="1"/>
  <c r="AB39" i="16"/>
  <c r="AB150" i="16" s="1"/>
  <c r="AB40" i="16"/>
  <c r="AB151" i="16" l="1"/>
  <c r="AA8" i="15"/>
  <c r="AA7" i="15" s="1"/>
  <c r="AA16" i="15" s="1"/>
  <c r="AC6" i="16"/>
  <c r="AC125" i="16" l="1"/>
  <c r="AC18" i="16"/>
  <c r="L58" i="16" l="1"/>
  <c r="F98" i="16" s="1"/>
  <c r="L98" i="16" s="1"/>
  <c r="AC137" i="16"/>
  <c r="AC19" i="16"/>
  <c r="AC138" i="16" l="1"/>
  <c r="AC33" i="16"/>
  <c r="L59" i="16"/>
  <c r="F99" i="16" s="1"/>
  <c r="L99" i="16" s="1"/>
  <c r="AC38" i="16" l="1"/>
  <c r="AC146" i="16"/>
  <c r="L73" i="16"/>
  <c r="F113" i="16" s="1"/>
  <c r="L107" i="16" s="1"/>
  <c r="AC149" i="16" l="1"/>
  <c r="L78" i="16"/>
  <c r="F118" i="16" s="1"/>
  <c r="L110" i="16" s="1"/>
  <c r="AC39" i="16"/>
  <c r="AC40" i="16"/>
  <c r="AD40" i="16" l="1"/>
  <c r="AC151" i="16"/>
  <c r="AD6" i="16"/>
  <c r="L80" i="16"/>
  <c r="AB8" i="15"/>
  <c r="L79" i="16"/>
  <c r="F119" i="16" s="1"/>
  <c r="L111" i="16" s="1"/>
  <c r="AC150" i="16"/>
  <c r="K35" i="15" l="1"/>
  <c r="W35" i="15" s="1"/>
  <c r="AB7" i="15"/>
  <c r="F120" i="16"/>
  <c r="M46" i="16"/>
  <c r="AD125" i="16"/>
  <c r="AD18" i="16"/>
  <c r="AD137" i="16" s="1"/>
  <c r="AD151" i="16"/>
  <c r="AE6" i="16"/>
  <c r="AC8" i="15"/>
  <c r="AE18" i="16" l="1"/>
  <c r="AE125" i="16"/>
  <c r="L112" i="16"/>
  <c r="G86" i="16"/>
  <c r="M86" i="16" s="1"/>
  <c r="AB16" i="15"/>
  <c r="K43" i="15" s="1"/>
  <c r="W43" i="15" s="1"/>
  <c r="K34" i="15"/>
  <c r="W34" i="15" s="1"/>
  <c r="C98" i="3" s="1"/>
  <c r="C101" i="3" l="1"/>
  <c r="C100" i="3"/>
  <c r="AE137" i="16"/>
  <c r="AE19" i="16"/>
  <c r="AE33" i="16" l="1"/>
  <c r="AE138" i="16"/>
  <c r="AE38" i="16" l="1"/>
  <c r="AE146" i="16"/>
  <c r="AE149" i="16" l="1"/>
  <c r="AE39" i="16"/>
  <c r="AE150" i="16" s="1"/>
  <c r="AE40" i="16"/>
  <c r="AE151" i="16" l="1"/>
  <c r="AF6" i="16"/>
  <c r="AD8" i="15"/>
  <c r="AD7" i="15" s="1"/>
  <c r="AD16" i="15" s="1"/>
  <c r="AF18" i="16" l="1"/>
  <c r="AF125" i="16"/>
  <c r="AF137" i="16" l="1"/>
  <c r="AF19" i="16"/>
  <c r="AF33" i="16" l="1"/>
  <c r="AF138" i="16"/>
  <c r="AF146" i="16" l="1"/>
  <c r="AF38" i="16"/>
  <c r="AF149" i="16" l="1"/>
  <c r="AF40" i="16"/>
  <c r="AF39" i="16"/>
  <c r="AF150" i="16" s="1"/>
  <c r="AF151" i="16" l="1"/>
  <c r="AG6" i="16"/>
  <c r="AE8" i="15"/>
  <c r="AE7" i="15" s="1"/>
  <c r="AE16" i="15" s="1"/>
  <c r="AG18" i="16" l="1"/>
  <c r="AG125" i="16"/>
  <c r="AG137" i="16" l="1"/>
  <c r="M58" i="16"/>
  <c r="AG19" i="16"/>
  <c r="AG33" i="16" l="1"/>
  <c r="M59" i="16"/>
  <c r="AG138" i="16"/>
  <c r="AG146" i="16" l="1"/>
  <c r="AG38" i="16"/>
  <c r="M73" i="16"/>
  <c r="M78" i="16" l="1"/>
  <c r="AG149" i="16"/>
  <c r="AG39" i="16"/>
  <c r="AG40" i="16"/>
  <c r="AG150" i="16" l="1"/>
  <c r="M79" i="16"/>
  <c r="AG151" i="16"/>
  <c r="M80" i="16"/>
  <c r="N46" i="16" s="1"/>
  <c r="AH6" i="16"/>
  <c r="AF8" i="15"/>
  <c r="AH125" i="16" l="1"/>
  <c r="AH18" i="16"/>
  <c r="AF7" i="15"/>
  <c r="L35" i="15"/>
  <c r="L34" i="15" l="1"/>
  <c r="AF16" i="15"/>
  <c r="L43" i="15" s="1"/>
  <c r="AH137" i="16"/>
  <c r="AH19" i="16"/>
  <c r="AH138" i="16" l="1"/>
  <c r="AH33" i="16"/>
  <c r="AH146" i="16" l="1"/>
  <c r="AH38" i="16"/>
  <c r="AH149" i="16" l="1"/>
  <c r="AH40" i="16"/>
  <c r="AH39" i="16"/>
  <c r="AH150" i="16" s="1"/>
  <c r="AI6" i="16" l="1"/>
  <c r="AG8" i="15"/>
  <c r="AG7" i="15" s="1"/>
  <c r="AG16" i="15" s="1"/>
  <c r="AH151" i="16"/>
  <c r="AI125" i="16" l="1"/>
  <c r="AI18" i="16"/>
  <c r="AI137" i="16" l="1"/>
  <c r="AI19" i="16"/>
  <c r="AI138" i="16" l="1"/>
  <c r="AI33" i="16"/>
  <c r="AI146" i="16" l="1"/>
  <c r="AI38" i="16"/>
  <c r="AI149" i="16" l="1"/>
  <c r="AI39" i="16"/>
  <c r="AI150" i="16" s="1"/>
  <c r="AI40" i="16"/>
  <c r="AI151" i="16" l="1"/>
  <c r="AH8" i="15"/>
  <c r="AH7" i="15" s="1"/>
  <c r="AH16" i="15" s="1"/>
  <c r="AJ6" i="16"/>
  <c r="AJ18" i="16" l="1"/>
  <c r="AJ125" i="16"/>
  <c r="AJ137" i="16" l="1"/>
  <c r="N58" i="16"/>
  <c r="AJ19" i="16"/>
  <c r="N59" i="16" l="1"/>
  <c r="AJ33" i="16"/>
  <c r="AJ138" i="16"/>
  <c r="N73" i="16" l="1"/>
  <c r="AJ146" i="16"/>
  <c r="AJ38" i="16"/>
  <c r="AJ149" i="16" l="1"/>
  <c r="N78" i="16"/>
  <c r="AJ39" i="16"/>
  <c r="AJ40" i="16"/>
  <c r="N79" i="16" l="1"/>
  <c r="AJ150" i="16"/>
  <c r="AJ151" i="16"/>
  <c r="AI8" i="15"/>
  <c r="AK6" i="16"/>
  <c r="N80" i="16"/>
  <c r="O46" i="16" s="1"/>
  <c r="M35" i="15" l="1"/>
  <c r="AI7" i="15"/>
  <c r="AK125" i="16"/>
  <c r="AK18" i="16"/>
  <c r="AK137" i="16" l="1"/>
  <c r="AK19" i="16"/>
  <c r="AI16" i="15"/>
  <c r="M43" i="15" s="1"/>
  <c r="M34" i="15"/>
  <c r="AK138" i="16" l="1"/>
  <c r="AK33" i="16"/>
  <c r="AK38" i="16" l="1"/>
  <c r="AK146" i="16"/>
  <c r="AK149" i="16" l="1"/>
  <c r="AK39" i="16"/>
  <c r="AK150" i="16" s="1"/>
  <c r="AK40" i="16"/>
  <c r="AL6" i="16" l="1"/>
  <c r="AK151" i="16"/>
  <c r="AJ8" i="15"/>
  <c r="AJ7" i="15" s="1"/>
  <c r="AJ16" i="15" s="1"/>
  <c r="AL125" i="16" l="1"/>
  <c r="AL18" i="16"/>
  <c r="AL137" i="16" l="1"/>
  <c r="AL19" i="16"/>
  <c r="AL138" i="16" l="1"/>
  <c r="AL33" i="16"/>
  <c r="AL146" i="16" l="1"/>
  <c r="AL38" i="16"/>
  <c r="AL149" i="16" l="1"/>
  <c r="AL39" i="16"/>
  <c r="AL150" i="16" s="1"/>
  <c r="AL40" i="16"/>
  <c r="AL151" i="16" l="1"/>
  <c r="AM6" i="16"/>
  <c r="AK8" i="15"/>
  <c r="AK7" i="15" s="1"/>
  <c r="AK16" i="15" s="1"/>
  <c r="AM18" i="16" l="1"/>
  <c r="AM125" i="16"/>
  <c r="O58" i="16" l="1"/>
  <c r="AM137" i="16"/>
  <c r="AM19" i="16"/>
  <c r="AM33" i="16" l="1"/>
  <c r="AM138" i="16"/>
  <c r="O59" i="16"/>
  <c r="AM146" i="16" l="1"/>
  <c r="AM38" i="16"/>
  <c r="O73" i="16"/>
  <c r="AM149" i="16" l="1"/>
  <c r="O78" i="16"/>
  <c r="AM39" i="16"/>
  <c r="AM40" i="16"/>
  <c r="AN6" i="16" l="1"/>
  <c r="O80" i="16"/>
  <c r="P46" i="16" s="1"/>
  <c r="AL8" i="15"/>
  <c r="AM151" i="16"/>
  <c r="AM150" i="16"/>
  <c r="O79" i="16"/>
  <c r="N35" i="15" l="1"/>
  <c r="AL7" i="15"/>
  <c r="AN125" i="16"/>
  <c r="AN18" i="16"/>
  <c r="AN137" i="16" l="1"/>
  <c r="AN19" i="16"/>
  <c r="AL16" i="15"/>
  <c r="N43" i="15" s="1"/>
  <c r="N34" i="15"/>
  <c r="AN33" i="16" l="1"/>
  <c r="AN138" i="16"/>
  <c r="AN38" i="16" l="1"/>
  <c r="AN146" i="16"/>
  <c r="AN149" i="16" l="1"/>
  <c r="AN39" i="16"/>
  <c r="AN150" i="16" s="1"/>
  <c r="AN40" i="16"/>
  <c r="AN151" i="16" l="1"/>
  <c r="AM8" i="15"/>
  <c r="AM7" i="15" s="1"/>
  <c r="AM16" i="15" s="1"/>
  <c r="AO6" i="16"/>
  <c r="AO18" i="16" l="1"/>
  <c r="AO125" i="16"/>
  <c r="AO137" i="16" l="1"/>
  <c r="AO19" i="16"/>
  <c r="AO33" i="16" l="1"/>
  <c r="AO138" i="16"/>
  <c r="AO146" i="16" l="1"/>
  <c r="AO38" i="16"/>
  <c r="AO149" i="16" l="1"/>
  <c r="AO39" i="16"/>
  <c r="AO150" i="16" s="1"/>
  <c r="AO40" i="16"/>
  <c r="AO151" i="16" l="1"/>
  <c r="AN8" i="15"/>
  <c r="AN7" i="15" s="1"/>
  <c r="AN16" i="15" s="1"/>
  <c r="AP6" i="16"/>
  <c r="AP125" i="16" l="1"/>
  <c r="AP18" i="16"/>
  <c r="P58" i="16" l="1"/>
  <c r="G98" i="16" s="1"/>
  <c r="M98" i="16" s="1"/>
  <c r="AP137" i="16"/>
  <c r="AP19" i="16"/>
  <c r="P59" i="16" l="1"/>
  <c r="G99" i="16" s="1"/>
  <c r="M99" i="16" s="1"/>
  <c r="AP33" i="16"/>
  <c r="AP138" i="16"/>
  <c r="AP146" i="16" l="1"/>
  <c r="AP38" i="16"/>
  <c r="P73" i="16"/>
  <c r="G113" i="16" s="1"/>
  <c r="M107" i="16" s="1"/>
  <c r="AP149" i="16" l="1"/>
  <c r="P78" i="16"/>
  <c r="G118" i="16" s="1"/>
  <c r="M110" i="16" s="1"/>
  <c r="AP39" i="16"/>
  <c r="AP40" i="16"/>
  <c r="AP151" i="16" l="1"/>
  <c r="P80" i="16"/>
  <c r="G120" i="16" s="1"/>
  <c r="M112" i="16" s="1"/>
  <c r="AO8" i="15"/>
  <c r="AP150" i="16"/>
  <c r="P79" i="16"/>
  <c r="G119" i="16" s="1"/>
  <c r="M111" i="16" s="1"/>
  <c r="AO7" i="15" l="1"/>
  <c r="O35" i="15"/>
  <c r="X35" i="15" s="1"/>
  <c r="O34" i="15" l="1"/>
  <c r="X34" i="15" s="1"/>
  <c r="D98" i="3" s="1"/>
  <c r="AO16" i="15"/>
  <c r="O43" i="15" s="1"/>
  <c r="X43" i="15" s="1"/>
  <c r="D101" i="3" l="1"/>
  <c r="D100" i="3"/>
</calcChain>
</file>

<file path=xl/sharedStrings.xml><?xml version="1.0" encoding="utf-8"?>
<sst xmlns="http://schemas.openxmlformats.org/spreadsheetml/2006/main" count="1785" uniqueCount="514">
  <si>
    <t>CHANGE LIST</t>
  </si>
  <si>
    <t>Note lại ở cột này nha còn lại t lock hết r</t>
  </si>
  <si>
    <t>STT</t>
  </si>
  <si>
    <t>Current arguement</t>
  </si>
  <si>
    <t>Pending resolvement</t>
  </si>
  <si>
    <t>Suggested arguement</t>
  </si>
  <si>
    <t>Disapproved</t>
  </si>
  <si>
    <t>Why (Optional)</t>
  </si>
  <si>
    <t>Odd pricing
   - Standard: 6,790,000 ₫
   - Advanced: 8,990,000 ₫
   - E-bike: 17,990,000 ₫</t>
  </si>
  <si>
    <t>YES</t>
  </si>
  <si>
    <t>Giảm cho distributor 20%</t>
  </si>
  <si>
    <t>NO</t>
  </si>
  <si>
    <t>2 distributor chính - 200 chiếc/distri./month
Các distributor, kênh bán hàng còn lại - 100 chiếc/month</t>
  </si>
  <si>
    <t>Toàn bộ timeline plan marketing
   - Budget: chưa rõ
   - Projected sale: chưa có
   - Projected supply: chưa có</t>
  </si>
  <si>
    <t>PARAMETER SHEET</t>
  </si>
  <si>
    <t>I/ Capital related</t>
  </si>
  <si>
    <t>WORKING CAPITAL</t>
  </si>
  <si>
    <t>Cash balance</t>
  </si>
  <si>
    <t>Minimum</t>
  </si>
  <si>
    <t>Owner's investment</t>
  </si>
  <si>
    <t>Account receivable</t>
  </si>
  <si>
    <t>On purchase</t>
  </si>
  <si>
    <t>Distributor</t>
  </si>
  <si>
    <t>1st period after purchase</t>
  </si>
  <si>
    <t>2nd period after purchase</t>
  </si>
  <si>
    <t>Account payable</t>
  </si>
  <si>
    <t>Inventory</t>
  </si>
  <si>
    <t>Production cap</t>
  </si>
  <si>
    <t>Preproduce 1 month prior</t>
  </si>
  <si>
    <t>Store</t>
  </si>
  <si>
    <t>Distributors</t>
  </si>
  <si>
    <t>CAPITAL STRUCTURE</t>
  </si>
  <si>
    <t>Equity Funding</t>
  </si>
  <si>
    <t>Amount</t>
  </si>
  <si>
    <t>Corresponding percentage (%)</t>
  </si>
  <si>
    <t>Date received</t>
  </si>
  <si>
    <t>Owner Investment</t>
  </si>
  <si>
    <t xml:space="preserve">   Hoàng Anh Tú</t>
  </si>
  <si>
    <t xml:space="preserve">   Nguyễn Phạm Gia Bảo</t>
  </si>
  <si>
    <t xml:space="preserve">   Phạm Đình Khánh Băng</t>
  </si>
  <si>
    <t xml:space="preserve">   Nguyễn Gia Khánh</t>
  </si>
  <si>
    <t>Bank loan</t>
  </si>
  <si>
    <t>Angel investors</t>
  </si>
  <si>
    <t>TOTAL</t>
  </si>
  <si>
    <t>REPAYMENT PLAN</t>
  </si>
  <si>
    <t>Loan</t>
  </si>
  <si>
    <t>Loan term</t>
  </si>
  <si>
    <t>1 year</t>
  </si>
  <si>
    <t>Interest rate</t>
  </si>
  <si>
    <t>Repayment form</t>
  </si>
  <si>
    <t>Equal principle</t>
  </si>
  <si>
    <t>Renewal</t>
  </si>
  <si>
    <t>Annually</t>
  </si>
  <si>
    <t>Payment period</t>
  </si>
  <si>
    <t>Monthly</t>
  </si>
  <si>
    <t>Loan balance</t>
  </si>
  <si>
    <t>Repayments</t>
  </si>
  <si>
    <t xml:space="preserve">   Paid interest</t>
  </si>
  <si>
    <t xml:space="preserve">   Paid principal</t>
  </si>
  <si>
    <t>New loan</t>
  </si>
  <si>
    <t>TAXATION</t>
  </si>
  <si>
    <t>Tax</t>
  </si>
  <si>
    <t>Per year</t>
  </si>
  <si>
    <t xml:space="preserve">Positive year net income </t>
  </si>
  <si>
    <t>LONG-TERM ASSETS &amp; DEPRECIATION</t>
  </si>
  <si>
    <r>
      <rPr>
        <sz val="12"/>
        <color theme="1"/>
        <rFont val="Georgia"/>
      </rPr>
      <t xml:space="preserve">   </t>
    </r>
    <r>
      <rPr>
        <i/>
        <sz val="12"/>
        <color theme="1"/>
        <rFont val="Georgia"/>
      </rPr>
      <t>Please refer to "Item list" and "Spending" spreadsheets for further information</t>
    </r>
  </si>
  <si>
    <t>II/ Operation</t>
  </si>
  <si>
    <t>PRODUCTION &amp; SALES</t>
  </si>
  <si>
    <t>Production capacity</t>
  </si>
  <si>
    <t>Products/month</t>
  </si>
  <si>
    <t>Maximum</t>
  </si>
  <si>
    <t>Estimated mobilized</t>
  </si>
  <si>
    <t>In general</t>
  </si>
  <si>
    <t>Production capaitcy</t>
  </si>
  <si>
    <t>Base volume</t>
  </si>
  <si>
    <t xml:space="preserve">   Standard</t>
  </si>
  <si>
    <t>Product/month</t>
  </si>
  <si>
    <t>In-store</t>
  </si>
  <si>
    <t xml:space="preserve">   E-bike</t>
  </si>
  <si>
    <r>
      <rPr>
        <sz val="12"/>
        <color theme="1"/>
        <rFont val="Georgia"/>
      </rPr>
      <t>Base</t>
    </r>
    <r>
      <rPr>
        <sz val="12"/>
        <color theme="1"/>
        <rFont val="Georgia"/>
      </rPr>
      <t xml:space="preserve"> price</t>
    </r>
  </si>
  <si>
    <t>VNĐ</t>
  </si>
  <si>
    <t>Respective discount</t>
  </si>
  <si>
    <t xml:space="preserve">   Ebike</t>
  </si>
  <si>
    <t>Material cost</t>
  </si>
  <si>
    <t>Per product</t>
  </si>
  <si>
    <t>INVENTORY &amp; PREPRODUCE</t>
  </si>
  <si>
    <t>Base inventory</t>
  </si>
  <si>
    <t>Preproduce</t>
  </si>
  <si>
    <t>Next period estimated sales</t>
  </si>
  <si>
    <t>PREMISES PAYMENT</t>
  </si>
  <si>
    <t>Factory</t>
  </si>
  <si>
    <t>Per month</t>
  </si>
  <si>
    <t>Office</t>
  </si>
  <si>
    <t>UTILITIES</t>
  </si>
  <si>
    <t>On product</t>
  </si>
  <si>
    <t>On total</t>
  </si>
  <si>
    <t>III/ Workforce resources</t>
  </si>
  <si>
    <t>Salary coverage</t>
  </si>
  <si>
    <t>Insurance</t>
  </si>
  <si>
    <t>Basic salery</t>
  </si>
  <si>
    <t>Personel</t>
  </si>
  <si>
    <t>IV/ Ratios</t>
  </si>
  <si>
    <t>COMMON FINANCIAL RATIO</t>
  </si>
  <si>
    <t>Gross profit margin</t>
  </si>
  <si>
    <t>Current Ratio</t>
  </si>
  <si>
    <t>Debt-to-Equity</t>
  </si>
  <si>
    <t>Debt -to-Assets</t>
  </si>
  <si>
    <t>Assets-to-Equity Ratio</t>
  </si>
  <si>
    <t>BREAK-EVEN POINT</t>
  </si>
  <si>
    <t>Profit on total product</t>
  </si>
  <si>
    <t>Number of sales</t>
  </si>
  <si>
    <t>Average profit per sale</t>
  </si>
  <si>
    <t>Sales contribution</t>
  </si>
  <si>
    <t>Blended profit per sale-WACM</t>
  </si>
  <si>
    <t>Fixed cost</t>
  </si>
  <si>
    <t>Break-even at (monthly):</t>
  </si>
  <si>
    <t xml:space="preserve">   Break-even (yearly):</t>
  </si>
  <si>
    <t>AR plan</t>
  </si>
  <si>
    <t>Q1</t>
  </si>
  <si>
    <t>Q2</t>
  </si>
  <si>
    <t>Q3</t>
  </si>
  <si>
    <t>Q4</t>
  </si>
  <si>
    <t>Distributor vol.</t>
  </si>
  <si>
    <t>Standard</t>
  </si>
  <si>
    <t>E-bike</t>
  </si>
  <si>
    <t>Dis. price</t>
  </si>
  <si>
    <t>Trả</t>
  </si>
  <si>
    <t>Trả ngay</t>
  </si>
  <si>
    <t>Trả 1 kì trước</t>
  </si>
  <si>
    <t>Trả 2 kì trước</t>
  </si>
  <si>
    <t>Nợ 1 kì trước</t>
  </si>
  <si>
    <t>Nợ 2 kì trước</t>
  </si>
  <si>
    <t>For 1st prior period</t>
  </si>
  <si>
    <t>For 2nd prior period</t>
  </si>
  <si>
    <t>TOTAL PAYMENT</t>
  </si>
  <si>
    <t>Recievable (Offseting):</t>
  </si>
  <si>
    <t xml:space="preserve">   For 1st following period</t>
  </si>
  <si>
    <t xml:space="preserve">   For 2nd following period</t>
  </si>
  <si>
    <t>ACCOUNT RECEIVABLE</t>
  </si>
  <si>
    <t>AP plan</t>
  </si>
  <si>
    <t>Production outputs</t>
  </si>
  <si>
    <t>Mat cost</t>
  </si>
  <si>
    <t>For prior period</t>
  </si>
  <si>
    <t>Payable (Offseting)</t>
  </si>
  <si>
    <t xml:space="preserve">   For following period</t>
  </si>
  <si>
    <t>ACCOUNT PAYABLE</t>
  </si>
  <si>
    <t>Marketing</t>
  </si>
  <si>
    <t>4/H1</t>
  </si>
  <si>
    <t>4/H2</t>
  </si>
  <si>
    <t>5/H1</t>
  </si>
  <si>
    <t>5/H2</t>
  </si>
  <si>
    <t>6/H1</t>
  </si>
  <si>
    <t>6/H2</t>
  </si>
  <si>
    <t>10/1H</t>
  </si>
  <si>
    <t>10/2H</t>
  </si>
  <si>
    <t>11/1H</t>
  </si>
  <si>
    <t>11/2H</t>
  </si>
  <si>
    <t>12/1H</t>
  </si>
  <si>
    <t>12/2H</t>
  </si>
  <si>
    <t>Advertising</t>
  </si>
  <si>
    <t xml:space="preserve">   Print Ads</t>
  </si>
  <si>
    <t xml:space="preserve">   Banner Ads</t>
  </si>
  <si>
    <t xml:space="preserve">   Public Relations</t>
  </si>
  <si>
    <t xml:space="preserve">   Press Releases</t>
  </si>
  <si>
    <t xml:space="preserve">   Booths</t>
  </si>
  <si>
    <t xml:space="preserve">   Collaborations</t>
  </si>
  <si>
    <t>Promotional Expenses</t>
  </si>
  <si>
    <t xml:space="preserve">   Promotion for new customers</t>
  </si>
  <si>
    <t>%</t>
  </si>
  <si>
    <t xml:space="preserve">   Flash sales</t>
  </si>
  <si>
    <t xml:space="preserve">   Eco-Ride New Year Sale</t>
  </si>
  <si>
    <t xml:space="preserve">   Fall Sales</t>
  </si>
  <si>
    <t>Sum %</t>
  </si>
  <si>
    <t>Selling price</t>
  </si>
  <si>
    <t>E-Bike</t>
  </si>
  <si>
    <t>Sale vol.</t>
  </si>
  <si>
    <t>product</t>
  </si>
  <si>
    <t xml:space="preserve">   In-app promotions</t>
  </si>
  <si>
    <t xml:space="preserve">   Loyalty membership discounts</t>
  </si>
  <si>
    <t>Digital Marketing</t>
  </si>
  <si>
    <t xml:space="preserve">   Digital Ads</t>
  </si>
  <si>
    <t xml:space="preserve">   Website</t>
  </si>
  <si>
    <t xml:space="preserve">   Email Marketing</t>
  </si>
  <si>
    <t xml:space="preserve">   SEO</t>
  </si>
  <si>
    <t xml:space="preserve">   App Development</t>
  </si>
  <si>
    <t xml:space="preserve">   Viral video</t>
  </si>
  <si>
    <t>Trade Marketing</t>
  </si>
  <si>
    <t xml:space="preserve">   Trade Discount</t>
  </si>
  <si>
    <t>M&amp;S Expenses</t>
  </si>
  <si>
    <t>Marketing Costs (classified by Fixed Costs and Variable Costs)</t>
  </si>
  <si>
    <t>Fix</t>
  </si>
  <si>
    <t>Variable</t>
  </si>
  <si>
    <t>A - Sale volume</t>
  </si>
  <si>
    <t>Store sales estimation</t>
  </si>
  <si>
    <t>Store vol. - Accumulating %</t>
  </si>
  <si>
    <t>Chỉ để xem thôi</t>
  </si>
  <si>
    <t xml:space="preserve">   Store sales adjustment</t>
  </si>
  <si>
    <t>Dự kiến tăng giảm store sale</t>
  </si>
  <si>
    <t>Dis vol. - Accumulating %</t>
  </si>
  <si>
    <t xml:space="preserve">   Dis. vol. adjustment</t>
  </si>
  <si>
    <t>Dự kiến tăng giảm cung cho phân phối</t>
  </si>
  <si>
    <t>B - Pricing (excluding promotion programs)</t>
  </si>
  <si>
    <t>Store price</t>
  </si>
  <si>
    <t>Base          \ Sale</t>
  </si>
  <si>
    <t>Store price - Accumulating %</t>
  </si>
  <si>
    <t xml:space="preserve">   Store price adjustment</t>
  </si>
  <si>
    <t>Dự kiến tăng giảm giá cho store</t>
  </si>
  <si>
    <t>Dis. price - Accumulating %</t>
  </si>
  <si>
    <t xml:space="preserve">   Dis. price adjustment</t>
  </si>
  <si>
    <t>Dự kiến tăng giảm giá cho phân phối</t>
  </si>
  <si>
    <t>C - Revenue</t>
  </si>
  <si>
    <t>Revenue</t>
  </si>
  <si>
    <t>T2. Production</t>
  </si>
  <si>
    <t>Buffer</t>
  </si>
  <si>
    <t>A' - Sale volume</t>
  </si>
  <si>
    <t>Reference</t>
  </si>
  <si>
    <t>Bảo</t>
  </si>
  <si>
    <t>D - Inventory difference</t>
  </si>
  <si>
    <t>Store preproduce</t>
  </si>
  <si>
    <t>Dis. preproduce</t>
  </si>
  <si>
    <t>Inv. vol Diff.</t>
  </si>
  <si>
    <t>E - Production</t>
  </si>
  <si>
    <t>T3. Inventory</t>
  </si>
  <si>
    <t>Base Inv</t>
  </si>
  <si>
    <t xml:space="preserve">   Base Inv. change - Accumulating %</t>
  </si>
  <si>
    <t xml:space="preserve">   Base Inv. change (NOT RECOMMEND)</t>
  </si>
  <si>
    <t>Inv. in</t>
  </si>
  <si>
    <t>Inv. Out</t>
  </si>
  <si>
    <t>Expenses</t>
  </si>
  <si>
    <t>COST OF GOODS SOLD</t>
  </si>
  <si>
    <t>Material:</t>
  </si>
  <si>
    <t xml:space="preserve">   Product 1: Standard</t>
  </si>
  <si>
    <t xml:space="preserve">   Product 2: E-bikes</t>
  </si>
  <si>
    <t>Salaries-Direct</t>
  </si>
  <si>
    <t>Factory rent</t>
  </si>
  <si>
    <t>Depreciation-Direct</t>
  </si>
  <si>
    <t>Other Direct Costs: Factory ultilities</t>
  </si>
  <si>
    <t>TOTAL COST OF GOODS SOLD</t>
  </si>
  <si>
    <t>OPERATING EXPENSES</t>
  </si>
  <si>
    <t>Automobile/Transportation</t>
  </si>
  <si>
    <t>Bank Service Charges</t>
  </si>
  <si>
    <t>Business Licenses and Permits</t>
  </si>
  <si>
    <t>Computer and Internet</t>
  </si>
  <si>
    <t>Dues and Subscriptions</t>
  </si>
  <si>
    <t>Meals and Entertainment</t>
  </si>
  <si>
    <t>Merchant Account Fees</t>
  </si>
  <si>
    <t>Miscellaneous Expense</t>
  </si>
  <si>
    <t>Occupancy</t>
  </si>
  <si>
    <t>Office Supplies</t>
  </si>
  <si>
    <t>Postage and Delivery</t>
  </si>
  <si>
    <t>Printing and Reproduction</t>
  </si>
  <si>
    <t>Professional Services - Legal, Accounting</t>
  </si>
  <si>
    <t>Rental Payments</t>
  </si>
  <si>
    <t>Salaries-Indirect</t>
  </si>
  <si>
    <t>Subcontractor</t>
  </si>
  <si>
    <t>Telephone</t>
  </si>
  <si>
    <t>Travel</t>
  </si>
  <si>
    <t>Utilities</t>
  </si>
  <si>
    <t>Website Development</t>
  </si>
  <si>
    <t>Other:</t>
  </si>
  <si>
    <t>TOTAL OPERATING EXPENSES</t>
  </si>
  <si>
    <t>V2 - Real</t>
  </si>
  <si>
    <t>TOTAL EXPENSES</t>
  </si>
  <si>
    <t>V2 - Year</t>
  </si>
  <si>
    <t>Material cost chưa rõ
   - Standard: 4,500,000 ₫
   - Advanced: 6,000,000 ₫
   - E-bike: 12,000,000 ₫</t>
  </si>
  <si>
    <t>Denied</t>
  </si>
  <si>
    <t>Còn e bike nữa vs lại nên chờ xong bảng cost r ms bik</t>
  </si>
  <si>
    <t>Nhà máy
   - Giá thuê: chưa có
   - Chi phí sửa chữa: chưa có</t>
  </si>
  <si>
    <t>Approved</t>
  </si>
  <si>
    <t>Nhà máy
   - Diện tích: 1100 m^2</t>
  </si>
  <si>
    <t>Bắt đầu từ đây đi</t>
  </si>
  <si>
    <t>Office trước t3 khoảng 1-2 tuần</t>
  </si>
  <si>
    <t>Xưởng trước t5</t>
  </si>
  <si>
    <t>tham khảo hàm (chắc chắn là có sai):</t>
  </si>
  <si>
    <t>BP-Financial plan.xlsx</t>
  </si>
  <si>
    <t>T1. SALE PLAN</t>
  </si>
  <si>
    <t>Bài có 3 năm khác nhau đừng có làm cho mỗi 2025 thôi nha</t>
  </si>
  <si>
    <t xml:space="preserve">Conversion Rate: </t>
  </si>
  <si>
    <t>T2. PRODUCTION PLAN</t>
  </si>
  <si>
    <t>Default</t>
  </si>
  <si>
    <t>Chỉnh ở trên</t>
  </si>
  <si>
    <t>T3. INVENTORY PLAN - FIFO</t>
  </si>
  <si>
    <t>Dùng để xác định bao giờ có tồn kho là chủ yếu. Cũng có thể dùng để tăng tồn kho nhma ko yêu cầu</t>
  </si>
  <si>
    <t>Ko chỉnh bất kì thứ gì ở mục này</t>
  </si>
  <si>
    <t>Long-term assets depreciation plan</t>
  </si>
  <si>
    <t>Depreciation Expense</t>
  </si>
  <si>
    <t>Accumulated Depreciation, beginning</t>
  </si>
  <si>
    <t>Accumulated Depreciation, ending</t>
  </si>
  <si>
    <t>Building</t>
  </si>
  <si>
    <t>Computer Hardware</t>
  </si>
  <si>
    <t>Computer Software</t>
  </si>
  <si>
    <t>Factory Equipment</t>
  </si>
  <si>
    <t>Furnitures &amp; Fixtures</t>
  </si>
  <si>
    <t>Machinery</t>
  </si>
  <si>
    <t>Office Equipment</t>
  </si>
  <si>
    <t>Other Fixed Assets</t>
  </si>
  <si>
    <t>Vehicles</t>
  </si>
  <si>
    <t>Depreciation schedule</t>
  </si>
  <si>
    <t>Date acquired</t>
  </si>
  <si>
    <t>Amount x Item</t>
  </si>
  <si>
    <t>Category</t>
  </si>
  <si>
    <t>Total cost</t>
  </si>
  <si>
    <t>Useful span</t>
  </si>
  <si>
    <t>Date of usage</t>
  </si>
  <si>
    <t>Depreciation method</t>
  </si>
  <si>
    <t>Useful time (days)</t>
  </si>
  <si>
    <t>Amnt</t>
  </si>
  <si>
    <t>Cum A/D</t>
  </si>
  <si>
    <t>DDM value</t>
  </si>
  <si>
    <t>Useful day remaining</t>
  </si>
  <si>
    <t>Net Val</t>
  </si>
  <si>
    <t># mo</t>
  </si>
  <si>
    <t>6 CNC machine</t>
  </si>
  <si>
    <t>SLN</t>
  </si>
  <si>
    <t>3 Laser cutting machine</t>
  </si>
  <si>
    <t>6 Welding robots</t>
  </si>
  <si>
    <t>3 Assembly line equipment</t>
  </si>
  <si>
    <t>3 Painting booth</t>
  </si>
  <si>
    <t>3 Material handling system</t>
  </si>
  <si>
    <t>22 Office computers</t>
  </si>
  <si>
    <t>3 Design software</t>
  </si>
  <si>
    <t>40 Desks &amp; Chairs</t>
  </si>
  <si>
    <t>10 Filling cabinets</t>
  </si>
  <si>
    <t>Air conditioning system</t>
  </si>
  <si>
    <t>12 Delivery vans</t>
  </si>
  <si>
    <t>6 Company cars</t>
  </si>
  <si>
    <t>6 Testing &amp; Quality Systems</t>
  </si>
  <si>
    <t>Factory lease (3,300 m²)</t>
  </si>
  <si>
    <t>Lighting system</t>
  </si>
  <si>
    <t>Electrical system</t>
  </si>
  <si>
    <t>Security alarm system (CCTV cameras)</t>
  </si>
  <si>
    <t xml:space="preserve">Printer &amp; Scanner (Multi-function)        </t>
  </si>
  <si>
    <t xml:space="preserve">Server &amp; Networking equipment	</t>
  </si>
  <si>
    <t>2 Point of Sale (POS) system</t>
  </si>
  <si>
    <t>Ventilation system</t>
  </si>
  <si>
    <t>Signage</t>
  </si>
  <si>
    <t>Warehouse forklifts</t>
  </si>
  <si>
    <t>Salaries and wages</t>
  </si>
  <si>
    <t>Unit: đ millions</t>
  </si>
  <si>
    <t>Time</t>
  </si>
  <si>
    <t>Position</t>
  </si>
  <si>
    <t>Quantity</t>
  </si>
  <si>
    <t>Salary</t>
  </si>
  <si>
    <t>Cost of training</t>
  </si>
  <si>
    <t>DATE hired</t>
  </si>
  <si>
    <t>Year</t>
  </si>
  <si>
    <t>Month</t>
  </si>
  <si>
    <t>Fix per month</t>
  </si>
  <si>
    <t>Var on sale/rev/comm</t>
  </si>
  <si>
    <t>Indirect (tháng 13)</t>
  </si>
  <si>
    <t>CEO</t>
  </si>
  <si>
    <t>COO</t>
  </si>
  <si>
    <t>CFO</t>
  </si>
  <si>
    <t>CMO</t>
  </si>
  <si>
    <t>HR Manager</t>
  </si>
  <si>
    <t>Operations Manager</t>
  </si>
  <si>
    <t>Finance Manager</t>
  </si>
  <si>
    <t>Accounting Manager</t>
  </si>
  <si>
    <t>Logistics Manager</t>
  </si>
  <si>
    <t>Product Designer</t>
  </si>
  <si>
    <t>Project Director</t>
  </si>
  <si>
    <t>Production Staff</t>
  </si>
  <si>
    <t>Security Staff</t>
  </si>
  <si>
    <t>Sales Manager</t>
  </si>
  <si>
    <t>Marketing Manager</t>
  </si>
  <si>
    <t>PR Manager</t>
  </si>
  <si>
    <t>HR Staff</t>
  </si>
  <si>
    <t>Accountant</t>
  </si>
  <si>
    <t>Marketing Staff</t>
  </si>
  <si>
    <t>Customer Service Staff</t>
  </si>
  <si>
    <t>Store Manager</t>
  </si>
  <si>
    <t>Sales Staff</t>
  </si>
  <si>
    <t>IT Manager</t>
  </si>
  <si>
    <t>R&amp;D Manager</t>
  </si>
  <si>
    <t>Product Development Manager</t>
  </si>
  <si>
    <t>Quality Control Manager</t>
  </si>
  <si>
    <t>Salaries and wages schedule</t>
  </si>
  <si>
    <t>Date hired</t>
  </si>
  <si>
    <t>Number of hired</t>
  </si>
  <si>
    <t>Salary per person:</t>
  </si>
  <si>
    <t>Var</t>
  </si>
  <si>
    <t>Indirect</t>
  </si>
  <si>
    <t>Contract termination</t>
  </si>
  <si>
    <t>Direct</t>
  </si>
  <si>
    <t>INCOME STATEMENT</t>
  </si>
  <si>
    <t>REVENUES</t>
  </si>
  <si>
    <t>TOTAL REVENUES</t>
  </si>
  <si>
    <t>GROSS PROFIT (LOSS)</t>
  </si>
  <si>
    <t>OPERATING PROFIT (LOSS)</t>
  </si>
  <si>
    <t>INTEREST EXPENSE &amp; TAXES</t>
  </si>
  <si>
    <t>Interest Expense</t>
  </si>
  <si>
    <t>Income Tax Expense</t>
  </si>
  <si>
    <t>TOTAL INTEREST (INCOME), EXPENSE &amp; TAXES</t>
  </si>
  <si>
    <t>NET INCOME (LOSS)</t>
  </si>
  <si>
    <t>V2 - Short</t>
  </si>
  <si>
    <t>Accu monthly</t>
  </si>
  <si>
    <t>Other Direct Costs</t>
  </si>
  <si>
    <t>Quarterly</t>
  </si>
  <si>
    <t>Yearly</t>
  </si>
  <si>
    <t>Y1</t>
  </si>
  <si>
    <t>Y2</t>
  </si>
  <si>
    <t>Y3</t>
  </si>
  <si>
    <t>Yearly -Shortened</t>
  </si>
  <si>
    <t>EBIT</t>
  </si>
  <si>
    <t>BALANCE SHEET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</si>
  <si>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</si>
  <si>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</si>
  <si>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</si>
  <si>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</si>
  <si>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</si>
  <si>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</si>
  <si>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</si>
  <si>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</si>
  <si>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</si>
  <si>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</si>
  <si>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</si>
  <si>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</si>
  <si>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</si>
  <si>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</si>
  <si>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</si>
  <si>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</si>
  <si>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</si>
  <si>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</si>
  <si>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</si>
  <si>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</si>
  <si>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</si>
  <si>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</si>
  <si>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</si>
  <si>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</si>
  <si>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</si>
  <si>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</si>
  <si>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</si>
  <si>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</si>
  <si>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</si>
  <si>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</si>
  <si>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</si>
  <si>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</si>
  <si>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</si>
  <si>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OCT-2027</t>
  </si>
  <si>
    <t>NOV-2027</t>
  </si>
  <si>
    <t>DEC-2027</t>
  </si>
  <si>
    <t>ASSETS</t>
  </si>
  <si>
    <t>CURRENT ASSETS</t>
  </si>
  <si>
    <t>Cash</t>
  </si>
  <si>
    <t>Accounts Receivable</t>
  </si>
  <si>
    <t>FIXED (LONG-TERM) ASSETS</t>
  </si>
  <si>
    <t>Property, Plant, and Equipment</t>
  </si>
  <si>
    <t xml:space="preserve">   Less: Accumulated Depreciation</t>
  </si>
  <si>
    <t>TOTAL ASSETS</t>
  </si>
  <si>
    <t>LIABILITIES</t>
  </si>
  <si>
    <t>Accounts Payable</t>
  </si>
  <si>
    <t>Bank Loans</t>
  </si>
  <si>
    <t>OWNER'S EQUITY</t>
  </si>
  <si>
    <t>Owner's Investment</t>
  </si>
  <si>
    <t>Retained Earning</t>
  </si>
  <si>
    <t>TOTAL LIABILITIES AND OWNER'S EQUITY</t>
  </si>
  <si>
    <t>CASH FLOW STATEMENT</t>
  </si>
  <si>
    <t>Cash at Beginning of Year</t>
  </si>
  <si>
    <t>Operations</t>
  </si>
  <si>
    <t>Cash receipts from</t>
  </si>
  <si>
    <t>Retained payable</t>
  </si>
  <si>
    <t>Inventory liquidation</t>
  </si>
  <si>
    <t>Customer &amp; Distributors</t>
  </si>
  <si>
    <t>Cash paid for</t>
  </si>
  <si>
    <t>Inventory purchases</t>
  </si>
  <si>
    <t>General operating and administrative expenses</t>
  </si>
  <si>
    <t>Wage expenses</t>
  </si>
  <si>
    <t>Interest</t>
  </si>
  <si>
    <t>Income taxes</t>
  </si>
  <si>
    <t>Net Cash Flow from Operations</t>
  </si>
  <si>
    <t>Investing Activities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</si>
  <si>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</si>
  <si>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</si>
  <si>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</si>
  <si>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</si>
  <si>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</si>
  <si>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</si>
  <si>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Net Cash Flow from Investing Activities</t>
  </si>
  <si>
    <t>Financing Activities</t>
  </si>
  <si>
    <t>External shares</t>
  </si>
  <si>
    <t>Borrowing</t>
  </si>
  <si>
    <t>Repurchase of stock (treasury stock)</t>
  </si>
  <si>
    <t>Repayment of loans</t>
  </si>
  <si>
    <t>Dividends</t>
  </si>
  <si>
    <t>Net Cash Flow from Financing Activities</t>
  </si>
  <si>
    <t>Net Increase in Cash</t>
  </si>
  <si>
    <t>Cash at End of Year</t>
  </si>
  <si>
    <t>CASHFLOW STATEMENT</t>
  </si>
  <si>
    <t>Q1-2025</t>
  </si>
  <si>
    <t>Q2-2025</t>
  </si>
  <si>
    <t>Q3-2025</t>
  </si>
  <si>
    <t>Q4-2025</t>
  </si>
  <si>
    <t>Q1-2026</t>
  </si>
  <si>
    <t>Q2-2026</t>
  </si>
  <si>
    <t>Q3-2026</t>
  </si>
  <si>
    <t>Q4-2026</t>
  </si>
  <si>
    <t>Q1-2027</t>
  </si>
  <si>
    <t>Q2-2027</t>
  </si>
  <si>
    <t>Q3-2027</t>
  </si>
  <si>
    <t>Q4-2027</t>
  </si>
  <si>
    <t>Monthly -Shortened</t>
  </si>
  <si>
    <t>Loan repay</t>
  </si>
  <si>
    <t>Ending balance</t>
  </si>
  <si>
    <t>Adjusting</t>
  </si>
  <si>
    <t>Spendings</t>
  </si>
  <si>
    <t>BUFFER</t>
  </si>
  <si>
    <t>Store &amp; Office rent (Sub branch)</t>
  </si>
  <si>
    <t>Depreciation (Sub branch)</t>
  </si>
  <si>
    <t>Training (Sub branch)</t>
  </si>
  <si>
    <t>Detailed monthly Long-term assets depreciation plan</t>
  </si>
  <si>
    <t>Quarter summer function</t>
  </si>
  <si>
    <t>=SUM(INDIRECT(ADDRESS(ROW(C23); COLUMN(C20) + MATCH("Q2"; C20:N20; 0) - 1) &amp; ":" &amp; ADDRESS(ROW(C25); COLUMN(C20) + MATCH("Q2"; C20:N20; 0) + 1)))</t>
  </si>
  <si>
    <t>Yearly summer function</t>
  </si>
  <si>
    <t>=SUM(INDIRECT(ADDRESS(ROW(C23); COLUMN(C20) + (MATCH(2026; C19:AL19; 0) - 1) + MATCH("Q3"; C20:N20; 0) - 1) &amp; ":" &amp; ADDRESS(ROW(C25); COLUMN(C20) + (MATCH(2026; C19:AL19; 0) - 1) + MATCH("Q3"; C20:N20; 0) + 2)))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</si>
</sst>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\ [$đ-42A]"/>
    <numFmt numFmtId="165" formatCode="d/m/yyyy"/>
    <numFmt numFmtId="166" formatCode="#,##0[$ ₫]"/>
    <numFmt numFmtId="167" formatCode="#,##0&quot;₫&quot;"/>
    <numFmt numFmtId="168" formatCode="#,##0.0"/>
    <numFmt numFmtId="169" formatCode="#,##0;\(#,##0\)"/>
    <numFmt numFmtId="170" formatCode="\(#,##0\)\ [$đ-42A]"/>
  </numFmts>
  <fonts count="5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20"/>
      <color theme="1"/>
      <name val="Arial"/>
      <scheme val="minor"/>
    </font>
    <font>
      <b/>
      <i/>
      <sz val="10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52"/>
      <color rgb="FFF3F3F3"/>
      <name val="Georgia"/>
    </font>
    <font>
      <b/>
      <sz val="56"/>
      <color theme="1"/>
      <name val="Georgia"/>
    </font>
    <font>
      <b/>
      <sz val="20"/>
      <color rgb="FFEFEFEF"/>
      <name val="Georgia"/>
    </font>
    <font>
      <sz val="10"/>
      <color theme="1"/>
      <name val="Georgia"/>
    </font>
    <font>
      <b/>
      <sz val="12"/>
      <color rgb="FFEFEFEF"/>
      <name val="Georgia"/>
    </font>
    <font>
      <b/>
      <sz val="10"/>
      <color theme="1"/>
      <name val="Georgia"/>
    </font>
    <font>
      <b/>
      <sz val="12"/>
      <color theme="1"/>
      <name val="Georgia"/>
    </font>
    <font>
      <sz val="12"/>
      <color theme="1"/>
      <name val="Georgia"/>
    </font>
    <font>
      <b/>
      <sz val="10"/>
      <color theme="1"/>
      <name val="Georgia"/>
    </font>
    <font>
      <i/>
      <sz val="12"/>
      <color theme="1"/>
      <name val="Georgia"/>
    </font>
    <font>
      <i/>
      <sz val="10"/>
      <color theme="1"/>
      <name val="Georgia"/>
    </font>
    <font>
      <sz val="10"/>
      <color theme="1"/>
      <name val="Arial"/>
    </font>
    <font>
      <b/>
      <sz val="40"/>
      <color rgb="FFF3F3F3"/>
      <name val="Georgia"/>
    </font>
    <font>
      <b/>
      <sz val="14"/>
      <color theme="1"/>
      <name val="Georgia"/>
    </font>
    <font>
      <i/>
      <sz val="10"/>
      <color theme="1"/>
      <name val="Georgia"/>
    </font>
    <font>
      <sz val="10"/>
      <color rgb="FF000000"/>
      <name val="Georgia"/>
    </font>
    <font>
      <sz val="10"/>
      <color rgb="FFFFFFFF"/>
      <name val="Georgia"/>
    </font>
    <font>
      <b/>
      <sz val="16"/>
      <color rgb="FFFFFFFF"/>
      <name val="Georgia"/>
    </font>
    <font>
      <b/>
      <sz val="14"/>
      <color rgb="FF0B5394"/>
      <name val="Georgia"/>
    </font>
    <font>
      <b/>
      <i/>
      <sz val="14"/>
      <color theme="1"/>
      <name val="Georgia"/>
    </font>
    <font>
      <sz val="10"/>
      <color theme="1"/>
      <name val="Georgia"/>
    </font>
    <font>
      <b/>
      <sz val="14"/>
      <color rgb="FF000000"/>
      <name val="Georgia"/>
    </font>
    <font>
      <sz val="10"/>
      <color rgb="FF000000"/>
      <name val="Georgia"/>
    </font>
    <font>
      <i/>
      <sz val="10"/>
      <color rgb="FF000000"/>
      <name val="Georgia"/>
    </font>
    <font>
      <b/>
      <i/>
      <sz val="10"/>
      <color rgb="FF000000"/>
      <name val="Georgia"/>
    </font>
    <font>
      <b/>
      <sz val="11"/>
      <color theme="1"/>
      <name val="Georgia"/>
    </font>
    <font>
      <sz val="11"/>
      <color theme="1"/>
      <name val="Georgia"/>
    </font>
    <font>
      <b/>
      <sz val="11"/>
      <color rgb="FF000000"/>
      <name val="Georgia"/>
    </font>
    <font>
      <sz val="10"/>
      <color theme="1"/>
      <name val="Times New Roman"/>
    </font>
    <font>
      <u/>
      <sz val="10"/>
      <color theme="1"/>
      <name val="Times New Roman"/>
    </font>
    <font>
      <b/>
      <sz val="14"/>
      <color rgb="FF0070C0"/>
      <name val="Times New Roman"/>
    </font>
    <font>
      <b/>
      <sz val="13"/>
      <color rgb="FFE06666"/>
      <name val="Times New Roman"/>
    </font>
    <font>
      <b/>
      <sz val="14"/>
      <color theme="1"/>
      <name val="Times New Roman"/>
    </font>
    <font>
      <b/>
      <sz val="14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b/>
      <i/>
      <sz val="10"/>
      <color rgb="FF000000"/>
      <name val="Times New Roman"/>
    </font>
    <font>
      <i/>
      <sz val="10"/>
      <color theme="1"/>
      <name val="Times New Roman"/>
    </font>
    <font>
      <b/>
      <i/>
      <sz val="14"/>
      <color theme="1"/>
      <name val="Times New Roman"/>
    </font>
    <font>
      <b/>
      <i/>
      <sz val="10"/>
      <color theme="1"/>
      <name val="Times New Roman"/>
    </font>
    <font>
      <sz val="10"/>
      <color theme="1"/>
      <name val="Arial"/>
      <scheme val="minor"/>
    </font>
    <font>
      <sz val="10"/>
      <color theme="1"/>
      <name val="Times New Roman"/>
    </font>
    <font>
      <i/>
      <sz val="10"/>
      <color rgb="FF000000"/>
      <name val="Times New Roman"/>
    </font>
    <font>
      <b/>
      <sz val="10"/>
      <color rgb="FF000000"/>
      <name val="Georgia"/>
    </font>
    <font>
      <b/>
      <sz val="13"/>
      <color rgb="FF000000"/>
      <name val="Georgia"/>
    </font>
    <font>
      <b/>
      <sz val="10"/>
      <color rgb="FF000000"/>
      <name val="Georgia"/>
    </font>
    <font>
      <sz val="13"/>
      <color rgb="FF000000"/>
      <name val="Georgia"/>
    </font>
    <font>
      <sz val="11"/>
      <color rgb="FF000000"/>
      <name val="Georgia"/>
    </font>
    <font>
      <u/>
      <sz val="11"/>
      <color rgb="FF000000"/>
      <name val="Georgia"/>
    </font>
    <font>
      <b/>
      <sz val="13"/>
      <color theme="1"/>
      <name val="Georgia"/>
    </font>
    <font>
      <sz val="13"/>
      <color theme="1"/>
      <name val="Georgia"/>
    </font>
  </fonts>
  <fills count="2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70AD47"/>
        <bgColor rgb="FF70AD47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EDEDED"/>
        <bgColor rgb="FFEDEDED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BDBDBD"/>
        <bgColor rgb="FFBDBDBD"/>
      </patternFill>
    </fill>
    <fill>
      <patternFill patternType="solid">
        <fgColor rgb="FFFFF2CC"/>
        <bgColor rgb="FFFFF2CC"/>
      </patternFill>
    </fill>
    <fill>
      <patternFill patternType="solid">
        <fgColor rgb="FFF0F0F0"/>
        <bgColor rgb="FFF0F0F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205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FFFFFF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FFFFFF"/>
      </top>
      <bottom style="thick">
        <color rgb="FF000000"/>
      </bottom>
      <diagonal/>
    </border>
    <border>
      <left/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FFFFFF"/>
      </bottom>
      <diagonal/>
    </border>
    <border>
      <left style="thick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n">
        <color rgb="FFFFFFFF"/>
      </top>
      <bottom/>
      <diagonal/>
    </border>
    <border>
      <left style="thick">
        <color rgb="FF000000"/>
      </left>
      <right/>
      <top style="thin">
        <color rgb="FFFFFFFF"/>
      </top>
      <bottom/>
      <diagonal/>
    </border>
    <border>
      <left style="thick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FFFFFF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 style="thick">
        <color rgb="FF000000"/>
      </bottom>
      <diagonal/>
    </border>
    <border>
      <left style="thick">
        <color rgb="FF000000"/>
      </left>
      <right style="thin">
        <color rgb="FFFFFFFF"/>
      </right>
      <top/>
      <bottom style="thick">
        <color rgb="FF000000"/>
      </bottom>
      <diagonal/>
    </border>
    <border>
      <left style="thin">
        <color rgb="FFFFFFFF"/>
      </left>
      <right style="thin">
        <color rgb="FF000000"/>
      </right>
      <top/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/>
      <bottom style="thick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/>
      <right style="medium">
        <color rgb="FF000000"/>
      </right>
      <top style="thin">
        <color rgb="FFFFFFFF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FFFFFF"/>
      </bottom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thick">
        <color rgb="FF000000"/>
      </right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thin">
        <color rgb="FF000000"/>
      </left>
      <right/>
      <top style="medium">
        <color rgb="FFFFFFFF"/>
      </top>
      <bottom style="thin">
        <color rgb="FF000000"/>
      </bottom>
      <diagonal/>
    </border>
    <border>
      <left/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rgb="FF000000"/>
      </bottom>
      <diagonal/>
    </border>
    <border>
      <left/>
      <right style="thick">
        <color rgb="FF000000"/>
      </right>
      <top style="medium">
        <color rgb="FFFFFFFF"/>
      </top>
      <bottom style="thin">
        <color rgb="FF000000"/>
      </bottom>
      <diagonal/>
    </border>
    <border>
      <left/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FFFFFF"/>
      </top>
      <bottom style="medium">
        <color rgb="FF000000"/>
      </bottom>
      <diagonal/>
    </border>
    <border>
      <left/>
      <right style="thin">
        <color rgb="FF000000"/>
      </right>
      <top style="medium">
        <color rgb="FFFFFFFF"/>
      </top>
      <bottom style="medium">
        <color rgb="FF000000"/>
      </bottom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thick">
        <color rgb="FF000000"/>
      </right>
      <top style="medium">
        <color rgb="FFFFFFFF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/>
      <right style="thick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FFFFFF"/>
      </bottom>
      <diagonal/>
    </border>
    <border>
      <left style="thick">
        <color rgb="FF000000"/>
      </left>
      <right style="thick">
        <color rgb="FF000000"/>
      </right>
      <top style="medium">
        <color rgb="FFFFFFFF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 style="thin">
        <color rgb="FFFFFFFF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ck">
        <color rgb="FFFFFFFF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/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53"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13" fillId="0" borderId="10" xfId="0" applyFont="1" applyBorder="1" applyAlignment="1">
      <alignment vertical="center"/>
    </xf>
    <xf numFmtId="9" fontId="14" fillId="0" borderId="11" xfId="0" applyNumberFormat="1" applyFont="1" applyBorder="1" applyAlignment="1">
      <alignment horizontal="right"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9" fontId="14" fillId="0" borderId="15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vertical="center"/>
    </xf>
    <xf numFmtId="9" fontId="14" fillId="0" borderId="4" xfId="0" applyNumberFormat="1" applyFont="1" applyBorder="1" applyAlignment="1">
      <alignment horizontal="right" vertical="center"/>
    </xf>
    <xf numFmtId="0" fontId="14" fillId="0" borderId="5" xfId="0" applyFont="1" applyBorder="1" applyAlignment="1">
      <alignment vertical="center"/>
    </xf>
    <xf numFmtId="9" fontId="14" fillId="0" borderId="11" xfId="0" applyNumberFormat="1" applyFont="1" applyBorder="1" applyAlignment="1">
      <alignment vertical="center"/>
    </xf>
    <xf numFmtId="9" fontId="14" fillId="0" borderId="15" xfId="0" applyNumberFormat="1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vertical="center"/>
    </xf>
    <xf numFmtId="164" fontId="13" fillId="0" borderId="25" xfId="0" applyNumberFormat="1" applyFont="1" applyBorder="1" applyAlignment="1">
      <alignment vertical="center"/>
    </xf>
    <xf numFmtId="10" fontId="13" fillId="0" borderId="25" xfId="0" applyNumberFormat="1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164" fontId="16" fillId="0" borderId="5" xfId="0" applyNumberFormat="1" applyFont="1" applyBorder="1" applyAlignment="1">
      <alignment vertical="center"/>
    </xf>
    <xf numFmtId="10" fontId="16" fillId="0" borderId="5" xfId="0" applyNumberFormat="1" applyFont="1" applyBorder="1" applyAlignment="1">
      <alignment vertical="center"/>
    </xf>
    <xf numFmtId="165" fontId="14" fillId="0" borderId="21" xfId="0" applyNumberFormat="1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164" fontId="16" fillId="0" borderId="6" xfId="0" applyNumberFormat="1" applyFont="1" applyBorder="1" applyAlignment="1">
      <alignment vertical="center"/>
    </xf>
    <xf numFmtId="10" fontId="16" fillId="0" borderId="6" xfId="0" applyNumberFormat="1" applyFont="1" applyBorder="1" applyAlignment="1">
      <alignment vertical="center"/>
    </xf>
    <xf numFmtId="165" fontId="14" fillId="0" borderId="23" xfId="0" applyNumberFormat="1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164" fontId="14" fillId="0" borderId="29" xfId="0" applyNumberFormat="1" applyFont="1" applyBorder="1" applyAlignment="1">
      <alignment vertical="center"/>
    </xf>
    <xf numFmtId="10" fontId="13" fillId="0" borderId="29" xfId="0" applyNumberFormat="1" applyFont="1" applyBorder="1" applyAlignment="1">
      <alignment vertical="center"/>
    </xf>
    <xf numFmtId="165" fontId="14" fillId="0" borderId="30" xfId="0" applyNumberFormat="1" applyFont="1" applyBorder="1" applyAlignment="1">
      <alignment vertical="center"/>
    </xf>
    <xf numFmtId="0" fontId="13" fillId="5" borderId="28" xfId="0" applyFont="1" applyFill="1" applyBorder="1" applyAlignment="1">
      <alignment vertical="center"/>
    </xf>
    <xf numFmtId="0" fontId="14" fillId="4" borderId="5" xfId="0" applyFont="1" applyFill="1" applyBorder="1" applyAlignment="1">
      <alignment horizontal="right"/>
    </xf>
    <xf numFmtId="0" fontId="14" fillId="0" borderId="7" xfId="0" applyFont="1" applyBorder="1" applyAlignment="1">
      <alignment vertical="center"/>
    </xf>
    <xf numFmtId="164" fontId="14" fillId="0" borderId="37" xfId="0" applyNumberFormat="1" applyFont="1" applyBorder="1" applyAlignment="1">
      <alignment vertical="center"/>
    </xf>
    <xf numFmtId="0" fontId="14" fillId="4" borderId="38" xfId="0" applyFont="1" applyFill="1" applyBorder="1" applyAlignment="1">
      <alignment horizontal="left"/>
    </xf>
    <xf numFmtId="0" fontId="14" fillId="0" borderId="26" xfId="0" applyFont="1" applyBorder="1" applyAlignment="1">
      <alignment horizontal="right" vertical="center"/>
    </xf>
    <xf numFmtId="164" fontId="14" fillId="4" borderId="5" xfId="0" applyNumberFormat="1" applyFont="1" applyFill="1" applyBorder="1" applyAlignment="1">
      <alignment horizontal="right"/>
    </xf>
    <xf numFmtId="10" fontId="14" fillId="0" borderId="2" xfId="0" applyNumberFormat="1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21" xfId="0" applyFont="1" applyBorder="1" applyAlignment="1">
      <alignment horizontal="right" vertical="center"/>
    </xf>
    <xf numFmtId="0" fontId="14" fillId="0" borderId="39" xfId="0" applyFont="1" applyBorder="1" applyAlignment="1">
      <alignment vertical="center"/>
    </xf>
    <xf numFmtId="0" fontId="14" fillId="0" borderId="40" xfId="0" applyFont="1" applyBorder="1" applyAlignment="1">
      <alignment horizontal="right" vertical="center"/>
    </xf>
    <xf numFmtId="0" fontId="14" fillId="0" borderId="13" xfId="0" applyFont="1" applyBorder="1" applyAlignment="1">
      <alignment horizontal="right" vertical="center"/>
    </xf>
    <xf numFmtId="164" fontId="14" fillId="0" borderId="5" xfId="0" applyNumberFormat="1" applyFont="1" applyBorder="1" applyAlignment="1">
      <alignment horizontal="right"/>
    </xf>
    <xf numFmtId="0" fontId="1" fillId="0" borderId="41" xfId="0" applyFont="1" applyBorder="1"/>
    <xf numFmtId="165" fontId="15" fillId="6" borderId="6" xfId="0" applyNumberFormat="1" applyFont="1" applyFill="1" applyBorder="1" applyAlignment="1">
      <alignment horizontal="center" vertical="center"/>
    </xf>
    <xf numFmtId="165" fontId="15" fillId="6" borderId="23" xfId="0" applyNumberFormat="1" applyFont="1" applyFill="1" applyBorder="1" applyAlignment="1">
      <alignment horizontal="center" vertical="center"/>
    </xf>
    <xf numFmtId="164" fontId="14" fillId="0" borderId="5" xfId="0" applyNumberFormat="1" applyFont="1" applyBorder="1" applyAlignment="1">
      <alignment vertical="center"/>
    </xf>
    <xf numFmtId="164" fontId="14" fillId="0" borderId="21" xfId="0" applyNumberFormat="1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164" fontId="14" fillId="0" borderId="12" xfId="0" applyNumberFormat="1" applyFont="1" applyBorder="1" applyAlignment="1">
      <alignment vertical="center"/>
    </xf>
    <xf numFmtId="164" fontId="14" fillId="0" borderId="13" xfId="0" applyNumberFormat="1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9" fontId="14" fillId="0" borderId="43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8" fillId="0" borderId="5" xfId="0" applyFont="1" applyBorder="1"/>
    <xf numFmtId="0" fontId="14" fillId="0" borderId="48" xfId="0" applyFont="1" applyBorder="1"/>
    <xf numFmtId="0" fontId="14" fillId="0" borderId="49" xfId="0" applyFont="1" applyBorder="1" applyAlignment="1">
      <alignment horizontal="right"/>
    </xf>
    <xf numFmtId="0" fontId="14" fillId="0" borderId="49" xfId="0" applyFont="1" applyBorder="1"/>
    <xf numFmtId="0" fontId="14" fillId="0" borderId="50" xfId="0" applyFont="1" applyBorder="1"/>
    <xf numFmtId="0" fontId="18" fillId="0" borderId="4" xfId="0" applyFont="1" applyBorder="1"/>
    <xf numFmtId="0" fontId="14" fillId="0" borderId="22" xfId="0" applyFont="1" applyBorder="1"/>
    <xf numFmtId="9" fontId="14" fillId="0" borderId="6" xfId="0" applyNumberFormat="1" applyFont="1" applyBorder="1" applyAlignment="1">
      <alignment horizontal="right"/>
    </xf>
    <xf numFmtId="10" fontId="14" fillId="0" borderId="6" xfId="0" applyNumberFormat="1" applyFont="1" applyBorder="1"/>
    <xf numFmtId="165" fontId="14" fillId="0" borderId="23" xfId="0" applyNumberFormat="1" applyFont="1" applyBorder="1"/>
    <xf numFmtId="0" fontId="18" fillId="0" borderId="49" xfId="0" applyFont="1" applyBorder="1"/>
    <xf numFmtId="0" fontId="18" fillId="0" borderId="50" xfId="0" applyFont="1" applyBorder="1"/>
    <xf numFmtId="3" fontId="14" fillId="0" borderId="16" xfId="0" applyNumberFormat="1" applyFont="1" applyBorder="1" applyAlignment="1">
      <alignment horizontal="right"/>
    </xf>
    <xf numFmtId="0" fontId="14" fillId="0" borderId="16" xfId="0" applyFont="1" applyBorder="1"/>
    <xf numFmtId="0" fontId="14" fillId="0" borderId="20" xfId="0" applyFont="1" applyBorder="1"/>
    <xf numFmtId="3" fontId="14" fillId="0" borderId="6" xfId="0" applyNumberFormat="1" applyFont="1" applyBorder="1" applyAlignment="1">
      <alignment horizontal="right"/>
    </xf>
    <xf numFmtId="0" fontId="14" fillId="0" borderId="6" xfId="0" applyFont="1" applyBorder="1"/>
    <xf numFmtId="0" fontId="14" fillId="0" borderId="23" xfId="0" applyFont="1" applyBorder="1"/>
    <xf numFmtId="3" fontId="14" fillId="0" borderId="12" xfId="0" applyNumberFormat="1" applyFont="1" applyBorder="1" applyAlignment="1">
      <alignment horizontal="right"/>
    </xf>
    <xf numFmtId="0" fontId="14" fillId="0" borderId="12" xfId="0" applyFont="1" applyBorder="1"/>
    <xf numFmtId="0" fontId="14" fillId="0" borderId="13" xfId="0" applyFont="1" applyBorder="1"/>
    <xf numFmtId="0" fontId="16" fillId="0" borderId="5" xfId="0" applyFont="1" applyBorder="1"/>
    <xf numFmtId="0" fontId="14" fillId="0" borderId="5" xfId="0" applyFont="1" applyBorder="1"/>
    <xf numFmtId="0" fontId="14" fillId="0" borderId="21" xfId="0" applyFont="1" applyBorder="1"/>
    <xf numFmtId="0" fontId="16" fillId="0" borderId="12" xfId="0" applyFont="1" applyBorder="1"/>
    <xf numFmtId="164" fontId="14" fillId="0" borderId="12" xfId="0" applyNumberFormat="1" applyFont="1" applyBorder="1" applyAlignment="1">
      <alignment horizontal="right"/>
    </xf>
    <xf numFmtId="0" fontId="18" fillId="0" borderId="21" xfId="0" applyFont="1" applyBorder="1"/>
    <xf numFmtId="0" fontId="18" fillId="0" borderId="13" xfId="0" applyFont="1" applyBorder="1"/>
    <xf numFmtId="0" fontId="18" fillId="0" borderId="6" xfId="0" applyFont="1" applyBorder="1"/>
    <xf numFmtId="0" fontId="14" fillId="0" borderId="27" xfId="0" applyFont="1" applyBorder="1"/>
    <xf numFmtId="9" fontId="14" fillId="0" borderId="5" xfId="0" applyNumberFormat="1" applyFont="1" applyBorder="1" applyAlignment="1">
      <alignment horizontal="right"/>
    </xf>
    <xf numFmtId="0" fontId="14" fillId="0" borderId="39" xfId="0" applyFont="1" applyBorder="1"/>
    <xf numFmtId="9" fontId="14" fillId="0" borderId="12" xfId="0" applyNumberFormat="1" applyFont="1" applyBorder="1" applyAlignment="1">
      <alignment horizontal="right"/>
    </xf>
    <xf numFmtId="0" fontId="18" fillId="0" borderId="16" xfId="0" applyFont="1" applyBorder="1"/>
    <xf numFmtId="164" fontId="14" fillId="0" borderId="6" xfId="0" applyNumberFormat="1" applyFont="1" applyBorder="1" applyAlignment="1">
      <alignment horizontal="right"/>
    </xf>
    <xf numFmtId="165" fontId="14" fillId="0" borderId="23" xfId="0" applyNumberFormat="1" applyFont="1" applyBorder="1" applyAlignment="1">
      <alignment horizontal="right"/>
    </xf>
    <xf numFmtId="165" fontId="14" fillId="0" borderId="13" xfId="0" applyNumberFormat="1" applyFont="1" applyBorder="1" applyAlignment="1">
      <alignment horizontal="right"/>
    </xf>
    <xf numFmtId="0" fontId="18" fillId="0" borderId="52" xfId="0" applyFont="1" applyBorder="1"/>
    <xf numFmtId="0" fontId="18" fillId="0" borderId="53" xfId="0" applyFont="1" applyBorder="1"/>
    <xf numFmtId="0" fontId="14" fillId="0" borderId="54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164" fontId="14" fillId="0" borderId="6" xfId="0" applyNumberFormat="1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164" fontId="14" fillId="0" borderId="43" xfId="0" applyNumberFormat="1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9" fontId="14" fillId="0" borderId="5" xfId="0" applyNumberFormat="1" applyFont="1" applyBorder="1" applyAlignment="1">
      <alignment vertical="center"/>
    </xf>
    <xf numFmtId="166" fontId="14" fillId="0" borderId="39" xfId="0" applyNumberFormat="1" applyFont="1" applyBorder="1" applyAlignment="1">
      <alignment vertical="center"/>
    </xf>
    <xf numFmtId="166" fontId="14" fillId="0" borderId="16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51" xfId="0" applyNumberFormat="1" applyFont="1" applyBorder="1" applyAlignment="1">
      <alignment vertical="center"/>
    </xf>
    <xf numFmtId="0" fontId="13" fillId="0" borderId="52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2" fontId="14" fillId="0" borderId="52" xfId="0" applyNumberFormat="1" applyFont="1" applyBorder="1" applyAlignment="1">
      <alignment vertical="center"/>
    </xf>
    <xf numFmtId="2" fontId="14" fillId="0" borderId="17" xfId="0" applyNumberFormat="1" applyFont="1" applyBorder="1" applyAlignment="1">
      <alignment vertical="center"/>
    </xf>
    <xf numFmtId="166" fontId="14" fillId="0" borderId="42" xfId="0" applyNumberFormat="1" applyFont="1" applyBorder="1" applyAlignment="1">
      <alignment vertical="center"/>
    </xf>
    <xf numFmtId="2" fontId="14" fillId="0" borderId="43" xfId="0" applyNumberFormat="1" applyFont="1" applyBorder="1" applyAlignment="1">
      <alignment vertical="center"/>
    </xf>
    <xf numFmtId="2" fontId="14" fillId="0" borderId="19" xfId="0" applyNumberFormat="1" applyFont="1" applyBorder="1" applyAlignment="1">
      <alignment vertical="center"/>
    </xf>
    <xf numFmtId="2" fontId="14" fillId="0" borderId="16" xfId="0" applyNumberFormat="1" applyFont="1" applyBorder="1" applyAlignment="1">
      <alignment vertical="center"/>
    </xf>
    <xf numFmtId="2" fontId="14" fillId="0" borderId="6" xfId="0" applyNumberFormat="1" applyFont="1" applyBorder="1" applyAlignment="1">
      <alignment vertical="center"/>
    </xf>
    <xf numFmtId="1" fontId="14" fillId="0" borderId="4" xfId="0" applyNumberFormat="1" applyFont="1" applyBorder="1" applyAlignment="1">
      <alignment vertical="center"/>
    </xf>
    <xf numFmtId="166" fontId="14" fillId="0" borderId="22" xfId="0" applyNumberFormat="1" applyFont="1" applyBorder="1" applyAlignment="1">
      <alignment vertical="center"/>
    </xf>
    <xf numFmtId="1" fontId="13" fillId="0" borderId="6" xfId="0" applyNumberFormat="1" applyFont="1" applyBorder="1" applyAlignment="1">
      <alignment vertical="center"/>
    </xf>
    <xf numFmtId="1" fontId="13" fillId="0" borderId="23" xfId="0" applyNumberFormat="1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164" fontId="14" fillId="0" borderId="23" xfId="0" applyNumberFormat="1" applyFont="1" applyBorder="1" applyAlignment="1">
      <alignment vertical="center"/>
    </xf>
    <xf numFmtId="3" fontId="14" fillId="0" borderId="5" xfId="0" applyNumberFormat="1" applyFont="1" applyBorder="1" applyAlignment="1">
      <alignment vertical="center"/>
    </xf>
    <xf numFmtId="3" fontId="14" fillId="0" borderId="21" xfId="0" applyNumberFormat="1" applyFont="1" applyBorder="1" applyAlignment="1">
      <alignment vertical="center"/>
    </xf>
    <xf numFmtId="3" fontId="14" fillId="0" borderId="6" xfId="0" applyNumberFormat="1" applyFont="1" applyBorder="1" applyAlignment="1">
      <alignment vertical="center"/>
    </xf>
    <xf numFmtId="3" fontId="14" fillId="0" borderId="23" xfId="0" applyNumberFormat="1" applyFont="1" applyBorder="1" applyAlignment="1">
      <alignment vertical="center"/>
    </xf>
    <xf numFmtId="3" fontId="14" fillId="0" borderId="20" xfId="0" applyNumberFormat="1" applyFont="1" applyBorder="1" applyAlignment="1">
      <alignment vertical="center"/>
    </xf>
    <xf numFmtId="10" fontId="14" fillId="0" borderId="5" xfId="0" applyNumberFormat="1" applyFont="1" applyBorder="1" applyAlignment="1">
      <alignment vertical="center"/>
    </xf>
    <xf numFmtId="10" fontId="14" fillId="0" borderId="21" xfId="0" applyNumberFormat="1" applyFont="1" applyBorder="1" applyAlignment="1">
      <alignment vertical="center"/>
    </xf>
    <xf numFmtId="10" fontId="14" fillId="0" borderId="6" xfId="0" applyNumberFormat="1" applyFont="1" applyBorder="1" applyAlignment="1">
      <alignment vertical="center"/>
    </xf>
    <xf numFmtId="10" fontId="14" fillId="0" borderId="23" xfId="0" applyNumberFormat="1" applyFont="1" applyBorder="1" applyAlignment="1">
      <alignment vertical="center"/>
    </xf>
    <xf numFmtId="0" fontId="14" fillId="0" borderId="51" xfId="0" applyFont="1" applyBorder="1" applyAlignment="1">
      <alignment vertical="center"/>
    </xf>
    <xf numFmtId="164" fontId="14" fillId="0" borderId="52" xfId="0" applyNumberFormat="1" applyFont="1" applyBorder="1" applyAlignment="1">
      <alignment vertical="center"/>
    </xf>
    <xf numFmtId="164" fontId="14" fillId="0" borderId="17" xfId="0" applyNumberFormat="1" applyFont="1" applyBorder="1" applyAlignment="1">
      <alignment vertical="center"/>
    </xf>
    <xf numFmtId="0" fontId="13" fillId="0" borderId="56" xfId="0" applyFont="1" applyBorder="1" applyAlignment="1">
      <alignment vertical="center"/>
    </xf>
    <xf numFmtId="3" fontId="13" fillId="0" borderId="16" xfId="0" applyNumberFormat="1" applyFont="1" applyBorder="1" applyAlignment="1">
      <alignment vertical="center"/>
    </xf>
    <xf numFmtId="3" fontId="13" fillId="0" borderId="20" xfId="0" applyNumberFormat="1" applyFont="1" applyBorder="1" applyAlignment="1">
      <alignment vertical="center"/>
    </xf>
    <xf numFmtId="0" fontId="16" fillId="0" borderId="39" xfId="0" applyFont="1" applyBorder="1" applyAlignment="1">
      <alignment vertical="center"/>
    </xf>
    <xf numFmtId="3" fontId="14" fillId="0" borderId="12" xfId="0" applyNumberFormat="1" applyFont="1" applyBorder="1" applyAlignment="1">
      <alignment vertical="center"/>
    </xf>
    <xf numFmtId="3" fontId="14" fillId="0" borderId="13" xfId="0" applyNumberFormat="1" applyFont="1" applyBorder="1" applyAlignment="1">
      <alignment vertical="center"/>
    </xf>
    <xf numFmtId="0" fontId="10" fillId="4" borderId="5" xfId="0" applyFont="1" applyFill="1" applyBorder="1"/>
    <xf numFmtId="0" fontId="10" fillId="4" borderId="5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2" fillId="4" borderId="59" xfId="0" applyFont="1" applyFill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16" xfId="0" applyFont="1" applyBorder="1" applyAlignment="1">
      <alignment horizontal="right"/>
    </xf>
    <xf numFmtId="0" fontId="10" fillId="0" borderId="44" xfId="0" applyFont="1" applyBorder="1" applyAlignment="1">
      <alignment horizontal="right"/>
    </xf>
    <xf numFmtId="3" fontId="10" fillId="4" borderId="6" xfId="0" applyNumberFormat="1" applyFont="1" applyFill="1" applyBorder="1"/>
    <xf numFmtId="3" fontId="10" fillId="4" borderId="54" xfId="0" applyNumberFormat="1" applyFont="1" applyFill="1" applyBorder="1"/>
    <xf numFmtId="3" fontId="12" fillId="0" borderId="59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0" fillId="0" borderId="5" xfId="0" applyNumberFormat="1" applyFont="1" applyBorder="1"/>
    <xf numFmtId="3" fontId="10" fillId="0" borderId="2" xfId="0" applyNumberFormat="1" applyFont="1" applyBorder="1"/>
    <xf numFmtId="3" fontId="10" fillId="9" borderId="61" xfId="0" applyNumberFormat="1" applyFont="1" applyFill="1" applyBorder="1"/>
    <xf numFmtId="3" fontId="10" fillId="9" borderId="62" xfId="0" applyNumberFormat="1" applyFont="1" applyFill="1" applyBorder="1"/>
    <xf numFmtId="3" fontId="20" fillId="9" borderId="61" xfId="0" applyNumberFormat="1" applyFont="1" applyFill="1" applyBorder="1" applyAlignment="1">
      <alignment horizontal="center"/>
    </xf>
    <xf numFmtId="3" fontId="20" fillId="9" borderId="63" xfId="0" applyNumberFormat="1" applyFont="1" applyFill="1" applyBorder="1" applyAlignment="1">
      <alignment horizontal="center"/>
    </xf>
    <xf numFmtId="0" fontId="20" fillId="9" borderId="63" xfId="0" applyFont="1" applyFill="1" applyBorder="1" applyAlignment="1">
      <alignment horizontal="center"/>
    </xf>
    <xf numFmtId="3" fontId="20" fillId="9" borderId="64" xfId="0" applyNumberFormat="1" applyFont="1" applyFill="1" applyBorder="1" applyAlignment="1">
      <alignment horizontal="center"/>
    </xf>
    <xf numFmtId="3" fontId="20" fillId="0" borderId="4" xfId="0" applyNumberFormat="1" applyFont="1" applyBorder="1" applyAlignment="1">
      <alignment horizontal="center"/>
    </xf>
    <xf numFmtId="3" fontId="20" fillId="0" borderId="5" xfId="0" applyNumberFormat="1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3" fontId="10" fillId="4" borderId="35" xfId="0" applyNumberFormat="1" applyFont="1" applyFill="1" applyBorder="1" applyAlignment="1">
      <alignment horizontal="right"/>
    </xf>
    <xf numFmtId="3" fontId="10" fillId="4" borderId="36" xfId="0" applyNumberFormat="1" applyFont="1" applyFill="1" applyBorder="1"/>
    <xf numFmtId="3" fontId="10" fillId="0" borderId="35" xfId="0" applyNumberFormat="1" applyFont="1" applyBorder="1" applyAlignment="1">
      <alignment horizontal="right"/>
    </xf>
    <xf numFmtId="3" fontId="10" fillId="4" borderId="66" xfId="0" applyNumberFormat="1" applyFont="1" applyFill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10" fillId="0" borderId="2" xfId="0" applyNumberFormat="1" applyFont="1" applyBorder="1" applyAlignment="1">
      <alignment horizontal="right"/>
    </xf>
    <xf numFmtId="0" fontId="10" fillId="4" borderId="68" xfId="0" applyFont="1" applyFill="1" applyBorder="1"/>
    <xf numFmtId="3" fontId="10" fillId="4" borderId="69" xfId="0" applyNumberFormat="1" applyFont="1" applyFill="1" applyBorder="1" applyAlignment="1">
      <alignment horizontal="right"/>
    </xf>
    <xf numFmtId="3" fontId="10" fillId="0" borderId="68" xfId="0" applyNumberFormat="1" applyFont="1" applyBorder="1" applyAlignment="1">
      <alignment horizontal="right"/>
    </xf>
    <xf numFmtId="0" fontId="10" fillId="0" borderId="0" xfId="0" applyFont="1" applyAlignment="1">
      <alignment horizontal="right"/>
    </xf>
    <xf numFmtId="3" fontId="10" fillId="0" borderId="60" xfId="0" applyNumberFormat="1" applyFont="1" applyBorder="1" applyAlignment="1">
      <alignment horizontal="right"/>
    </xf>
    <xf numFmtId="3" fontId="10" fillId="4" borderId="60" xfId="0" applyNumberFormat="1" applyFont="1" applyFill="1" applyBorder="1" applyAlignment="1">
      <alignment horizontal="right"/>
    </xf>
    <xf numFmtId="3" fontId="10" fillId="4" borderId="70" xfId="0" applyNumberFormat="1" applyFont="1" applyFill="1" applyBorder="1" applyAlignment="1">
      <alignment horizontal="right"/>
    </xf>
    <xf numFmtId="0" fontId="10" fillId="4" borderId="72" xfId="0" applyFont="1" applyFill="1" applyBorder="1"/>
    <xf numFmtId="3" fontId="10" fillId="4" borderId="73" xfId="0" applyNumberFormat="1" applyFont="1" applyFill="1" applyBorder="1" applyAlignment="1">
      <alignment horizontal="right"/>
    </xf>
    <xf numFmtId="3" fontId="10" fillId="0" borderId="72" xfId="0" applyNumberFormat="1" applyFont="1" applyBorder="1" applyAlignment="1">
      <alignment horizontal="right"/>
    </xf>
    <xf numFmtId="0" fontId="10" fillId="0" borderId="63" xfId="0" applyFont="1" applyBorder="1" applyAlignment="1">
      <alignment horizontal="right"/>
    </xf>
    <xf numFmtId="3" fontId="10" fillId="0" borderId="46" xfId="0" applyNumberFormat="1" applyFont="1" applyBorder="1" applyAlignment="1">
      <alignment horizontal="right"/>
    </xf>
    <xf numFmtId="3" fontId="10" fillId="4" borderId="46" xfId="0" applyNumberFormat="1" applyFont="1" applyFill="1" applyBorder="1" applyAlignment="1">
      <alignment horizontal="right"/>
    </xf>
    <xf numFmtId="3" fontId="10" fillId="4" borderId="74" xfId="0" applyNumberFormat="1" applyFont="1" applyFill="1" applyBorder="1" applyAlignment="1">
      <alignment horizontal="right"/>
    </xf>
    <xf numFmtId="3" fontId="10" fillId="4" borderId="35" xfId="0" applyNumberFormat="1" applyFont="1" applyFill="1" applyBorder="1"/>
    <xf numFmtId="3" fontId="10" fillId="4" borderId="36" xfId="0" applyNumberFormat="1" applyFont="1" applyFill="1" applyBorder="1" applyAlignment="1">
      <alignment horizontal="right"/>
    </xf>
    <xf numFmtId="164" fontId="10" fillId="4" borderId="35" xfId="0" applyNumberFormat="1" applyFont="1" applyFill="1" applyBorder="1" applyAlignment="1">
      <alignment horizontal="right"/>
    </xf>
    <xf numFmtId="164" fontId="10" fillId="0" borderId="35" xfId="0" applyNumberFormat="1" applyFont="1" applyBorder="1" applyAlignment="1">
      <alignment horizontal="right"/>
    </xf>
    <xf numFmtId="164" fontId="10" fillId="4" borderId="66" xfId="0" applyNumberFormat="1" applyFont="1" applyFill="1" applyBorder="1" applyAlignment="1">
      <alignment horizontal="right"/>
    </xf>
    <xf numFmtId="3" fontId="10" fillId="4" borderId="75" xfId="0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right"/>
    </xf>
    <xf numFmtId="164" fontId="10" fillId="0" borderId="60" xfId="0" applyNumberFormat="1" applyFont="1" applyBorder="1" applyAlignment="1">
      <alignment horizontal="right"/>
    </xf>
    <xf numFmtId="164" fontId="10" fillId="4" borderId="60" xfId="0" applyNumberFormat="1" applyFont="1" applyFill="1" applyBorder="1" applyAlignment="1">
      <alignment horizontal="right"/>
    </xf>
    <xf numFmtId="164" fontId="10" fillId="4" borderId="70" xfId="0" applyNumberFormat="1" applyFont="1" applyFill="1" applyBorder="1" applyAlignment="1">
      <alignment horizontal="right"/>
    </xf>
    <xf numFmtId="3" fontId="10" fillId="4" borderId="76" xfId="0" applyNumberFormat="1" applyFont="1" applyFill="1" applyBorder="1" applyAlignment="1">
      <alignment horizontal="right"/>
    </xf>
    <xf numFmtId="3" fontId="10" fillId="0" borderId="63" xfId="0" applyNumberFormat="1" applyFont="1" applyBorder="1" applyAlignment="1">
      <alignment horizontal="right"/>
    </xf>
    <xf numFmtId="164" fontId="10" fillId="0" borderId="46" xfId="0" applyNumberFormat="1" applyFont="1" applyBorder="1" applyAlignment="1">
      <alignment horizontal="right"/>
    </xf>
    <xf numFmtId="164" fontId="10" fillId="4" borderId="46" xfId="0" applyNumberFormat="1" applyFont="1" applyFill="1" applyBorder="1" applyAlignment="1">
      <alignment horizontal="right"/>
    </xf>
    <xf numFmtId="164" fontId="10" fillId="4" borderId="74" xfId="0" applyNumberFormat="1" applyFont="1" applyFill="1" applyBorder="1" applyAlignment="1">
      <alignment horizontal="right"/>
    </xf>
    <xf numFmtId="0" fontId="10" fillId="0" borderId="15" xfId="0" applyFont="1" applyBorder="1"/>
    <xf numFmtId="0" fontId="10" fillId="0" borderId="16" xfId="0" applyFont="1" applyBorder="1"/>
    <xf numFmtId="0" fontId="10" fillId="0" borderId="5" xfId="0" applyFont="1" applyBorder="1"/>
    <xf numFmtId="0" fontId="10" fillId="0" borderId="2" xfId="0" applyFont="1" applyBorder="1"/>
    <xf numFmtId="0" fontId="10" fillId="0" borderId="4" xfId="0" applyFont="1" applyBorder="1"/>
    <xf numFmtId="9" fontId="10" fillId="0" borderId="5" xfId="0" applyNumberFormat="1" applyFont="1" applyBorder="1"/>
    <xf numFmtId="164" fontId="10" fillId="0" borderId="5" xfId="0" applyNumberFormat="1" applyFont="1" applyBorder="1"/>
    <xf numFmtId="164" fontId="10" fillId="0" borderId="2" xfId="0" applyNumberFormat="1" applyFont="1" applyBorder="1"/>
    <xf numFmtId="0" fontId="10" fillId="0" borderId="55" xfId="0" applyFont="1" applyBorder="1"/>
    <xf numFmtId="0" fontId="10" fillId="0" borderId="6" xfId="0" applyFont="1" applyBorder="1"/>
    <xf numFmtId="0" fontId="12" fillId="0" borderId="24" xfId="0" applyFont="1" applyBorder="1"/>
    <xf numFmtId="9" fontId="10" fillId="0" borderId="26" xfId="0" applyNumberFormat="1" applyFont="1" applyBorder="1"/>
    <xf numFmtId="0" fontId="10" fillId="0" borderId="35" xfId="0" applyFont="1" applyBorder="1"/>
    <xf numFmtId="164" fontId="10" fillId="0" borderId="35" xfId="0" applyNumberFormat="1" applyFont="1" applyBorder="1"/>
    <xf numFmtId="164" fontId="10" fillId="0" borderId="7" xfId="0" applyNumberFormat="1" applyFont="1" applyBorder="1"/>
    <xf numFmtId="164" fontId="10" fillId="0" borderId="8" xfId="0" applyNumberFormat="1" applyFont="1" applyBorder="1"/>
    <xf numFmtId="164" fontId="10" fillId="0" borderId="9" xfId="0" applyNumberFormat="1" applyFont="1" applyBorder="1"/>
    <xf numFmtId="164" fontId="10" fillId="0" borderId="4" xfId="0" applyNumberFormat="1" applyFont="1" applyBorder="1"/>
    <xf numFmtId="0" fontId="12" fillId="0" borderId="27" xfId="0" applyFont="1" applyBorder="1"/>
    <xf numFmtId="9" fontId="10" fillId="0" borderId="21" xfId="0" applyNumberFormat="1" applyFont="1" applyBorder="1"/>
    <xf numFmtId="0" fontId="10" fillId="0" borderId="0" xfId="0" applyFont="1"/>
    <xf numFmtId="164" fontId="10" fillId="0" borderId="77" xfId="0" applyNumberFormat="1" applyFont="1" applyBorder="1"/>
    <xf numFmtId="164" fontId="10" fillId="0" borderId="3" xfId="0" applyNumberFormat="1" applyFont="1" applyBorder="1"/>
    <xf numFmtId="164" fontId="10" fillId="0" borderId="78" xfId="0" applyNumberFormat="1" applyFont="1" applyBorder="1"/>
    <xf numFmtId="0" fontId="12" fillId="5" borderId="39" xfId="0" applyFont="1" applyFill="1" applyBorder="1"/>
    <xf numFmtId="0" fontId="12" fillId="5" borderId="13" xfId="0" applyFont="1" applyFill="1" applyBorder="1"/>
    <xf numFmtId="0" fontId="12" fillId="5" borderId="63" xfId="0" applyFont="1" applyFill="1" applyBorder="1"/>
    <xf numFmtId="164" fontId="12" fillId="5" borderId="63" xfId="0" applyNumberFormat="1" applyFont="1" applyFill="1" applyBorder="1"/>
    <xf numFmtId="164" fontId="12" fillId="5" borderId="45" xfId="0" applyNumberFormat="1" applyFont="1" applyFill="1" applyBorder="1"/>
    <xf numFmtId="164" fontId="12" fillId="5" borderId="46" xfId="0" applyNumberFormat="1" applyFont="1" applyFill="1" applyBorder="1"/>
    <xf numFmtId="164" fontId="12" fillId="5" borderId="47" xfId="0" applyNumberFormat="1" applyFont="1" applyFill="1" applyBorder="1"/>
    <xf numFmtId="164" fontId="12" fillId="0" borderId="4" xfId="0" applyNumberFormat="1" applyFont="1" applyBorder="1"/>
    <xf numFmtId="164" fontId="12" fillId="0" borderId="5" xfId="0" applyNumberFormat="1" applyFont="1" applyBorder="1"/>
    <xf numFmtId="164" fontId="12" fillId="0" borderId="2" xfId="0" applyNumberFormat="1" applyFont="1" applyBorder="1"/>
    <xf numFmtId="0" fontId="21" fillId="0" borderId="27" xfId="0" applyFont="1" applyBorder="1"/>
    <xf numFmtId="164" fontId="10" fillId="0" borderId="0" xfId="0" applyNumberFormat="1" applyFont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0" fillId="9" borderId="61" xfId="0" applyFont="1" applyFill="1" applyBorder="1"/>
    <xf numFmtId="0" fontId="10" fillId="9" borderId="62" xfId="0" applyFont="1" applyFill="1" applyBorder="1"/>
    <xf numFmtId="0" fontId="20" fillId="9" borderId="61" xfId="0" applyFont="1" applyFill="1" applyBorder="1" applyAlignment="1">
      <alignment horizontal="center"/>
    </xf>
    <xf numFmtId="3" fontId="22" fillId="4" borderId="0" xfId="0" applyNumberFormat="1" applyFont="1" applyFill="1" applyAlignment="1">
      <alignment horizontal="right"/>
    </xf>
    <xf numFmtId="3" fontId="22" fillId="4" borderId="68" xfId="0" applyNumberFormat="1" applyFont="1" applyFill="1" applyBorder="1" applyAlignment="1">
      <alignment horizontal="right"/>
    </xf>
    <xf numFmtId="3" fontId="10" fillId="0" borderId="0" xfId="0" applyNumberFormat="1" applyFont="1"/>
    <xf numFmtId="3" fontId="22" fillId="4" borderId="80" xfId="0" applyNumberFormat="1" applyFont="1" applyFill="1" applyBorder="1" applyAlignment="1">
      <alignment horizontal="right"/>
    </xf>
    <xf numFmtId="3" fontId="22" fillId="4" borderId="0" xfId="0" applyNumberFormat="1" applyFont="1" applyFill="1"/>
    <xf numFmtId="3" fontId="22" fillId="4" borderId="68" xfId="0" applyNumberFormat="1" applyFont="1" applyFill="1" applyBorder="1"/>
    <xf numFmtId="3" fontId="10" fillId="0" borderId="60" xfId="0" applyNumberFormat="1" applyFont="1" applyBorder="1"/>
    <xf numFmtId="3" fontId="22" fillId="4" borderId="60" xfId="0" applyNumberFormat="1" applyFont="1" applyFill="1" applyBorder="1"/>
    <xf numFmtId="3" fontId="22" fillId="4" borderId="60" xfId="0" applyNumberFormat="1" applyFont="1" applyFill="1" applyBorder="1" applyAlignment="1">
      <alignment horizontal="right"/>
    </xf>
    <xf numFmtId="3" fontId="22" fillId="4" borderId="70" xfId="0" applyNumberFormat="1" applyFont="1" applyFill="1" applyBorder="1" applyAlignment="1">
      <alignment horizontal="right"/>
    </xf>
    <xf numFmtId="0" fontId="10" fillId="4" borderId="82" xfId="0" applyFont="1" applyFill="1" applyBorder="1"/>
    <xf numFmtId="3" fontId="22" fillId="4" borderId="83" xfId="0" applyNumberFormat="1" applyFont="1" applyFill="1" applyBorder="1"/>
    <xf numFmtId="3" fontId="22" fillId="4" borderId="82" xfId="0" applyNumberFormat="1" applyFont="1" applyFill="1" applyBorder="1"/>
    <xf numFmtId="3" fontId="22" fillId="4" borderId="84" xfId="0" applyNumberFormat="1" applyFont="1" applyFill="1" applyBorder="1"/>
    <xf numFmtId="3" fontId="22" fillId="4" borderId="84" xfId="0" applyNumberFormat="1" applyFont="1" applyFill="1" applyBorder="1" applyAlignment="1">
      <alignment horizontal="right"/>
    </xf>
    <xf numFmtId="3" fontId="22" fillId="4" borderId="85" xfId="0" applyNumberFormat="1" applyFont="1" applyFill="1" applyBorder="1" applyAlignment="1">
      <alignment horizontal="right"/>
    </xf>
    <xf numFmtId="0" fontId="21" fillId="4" borderId="15" xfId="0" applyFont="1" applyFill="1" applyBorder="1" applyAlignment="1">
      <alignment vertical="top" wrapText="1"/>
    </xf>
    <xf numFmtId="0" fontId="10" fillId="4" borderId="16" xfId="0" applyFont="1" applyFill="1" applyBorder="1"/>
    <xf numFmtId="3" fontId="22" fillId="4" borderId="16" xfId="0" applyNumberFormat="1" applyFont="1" applyFill="1" applyBorder="1"/>
    <xf numFmtId="3" fontId="22" fillId="4" borderId="16" xfId="0" applyNumberFormat="1" applyFont="1" applyFill="1" applyBorder="1" applyAlignment="1">
      <alignment horizontal="right"/>
    </xf>
    <xf numFmtId="0" fontId="21" fillId="4" borderId="55" xfId="0" applyFont="1" applyFill="1" applyBorder="1" applyAlignment="1">
      <alignment vertical="top" wrapText="1"/>
    </xf>
    <xf numFmtId="0" fontId="10" fillId="4" borderId="6" xfId="0" applyFont="1" applyFill="1" applyBorder="1"/>
    <xf numFmtId="3" fontId="22" fillId="4" borderId="6" xfId="0" applyNumberFormat="1" applyFont="1" applyFill="1" applyBorder="1"/>
    <xf numFmtId="3" fontId="22" fillId="4" borderId="6" xfId="0" applyNumberFormat="1" applyFont="1" applyFill="1" applyBorder="1" applyAlignment="1">
      <alignment horizontal="right"/>
    </xf>
    <xf numFmtId="9" fontId="10" fillId="0" borderId="9" xfId="0" applyNumberFormat="1" applyFont="1" applyBorder="1"/>
    <xf numFmtId="9" fontId="1" fillId="0" borderId="60" xfId="0" applyNumberFormat="1" applyFont="1" applyBorder="1"/>
    <xf numFmtId="0" fontId="10" fillId="0" borderId="8" xfId="0" applyFont="1" applyBorder="1"/>
    <xf numFmtId="0" fontId="12" fillId="0" borderId="22" xfId="0" applyFont="1" applyBorder="1"/>
    <xf numFmtId="9" fontId="10" fillId="0" borderId="86" xfId="0" applyNumberFormat="1" applyFont="1" applyBorder="1"/>
    <xf numFmtId="9" fontId="1" fillId="0" borderId="57" xfId="0" applyNumberFormat="1" applyFont="1" applyBorder="1"/>
    <xf numFmtId="0" fontId="10" fillId="0" borderId="57" xfId="0" applyFont="1" applyBorder="1"/>
    <xf numFmtId="164" fontId="10" fillId="0" borderId="87" xfId="0" applyNumberFormat="1" applyFont="1" applyBorder="1"/>
    <xf numFmtId="164" fontId="10" fillId="0" borderId="57" xfId="0" applyNumberFormat="1" applyFont="1" applyBorder="1"/>
    <xf numFmtId="164" fontId="10" fillId="0" borderId="86" xfId="0" applyNumberFormat="1" applyFont="1" applyBorder="1"/>
    <xf numFmtId="0" fontId="12" fillId="5" borderId="42" xfId="0" applyFont="1" applyFill="1" applyBorder="1"/>
    <xf numFmtId="0" fontId="12" fillId="5" borderId="72" xfId="0" applyFont="1" applyFill="1" applyBorder="1"/>
    <xf numFmtId="164" fontId="12" fillId="5" borderId="88" xfId="0" applyNumberFormat="1" applyFont="1" applyFill="1" applyBorder="1"/>
    <xf numFmtId="164" fontId="12" fillId="5" borderId="72" xfId="0" applyNumberFormat="1" applyFont="1" applyFill="1" applyBorder="1"/>
    <xf numFmtId="0" fontId="12" fillId="0" borderId="15" xfId="0" applyFont="1" applyBorder="1"/>
    <xf numFmtId="0" fontId="1" fillId="0" borderId="60" xfId="0" applyFont="1" applyBorder="1"/>
    <xf numFmtId="164" fontId="1" fillId="0" borderId="60" xfId="0" applyNumberFormat="1" applyFont="1" applyBorder="1"/>
    <xf numFmtId="164" fontId="1" fillId="0" borderId="89" xfId="0" applyNumberFormat="1" applyFont="1" applyBorder="1"/>
    <xf numFmtId="164" fontId="1" fillId="0" borderId="90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4" fontId="1" fillId="0" borderId="2" xfId="0" applyNumberFormat="1" applyFont="1" applyBorder="1"/>
    <xf numFmtId="0" fontId="21" fillId="0" borderId="55" xfId="0" applyFont="1" applyBorder="1"/>
    <xf numFmtId="0" fontId="10" fillId="0" borderId="86" xfId="0" applyFont="1" applyBorder="1"/>
    <xf numFmtId="0" fontId="1" fillId="0" borderId="15" xfId="0" applyFont="1" applyBorder="1"/>
    <xf numFmtId="0" fontId="1" fillId="0" borderId="5" xfId="0" applyFont="1" applyBorder="1"/>
    <xf numFmtId="0" fontId="1" fillId="0" borderId="2" xfId="0" applyFont="1" applyBorder="1"/>
    <xf numFmtId="0" fontId="10" fillId="0" borderId="54" xfId="0" applyFont="1" applyBorder="1"/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4" borderId="15" xfId="0" applyFont="1" applyFill="1" applyBorder="1"/>
    <xf numFmtId="0" fontId="10" fillId="4" borderId="44" xfId="0" applyFont="1" applyFill="1" applyBorder="1"/>
    <xf numFmtId="3" fontId="12" fillId="4" borderId="0" xfId="0" applyNumberFormat="1" applyFont="1" applyFill="1" applyAlignment="1">
      <alignment horizontal="center"/>
    </xf>
    <xf numFmtId="0" fontId="10" fillId="4" borderId="2" xfId="0" applyFont="1" applyFill="1" applyBorder="1"/>
    <xf numFmtId="0" fontId="20" fillId="9" borderId="95" xfId="0" applyFont="1" applyFill="1" applyBorder="1" applyAlignment="1">
      <alignment horizontal="center"/>
    </xf>
    <xf numFmtId="0" fontId="20" fillId="9" borderId="62" xfId="0" applyFont="1" applyFill="1" applyBorder="1" applyAlignment="1">
      <alignment horizontal="center"/>
    </xf>
    <xf numFmtId="0" fontId="20" fillId="9" borderId="96" xfId="0" applyFont="1" applyFill="1" applyBorder="1" applyAlignment="1">
      <alignment horizontal="center"/>
    </xf>
    <xf numFmtId="0" fontId="20" fillId="9" borderId="88" xfId="0" applyFont="1" applyFill="1" applyBorder="1" applyAlignment="1">
      <alignment horizontal="center"/>
    </xf>
    <xf numFmtId="0" fontId="20" fillId="9" borderId="72" xfId="0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0" fontId="20" fillId="9" borderId="64" xfId="0" applyFont="1" applyFill="1" applyBorder="1" applyAlignment="1">
      <alignment horizontal="center"/>
    </xf>
    <xf numFmtId="0" fontId="20" fillId="9" borderId="71" xfId="0" applyFont="1" applyFill="1" applyBorder="1" applyAlignment="1">
      <alignment horizontal="center"/>
    </xf>
    <xf numFmtId="0" fontId="20" fillId="9" borderId="97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5" xfId="0" applyFont="1" applyFill="1" applyBorder="1" applyAlignment="1">
      <alignment horizontal="center"/>
    </xf>
    <xf numFmtId="3" fontId="12" fillId="5" borderId="9" xfId="0" applyNumberFormat="1" applyFont="1" applyFill="1" applyBorder="1" applyAlignment="1">
      <alignment vertical="top"/>
    </xf>
    <xf numFmtId="3" fontId="12" fillId="5" borderId="8" xfId="0" applyNumberFormat="1" applyFont="1" applyFill="1" applyBorder="1"/>
    <xf numFmtId="166" fontId="12" fillId="5" borderId="8" xfId="0" applyNumberFormat="1" applyFont="1" applyFill="1" applyBorder="1"/>
    <xf numFmtId="166" fontId="12" fillId="5" borderId="7" xfId="0" applyNumberFormat="1" applyFont="1" applyFill="1" applyBorder="1"/>
    <xf numFmtId="166" fontId="12" fillId="5" borderId="9" xfId="0" applyNumberFormat="1" applyFont="1" applyFill="1" applyBorder="1"/>
    <xf numFmtId="166" fontId="12" fillId="5" borderId="98" xfId="0" applyNumberFormat="1" applyFont="1" applyFill="1" applyBorder="1"/>
    <xf numFmtId="166" fontId="12" fillId="5" borderId="99" xfId="0" applyNumberFormat="1" applyFont="1" applyFill="1" applyBorder="1"/>
    <xf numFmtId="3" fontId="12" fillId="4" borderId="4" xfId="0" applyNumberFormat="1" applyFont="1" applyFill="1" applyBorder="1"/>
    <xf numFmtId="3" fontId="12" fillId="4" borderId="5" xfId="0" applyNumberFormat="1" applyFont="1" applyFill="1" applyBorder="1"/>
    <xf numFmtId="3" fontId="12" fillId="4" borderId="2" xfId="0" applyNumberFormat="1" applyFont="1" applyFill="1" applyBorder="1"/>
    <xf numFmtId="3" fontId="21" fillId="0" borderId="78" xfId="0" applyNumberFormat="1" applyFont="1" applyBorder="1" applyAlignment="1">
      <alignment vertical="top"/>
    </xf>
    <xf numFmtId="3" fontId="10" fillId="0" borderId="3" xfId="0" applyNumberFormat="1" applyFont="1" applyBorder="1" applyAlignment="1">
      <alignment wrapText="1"/>
    </xf>
    <xf numFmtId="3" fontId="10" fillId="0" borderId="3" xfId="0" applyNumberFormat="1" applyFont="1" applyBorder="1"/>
    <xf numFmtId="166" fontId="10" fillId="0" borderId="3" xfId="0" applyNumberFormat="1" applyFont="1" applyBorder="1"/>
    <xf numFmtId="166" fontId="10" fillId="0" borderId="77" xfId="0" applyNumberFormat="1" applyFont="1" applyBorder="1"/>
    <xf numFmtId="166" fontId="10" fillId="0" borderId="78" xfId="0" applyNumberFormat="1" applyFont="1" applyBorder="1"/>
    <xf numFmtId="166" fontId="10" fillId="0" borderId="3" xfId="0" applyNumberFormat="1" applyFont="1" applyBorder="1" applyAlignment="1">
      <alignment horizontal="right"/>
    </xf>
    <xf numFmtId="166" fontId="10" fillId="0" borderId="100" xfId="0" applyNumberFormat="1" applyFont="1" applyBorder="1"/>
    <xf numFmtId="166" fontId="10" fillId="0" borderId="101" xfId="0" applyNumberFormat="1" applyFont="1" applyBorder="1" applyAlignment="1">
      <alignment horizontal="right"/>
    </xf>
    <xf numFmtId="3" fontId="10" fillId="4" borderId="4" xfId="0" applyNumberFormat="1" applyFont="1" applyFill="1" applyBorder="1"/>
    <xf numFmtId="3" fontId="10" fillId="4" borderId="5" xfId="0" applyNumberFormat="1" applyFont="1" applyFill="1" applyBorder="1"/>
    <xf numFmtId="3" fontId="10" fillId="4" borderId="2" xfId="0" applyNumberFormat="1" applyFont="1" applyFill="1" applyBorder="1"/>
    <xf numFmtId="0" fontId="21" fillId="0" borderId="78" xfId="0" applyFont="1" applyBorder="1" applyAlignment="1">
      <alignment vertical="top"/>
    </xf>
    <xf numFmtId="0" fontId="10" fillId="0" borderId="3" xfId="0" applyFont="1" applyBorder="1"/>
    <xf numFmtId="0" fontId="10" fillId="4" borderId="4" xfId="0" applyFont="1" applyFill="1" applyBorder="1"/>
    <xf numFmtId="3" fontId="21" fillId="0" borderId="86" xfId="0" applyNumberFormat="1" applyFont="1" applyBorder="1" applyAlignment="1">
      <alignment vertical="top"/>
    </xf>
    <xf numFmtId="3" fontId="10" fillId="0" borderId="57" xfId="0" applyNumberFormat="1" applyFont="1" applyBorder="1" applyAlignment="1">
      <alignment wrapText="1"/>
    </xf>
    <xf numFmtId="3" fontId="10" fillId="0" borderId="57" xfId="0" applyNumberFormat="1" applyFont="1" applyBorder="1"/>
    <xf numFmtId="166" fontId="10" fillId="0" borderId="57" xfId="0" applyNumberFormat="1" applyFont="1" applyBorder="1"/>
    <xf numFmtId="166" fontId="10" fillId="0" borderId="87" xfId="0" applyNumberFormat="1" applyFont="1" applyBorder="1"/>
    <xf numFmtId="166" fontId="10" fillId="0" borderId="86" xfId="0" applyNumberFormat="1" applyFont="1" applyBorder="1"/>
    <xf numFmtId="166" fontId="10" fillId="0" borderId="102" xfId="0" applyNumberFormat="1" applyFont="1" applyBorder="1"/>
    <xf numFmtId="166" fontId="10" fillId="0" borderId="103" xfId="0" applyNumberFormat="1" applyFont="1" applyBorder="1" applyAlignment="1">
      <alignment horizontal="right"/>
    </xf>
    <xf numFmtId="3" fontId="12" fillId="5" borderId="36" xfId="0" applyNumberFormat="1" applyFont="1" applyFill="1" applyBorder="1" applyAlignment="1">
      <alignment vertical="top"/>
    </xf>
    <xf numFmtId="3" fontId="12" fillId="5" borderId="35" xfId="0" applyNumberFormat="1" applyFont="1" applyFill="1" applyBorder="1"/>
    <xf numFmtId="3" fontId="12" fillId="5" borderId="34" xfId="0" applyNumberFormat="1" applyFont="1" applyFill="1" applyBorder="1"/>
    <xf numFmtId="3" fontId="12" fillId="5" borderId="36" xfId="0" applyNumberFormat="1" applyFont="1" applyFill="1" applyBorder="1"/>
    <xf numFmtId="3" fontId="12" fillId="5" borderId="66" xfId="0" applyNumberFormat="1" applyFont="1" applyFill="1" applyBorder="1"/>
    <xf numFmtId="3" fontId="12" fillId="5" borderId="65" xfId="0" applyNumberFormat="1" applyFont="1" applyFill="1" applyBorder="1"/>
    <xf numFmtId="10" fontId="21" fillId="0" borderId="90" xfId="0" applyNumberFormat="1" applyFont="1" applyBorder="1" applyAlignment="1">
      <alignment vertical="top"/>
    </xf>
    <xf numFmtId="0" fontId="10" fillId="0" borderId="60" xfId="0" applyFont="1" applyBorder="1" applyAlignment="1">
      <alignment wrapText="1"/>
    </xf>
    <xf numFmtId="0" fontId="10" fillId="0" borderId="60" xfId="0" applyFont="1" applyBorder="1"/>
    <xf numFmtId="0" fontId="10" fillId="0" borderId="89" xfId="0" applyFont="1" applyBorder="1"/>
    <xf numFmtId="0" fontId="10" fillId="0" borderId="90" xfId="0" applyFont="1" applyBorder="1"/>
    <xf numFmtId="0" fontId="10" fillId="0" borderId="70" xfId="0" applyFont="1" applyBorder="1"/>
    <xf numFmtId="9" fontId="10" fillId="0" borderId="60" xfId="0" applyNumberFormat="1" applyFont="1" applyBorder="1" applyAlignment="1">
      <alignment horizontal="right"/>
    </xf>
    <xf numFmtId="0" fontId="10" fillId="0" borderId="104" xfId="0" applyFont="1" applyBorder="1"/>
    <xf numFmtId="10" fontId="21" fillId="0" borderId="78" xfId="0" applyNumberFormat="1" applyFont="1" applyBorder="1" applyAlignment="1">
      <alignment vertical="top"/>
    </xf>
    <xf numFmtId="0" fontId="10" fillId="0" borderId="3" xfId="0" applyFont="1" applyBorder="1" applyAlignment="1">
      <alignment wrapText="1"/>
    </xf>
    <xf numFmtId="0" fontId="10" fillId="0" borderId="77" xfId="0" applyFont="1" applyBorder="1"/>
    <xf numFmtId="0" fontId="10" fillId="0" borderId="78" xfId="0" applyFont="1" applyBorder="1"/>
    <xf numFmtId="0" fontId="10" fillId="0" borderId="100" xfId="0" applyFont="1" applyBorder="1"/>
    <xf numFmtId="0" fontId="10" fillId="0" borderId="101" xfId="0" applyFont="1" applyBorder="1"/>
    <xf numFmtId="9" fontId="10" fillId="0" borderId="101" xfId="0" applyNumberFormat="1" applyFont="1" applyBorder="1" applyAlignment="1">
      <alignment horizontal="right"/>
    </xf>
    <xf numFmtId="9" fontId="10" fillId="0" borderId="3" xfId="0" applyNumberFormat="1" applyFont="1" applyBorder="1" applyAlignment="1">
      <alignment horizontal="right"/>
    </xf>
    <xf numFmtId="9" fontId="10" fillId="0" borderId="78" xfId="0" applyNumberFormat="1" applyFont="1" applyBorder="1" applyAlignment="1">
      <alignment horizontal="right"/>
    </xf>
    <xf numFmtId="9" fontId="10" fillId="0" borderId="77" xfId="0" applyNumberFormat="1" applyFont="1" applyBorder="1" applyAlignment="1">
      <alignment horizontal="right"/>
    </xf>
    <xf numFmtId="9" fontId="10" fillId="0" borderId="78" xfId="0" applyNumberFormat="1" applyFont="1" applyBorder="1" applyAlignment="1">
      <alignment vertical="top"/>
    </xf>
    <xf numFmtId="9" fontId="10" fillId="0" borderId="3" xfId="0" applyNumberFormat="1" applyFont="1" applyBorder="1" applyAlignment="1">
      <alignment wrapText="1"/>
    </xf>
    <xf numFmtId="9" fontId="10" fillId="0" borderId="3" xfId="0" applyNumberFormat="1" applyFont="1" applyBorder="1"/>
    <xf numFmtId="9" fontId="10" fillId="0" borderId="77" xfId="0" applyNumberFormat="1" applyFont="1" applyBorder="1"/>
    <xf numFmtId="9" fontId="10" fillId="0" borderId="78" xfId="0" applyNumberFormat="1" applyFont="1" applyBorder="1"/>
    <xf numFmtId="9" fontId="10" fillId="0" borderId="100" xfId="0" applyNumberFormat="1" applyFont="1" applyBorder="1"/>
    <xf numFmtId="9" fontId="10" fillId="0" borderId="101" xfId="0" applyNumberFormat="1" applyFont="1" applyBorder="1"/>
    <xf numFmtId="9" fontId="10" fillId="4" borderId="4" xfId="0" applyNumberFormat="1" applyFont="1" applyFill="1" applyBorder="1"/>
    <xf numFmtId="9" fontId="10" fillId="4" borderId="5" xfId="0" applyNumberFormat="1" applyFont="1" applyFill="1" applyBorder="1"/>
    <xf numFmtId="9" fontId="10" fillId="4" borderId="2" xfId="0" applyNumberFormat="1" applyFont="1" applyFill="1" applyBorder="1"/>
    <xf numFmtId="3" fontId="10" fillId="0" borderId="78" xfId="0" applyNumberFormat="1" applyFont="1" applyBorder="1" applyAlignment="1">
      <alignment vertical="top"/>
    </xf>
    <xf numFmtId="3" fontId="10" fillId="0" borderId="77" xfId="0" applyNumberFormat="1" applyFont="1" applyBorder="1"/>
    <xf numFmtId="3" fontId="10" fillId="0" borderId="78" xfId="0" applyNumberFormat="1" applyFont="1" applyBorder="1"/>
    <xf numFmtId="3" fontId="10" fillId="0" borderId="100" xfId="0" applyNumberFormat="1" applyFont="1" applyBorder="1"/>
    <xf numFmtId="3" fontId="10" fillId="0" borderId="77" xfId="0" applyNumberFormat="1" applyFont="1" applyBorder="1" applyAlignment="1">
      <alignment horizontal="right"/>
    </xf>
    <xf numFmtId="3" fontId="10" fillId="0" borderId="3" xfId="0" applyNumberFormat="1" applyFont="1" applyBorder="1" applyAlignment="1">
      <alignment horizontal="right"/>
    </xf>
    <xf numFmtId="3" fontId="10" fillId="0" borderId="78" xfId="0" applyNumberFormat="1" applyFont="1" applyBorder="1" applyAlignment="1">
      <alignment horizontal="right"/>
    </xf>
    <xf numFmtId="3" fontId="10" fillId="0" borderId="101" xfId="0" applyNumberFormat="1" applyFont="1" applyBorder="1"/>
    <xf numFmtId="166" fontId="10" fillId="0" borderId="77" xfId="0" applyNumberFormat="1" applyFont="1" applyBorder="1" applyAlignment="1">
      <alignment horizontal="right"/>
    </xf>
    <xf numFmtId="166" fontId="10" fillId="0" borderId="78" xfId="0" applyNumberFormat="1" applyFont="1" applyBorder="1" applyAlignment="1">
      <alignment horizontal="right"/>
    </xf>
    <xf numFmtId="166" fontId="10" fillId="0" borderId="101" xfId="0" applyNumberFormat="1" applyFont="1" applyBorder="1"/>
    <xf numFmtId="0" fontId="10" fillId="0" borderId="57" xfId="0" applyFont="1" applyBorder="1" applyAlignment="1">
      <alignment wrapText="1"/>
    </xf>
    <xf numFmtId="166" fontId="10" fillId="0" borderId="57" xfId="0" applyNumberFormat="1" applyFont="1" applyBorder="1" applyAlignment="1">
      <alignment horizontal="right"/>
    </xf>
    <xf numFmtId="166" fontId="10" fillId="0" borderId="87" xfId="0" applyNumberFormat="1" applyFont="1" applyBorder="1" applyAlignment="1">
      <alignment horizontal="right"/>
    </xf>
    <xf numFmtId="166" fontId="10" fillId="0" borderId="102" xfId="0" applyNumberFormat="1" applyFont="1" applyBorder="1" applyAlignment="1">
      <alignment horizontal="right"/>
    </xf>
    <xf numFmtId="166" fontId="10" fillId="0" borderId="86" xfId="0" applyNumberFormat="1" applyFont="1" applyBorder="1" applyAlignment="1">
      <alignment horizontal="right"/>
    </xf>
    <xf numFmtId="3" fontId="10" fillId="4" borderId="4" xfId="0" applyNumberFormat="1" applyFont="1" applyFill="1" applyBorder="1" applyAlignment="1">
      <alignment horizontal="right"/>
    </xf>
    <xf numFmtId="3" fontId="10" fillId="4" borderId="5" xfId="0" applyNumberFormat="1" applyFont="1" applyFill="1" applyBorder="1" applyAlignment="1">
      <alignment horizontal="right"/>
    </xf>
    <xf numFmtId="0" fontId="12" fillId="5" borderId="36" xfId="0" applyFont="1" applyFill="1" applyBorder="1" applyAlignment="1">
      <alignment vertical="top"/>
    </xf>
    <xf numFmtId="0" fontId="10" fillId="5" borderId="35" xfId="0" applyFont="1" applyFill="1" applyBorder="1"/>
    <xf numFmtId="3" fontId="12" fillId="5" borderId="35" xfId="0" applyNumberFormat="1" applyFont="1" applyFill="1" applyBorder="1" applyAlignment="1">
      <alignment horizontal="right"/>
    </xf>
    <xf numFmtId="166" fontId="12" fillId="5" borderId="35" xfId="0" applyNumberFormat="1" applyFont="1" applyFill="1" applyBorder="1" applyAlignment="1">
      <alignment horizontal="right"/>
    </xf>
    <xf numFmtId="166" fontId="12" fillId="5" borderId="36" xfId="0" applyNumberFormat="1" applyFont="1" applyFill="1" applyBorder="1" applyAlignment="1">
      <alignment horizontal="right"/>
    </xf>
    <xf numFmtId="166" fontId="12" fillId="5" borderId="66" xfId="0" applyNumberFormat="1" applyFont="1" applyFill="1" applyBorder="1" applyAlignment="1">
      <alignment horizontal="right"/>
    </xf>
    <xf numFmtId="166" fontId="12" fillId="5" borderId="65" xfId="0" applyNumberFormat="1" applyFont="1" applyFill="1" applyBorder="1" applyAlignment="1">
      <alignment horizontal="right"/>
    </xf>
    <xf numFmtId="3" fontId="12" fillId="4" borderId="4" xfId="0" applyNumberFormat="1" applyFont="1" applyFill="1" applyBorder="1" applyAlignment="1">
      <alignment horizontal="right"/>
    </xf>
    <xf numFmtId="3" fontId="12" fillId="4" borderId="5" xfId="0" applyNumberFormat="1" applyFont="1" applyFill="1" applyBorder="1" applyAlignment="1">
      <alignment horizontal="right"/>
    </xf>
    <xf numFmtId="3" fontId="21" fillId="0" borderId="90" xfId="0" applyNumberFormat="1" applyFont="1" applyBorder="1" applyAlignment="1">
      <alignment vertical="top" wrapText="1"/>
    </xf>
    <xf numFmtId="166" fontId="10" fillId="0" borderId="60" xfId="0" applyNumberFormat="1" applyFont="1" applyBorder="1" applyAlignment="1">
      <alignment horizontal="right"/>
    </xf>
    <xf numFmtId="166" fontId="10" fillId="0" borderId="90" xfId="0" applyNumberFormat="1" applyFont="1" applyBorder="1" applyAlignment="1">
      <alignment horizontal="right"/>
    </xf>
    <xf numFmtId="166" fontId="10" fillId="0" borderId="70" xfId="0" applyNumberFormat="1" applyFont="1" applyBorder="1" applyAlignment="1">
      <alignment horizontal="right"/>
    </xf>
    <xf numFmtId="166" fontId="10" fillId="0" borderId="89" xfId="0" applyNumberFormat="1" applyFont="1" applyBorder="1"/>
    <xf numFmtId="166" fontId="10" fillId="0" borderId="60" xfId="0" applyNumberFormat="1" applyFont="1" applyBorder="1"/>
    <xf numFmtId="166" fontId="10" fillId="0" borderId="90" xfId="0" applyNumberFormat="1" applyFont="1" applyBorder="1"/>
    <xf numFmtId="166" fontId="10" fillId="0" borderId="89" xfId="0" applyNumberFormat="1" applyFont="1" applyBorder="1" applyAlignment="1">
      <alignment horizontal="right"/>
    </xf>
    <xf numFmtId="0" fontId="21" fillId="0" borderId="78" xfId="0" applyFont="1" applyBorder="1"/>
    <xf numFmtId="166" fontId="10" fillId="0" borderId="100" xfId="0" applyNumberFormat="1" applyFont="1" applyBorder="1" applyAlignment="1">
      <alignment horizontal="right"/>
    </xf>
    <xf numFmtId="0" fontId="21" fillId="0" borderId="86" xfId="0" applyFont="1" applyBorder="1"/>
    <xf numFmtId="166" fontId="10" fillId="0" borderId="103" xfId="0" applyNumberFormat="1" applyFont="1" applyBorder="1"/>
    <xf numFmtId="0" fontId="10" fillId="0" borderId="82" xfId="0" applyFont="1" applyBorder="1" applyAlignment="1">
      <alignment vertical="top"/>
    </xf>
    <xf numFmtId="0" fontId="10" fillId="0" borderId="83" xfId="0" applyFont="1" applyBorder="1" applyAlignment="1">
      <alignment wrapText="1"/>
    </xf>
    <xf numFmtId="9" fontId="10" fillId="0" borderId="83" xfId="0" applyNumberFormat="1" applyFont="1" applyBorder="1"/>
    <xf numFmtId="9" fontId="10" fillId="0" borderId="105" xfId="0" applyNumberFormat="1" applyFont="1" applyBorder="1"/>
    <xf numFmtId="9" fontId="10" fillId="0" borderId="82" xfId="0" applyNumberFormat="1" applyFont="1" applyBorder="1" applyAlignment="1">
      <alignment horizontal="right"/>
    </xf>
    <xf numFmtId="9" fontId="10" fillId="0" borderId="83" xfId="0" applyNumberFormat="1" applyFont="1" applyBorder="1" applyAlignment="1">
      <alignment horizontal="right"/>
    </xf>
    <xf numFmtId="9" fontId="10" fillId="0" borderId="105" xfId="0" applyNumberFormat="1" applyFont="1" applyBorder="1" applyAlignment="1">
      <alignment horizontal="right"/>
    </xf>
    <xf numFmtId="9" fontId="10" fillId="0" borderId="81" xfId="0" applyNumberFormat="1" applyFont="1" applyBorder="1" applyAlignment="1">
      <alignment horizontal="right"/>
    </xf>
    <xf numFmtId="9" fontId="10" fillId="0" borderId="73" xfId="0" applyNumberFormat="1" applyFont="1" applyBorder="1" applyAlignment="1">
      <alignment horizontal="right"/>
    </xf>
    <xf numFmtId="9" fontId="10" fillId="4" borderId="4" xfId="0" applyNumberFormat="1" applyFont="1" applyFill="1" applyBorder="1" applyAlignment="1">
      <alignment horizontal="right"/>
    </xf>
    <xf numFmtId="9" fontId="10" fillId="4" borderId="5" xfId="0" applyNumberFormat="1" applyFont="1" applyFill="1" applyBorder="1" applyAlignment="1">
      <alignment horizontal="right"/>
    </xf>
    <xf numFmtId="3" fontId="12" fillId="0" borderId="15" xfId="0" applyNumberFormat="1" applyFont="1" applyBorder="1" applyAlignment="1">
      <alignment vertical="top"/>
    </xf>
    <xf numFmtId="3" fontId="10" fillId="0" borderId="16" xfId="0" applyNumberFormat="1" applyFont="1" applyBorder="1"/>
    <xf numFmtId="3" fontId="12" fillId="0" borderId="16" xfId="0" applyNumberFormat="1" applyFont="1" applyBorder="1" applyAlignment="1">
      <alignment horizontal="right"/>
    </xf>
    <xf numFmtId="166" fontId="12" fillId="0" borderId="16" xfId="0" applyNumberFormat="1" applyFont="1" applyBorder="1" applyAlignment="1">
      <alignment horizontal="right"/>
    </xf>
    <xf numFmtId="4" fontId="10" fillId="0" borderId="4" xfId="0" applyNumberFormat="1" applyFont="1" applyBorder="1" applyAlignment="1">
      <alignment vertical="top"/>
    </xf>
    <xf numFmtId="4" fontId="10" fillId="0" borderId="5" xfId="0" applyNumberFormat="1" applyFont="1" applyBorder="1"/>
    <xf numFmtId="4" fontId="10" fillId="4" borderId="5" xfId="0" applyNumberFormat="1" applyFont="1" applyFill="1" applyBorder="1"/>
    <xf numFmtId="4" fontId="10" fillId="4" borderId="2" xfId="0" applyNumberFormat="1" applyFont="1" applyFill="1" applyBorder="1"/>
    <xf numFmtId="0" fontId="23" fillId="0" borderId="55" xfId="0" applyFont="1" applyBorder="1" applyAlignment="1">
      <alignment vertical="top"/>
    </xf>
    <xf numFmtId="0" fontId="23" fillId="0" borderId="6" xfId="0" applyFont="1" applyBorder="1"/>
    <xf numFmtId="0" fontId="10" fillId="4" borderId="54" xfId="0" applyFont="1" applyFill="1" applyBorder="1"/>
    <xf numFmtId="0" fontId="18" fillId="4" borderId="0" xfId="0" applyFont="1" applyFill="1"/>
    <xf numFmtId="0" fontId="18" fillId="0" borderId="0" xfId="0" applyFont="1"/>
    <xf numFmtId="3" fontId="20" fillId="14" borderId="112" xfId="0" applyNumberFormat="1" applyFont="1" applyFill="1" applyBorder="1" applyAlignment="1">
      <alignment horizontal="center"/>
    </xf>
    <xf numFmtId="3" fontId="20" fillId="14" borderId="18" xfId="0" applyNumberFormat="1" applyFont="1" applyFill="1" applyBorder="1" applyAlignment="1">
      <alignment horizontal="center"/>
    </xf>
    <xf numFmtId="3" fontId="20" fillId="14" borderId="113" xfId="0" applyNumberFormat="1" applyFont="1" applyFill="1" applyBorder="1" applyAlignment="1">
      <alignment horizontal="center"/>
    </xf>
    <xf numFmtId="3" fontId="20" fillId="14" borderId="59" xfId="0" applyNumberFormat="1" applyFont="1" applyFill="1" applyBorder="1" applyAlignment="1">
      <alignment horizontal="center"/>
    </xf>
    <xf numFmtId="3" fontId="20" fillId="4" borderId="0" xfId="0" applyNumberFormat="1" applyFont="1" applyFill="1" applyAlignment="1">
      <alignment horizontal="center"/>
    </xf>
    <xf numFmtId="3" fontId="10" fillId="0" borderId="68" xfId="0" applyNumberFormat="1" applyFont="1" applyBorder="1" applyAlignment="1">
      <alignment vertical="top"/>
    </xf>
    <xf numFmtId="166" fontId="10" fillId="0" borderId="67" xfId="0" applyNumberFormat="1" applyFont="1" applyBorder="1" applyAlignment="1">
      <alignment horizontal="right"/>
    </xf>
    <xf numFmtId="166" fontId="10" fillId="0" borderId="0" xfId="0" applyNumberFormat="1" applyFont="1" applyAlignment="1">
      <alignment horizontal="right"/>
    </xf>
    <xf numFmtId="166" fontId="10" fillId="0" borderId="68" xfId="0" applyNumberFormat="1" applyFont="1" applyBorder="1" applyAlignment="1">
      <alignment horizontal="right"/>
    </xf>
    <xf numFmtId="166" fontId="10" fillId="0" borderId="80" xfId="0" applyNumberFormat="1" applyFont="1" applyBorder="1" applyAlignment="1">
      <alignment horizontal="right"/>
    </xf>
    <xf numFmtId="166" fontId="10" fillId="4" borderId="0" xfId="0" applyNumberFormat="1" applyFont="1" applyFill="1" applyAlignment="1">
      <alignment horizontal="right"/>
    </xf>
    <xf numFmtId="3" fontId="10" fillId="0" borderId="16" xfId="0" applyNumberFormat="1" applyFont="1" applyBorder="1" applyAlignment="1">
      <alignment horizontal="right"/>
    </xf>
    <xf numFmtId="3" fontId="10" fillId="0" borderId="82" xfId="0" applyNumberFormat="1" applyFont="1" applyBorder="1" applyAlignment="1">
      <alignment vertical="top"/>
    </xf>
    <xf numFmtId="3" fontId="10" fillId="0" borderId="83" xfId="0" applyNumberFormat="1" applyFont="1" applyBorder="1"/>
    <xf numFmtId="3" fontId="10" fillId="0" borderId="83" xfId="0" applyNumberFormat="1" applyFont="1" applyBorder="1" applyAlignment="1">
      <alignment horizontal="right"/>
    </xf>
    <xf numFmtId="166" fontId="10" fillId="0" borderId="81" xfId="0" applyNumberFormat="1" applyFont="1" applyBorder="1" applyAlignment="1">
      <alignment horizontal="right"/>
    </xf>
    <xf numFmtId="166" fontId="10" fillId="0" borderId="83" xfId="0" applyNumberFormat="1" applyFont="1" applyBorder="1" applyAlignment="1">
      <alignment horizontal="right"/>
    </xf>
    <xf numFmtId="166" fontId="10" fillId="0" borderId="82" xfId="0" applyNumberFormat="1" applyFont="1" applyBorder="1" applyAlignment="1">
      <alignment horizontal="right"/>
    </xf>
    <xf numFmtId="166" fontId="10" fillId="0" borderId="73" xfId="0" applyNumberFormat="1" applyFont="1" applyBorder="1" applyAlignment="1">
      <alignment horizontal="right"/>
    </xf>
    <xf numFmtId="3" fontId="12" fillId="0" borderId="82" xfId="0" applyNumberFormat="1" applyFont="1" applyBorder="1" applyAlignment="1">
      <alignment vertical="top"/>
    </xf>
    <xf numFmtId="3" fontId="10" fillId="0" borderId="114" xfId="0" applyNumberFormat="1" applyFont="1" applyBorder="1"/>
    <xf numFmtId="3" fontId="10" fillId="0" borderId="115" xfId="0" applyNumberFormat="1" applyFont="1" applyBorder="1"/>
    <xf numFmtId="166" fontId="12" fillId="0" borderId="116" xfId="0" applyNumberFormat="1" applyFont="1" applyBorder="1" applyAlignment="1">
      <alignment horizontal="right"/>
    </xf>
    <xf numFmtId="166" fontId="12" fillId="0" borderId="115" xfId="0" applyNumberFormat="1" applyFont="1" applyBorder="1" applyAlignment="1">
      <alignment horizontal="right"/>
    </xf>
    <xf numFmtId="166" fontId="12" fillId="0" borderId="117" xfId="0" applyNumberFormat="1" applyFont="1" applyBorder="1" applyAlignment="1">
      <alignment horizontal="right"/>
    </xf>
    <xf numFmtId="166" fontId="12" fillId="0" borderId="114" xfId="0" applyNumberFormat="1" applyFont="1" applyBorder="1" applyAlignment="1">
      <alignment horizontal="right"/>
    </xf>
    <xf numFmtId="166" fontId="12" fillId="0" borderId="118" xfId="0" applyNumberFormat="1" applyFont="1" applyBorder="1" applyAlignment="1">
      <alignment horizontal="right"/>
    </xf>
    <xf numFmtId="166" fontId="12" fillId="4" borderId="44" xfId="0" applyNumberFormat="1" applyFont="1" applyFill="1" applyBorder="1" applyAlignment="1">
      <alignment horizontal="right"/>
    </xf>
    <xf numFmtId="3" fontId="12" fillId="0" borderId="15" xfId="0" applyNumberFormat="1" applyFont="1" applyBorder="1" applyAlignment="1">
      <alignment horizontal="right"/>
    </xf>
    <xf numFmtId="3" fontId="12" fillId="0" borderId="5" xfId="0" applyNumberFormat="1" applyFont="1" applyBorder="1" applyAlignment="1">
      <alignment horizontal="right"/>
    </xf>
    <xf numFmtId="0" fontId="10" fillId="0" borderId="15" xfId="0" applyFont="1" applyBorder="1" applyAlignment="1">
      <alignment vertical="top"/>
    </xf>
    <xf numFmtId="0" fontId="10" fillId="0" borderId="55" xfId="0" applyFont="1" applyBorder="1" applyAlignment="1">
      <alignment vertical="top"/>
    </xf>
    <xf numFmtId="0" fontId="12" fillId="4" borderId="15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3" fontId="12" fillId="4" borderId="4" xfId="0" applyNumberFormat="1" applyFont="1" applyFill="1" applyBorder="1" applyAlignment="1">
      <alignment horizontal="center"/>
    </xf>
    <xf numFmtId="3" fontId="12" fillId="4" borderId="5" xfId="0" applyNumberFormat="1" applyFont="1" applyFill="1" applyBorder="1" applyAlignment="1">
      <alignment horizontal="center"/>
    </xf>
    <xf numFmtId="3" fontId="20" fillId="9" borderId="0" xfId="0" applyNumberFormat="1" applyFont="1" applyFill="1" applyAlignment="1">
      <alignment horizontal="center"/>
    </xf>
    <xf numFmtId="3" fontId="20" fillId="9" borderId="34" xfId="0" applyNumberFormat="1" applyFont="1" applyFill="1" applyBorder="1" applyAlignment="1">
      <alignment horizontal="center"/>
    </xf>
    <xf numFmtId="3" fontId="20" fillId="9" borderId="35" xfId="0" applyNumberFormat="1" applyFont="1" applyFill="1" applyBorder="1" applyAlignment="1">
      <alignment horizontal="center"/>
    </xf>
    <xf numFmtId="3" fontId="20" fillId="9" borderId="36" xfId="0" applyNumberFormat="1" applyFont="1" applyFill="1" applyBorder="1" applyAlignment="1">
      <alignment horizontal="center"/>
    </xf>
    <xf numFmtId="3" fontId="20" fillId="4" borderId="4" xfId="0" applyNumberFormat="1" applyFont="1" applyFill="1" applyBorder="1" applyAlignment="1">
      <alignment horizontal="center"/>
    </xf>
    <xf numFmtId="3" fontId="20" fillId="4" borderId="5" xfId="0" applyNumberFormat="1" applyFont="1" applyFill="1" applyBorder="1" applyAlignment="1">
      <alignment horizontal="center"/>
    </xf>
    <xf numFmtId="0" fontId="10" fillId="0" borderId="120" xfId="0" applyFont="1" applyBorder="1"/>
    <xf numFmtId="0" fontId="10" fillId="0" borderId="121" xfId="0" applyFont="1" applyBorder="1"/>
    <xf numFmtId="3" fontId="10" fillId="0" borderId="121" xfId="0" applyNumberFormat="1" applyFont="1" applyBorder="1"/>
    <xf numFmtId="3" fontId="10" fillId="4" borderId="122" xfId="0" applyNumberFormat="1" applyFont="1" applyFill="1" applyBorder="1"/>
    <xf numFmtId="0" fontId="25" fillId="0" borderId="123" xfId="0" applyFont="1" applyBorder="1"/>
    <xf numFmtId="0" fontId="10" fillId="0" borderId="124" xfId="0" applyFont="1" applyBorder="1"/>
    <xf numFmtId="0" fontId="10" fillId="4" borderId="124" xfId="0" applyFont="1" applyFill="1" applyBorder="1"/>
    <xf numFmtId="3" fontId="10" fillId="4" borderId="124" xfId="0" applyNumberFormat="1" applyFont="1" applyFill="1" applyBorder="1"/>
    <xf numFmtId="0" fontId="20" fillId="10" borderId="125" xfId="0" applyFont="1" applyFill="1" applyBorder="1"/>
    <xf numFmtId="0" fontId="10" fillId="10" borderId="126" xfId="0" applyFont="1" applyFill="1" applyBorder="1"/>
    <xf numFmtId="3" fontId="10" fillId="4" borderId="127" xfId="0" applyNumberFormat="1" applyFont="1" applyFill="1" applyBorder="1" applyAlignment="1">
      <alignment horizontal="right"/>
    </xf>
    <xf numFmtId="3" fontId="10" fillId="4" borderId="126" xfId="0" applyNumberFormat="1" applyFont="1" applyFill="1" applyBorder="1"/>
    <xf numFmtId="3" fontId="10" fillId="4" borderId="126" xfId="0" applyNumberFormat="1" applyFont="1" applyFill="1" applyBorder="1" applyAlignment="1">
      <alignment horizontal="right"/>
    </xf>
    <xf numFmtId="3" fontId="10" fillId="4" borderId="128" xfId="0" applyNumberFormat="1" applyFont="1" applyFill="1" applyBorder="1" applyAlignment="1">
      <alignment horizontal="right"/>
    </xf>
    <xf numFmtId="3" fontId="10" fillId="4" borderId="129" xfId="0" applyNumberFormat="1" applyFont="1" applyFill="1" applyBorder="1" applyAlignment="1">
      <alignment horizontal="right"/>
    </xf>
    <xf numFmtId="0" fontId="10" fillId="4" borderId="130" xfId="0" applyFont="1" applyFill="1" applyBorder="1" applyAlignment="1">
      <alignment vertical="top"/>
    </xf>
    <xf numFmtId="3" fontId="10" fillId="4" borderId="131" xfId="0" applyNumberFormat="1" applyFont="1" applyFill="1" applyBorder="1" applyAlignment="1">
      <alignment horizontal="right"/>
    </xf>
    <xf numFmtId="3" fontId="10" fillId="4" borderId="90" xfId="0" applyNumberFormat="1" applyFont="1" applyFill="1" applyBorder="1" applyAlignment="1">
      <alignment horizontal="right"/>
    </xf>
    <xf numFmtId="3" fontId="10" fillId="4" borderId="89" xfId="0" applyNumberFormat="1" applyFont="1" applyFill="1" applyBorder="1" applyAlignment="1">
      <alignment horizontal="right"/>
    </xf>
    <xf numFmtId="3" fontId="10" fillId="4" borderId="132" xfId="0" applyNumberFormat="1" applyFont="1" applyFill="1" applyBorder="1" applyAlignment="1">
      <alignment horizontal="right"/>
    </xf>
    <xf numFmtId="0" fontId="10" fillId="4" borderId="133" xfId="0" applyFont="1" applyFill="1" applyBorder="1" applyAlignment="1">
      <alignment vertical="top"/>
    </xf>
    <xf numFmtId="0" fontId="10" fillId="4" borderId="63" xfId="0" applyFont="1" applyFill="1" applyBorder="1"/>
    <xf numFmtId="3" fontId="10" fillId="4" borderId="134" xfId="0" applyNumberFormat="1" applyFont="1" applyFill="1" applyBorder="1" applyAlignment="1">
      <alignment horizontal="right"/>
    </xf>
    <xf numFmtId="3" fontId="10" fillId="4" borderId="47" xfId="0" applyNumberFormat="1" applyFont="1" applyFill="1" applyBorder="1" applyAlignment="1">
      <alignment horizontal="right"/>
    </xf>
    <xf numFmtId="3" fontId="10" fillId="4" borderId="45" xfId="0" applyNumberFormat="1" applyFont="1" applyFill="1" applyBorder="1" applyAlignment="1">
      <alignment horizontal="right"/>
    </xf>
    <xf numFmtId="3" fontId="10" fillId="4" borderId="135" xfId="0" applyNumberFormat="1" applyFont="1" applyFill="1" applyBorder="1" applyAlignment="1">
      <alignment horizontal="right"/>
    </xf>
    <xf numFmtId="0" fontId="20" fillId="10" borderId="136" xfId="0" applyFont="1" applyFill="1" applyBorder="1"/>
    <xf numFmtId="0" fontId="10" fillId="10" borderId="36" xfId="0" applyFont="1" applyFill="1" applyBorder="1"/>
    <xf numFmtId="9" fontId="10" fillId="4" borderId="0" xfId="0" applyNumberFormat="1" applyFont="1" applyFill="1"/>
    <xf numFmtId="9" fontId="10" fillId="4" borderId="68" xfId="0" applyNumberFormat="1" applyFont="1" applyFill="1" applyBorder="1"/>
    <xf numFmtId="9" fontId="10" fillId="0" borderId="41" xfId="0" applyNumberFormat="1" applyFont="1" applyBorder="1"/>
    <xf numFmtId="9" fontId="10" fillId="0" borderId="0" xfId="0" applyNumberFormat="1" applyFont="1"/>
    <xf numFmtId="9" fontId="10" fillId="0" borderId="68" xfId="0" applyNumberFormat="1" applyFont="1" applyBorder="1"/>
    <xf numFmtId="4" fontId="10" fillId="0" borderId="41" xfId="0" applyNumberFormat="1" applyFont="1" applyBorder="1"/>
    <xf numFmtId="4" fontId="10" fillId="0" borderId="0" xfId="0" applyNumberFormat="1" applyFont="1"/>
    <xf numFmtId="9" fontId="10" fillId="0" borderId="137" xfId="0" applyNumberFormat="1" applyFont="1" applyBorder="1"/>
    <xf numFmtId="0" fontId="21" fillId="4" borderId="130" xfId="0" applyFont="1" applyFill="1" applyBorder="1" applyAlignment="1">
      <alignment vertical="top" wrapText="1"/>
    </xf>
    <xf numFmtId="9" fontId="10" fillId="4" borderId="60" xfId="0" applyNumberFormat="1" applyFont="1" applyFill="1" applyBorder="1"/>
    <xf numFmtId="9" fontId="10" fillId="4" borderId="90" xfId="0" applyNumberFormat="1" applyFont="1" applyFill="1" applyBorder="1"/>
    <xf numFmtId="9" fontId="10" fillId="4" borderId="60" xfId="0" applyNumberFormat="1" applyFont="1" applyFill="1" applyBorder="1" applyAlignment="1">
      <alignment horizontal="right"/>
    </xf>
    <xf numFmtId="9" fontId="10" fillId="4" borderId="90" xfId="0" applyNumberFormat="1" applyFont="1" applyFill="1" applyBorder="1" applyAlignment="1">
      <alignment horizontal="right"/>
    </xf>
    <xf numFmtId="9" fontId="10" fillId="0" borderId="89" xfId="0" applyNumberFormat="1" applyFont="1" applyBorder="1" applyAlignment="1">
      <alignment horizontal="right"/>
    </xf>
    <xf numFmtId="9" fontId="10" fillId="0" borderId="90" xfId="0" applyNumberFormat="1" applyFont="1" applyBorder="1" applyAlignment="1">
      <alignment horizontal="right"/>
    </xf>
    <xf numFmtId="9" fontId="10" fillId="0" borderId="132" xfId="0" applyNumberFormat="1" applyFont="1" applyBorder="1" applyAlignment="1">
      <alignment horizontal="right"/>
    </xf>
    <xf numFmtId="9" fontId="10" fillId="4" borderId="133" xfId="0" applyNumberFormat="1" applyFont="1" applyFill="1" applyBorder="1" applyAlignment="1">
      <alignment vertical="top"/>
    </xf>
    <xf numFmtId="9" fontId="10" fillId="4" borderId="72" xfId="0" applyNumberFormat="1" applyFont="1" applyFill="1" applyBorder="1"/>
    <xf numFmtId="9" fontId="10" fillId="4" borderId="46" xfId="0" applyNumberFormat="1" applyFont="1" applyFill="1" applyBorder="1"/>
    <xf numFmtId="9" fontId="10" fillId="4" borderId="47" xfId="0" applyNumberFormat="1" applyFont="1" applyFill="1" applyBorder="1"/>
    <xf numFmtId="9" fontId="10" fillId="4" borderId="46" xfId="0" applyNumberFormat="1" applyFont="1" applyFill="1" applyBorder="1" applyAlignment="1">
      <alignment horizontal="right"/>
    </xf>
    <xf numFmtId="9" fontId="10" fillId="4" borderId="47" xfId="0" applyNumberFormat="1" applyFont="1" applyFill="1" applyBorder="1" applyAlignment="1">
      <alignment horizontal="right"/>
    </xf>
    <xf numFmtId="9" fontId="10" fillId="0" borderId="45" xfId="0" applyNumberFormat="1" applyFont="1" applyBorder="1" applyAlignment="1">
      <alignment horizontal="right"/>
    </xf>
    <xf numFmtId="9" fontId="10" fillId="0" borderId="46" xfId="0" applyNumberFormat="1" applyFont="1" applyBorder="1" applyAlignment="1">
      <alignment horizontal="right"/>
    </xf>
    <xf numFmtId="9" fontId="10" fillId="0" borderId="47" xfId="0" applyNumberFormat="1" applyFont="1" applyBorder="1" applyAlignment="1">
      <alignment horizontal="right"/>
    </xf>
    <xf numFmtId="9" fontId="10" fillId="0" borderId="135" xfId="0" applyNumberFormat="1" applyFont="1" applyBorder="1" applyAlignment="1">
      <alignment horizontal="right"/>
    </xf>
    <xf numFmtId="9" fontId="26" fillId="15" borderId="136" xfId="0" applyNumberFormat="1" applyFont="1" applyFill="1" applyBorder="1"/>
    <xf numFmtId="9" fontId="10" fillId="15" borderId="36" xfId="0" applyNumberFormat="1" applyFont="1" applyFill="1" applyBorder="1"/>
    <xf numFmtId="9" fontId="21" fillId="4" borderId="130" xfId="0" applyNumberFormat="1" applyFont="1" applyFill="1" applyBorder="1" applyAlignment="1">
      <alignment vertical="top" wrapText="1"/>
    </xf>
    <xf numFmtId="9" fontId="10" fillId="4" borderId="138" xfId="0" applyNumberFormat="1" applyFont="1" applyFill="1" applyBorder="1" applyAlignment="1">
      <alignment vertical="top"/>
    </xf>
    <xf numFmtId="9" fontId="10" fillId="4" borderId="139" xfId="0" applyNumberFormat="1" applyFont="1" applyFill="1" applyBorder="1"/>
    <xf numFmtId="9" fontId="10" fillId="4" borderId="140" xfId="0" applyNumberFormat="1" applyFont="1" applyFill="1" applyBorder="1"/>
    <xf numFmtId="9" fontId="10" fillId="4" borderId="141" xfId="0" applyNumberFormat="1" applyFont="1" applyFill="1" applyBorder="1"/>
    <xf numFmtId="9" fontId="10" fillId="4" borderId="140" xfId="0" applyNumberFormat="1" applyFont="1" applyFill="1" applyBorder="1" applyAlignment="1">
      <alignment horizontal="right"/>
    </xf>
    <xf numFmtId="9" fontId="10" fillId="4" borderId="141" xfId="0" applyNumberFormat="1" applyFont="1" applyFill="1" applyBorder="1" applyAlignment="1">
      <alignment horizontal="right"/>
    </xf>
    <xf numFmtId="9" fontId="10" fillId="0" borderId="142" xfId="0" applyNumberFormat="1" applyFont="1" applyBorder="1" applyAlignment="1">
      <alignment horizontal="right"/>
    </xf>
    <xf numFmtId="9" fontId="10" fillId="0" borderId="140" xfId="0" applyNumberFormat="1" applyFont="1" applyBorder="1" applyAlignment="1">
      <alignment horizontal="right"/>
    </xf>
    <xf numFmtId="9" fontId="10" fillId="0" borderId="141" xfId="0" applyNumberFormat="1" applyFont="1" applyBorder="1" applyAlignment="1">
      <alignment horizontal="right"/>
    </xf>
    <xf numFmtId="9" fontId="10" fillId="0" borderId="143" xfId="0" applyNumberFormat="1" applyFont="1" applyBorder="1" applyAlignment="1">
      <alignment horizontal="right"/>
    </xf>
    <xf numFmtId="9" fontId="10" fillId="4" borderId="52" xfId="0" applyNumberFormat="1" applyFont="1" applyFill="1" applyBorder="1" applyAlignment="1">
      <alignment vertical="top"/>
    </xf>
    <xf numFmtId="9" fontId="10" fillId="4" borderId="52" xfId="0" applyNumberFormat="1" applyFont="1" applyFill="1" applyBorder="1"/>
    <xf numFmtId="9" fontId="10" fillId="4" borderId="52" xfId="0" applyNumberFormat="1" applyFont="1" applyFill="1" applyBorder="1" applyAlignment="1">
      <alignment horizontal="right"/>
    </xf>
    <xf numFmtId="9" fontId="10" fillId="0" borderId="52" xfId="0" applyNumberFormat="1" applyFont="1" applyBorder="1" applyAlignment="1">
      <alignment horizontal="right"/>
    </xf>
    <xf numFmtId="3" fontId="10" fillId="0" borderId="127" xfId="0" applyNumberFormat="1" applyFont="1" applyBorder="1" applyAlignment="1">
      <alignment horizontal="right"/>
    </xf>
    <xf numFmtId="4" fontId="12" fillId="4" borderId="0" xfId="0" applyNumberFormat="1" applyFont="1" applyFill="1"/>
    <xf numFmtId="4" fontId="12" fillId="4" borderId="41" xfId="0" applyNumberFormat="1" applyFont="1" applyFill="1" applyBorder="1"/>
    <xf numFmtId="4" fontId="10" fillId="4" borderId="41" xfId="0" applyNumberFormat="1" applyFont="1" applyFill="1" applyBorder="1"/>
    <xf numFmtId="4" fontId="10" fillId="4" borderId="0" xfId="0" applyNumberFormat="1" applyFont="1" applyFill="1"/>
    <xf numFmtId="9" fontId="10" fillId="4" borderId="137" xfId="0" applyNumberFormat="1" applyFont="1" applyFill="1" applyBorder="1"/>
    <xf numFmtId="9" fontId="10" fillId="4" borderId="41" xfId="0" applyNumberFormat="1" applyFont="1" applyFill="1" applyBorder="1"/>
    <xf numFmtId="9" fontId="10" fillId="4" borderId="16" xfId="0" applyNumberFormat="1" applyFont="1" applyFill="1" applyBorder="1" applyAlignment="1">
      <alignment vertical="top"/>
    </xf>
    <xf numFmtId="9" fontId="10" fillId="4" borderId="16" xfId="0" applyNumberFormat="1" applyFont="1" applyFill="1" applyBorder="1"/>
    <xf numFmtId="9" fontId="10" fillId="4" borderId="16" xfId="0" applyNumberFormat="1" applyFont="1" applyFill="1" applyBorder="1" applyAlignment="1">
      <alignment horizontal="right"/>
    </xf>
    <xf numFmtId="9" fontId="10" fillId="0" borderId="16" xfId="0" applyNumberFormat="1" applyFont="1" applyBorder="1" applyAlignment="1">
      <alignment horizontal="right"/>
    </xf>
    <xf numFmtId="9" fontId="10" fillId="4" borderId="6" xfId="0" applyNumberFormat="1" applyFont="1" applyFill="1" applyBorder="1"/>
    <xf numFmtId="9" fontId="10" fillId="4" borderId="6" xfId="0" applyNumberFormat="1" applyFont="1" applyFill="1" applyBorder="1" applyAlignment="1">
      <alignment horizontal="right"/>
    </xf>
    <xf numFmtId="9" fontId="10" fillId="0" borderId="6" xfId="0" applyNumberFormat="1" applyFont="1" applyBorder="1" applyAlignment="1">
      <alignment horizontal="right"/>
    </xf>
    <xf numFmtId="0" fontId="20" fillId="11" borderId="125" xfId="0" applyFont="1" applyFill="1" applyBorder="1"/>
    <xf numFmtId="0" fontId="10" fillId="11" borderId="126" xfId="0" applyFont="1" applyFill="1" applyBorder="1"/>
    <xf numFmtId="3" fontId="10" fillId="4" borderId="127" xfId="0" applyNumberFormat="1" applyFont="1" applyFill="1" applyBorder="1"/>
    <xf numFmtId="0" fontId="10" fillId="4" borderId="130" xfId="0" applyFont="1" applyFill="1" applyBorder="1"/>
    <xf numFmtId="164" fontId="10" fillId="4" borderId="131" xfId="0" applyNumberFormat="1" applyFont="1" applyFill="1" applyBorder="1" applyAlignment="1">
      <alignment horizontal="right"/>
    </xf>
    <xf numFmtId="164" fontId="10" fillId="4" borderId="90" xfId="0" applyNumberFormat="1" applyFont="1" applyFill="1" applyBorder="1" applyAlignment="1">
      <alignment horizontal="right"/>
    </xf>
    <xf numFmtId="164" fontId="10" fillId="4" borderId="89" xfId="0" applyNumberFormat="1" applyFont="1" applyFill="1" applyBorder="1" applyAlignment="1">
      <alignment horizontal="right"/>
    </xf>
    <xf numFmtId="164" fontId="10" fillId="4" borderId="132" xfId="0" applyNumberFormat="1" applyFont="1" applyFill="1" applyBorder="1" applyAlignment="1">
      <alignment horizontal="right"/>
    </xf>
    <xf numFmtId="164" fontId="10" fillId="4" borderId="4" xfId="0" applyNumberFormat="1" applyFont="1" applyFill="1" applyBorder="1" applyAlignment="1">
      <alignment horizontal="right"/>
    </xf>
    <xf numFmtId="164" fontId="10" fillId="4" borderId="5" xfId="0" applyNumberFormat="1" applyFont="1" applyFill="1" applyBorder="1" applyAlignment="1">
      <alignment horizontal="right"/>
    </xf>
    <xf numFmtId="0" fontId="10" fillId="4" borderId="133" xfId="0" applyFont="1" applyFill="1" applyBorder="1"/>
    <xf numFmtId="164" fontId="10" fillId="4" borderId="134" xfId="0" applyNumberFormat="1" applyFont="1" applyFill="1" applyBorder="1" applyAlignment="1">
      <alignment horizontal="right"/>
    </xf>
    <xf numFmtId="164" fontId="10" fillId="4" borderId="47" xfId="0" applyNumberFormat="1" applyFont="1" applyFill="1" applyBorder="1" applyAlignment="1">
      <alignment horizontal="right"/>
    </xf>
    <xf numFmtId="164" fontId="10" fillId="4" borderId="45" xfId="0" applyNumberFormat="1" applyFont="1" applyFill="1" applyBorder="1" applyAlignment="1">
      <alignment horizontal="right"/>
    </xf>
    <xf numFmtId="164" fontId="10" fillId="4" borderId="135" xfId="0" applyNumberFormat="1" applyFont="1" applyFill="1" applyBorder="1" applyAlignment="1">
      <alignment horizontal="right"/>
    </xf>
    <xf numFmtId="0" fontId="20" fillId="11" borderId="136" xfId="0" applyFont="1" applyFill="1" applyBorder="1"/>
    <xf numFmtId="0" fontId="10" fillId="11" borderId="36" xfId="0" applyFont="1" applyFill="1" applyBorder="1"/>
    <xf numFmtId="3" fontId="10" fillId="4" borderId="0" xfId="0" applyNumberFormat="1" applyFont="1" applyFill="1"/>
    <xf numFmtId="3" fontId="10" fillId="0" borderId="68" xfId="0" applyNumberFormat="1" applyFont="1" applyBorder="1"/>
    <xf numFmtId="3" fontId="10" fillId="4" borderId="68" xfId="0" applyNumberFormat="1" applyFont="1" applyFill="1" applyBorder="1"/>
    <xf numFmtId="3" fontId="10" fillId="4" borderId="41" xfId="0" applyNumberFormat="1" applyFont="1" applyFill="1" applyBorder="1"/>
    <xf numFmtId="3" fontId="10" fillId="4" borderId="137" xfId="0" applyNumberFormat="1" applyFont="1" applyFill="1" applyBorder="1"/>
    <xf numFmtId="9" fontId="10" fillId="4" borderId="35" xfId="0" applyNumberFormat="1" applyFont="1" applyFill="1" applyBorder="1"/>
    <xf numFmtId="9" fontId="10" fillId="4" borderId="36" xfId="0" applyNumberFormat="1" applyFont="1" applyFill="1" applyBorder="1"/>
    <xf numFmtId="9" fontId="10" fillId="4" borderId="34" xfId="0" applyNumberFormat="1" applyFont="1" applyFill="1" applyBorder="1"/>
    <xf numFmtId="9" fontId="10" fillId="4" borderId="146" xfId="0" applyNumberFormat="1" applyFont="1" applyFill="1" applyBorder="1"/>
    <xf numFmtId="166" fontId="10" fillId="4" borderId="127" xfId="0" applyNumberFormat="1" applyFont="1" applyFill="1" applyBorder="1" applyAlignment="1">
      <alignment horizontal="right"/>
    </xf>
    <xf numFmtId="164" fontId="20" fillId="10" borderId="34" xfId="0" applyNumberFormat="1" applyFont="1" applyFill="1" applyBorder="1"/>
    <xf numFmtId="164" fontId="12" fillId="10" borderId="36" xfId="0" applyNumberFormat="1" applyFont="1" applyFill="1" applyBorder="1"/>
    <xf numFmtId="164" fontId="12" fillId="4" borderId="35" xfId="0" applyNumberFormat="1" applyFont="1" applyFill="1" applyBorder="1"/>
    <xf numFmtId="164" fontId="12" fillId="4" borderId="36" xfId="0" applyNumberFormat="1" applyFont="1" applyFill="1" applyBorder="1"/>
    <xf numFmtId="164" fontId="12" fillId="4" borderId="35" xfId="0" applyNumberFormat="1" applyFont="1" applyFill="1" applyBorder="1" applyAlignment="1">
      <alignment horizontal="right"/>
    </xf>
    <xf numFmtId="164" fontId="12" fillId="4" borderId="36" xfId="0" applyNumberFormat="1" applyFont="1" applyFill="1" applyBorder="1" applyAlignment="1">
      <alignment horizontal="right"/>
    </xf>
    <xf numFmtId="164" fontId="12" fillId="4" borderId="34" xfId="0" applyNumberFormat="1" applyFont="1" applyFill="1" applyBorder="1" applyAlignment="1">
      <alignment horizontal="right"/>
    </xf>
    <xf numFmtId="164" fontId="12" fillId="4" borderId="4" xfId="0" applyNumberFormat="1" applyFont="1" applyFill="1" applyBorder="1" applyAlignment="1">
      <alignment horizontal="right"/>
    </xf>
    <xf numFmtId="164" fontId="12" fillId="4" borderId="5" xfId="0" applyNumberFormat="1" applyFont="1" applyFill="1" applyBorder="1" applyAlignment="1">
      <alignment horizontal="right"/>
    </xf>
    <xf numFmtId="0" fontId="12" fillId="4" borderId="2" xfId="0" applyFont="1" applyFill="1" applyBorder="1"/>
    <xf numFmtId="164" fontId="10" fillId="4" borderId="41" xfId="0" applyNumberFormat="1" applyFont="1" applyFill="1" applyBorder="1"/>
    <xf numFmtId="164" fontId="10" fillId="4" borderId="68" xfId="0" applyNumberFormat="1" applyFont="1" applyFill="1" applyBorder="1"/>
    <xf numFmtId="164" fontId="10" fillId="4" borderId="60" xfId="0" applyNumberFormat="1" applyFont="1" applyFill="1" applyBorder="1"/>
    <xf numFmtId="164" fontId="10" fillId="4" borderId="90" xfId="0" applyNumberFormat="1" applyFont="1" applyFill="1" applyBorder="1"/>
    <xf numFmtId="164" fontId="10" fillId="0" borderId="89" xfId="0" applyNumberFormat="1" applyFont="1" applyBorder="1" applyAlignment="1">
      <alignment horizontal="right"/>
    </xf>
    <xf numFmtId="164" fontId="10" fillId="0" borderId="90" xfId="0" applyNumberFormat="1" applyFont="1" applyBorder="1" applyAlignment="1">
      <alignment horizontal="right"/>
    </xf>
    <xf numFmtId="164" fontId="10" fillId="4" borderId="88" xfId="0" applyNumberFormat="1" applyFont="1" applyFill="1" applyBorder="1"/>
    <xf numFmtId="164" fontId="10" fillId="4" borderId="72" xfId="0" applyNumberFormat="1" applyFont="1" applyFill="1" applyBorder="1"/>
    <xf numFmtId="164" fontId="10" fillId="4" borderId="46" xfId="0" applyNumberFormat="1" applyFont="1" applyFill="1" applyBorder="1"/>
    <xf numFmtId="164" fontId="10" fillId="4" borderId="47" xfId="0" applyNumberFormat="1" applyFont="1" applyFill="1" applyBorder="1"/>
    <xf numFmtId="164" fontId="10" fillId="0" borderId="45" xfId="0" applyNumberFormat="1" applyFont="1" applyBorder="1" applyAlignment="1">
      <alignment horizontal="right"/>
    </xf>
    <xf numFmtId="164" fontId="10" fillId="0" borderId="47" xfId="0" applyNumberFormat="1" applyFont="1" applyBorder="1" applyAlignment="1">
      <alignment horizontal="right"/>
    </xf>
    <xf numFmtId="3" fontId="27" fillId="0" borderId="16" xfId="0" applyNumberFormat="1" applyFont="1" applyBorder="1"/>
    <xf numFmtId="3" fontId="27" fillId="4" borderId="16" xfId="0" applyNumberFormat="1" applyFont="1" applyFill="1" applyBorder="1" applyAlignment="1">
      <alignment horizontal="right"/>
    </xf>
    <xf numFmtId="3" fontId="27" fillId="4" borderId="5" xfId="0" applyNumberFormat="1" applyFont="1" applyFill="1" applyBorder="1" applyAlignment="1">
      <alignment horizontal="right"/>
    </xf>
    <xf numFmtId="3" fontId="27" fillId="0" borderId="5" xfId="0" applyNumberFormat="1" applyFont="1" applyBorder="1"/>
    <xf numFmtId="0" fontId="12" fillId="4" borderId="4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3" fontId="10" fillId="0" borderId="120" xfId="0" applyNumberFormat="1" applyFont="1" applyBorder="1"/>
    <xf numFmtId="3" fontId="10" fillId="0" borderId="124" xfId="0" applyNumberFormat="1" applyFont="1" applyBorder="1"/>
    <xf numFmtId="3" fontId="28" fillId="10" borderId="125" xfId="0" applyNumberFormat="1" applyFont="1" applyFill="1" applyBorder="1"/>
    <xf numFmtId="3" fontId="29" fillId="10" borderId="127" xfId="0" applyNumberFormat="1" applyFont="1" applyFill="1" applyBorder="1"/>
    <xf numFmtId="3" fontId="22" fillId="4" borderId="128" xfId="0" applyNumberFormat="1" applyFont="1" applyFill="1" applyBorder="1"/>
    <xf numFmtId="3" fontId="22" fillId="4" borderId="126" xfId="0" applyNumberFormat="1" applyFont="1" applyFill="1" applyBorder="1"/>
    <xf numFmtId="3" fontId="22" fillId="4" borderId="127" xfId="0" applyNumberFormat="1" applyFont="1" applyFill="1" applyBorder="1"/>
    <xf numFmtId="3" fontId="22" fillId="4" borderId="147" xfId="0" applyNumberFormat="1" applyFont="1" applyFill="1" applyBorder="1"/>
    <xf numFmtId="3" fontId="22" fillId="4" borderId="129" xfId="0" applyNumberFormat="1" applyFont="1" applyFill="1" applyBorder="1"/>
    <xf numFmtId="3" fontId="22" fillId="4" borderId="4" xfId="0" applyNumberFormat="1" applyFont="1" applyFill="1" applyBorder="1"/>
    <xf numFmtId="3" fontId="22" fillId="4" borderId="5" xfId="0" applyNumberFormat="1" applyFont="1" applyFill="1" applyBorder="1"/>
    <xf numFmtId="3" fontId="29" fillId="4" borderId="0" xfId="0" applyNumberFormat="1" applyFont="1" applyFill="1"/>
    <xf numFmtId="3" fontId="22" fillId="4" borderId="148" xfId="0" applyNumberFormat="1" applyFont="1" applyFill="1" applyBorder="1"/>
    <xf numFmtId="3" fontId="22" fillId="4" borderId="149" xfId="0" applyNumberFormat="1" applyFont="1" applyFill="1" applyBorder="1"/>
    <xf numFmtId="3" fontId="22" fillId="4" borderId="150" xfId="0" applyNumberFormat="1" applyFont="1" applyFill="1" applyBorder="1"/>
    <xf numFmtId="3" fontId="10" fillId="4" borderId="150" xfId="0" applyNumberFormat="1" applyFont="1" applyFill="1" applyBorder="1" applyAlignment="1">
      <alignment horizontal="right"/>
    </xf>
    <xf numFmtId="3" fontId="22" fillId="4" borderId="151" xfId="0" applyNumberFormat="1" applyFont="1" applyFill="1" applyBorder="1"/>
    <xf numFmtId="3" fontId="22" fillId="4" borderId="152" xfId="0" applyNumberFormat="1" applyFont="1" applyFill="1" applyBorder="1"/>
    <xf numFmtId="3" fontId="29" fillId="4" borderId="63" xfId="0" applyNumberFormat="1" applyFont="1" applyFill="1" applyBorder="1"/>
    <xf numFmtId="3" fontId="22" fillId="4" borderId="153" xfId="0" applyNumberFormat="1" applyFont="1" applyFill="1" applyBorder="1"/>
    <xf numFmtId="3" fontId="22" fillId="4" borderId="154" xfId="0" applyNumberFormat="1" applyFont="1" applyFill="1" applyBorder="1"/>
    <xf numFmtId="3" fontId="22" fillId="4" borderId="155" xfId="0" applyNumberFormat="1" applyFont="1" applyFill="1" applyBorder="1"/>
    <xf numFmtId="3" fontId="10" fillId="4" borderId="155" xfId="0" applyNumberFormat="1" applyFont="1" applyFill="1" applyBorder="1" applyAlignment="1">
      <alignment horizontal="right"/>
    </xf>
    <xf numFmtId="3" fontId="22" fillId="4" borderId="156" xfId="0" applyNumberFormat="1" applyFont="1" applyFill="1" applyBorder="1"/>
    <xf numFmtId="3" fontId="22" fillId="4" borderId="157" xfId="0" applyNumberFormat="1" applyFont="1" applyFill="1" applyBorder="1"/>
    <xf numFmtId="3" fontId="20" fillId="10" borderId="136" xfId="0" applyNumberFormat="1" applyFont="1" applyFill="1" applyBorder="1"/>
    <xf numFmtId="3" fontId="10" fillId="10" borderId="35" xfId="0" applyNumberFormat="1" applyFont="1" applyFill="1" applyBorder="1"/>
    <xf numFmtId="3" fontId="22" fillId="4" borderId="41" xfId="0" applyNumberFormat="1" applyFont="1" applyFill="1" applyBorder="1"/>
    <xf numFmtId="3" fontId="10" fillId="4" borderId="0" xfId="0" applyNumberFormat="1" applyFont="1" applyFill="1" applyAlignment="1">
      <alignment horizontal="right"/>
    </xf>
    <xf numFmtId="3" fontId="22" fillId="4" borderId="80" xfId="0" applyNumberFormat="1" applyFont="1" applyFill="1" applyBorder="1"/>
    <xf numFmtId="3" fontId="22" fillId="4" borderId="137" xfId="0" applyNumberFormat="1" applyFont="1" applyFill="1" applyBorder="1"/>
    <xf numFmtId="3" fontId="10" fillId="4" borderId="158" xfId="0" applyNumberFormat="1" applyFont="1" applyFill="1" applyBorder="1"/>
    <xf numFmtId="3" fontId="22" fillId="4" borderId="159" xfId="0" applyNumberFormat="1" applyFont="1" applyFill="1" applyBorder="1"/>
    <xf numFmtId="3" fontId="22" fillId="4" borderId="160" xfId="0" applyNumberFormat="1" applyFont="1" applyFill="1" applyBorder="1"/>
    <xf numFmtId="3" fontId="22" fillId="4" borderId="161" xfId="0" applyNumberFormat="1" applyFont="1" applyFill="1" applyBorder="1"/>
    <xf numFmtId="3" fontId="10" fillId="4" borderId="161" xfId="0" applyNumberFormat="1" applyFont="1" applyFill="1" applyBorder="1" applyAlignment="1">
      <alignment horizontal="right"/>
    </xf>
    <xf numFmtId="3" fontId="22" fillId="4" borderId="162" xfId="0" applyNumberFormat="1" applyFont="1" applyFill="1" applyBorder="1"/>
    <xf numFmtId="3" fontId="22" fillId="4" borderId="163" xfId="0" applyNumberFormat="1" applyFont="1" applyFill="1" applyBorder="1"/>
    <xf numFmtId="3" fontId="30" fillId="4" borderId="121" xfId="0" applyNumberFormat="1" applyFont="1" applyFill="1" applyBorder="1" applyAlignment="1">
      <alignment vertical="top" wrapText="1"/>
    </xf>
    <xf numFmtId="3" fontId="10" fillId="4" borderId="121" xfId="0" applyNumberFormat="1" applyFont="1" applyFill="1" applyBorder="1"/>
    <xf numFmtId="3" fontId="22" fillId="4" borderId="121" xfId="0" applyNumberFormat="1" applyFont="1" applyFill="1" applyBorder="1"/>
    <xf numFmtId="3" fontId="10" fillId="4" borderId="121" xfId="0" applyNumberFormat="1" applyFont="1" applyFill="1" applyBorder="1" applyAlignment="1">
      <alignment horizontal="right"/>
    </xf>
    <xf numFmtId="3" fontId="22" fillId="4" borderId="122" xfId="0" applyNumberFormat="1" applyFont="1" applyFill="1" applyBorder="1"/>
    <xf numFmtId="3" fontId="22" fillId="4" borderId="124" xfId="0" applyNumberFormat="1" applyFont="1" applyFill="1" applyBorder="1"/>
    <xf numFmtId="3" fontId="10" fillId="4" borderId="124" xfId="0" applyNumberFormat="1" applyFont="1" applyFill="1" applyBorder="1" applyAlignment="1">
      <alignment horizontal="right"/>
    </xf>
    <xf numFmtId="3" fontId="22" fillId="4" borderId="127" xfId="0" applyNumberFormat="1" applyFont="1" applyFill="1" applyBorder="1" applyAlignment="1">
      <alignment horizontal="right"/>
    </xf>
    <xf numFmtId="9" fontId="22" fillId="4" borderId="131" xfId="0" applyNumberFormat="1" applyFont="1" applyFill="1" applyBorder="1"/>
    <xf numFmtId="3" fontId="22" fillId="4" borderId="90" xfId="0" applyNumberFormat="1" applyFont="1" applyFill="1" applyBorder="1"/>
    <xf numFmtId="3" fontId="22" fillId="4" borderId="70" xfId="0" applyNumberFormat="1" applyFont="1" applyFill="1" applyBorder="1"/>
    <xf numFmtId="3" fontId="22" fillId="4" borderId="132" xfId="0" applyNumberFormat="1" applyFont="1" applyFill="1" applyBorder="1"/>
    <xf numFmtId="9" fontId="22" fillId="4" borderId="134" xfId="0" applyNumberFormat="1" applyFont="1" applyFill="1" applyBorder="1"/>
    <xf numFmtId="3" fontId="22" fillId="4" borderId="47" xfId="0" applyNumberFormat="1" applyFont="1" applyFill="1" applyBorder="1"/>
    <xf numFmtId="3" fontId="22" fillId="4" borderId="46" xfId="0" applyNumberFormat="1" applyFont="1" applyFill="1" applyBorder="1"/>
    <xf numFmtId="3" fontId="22" fillId="4" borderId="74" xfId="0" applyNumberFormat="1" applyFont="1" applyFill="1" applyBorder="1"/>
    <xf numFmtId="3" fontId="22" fillId="4" borderId="135" xfId="0" applyNumberFormat="1" applyFont="1" applyFill="1" applyBorder="1"/>
    <xf numFmtId="9" fontId="22" fillId="4" borderId="68" xfId="0" applyNumberFormat="1" applyFont="1" applyFill="1" applyBorder="1"/>
    <xf numFmtId="9" fontId="22" fillId="4" borderId="90" xfId="0" applyNumberFormat="1" applyFont="1" applyFill="1" applyBorder="1"/>
    <xf numFmtId="9" fontId="22" fillId="4" borderId="47" xfId="0" applyNumberFormat="1" applyFont="1" applyFill="1" applyBorder="1"/>
    <xf numFmtId="3" fontId="22" fillId="4" borderId="46" xfId="0" applyNumberFormat="1" applyFont="1" applyFill="1" applyBorder="1" applyAlignment="1">
      <alignment horizontal="right"/>
    </xf>
    <xf numFmtId="3" fontId="22" fillId="4" borderId="35" xfId="0" applyNumberFormat="1" applyFont="1" applyFill="1" applyBorder="1"/>
    <xf numFmtId="3" fontId="22" fillId="4" borderId="66" xfId="0" applyNumberFormat="1" applyFont="1" applyFill="1" applyBorder="1" applyAlignment="1">
      <alignment horizontal="right"/>
    </xf>
    <xf numFmtId="3" fontId="22" fillId="4" borderId="35" xfId="0" applyNumberFormat="1" applyFont="1" applyFill="1" applyBorder="1" applyAlignment="1">
      <alignment horizontal="right"/>
    </xf>
    <xf numFmtId="3" fontId="22" fillId="4" borderId="146" xfId="0" applyNumberFormat="1" applyFont="1" applyFill="1" applyBorder="1" applyAlignment="1">
      <alignment horizontal="right"/>
    </xf>
    <xf numFmtId="3" fontId="22" fillId="4" borderId="4" xfId="0" applyNumberFormat="1" applyFont="1" applyFill="1" applyBorder="1" applyAlignment="1">
      <alignment horizontal="right"/>
    </xf>
    <xf numFmtId="3" fontId="22" fillId="4" borderId="5" xfId="0" applyNumberFormat="1" applyFont="1" applyFill="1" applyBorder="1" applyAlignment="1">
      <alignment horizontal="right"/>
    </xf>
    <xf numFmtId="0" fontId="10" fillId="4" borderId="139" xfId="0" applyFont="1" applyFill="1" applyBorder="1"/>
    <xf numFmtId="3" fontId="22" fillId="4" borderId="140" xfId="0" applyNumberFormat="1" applyFont="1" applyFill="1" applyBorder="1"/>
    <xf numFmtId="3" fontId="22" fillId="4" borderId="141" xfId="0" applyNumberFormat="1" applyFont="1" applyFill="1" applyBorder="1"/>
    <xf numFmtId="3" fontId="22" fillId="4" borderId="164" xfId="0" applyNumberFormat="1" applyFont="1" applyFill="1" applyBorder="1"/>
    <xf numFmtId="3" fontId="10" fillId="4" borderId="140" xfId="0" applyNumberFormat="1" applyFont="1" applyFill="1" applyBorder="1" applyAlignment="1">
      <alignment horizontal="right"/>
    </xf>
    <xf numFmtId="3" fontId="22" fillId="4" borderId="143" xfId="0" applyNumberFormat="1" applyFont="1" applyFill="1" applyBorder="1"/>
    <xf numFmtId="3" fontId="31" fillId="4" borderId="121" xfId="0" applyNumberFormat="1" applyFont="1" applyFill="1" applyBorder="1" applyAlignment="1">
      <alignment vertical="top" wrapText="1"/>
    </xf>
    <xf numFmtId="0" fontId="10" fillId="4" borderId="121" xfId="0" applyFont="1" applyFill="1" applyBorder="1"/>
    <xf numFmtId="3" fontId="22" fillId="4" borderId="126" xfId="0" applyNumberFormat="1" applyFont="1" applyFill="1" applyBorder="1" applyAlignment="1">
      <alignment horizontal="right"/>
    </xf>
    <xf numFmtId="3" fontId="22" fillId="4" borderId="147" xfId="0" applyNumberFormat="1" applyFont="1" applyFill="1" applyBorder="1" applyAlignment="1">
      <alignment horizontal="right"/>
    </xf>
    <xf numFmtId="3" fontId="22" fillId="4" borderId="129" xfId="0" applyNumberFormat="1" applyFont="1" applyFill="1" applyBorder="1" applyAlignment="1">
      <alignment horizontal="right"/>
    </xf>
    <xf numFmtId="3" fontId="22" fillId="4" borderId="132" xfId="0" applyNumberFormat="1" applyFont="1" applyFill="1" applyBorder="1" applyAlignment="1">
      <alignment horizontal="right"/>
    </xf>
    <xf numFmtId="3" fontId="22" fillId="4" borderId="140" xfId="0" applyNumberFormat="1" applyFont="1" applyFill="1" applyBorder="1" applyAlignment="1">
      <alignment horizontal="right"/>
    </xf>
    <xf numFmtId="3" fontId="22" fillId="4" borderId="164" xfId="0" applyNumberFormat="1" applyFont="1" applyFill="1" applyBorder="1" applyAlignment="1">
      <alignment horizontal="right"/>
    </xf>
    <xf numFmtId="3" fontId="22" fillId="4" borderId="143" xfId="0" applyNumberFormat="1" applyFont="1" applyFill="1" applyBorder="1" applyAlignment="1">
      <alignment horizontal="right"/>
    </xf>
    <xf numFmtId="166" fontId="10" fillId="0" borderId="6" xfId="0" applyNumberFormat="1" applyFont="1" applyBorder="1"/>
    <xf numFmtId="0" fontId="20" fillId="9" borderId="165" xfId="0" applyFont="1" applyFill="1" applyBorder="1" applyAlignment="1">
      <alignment horizontal="center"/>
    </xf>
    <xf numFmtId="0" fontId="22" fillId="4" borderId="127" xfId="0" applyFont="1" applyFill="1" applyBorder="1"/>
    <xf numFmtId="3" fontId="22" fillId="4" borderId="166" xfId="0" applyNumberFormat="1" applyFont="1" applyFill="1" applyBorder="1"/>
    <xf numFmtId="3" fontId="22" fillId="0" borderId="149" xfId="0" applyNumberFormat="1" applyFont="1" applyBorder="1"/>
    <xf numFmtId="3" fontId="22" fillId="0" borderId="150" xfId="0" applyNumberFormat="1" applyFont="1" applyBorder="1"/>
    <xf numFmtId="3" fontId="27" fillId="4" borderId="150" xfId="0" applyNumberFormat="1" applyFont="1" applyFill="1" applyBorder="1" applyAlignment="1">
      <alignment horizontal="right"/>
    </xf>
    <xf numFmtId="3" fontId="22" fillId="4" borderId="167" xfId="0" applyNumberFormat="1" applyFont="1" applyFill="1" applyBorder="1"/>
    <xf numFmtId="3" fontId="27" fillId="4" borderId="155" xfId="0" applyNumberFormat="1" applyFont="1" applyFill="1" applyBorder="1" applyAlignment="1">
      <alignment horizontal="right"/>
    </xf>
    <xf numFmtId="0" fontId="26" fillId="15" borderId="136" xfId="0" applyFont="1" applyFill="1" applyBorder="1"/>
    <xf numFmtId="0" fontId="22" fillId="4" borderId="0" xfId="0" applyFont="1" applyFill="1"/>
    <xf numFmtId="9" fontId="22" fillId="4" borderId="0" xfId="0" applyNumberFormat="1" applyFont="1" applyFill="1"/>
    <xf numFmtId="9" fontId="22" fillId="0" borderId="0" xfId="0" applyNumberFormat="1" applyFont="1"/>
    <xf numFmtId="9" fontId="22" fillId="4" borderId="0" xfId="0" applyNumberFormat="1" applyFont="1" applyFill="1" applyAlignment="1">
      <alignment horizontal="right"/>
    </xf>
    <xf numFmtId="9" fontId="22" fillId="4" borderId="80" xfId="0" applyNumberFormat="1" applyFont="1" applyFill="1" applyBorder="1" applyAlignment="1">
      <alignment horizontal="right"/>
    </xf>
    <xf numFmtId="9" fontId="22" fillId="4" borderId="137" xfId="0" applyNumberFormat="1" applyFont="1" applyFill="1" applyBorder="1" applyAlignment="1">
      <alignment horizontal="right"/>
    </xf>
    <xf numFmtId="9" fontId="22" fillId="4" borderId="4" xfId="0" applyNumberFormat="1" applyFont="1" applyFill="1" applyBorder="1" applyAlignment="1">
      <alignment horizontal="right"/>
    </xf>
    <xf numFmtId="9" fontId="22" fillId="4" borderId="5" xfId="0" applyNumberFormat="1" applyFont="1" applyFill="1" applyBorder="1" applyAlignment="1">
      <alignment horizontal="right"/>
    </xf>
    <xf numFmtId="0" fontId="22" fillId="4" borderId="150" xfId="0" applyFont="1" applyFill="1" applyBorder="1"/>
    <xf numFmtId="9" fontId="22" fillId="4" borderId="149" xfId="0" applyNumberFormat="1" applyFont="1" applyFill="1" applyBorder="1"/>
    <xf numFmtId="9" fontId="22" fillId="4" borderId="150" xfId="0" applyNumberFormat="1" applyFont="1" applyFill="1" applyBorder="1"/>
    <xf numFmtId="9" fontId="22" fillId="4" borderId="151" xfId="0" applyNumberFormat="1" applyFont="1" applyFill="1" applyBorder="1"/>
    <xf numFmtId="9" fontId="22" fillId="0" borderId="150" xfId="0" applyNumberFormat="1" applyFont="1" applyBorder="1"/>
    <xf numFmtId="9" fontId="22" fillId="0" borderId="151" xfId="0" applyNumberFormat="1" applyFont="1" applyBorder="1"/>
    <xf numFmtId="9" fontId="22" fillId="0" borderId="150" xfId="0" applyNumberFormat="1" applyFont="1" applyBorder="1" applyAlignment="1">
      <alignment horizontal="right"/>
    </xf>
    <xf numFmtId="9" fontId="22" fillId="0" borderId="152" xfId="0" applyNumberFormat="1" applyFont="1" applyBorder="1"/>
    <xf numFmtId="9" fontId="22" fillId="4" borderId="4" xfId="0" applyNumberFormat="1" applyFont="1" applyFill="1" applyBorder="1"/>
    <xf numFmtId="9" fontId="22" fillId="4" borderId="5" xfId="0" applyNumberFormat="1" applyFont="1" applyFill="1" applyBorder="1"/>
    <xf numFmtId="0" fontId="22" fillId="4" borderId="155" xfId="0" applyFont="1" applyFill="1" applyBorder="1"/>
    <xf numFmtId="9" fontId="22" fillId="4" borderId="154" xfId="0" applyNumberFormat="1" applyFont="1" applyFill="1" applyBorder="1"/>
    <xf numFmtId="9" fontId="22" fillId="4" borderId="155" xfId="0" applyNumberFormat="1" applyFont="1" applyFill="1" applyBorder="1"/>
    <xf numFmtId="9" fontId="22" fillId="4" borderId="156" xfId="0" applyNumberFormat="1" applyFont="1" applyFill="1" applyBorder="1"/>
    <xf numFmtId="9" fontId="22" fillId="0" borderId="155" xfId="0" applyNumberFormat="1" applyFont="1" applyBorder="1"/>
    <xf numFmtId="9" fontId="22" fillId="0" borderId="156" xfId="0" applyNumberFormat="1" applyFont="1" applyBorder="1"/>
    <xf numFmtId="9" fontId="22" fillId="0" borderId="155" xfId="0" applyNumberFormat="1" applyFont="1" applyBorder="1" applyAlignment="1">
      <alignment horizontal="right"/>
    </xf>
    <xf numFmtId="9" fontId="22" fillId="0" borderId="157" xfId="0" applyNumberFormat="1" applyFont="1" applyBorder="1"/>
    <xf numFmtId="9" fontId="22" fillId="4" borderId="80" xfId="0" applyNumberFormat="1" applyFont="1" applyFill="1" applyBorder="1"/>
    <xf numFmtId="9" fontId="22" fillId="4" borderId="137" xfId="0" applyNumberFormat="1" applyFont="1" applyFill="1" applyBorder="1"/>
    <xf numFmtId="9" fontId="22" fillId="4" borderId="150" xfId="0" applyNumberFormat="1" applyFont="1" applyFill="1" applyBorder="1" applyAlignment="1">
      <alignment horizontal="right"/>
    </xf>
    <xf numFmtId="9" fontId="22" fillId="4" borderId="152" xfId="0" applyNumberFormat="1" applyFont="1" applyFill="1" applyBorder="1"/>
    <xf numFmtId="9" fontId="22" fillId="4" borderId="155" xfId="0" applyNumberFormat="1" applyFont="1" applyFill="1" applyBorder="1" applyAlignment="1">
      <alignment horizontal="right"/>
    </xf>
    <xf numFmtId="9" fontId="22" fillId="4" borderId="157" xfId="0" applyNumberFormat="1" applyFont="1" applyFill="1" applyBorder="1"/>
    <xf numFmtId="3" fontId="22" fillId="4" borderId="150" xfId="0" applyNumberFormat="1" applyFont="1" applyFill="1" applyBorder="1" applyAlignment="1">
      <alignment horizontal="right"/>
    </xf>
    <xf numFmtId="3" fontId="22" fillId="4" borderId="155" xfId="0" applyNumberFormat="1" applyFont="1" applyFill="1" applyBorder="1" applyAlignment="1">
      <alignment horizontal="right"/>
    </xf>
    <xf numFmtId="3" fontId="22" fillId="4" borderId="36" xfId="0" applyNumberFormat="1" applyFont="1" applyFill="1" applyBorder="1" applyAlignment="1">
      <alignment horizontal="right"/>
    </xf>
    <xf numFmtId="3" fontId="22" fillId="4" borderId="149" xfId="0" applyNumberFormat="1" applyFont="1" applyFill="1" applyBorder="1" applyAlignment="1">
      <alignment horizontal="right"/>
    </xf>
    <xf numFmtId="3" fontId="22" fillId="4" borderId="151" xfId="0" applyNumberFormat="1" applyFont="1" applyFill="1" applyBorder="1" applyAlignment="1">
      <alignment horizontal="right"/>
    </xf>
    <xf numFmtId="3" fontId="22" fillId="4" borderId="152" xfId="0" applyNumberFormat="1" applyFont="1" applyFill="1" applyBorder="1" applyAlignment="1">
      <alignment horizontal="right"/>
    </xf>
    <xf numFmtId="3" fontId="22" fillId="4" borderId="161" xfId="0" applyNumberFormat="1" applyFont="1" applyFill="1" applyBorder="1" applyAlignment="1">
      <alignment horizontal="right"/>
    </xf>
    <xf numFmtId="3" fontId="22" fillId="4" borderId="160" xfId="0" applyNumberFormat="1" applyFont="1" applyFill="1" applyBorder="1" applyAlignment="1">
      <alignment horizontal="right"/>
    </xf>
    <xf numFmtId="3" fontId="22" fillId="4" borderId="162" xfId="0" applyNumberFormat="1" applyFont="1" applyFill="1" applyBorder="1" applyAlignment="1">
      <alignment horizontal="right"/>
    </xf>
    <xf numFmtId="3" fontId="22" fillId="4" borderId="163" xfId="0" applyNumberFormat="1" applyFont="1" applyFill="1" applyBorder="1" applyAlignment="1">
      <alignment horizontal="right"/>
    </xf>
    <xf numFmtId="0" fontId="10" fillId="4" borderId="35" xfId="0" applyFont="1" applyFill="1" applyBorder="1"/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166" fontId="32" fillId="4" borderId="14" xfId="0" applyNumberFormat="1" applyFont="1" applyFill="1" applyBorder="1"/>
    <xf numFmtId="164" fontId="10" fillId="4" borderId="0" xfId="0" applyNumberFormat="1" applyFont="1" applyFill="1"/>
    <xf numFmtId="164" fontId="10" fillId="4" borderId="80" xfId="0" applyNumberFormat="1" applyFont="1" applyFill="1" applyBorder="1"/>
    <xf numFmtId="164" fontId="10" fillId="4" borderId="4" xfId="0" applyNumberFormat="1" applyFont="1" applyFill="1" applyBorder="1"/>
    <xf numFmtId="164" fontId="10" fillId="4" borderId="5" xfId="0" applyNumberFormat="1" applyFont="1" applyFill="1" applyBorder="1"/>
    <xf numFmtId="166" fontId="33" fillId="4" borderId="14" xfId="0" applyNumberFormat="1" applyFont="1" applyFill="1" applyBorder="1"/>
    <xf numFmtId="167" fontId="10" fillId="4" borderId="0" xfId="0" applyNumberFormat="1" applyFont="1" applyFill="1"/>
    <xf numFmtId="166" fontId="32" fillId="5" borderId="14" xfId="0" applyNumberFormat="1" applyFont="1" applyFill="1" applyBorder="1"/>
    <xf numFmtId="0" fontId="12" fillId="5" borderId="0" xfId="0" applyFont="1" applyFill="1"/>
    <xf numFmtId="164" fontId="12" fillId="5" borderId="0" xfId="0" applyNumberFormat="1" applyFont="1" applyFill="1"/>
    <xf numFmtId="164" fontId="12" fillId="5" borderId="80" xfId="0" applyNumberFormat="1" applyFont="1" applyFill="1" applyBorder="1"/>
    <xf numFmtId="164" fontId="12" fillId="5" borderId="68" xfId="0" applyNumberFormat="1" applyFont="1" applyFill="1" applyBorder="1"/>
    <xf numFmtId="164" fontId="12" fillId="4" borderId="4" xfId="0" applyNumberFormat="1" applyFont="1" applyFill="1" applyBorder="1"/>
    <xf numFmtId="164" fontId="12" fillId="4" borderId="5" xfId="0" applyNumberFormat="1" applyFont="1" applyFill="1" applyBorder="1"/>
    <xf numFmtId="166" fontId="10" fillId="4" borderId="14" xfId="0" applyNumberFormat="1" applyFont="1" applyFill="1" applyBorder="1"/>
    <xf numFmtId="164" fontId="33" fillId="4" borderId="14" xfId="0" applyNumberFormat="1" applyFont="1" applyFill="1" applyBorder="1"/>
    <xf numFmtId="166" fontId="34" fillId="5" borderId="18" xfId="0" applyNumberFormat="1" applyFont="1" applyFill="1" applyBorder="1"/>
    <xf numFmtId="164" fontId="12" fillId="5" borderId="64" xfId="0" applyNumberFormat="1" applyFont="1" applyFill="1" applyBorder="1"/>
    <xf numFmtId="166" fontId="33" fillId="4" borderId="15" xfId="0" applyNumberFormat="1" applyFont="1" applyFill="1" applyBorder="1"/>
    <xf numFmtId="164" fontId="10" fillId="4" borderId="16" xfId="0" applyNumberFormat="1" applyFont="1" applyFill="1" applyBorder="1"/>
    <xf numFmtId="166" fontId="33" fillId="4" borderId="4" xfId="0" applyNumberFormat="1" applyFont="1" applyFill="1" applyBorder="1"/>
    <xf numFmtId="166" fontId="34" fillId="0" borderId="55" xfId="0" applyNumberFormat="1" applyFont="1" applyBorder="1"/>
    <xf numFmtId="164" fontId="10" fillId="0" borderId="6" xfId="0" applyNumberFormat="1" applyFont="1" applyBorder="1"/>
    <xf numFmtId="166" fontId="34" fillId="0" borderId="4" xfId="0" applyNumberFormat="1" applyFont="1" applyBorder="1"/>
    <xf numFmtId="0" fontId="12" fillId="4" borderId="77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" fontId="12" fillId="4" borderId="45" xfId="0" applyNumberFormat="1" applyFont="1" applyFill="1" applyBorder="1" applyAlignment="1">
      <alignment horizontal="center"/>
    </xf>
    <xf numFmtId="3" fontId="12" fillId="4" borderId="46" xfId="0" applyNumberFormat="1" applyFont="1" applyFill="1" applyBorder="1" applyAlignment="1">
      <alignment horizontal="center"/>
    </xf>
    <xf numFmtId="3" fontId="12" fillId="4" borderId="11" xfId="0" applyNumberFormat="1" applyFont="1" applyFill="1" applyBorder="1" applyAlignment="1">
      <alignment horizontal="center"/>
    </xf>
    <xf numFmtId="3" fontId="20" fillId="9" borderId="68" xfId="0" applyNumberFormat="1" applyFont="1" applyFill="1" applyBorder="1" applyAlignment="1">
      <alignment horizontal="center"/>
    </xf>
    <xf numFmtId="166" fontId="33" fillId="4" borderId="68" xfId="0" applyNumberFormat="1" applyFont="1" applyFill="1" applyBorder="1"/>
    <xf numFmtId="164" fontId="33" fillId="4" borderId="68" xfId="0" applyNumberFormat="1" applyFont="1" applyFill="1" applyBorder="1"/>
    <xf numFmtId="166" fontId="34" fillId="5" borderId="68" xfId="0" applyNumberFormat="1" applyFont="1" applyFill="1" applyBorder="1"/>
    <xf numFmtId="164" fontId="10" fillId="0" borderId="55" xfId="0" applyNumberFormat="1" applyFont="1" applyBorder="1"/>
    <xf numFmtId="166" fontId="34" fillId="4" borderId="15" xfId="0" applyNumberFormat="1" applyFont="1" applyFill="1" applyBorder="1"/>
    <xf numFmtId="0" fontId="12" fillId="4" borderId="16" xfId="0" applyFont="1" applyFill="1" applyBorder="1"/>
    <xf numFmtId="164" fontId="12" fillId="4" borderId="16" xfId="0" applyNumberFormat="1" applyFont="1" applyFill="1" applyBorder="1"/>
    <xf numFmtId="164" fontId="10" fillId="4" borderId="44" xfId="0" applyNumberFormat="1" applyFont="1" applyFill="1" applyBorder="1"/>
    <xf numFmtId="166" fontId="34" fillId="4" borderId="4" xfId="0" applyNumberFormat="1" applyFont="1" applyFill="1" applyBorder="1"/>
    <xf numFmtId="0" fontId="12" fillId="4" borderId="5" xfId="0" applyFont="1" applyFill="1" applyBorder="1"/>
    <xf numFmtId="164" fontId="10" fillId="4" borderId="2" xfId="0" applyNumberFormat="1" applyFont="1" applyFill="1" applyBorder="1"/>
    <xf numFmtId="166" fontId="34" fillId="4" borderId="55" xfId="0" applyNumberFormat="1" applyFont="1" applyFill="1" applyBorder="1"/>
    <xf numFmtId="0" fontId="12" fillId="4" borderId="6" xfId="0" applyFont="1" applyFill="1" applyBorder="1"/>
    <xf numFmtId="164" fontId="12" fillId="4" borderId="6" xfId="0" applyNumberFormat="1" applyFont="1" applyFill="1" applyBorder="1"/>
    <xf numFmtId="164" fontId="10" fillId="4" borderId="6" xfId="0" applyNumberFormat="1" applyFont="1" applyFill="1" applyBorder="1"/>
    <xf numFmtId="164" fontId="10" fillId="4" borderId="54" xfId="0" applyNumberFormat="1" applyFont="1" applyFill="1" applyBorder="1"/>
    <xf numFmtId="4" fontId="4" fillId="2" borderId="0" xfId="0" applyNumberFormat="1" applyFont="1" applyFill="1"/>
    <xf numFmtId="4" fontId="5" fillId="0" borderId="0" xfId="0" applyNumberFormat="1" applyFont="1"/>
    <xf numFmtId="4" fontId="1" fillId="0" borderId="0" xfId="0" applyNumberFormat="1" applyFont="1"/>
    <xf numFmtId="0" fontId="35" fillId="0" borderId="0" xfId="0" applyFont="1"/>
    <xf numFmtId="0" fontId="36" fillId="0" borderId="0" xfId="0" applyFont="1"/>
    <xf numFmtId="0" fontId="37" fillId="4" borderId="0" xfId="0" applyFont="1" applyFill="1"/>
    <xf numFmtId="0" fontId="38" fillId="4" borderId="0" xfId="0" applyFont="1" applyFill="1"/>
    <xf numFmtId="0" fontId="35" fillId="4" borderId="0" xfId="0" applyFont="1" applyFill="1"/>
    <xf numFmtId="0" fontId="35" fillId="4" borderId="168" xfId="0" applyFont="1" applyFill="1" applyBorder="1"/>
    <xf numFmtId="0" fontId="35" fillId="4" borderId="62" xfId="0" applyFont="1" applyFill="1" applyBorder="1"/>
    <xf numFmtId="0" fontId="39" fillId="9" borderId="61" xfId="0" applyFont="1" applyFill="1" applyBorder="1" applyAlignment="1">
      <alignment horizontal="center"/>
    </xf>
    <xf numFmtId="0" fontId="39" fillId="9" borderId="62" xfId="0" applyFont="1" applyFill="1" applyBorder="1" applyAlignment="1">
      <alignment horizontal="center"/>
    </xf>
    <xf numFmtId="0" fontId="39" fillId="9" borderId="96" xfId="0" applyFont="1" applyFill="1" applyBorder="1" applyAlignment="1">
      <alignment horizontal="center"/>
    </xf>
    <xf numFmtId="0" fontId="40" fillId="10" borderId="65" xfId="0" applyFont="1" applyFill="1" applyBorder="1"/>
    <xf numFmtId="0" fontId="41" fillId="10" borderId="36" xfId="0" applyFont="1" applyFill="1" applyBorder="1"/>
    <xf numFmtId="3" fontId="42" fillId="4" borderId="0" xfId="0" applyNumberFormat="1" applyFont="1" applyFill="1"/>
    <xf numFmtId="3" fontId="42" fillId="4" borderId="68" xfId="0" applyNumberFormat="1" applyFont="1" applyFill="1" applyBorder="1"/>
    <xf numFmtId="3" fontId="42" fillId="4" borderId="80" xfId="0" applyNumberFormat="1" applyFont="1" applyFill="1" applyBorder="1" applyAlignment="1">
      <alignment horizontal="right"/>
    </xf>
    <xf numFmtId="0" fontId="43" fillId="4" borderId="67" xfId="0" applyFont="1" applyFill="1" applyBorder="1" applyAlignment="1">
      <alignment vertical="top" wrapText="1"/>
    </xf>
    <xf numFmtId="0" fontId="41" fillId="4" borderId="0" xfId="0" applyFont="1" applyFill="1"/>
    <xf numFmtId="3" fontId="42" fillId="4" borderId="75" xfId="0" applyNumberFormat="1" applyFont="1" applyFill="1" applyBorder="1"/>
    <xf numFmtId="3" fontId="35" fillId="4" borderId="0" xfId="0" applyNumberFormat="1" applyFont="1" applyFill="1" applyAlignment="1">
      <alignment horizontal="right"/>
    </xf>
    <xf numFmtId="3" fontId="42" fillId="4" borderId="80" xfId="0" applyNumberFormat="1" applyFont="1" applyFill="1" applyBorder="1"/>
    <xf numFmtId="0" fontId="43" fillId="4" borderId="71" xfId="0" applyFont="1" applyFill="1" applyBorder="1" applyAlignment="1">
      <alignment vertical="top" wrapText="1"/>
    </xf>
    <xf numFmtId="0" fontId="41" fillId="4" borderId="63" xfId="0" applyFont="1" applyFill="1" applyBorder="1"/>
    <xf numFmtId="3" fontId="42" fillId="4" borderId="76" xfId="0" applyNumberFormat="1" applyFont="1" applyFill="1" applyBorder="1"/>
    <xf numFmtId="3" fontId="42" fillId="4" borderId="72" xfId="0" applyNumberFormat="1" applyFont="1" applyFill="1" applyBorder="1"/>
    <xf numFmtId="3" fontId="42" fillId="4" borderId="63" xfId="0" applyNumberFormat="1" applyFont="1" applyFill="1" applyBorder="1"/>
    <xf numFmtId="3" fontId="35" fillId="4" borderId="63" xfId="0" applyNumberFormat="1" applyFont="1" applyFill="1" applyBorder="1" applyAlignment="1">
      <alignment horizontal="right"/>
    </xf>
    <xf numFmtId="3" fontId="42" fillId="4" borderId="64" xfId="0" applyNumberFormat="1" applyFont="1" applyFill="1" applyBorder="1"/>
    <xf numFmtId="9" fontId="42" fillId="4" borderId="0" xfId="0" applyNumberFormat="1" applyFont="1" applyFill="1"/>
    <xf numFmtId="9" fontId="42" fillId="4" borderId="68" xfId="0" applyNumberFormat="1" applyFont="1" applyFill="1" applyBorder="1"/>
    <xf numFmtId="9" fontId="42" fillId="4" borderId="80" xfId="0" applyNumberFormat="1" applyFont="1" applyFill="1" applyBorder="1"/>
    <xf numFmtId="9" fontId="42" fillId="0" borderId="0" xfId="0" applyNumberFormat="1" applyFont="1"/>
    <xf numFmtId="9" fontId="42" fillId="0" borderId="80" xfId="0" applyNumberFormat="1" applyFont="1" applyBorder="1"/>
    <xf numFmtId="9" fontId="42" fillId="0" borderId="0" xfId="0" applyNumberFormat="1" applyFont="1" applyAlignment="1">
      <alignment horizontal="right"/>
    </xf>
    <xf numFmtId="9" fontId="1" fillId="0" borderId="0" xfId="0" applyNumberFormat="1" applyFont="1"/>
    <xf numFmtId="0" fontId="44" fillId="4" borderId="67" xfId="0" applyFont="1" applyFill="1" applyBorder="1" applyAlignment="1">
      <alignment vertical="top" wrapText="1"/>
    </xf>
    <xf numFmtId="9" fontId="35" fillId="4" borderId="68" xfId="0" applyNumberFormat="1" applyFont="1" applyFill="1" applyBorder="1"/>
    <xf numFmtId="9" fontId="44" fillId="4" borderId="71" xfId="0" applyNumberFormat="1" applyFont="1" applyFill="1" applyBorder="1" applyAlignment="1">
      <alignment vertical="top" wrapText="1"/>
    </xf>
    <xf numFmtId="9" fontId="35" fillId="4" borderId="72" xfId="0" applyNumberFormat="1" applyFont="1" applyFill="1" applyBorder="1"/>
    <xf numFmtId="9" fontId="42" fillId="4" borderId="63" xfId="0" applyNumberFormat="1" applyFont="1" applyFill="1" applyBorder="1"/>
    <xf numFmtId="9" fontId="42" fillId="4" borderId="72" xfId="0" applyNumberFormat="1" applyFont="1" applyFill="1" applyBorder="1"/>
    <xf numFmtId="9" fontId="42" fillId="4" borderId="64" xfId="0" applyNumberFormat="1" applyFont="1" applyFill="1" applyBorder="1"/>
    <xf numFmtId="9" fontId="42" fillId="0" borderId="63" xfId="0" applyNumberFormat="1" applyFont="1" applyBorder="1"/>
    <xf numFmtId="9" fontId="42" fillId="0" borderId="64" xfId="0" applyNumberFormat="1" applyFont="1" applyBorder="1"/>
    <xf numFmtId="9" fontId="42" fillId="0" borderId="63" xfId="0" applyNumberFormat="1" applyFont="1" applyBorder="1" applyAlignment="1">
      <alignment horizontal="right"/>
    </xf>
    <xf numFmtId="9" fontId="1" fillId="0" borderId="63" xfId="0" applyNumberFormat="1" applyFont="1" applyBorder="1"/>
    <xf numFmtId="9" fontId="45" fillId="15" borderId="65" xfId="0" applyNumberFormat="1" applyFont="1" applyFill="1" applyBorder="1"/>
    <xf numFmtId="9" fontId="35" fillId="15" borderId="36" xfId="0" applyNumberFormat="1" applyFont="1" applyFill="1" applyBorder="1"/>
    <xf numFmtId="9" fontId="44" fillId="4" borderId="67" xfId="0" applyNumberFormat="1" applyFont="1" applyFill="1" applyBorder="1" applyAlignment="1">
      <alignment vertical="top" wrapText="1"/>
    </xf>
    <xf numFmtId="0" fontId="39" fillId="10" borderId="65" xfId="0" applyFont="1" applyFill="1" applyBorder="1"/>
    <xf numFmtId="0" fontId="35" fillId="10" borderId="36" xfId="0" applyFont="1" applyFill="1" applyBorder="1"/>
    <xf numFmtId="3" fontId="42" fillId="4" borderId="35" xfId="0" applyNumberFormat="1" applyFont="1" applyFill="1" applyBorder="1"/>
    <xf numFmtId="3" fontId="42" fillId="4" borderId="36" xfId="0" applyNumberFormat="1" applyFont="1" applyFill="1" applyBorder="1"/>
    <xf numFmtId="0" fontId="42" fillId="0" borderId="35" xfId="0" applyFont="1" applyBorder="1"/>
    <xf numFmtId="3" fontId="42" fillId="4" borderId="35" xfId="0" applyNumberFormat="1" applyFont="1" applyFill="1" applyBorder="1" applyAlignment="1">
      <alignment horizontal="right"/>
    </xf>
    <xf numFmtId="3" fontId="42" fillId="4" borderId="66" xfId="0" applyNumberFormat="1" applyFont="1" applyFill="1" applyBorder="1" applyAlignment="1">
      <alignment horizontal="right"/>
    </xf>
    <xf numFmtId="0" fontId="46" fillId="4" borderId="67" xfId="0" applyFont="1" applyFill="1" applyBorder="1" applyAlignment="1">
      <alignment vertical="top" wrapText="1"/>
    </xf>
    <xf numFmtId="3" fontId="42" fillId="0" borderId="68" xfId="0" applyNumberFormat="1" applyFont="1" applyBorder="1"/>
    <xf numFmtId="0" fontId="42" fillId="0" borderId="0" xfId="0" applyFont="1"/>
    <xf numFmtId="3" fontId="42" fillId="4" borderId="0" xfId="0" applyNumberFormat="1" applyFont="1" applyFill="1" applyAlignment="1">
      <alignment horizontal="right"/>
    </xf>
    <xf numFmtId="0" fontId="46" fillId="4" borderId="71" xfId="0" applyFont="1" applyFill="1" applyBorder="1" applyAlignment="1">
      <alignment vertical="top" wrapText="1"/>
    </xf>
    <xf numFmtId="0" fontId="35" fillId="4" borderId="63" xfId="0" applyFont="1" applyFill="1" applyBorder="1"/>
    <xf numFmtId="3" fontId="42" fillId="0" borderId="72" xfId="0" applyNumberFormat="1" applyFont="1" applyBorder="1"/>
    <xf numFmtId="0" fontId="42" fillId="0" borderId="63" xfId="0" applyFont="1" applyBorder="1"/>
    <xf numFmtId="3" fontId="42" fillId="4" borderId="63" xfId="0" applyNumberFormat="1" applyFont="1" applyFill="1" applyBorder="1" applyAlignment="1">
      <alignment horizontal="right"/>
    </xf>
    <xf numFmtId="3" fontId="42" fillId="4" borderId="64" xfId="0" applyNumberFormat="1" applyFont="1" applyFill="1" applyBorder="1" applyAlignment="1">
      <alignment horizontal="right"/>
    </xf>
    <xf numFmtId="9" fontId="42" fillId="4" borderId="0" xfId="0" applyNumberFormat="1" applyFont="1" applyFill="1" applyAlignment="1">
      <alignment horizontal="right"/>
    </xf>
    <xf numFmtId="9" fontId="42" fillId="4" borderId="80" xfId="0" applyNumberFormat="1" applyFont="1" applyFill="1" applyBorder="1" applyAlignment="1">
      <alignment horizontal="right"/>
    </xf>
    <xf numFmtId="9" fontId="42" fillId="4" borderId="63" xfId="0" applyNumberFormat="1" applyFont="1" applyFill="1" applyBorder="1" applyAlignment="1">
      <alignment horizontal="right"/>
    </xf>
    <xf numFmtId="9" fontId="42" fillId="4" borderId="64" xfId="0" applyNumberFormat="1" applyFont="1" applyFill="1" applyBorder="1" applyAlignment="1">
      <alignment horizontal="right"/>
    </xf>
    <xf numFmtId="0" fontId="39" fillId="11" borderId="65" xfId="0" applyFont="1" applyFill="1" applyBorder="1"/>
    <xf numFmtId="0" fontId="35" fillId="11" borderId="36" xfId="0" applyFont="1" applyFill="1" applyBorder="1"/>
    <xf numFmtId="3" fontId="42" fillId="0" borderId="35" xfId="0" applyNumberFormat="1" applyFont="1" applyBorder="1"/>
    <xf numFmtId="0" fontId="35" fillId="4" borderId="67" xfId="0" applyFont="1" applyFill="1" applyBorder="1"/>
    <xf numFmtId="0" fontId="35" fillId="4" borderId="68" xfId="0" applyFont="1" applyFill="1" applyBorder="1"/>
    <xf numFmtId="3" fontId="42" fillId="0" borderId="0" xfId="0" applyNumberFormat="1" applyFont="1"/>
    <xf numFmtId="0" fontId="35" fillId="4" borderId="71" xfId="0" applyFont="1" applyFill="1" applyBorder="1"/>
    <xf numFmtId="0" fontId="35" fillId="4" borderId="72" xfId="0" applyFont="1" applyFill="1" applyBorder="1"/>
    <xf numFmtId="3" fontId="42" fillId="0" borderId="63" xfId="0" applyNumberFormat="1" applyFont="1" applyBorder="1"/>
    <xf numFmtId="0" fontId="1" fillId="0" borderId="63" xfId="0" applyFont="1" applyBorder="1"/>
    <xf numFmtId="9" fontId="47" fillId="0" borderId="0" xfId="0" applyNumberFormat="1" applyFont="1"/>
    <xf numFmtId="9" fontId="48" fillId="4" borderId="68" xfId="0" applyNumberFormat="1" applyFont="1" applyFill="1" applyBorder="1"/>
    <xf numFmtId="9" fontId="48" fillId="4" borderId="35" xfId="0" applyNumberFormat="1" applyFont="1" applyFill="1" applyBorder="1"/>
    <xf numFmtId="9" fontId="48" fillId="4" borderId="35" xfId="0" applyNumberFormat="1" applyFont="1" applyFill="1" applyBorder="1" applyAlignment="1">
      <alignment horizontal="right"/>
    </xf>
    <xf numFmtId="9" fontId="48" fillId="4" borderId="66" xfId="0" applyNumberFormat="1" applyFont="1" applyFill="1" applyBorder="1" applyAlignment="1">
      <alignment horizontal="right"/>
    </xf>
    <xf numFmtId="9" fontId="48" fillId="4" borderId="0" xfId="0" applyNumberFormat="1" applyFont="1" applyFill="1"/>
    <xf numFmtId="9" fontId="48" fillId="4" borderId="0" xfId="0" applyNumberFormat="1" applyFont="1" applyFill="1" applyAlignment="1">
      <alignment horizontal="right"/>
    </xf>
    <xf numFmtId="9" fontId="48" fillId="4" borderId="80" xfId="0" applyNumberFormat="1" applyFont="1" applyFill="1" applyBorder="1" applyAlignment="1">
      <alignment horizontal="right"/>
    </xf>
    <xf numFmtId="166" fontId="35" fillId="4" borderId="35" xfId="0" applyNumberFormat="1" applyFont="1" applyFill="1" applyBorder="1"/>
    <xf numFmtId="9" fontId="48" fillId="4" borderId="36" xfId="0" applyNumberFormat="1" applyFont="1" applyFill="1" applyBorder="1"/>
    <xf numFmtId="9" fontId="48" fillId="4" borderId="63" xfId="0" applyNumberFormat="1" applyFont="1" applyFill="1" applyBorder="1"/>
    <xf numFmtId="9" fontId="48" fillId="4" borderId="72" xfId="0" applyNumberFormat="1" applyFont="1" applyFill="1" applyBorder="1"/>
    <xf numFmtId="9" fontId="48" fillId="4" borderId="63" xfId="0" applyNumberFormat="1" applyFont="1" applyFill="1" applyBorder="1" applyAlignment="1">
      <alignment horizontal="right"/>
    </xf>
    <xf numFmtId="9" fontId="48" fillId="4" borderId="64" xfId="0" applyNumberFormat="1" applyFont="1" applyFill="1" applyBorder="1" applyAlignment="1">
      <alignment horizontal="right"/>
    </xf>
    <xf numFmtId="3" fontId="48" fillId="4" borderId="35" xfId="0" applyNumberFormat="1" applyFont="1" applyFill="1" applyBorder="1"/>
    <xf numFmtId="3" fontId="48" fillId="4" borderId="36" xfId="0" applyNumberFormat="1" applyFont="1" applyFill="1" applyBorder="1"/>
    <xf numFmtId="3" fontId="48" fillId="4" borderId="35" xfId="0" applyNumberFormat="1" applyFont="1" applyFill="1" applyBorder="1" applyAlignment="1">
      <alignment horizontal="right"/>
    </xf>
    <xf numFmtId="3" fontId="48" fillId="4" borderId="66" xfId="0" applyNumberFormat="1" applyFont="1" applyFill="1" applyBorder="1" applyAlignment="1">
      <alignment horizontal="right"/>
    </xf>
    <xf numFmtId="3" fontId="48" fillId="4" borderId="0" xfId="0" applyNumberFormat="1" applyFont="1" applyFill="1"/>
    <xf numFmtId="3" fontId="48" fillId="4" borderId="68" xfId="0" applyNumberFormat="1" applyFont="1" applyFill="1" applyBorder="1"/>
    <xf numFmtId="3" fontId="48" fillId="4" borderId="0" xfId="0" applyNumberFormat="1" applyFont="1" applyFill="1" applyAlignment="1">
      <alignment horizontal="right"/>
    </xf>
    <xf numFmtId="3" fontId="48" fillId="4" borderId="80" xfId="0" applyNumberFormat="1" applyFont="1" applyFill="1" applyBorder="1" applyAlignment="1">
      <alignment horizontal="right"/>
    </xf>
    <xf numFmtId="0" fontId="35" fillId="4" borderId="81" xfId="0" applyFont="1" applyFill="1" applyBorder="1"/>
    <xf numFmtId="0" fontId="35" fillId="4" borderId="82" xfId="0" applyFont="1" applyFill="1" applyBorder="1"/>
    <xf numFmtId="3" fontId="48" fillId="0" borderId="83" xfId="0" applyNumberFormat="1" applyFont="1" applyBorder="1"/>
    <xf numFmtId="3" fontId="48" fillId="0" borderId="82" xfId="0" applyNumberFormat="1" applyFont="1" applyBorder="1"/>
    <xf numFmtId="3" fontId="48" fillId="4" borderId="83" xfId="0" applyNumberFormat="1" applyFont="1" applyFill="1" applyBorder="1" applyAlignment="1">
      <alignment horizontal="right"/>
    </xf>
    <xf numFmtId="3" fontId="48" fillId="4" borderId="73" xfId="0" applyNumberFormat="1" applyFont="1" applyFill="1" applyBorder="1" applyAlignment="1">
      <alignment horizontal="right"/>
    </xf>
    <xf numFmtId="3" fontId="48" fillId="0" borderId="0" xfId="0" applyNumberFormat="1" applyFont="1"/>
    <xf numFmtId="3" fontId="40" fillId="10" borderId="65" xfId="0" applyNumberFormat="1" applyFont="1" applyFill="1" applyBorder="1"/>
    <xf numFmtId="3" fontId="41" fillId="10" borderId="36" xfId="0" applyNumberFormat="1" applyFont="1" applyFill="1" applyBorder="1"/>
    <xf numFmtId="3" fontId="1" fillId="0" borderId="0" xfId="0" applyNumberFormat="1" applyFont="1"/>
    <xf numFmtId="3" fontId="49" fillId="4" borderId="67" xfId="0" applyNumberFormat="1" applyFont="1" applyFill="1" applyBorder="1" applyAlignment="1">
      <alignment vertical="top" wrapText="1"/>
    </xf>
    <xf numFmtId="3" fontId="41" fillId="4" borderId="68" xfId="0" applyNumberFormat="1" applyFont="1" applyFill="1" applyBorder="1"/>
    <xf numFmtId="3" fontId="49" fillId="4" borderId="71" xfId="0" applyNumberFormat="1" applyFont="1" applyFill="1" applyBorder="1" applyAlignment="1">
      <alignment vertical="top" wrapText="1"/>
    </xf>
    <xf numFmtId="3" fontId="41" fillId="4" borderId="72" xfId="0" applyNumberFormat="1" applyFont="1" applyFill="1" applyBorder="1"/>
    <xf numFmtId="3" fontId="39" fillId="10" borderId="65" xfId="0" applyNumberFormat="1" applyFont="1" applyFill="1" applyBorder="1"/>
    <xf numFmtId="3" fontId="35" fillId="10" borderId="36" xfId="0" applyNumberFormat="1" applyFont="1" applyFill="1" applyBorder="1"/>
    <xf numFmtId="3" fontId="35" fillId="4" borderId="68" xfId="0" applyNumberFormat="1" applyFont="1" applyFill="1" applyBorder="1"/>
    <xf numFmtId="3" fontId="35" fillId="4" borderId="72" xfId="0" applyNumberFormat="1" applyFont="1" applyFill="1" applyBorder="1"/>
    <xf numFmtId="0" fontId="39" fillId="12" borderId="67" xfId="0" applyFont="1" applyFill="1" applyBorder="1"/>
    <xf numFmtId="0" fontId="35" fillId="12" borderId="68" xfId="0" applyFont="1" applyFill="1" applyBorder="1"/>
    <xf numFmtId="9" fontId="42" fillId="4" borderId="75" xfId="0" applyNumberFormat="1" applyFont="1" applyFill="1" applyBorder="1"/>
    <xf numFmtId="9" fontId="42" fillId="4" borderId="76" xfId="0" applyNumberFormat="1" applyFont="1" applyFill="1" applyBorder="1"/>
    <xf numFmtId="0" fontId="39" fillId="16" borderId="65" xfId="0" applyFont="1" applyFill="1" applyBorder="1"/>
    <xf numFmtId="0" fontId="35" fillId="16" borderId="36" xfId="0" applyFont="1" applyFill="1" applyBorder="1"/>
    <xf numFmtId="3" fontId="43" fillId="4" borderId="67" xfId="0" applyNumberFormat="1" applyFont="1" applyFill="1" applyBorder="1" applyAlignment="1">
      <alignment vertical="top" wrapText="1"/>
    </xf>
    <xf numFmtId="3" fontId="43" fillId="4" borderId="71" xfId="0" applyNumberFormat="1" applyFont="1" applyFill="1" applyBorder="1" applyAlignment="1">
      <alignment vertical="top" wrapText="1"/>
    </xf>
    <xf numFmtId="3" fontId="42" fillId="4" borderId="68" xfId="0" applyNumberFormat="1" applyFont="1" applyFill="1" applyBorder="1" applyAlignment="1">
      <alignment horizontal="right"/>
    </xf>
    <xf numFmtId="0" fontId="44" fillId="4" borderId="81" xfId="0" applyFont="1" applyFill="1" applyBorder="1" applyAlignment="1">
      <alignment vertical="top" wrapText="1"/>
    </xf>
    <xf numFmtId="3" fontId="42" fillId="4" borderId="83" xfId="0" applyNumberFormat="1" applyFont="1" applyFill="1" applyBorder="1"/>
    <xf numFmtId="3" fontId="42" fillId="4" borderId="82" xfId="0" applyNumberFormat="1" applyFont="1" applyFill="1" applyBorder="1"/>
    <xf numFmtId="3" fontId="42" fillId="4" borderId="83" xfId="0" applyNumberFormat="1" applyFont="1" applyFill="1" applyBorder="1" applyAlignment="1">
      <alignment horizontal="right"/>
    </xf>
    <xf numFmtId="3" fontId="42" fillId="4" borderId="73" xfId="0" applyNumberFormat="1" applyFont="1" applyFill="1" applyBorder="1" applyAlignment="1">
      <alignment horizontal="right"/>
    </xf>
    <xf numFmtId="166" fontId="35" fillId="0" borderId="0" xfId="0" applyNumberFormat="1" applyFont="1"/>
    <xf numFmtId="0" fontId="42" fillId="4" borderId="0" xfId="0" applyFont="1" applyFill="1"/>
    <xf numFmtId="0" fontId="44" fillId="4" borderId="71" xfId="0" applyFont="1" applyFill="1" applyBorder="1" applyAlignment="1">
      <alignment vertical="top" wrapText="1"/>
    </xf>
    <xf numFmtId="3" fontId="48" fillId="4" borderId="63" xfId="0" applyNumberFormat="1" applyFont="1" applyFill="1" applyBorder="1" applyAlignment="1">
      <alignment horizontal="right"/>
    </xf>
    <xf numFmtId="0" fontId="45" fillId="15" borderId="65" xfId="0" applyFont="1" applyFill="1" applyBorder="1"/>
    <xf numFmtId="0" fontId="42" fillId="4" borderId="63" xfId="0" applyFont="1" applyFill="1" applyBorder="1"/>
    <xf numFmtId="9" fontId="1" fillId="0" borderId="72" xfId="0" applyNumberFormat="1" applyFont="1" applyBorder="1"/>
    <xf numFmtId="3" fontId="42" fillId="4" borderId="36" xfId="0" applyNumberFormat="1" applyFont="1" applyFill="1" applyBorder="1" applyAlignment="1">
      <alignment horizontal="right"/>
    </xf>
    <xf numFmtId="3" fontId="42" fillId="4" borderId="82" xfId="0" applyNumberFormat="1" applyFont="1" applyFill="1" applyBorder="1" applyAlignment="1">
      <alignment horizontal="right"/>
    </xf>
    <xf numFmtId="9" fontId="35" fillId="0" borderId="0" xfId="0" applyNumberFormat="1" applyFont="1"/>
    <xf numFmtId="0" fontId="10" fillId="0" borderId="63" xfId="0" applyFont="1" applyBorder="1"/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10" fillId="0" borderId="44" xfId="0" applyFont="1" applyBorder="1"/>
    <xf numFmtId="0" fontId="14" fillId="0" borderId="88" xfId="0" applyFont="1" applyBorder="1"/>
    <xf numFmtId="164" fontId="10" fillId="0" borderId="32" xfId="0" applyNumberFormat="1" applyFont="1" applyBorder="1"/>
    <xf numFmtId="167" fontId="10" fillId="17" borderId="0" xfId="0" applyNumberFormat="1" applyFont="1" applyFill="1"/>
    <xf numFmtId="167" fontId="10" fillId="17" borderId="63" xfId="0" applyNumberFormat="1" applyFont="1" applyFill="1" applyBorder="1"/>
    <xf numFmtId="167" fontId="10" fillId="17" borderId="169" xfId="0" applyNumberFormat="1" applyFont="1" applyFill="1" applyBorder="1" applyAlignment="1">
      <alignment horizontal="right"/>
    </xf>
    <xf numFmtId="167" fontId="10" fillId="17" borderId="62" xfId="0" applyNumberFormat="1" applyFont="1" applyFill="1" applyBorder="1" applyAlignment="1">
      <alignment horizontal="right"/>
    </xf>
    <xf numFmtId="167" fontId="10" fillId="17" borderId="96" xfId="0" applyNumberFormat="1" applyFont="1" applyFill="1" applyBorder="1" applyAlignment="1">
      <alignment horizontal="right"/>
    </xf>
    <xf numFmtId="167" fontId="10" fillId="17" borderId="33" xfId="0" applyNumberFormat="1" applyFont="1" applyFill="1" applyBorder="1" applyAlignment="1">
      <alignment horizontal="right"/>
    </xf>
    <xf numFmtId="164" fontId="10" fillId="0" borderId="63" xfId="0" applyNumberFormat="1" applyFont="1" applyBorder="1"/>
    <xf numFmtId="167" fontId="10" fillId="17" borderId="170" xfId="0" applyNumberFormat="1" applyFont="1" applyFill="1" applyBorder="1" applyAlignment="1">
      <alignment horizontal="right"/>
    </xf>
    <xf numFmtId="167" fontId="10" fillId="17" borderId="91" xfId="0" applyNumberFormat="1" applyFont="1" applyFill="1" applyBorder="1" applyAlignment="1">
      <alignment horizontal="right"/>
    </xf>
    <xf numFmtId="0" fontId="19" fillId="0" borderId="0" xfId="0" applyFont="1" applyAlignment="1">
      <alignment vertical="top" wrapText="1"/>
    </xf>
    <xf numFmtId="0" fontId="14" fillId="0" borderId="0" xfId="0" applyFont="1"/>
    <xf numFmtId="166" fontId="10" fillId="0" borderId="0" xfId="0" applyNumberFormat="1" applyFont="1"/>
    <xf numFmtId="167" fontId="10" fillId="17" borderId="171" xfId="0" applyNumberFormat="1" applyFont="1" applyFill="1" applyBorder="1" applyAlignment="1">
      <alignment horizontal="right"/>
    </xf>
    <xf numFmtId="167" fontId="10" fillId="17" borderId="94" xfId="0" applyNumberFormat="1" applyFont="1" applyFill="1" applyBorder="1" applyAlignment="1">
      <alignment horizontal="right"/>
    </xf>
    <xf numFmtId="167" fontId="10" fillId="17" borderId="111" xfId="0" applyNumberFormat="1" applyFont="1" applyFill="1" applyBorder="1" applyAlignment="1">
      <alignment horizontal="right"/>
    </xf>
    <xf numFmtId="0" fontId="20" fillId="0" borderId="0" xfId="0" applyFont="1"/>
    <xf numFmtId="49" fontId="12" fillId="5" borderId="88" xfId="0" applyNumberFormat="1" applyFont="1" applyFill="1" applyBorder="1"/>
    <xf numFmtId="167" fontId="12" fillId="5" borderId="63" xfId="0" applyNumberFormat="1" applyFont="1" applyFill="1" applyBorder="1"/>
    <xf numFmtId="167" fontId="12" fillId="5" borderId="72" xfId="0" applyNumberFormat="1" applyFont="1" applyFill="1" applyBorder="1"/>
    <xf numFmtId="49" fontId="10" fillId="0" borderId="0" xfId="0" applyNumberFormat="1" applyFont="1"/>
    <xf numFmtId="0" fontId="12" fillId="0" borderId="35" xfId="0" applyFont="1" applyBorder="1"/>
    <xf numFmtId="166" fontId="10" fillId="0" borderId="35" xfId="0" applyNumberFormat="1" applyFont="1" applyBorder="1"/>
    <xf numFmtId="166" fontId="12" fillId="0" borderId="0" xfId="0" applyNumberFormat="1" applyFont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0" fillId="0" borderId="27" xfId="0" applyFont="1" applyBorder="1"/>
    <xf numFmtId="14" fontId="10" fillId="0" borderId="0" xfId="0" applyNumberFormat="1" applyFont="1"/>
    <xf numFmtId="0" fontId="10" fillId="0" borderId="41" xfId="0" applyFont="1" applyBorder="1" applyAlignment="1">
      <alignment horizontal="center"/>
    </xf>
    <xf numFmtId="0" fontId="10" fillId="0" borderId="41" xfId="0" applyFont="1" applyBorder="1" applyAlignment="1">
      <alignment horizontal="right"/>
    </xf>
    <xf numFmtId="164" fontId="10" fillId="0" borderId="0" xfId="0" applyNumberFormat="1" applyFont="1" applyAlignment="1">
      <alignment horizontal="center"/>
    </xf>
    <xf numFmtId="164" fontId="10" fillId="0" borderId="68" xfId="0" applyNumberFormat="1" applyFont="1" applyBorder="1"/>
    <xf numFmtId="0" fontId="10" fillId="0" borderId="41" xfId="0" applyFont="1" applyBorder="1"/>
    <xf numFmtId="165" fontId="10" fillId="0" borderId="0" xfId="0" applyNumberFormat="1" applyFont="1"/>
    <xf numFmtId="0" fontId="10" fillId="0" borderId="173" xfId="0" applyFont="1" applyBorder="1"/>
    <xf numFmtId="0" fontId="10" fillId="0" borderId="173" xfId="0" applyFont="1" applyBorder="1" applyAlignment="1">
      <alignment horizontal="center"/>
    </xf>
    <xf numFmtId="0" fontId="10" fillId="0" borderId="174" xfId="0" applyFont="1" applyBorder="1" applyAlignment="1">
      <alignment horizontal="center"/>
    </xf>
    <xf numFmtId="0" fontId="10" fillId="0" borderId="170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59" xfId="0" applyFont="1" applyBorder="1"/>
    <xf numFmtId="14" fontId="10" fillId="0" borderId="175" xfId="0" applyNumberFormat="1" applyFont="1" applyBorder="1" applyAlignment="1">
      <alignment horizontal="center"/>
    </xf>
    <xf numFmtId="0" fontId="10" fillId="0" borderId="17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72" xfId="0" applyFont="1" applyBorder="1"/>
    <xf numFmtId="9" fontId="10" fillId="0" borderId="72" xfId="0" applyNumberFormat="1" applyFont="1" applyBorder="1"/>
    <xf numFmtId="0" fontId="10" fillId="0" borderId="177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68" xfId="0" applyFont="1" applyBorder="1"/>
    <xf numFmtId="0" fontId="10" fillId="0" borderId="14" xfId="0" applyFont="1" applyBorder="1"/>
    <xf numFmtId="0" fontId="10" fillId="0" borderId="18" xfId="0" applyFont="1" applyBorder="1"/>
    <xf numFmtId="0" fontId="10" fillId="0" borderId="101" xfId="0" applyFont="1" applyBorder="1" applyAlignment="1">
      <alignment horizontal="center"/>
    </xf>
    <xf numFmtId="0" fontId="10" fillId="0" borderId="68" xfId="0" applyFont="1" applyBorder="1" applyAlignment="1">
      <alignment horizontal="center"/>
    </xf>
    <xf numFmtId="14" fontId="10" fillId="0" borderId="91" xfId="0" applyNumberFormat="1" applyFont="1" applyBorder="1" applyAlignment="1">
      <alignment horizontal="center"/>
    </xf>
    <xf numFmtId="9" fontId="10" fillId="0" borderId="14" xfId="0" applyNumberFormat="1" applyFont="1" applyBorder="1"/>
    <xf numFmtId="9" fontId="10" fillId="0" borderId="18" xfId="0" applyNumberFormat="1" applyFont="1" applyBorder="1"/>
    <xf numFmtId="168" fontId="10" fillId="0" borderId="14" xfId="0" applyNumberFormat="1" applyFont="1" applyBorder="1"/>
    <xf numFmtId="3" fontId="10" fillId="0" borderId="14" xfId="0" applyNumberFormat="1" applyFont="1" applyBorder="1"/>
    <xf numFmtId="0" fontId="10" fillId="0" borderId="178" xfId="0" applyFont="1" applyBorder="1" applyAlignment="1">
      <alignment horizontal="center"/>
    </xf>
    <xf numFmtId="0" fontId="10" fillId="0" borderId="179" xfId="0" applyFont="1" applyBorder="1" applyAlignment="1">
      <alignment horizontal="center"/>
    </xf>
    <xf numFmtId="0" fontId="10" fillId="0" borderId="179" xfId="0" applyFont="1" applyBorder="1"/>
    <xf numFmtId="14" fontId="10" fillId="0" borderId="180" xfId="0" applyNumberFormat="1" applyFont="1" applyBorder="1" applyAlignment="1">
      <alignment horizontal="center"/>
    </xf>
    <xf numFmtId="0" fontId="10" fillId="0" borderId="104" xfId="0" applyFont="1" applyBorder="1" applyAlignment="1">
      <alignment horizontal="center"/>
    </xf>
    <xf numFmtId="14" fontId="10" fillId="0" borderId="113" xfId="0" applyNumberFormat="1" applyFont="1" applyBorder="1" applyAlignment="1">
      <alignment horizontal="center"/>
    </xf>
    <xf numFmtId="14" fontId="10" fillId="0" borderId="181" xfId="0" applyNumberFormat="1" applyFont="1" applyBorder="1" applyAlignment="1">
      <alignment horizontal="center"/>
    </xf>
    <xf numFmtId="0" fontId="10" fillId="0" borderId="7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6" xfId="0" applyFont="1" applyBorder="1"/>
    <xf numFmtId="0" fontId="1" fillId="0" borderId="44" xfId="0" applyFont="1" applyBorder="1"/>
    <xf numFmtId="0" fontId="1" fillId="0" borderId="4" xfId="0" applyFont="1" applyBorder="1"/>
    <xf numFmtId="9" fontId="10" fillId="0" borderId="35" xfId="0" applyNumberFormat="1" applyFont="1" applyBorder="1"/>
    <xf numFmtId="3" fontId="10" fillId="0" borderId="35" xfId="0" applyNumberFormat="1" applyFont="1" applyBorder="1"/>
    <xf numFmtId="0" fontId="10" fillId="0" borderId="36" xfId="0" applyFont="1" applyBorder="1"/>
    <xf numFmtId="165" fontId="10" fillId="0" borderId="35" xfId="0" applyNumberFormat="1" applyFont="1" applyBorder="1"/>
    <xf numFmtId="14" fontId="20" fillId="9" borderId="130" xfId="0" applyNumberFormat="1" applyFont="1" applyFill="1" applyBorder="1" applyAlignment="1">
      <alignment horizontal="center"/>
    </xf>
    <xf numFmtId="14" fontId="20" fillId="9" borderId="0" xfId="0" applyNumberFormat="1" applyFont="1" applyFill="1" applyAlignment="1">
      <alignment horizontal="center"/>
    </xf>
    <xf numFmtId="14" fontId="20" fillId="9" borderId="34" xfId="0" applyNumberFormat="1" applyFont="1" applyFill="1" applyBorder="1" applyAlignment="1">
      <alignment horizontal="center"/>
    </xf>
    <xf numFmtId="14" fontId="20" fillId="9" borderId="35" xfId="0" applyNumberFormat="1" applyFont="1" applyFill="1" applyBorder="1" applyAlignment="1">
      <alignment horizontal="center"/>
    </xf>
    <xf numFmtId="14" fontId="20" fillId="9" borderId="36" xfId="0" applyNumberFormat="1" applyFont="1" applyFill="1" applyBorder="1" applyAlignment="1">
      <alignment horizontal="center"/>
    </xf>
    <xf numFmtId="165" fontId="1" fillId="0" borderId="4" xfId="0" applyNumberFormat="1" applyFont="1" applyBorder="1"/>
    <xf numFmtId="165" fontId="1" fillId="0" borderId="5" xfId="0" applyNumberFormat="1" applyFont="1" applyBorder="1"/>
    <xf numFmtId="165" fontId="1" fillId="0" borderId="2" xfId="0" applyNumberFormat="1" applyFont="1" applyBorder="1"/>
    <xf numFmtId="164" fontId="12" fillId="0" borderId="0" xfId="0" applyNumberFormat="1" applyFont="1" applyAlignment="1">
      <alignment horizontal="center"/>
    </xf>
    <xf numFmtId="164" fontId="12" fillId="0" borderId="68" xfId="0" applyNumberFormat="1" applyFont="1" applyBorder="1" applyAlignment="1">
      <alignment horizontal="center"/>
    </xf>
    <xf numFmtId="164" fontId="12" fillId="18" borderId="0" xfId="0" applyNumberFormat="1" applyFont="1" applyFill="1"/>
    <xf numFmtId="164" fontId="10" fillId="19" borderId="130" xfId="0" applyNumberFormat="1" applyFont="1" applyFill="1" applyBorder="1"/>
    <xf numFmtId="164" fontId="10" fillId="19" borderId="0" xfId="0" applyNumberFormat="1" applyFont="1" applyFill="1"/>
    <xf numFmtId="0" fontId="12" fillId="18" borderId="0" xfId="0" applyFont="1" applyFill="1"/>
    <xf numFmtId="164" fontId="50" fillId="12" borderId="182" xfId="0" applyNumberFormat="1" applyFont="1" applyFill="1" applyBorder="1" applyAlignment="1">
      <alignment horizontal="center"/>
    </xf>
    <xf numFmtId="164" fontId="50" fillId="12" borderId="32" xfId="0" applyNumberFormat="1" applyFont="1" applyFill="1" applyBorder="1" applyAlignment="1">
      <alignment horizontal="center"/>
    </xf>
    <xf numFmtId="164" fontId="50" fillId="12" borderId="33" xfId="0" applyNumberFormat="1" applyFont="1" applyFill="1" applyBorder="1" applyAlignment="1">
      <alignment horizontal="center"/>
    </xf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2" xfId="0" applyNumberFormat="1" applyFont="1" applyBorder="1"/>
    <xf numFmtId="164" fontId="10" fillId="0" borderId="130" xfId="0" applyNumberFormat="1" applyFont="1" applyBorder="1"/>
    <xf numFmtId="0" fontId="10" fillId="0" borderId="137" xfId="0" applyFont="1" applyBorder="1"/>
    <xf numFmtId="165" fontId="10" fillId="0" borderId="68" xfId="0" applyNumberFormat="1" applyFont="1" applyBorder="1"/>
    <xf numFmtId="164" fontId="29" fillId="0" borderId="0" xfId="0" applyNumberFormat="1" applyFont="1"/>
    <xf numFmtId="164" fontId="10" fillId="0" borderId="183" xfId="0" applyNumberFormat="1" applyFont="1" applyBorder="1"/>
    <xf numFmtId="164" fontId="10" fillId="0" borderId="184" xfId="0" applyNumberFormat="1" applyFont="1" applyBorder="1"/>
    <xf numFmtId="164" fontId="10" fillId="0" borderId="185" xfId="0" applyNumberFormat="1" applyFont="1" applyBorder="1"/>
    <xf numFmtId="3" fontId="20" fillId="9" borderId="138" xfId="0" applyNumberFormat="1" applyFont="1" applyFill="1" applyBorder="1" applyAlignment="1">
      <alignment horizontal="center"/>
    </xf>
    <xf numFmtId="3" fontId="20" fillId="9" borderId="158" xfId="0" applyNumberFormat="1" applyFont="1" applyFill="1" applyBorder="1" applyAlignment="1">
      <alignment horizontal="center"/>
    </xf>
    <xf numFmtId="3" fontId="20" fillId="9" borderId="186" xfId="0" applyNumberFormat="1" applyFont="1" applyFill="1" applyBorder="1" applyAlignment="1">
      <alignment horizontal="center"/>
    </xf>
    <xf numFmtId="3" fontId="20" fillId="9" borderId="187" xfId="0" applyNumberFormat="1" applyFont="1" applyFill="1" applyBorder="1" applyAlignment="1">
      <alignment horizontal="center"/>
    </xf>
    <xf numFmtId="3" fontId="20" fillId="9" borderId="188" xfId="0" applyNumberFormat="1" applyFont="1" applyFill="1" applyBorder="1" applyAlignment="1">
      <alignment horizontal="center"/>
    </xf>
    <xf numFmtId="0" fontId="10" fillId="0" borderId="189" xfId="0" applyFont="1" applyBorder="1"/>
    <xf numFmtId="0" fontId="10" fillId="0" borderId="190" xfId="0" applyFont="1" applyBorder="1"/>
    <xf numFmtId="0" fontId="10" fillId="0" borderId="191" xfId="0" applyFont="1" applyBorder="1"/>
    <xf numFmtId="164" fontId="32" fillId="0" borderId="80" xfId="0" applyNumberFormat="1" applyFont="1" applyBorder="1"/>
    <xf numFmtId="164" fontId="10" fillId="0" borderId="67" xfId="0" applyNumberFormat="1" applyFont="1" applyBorder="1"/>
    <xf numFmtId="164" fontId="10" fillId="0" borderId="80" xfId="0" applyNumberFormat="1" applyFont="1" applyBorder="1"/>
    <xf numFmtId="164" fontId="10" fillId="0" borderId="189" xfId="0" applyNumberFormat="1" applyFont="1" applyBorder="1"/>
    <xf numFmtId="164" fontId="10" fillId="0" borderId="190" xfId="0" applyNumberFormat="1" applyFont="1" applyBorder="1"/>
    <xf numFmtId="164" fontId="10" fillId="0" borderId="191" xfId="0" applyNumberFormat="1" applyFont="1" applyBorder="1"/>
    <xf numFmtId="164" fontId="33" fillId="0" borderId="80" xfId="0" applyNumberFormat="1" applyFont="1" applyBorder="1"/>
    <xf numFmtId="164" fontId="12" fillId="0" borderId="0" xfId="0" applyNumberFormat="1" applyFont="1"/>
    <xf numFmtId="164" fontId="12" fillId="0" borderId="67" xfId="0" applyNumberFormat="1" applyFont="1" applyBorder="1"/>
    <xf numFmtId="164" fontId="12" fillId="0" borderId="80" xfId="0" applyNumberFormat="1" applyFont="1" applyBorder="1"/>
    <xf numFmtId="164" fontId="12" fillId="0" borderId="189" xfId="0" applyNumberFormat="1" applyFont="1" applyBorder="1"/>
    <xf numFmtId="164" fontId="12" fillId="0" borderId="190" xfId="0" applyNumberFormat="1" applyFont="1" applyBorder="1"/>
    <xf numFmtId="164" fontId="12" fillId="0" borderId="191" xfId="0" applyNumberFormat="1" applyFont="1" applyBorder="1"/>
    <xf numFmtId="166" fontId="34" fillId="0" borderId="80" xfId="0" applyNumberFormat="1" applyFont="1" applyBorder="1"/>
    <xf numFmtId="166" fontId="32" fillId="0" borderId="80" xfId="0" applyNumberFormat="1" applyFont="1" applyBorder="1"/>
    <xf numFmtId="166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6" fontId="10" fillId="0" borderId="80" xfId="0" applyNumberFormat="1" applyFont="1" applyBorder="1"/>
    <xf numFmtId="164" fontId="10" fillId="0" borderId="0" xfId="0" applyNumberFormat="1" applyFont="1" applyAlignment="1">
      <alignment horizontal="right"/>
    </xf>
    <xf numFmtId="166" fontId="33" fillId="0" borderId="80" xfId="0" applyNumberFormat="1" applyFont="1" applyBorder="1"/>
    <xf numFmtId="166" fontId="12" fillId="0" borderId="0" xfId="0" applyNumberFormat="1" applyFont="1"/>
    <xf numFmtId="166" fontId="32" fillId="0" borderId="0" xfId="0" applyNumberFormat="1" applyFont="1" applyAlignment="1">
      <alignment horizontal="right"/>
    </xf>
    <xf numFmtId="166" fontId="32" fillId="0" borderId="192" xfId="0" applyNumberFormat="1" applyFont="1" applyBorder="1" applyAlignment="1">
      <alignment horizontal="right"/>
    </xf>
    <xf numFmtId="164" fontId="32" fillId="0" borderId="193" xfId="0" applyNumberFormat="1" applyFont="1" applyBorder="1" applyAlignment="1">
      <alignment horizontal="right"/>
    </xf>
    <xf numFmtId="164" fontId="10" fillId="0" borderId="194" xfId="0" applyNumberFormat="1" applyFont="1" applyBorder="1"/>
    <xf numFmtId="164" fontId="32" fillId="0" borderId="195" xfId="0" applyNumberFormat="1" applyFont="1" applyBorder="1" applyAlignment="1">
      <alignment horizontal="right"/>
    </xf>
    <xf numFmtId="166" fontId="10" fillId="0" borderId="189" xfId="0" applyNumberFormat="1" applyFont="1" applyBorder="1"/>
    <xf numFmtId="166" fontId="10" fillId="0" borderId="190" xfId="0" applyNumberFormat="1" applyFont="1" applyBorder="1"/>
    <xf numFmtId="166" fontId="10" fillId="0" borderId="191" xfId="0" applyNumberFormat="1" applyFont="1" applyBorder="1"/>
    <xf numFmtId="0" fontId="19" fillId="4" borderId="52" xfId="0" applyFont="1" applyFill="1" applyBorder="1" applyAlignment="1">
      <alignment vertical="center" wrapText="1"/>
    </xf>
    <xf numFmtId="166" fontId="10" fillId="4" borderId="189" xfId="0" applyNumberFormat="1" applyFont="1" applyFill="1" applyBorder="1"/>
    <xf numFmtId="166" fontId="10" fillId="4" borderId="190" xfId="0" applyNumberFormat="1" applyFont="1" applyFill="1" applyBorder="1"/>
    <xf numFmtId="166" fontId="10" fillId="4" borderId="191" xfId="0" applyNumberFormat="1" applyFont="1" applyFill="1" applyBorder="1"/>
    <xf numFmtId="0" fontId="10" fillId="4" borderId="55" xfId="0" applyFont="1" applyFill="1" applyBorder="1"/>
    <xf numFmtId="0" fontId="25" fillId="0" borderId="196" xfId="0" applyFont="1" applyBorder="1"/>
    <xf numFmtId="164" fontId="20" fillId="9" borderId="0" xfId="0" applyNumberFormat="1" applyFont="1" applyFill="1" applyAlignment="1">
      <alignment horizontal="center"/>
    </xf>
    <xf numFmtId="164" fontId="20" fillId="9" borderId="67" xfId="0" applyNumberFormat="1" applyFont="1" applyFill="1" applyBorder="1" applyAlignment="1">
      <alignment horizontal="center"/>
    </xf>
    <xf numFmtId="164" fontId="20" fillId="9" borderId="80" xfId="0" applyNumberFormat="1" applyFont="1" applyFill="1" applyBorder="1" applyAlignment="1">
      <alignment horizontal="center"/>
    </xf>
    <xf numFmtId="166" fontId="10" fillId="0" borderId="197" xfId="0" applyNumberFormat="1" applyFont="1" applyBorder="1"/>
    <xf numFmtId="166" fontId="10" fillId="0" borderId="198" xfId="0" applyNumberFormat="1" applyFont="1" applyBorder="1"/>
    <xf numFmtId="166" fontId="10" fillId="0" borderId="5" xfId="0" applyNumberFormat="1" applyFont="1" applyBorder="1"/>
    <xf numFmtId="166" fontId="10" fillId="0" borderId="2" xfId="0" applyNumberFormat="1" applyFont="1" applyBorder="1"/>
    <xf numFmtId="166" fontId="10" fillId="4" borderId="5" xfId="0" applyNumberFormat="1" applyFont="1" applyFill="1" applyBorder="1"/>
    <xf numFmtId="3" fontId="10" fillId="0" borderId="6" xfId="0" applyNumberFormat="1" applyFont="1" applyBorder="1"/>
    <xf numFmtId="166" fontId="10" fillId="0" borderId="184" xfId="0" applyNumberFormat="1" applyFont="1" applyBorder="1"/>
    <xf numFmtId="166" fontId="10" fillId="0" borderId="185" xfId="0" applyNumberFormat="1" applyFont="1" applyBorder="1"/>
    <xf numFmtId="3" fontId="20" fillId="9" borderId="139" xfId="0" applyNumberFormat="1" applyFont="1" applyFill="1" applyBorder="1" applyAlignment="1">
      <alignment horizontal="center"/>
    </xf>
    <xf numFmtId="166" fontId="10" fillId="0" borderId="199" xfId="0" applyNumberFormat="1" applyFont="1" applyBorder="1"/>
    <xf numFmtId="164" fontId="12" fillId="0" borderId="68" xfId="0" applyNumberFormat="1" applyFont="1" applyBorder="1"/>
    <xf numFmtId="164" fontId="12" fillId="0" borderId="68" xfId="0" applyNumberFormat="1" applyFont="1" applyBorder="1" applyAlignment="1">
      <alignment horizontal="right"/>
    </xf>
    <xf numFmtId="164" fontId="32" fillId="0" borderId="200" xfId="0" applyNumberFormat="1" applyFont="1" applyBorder="1" applyAlignment="1">
      <alignment horizontal="right"/>
    </xf>
    <xf numFmtId="164" fontId="32" fillId="0" borderId="192" xfId="0" applyNumberFormat="1" applyFont="1" applyBorder="1" applyAlignment="1">
      <alignment horizontal="right"/>
    </xf>
    <xf numFmtId="166" fontId="10" fillId="0" borderId="201" xfId="0" applyNumberFormat="1" applyFont="1" applyBorder="1"/>
    <xf numFmtId="166" fontId="10" fillId="0" borderId="202" xfId="0" applyNumberFormat="1" applyFont="1" applyBorder="1"/>
    <xf numFmtId="166" fontId="10" fillId="0" borderId="203" xfId="0" applyNumberFormat="1" applyFont="1" applyBorder="1"/>
    <xf numFmtId="166" fontId="32" fillId="4" borderId="5" xfId="0" applyNumberFormat="1" applyFont="1" applyFill="1" applyBorder="1" applyAlignment="1">
      <alignment horizontal="right"/>
    </xf>
    <xf numFmtId="0" fontId="25" fillId="4" borderId="196" xfId="0" applyFont="1" applyFill="1" applyBorder="1"/>
    <xf numFmtId="3" fontId="20" fillId="20" borderId="138" xfId="0" applyNumberFormat="1" applyFont="1" applyFill="1" applyBorder="1" applyAlignment="1">
      <alignment horizontal="center"/>
    </xf>
    <xf numFmtId="3" fontId="20" fillId="20" borderId="158" xfId="0" applyNumberFormat="1" applyFont="1" applyFill="1" applyBorder="1" applyAlignment="1">
      <alignment horizontal="center"/>
    </xf>
    <xf numFmtId="164" fontId="10" fillId="4" borderId="67" xfId="0" applyNumberFormat="1" applyFont="1" applyFill="1" applyBorder="1" applyAlignment="1">
      <alignment horizontal="right"/>
    </xf>
    <xf numFmtId="164" fontId="10" fillId="4" borderId="0" xfId="0" applyNumberFormat="1" applyFont="1" applyFill="1" applyAlignment="1">
      <alignment horizontal="right"/>
    </xf>
    <xf numFmtId="164" fontId="10" fillId="0" borderId="67" xfId="0" applyNumberFormat="1" applyFont="1" applyBorder="1" applyAlignment="1">
      <alignment horizontal="right"/>
    </xf>
    <xf numFmtId="164" fontId="12" fillId="0" borderId="67" xfId="0" applyNumberFormat="1" applyFont="1" applyBorder="1" applyAlignment="1">
      <alignment horizontal="right"/>
    </xf>
    <xf numFmtId="164" fontId="32" fillId="4" borderId="5" xfId="0" applyNumberFormat="1" applyFont="1" applyFill="1" applyBorder="1" applyAlignment="1">
      <alignment horizontal="right"/>
    </xf>
    <xf numFmtId="166" fontId="29" fillId="4" borderId="15" xfId="0" applyNumberFormat="1" applyFont="1" applyFill="1" applyBorder="1"/>
    <xf numFmtId="166" fontId="29" fillId="4" borderId="16" xfId="0" applyNumberFormat="1" applyFont="1" applyFill="1" applyBorder="1"/>
    <xf numFmtId="0" fontId="29" fillId="4" borderId="16" xfId="0" applyFont="1" applyFill="1" applyBorder="1"/>
    <xf numFmtId="0" fontId="29" fillId="0" borderId="16" xfId="0" applyFont="1" applyBorder="1"/>
    <xf numFmtId="0" fontId="29" fillId="0" borderId="44" xfId="0" applyFont="1" applyBorder="1"/>
    <xf numFmtId="166" fontId="29" fillId="4" borderId="4" xfId="0" applyNumberFormat="1" applyFont="1" applyFill="1" applyBorder="1"/>
    <xf numFmtId="166" fontId="29" fillId="4" borderId="5" xfId="0" applyNumberFormat="1" applyFont="1" applyFill="1" applyBorder="1"/>
    <xf numFmtId="0" fontId="29" fillId="4" borderId="5" xfId="0" applyFont="1" applyFill="1" applyBorder="1"/>
    <xf numFmtId="0" fontId="29" fillId="0" borderId="5" xfId="0" applyFont="1" applyBorder="1"/>
    <xf numFmtId="0" fontId="29" fillId="0" borderId="2" xfId="0" applyFont="1" applyBorder="1"/>
    <xf numFmtId="166" fontId="29" fillId="4" borderId="55" xfId="0" applyNumberFormat="1" applyFont="1" applyFill="1" applyBorder="1"/>
    <xf numFmtId="166" fontId="29" fillId="4" borderId="6" xfId="0" applyNumberFormat="1" applyFont="1" applyFill="1" applyBorder="1"/>
    <xf numFmtId="0" fontId="29" fillId="4" borderId="6" xfId="0" applyFont="1" applyFill="1" applyBorder="1"/>
    <xf numFmtId="0" fontId="29" fillId="0" borderId="6" xfId="0" applyFont="1" applyBorder="1"/>
    <xf numFmtId="166" fontId="51" fillId="4" borderId="34" xfId="0" applyNumberFormat="1" applyFont="1" applyFill="1" applyBorder="1" applyAlignment="1">
      <alignment horizontal="center"/>
    </xf>
    <xf numFmtId="0" fontId="52" fillId="4" borderId="35" xfId="0" applyFont="1" applyFill="1" applyBorder="1" applyAlignment="1">
      <alignment horizontal="center"/>
    </xf>
    <xf numFmtId="0" fontId="52" fillId="4" borderId="32" xfId="0" applyFont="1" applyFill="1" applyBorder="1" applyAlignment="1">
      <alignment horizontal="center"/>
    </xf>
    <xf numFmtId="0" fontId="52" fillId="4" borderId="33" xfId="0" applyFont="1" applyFill="1" applyBorder="1" applyAlignment="1">
      <alignment horizontal="center"/>
    </xf>
    <xf numFmtId="0" fontId="52" fillId="4" borderId="58" xfId="0" applyFont="1" applyFill="1" applyBorder="1" applyAlignment="1">
      <alignment horizontal="center"/>
    </xf>
    <xf numFmtId="0" fontId="52" fillId="0" borderId="32" xfId="0" applyFont="1" applyBorder="1" applyAlignment="1">
      <alignment horizontal="center"/>
    </xf>
    <xf numFmtId="0" fontId="52" fillId="0" borderId="58" xfId="0" applyFont="1" applyBorder="1" applyAlignment="1">
      <alignment horizontal="center"/>
    </xf>
    <xf numFmtId="0" fontId="52" fillId="0" borderId="33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1" fillId="21" borderId="59" xfId="0" applyFont="1" applyFill="1" applyBorder="1" applyAlignment="1">
      <alignment horizontal="center"/>
    </xf>
    <xf numFmtId="166" fontId="29" fillId="21" borderId="32" xfId="0" applyNumberFormat="1" applyFont="1" applyFill="1" applyBorder="1"/>
    <xf numFmtId="166" fontId="29" fillId="21" borderId="33" xfId="0" applyNumberFormat="1" applyFont="1" applyFill="1" applyBorder="1"/>
    <xf numFmtId="166" fontId="29" fillId="0" borderId="4" xfId="0" applyNumberFormat="1" applyFont="1" applyBorder="1"/>
    <xf numFmtId="166" fontId="29" fillId="0" borderId="5" xfId="0" applyNumberFormat="1" applyFont="1" applyBorder="1"/>
    <xf numFmtId="166" fontId="29" fillId="0" borderId="2" xfId="0" applyNumberFormat="1" applyFont="1" applyBorder="1"/>
    <xf numFmtId="166" fontId="51" fillId="21" borderId="59" xfId="0" applyNumberFormat="1" applyFont="1" applyFill="1" applyBorder="1"/>
    <xf numFmtId="164" fontId="51" fillId="21" borderId="58" xfId="0" applyNumberFormat="1" applyFont="1" applyFill="1" applyBorder="1" applyAlignment="1">
      <alignment horizontal="right"/>
    </xf>
    <xf numFmtId="164" fontId="34" fillId="21" borderId="58" xfId="0" applyNumberFormat="1" applyFont="1" applyFill="1" applyBorder="1" applyAlignment="1">
      <alignment horizontal="right"/>
    </xf>
    <xf numFmtId="164" fontId="34" fillId="21" borderId="32" xfId="0" applyNumberFormat="1" applyFont="1" applyFill="1" applyBorder="1" applyAlignment="1">
      <alignment horizontal="right"/>
    </xf>
    <xf numFmtId="164" fontId="34" fillId="21" borderId="33" xfId="0" applyNumberFormat="1" applyFont="1" applyFill="1" applyBorder="1" applyAlignment="1">
      <alignment horizontal="right"/>
    </xf>
    <xf numFmtId="164" fontId="34" fillId="0" borderId="4" xfId="0" applyNumberFormat="1" applyFont="1" applyBorder="1" applyAlignment="1">
      <alignment horizontal="right"/>
    </xf>
    <xf numFmtId="164" fontId="34" fillId="0" borderId="5" xfId="0" applyNumberFormat="1" applyFont="1" applyBorder="1" applyAlignment="1">
      <alignment horizontal="right"/>
    </xf>
    <xf numFmtId="164" fontId="34" fillId="0" borderId="2" xfId="0" applyNumberFormat="1" applyFont="1" applyBorder="1" applyAlignment="1">
      <alignment horizontal="right"/>
    </xf>
    <xf numFmtId="166" fontId="53" fillId="0" borderId="14" xfId="0" applyNumberFormat="1" applyFont="1" applyBorder="1"/>
    <xf numFmtId="164" fontId="22" fillId="0" borderId="41" xfId="0" applyNumberFormat="1" applyFont="1" applyBorder="1" applyAlignment="1">
      <alignment horizontal="right"/>
    </xf>
    <xf numFmtId="164" fontId="54" fillId="0" borderId="41" xfId="0" applyNumberFormat="1" applyFont="1" applyBorder="1" applyAlignment="1">
      <alignment horizontal="right"/>
    </xf>
    <xf numFmtId="169" fontId="54" fillId="0" borderId="0" xfId="0" applyNumberFormat="1" applyFont="1" applyAlignment="1">
      <alignment horizontal="right"/>
    </xf>
    <xf numFmtId="169" fontId="55" fillId="0" borderId="0" xfId="0" applyNumberFormat="1" applyFont="1" applyAlignment="1">
      <alignment horizontal="right"/>
    </xf>
    <xf numFmtId="169" fontId="54" fillId="0" borderId="68" xfId="0" applyNumberFormat="1" applyFont="1" applyBorder="1" applyAlignment="1">
      <alignment horizontal="right"/>
    </xf>
    <xf numFmtId="169" fontId="54" fillId="0" borderId="4" xfId="0" applyNumberFormat="1" applyFont="1" applyBorder="1" applyAlignment="1">
      <alignment horizontal="right"/>
    </xf>
    <xf numFmtId="169" fontId="54" fillId="0" borderId="5" xfId="0" applyNumberFormat="1" applyFont="1" applyBorder="1" applyAlignment="1">
      <alignment horizontal="right"/>
    </xf>
    <xf numFmtId="169" fontId="54" fillId="0" borderId="2" xfId="0" applyNumberFormat="1" applyFont="1" applyBorder="1" applyAlignment="1">
      <alignment horizontal="right"/>
    </xf>
    <xf numFmtId="164" fontId="22" fillId="0" borderId="41" xfId="0" applyNumberFormat="1" applyFont="1" applyBorder="1"/>
    <xf numFmtId="164" fontId="54" fillId="0" borderId="41" xfId="0" applyNumberFormat="1" applyFont="1" applyBorder="1"/>
    <xf numFmtId="164" fontId="54" fillId="0" borderId="0" xfId="0" applyNumberFormat="1" applyFont="1"/>
    <xf numFmtId="164" fontId="54" fillId="0" borderId="68" xfId="0" applyNumberFormat="1" applyFont="1" applyBorder="1"/>
    <xf numFmtId="164" fontId="54" fillId="0" borderId="4" xfId="0" applyNumberFormat="1" applyFont="1" applyBorder="1"/>
    <xf numFmtId="164" fontId="54" fillId="0" borderId="5" xfId="0" applyNumberFormat="1" applyFont="1" applyBorder="1"/>
    <xf numFmtId="164" fontId="54" fillId="0" borderId="2" xfId="0" applyNumberFormat="1" applyFont="1" applyBorder="1"/>
    <xf numFmtId="164" fontId="54" fillId="0" borderId="0" xfId="0" applyNumberFormat="1" applyFont="1" applyAlignment="1">
      <alignment horizontal="right"/>
    </xf>
    <xf numFmtId="164" fontId="54" fillId="0" borderId="68" xfId="0" applyNumberFormat="1" applyFont="1" applyBorder="1" applyAlignment="1">
      <alignment horizontal="right"/>
    </xf>
    <xf numFmtId="164" fontId="54" fillId="0" borderId="4" xfId="0" applyNumberFormat="1" applyFont="1" applyBorder="1" applyAlignment="1">
      <alignment horizontal="right"/>
    </xf>
    <xf numFmtId="164" fontId="54" fillId="0" borderId="5" xfId="0" applyNumberFormat="1" applyFont="1" applyBorder="1" applyAlignment="1">
      <alignment horizontal="right"/>
    </xf>
    <xf numFmtId="164" fontId="54" fillId="0" borderId="2" xfId="0" applyNumberFormat="1" applyFont="1" applyBorder="1" applyAlignment="1">
      <alignment horizontal="right"/>
    </xf>
    <xf numFmtId="164" fontId="22" fillId="0" borderId="0" xfId="0" applyNumberFormat="1" applyFont="1"/>
    <xf numFmtId="164" fontId="51" fillId="21" borderId="32" xfId="0" applyNumberFormat="1" applyFont="1" applyFill="1" applyBorder="1" applyAlignment="1">
      <alignment horizontal="right"/>
    </xf>
    <xf numFmtId="166" fontId="53" fillId="0" borderId="51" xfId="0" applyNumberFormat="1" applyFont="1" applyBorder="1"/>
    <xf numFmtId="164" fontId="29" fillId="0" borderId="52" xfId="0" applyNumberFormat="1" applyFont="1" applyBorder="1"/>
    <xf numFmtId="164" fontId="54" fillId="0" borderId="52" xfId="0" applyNumberFormat="1" applyFont="1" applyBorder="1"/>
    <xf numFmtId="164" fontId="54" fillId="0" borderId="17" xfId="0" applyNumberFormat="1" applyFont="1" applyBorder="1"/>
    <xf numFmtId="166" fontId="53" fillId="0" borderId="39" xfId="0" applyNumberFormat="1" applyFont="1" applyBorder="1"/>
    <xf numFmtId="164" fontId="29" fillId="0" borderId="12" xfId="0" applyNumberFormat="1" applyFont="1" applyBorder="1"/>
    <xf numFmtId="164" fontId="54" fillId="0" borderId="12" xfId="0" applyNumberFormat="1" applyFont="1" applyBorder="1"/>
    <xf numFmtId="164" fontId="54" fillId="0" borderId="13" xfId="0" applyNumberFormat="1" applyFont="1" applyBorder="1"/>
    <xf numFmtId="0" fontId="51" fillId="21" borderId="18" xfId="0" applyFont="1" applyFill="1" applyBorder="1" applyAlignment="1">
      <alignment horizontal="center"/>
    </xf>
    <xf numFmtId="164" fontId="51" fillId="21" borderId="88" xfId="0" applyNumberFormat="1" applyFont="1" applyFill="1" applyBorder="1" applyAlignment="1">
      <alignment horizontal="right"/>
    </xf>
    <xf numFmtId="164" fontId="34" fillId="21" borderId="88" xfId="0" applyNumberFormat="1" applyFont="1" applyFill="1" applyBorder="1" applyAlignment="1">
      <alignment horizontal="right"/>
    </xf>
    <xf numFmtId="164" fontId="34" fillId="21" borderId="63" xfId="0" applyNumberFormat="1" applyFont="1" applyFill="1" applyBorder="1" applyAlignment="1">
      <alignment horizontal="right"/>
    </xf>
    <xf numFmtId="164" fontId="34" fillId="21" borderId="72" xfId="0" applyNumberFormat="1" applyFont="1" applyFill="1" applyBorder="1" applyAlignment="1">
      <alignment horizontal="right"/>
    </xf>
    <xf numFmtId="0" fontId="53" fillId="0" borderId="14" xfId="0" applyFont="1" applyBorder="1"/>
    <xf numFmtId="0" fontId="53" fillId="0" borderId="41" xfId="0" applyFont="1" applyBorder="1"/>
    <xf numFmtId="164" fontId="54" fillId="0" borderId="88" xfId="0" applyNumberFormat="1" applyFont="1" applyBorder="1" applyAlignment="1">
      <alignment horizontal="right"/>
    </xf>
    <xf numFmtId="164" fontId="54" fillId="0" borderId="63" xfId="0" applyNumberFormat="1" applyFont="1" applyBorder="1" applyAlignment="1">
      <alignment horizontal="right"/>
    </xf>
    <xf numFmtId="164" fontId="54" fillId="0" borderId="72" xfId="0" applyNumberFormat="1" applyFont="1" applyBorder="1" applyAlignment="1">
      <alignment horizontal="right"/>
    </xf>
    <xf numFmtId="166" fontId="29" fillId="21" borderId="58" xfId="0" applyNumberFormat="1" applyFont="1" applyFill="1" applyBorder="1"/>
    <xf numFmtId="169" fontId="54" fillId="0" borderId="41" xfId="0" applyNumberFormat="1" applyFont="1" applyBorder="1" applyAlignment="1">
      <alignment horizontal="right"/>
    </xf>
    <xf numFmtId="170" fontId="54" fillId="0" borderId="41" xfId="0" applyNumberFormat="1" applyFont="1" applyBorder="1" applyAlignment="1">
      <alignment horizontal="right"/>
    </xf>
    <xf numFmtId="170" fontId="54" fillId="0" borderId="0" xfId="0" applyNumberFormat="1" applyFont="1" applyAlignment="1">
      <alignment horizontal="right"/>
    </xf>
    <xf numFmtId="170" fontId="54" fillId="0" borderId="68" xfId="0" applyNumberFormat="1" applyFont="1" applyBorder="1" applyAlignment="1">
      <alignment horizontal="right"/>
    </xf>
    <xf numFmtId="164" fontId="54" fillId="0" borderId="53" xfId="0" applyNumberFormat="1" applyFont="1" applyBorder="1"/>
    <xf numFmtId="164" fontId="54" fillId="0" borderId="51" xfId="0" applyNumberFormat="1" applyFont="1" applyBorder="1"/>
    <xf numFmtId="164" fontId="54" fillId="0" borderId="79" xfId="0" applyNumberFormat="1" applyFont="1" applyBorder="1"/>
    <xf numFmtId="164" fontId="54" fillId="0" borderId="40" xfId="0" applyNumberFormat="1" applyFont="1" applyBorder="1"/>
    <xf numFmtId="164" fontId="54" fillId="0" borderId="39" xfId="0" applyNumberFormat="1" applyFont="1" applyBorder="1"/>
    <xf numFmtId="164" fontId="54" fillId="0" borderId="11" xfId="0" applyNumberFormat="1" applyFont="1" applyBorder="1"/>
    <xf numFmtId="166" fontId="10" fillId="0" borderId="15" xfId="0" applyNumberFormat="1" applyFont="1" applyBorder="1"/>
    <xf numFmtId="166" fontId="10" fillId="0" borderId="16" xfId="0" applyNumberFormat="1" applyFont="1" applyBorder="1"/>
    <xf numFmtId="166" fontId="10" fillId="0" borderId="44" xfId="0" applyNumberFormat="1" applyFont="1" applyBorder="1"/>
    <xf numFmtId="166" fontId="10" fillId="0" borderId="4" xfId="0" applyNumberFormat="1" applyFont="1" applyBorder="1"/>
    <xf numFmtId="166" fontId="10" fillId="0" borderId="55" xfId="0" applyNumberFormat="1" applyFont="1" applyBorder="1"/>
    <xf numFmtId="166" fontId="10" fillId="0" borderId="34" xfId="0" applyNumberFormat="1" applyFont="1" applyBorder="1"/>
    <xf numFmtId="166" fontId="10" fillId="0" borderId="36" xfId="0" applyNumberFormat="1" applyFont="1" applyBorder="1"/>
    <xf numFmtId="166" fontId="12" fillId="0" borderId="35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66" fontId="12" fillId="0" borderId="4" xfId="0" applyNumberFormat="1" applyFont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166" fontId="10" fillId="0" borderId="41" xfId="0" applyNumberFormat="1" applyFont="1" applyBorder="1"/>
    <xf numFmtId="166" fontId="56" fillId="0" borderId="68" xfId="0" applyNumberFormat="1" applyFont="1" applyBorder="1" applyAlignment="1">
      <alignment horizontal="right"/>
    </xf>
    <xf numFmtId="166" fontId="57" fillId="0" borderId="68" xfId="0" applyNumberFormat="1" applyFont="1" applyBorder="1" applyAlignment="1">
      <alignment horizontal="right"/>
    </xf>
    <xf numFmtId="166" fontId="57" fillId="0" borderId="59" xfId="0" applyNumberFormat="1" applyFont="1" applyBorder="1" applyAlignment="1">
      <alignment horizontal="right"/>
    </xf>
    <xf numFmtId="166" fontId="57" fillId="0" borderId="4" xfId="0" applyNumberFormat="1" applyFont="1" applyBorder="1" applyAlignment="1">
      <alignment horizontal="right"/>
    </xf>
    <xf numFmtId="166" fontId="57" fillId="0" borderId="5" xfId="0" applyNumberFormat="1" applyFont="1" applyBorder="1" applyAlignment="1">
      <alignment horizontal="right"/>
    </xf>
    <xf numFmtId="166" fontId="57" fillId="0" borderId="2" xfId="0" applyNumberFormat="1" applyFont="1" applyBorder="1" applyAlignment="1">
      <alignment horizontal="right"/>
    </xf>
    <xf numFmtId="166" fontId="10" fillId="21" borderId="0" xfId="0" applyNumberFormat="1" applyFont="1" applyFill="1"/>
    <xf numFmtId="166" fontId="10" fillId="21" borderId="63" xfId="0" applyNumberFormat="1" applyFont="1" applyFill="1" applyBorder="1"/>
    <xf numFmtId="166" fontId="10" fillId="21" borderId="88" xfId="0" applyNumberFormat="1" applyFont="1" applyFill="1" applyBorder="1"/>
    <xf numFmtId="166" fontId="10" fillId="21" borderId="72" xfId="0" applyNumberFormat="1" applyFont="1" applyFill="1" applyBorder="1"/>
    <xf numFmtId="166" fontId="57" fillId="0" borderId="41" xfId="0" applyNumberFormat="1" applyFont="1" applyBorder="1"/>
    <xf numFmtId="166" fontId="10" fillId="0" borderId="68" xfId="0" applyNumberFormat="1" applyFont="1" applyBorder="1"/>
    <xf numFmtId="166" fontId="57" fillId="0" borderId="68" xfId="0" applyNumberFormat="1" applyFont="1" applyBorder="1"/>
    <xf numFmtId="166" fontId="56" fillId="22" borderId="0" xfId="0" applyNumberFormat="1" applyFont="1" applyFill="1" applyAlignment="1">
      <alignment horizontal="right"/>
    </xf>
    <xf numFmtId="166" fontId="56" fillId="22" borderId="35" xfId="0" applyNumberFormat="1" applyFont="1" applyFill="1" applyBorder="1" applyAlignment="1">
      <alignment horizontal="right"/>
    </xf>
    <xf numFmtId="166" fontId="56" fillId="22" borderId="34" xfId="0" applyNumberFormat="1" applyFont="1" applyFill="1" applyBorder="1" applyAlignment="1">
      <alignment horizontal="right"/>
    </xf>
    <xf numFmtId="166" fontId="56" fillId="22" borderId="36" xfId="0" applyNumberFormat="1" applyFont="1" applyFill="1" applyBorder="1" applyAlignment="1">
      <alignment horizontal="right"/>
    </xf>
    <xf numFmtId="166" fontId="56" fillId="0" borderId="4" xfId="0" applyNumberFormat="1" applyFont="1" applyBorder="1" applyAlignment="1">
      <alignment horizontal="right"/>
    </xf>
    <xf numFmtId="166" fontId="56" fillId="0" borderId="5" xfId="0" applyNumberFormat="1" applyFont="1" applyBorder="1" applyAlignment="1">
      <alignment horizontal="right"/>
    </xf>
    <xf numFmtId="166" fontId="56" fillId="0" borderId="2" xfId="0" applyNumberFormat="1" applyFont="1" applyBorder="1" applyAlignment="1">
      <alignment horizontal="right"/>
    </xf>
    <xf numFmtId="166" fontId="10" fillId="21" borderId="41" xfId="0" applyNumberFormat="1" applyFont="1" applyFill="1" applyBorder="1"/>
    <xf numFmtId="166" fontId="10" fillId="21" borderId="68" xfId="0" applyNumberFormat="1" applyFont="1" applyFill="1" applyBorder="1"/>
    <xf numFmtId="166" fontId="57" fillId="0" borderId="0" xfId="0" applyNumberFormat="1" applyFont="1" applyAlignment="1">
      <alignment horizontal="right"/>
    </xf>
    <xf numFmtId="166" fontId="27" fillId="0" borderId="41" xfId="0" applyNumberFormat="1" applyFont="1" applyBorder="1" applyAlignment="1">
      <alignment horizontal="right"/>
    </xf>
    <xf numFmtId="166" fontId="57" fillId="0" borderId="41" xfId="0" applyNumberFormat="1" applyFont="1" applyBorder="1" applyAlignment="1">
      <alignment horizontal="right"/>
    </xf>
    <xf numFmtId="166" fontId="57" fillId="4" borderId="0" xfId="0" applyNumberFormat="1" applyFont="1" applyFill="1" applyAlignment="1">
      <alignment horizontal="right"/>
    </xf>
    <xf numFmtId="166" fontId="27" fillId="4" borderId="41" xfId="0" applyNumberFormat="1" applyFont="1" applyFill="1" applyBorder="1" applyAlignment="1">
      <alignment horizontal="right"/>
    </xf>
    <xf numFmtId="166" fontId="57" fillId="4" borderId="41" xfId="0" applyNumberFormat="1" applyFont="1" applyFill="1" applyBorder="1" applyAlignment="1">
      <alignment horizontal="right"/>
    </xf>
    <xf numFmtId="166" fontId="56" fillId="22" borderId="41" xfId="0" applyNumberFormat="1" applyFont="1" applyFill="1" applyBorder="1" applyAlignment="1">
      <alignment horizontal="right"/>
    </xf>
    <xf numFmtId="166" fontId="56" fillId="22" borderId="68" xfId="0" applyNumberFormat="1" applyFont="1" applyFill="1" applyBorder="1" applyAlignment="1">
      <alignment horizontal="right"/>
    </xf>
    <xf numFmtId="166" fontId="56" fillId="0" borderId="0" xfId="0" applyNumberFormat="1" applyFont="1" applyAlignment="1">
      <alignment horizontal="right"/>
    </xf>
    <xf numFmtId="166" fontId="56" fillId="0" borderId="63" xfId="0" applyNumberFormat="1" applyFont="1" applyBorder="1" applyAlignment="1">
      <alignment horizontal="right"/>
    </xf>
    <xf numFmtId="166" fontId="56" fillId="0" borderId="88" xfId="0" applyNumberFormat="1" applyFont="1" applyBorder="1" applyAlignment="1">
      <alignment horizontal="right"/>
    </xf>
    <xf numFmtId="166" fontId="56" fillId="0" borderId="72" xfId="0" applyNumberFormat="1" applyFont="1" applyBorder="1" applyAlignment="1">
      <alignment horizontal="right"/>
    </xf>
    <xf numFmtId="166" fontId="56" fillId="23" borderId="63" xfId="0" applyNumberFormat="1" applyFont="1" applyFill="1" applyBorder="1" applyAlignment="1">
      <alignment horizontal="right"/>
    </xf>
    <xf numFmtId="166" fontId="56" fillId="23" borderId="88" xfId="0" applyNumberFormat="1" applyFont="1" applyFill="1" applyBorder="1" applyAlignment="1">
      <alignment horizontal="right"/>
    </xf>
    <xf numFmtId="166" fontId="56" fillId="23" borderId="72" xfId="0" applyNumberFormat="1" applyFont="1" applyFill="1" applyBorder="1" applyAlignment="1">
      <alignment horizontal="right"/>
    </xf>
    <xf numFmtId="166" fontId="56" fillId="0" borderId="15" xfId="0" applyNumberFormat="1" applyFont="1" applyBorder="1"/>
    <xf numFmtId="166" fontId="56" fillId="0" borderId="16" xfId="0" applyNumberFormat="1" applyFont="1" applyBorder="1"/>
    <xf numFmtId="166" fontId="56" fillId="0" borderId="16" xfId="0" applyNumberFormat="1" applyFont="1" applyBorder="1" applyAlignment="1">
      <alignment horizontal="right"/>
    </xf>
    <xf numFmtId="166" fontId="25" fillId="0" borderId="5" xfId="0" applyNumberFormat="1" applyFont="1" applyBorder="1"/>
    <xf numFmtId="166" fontId="56" fillId="0" borderId="5" xfId="0" applyNumberFormat="1" applyFont="1" applyBorder="1"/>
    <xf numFmtId="166" fontId="25" fillId="0" borderId="196" xfId="0" applyNumberFormat="1" applyFont="1" applyBorder="1"/>
    <xf numFmtId="166" fontId="56" fillId="0" borderId="6" xfId="0" applyNumberFormat="1" applyFont="1" applyBorder="1"/>
    <xf numFmtId="166" fontId="56" fillId="0" borderId="6" xfId="0" applyNumberFormat="1" applyFont="1" applyBorder="1" applyAlignment="1">
      <alignment horizontal="right"/>
    </xf>
    <xf numFmtId="166" fontId="56" fillId="24" borderId="34" xfId="0" applyNumberFormat="1" applyFont="1" applyFill="1" applyBorder="1" applyAlignment="1">
      <alignment horizontal="center"/>
    </xf>
    <xf numFmtId="166" fontId="10" fillId="24" borderId="35" xfId="0" applyNumberFormat="1" applyFont="1" applyFill="1" applyBorder="1"/>
    <xf numFmtId="166" fontId="10" fillId="24" borderId="34" xfId="0" applyNumberFormat="1" applyFont="1" applyFill="1" applyBorder="1"/>
    <xf numFmtId="166" fontId="10" fillId="24" borderId="36" xfId="0" applyNumberFormat="1" applyFont="1" applyFill="1" applyBorder="1"/>
    <xf numFmtId="166" fontId="10" fillId="24" borderId="0" xfId="0" applyNumberFormat="1" applyFont="1" applyFill="1"/>
    <xf numFmtId="166" fontId="12" fillId="0" borderId="88" xfId="0" applyNumberFormat="1" applyFont="1" applyBorder="1" applyAlignment="1">
      <alignment horizontal="center"/>
    </xf>
    <xf numFmtId="166" fontId="12" fillId="0" borderId="63" xfId="0" applyNumberFormat="1" applyFont="1" applyBorder="1" applyAlignment="1">
      <alignment horizontal="center"/>
    </xf>
    <xf numFmtId="166" fontId="12" fillId="0" borderId="72" xfId="0" applyNumberFormat="1" applyFont="1" applyBorder="1" applyAlignment="1">
      <alignment horizontal="center"/>
    </xf>
    <xf numFmtId="166" fontId="25" fillId="4" borderId="196" xfId="0" applyNumberFormat="1" applyFont="1" applyFill="1" applyBorder="1"/>
    <xf numFmtId="166" fontId="12" fillId="0" borderId="33" xfId="0" applyNumberFormat="1" applyFont="1" applyBorder="1" applyAlignment="1">
      <alignment horizontal="center"/>
    </xf>
    <xf numFmtId="166" fontId="57" fillId="0" borderId="14" xfId="0" applyNumberFormat="1" applyFont="1" applyBorder="1" applyAlignment="1">
      <alignment horizontal="right"/>
    </xf>
    <xf numFmtId="166" fontId="10" fillId="21" borderId="14" xfId="0" applyNumberFormat="1" applyFont="1" applyFill="1" applyBorder="1"/>
    <xf numFmtId="166" fontId="10" fillId="0" borderId="14" xfId="0" applyNumberFormat="1" applyFont="1" applyBorder="1" applyAlignment="1">
      <alignment horizontal="right"/>
    </xf>
    <xf numFmtId="166" fontId="10" fillId="0" borderId="14" xfId="0" applyNumberFormat="1" applyFont="1" applyBorder="1"/>
    <xf numFmtId="166" fontId="56" fillId="22" borderId="14" xfId="0" applyNumberFormat="1" applyFont="1" applyFill="1" applyBorder="1" applyAlignment="1">
      <alignment horizontal="right"/>
    </xf>
    <xf numFmtId="166" fontId="56" fillId="0" borderId="14" xfId="0" applyNumberFormat="1" applyFont="1" applyBorder="1" applyAlignment="1">
      <alignment horizontal="right"/>
    </xf>
    <xf numFmtId="166" fontId="56" fillId="23" borderId="18" xfId="0" applyNumberFormat="1" applyFont="1" applyFill="1" applyBorder="1" applyAlignment="1">
      <alignment horizontal="right"/>
    </xf>
    <xf numFmtId="166" fontId="56" fillId="23" borderId="16" xfId="0" applyNumberFormat="1" applyFont="1" applyFill="1" applyBorder="1" applyAlignment="1">
      <alignment horizontal="right"/>
    </xf>
    <xf numFmtId="166" fontId="57" fillId="0" borderId="16" xfId="0" applyNumberFormat="1" applyFont="1" applyBorder="1" applyAlignment="1">
      <alignment horizontal="right"/>
    </xf>
    <xf numFmtId="166" fontId="12" fillId="0" borderId="32" xfId="0" applyNumberFormat="1" applyFont="1" applyBorder="1" applyAlignment="1">
      <alignment horizontal="center"/>
    </xf>
    <xf numFmtId="166" fontId="10" fillId="0" borderId="54" xfId="0" applyNumberFormat="1" applyFont="1" applyBorder="1"/>
    <xf numFmtId="165" fontId="20" fillId="9" borderId="0" xfId="0" applyNumberFormat="1" applyFont="1" applyFill="1" applyAlignment="1">
      <alignment horizontal="center"/>
    </xf>
    <xf numFmtId="165" fontId="20" fillId="9" borderId="61" xfId="0" applyNumberFormat="1" applyFont="1" applyFill="1" applyBorder="1" applyAlignment="1">
      <alignment horizontal="center"/>
    </xf>
    <xf numFmtId="14" fontId="20" fillId="9" borderId="61" xfId="0" applyNumberFormat="1" applyFont="1" applyFill="1" applyBorder="1" applyAlignment="1">
      <alignment horizontal="center"/>
    </xf>
    <xf numFmtId="165" fontId="20" fillId="9" borderId="96" xfId="0" applyNumberFormat="1" applyFont="1" applyFill="1" applyBorder="1" applyAlignment="1">
      <alignment horizontal="center"/>
    </xf>
    <xf numFmtId="10" fontId="10" fillId="0" borderId="0" xfId="0" applyNumberFormat="1" applyFont="1"/>
    <xf numFmtId="0" fontId="21" fillId="0" borderId="0" xfId="0" applyFont="1"/>
    <xf numFmtId="0" fontId="12" fillId="4" borderId="44" xfId="0" applyFont="1" applyFill="1" applyBorder="1" applyAlignment="1">
      <alignment horizontal="center"/>
    </xf>
    <xf numFmtId="3" fontId="12" fillId="4" borderId="2" xfId="0" applyNumberFormat="1" applyFont="1" applyFill="1" applyBorder="1" applyAlignment="1">
      <alignment horizontal="center"/>
    </xf>
    <xf numFmtId="165" fontId="10" fillId="0" borderId="36" xfId="0" applyNumberFormat="1" applyFont="1" applyBorder="1"/>
    <xf numFmtId="165" fontId="10" fillId="0" borderId="204" xfId="0" applyNumberFormat="1" applyFont="1" applyBorder="1"/>
    <xf numFmtId="14" fontId="20" fillId="4" borderId="4" xfId="0" applyNumberFormat="1" applyFont="1" applyFill="1" applyBorder="1" applyAlignment="1">
      <alignment horizontal="center"/>
    </xf>
    <xf numFmtId="14" fontId="20" fillId="4" borderId="5" xfId="0" applyNumberFormat="1" applyFont="1" applyFill="1" applyBorder="1" applyAlignment="1">
      <alignment horizontal="center"/>
    </xf>
    <xf numFmtId="14" fontId="20" fillId="4" borderId="2" xfId="0" applyNumberFormat="1" applyFont="1" applyFill="1" applyBorder="1" applyAlignment="1">
      <alignment horizontal="center"/>
    </xf>
    <xf numFmtId="166" fontId="12" fillId="0" borderId="68" xfId="0" applyNumberFormat="1" applyFont="1" applyBorder="1" applyAlignment="1">
      <alignment horizontal="center"/>
    </xf>
    <xf numFmtId="0" fontId="1" fillId="0" borderId="68" xfId="0" applyFont="1" applyBorder="1"/>
    <xf numFmtId="0" fontId="10" fillId="0" borderId="32" xfId="0" applyFont="1" applyBorder="1"/>
    <xf numFmtId="167" fontId="10" fillId="4" borderId="5" xfId="0" applyNumberFormat="1" applyFont="1" applyFill="1" applyBorder="1" applyAlignment="1">
      <alignment horizontal="right"/>
    </xf>
    <xf numFmtId="167" fontId="10" fillId="0" borderId="0" xfId="0" applyNumberFormat="1" applyFont="1"/>
    <xf numFmtId="165" fontId="12" fillId="4" borderId="4" xfId="0" applyNumberFormat="1" applyFont="1" applyFill="1" applyBorder="1" applyAlignment="1">
      <alignment horizontal="center"/>
    </xf>
    <xf numFmtId="165" fontId="12" fillId="4" borderId="5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right"/>
    </xf>
    <xf numFmtId="0" fontId="1" fillId="0" borderId="0" xfId="0" applyFont="1"/>
    <xf numFmtId="0" fontId="1" fillId="0" borderId="0" xfId="0" quotePrefix="1" applyFont="1"/>
    <xf numFmtId="0" fontId="0" fillId="0" borderId="0" xfId="0"/>
    <xf numFmtId="0" fontId="11" fillId="3" borderId="34" xfId="0" applyFont="1" applyFill="1" applyBorder="1" applyAlignment="1">
      <alignment vertical="center"/>
    </xf>
    <xf numFmtId="0" fontId="2" fillId="0" borderId="35" xfId="0" applyFont="1" applyBorder="1"/>
    <xf numFmtId="0" fontId="2" fillId="0" borderId="36" xfId="0" applyFont="1" applyBorder="1"/>
    <xf numFmtId="0" fontId="9" fillId="3" borderId="2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9" fillId="3" borderId="2" xfId="0" applyFont="1" applyFill="1" applyBorder="1"/>
    <xf numFmtId="0" fontId="11" fillId="3" borderId="34" xfId="0" applyFont="1" applyFill="1" applyBorder="1"/>
    <xf numFmtId="0" fontId="16" fillId="0" borderId="51" xfId="0" applyFont="1" applyBorder="1" applyAlignment="1">
      <alignment vertical="center"/>
    </xf>
    <xf numFmtId="0" fontId="2" fillId="0" borderId="51" xfId="0" applyFont="1" applyBorder="1"/>
    <xf numFmtId="0" fontId="2" fillId="0" borderId="42" xfId="0" applyFont="1" applyBorder="1"/>
    <xf numFmtId="0" fontId="11" fillId="3" borderId="7" xfId="0" applyFont="1" applyFill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14" fillId="0" borderId="45" xfId="0" applyFont="1" applyBorder="1" applyAlignment="1">
      <alignment vertical="center"/>
    </xf>
    <xf numFmtId="0" fontId="2" fillId="0" borderId="46" xfId="0" applyFont="1" applyBorder="1"/>
    <xf numFmtId="0" fontId="2" fillId="0" borderId="47" xfId="0" applyFont="1" applyBorder="1"/>
    <xf numFmtId="0" fontId="13" fillId="0" borderId="14" xfId="0" applyFont="1" applyBorder="1" applyAlignment="1">
      <alignment vertical="center"/>
    </xf>
    <xf numFmtId="0" fontId="2" fillId="0" borderId="18" xfId="0" applyFont="1" applyBorder="1"/>
    <xf numFmtId="0" fontId="14" fillId="0" borderId="17" xfId="0" applyFont="1" applyBorder="1" applyAlignment="1">
      <alignment vertical="center"/>
    </xf>
    <xf numFmtId="0" fontId="2" fillId="0" borderId="19" xfId="0" applyFont="1" applyBorder="1"/>
    <xf numFmtId="0" fontId="2" fillId="0" borderId="14" xfId="0" applyFont="1" applyBorder="1"/>
    <xf numFmtId="164" fontId="14" fillId="5" borderId="31" xfId="0" applyNumberFormat="1" applyFont="1" applyFill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7" fillId="3" borderId="2" xfId="0" applyFont="1" applyFill="1" applyBorder="1" applyAlignment="1">
      <alignment vertical="center"/>
    </xf>
    <xf numFmtId="0" fontId="2" fillId="0" borderId="17" xfId="0" applyFont="1" applyBorder="1"/>
    <xf numFmtId="3" fontId="12" fillId="0" borderId="58" xfId="0" applyNumberFormat="1" applyFont="1" applyBorder="1" applyAlignment="1">
      <alignment horizontal="center"/>
    </xf>
    <xf numFmtId="0" fontId="20" fillId="12" borderId="67" xfId="0" applyFont="1" applyFill="1" applyBorder="1"/>
    <xf numFmtId="0" fontId="2" fillId="0" borderId="68" xfId="0" applyFont="1" applyBorder="1"/>
    <xf numFmtId="0" fontId="21" fillId="4" borderId="67" xfId="0" applyFont="1" applyFill="1" applyBorder="1" applyAlignment="1">
      <alignment vertical="top" wrapText="1"/>
    </xf>
    <xf numFmtId="0" fontId="2" fillId="0" borderId="81" xfId="0" applyFont="1" applyBorder="1"/>
    <xf numFmtId="0" fontId="12" fillId="7" borderId="58" xfId="0" applyFont="1" applyFill="1" applyBorder="1" applyAlignment="1">
      <alignment horizontal="center"/>
    </xf>
    <xf numFmtId="0" fontId="12" fillId="8" borderId="58" xfId="0" applyFont="1" applyFill="1" applyBorder="1" applyAlignment="1">
      <alignment horizontal="center"/>
    </xf>
    <xf numFmtId="3" fontId="12" fillId="4" borderId="58" xfId="0" applyNumberFormat="1" applyFont="1" applyFill="1" applyBorder="1" applyAlignment="1">
      <alignment horizontal="center"/>
    </xf>
    <xf numFmtId="0" fontId="19" fillId="3" borderId="54" xfId="0" applyFont="1" applyFill="1" applyBorder="1" applyAlignment="1">
      <alignment vertical="center"/>
    </xf>
    <xf numFmtId="0" fontId="2" fillId="0" borderId="57" xfId="0" applyFont="1" applyBorder="1"/>
    <xf numFmtId="0" fontId="2" fillId="0" borderId="53" xfId="0" applyFont="1" applyBorder="1"/>
    <xf numFmtId="0" fontId="2" fillId="0" borderId="44" xfId="0" applyFont="1" applyBorder="1"/>
    <xf numFmtId="0" fontId="2" fillId="0" borderId="60" xfId="0" applyFont="1" applyBorder="1"/>
    <xf numFmtId="0" fontId="20" fillId="10" borderId="65" xfId="0" applyFont="1" applyFill="1" applyBorder="1"/>
    <xf numFmtId="0" fontId="10" fillId="4" borderId="67" xfId="0" applyFont="1" applyFill="1" applyBorder="1" applyAlignment="1">
      <alignment vertical="top"/>
    </xf>
    <xf numFmtId="0" fontId="2" fillId="0" borderId="71" xfId="0" applyFont="1" applyBorder="1"/>
    <xf numFmtId="0" fontId="20" fillId="11" borderId="65" xfId="0" applyFont="1" applyFill="1" applyBorder="1"/>
    <xf numFmtId="0" fontId="10" fillId="4" borderId="67" xfId="0" applyFont="1" applyFill="1" applyBorder="1"/>
    <xf numFmtId="0" fontId="2" fillId="0" borderId="55" xfId="0" applyFont="1" applyBorder="1"/>
    <xf numFmtId="0" fontId="2" fillId="0" borderId="79" xfId="0" applyFont="1" applyBorder="1"/>
    <xf numFmtId="0" fontId="2" fillId="0" borderId="15" xfId="0" applyFont="1" applyBorder="1"/>
    <xf numFmtId="0" fontId="24" fillId="3" borderId="97" xfId="0" applyFont="1" applyFill="1" applyBorder="1" applyAlignment="1">
      <alignment horizontal="left" vertical="center" wrapText="1"/>
    </xf>
    <xf numFmtId="0" fontId="2" fillId="0" borderId="97" xfId="0" applyFont="1" applyBorder="1"/>
    <xf numFmtId="0" fontId="2" fillId="0" borderId="106" xfId="0" applyFont="1" applyBorder="1"/>
    <xf numFmtId="0" fontId="12" fillId="13" borderId="107" xfId="0" applyFont="1" applyFill="1" applyBorder="1" applyAlignment="1">
      <alignment horizontal="center"/>
    </xf>
    <xf numFmtId="0" fontId="2" fillId="0" borderId="108" xfId="0" applyFont="1" applyBorder="1"/>
    <xf numFmtId="0" fontId="2" fillId="0" borderId="109" xfId="0" applyFont="1" applyBorder="1"/>
    <xf numFmtId="3" fontId="12" fillId="4" borderId="110" xfId="0" applyNumberFormat="1" applyFont="1" applyFill="1" applyBorder="1" applyAlignment="1">
      <alignment horizontal="center"/>
    </xf>
    <xf numFmtId="0" fontId="2" fillId="0" borderId="93" xfId="0" applyFont="1" applyBorder="1"/>
    <xf numFmtId="0" fontId="2" fillId="0" borderId="94" xfId="0" applyFont="1" applyBorder="1"/>
    <xf numFmtId="3" fontId="12" fillId="0" borderId="92" xfId="0" applyNumberFormat="1" applyFont="1" applyBorder="1" applyAlignment="1">
      <alignment horizontal="center"/>
    </xf>
    <xf numFmtId="0" fontId="2" fillId="0" borderId="111" xfId="0" applyFont="1" applyBorder="1"/>
    <xf numFmtId="0" fontId="10" fillId="0" borderId="92" xfId="0" applyFont="1" applyBorder="1" applyAlignment="1">
      <alignment horizontal="center"/>
    </xf>
    <xf numFmtId="0" fontId="2" fillId="0" borderId="91" xfId="0" applyFont="1" applyBorder="1"/>
    <xf numFmtId="0" fontId="10" fillId="0" borderId="0" xfId="0" applyFont="1" applyAlignment="1">
      <alignment horizontal="center"/>
    </xf>
    <xf numFmtId="0" fontId="2" fillId="0" borderId="80" xfId="0" applyFont="1" applyBorder="1"/>
    <xf numFmtId="9" fontId="21" fillId="4" borderId="130" xfId="0" applyNumberFormat="1" applyFont="1" applyFill="1" applyBorder="1" applyAlignment="1">
      <alignment vertical="top" wrapText="1"/>
    </xf>
    <xf numFmtId="0" fontId="2" fillId="0" borderId="133" xfId="0" applyFont="1" applyBorder="1"/>
    <xf numFmtId="0" fontId="20" fillId="16" borderId="136" xfId="0" applyFont="1" applyFill="1" applyBorder="1"/>
    <xf numFmtId="3" fontId="31" fillId="4" borderId="130" xfId="0" applyNumberFormat="1" applyFont="1" applyFill="1" applyBorder="1" applyAlignment="1">
      <alignment vertical="top" wrapText="1"/>
    </xf>
    <xf numFmtId="0" fontId="2" fillId="0" borderId="138" xfId="0" applyFont="1" applyBorder="1"/>
    <xf numFmtId="0" fontId="20" fillId="12" borderId="125" xfId="0" applyFont="1" applyFill="1" applyBorder="1"/>
    <xf numFmtId="0" fontId="2" fillId="0" borderId="126" xfId="0" applyFont="1" applyBorder="1"/>
    <xf numFmtId="0" fontId="21" fillId="4" borderId="130" xfId="0" applyFont="1" applyFill="1" applyBorder="1" applyAlignment="1">
      <alignment vertical="top" wrapText="1"/>
    </xf>
    <xf numFmtId="3" fontId="30" fillId="4" borderId="130" xfId="0" applyNumberFormat="1" applyFont="1" applyFill="1" applyBorder="1" applyAlignment="1">
      <alignment vertical="top" wrapText="1"/>
    </xf>
    <xf numFmtId="0" fontId="2" fillId="0" borderId="119" xfId="0" applyFont="1" applyBorder="1"/>
    <xf numFmtId="0" fontId="2" fillId="0" borderId="63" xfId="0" applyFont="1" applyBorder="1"/>
    <xf numFmtId="0" fontId="20" fillId="16" borderId="125" xfId="0" applyFont="1" applyFill="1" applyBorder="1"/>
    <xf numFmtId="0" fontId="2" fillId="0" borderId="130" xfId="0" applyFont="1" applyBorder="1"/>
    <xf numFmtId="0" fontId="20" fillId="10" borderId="144" xfId="0" applyFont="1" applyFill="1" applyBorder="1"/>
    <xf numFmtId="0" fontId="2" fillId="0" borderId="145" xfId="0" applyFont="1" applyBorder="1"/>
    <xf numFmtId="0" fontId="10" fillId="4" borderId="130" xfId="0" applyFont="1" applyFill="1" applyBorder="1" applyAlignment="1">
      <alignment vertical="top"/>
    </xf>
    <xf numFmtId="0" fontId="20" fillId="10" borderId="136" xfId="0" applyFont="1" applyFill="1" applyBorder="1"/>
    <xf numFmtId="9" fontId="26" fillId="15" borderId="136" xfId="0" applyNumberFormat="1" applyFont="1" applyFill="1" applyBorder="1"/>
    <xf numFmtId="0" fontId="19" fillId="3" borderId="34" xfId="0" applyFont="1" applyFill="1" applyBorder="1" applyAlignment="1">
      <alignment vertical="center"/>
    </xf>
    <xf numFmtId="0" fontId="2" fillId="0" borderId="41" xfId="0" applyFont="1" applyBorder="1"/>
    <xf numFmtId="0" fontId="2" fillId="0" borderId="88" xfId="0" applyFont="1" applyBorder="1"/>
    <xf numFmtId="0" fontId="35" fillId="4" borderId="0" xfId="0" applyFont="1" applyFill="1"/>
    <xf numFmtId="0" fontId="35" fillId="0" borderId="0" xfId="0" applyFont="1"/>
    <xf numFmtId="0" fontId="44" fillId="4" borderId="67" xfId="0" applyFont="1" applyFill="1" applyBorder="1" applyAlignment="1">
      <alignment vertical="top" wrapText="1"/>
    </xf>
    <xf numFmtId="0" fontId="2" fillId="0" borderId="67" xfId="0" applyFont="1" applyBorder="1"/>
    <xf numFmtId="165" fontId="12" fillId="0" borderId="34" xfId="0" applyNumberFormat="1" applyFont="1" applyBorder="1" applyAlignment="1">
      <alignment horizontal="center"/>
    </xf>
    <xf numFmtId="0" fontId="19" fillId="3" borderId="54" xfId="0" applyFont="1" applyFill="1" applyBorder="1" applyAlignment="1">
      <alignment vertical="top" wrapText="1"/>
    </xf>
    <xf numFmtId="0" fontId="2" fillId="0" borderId="86" xfId="0" applyFont="1" applyBorder="1"/>
    <xf numFmtId="0" fontId="2" fillId="0" borderId="172" xfId="0" applyFont="1" applyBorder="1"/>
    <xf numFmtId="0" fontId="10" fillId="0" borderId="168" xfId="0" applyFont="1" applyBorder="1" applyAlignment="1">
      <alignment horizontal="center"/>
    </xf>
    <xf numFmtId="0" fontId="2" fillId="0" borderId="62" xfId="0" applyFont="1" applyBorder="1"/>
    <xf numFmtId="0" fontId="10" fillId="0" borderId="95" xfId="0" applyFont="1" applyBorder="1"/>
    <xf numFmtId="0" fontId="2" fillId="0" borderId="61" xfId="0" applyFont="1" applyBorder="1"/>
    <xf numFmtId="0" fontId="19" fillId="3" borderId="6" xfId="0" applyFont="1" applyFill="1" applyBorder="1" applyAlignment="1">
      <alignment vertical="center" wrapText="1"/>
    </xf>
    <xf numFmtId="0" fontId="2" fillId="0" borderId="52" xfId="0" applyFont="1" applyBorder="1"/>
    <xf numFmtId="0" fontId="2" fillId="0" borderId="43" xfId="0" applyFont="1" applyBorder="1"/>
    <xf numFmtId="0" fontId="19" fillId="3" borderId="54" xfId="0" applyFont="1" applyFill="1" applyBorder="1" applyAlignment="1">
      <alignment vertical="center" wrapText="1"/>
    </xf>
    <xf numFmtId="166" fontId="56" fillId="21" borderId="41" xfId="0" applyNumberFormat="1" applyFont="1" applyFill="1" applyBorder="1"/>
    <xf numFmtId="166" fontId="57" fillId="0" borderId="41" xfId="0" applyNumberFormat="1" applyFont="1" applyBorder="1"/>
    <xf numFmtId="166" fontId="57" fillId="22" borderId="41" xfId="0" applyNumberFormat="1" applyFont="1" applyFill="1" applyBorder="1"/>
    <xf numFmtId="166" fontId="56" fillId="0" borderId="41" xfId="0" applyNumberFormat="1" applyFont="1" applyBorder="1"/>
    <xf numFmtId="166" fontId="56" fillId="23" borderId="88" xfId="0" applyNumberFormat="1" applyFont="1" applyFill="1" applyBorder="1"/>
    <xf numFmtId="0" fontId="2" fillId="0" borderId="72" xfId="0" applyFont="1" applyBorder="1"/>
    <xf numFmtId="166" fontId="10" fillId="21" borderId="0" xfId="0" applyNumberFormat="1" applyFont="1" applyFill="1"/>
    <xf numFmtId="166" fontId="10" fillId="21" borderId="41" xfId="0" applyNumberFormat="1" applyFont="1" applyFill="1" applyBorder="1"/>
    <xf numFmtId="166" fontId="19" fillId="3" borderId="5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68">
    <dxf>
      <font>
        <color rgb="FFFFFFF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8">
    <tableStyle name="Delayed payment-style" pivot="0" count="3" xr9:uid="{00000000-0011-0000-FFFF-FFFF00000000}">
      <tableStyleElement type="headerRow" dxfId="67"/>
      <tableStyleElement type="firstRowStripe" dxfId="66"/>
      <tableStyleElement type="secondRowStripe" dxfId="65"/>
    </tableStyle>
    <tableStyle name="Delayed payment-style 2" pivot="0" count="3" xr9:uid="{00000000-0011-0000-FFFF-FFFF01000000}">
      <tableStyleElement type="headerRow" dxfId="64"/>
      <tableStyleElement type="firstRowStripe" dxfId="63"/>
      <tableStyleElement type="secondRowStripe" dxfId="62"/>
    </tableStyle>
    <tableStyle name="Marketing plan-style" pivot="0" count="3" xr9:uid="{00000000-0011-0000-FFFF-FFFF02000000}">
      <tableStyleElement type="headerRow" dxfId="61"/>
      <tableStyleElement type="firstRowStripe" dxfId="60"/>
      <tableStyleElement type="secondRowStripe" dxfId="59"/>
    </tableStyle>
    <tableStyle name="Operations plan-style" pivot="0" count="3" xr9:uid="{00000000-0011-0000-FFFF-FFFF03000000}">
      <tableStyleElement type="headerRow" dxfId="58"/>
      <tableStyleElement type="firstRowStripe" dxfId="57"/>
      <tableStyleElement type="secondRowStripe" dxfId="56"/>
    </tableStyle>
    <tableStyle name="Operations plan-style 2" pivot="0" count="3" xr9:uid="{00000000-0011-0000-FFFF-FFFF04000000}">
      <tableStyleElement type="headerRow" dxfId="55"/>
      <tableStyleElement type="firstRowStripe" dxfId="54"/>
      <tableStyleElement type="secondRowStripe" dxfId="53"/>
    </tableStyle>
    <tableStyle name="Operations plan-style 3" pivot="0" count="3" xr9:uid="{00000000-0011-0000-FFFF-FFFF05000000}">
      <tableStyleElement type="headerRow" dxfId="52"/>
      <tableStyleElement type="firstRowStripe" dxfId="51"/>
      <tableStyleElement type="secondRowStripe" dxfId="50"/>
    </tableStyle>
    <tableStyle name="Expenses-style" pivot="0" count="3" xr9:uid="{00000000-0011-0000-FFFF-FFFF06000000}">
      <tableStyleElement type="headerRow" dxfId="49"/>
      <tableStyleElement type="firstRowStripe" dxfId="48"/>
      <tableStyleElement type="secondRowStripe" dxfId="47"/>
    </tableStyle>
    <tableStyle name="Expenses-style 2" pivot="0" count="3" xr9:uid="{00000000-0011-0000-FFFF-FFFF07000000}">
      <tableStyleElement type="headerRow" dxfId="46"/>
      <tableStyleElement type="firstRowStripe" dxfId="45"/>
      <tableStyleElement type="secondRowStripe" dxfId="44"/>
    </tableStyle>
    <tableStyle name="Expenses-style 3" pivot="0" count="3" xr9:uid="{00000000-0011-0000-FFFF-FFFF08000000}">
      <tableStyleElement type="headerRow" dxfId="43"/>
      <tableStyleElement type="firstRowStripe" dxfId="42"/>
      <tableStyleElement type="secondRowStripe" dxfId="41"/>
    </tableStyle>
    <tableStyle name="Expenses-style 4" pivot="0" count="3" xr9:uid="{00000000-0011-0000-FFFF-FFFF09000000}">
      <tableStyleElement type="headerRow" dxfId="40"/>
      <tableStyleElement type="firstRowStripe" dxfId="39"/>
      <tableStyleElement type="secondRowStripe" dxfId="38"/>
    </tableStyle>
    <tableStyle name="Salaries and wages-style" pivot="0" count="3" xr9:uid="{00000000-0011-0000-FFFF-FFFF0A000000}">
      <tableStyleElement type="headerRow" dxfId="37"/>
      <tableStyleElement type="firstRowStripe" dxfId="36"/>
      <tableStyleElement type="secondRowStripe" dxfId="35"/>
    </tableStyle>
    <tableStyle name="Paycheck schedule-style" pivot="0" count="3" xr9:uid="{00000000-0011-0000-FFFF-FFFF0B000000}">
      <tableStyleElement type="headerRow" dxfId="34"/>
      <tableStyleElement type="firstRowStripe" dxfId="33"/>
      <tableStyleElement type="secondRowStripe" dxfId="32"/>
    </tableStyle>
    <tableStyle name="INCOME STATEMENT-style" pivot="0" count="3" xr9:uid="{00000000-0011-0000-FFFF-FFFF0C000000}">
      <tableStyleElement type="headerRow" dxfId="31"/>
      <tableStyleElement type="firstRowStripe" dxfId="30"/>
      <tableStyleElement type="secondRowStripe" dxfId="29"/>
    </tableStyle>
    <tableStyle name="INCOME STATEMENT-style 2" pivot="0" count="3" xr9:uid="{00000000-0011-0000-FFFF-FFFF0D000000}">
      <tableStyleElement type="headerRow" dxfId="28"/>
      <tableStyleElement type="firstRowStripe" dxfId="27"/>
      <tableStyleElement type="secondRowStripe" dxfId="26"/>
    </tableStyle>
    <tableStyle name="INCOME STATEMENT-style 3" pivot="0" count="3" xr9:uid="{00000000-0011-0000-FFFF-FFFF0E000000}">
      <tableStyleElement type="headerRow" dxfId="25"/>
      <tableStyleElement type="firstRowStripe" dxfId="24"/>
      <tableStyleElement type="secondRowStripe" dxfId="23"/>
    </tableStyle>
    <tableStyle name="INCOME STATEMENT-style 4" pivot="0" count="3" xr9:uid="{00000000-0011-0000-FFFF-FFFF0F000000}">
      <tableStyleElement type="headerRow" dxfId="22"/>
      <tableStyleElement type="firstRowStripe" dxfId="21"/>
      <tableStyleElement type="secondRowStripe" dxfId="20"/>
    </tableStyle>
    <tableStyle name="INCOME STATEMENT-style 5" pivot="0" count="3" xr9:uid="{00000000-0011-0000-FFFF-FFFF10000000}">
      <tableStyleElement type="headerRow" dxfId="19"/>
      <tableStyleElement type="firstRowStripe" dxfId="18"/>
      <tableStyleElement type="secondRowStripe" dxfId="17"/>
    </tableStyle>
    <tableStyle name="Spending {supplement}-style" pivot="0" count="3" xr9:uid="{00000000-0011-0000-FFFF-FFFF11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3:AR3" headerRowCount="0">
  <tableColumns count="3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</tableColumns>
  <tableStyleInfo name="Delayed paymen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32:AR32" headerRowCount="0">
  <tableColumns count="3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</tableColumns>
  <tableStyleInfo name="Delayed payment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37:AP40" headerRowCount="0">
  <tableColumns count="3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</tableColumns>
  <tableStyleInfo name="Marketing pla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3:AS5" headerRowCount="0">
  <tableColumns count="41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</tableColumns>
  <tableStyleInfo name="Operations pla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E55:AS55" headerRowCount="0">
  <tableColumns count="41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  <tableColumn id="36" xr3:uid="{00000000-0010-0000-0400-000024000000}" name="Column36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/>
  </tableColumns>
  <tableStyleInfo name="Operations plan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84:AS84" headerRowCount="0">
  <tableColumns count="41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  <tableColumn id="35" xr3:uid="{00000000-0010-0000-0500-000023000000}" name="Column35"/>
    <tableColumn id="36" xr3:uid="{00000000-0010-0000-0500-000024000000}" name="Column36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/>
  </tableColumns>
  <tableStyleInfo name="Operations plan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E3:AP3" headerRowCount="0">
  <tableColumns count="3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</tableColumns>
  <tableStyleInfo name="Expens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E44:AP44" headerRowCount="0">
  <tableColumns count="38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  <tableColumn id="34" xr3:uid="{00000000-0010-0000-0700-000022000000}" name="Column34"/>
    <tableColumn id="35" xr3:uid="{00000000-0010-0000-0700-000023000000}" name="Column35"/>
    <tableColumn id="36" xr3:uid="{00000000-0010-0000-0700-000024000000}" name="Column36"/>
    <tableColumn id="37" xr3:uid="{00000000-0010-0000-0700-000025000000}" name="Column37"/>
    <tableColumn id="38" xr3:uid="{00000000-0010-0000-0700-000026000000}" name="Column38"/>
  </tableColumns>
  <tableStyleInfo name="Expense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62" headerRowCount="0">
  <tableColumns count="1">
    <tableColumn id="1" xr3:uid="{00000000-0010-0000-0800-000001000000}" name="Column1"/>
  </tableColumns>
  <tableStyleInfo name="Expenses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E63:AP63" headerRowCount="0">
  <tableColumns count="38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  <tableColumn id="34" xr3:uid="{00000000-0010-0000-0900-000022000000}" name="Column34"/>
    <tableColumn id="35" xr3:uid="{00000000-0010-0000-0900-000023000000}" name="Column35"/>
    <tableColumn id="36" xr3:uid="{00000000-0010-0000-0900-000024000000}" name="Column36"/>
    <tableColumn id="37" xr3:uid="{00000000-0010-0000-0900-000025000000}" name="Column37"/>
    <tableColumn id="38" xr3:uid="{00000000-0010-0000-0900-000026000000}" name="Column38"/>
  </tableColumns>
  <tableStyleInfo name="Expense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5:I37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Salaries and wag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J4:AU4" headerRowCount="0">
  <tableColumns count="38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  <tableColumn id="30" xr3:uid="{00000000-0010-0000-0B00-00001E000000}" name="Column30"/>
    <tableColumn id="31" xr3:uid="{00000000-0010-0000-0B00-00001F000000}" name="Column31"/>
    <tableColumn id="32" xr3:uid="{00000000-0010-0000-0B00-000020000000}" name="Column32"/>
    <tableColumn id="33" xr3:uid="{00000000-0010-0000-0B00-000021000000}" name="Column33"/>
    <tableColumn id="34" xr3:uid="{00000000-0010-0000-0B00-000022000000}" name="Column34"/>
    <tableColumn id="35" xr3:uid="{00000000-0010-0000-0B00-000023000000}" name="Column35"/>
    <tableColumn id="36" xr3:uid="{00000000-0010-0000-0B00-000024000000}" name="Column36"/>
    <tableColumn id="37" xr3:uid="{00000000-0010-0000-0B00-000025000000}" name="Column37"/>
    <tableColumn id="38" xr3:uid="{00000000-0010-0000-0B00-000026000000}" name="Column38"/>
  </tableColumns>
  <tableStyleInfo name="Paycheck schedul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E6:AP6" headerRowCount="0">
  <tableColumns count="38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  <tableColumn id="33" xr3:uid="{00000000-0010-0000-0C00-000021000000}" name="Column33"/>
    <tableColumn id="34" xr3:uid="{00000000-0010-0000-0C00-000022000000}" name="Column34"/>
    <tableColumn id="35" xr3:uid="{00000000-0010-0000-0C00-000023000000}" name="Column35"/>
    <tableColumn id="36" xr3:uid="{00000000-0010-0000-0C00-000024000000}" name="Column36"/>
    <tableColumn id="37" xr3:uid="{00000000-0010-0000-0C00-000025000000}" name="Column37"/>
    <tableColumn id="38" xr3:uid="{00000000-0010-0000-0C00-000026000000}" name="Column38"/>
  </tableColumns>
  <tableStyleInfo name="INCOME STATEMEN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E62:AP62" headerRowCount="0">
  <tableColumns count="38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  <tableColumn id="30" xr3:uid="{00000000-0010-0000-0D00-00001E000000}" name="Column30"/>
    <tableColumn id="31" xr3:uid="{00000000-0010-0000-0D00-00001F000000}" name="Column31"/>
    <tableColumn id="32" xr3:uid="{00000000-0010-0000-0D00-000020000000}" name="Column32"/>
    <tableColumn id="33" xr3:uid="{00000000-0010-0000-0D00-000021000000}" name="Column33"/>
    <tableColumn id="34" xr3:uid="{00000000-0010-0000-0D00-000022000000}" name="Column34"/>
    <tableColumn id="35" xr3:uid="{00000000-0010-0000-0D00-000023000000}" name="Column35"/>
    <tableColumn id="36" xr3:uid="{00000000-0010-0000-0D00-000024000000}" name="Column36"/>
    <tableColumn id="37" xr3:uid="{00000000-0010-0000-0D00-000025000000}" name="Column37"/>
    <tableColumn id="38" xr3:uid="{00000000-0010-0000-0D00-000026000000}" name="Column38"/>
  </tableColumns>
  <tableStyleInfo name="INCOME STATEMENT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E75:AP76" headerRowCount="0">
  <tableColumns count="38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  <tableColumn id="30" xr3:uid="{00000000-0010-0000-0E00-00001E000000}" name="Column30"/>
    <tableColumn id="31" xr3:uid="{00000000-0010-0000-0E00-00001F000000}" name="Column31"/>
    <tableColumn id="32" xr3:uid="{00000000-0010-0000-0E00-000020000000}" name="Column32"/>
    <tableColumn id="33" xr3:uid="{00000000-0010-0000-0E00-000021000000}" name="Column33"/>
    <tableColumn id="34" xr3:uid="{00000000-0010-0000-0E00-000022000000}" name="Column34"/>
    <tableColumn id="35" xr3:uid="{00000000-0010-0000-0E00-000023000000}" name="Column35"/>
    <tableColumn id="36" xr3:uid="{00000000-0010-0000-0E00-000024000000}" name="Column36"/>
    <tableColumn id="37" xr3:uid="{00000000-0010-0000-0E00-000025000000}" name="Column37"/>
    <tableColumn id="38" xr3:uid="{00000000-0010-0000-0E00-000026000000}" name="Column38"/>
  </tableColumns>
  <tableStyleInfo name="INCOME STATEMENT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E132:AP133" headerRowCount="0">
  <tableColumns count="38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  <tableColumn id="30" xr3:uid="{00000000-0010-0000-0F00-00001E000000}" name="Column30"/>
    <tableColumn id="31" xr3:uid="{00000000-0010-0000-0F00-00001F000000}" name="Column31"/>
    <tableColumn id="32" xr3:uid="{00000000-0010-0000-0F00-000020000000}" name="Column32"/>
    <tableColumn id="33" xr3:uid="{00000000-0010-0000-0F00-000021000000}" name="Column33"/>
    <tableColumn id="34" xr3:uid="{00000000-0010-0000-0F00-000022000000}" name="Column34"/>
    <tableColumn id="35" xr3:uid="{00000000-0010-0000-0F00-000023000000}" name="Column35"/>
    <tableColumn id="36" xr3:uid="{00000000-0010-0000-0F00-000024000000}" name="Column36"/>
    <tableColumn id="37" xr3:uid="{00000000-0010-0000-0F00-000025000000}" name="Column37"/>
    <tableColumn id="38" xr3:uid="{00000000-0010-0000-0F00-000026000000}" name="Column38"/>
  </tableColumns>
  <tableStyleInfo name="INCOME STATEMENT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E189:P190" headerRowCount="0">
  <tableColumns count="12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</tableColumns>
  <tableStyleInfo name="INCOME STATEMENT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F3:AV3" headerRowCount="0">
  <tableColumns count="43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  <tableColumn id="19" xr3:uid="{00000000-0010-0000-1100-000013000000}" name="Column19"/>
    <tableColumn id="20" xr3:uid="{00000000-0010-0000-1100-000014000000}" name="Column20"/>
    <tableColumn id="21" xr3:uid="{00000000-0010-0000-1100-000015000000}" name="Column21"/>
    <tableColumn id="22" xr3:uid="{00000000-0010-0000-1100-000016000000}" name="Column22"/>
    <tableColumn id="23" xr3:uid="{00000000-0010-0000-1100-000017000000}" name="Column23"/>
    <tableColumn id="24" xr3:uid="{00000000-0010-0000-1100-000018000000}" name="Column24"/>
    <tableColumn id="25" xr3:uid="{00000000-0010-0000-1100-000019000000}" name="Column25"/>
    <tableColumn id="26" xr3:uid="{00000000-0010-0000-1100-00001A000000}" name="Column26"/>
    <tableColumn id="27" xr3:uid="{00000000-0010-0000-1100-00001B000000}" name="Column27"/>
    <tableColumn id="28" xr3:uid="{00000000-0010-0000-1100-00001C000000}" name="Column28"/>
    <tableColumn id="29" xr3:uid="{00000000-0010-0000-1100-00001D000000}" name="Column29"/>
    <tableColumn id="30" xr3:uid="{00000000-0010-0000-1100-00001E000000}" name="Column30"/>
    <tableColumn id="31" xr3:uid="{00000000-0010-0000-1100-00001F000000}" name="Column31"/>
    <tableColumn id="32" xr3:uid="{00000000-0010-0000-1100-000020000000}" name="Column32"/>
    <tableColumn id="33" xr3:uid="{00000000-0010-0000-1100-000021000000}" name="Column33"/>
    <tableColumn id="34" xr3:uid="{00000000-0010-0000-1100-000022000000}" name="Column34"/>
    <tableColumn id="35" xr3:uid="{00000000-0010-0000-1100-000023000000}" name="Column35"/>
    <tableColumn id="36" xr3:uid="{00000000-0010-0000-1100-000024000000}" name="Column36"/>
    <tableColumn id="37" xr3:uid="{00000000-0010-0000-1100-000025000000}" name="Column37"/>
    <tableColumn id="38" xr3:uid="{00000000-0010-0000-1100-000026000000}" name="Column38"/>
    <tableColumn id="39" xr3:uid="{00000000-0010-0000-1100-000027000000}" name="Column39"/>
    <tableColumn id="40" xr3:uid="{00000000-0010-0000-1100-000028000000}" name="Column40"/>
    <tableColumn id="41" xr3:uid="{00000000-0010-0000-1100-000029000000}" name="Column41"/>
    <tableColumn id="42" xr3:uid="{00000000-0010-0000-1100-00002A000000}" name="Column42"/>
    <tableColumn id="43" xr3:uid="{00000000-0010-0000-1100-00002B000000}" name="Column43"/>
  </tableColumns>
  <tableStyleInfo name="Spending {supplement}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7kKmbuQzCyHQynx4T4wxlnjiBANrsuhT/edit?usp=sharing&amp;ouid=114911739596115006149&amp;rtpof=true&amp;sd=tru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C47D"/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12.5703125" customWidth="1"/>
    <col min="2" max="2" width="50.140625" customWidth="1"/>
    <col min="3" max="3" width="16.5703125" customWidth="1"/>
    <col min="4" max="4" width="50.140625" customWidth="1"/>
    <col min="5" max="5" width="16.5703125" customWidth="1"/>
    <col min="6" max="9" width="12.5703125" customWidth="1"/>
  </cols>
  <sheetData>
    <row r="1" spans="1:26" ht="15.75" customHeight="1" x14ac:dyDescent="0.4">
      <c r="A1" s="1" t="s">
        <v>0</v>
      </c>
      <c r="C1" s="2"/>
      <c r="D1" s="3" t="s">
        <v>1</v>
      </c>
      <c r="E1" s="2"/>
    </row>
    <row r="2" spans="1:26" ht="15" x14ac:dyDescent="0.2">
      <c r="A2" s="4" t="s">
        <v>2</v>
      </c>
      <c r="B2" s="4" t="s">
        <v>3</v>
      </c>
      <c r="C2" s="5" t="s">
        <v>4</v>
      </c>
      <c r="D2" s="4" t="s">
        <v>5</v>
      </c>
      <c r="E2" s="5" t="s">
        <v>6</v>
      </c>
      <c r="F2" s="6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/>
      <c r="B3" s="4"/>
      <c r="C3" s="7">
        <f>COUNTIF(C4:C253,"No")</f>
        <v>3</v>
      </c>
      <c r="D3" s="4"/>
      <c r="E3" s="7">
        <f>COUNTIF(E4:E253,"Denied")</f>
        <v>0</v>
      </c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x14ac:dyDescent="0.2">
      <c r="A4" s="4">
        <v>1</v>
      </c>
      <c r="B4" s="4" t="s">
        <v>8</v>
      </c>
      <c r="C4" s="8" t="s">
        <v>9</v>
      </c>
      <c r="D4" s="4"/>
      <c r="E4" s="8" t="b"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x14ac:dyDescent="0.2">
      <c r="A5" s="4">
        <v>2</v>
      </c>
      <c r="B5" s="4" t="s">
        <v>10</v>
      </c>
      <c r="C5" s="8" t="s">
        <v>11</v>
      </c>
      <c r="D5" s="4"/>
      <c r="E5" s="8" t="b"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x14ac:dyDescent="0.2">
      <c r="A6" s="4">
        <v>3</v>
      </c>
      <c r="B6" s="4" t="s">
        <v>12</v>
      </c>
      <c r="C6" s="8" t="s">
        <v>11</v>
      </c>
      <c r="D6" s="4"/>
      <c r="E6" s="8" t="b"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x14ac:dyDescent="0.2">
      <c r="A7" s="4">
        <v>4</v>
      </c>
      <c r="B7" s="4" t="s">
        <v>13</v>
      </c>
      <c r="C7" s="8" t="s">
        <v>11</v>
      </c>
      <c r="D7" s="4"/>
      <c r="E7" s="8" t="b"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x14ac:dyDescent="0.2">
      <c r="A8" s="4">
        <v>5</v>
      </c>
      <c r="B8" s="4"/>
      <c r="C8" s="8" t="b">
        <v>0</v>
      </c>
      <c r="D8" s="4"/>
      <c r="E8" s="8" t="b"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x14ac:dyDescent="0.2">
      <c r="A9" s="4">
        <v>6</v>
      </c>
      <c r="B9" s="4"/>
      <c r="C9" s="8" t="b">
        <v>0</v>
      </c>
      <c r="D9" s="4"/>
      <c r="E9" s="8" t="b"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x14ac:dyDescent="0.2">
      <c r="A10" s="4">
        <v>7</v>
      </c>
      <c r="B10" s="4"/>
      <c r="C10" s="8" t="b">
        <v>0</v>
      </c>
      <c r="D10" s="4"/>
      <c r="E10" s="8" t="b"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x14ac:dyDescent="0.2">
      <c r="A11" s="4">
        <v>8</v>
      </c>
      <c r="B11" s="4"/>
      <c r="C11" s="8" t="b">
        <v>0</v>
      </c>
      <c r="D11" s="4"/>
      <c r="E11" s="8" t="b"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x14ac:dyDescent="0.2">
      <c r="A12" s="4">
        <v>9</v>
      </c>
      <c r="B12" s="4"/>
      <c r="C12" s="8" t="b">
        <v>0</v>
      </c>
      <c r="D12" s="4"/>
      <c r="E12" s="8" t="b"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x14ac:dyDescent="0.2">
      <c r="A13" s="4">
        <v>10</v>
      </c>
      <c r="B13" s="4"/>
      <c r="C13" s="8" t="b">
        <v>0</v>
      </c>
      <c r="D13" s="4"/>
      <c r="E13" s="8" t="b"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x14ac:dyDescent="0.2">
      <c r="A14" s="4">
        <v>11</v>
      </c>
      <c r="B14" s="4"/>
      <c r="C14" s="8" t="b">
        <v>0</v>
      </c>
      <c r="D14" s="4"/>
      <c r="E14" s="8" t="b"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x14ac:dyDescent="0.2">
      <c r="A15" s="4">
        <v>12</v>
      </c>
      <c r="B15" s="4"/>
      <c r="C15" s="8" t="b">
        <v>0</v>
      </c>
      <c r="D15" s="4"/>
      <c r="E15" s="8" t="b"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x14ac:dyDescent="0.2">
      <c r="A16" s="4">
        <v>13</v>
      </c>
      <c r="B16" s="4"/>
      <c r="C16" s="8" t="b">
        <v>0</v>
      </c>
      <c r="D16" s="4"/>
      <c r="E16" s="8" t="b"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x14ac:dyDescent="0.2">
      <c r="A17" s="4">
        <v>14</v>
      </c>
      <c r="B17" s="4"/>
      <c r="C17" s="8" t="b">
        <v>0</v>
      </c>
      <c r="D17" s="4"/>
      <c r="E17" s="8" t="b"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x14ac:dyDescent="0.2">
      <c r="A18" s="4">
        <v>15</v>
      </c>
      <c r="B18" s="4"/>
      <c r="C18" s="8" t="b">
        <v>0</v>
      </c>
      <c r="D18" s="4"/>
      <c r="E18" s="8" t="b"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x14ac:dyDescent="0.2">
      <c r="A19" s="4">
        <v>16</v>
      </c>
      <c r="B19" s="4"/>
      <c r="C19" s="8" t="b">
        <v>0</v>
      </c>
      <c r="D19" s="4"/>
      <c r="E19" s="8" t="b"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x14ac:dyDescent="0.2">
      <c r="A20" s="4">
        <v>17</v>
      </c>
      <c r="B20" s="4"/>
      <c r="C20" s="8" t="b">
        <v>0</v>
      </c>
      <c r="D20" s="4"/>
      <c r="E20" s="8" t="b"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x14ac:dyDescent="0.2">
      <c r="A21" s="4">
        <v>18</v>
      </c>
      <c r="B21" s="4"/>
      <c r="C21" s="8" t="b">
        <v>0</v>
      </c>
      <c r="D21" s="4"/>
      <c r="E21" s="8" t="b"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x14ac:dyDescent="0.2">
      <c r="A22" s="4">
        <v>19</v>
      </c>
      <c r="B22" s="4"/>
      <c r="C22" s="8" t="b">
        <v>0</v>
      </c>
      <c r="D22" s="4"/>
      <c r="E22" s="8" t="b"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x14ac:dyDescent="0.2">
      <c r="A23" s="4">
        <v>20</v>
      </c>
      <c r="B23" s="4"/>
      <c r="C23" s="8" t="b">
        <v>0</v>
      </c>
      <c r="D23" s="4"/>
      <c r="E23" s="8" t="b"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x14ac:dyDescent="0.2">
      <c r="A24" s="4">
        <v>21</v>
      </c>
      <c r="B24" s="4"/>
      <c r="C24" s="8" t="b">
        <v>0</v>
      </c>
      <c r="D24" s="4"/>
      <c r="E24" s="8" t="b"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x14ac:dyDescent="0.2">
      <c r="A25" s="4">
        <v>22</v>
      </c>
      <c r="B25" s="4"/>
      <c r="C25" s="8" t="b">
        <v>0</v>
      </c>
      <c r="D25" s="4"/>
      <c r="E25" s="8" t="b"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x14ac:dyDescent="0.2">
      <c r="A26" s="4">
        <v>23</v>
      </c>
      <c r="B26" s="4"/>
      <c r="C26" s="8" t="b">
        <v>0</v>
      </c>
      <c r="D26" s="4"/>
      <c r="E26" s="8" t="b"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x14ac:dyDescent="0.2">
      <c r="A27" s="4">
        <v>24</v>
      </c>
      <c r="B27" s="4"/>
      <c r="C27" s="8" t="b">
        <v>0</v>
      </c>
      <c r="D27" s="4"/>
      <c r="E27" s="8" t="b"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x14ac:dyDescent="0.2">
      <c r="A28" s="4">
        <v>25</v>
      </c>
      <c r="B28" s="4"/>
      <c r="C28" s="8" t="b">
        <v>0</v>
      </c>
      <c r="D28" s="4"/>
      <c r="E28" s="8" t="b"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x14ac:dyDescent="0.2">
      <c r="A29" s="4">
        <v>26</v>
      </c>
      <c r="B29" s="4"/>
      <c r="C29" s="8" t="b">
        <v>0</v>
      </c>
      <c r="D29" s="4"/>
      <c r="E29" s="8" t="b"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x14ac:dyDescent="0.2">
      <c r="A30" s="4">
        <v>27</v>
      </c>
      <c r="B30" s="4"/>
      <c r="C30" s="8" t="b">
        <v>0</v>
      </c>
      <c r="D30" s="4"/>
      <c r="E30" s="8" t="b"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x14ac:dyDescent="0.2">
      <c r="A31" s="4">
        <v>28</v>
      </c>
      <c r="B31" s="4"/>
      <c r="C31" s="8" t="b">
        <v>0</v>
      </c>
      <c r="D31" s="4"/>
      <c r="E31" s="8" t="b"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x14ac:dyDescent="0.2">
      <c r="A32" s="4">
        <v>29</v>
      </c>
      <c r="B32" s="4"/>
      <c r="C32" s="8" t="b">
        <v>0</v>
      </c>
      <c r="D32" s="4"/>
      <c r="E32" s="8" t="b"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x14ac:dyDescent="0.2">
      <c r="A33" s="4">
        <v>30</v>
      </c>
      <c r="B33" s="4"/>
      <c r="C33" s="8" t="b">
        <v>0</v>
      </c>
      <c r="D33" s="4"/>
      <c r="E33" s="8" t="b"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x14ac:dyDescent="0.2">
      <c r="A34" s="4">
        <v>31</v>
      </c>
      <c r="B34" s="4"/>
      <c r="C34" s="8" t="b">
        <v>0</v>
      </c>
      <c r="D34" s="4"/>
      <c r="E34" s="8" t="b"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x14ac:dyDescent="0.2">
      <c r="A35" s="4">
        <v>32</v>
      </c>
      <c r="B35" s="4"/>
      <c r="C35" s="8" t="b">
        <v>0</v>
      </c>
      <c r="D35" s="4"/>
      <c r="E35" s="8" t="b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x14ac:dyDescent="0.2">
      <c r="A36" s="4">
        <v>33</v>
      </c>
      <c r="B36" s="4"/>
      <c r="C36" s="8" t="b">
        <v>0</v>
      </c>
      <c r="D36" s="4"/>
      <c r="E36" s="8" t="b"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x14ac:dyDescent="0.2">
      <c r="A37" s="4">
        <v>34</v>
      </c>
      <c r="B37" s="4"/>
      <c r="C37" s="8" t="b">
        <v>0</v>
      </c>
      <c r="D37" s="4"/>
      <c r="E37" s="8" t="b"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x14ac:dyDescent="0.2">
      <c r="A38" s="4">
        <v>35</v>
      </c>
      <c r="B38" s="4"/>
      <c r="C38" s="8" t="b">
        <v>0</v>
      </c>
      <c r="D38" s="4"/>
      <c r="E38" s="8" t="b"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x14ac:dyDescent="0.2">
      <c r="A39" s="4">
        <v>36</v>
      </c>
      <c r="B39" s="4"/>
      <c r="C39" s="8" t="b">
        <v>0</v>
      </c>
      <c r="D39" s="4"/>
      <c r="E39" s="8" t="b"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x14ac:dyDescent="0.2">
      <c r="A40" s="4">
        <v>37</v>
      </c>
      <c r="B40" s="4"/>
      <c r="C40" s="8" t="b">
        <v>0</v>
      </c>
      <c r="D40" s="4"/>
      <c r="E40" s="8" t="b"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x14ac:dyDescent="0.2">
      <c r="A41" s="4">
        <v>38</v>
      </c>
      <c r="B41" s="4"/>
      <c r="C41" s="8" t="b">
        <v>0</v>
      </c>
      <c r="D41" s="4"/>
      <c r="E41" s="8" t="b">
        <v>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x14ac:dyDescent="0.2">
      <c r="A42" s="4">
        <v>39</v>
      </c>
      <c r="B42" s="4"/>
      <c r="C42" s="8" t="b">
        <v>0</v>
      </c>
      <c r="D42" s="4"/>
      <c r="E42" s="8" t="b">
        <v>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x14ac:dyDescent="0.2">
      <c r="A43" s="4">
        <v>40</v>
      </c>
      <c r="B43" s="4"/>
      <c r="C43" s="8" t="b">
        <v>0</v>
      </c>
      <c r="D43" s="4"/>
      <c r="E43" s="8" t="b">
        <v>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x14ac:dyDescent="0.2">
      <c r="A44" s="4">
        <v>41</v>
      </c>
      <c r="B44" s="4"/>
      <c r="C44" s="8" t="b">
        <v>0</v>
      </c>
      <c r="D44" s="4"/>
      <c r="E44" s="8" t="b">
        <v>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x14ac:dyDescent="0.2">
      <c r="A45" s="4">
        <v>42</v>
      </c>
      <c r="B45" s="4"/>
      <c r="C45" s="8" t="b">
        <v>0</v>
      </c>
      <c r="D45" s="4"/>
      <c r="E45" s="8" t="b"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x14ac:dyDescent="0.2">
      <c r="A46" s="4">
        <v>43</v>
      </c>
      <c r="B46" s="4"/>
      <c r="C46" s="8" t="b">
        <v>0</v>
      </c>
      <c r="D46" s="4"/>
      <c r="E46" s="8" t="b">
        <v>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x14ac:dyDescent="0.2">
      <c r="A47" s="4">
        <v>44</v>
      </c>
      <c r="B47" s="4"/>
      <c r="C47" s="8" t="b">
        <v>0</v>
      </c>
      <c r="D47" s="4"/>
      <c r="E47" s="8" t="b">
        <v>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2">
      <c r="A48" s="4">
        <v>45</v>
      </c>
      <c r="B48" s="4"/>
      <c r="C48" s="8" t="b">
        <v>0</v>
      </c>
      <c r="D48" s="4"/>
      <c r="E48" s="8" t="b">
        <v>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">
      <c r="A49" s="4">
        <v>46</v>
      </c>
      <c r="B49" s="4"/>
      <c r="C49" s="8" t="b">
        <v>0</v>
      </c>
      <c r="D49" s="4"/>
      <c r="E49" s="8" t="b">
        <v>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">
      <c r="A50" s="4">
        <v>47</v>
      </c>
      <c r="B50" s="4"/>
      <c r="C50" s="8" t="b">
        <v>0</v>
      </c>
      <c r="D50" s="4"/>
      <c r="E50" s="8" t="b"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">
      <c r="A51" s="4">
        <v>48</v>
      </c>
      <c r="B51" s="4"/>
      <c r="C51" s="8" t="b">
        <v>0</v>
      </c>
      <c r="D51" s="4"/>
      <c r="E51" s="8" t="b">
        <v>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">
      <c r="A52" s="4">
        <v>49</v>
      </c>
      <c r="B52" s="4"/>
      <c r="C52" s="8" t="b">
        <v>0</v>
      </c>
      <c r="D52" s="4"/>
      <c r="E52" s="8" t="b">
        <v>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">
      <c r="A53" s="4">
        <v>50</v>
      </c>
      <c r="B53" s="4"/>
      <c r="C53" s="8" t="b">
        <v>0</v>
      </c>
      <c r="D53" s="4"/>
      <c r="E53" s="8" t="b"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">
      <c r="A54" s="4">
        <v>51</v>
      </c>
      <c r="B54" s="4"/>
      <c r="C54" s="8" t="b">
        <v>0</v>
      </c>
      <c r="D54" s="4"/>
      <c r="E54" s="8" t="b">
        <v>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">
      <c r="A55" s="4">
        <v>52</v>
      </c>
      <c r="B55" s="4"/>
      <c r="C55" s="8" t="b">
        <v>0</v>
      </c>
      <c r="D55" s="4"/>
      <c r="E55" s="8" t="b"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">
      <c r="A56" s="4">
        <v>53</v>
      </c>
      <c r="B56" s="4"/>
      <c r="C56" s="8" t="b">
        <v>0</v>
      </c>
      <c r="D56" s="4"/>
      <c r="E56" s="8" t="b">
        <v>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">
      <c r="A57" s="4">
        <v>54</v>
      </c>
      <c r="B57" s="4"/>
      <c r="C57" s="8" t="b">
        <v>0</v>
      </c>
      <c r="D57" s="4"/>
      <c r="E57" s="8" t="b">
        <v>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">
      <c r="A58" s="4">
        <v>55</v>
      </c>
      <c r="B58" s="4"/>
      <c r="C58" s="8" t="b">
        <v>0</v>
      </c>
      <c r="D58" s="4"/>
      <c r="E58" s="8" t="b"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">
      <c r="A59" s="4">
        <v>56</v>
      </c>
      <c r="B59" s="4"/>
      <c r="C59" s="8" t="b">
        <v>0</v>
      </c>
      <c r="D59" s="4"/>
      <c r="E59" s="8" t="b">
        <v>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">
      <c r="A60" s="4">
        <v>57</v>
      </c>
      <c r="B60" s="4"/>
      <c r="C60" s="8" t="b">
        <v>0</v>
      </c>
      <c r="D60" s="4"/>
      <c r="E60" s="8" t="b"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">
      <c r="A61" s="4">
        <v>58</v>
      </c>
      <c r="B61" s="4"/>
      <c r="C61" s="8" t="b">
        <v>0</v>
      </c>
      <c r="D61" s="4"/>
      <c r="E61" s="8" t="b">
        <v>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">
      <c r="A62" s="4">
        <v>59</v>
      </c>
      <c r="B62" s="4"/>
      <c r="C62" s="8" t="b">
        <v>0</v>
      </c>
      <c r="D62" s="4"/>
      <c r="E62" s="8" t="b">
        <v>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">
      <c r="A63" s="4">
        <v>60</v>
      </c>
      <c r="B63" s="4"/>
      <c r="C63" s="8" t="b">
        <v>0</v>
      </c>
      <c r="D63" s="4"/>
      <c r="E63" s="8" t="b">
        <v>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">
      <c r="A64" s="4">
        <v>61</v>
      </c>
      <c r="B64" s="4"/>
      <c r="C64" s="8" t="b">
        <v>0</v>
      </c>
      <c r="D64" s="4"/>
      <c r="E64" s="8" t="b">
        <v>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">
      <c r="A65" s="4">
        <v>62</v>
      </c>
      <c r="B65" s="4"/>
      <c r="C65" s="8" t="b">
        <v>0</v>
      </c>
      <c r="D65" s="4"/>
      <c r="E65" s="8" t="b"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">
      <c r="A66" s="4">
        <v>63</v>
      </c>
      <c r="B66" s="4"/>
      <c r="C66" s="8" t="b">
        <v>0</v>
      </c>
      <c r="D66" s="4"/>
      <c r="E66" s="8" t="b">
        <v>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">
      <c r="A67" s="4">
        <v>64</v>
      </c>
      <c r="B67" s="4"/>
      <c r="C67" s="8" t="b">
        <v>0</v>
      </c>
      <c r="D67" s="4"/>
      <c r="E67" s="8" t="b">
        <v>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">
      <c r="A68" s="4">
        <v>65</v>
      </c>
      <c r="B68" s="4"/>
      <c r="C68" s="8" t="b">
        <v>0</v>
      </c>
      <c r="D68" s="4"/>
      <c r="E68" s="8" t="b">
        <v>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">
      <c r="A69" s="4">
        <v>66</v>
      </c>
      <c r="B69" s="4"/>
      <c r="C69" s="8" t="b">
        <v>0</v>
      </c>
      <c r="D69" s="4"/>
      <c r="E69" s="8" t="b">
        <v>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">
      <c r="A70" s="4">
        <v>67</v>
      </c>
      <c r="B70" s="4"/>
      <c r="C70" s="8" t="b">
        <v>0</v>
      </c>
      <c r="D70" s="4"/>
      <c r="E70" s="8" t="b"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2">
      <c r="A71" s="4">
        <v>68</v>
      </c>
      <c r="B71" s="4"/>
      <c r="C71" s="8" t="b">
        <v>0</v>
      </c>
      <c r="D71" s="4"/>
      <c r="E71" s="8" t="b">
        <v>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2">
      <c r="A72" s="4">
        <v>69</v>
      </c>
      <c r="B72" s="4"/>
      <c r="C72" s="8" t="b">
        <v>0</v>
      </c>
      <c r="D72" s="4"/>
      <c r="E72" s="8" t="b">
        <v>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2">
      <c r="A73" s="4">
        <v>70</v>
      </c>
      <c r="B73" s="4"/>
      <c r="C73" s="8" t="b">
        <v>0</v>
      </c>
      <c r="D73" s="4"/>
      <c r="E73" s="8" t="b">
        <v>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2">
      <c r="A74" s="4">
        <v>71</v>
      </c>
      <c r="B74" s="4"/>
      <c r="C74" s="8" t="b">
        <v>0</v>
      </c>
      <c r="D74" s="4"/>
      <c r="E74" s="8" t="b">
        <v>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2">
      <c r="A75" s="4">
        <v>72</v>
      </c>
      <c r="B75" s="4"/>
      <c r="C75" s="8" t="b">
        <v>0</v>
      </c>
      <c r="D75" s="4"/>
      <c r="E75" s="8" t="b"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2">
      <c r="A76" s="4">
        <v>73</v>
      </c>
      <c r="B76" s="4"/>
      <c r="C76" s="8" t="b">
        <v>0</v>
      </c>
      <c r="D76" s="4"/>
      <c r="E76" s="8" t="b">
        <v>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2">
      <c r="A77" s="4">
        <v>74</v>
      </c>
      <c r="B77" s="4"/>
      <c r="C77" s="8" t="b">
        <v>0</v>
      </c>
      <c r="D77" s="4"/>
      <c r="E77" s="8" t="b">
        <v>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2">
      <c r="A78" s="4">
        <v>75</v>
      </c>
      <c r="B78" s="4"/>
      <c r="C78" s="8" t="b">
        <v>0</v>
      </c>
      <c r="D78" s="4"/>
      <c r="E78" s="8" t="b">
        <v>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2">
      <c r="A79" s="4">
        <v>76</v>
      </c>
      <c r="B79" s="4"/>
      <c r="C79" s="8" t="b">
        <v>0</v>
      </c>
      <c r="D79" s="4"/>
      <c r="E79" s="8" t="b">
        <v>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2">
      <c r="A80" s="4">
        <v>77</v>
      </c>
      <c r="B80" s="4"/>
      <c r="C80" s="8" t="b">
        <v>0</v>
      </c>
      <c r="D80" s="4"/>
      <c r="E80" s="8" t="b"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x14ac:dyDescent="0.2">
      <c r="A81" s="4">
        <v>78</v>
      </c>
      <c r="B81" s="4"/>
      <c r="C81" s="8" t="b">
        <v>0</v>
      </c>
      <c r="D81" s="4"/>
      <c r="E81" s="8" t="b">
        <v>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x14ac:dyDescent="0.2">
      <c r="A82" s="4">
        <v>79</v>
      </c>
      <c r="B82" s="4"/>
      <c r="C82" s="8" t="b">
        <v>0</v>
      </c>
      <c r="D82" s="4"/>
      <c r="E82" s="8" t="b"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x14ac:dyDescent="0.2">
      <c r="A83" s="4">
        <v>80</v>
      </c>
      <c r="B83" s="4"/>
      <c r="C83" s="8" t="b">
        <v>0</v>
      </c>
      <c r="D83" s="4"/>
      <c r="E83" s="8" t="b">
        <v>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x14ac:dyDescent="0.2">
      <c r="A84" s="4">
        <v>81</v>
      </c>
      <c r="B84" s="4"/>
      <c r="C84" s="8" t="b">
        <v>0</v>
      </c>
      <c r="D84" s="4"/>
      <c r="E84" s="8" t="b"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x14ac:dyDescent="0.2">
      <c r="A85" s="4">
        <v>82</v>
      </c>
      <c r="B85" s="4"/>
      <c r="C85" s="8" t="b">
        <v>0</v>
      </c>
      <c r="D85" s="4"/>
      <c r="E85" s="8" t="b"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x14ac:dyDescent="0.2">
      <c r="A86" s="4">
        <v>83</v>
      </c>
      <c r="B86" s="4"/>
      <c r="C86" s="8" t="b">
        <v>0</v>
      </c>
      <c r="D86" s="4"/>
      <c r="E86" s="8" t="b">
        <v>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x14ac:dyDescent="0.2">
      <c r="A87" s="4">
        <v>84</v>
      </c>
      <c r="B87" s="4"/>
      <c r="C87" s="8" t="b">
        <v>0</v>
      </c>
      <c r="D87" s="4"/>
      <c r="E87" s="8" t="b"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x14ac:dyDescent="0.2">
      <c r="A88" s="4">
        <v>85</v>
      </c>
      <c r="B88" s="4"/>
      <c r="C88" s="8" t="b">
        <v>0</v>
      </c>
      <c r="D88" s="4"/>
      <c r="E88" s="8" t="b">
        <v>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x14ac:dyDescent="0.2">
      <c r="A89" s="4">
        <v>86</v>
      </c>
      <c r="B89" s="4"/>
      <c r="C89" s="8" t="b">
        <v>0</v>
      </c>
      <c r="D89" s="4"/>
      <c r="E89" s="8" t="b">
        <v>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x14ac:dyDescent="0.2">
      <c r="A90" s="4">
        <v>87</v>
      </c>
      <c r="B90" s="4"/>
      <c r="C90" s="8" t="b">
        <v>0</v>
      </c>
      <c r="D90" s="4"/>
      <c r="E90" s="8" t="b"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x14ac:dyDescent="0.2">
      <c r="A91" s="4">
        <v>88</v>
      </c>
      <c r="B91" s="4"/>
      <c r="C91" s="8" t="b">
        <v>0</v>
      </c>
      <c r="D91" s="4"/>
      <c r="E91" s="8" t="b">
        <v>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x14ac:dyDescent="0.2">
      <c r="A92" s="4">
        <v>89</v>
      </c>
      <c r="B92" s="4"/>
      <c r="C92" s="8" t="b">
        <v>0</v>
      </c>
      <c r="D92" s="4"/>
      <c r="E92" s="8" t="b">
        <v>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x14ac:dyDescent="0.2">
      <c r="A93" s="4">
        <v>90</v>
      </c>
      <c r="B93" s="4"/>
      <c r="C93" s="8" t="b">
        <v>0</v>
      </c>
      <c r="D93" s="4"/>
      <c r="E93" s="8" t="b">
        <v>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x14ac:dyDescent="0.2">
      <c r="A94" s="4">
        <v>91</v>
      </c>
      <c r="B94" s="4"/>
      <c r="C94" s="8" t="b">
        <v>0</v>
      </c>
      <c r="D94" s="4"/>
      <c r="E94" s="8" t="b">
        <v>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x14ac:dyDescent="0.2">
      <c r="A95" s="4">
        <v>92</v>
      </c>
      <c r="B95" s="4"/>
      <c r="C95" s="8" t="b">
        <v>0</v>
      </c>
      <c r="D95" s="4"/>
      <c r="E95" s="8" t="b"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x14ac:dyDescent="0.2">
      <c r="A96" s="4">
        <v>93</v>
      </c>
      <c r="B96" s="4"/>
      <c r="C96" s="8" t="b">
        <v>0</v>
      </c>
      <c r="D96" s="4"/>
      <c r="E96" s="8" t="b"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x14ac:dyDescent="0.2">
      <c r="A97" s="4">
        <v>94</v>
      </c>
      <c r="B97" s="4"/>
      <c r="C97" s="8" t="b">
        <v>0</v>
      </c>
      <c r="D97" s="4"/>
      <c r="E97" s="8" t="b">
        <v>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x14ac:dyDescent="0.2">
      <c r="A98" s="4">
        <v>95</v>
      </c>
      <c r="B98" s="4"/>
      <c r="C98" s="8" t="b">
        <v>0</v>
      </c>
      <c r="D98" s="4"/>
      <c r="E98" s="8" t="b"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x14ac:dyDescent="0.2">
      <c r="A99" s="4">
        <v>96</v>
      </c>
      <c r="B99" s="4"/>
      <c r="C99" s="8" t="b">
        <v>0</v>
      </c>
      <c r="D99" s="4"/>
      <c r="E99" s="8" t="b">
        <v>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x14ac:dyDescent="0.2">
      <c r="A100" s="4">
        <v>97</v>
      </c>
      <c r="B100" s="4"/>
      <c r="C100" s="8" t="b">
        <v>0</v>
      </c>
      <c r="D100" s="4"/>
      <c r="E100" s="8" t="b"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x14ac:dyDescent="0.2">
      <c r="A101" s="4">
        <v>98</v>
      </c>
      <c r="B101" s="4"/>
      <c r="C101" s="8" t="b">
        <v>0</v>
      </c>
      <c r="D101" s="4"/>
      <c r="E101" s="8" t="b"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x14ac:dyDescent="0.2">
      <c r="A102" s="4">
        <v>99</v>
      </c>
      <c r="B102" s="4"/>
      <c r="C102" s="8" t="b">
        <v>0</v>
      </c>
      <c r="D102" s="4"/>
      <c r="E102" s="8" t="b">
        <v>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x14ac:dyDescent="0.2">
      <c r="A103" s="4">
        <v>100</v>
      </c>
      <c r="B103" s="4"/>
      <c r="C103" s="8" t="b">
        <v>0</v>
      </c>
      <c r="D103" s="4"/>
      <c r="E103" s="8" t="b">
        <v>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x14ac:dyDescent="0.2">
      <c r="A104" s="4">
        <v>101</v>
      </c>
      <c r="B104" s="4"/>
      <c r="C104" s="8" t="b">
        <v>0</v>
      </c>
      <c r="D104" s="4"/>
      <c r="E104" s="8" t="b">
        <v>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x14ac:dyDescent="0.2">
      <c r="A105" s="4">
        <v>102</v>
      </c>
      <c r="B105" s="4"/>
      <c r="C105" s="8" t="b">
        <v>0</v>
      </c>
      <c r="D105" s="4"/>
      <c r="E105" s="8" t="b"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x14ac:dyDescent="0.2">
      <c r="A106" s="4">
        <v>103</v>
      </c>
      <c r="B106" s="4"/>
      <c r="C106" s="8" t="b">
        <v>0</v>
      </c>
      <c r="D106" s="4"/>
      <c r="E106" s="8" t="b">
        <v>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x14ac:dyDescent="0.2">
      <c r="A107" s="4">
        <v>104</v>
      </c>
      <c r="B107" s="4"/>
      <c r="C107" s="8" t="b">
        <v>0</v>
      </c>
      <c r="D107" s="4"/>
      <c r="E107" s="8" t="b">
        <v>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x14ac:dyDescent="0.2">
      <c r="A108" s="4">
        <v>105</v>
      </c>
      <c r="B108" s="4"/>
      <c r="C108" s="8" t="b">
        <v>0</v>
      </c>
      <c r="D108" s="4"/>
      <c r="E108" s="8" t="b">
        <v>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x14ac:dyDescent="0.2">
      <c r="A109" s="4">
        <v>106</v>
      </c>
      <c r="B109" s="4"/>
      <c r="C109" s="8" t="b">
        <v>0</v>
      </c>
      <c r="D109" s="4"/>
      <c r="E109" s="8" t="b">
        <v>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x14ac:dyDescent="0.2">
      <c r="A110" s="4">
        <v>107</v>
      </c>
      <c r="B110" s="4"/>
      <c r="C110" s="8" t="b">
        <v>0</v>
      </c>
      <c r="D110" s="4"/>
      <c r="E110" s="8" t="b"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x14ac:dyDescent="0.2">
      <c r="A111" s="4">
        <v>108</v>
      </c>
      <c r="B111" s="4"/>
      <c r="C111" s="8" t="b">
        <v>0</v>
      </c>
      <c r="D111" s="4"/>
      <c r="E111" s="8" t="b">
        <v>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x14ac:dyDescent="0.2">
      <c r="A112" s="4">
        <v>109</v>
      </c>
      <c r="B112" s="4"/>
      <c r="C112" s="8" t="b">
        <v>0</v>
      </c>
      <c r="D112" s="4"/>
      <c r="E112" s="8" t="b">
        <v>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x14ac:dyDescent="0.2">
      <c r="A113" s="4">
        <v>110</v>
      </c>
      <c r="B113" s="4"/>
      <c r="C113" s="8" t="b">
        <v>0</v>
      </c>
      <c r="D113" s="4"/>
      <c r="E113" s="8" t="b">
        <v>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x14ac:dyDescent="0.2">
      <c r="A114" s="4">
        <v>111</v>
      </c>
      <c r="B114" s="4"/>
      <c r="C114" s="8" t="b">
        <v>0</v>
      </c>
      <c r="D114" s="4"/>
      <c r="E114" s="8" t="b">
        <v>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x14ac:dyDescent="0.2">
      <c r="A115" s="4">
        <v>112</v>
      </c>
      <c r="B115" s="4"/>
      <c r="C115" s="8" t="b">
        <v>0</v>
      </c>
      <c r="D115" s="4"/>
      <c r="E115" s="8" t="b"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x14ac:dyDescent="0.2">
      <c r="A116" s="4">
        <v>113</v>
      </c>
      <c r="B116" s="4"/>
      <c r="C116" s="8" t="b">
        <v>0</v>
      </c>
      <c r="D116" s="4"/>
      <c r="E116" s="8" t="b">
        <v>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x14ac:dyDescent="0.2">
      <c r="A117" s="4">
        <v>114</v>
      </c>
      <c r="B117" s="4"/>
      <c r="C117" s="8" t="b">
        <v>0</v>
      </c>
      <c r="D117" s="4"/>
      <c r="E117" s="8" t="b">
        <v>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x14ac:dyDescent="0.2">
      <c r="A118" s="4">
        <v>115</v>
      </c>
      <c r="B118" s="4"/>
      <c r="C118" s="8" t="b">
        <v>0</v>
      </c>
      <c r="D118" s="4"/>
      <c r="E118" s="8" t="b">
        <v>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x14ac:dyDescent="0.2">
      <c r="A119" s="4">
        <v>116</v>
      </c>
      <c r="B119" s="4"/>
      <c r="C119" s="8" t="b">
        <v>0</v>
      </c>
      <c r="D119" s="4"/>
      <c r="E119" s="8" t="b">
        <v>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x14ac:dyDescent="0.2">
      <c r="A120" s="4">
        <v>117</v>
      </c>
      <c r="B120" s="4"/>
      <c r="C120" s="8" t="b">
        <v>0</v>
      </c>
      <c r="D120" s="4"/>
      <c r="E120" s="8" t="b"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x14ac:dyDescent="0.2">
      <c r="A121" s="4">
        <v>118</v>
      </c>
      <c r="B121" s="4"/>
      <c r="C121" s="8" t="b">
        <v>0</v>
      </c>
      <c r="D121" s="4"/>
      <c r="E121" s="8" t="b">
        <v>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x14ac:dyDescent="0.2">
      <c r="A122" s="4">
        <v>119</v>
      </c>
      <c r="B122" s="4"/>
      <c r="C122" s="8" t="b">
        <v>0</v>
      </c>
      <c r="D122" s="4"/>
      <c r="E122" s="8" t="b">
        <v>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x14ac:dyDescent="0.2">
      <c r="A123" s="4">
        <v>120</v>
      </c>
      <c r="B123" s="4"/>
      <c r="C123" s="8" t="b">
        <v>0</v>
      </c>
      <c r="D123" s="4"/>
      <c r="E123" s="8" t="b">
        <v>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x14ac:dyDescent="0.2">
      <c r="A124" s="4">
        <v>121</v>
      </c>
      <c r="B124" s="4"/>
      <c r="C124" s="8" t="b">
        <v>0</v>
      </c>
      <c r="D124" s="4"/>
      <c r="E124" s="8" t="b">
        <v>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x14ac:dyDescent="0.2">
      <c r="A125" s="4">
        <v>122</v>
      </c>
      <c r="B125" s="4"/>
      <c r="C125" s="8" t="b">
        <v>0</v>
      </c>
      <c r="D125" s="4"/>
      <c r="E125" s="8" t="b"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x14ac:dyDescent="0.2">
      <c r="A126" s="4">
        <v>123</v>
      </c>
      <c r="B126" s="4"/>
      <c r="C126" s="8" t="b">
        <v>0</v>
      </c>
      <c r="D126" s="4"/>
      <c r="E126" s="8" t="b">
        <v>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x14ac:dyDescent="0.2">
      <c r="A127" s="4">
        <v>124</v>
      </c>
      <c r="B127" s="4"/>
      <c r="C127" s="8" t="b">
        <v>0</v>
      </c>
      <c r="D127" s="4"/>
      <c r="E127" s="8" t="b">
        <v>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x14ac:dyDescent="0.2">
      <c r="A128" s="4">
        <v>125</v>
      </c>
      <c r="B128" s="4"/>
      <c r="C128" s="8" t="b">
        <v>0</v>
      </c>
      <c r="D128" s="4"/>
      <c r="E128" s="8" t="b">
        <v>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x14ac:dyDescent="0.2">
      <c r="A129" s="4">
        <v>126</v>
      </c>
      <c r="B129" s="4"/>
      <c r="C129" s="8" t="b">
        <v>0</v>
      </c>
      <c r="D129" s="4"/>
      <c r="E129" s="8" t="b">
        <v>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x14ac:dyDescent="0.2">
      <c r="A130" s="4">
        <v>127</v>
      </c>
      <c r="B130" s="4"/>
      <c r="C130" s="8" t="b">
        <v>0</v>
      </c>
      <c r="D130" s="4"/>
      <c r="E130" s="8" t="b"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x14ac:dyDescent="0.2">
      <c r="A131" s="4">
        <v>128</v>
      </c>
      <c r="B131" s="4"/>
      <c r="C131" s="8" t="b">
        <v>0</v>
      </c>
      <c r="D131" s="4"/>
      <c r="E131" s="8" t="b">
        <v>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x14ac:dyDescent="0.2">
      <c r="A132" s="4">
        <v>129</v>
      </c>
      <c r="B132" s="4"/>
      <c r="C132" s="8" t="b">
        <v>0</v>
      </c>
      <c r="D132" s="4"/>
      <c r="E132" s="8" t="b">
        <v>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x14ac:dyDescent="0.2">
      <c r="A133" s="4">
        <v>130</v>
      </c>
      <c r="B133" s="4"/>
      <c r="C133" s="8" t="b">
        <v>0</v>
      </c>
      <c r="D133" s="4"/>
      <c r="E133" s="8" t="b">
        <v>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x14ac:dyDescent="0.2">
      <c r="A134" s="4">
        <v>131</v>
      </c>
      <c r="B134" s="4"/>
      <c r="C134" s="8" t="b">
        <v>0</v>
      </c>
      <c r="D134" s="4"/>
      <c r="E134" s="8" t="b">
        <v>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x14ac:dyDescent="0.2">
      <c r="A135" s="4">
        <v>132</v>
      </c>
      <c r="B135" s="4"/>
      <c r="C135" s="8" t="b">
        <v>0</v>
      </c>
      <c r="D135" s="4"/>
      <c r="E135" s="8" t="b">
        <v>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x14ac:dyDescent="0.2">
      <c r="A136" s="4">
        <v>133</v>
      </c>
      <c r="B136" s="4"/>
      <c r="C136" s="8" t="b">
        <v>0</v>
      </c>
      <c r="D136" s="4"/>
      <c r="E136" s="8" t="b">
        <v>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x14ac:dyDescent="0.2">
      <c r="A137" s="4">
        <v>134</v>
      </c>
      <c r="B137" s="4"/>
      <c r="C137" s="8" t="b">
        <v>0</v>
      </c>
      <c r="D137" s="4"/>
      <c r="E137" s="8" t="b">
        <v>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x14ac:dyDescent="0.2">
      <c r="A138" s="4">
        <v>135</v>
      </c>
      <c r="B138" s="4"/>
      <c r="C138" s="8" t="b">
        <v>0</v>
      </c>
      <c r="D138" s="4"/>
      <c r="E138" s="8" t="b">
        <v>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x14ac:dyDescent="0.2">
      <c r="A139" s="4">
        <v>136</v>
      </c>
      <c r="B139" s="4"/>
      <c r="C139" s="8" t="b">
        <v>0</v>
      </c>
      <c r="D139" s="4"/>
      <c r="E139" s="8" t="b">
        <v>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x14ac:dyDescent="0.2">
      <c r="A140" s="4">
        <v>137</v>
      </c>
      <c r="B140" s="4"/>
      <c r="C140" s="8" t="b">
        <v>0</v>
      </c>
      <c r="D140" s="4"/>
      <c r="E140" s="8" t="b"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x14ac:dyDescent="0.2">
      <c r="A141" s="4">
        <v>138</v>
      </c>
      <c r="B141" s="4"/>
      <c r="C141" s="8" t="b">
        <v>0</v>
      </c>
      <c r="D141" s="4"/>
      <c r="E141" s="8" t="b">
        <v>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x14ac:dyDescent="0.2">
      <c r="A142" s="4">
        <v>139</v>
      </c>
      <c r="B142" s="4"/>
      <c r="C142" s="8" t="b">
        <v>0</v>
      </c>
      <c r="D142" s="4"/>
      <c r="E142" s="8" t="b">
        <v>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x14ac:dyDescent="0.2">
      <c r="A143" s="4">
        <v>140</v>
      </c>
      <c r="B143" s="4"/>
      <c r="C143" s="8" t="b">
        <v>0</v>
      </c>
      <c r="D143" s="4"/>
      <c r="E143" s="8" t="b">
        <v>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x14ac:dyDescent="0.2">
      <c r="A144" s="4">
        <v>141</v>
      </c>
      <c r="B144" s="4"/>
      <c r="C144" s="8" t="b">
        <v>0</v>
      </c>
      <c r="D144" s="4"/>
      <c r="E144" s="8" t="b">
        <v>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x14ac:dyDescent="0.2">
      <c r="A145" s="4">
        <v>142</v>
      </c>
      <c r="B145" s="4"/>
      <c r="C145" s="8" t="b">
        <v>0</v>
      </c>
      <c r="D145" s="4"/>
      <c r="E145" s="8" t="b"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x14ac:dyDescent="0.2">
      <c r="A146" s="4">
        <v>143</v>
      </c>
      <c r="B146" s="4"/>
      <c r="C146" s="8" t="b">
        <v>0</v>
      </c>
      <c r="D146" s="4"/>
      <c r="E146" s="8" t="b">
        <v>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x14ac:dyDescent="0.2">
      <c r="A147" s="4">
        <v>144</v>
      </c>
      <c r="B147" s="4"/>
      <c r="C147" s="8" t="b">
        <v>0</v>
      </c>
      <c r="D147" s="4"/>
      <c r="E147" s="8" t="b">
        <v>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x14ac:dyDescent="0.2">
      <c r="A148" s="4">
        <v>145</v>
      </c>
      <c r="B148" s="4"/>
      <c r="C148" s="8" t="b">
        <v>0</v>
      </c>
      <c r="D148" s="4"/>
      <c r="E148" s="8" t="b">
        <v>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x14ac:dyDescent="0.2">
      <c r="A149" s="4">
        <v>146</v>
      </c>
      <c r="B149" s="4"/>
      <c r="C149" s="8" t="b">
        <v>0</v>
      </c>
      <c r="D149" s="4"/>
      <c r="E149" s="8" t="b"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x14ac:dyDescent="0.2">
      <c r="A150" s="4">
        <v>147</v>
      </c>
      <c r="B150" s="4"/>
      <c r="C150" s="8" t="b">
        <v>0</v>
      </c>
      <c r="D150" s="4"/>
      <c r="E150" s="8" t="b"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x14ac:dyDescent="0.2">
      <c r="A151" s="4">
        <v>148</v>
      </c>
      <c r="B151" s="4"/>
      <c r="C151" s="8" t="b">
        <v>0</v>
      </c>
      <c r="D151" s="4"/>
      <c r="E151" s="8" t="b">
        <v>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x14ac:dyDescent="0.2">
      <c r="A152" s="4">
        <v>149</v>
      </c>
      <c r="B152" s="4"/>
      <c r="C152" s="8" t="b">
        <v>0</v>
      </c>
      <c r="D152" s="4"/>
      <c r="E152" s="8" t="b">
        <v>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x14ac:dyDescent="0.2">
      <c r="A153" s="4">
        <v>150</v>
      </c>
      <c r="B153" s="4"/>
      <c r="C153" s="8" t="b">
        <v>0</v>
      </c>
      <c r="D153" s="4"/>
      <c r="E153" s="8" t="b">
        <v>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x14ac:dyDescent="0.2">
      <c r="A154" s="4">
        <v>151</v>
      </c>
      <c r="B154" s="4"/>
      <c r="C154" s="8" t="b">
        <v>0</v>
      </c>
      <c r="D154" s="4"/>
      <c r="E154" s="8" t="b"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x14ac:dyDescent="0.2">
      <c r="A155" s="4">
        <v>152</v>
      </c>
      <c r="B155" s="4"/>
      <c r="C155" s="8" t="b">
        <v>0</v>
      </c>
      <c r="D155" s="4"/>
      <c r="E155" s="8" t="b"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x14ac:dyDescent="0.2">
      <c r="A156" s="4">
        <v>153</v>
      </c>
      <c r="B156" s="4"/>
      <c r="C156" s="8" t="b">
        <v>0</v>
      </c>
      <c r="D156" s="4"/>
      <c r="E156" s="8" t="b">
        <v>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x14ac:dyDescent="0.2">
      <c r="A157" s="4">
        <v>154</v>
      </c>
      <c r="B157" s="4"/>
      <c r="C157" s="8" t="b">
        <v>0</v>
      </c>
      <c r="D157" s="4"/>
      <c r="E157" s="8" t="b">
        <v>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x14ac:dyDescent="0.2">
      <c r="A158" s="4">
        <v>155</v>
      </c>
      <c r="B158" s="4"/>
      <c r="C158" s="8" t="b">
        <v>0</v>
      </c>
      <c r="D158" s="4"/>
      <c r="E158" s="8" t="b">
        <v>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x14ac:dyDescent="0.2">
      <c r="A159" s="4">
        <v>156</v>
      </c>
      <c r="B159" s="4"/>
      <c r="C159" s="8" t="b">
        <v>0</v>
      </c>
      <c r="D159" s="4"/>
      <c r="E159" s="8" t="b">
        <v>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x14ac:dyDescent="0.2">
      <c r="A160" s="4">
        <v>157</v>
      </c>
      <c r="B160" s="4"/>
      <c r="C160" s="8" t="b">
        <v>0</v>
      </c>
      <c r="D160" s="4"/>
      <c r="E160" s="8" t="b"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x14ac:dyDescent="0.2">
      <c r="A161" s="4">
        <v>158</v>
      </c>
      <c r="B161" s="4"/>
      <c r="C161" s="8" t="b">
        <v>0</v>
      </c>
      <c r="D161" s="4"/>
      <c r="E161" s="8" t="b">
        <v>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x14ac:dyDescent="0.2">
      <c r="A162" s="4">
        <v>159</v>
      </c>
      <c r="B162" s="4"/>
      <c r="C162" s="8" t="b">
        <v>0</v>
      </c>
      <c r="D162" s="4"/>
      <c r="E162" s="8" t="b">
        <v>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x14ac:dyDescent="0.2">
      <c r="A163" s="4">
        <v>160</v>
      </c>
      <c r="B163" s="4"/>
      <c r="C163" s="8" t="b">
        <v>0</v>
      </c>
      <c r="D163" s="4"/>
      <c r="E163" s="8" t="b">
        <v>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x14ac:dyDescent="0.2">
      <c r="A164" s="4">
        <v>161</v>
      </c>
      <c r="B164" s="4"/>
      <c r="C164" s="8" t="b">
        <v>0</v>
      </c>
      <c r="D164" s="4"/>
      <c r="E164" s="8" t="b">
        <v>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x14ac:dyDescent="0.2">
      <c r="A165" s="4">
        <v>162</v>
      </c>
      <c r="B165" s="4"/>
      <c r="C165" s="8" t="b">
        <v>0</v>
      </c>
      <c r="D165" s="4"/>
      <c r="E165" s="8" t="b"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x14ac:dyDescent="0.2">
      <c r="A166" s="4">
        <v>163</v>
      </c>
      <c r="B166" s="4"/>
      <c r="C166" s="8" t="b">
        <v>0</v>
      </c>
      <c r="D166" s="4"/>
      <c r="E166" s="8" t="b">
        <v>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x14ac:dyDescent="0.2">
      <c r="A167" s="4">
        <v>164</v>
      </c>
      <c r="B167" s="4"/>
      <c r="C167" s="8" t="b">
        <v>0</v>
      </c>
      <c r="D167" s="4"/>
      <c r="E167" s="8" t="b">
        <v>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x14ac:dyDescent="0.2">
      <c r="A168" s="4">
        <v>165</v>
      </c>
      <c r="B168" s="4"/>
      <c r="C168" s="8" t="b">
        <v>0</v>
      </c>
      <c r="D168" s="4"/>
      <c r="E168" s="8" t="b">
        <v>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x14ac:dyDescent="0.2">
      <c r="A169" s="4">
        <v>166</v>
      </c>
      <c r="B169" s="4"/>
      <c r="C169" s="8" t="b">
        <v>0</v>
      </c>
      <c r="D169" s="4"/>
      <c r="E169" s="8" t="b">
        <v>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x14ac:dyDescent="0.2">
      <c r="A170" s="4">
        <v>167</v>
      </c>
      <c r="B170" s="4"/>
      <c r="C170" s="8" t="b">
        <v>0</v>
      </c>
      <c r="D170" s="4"/>
      <c r="E170" s="8" t="b"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x14ac:dyDescent="0.2">
      <c r="A171" s="4">
        <v>168</v>
      </c>
      <c r="B171" s="4"/>
      <c r="C171" s="8" t="b">
        <v>0</v>
      </c>
      <c r="D171" s="4"/>
      <c r="E171" s="8" t="b">
        <v>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x14ac:dyDescent="0.2">
      <c r="A172" s="4">
        <v>169</v>
      </c>
      <c r="B172" s="4"/>
      <c r="C172" s="8" t="b">
        <v>0</v>
      </c>
      <c r="D172" s="4"/>
      <c r="E172" s="8" t="b">
        <v>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x14ac:dyDescent="0.2">
      <c r="A173" s="4">
        <v>170</v>
      </c>
      <c r="B173" s="4"/>
      <c r="C173" s="8" t="b">
        <v>0</v>
      </c>
      <c r="D173" s="4"/>
      <c r="E173" s="8" t="b">
        <v>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x14ac:dyDescent="0.2">
      <c r="A174" s="4">
        <v>171</v>
      </c>
      <c r="B174" s="4"/>
      <c r="C174" s="8" t="b">
        <v>0</v>
      </c>
      <c r="D174" s="4"/>
      <c r="E174" s="8" t="b">
        <v>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x14ac:dyDescent="0.2">
      <c r="A175" s="4">
        <v>172</v>
      </c>
      <c r="B175" s="4"/>
      <c r="C175" s="8" t="b">
        <v>0</v>
      </c>
      <c r="D175" s="4"/>
      <c r="E175" s="8" t="b"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x14ac:dyDescent="0.2">
      <c r="A176" s="4">
        <v>173</v>
      </c>
      <c r="B176" s="4"/>
      <c r="C176" s="8" t="b">
        <v>0</v>
      </c>
      <c r="D176" s="4"/>
      <c r="E176" s="8" t="b">
        <v>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x14ac:dyDescent="0.2">
      <c r="A177" s="4">
        <v>174</v>
      </c>
      <c r="B177" s="4"/>
      <c r="C177" s="8" t="b">
        <v>0</v>
      </c>
      <c r="D177" s="4"/>
      <c r="E177" s="8" t="b">
        <v>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x14ac:dyDescent="0.2">
      <c r="A178" s="4">
        <v>175</v>
      </c>
      <c r="B178" s="4"/>
      <c r="C178" s="8" t="b">
        <v>0</v>
      </c>
      <c r="D178" s="4"/>
      <c r="E178" s="8" t="b">
        <v>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x14ac:dyDescent="0.2">
      <c r="A179" s="4">
        <v>176</v>
      </c>
      <c r="B179" s="4"/>
      <c r="C179" s="8" t="b">
        <v>0</v>
      </c>
      <c r="D179" s="4"/>
      <c r="E179" s="8" t="b">
        <v>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x14ac:dyDescent="0.2">
      <c r="A180" s="4">
        <v>177</v>
      </c>
      <c r="B180" s="4"/>
      <c r="C180" s="8" t="b">
        <v>0</v>
      </c>
      <c r="D180" s="4"/>
      <c r="E180" s="8" t="b"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x14ac:dyDescent="0.2">
      <c r="A181" s="4">
        <v>178</v>
      </c>
      <c r="B181" s="4"/>
      <c r="C181" s="8" t="b">
        <v>0</v>
      </c>
      <c r="D181" s="4"/>
      <c r="E181" s="8" t="b"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x14ac:dyDescent="0.2">
      <c r="A182" s="4">
        <v>179</v>
      </c>
      <c r="B182" s="4"/>
      <c r="C182" s="8" t="b">
        <v>0</v>
      </c>
      <c r="D182" s="4"/>
      <c r="E182" s="8" t="b">
        <v>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x14ac:dyDescent="0.2">
      <c r="A183" s="4">
        <v>180</v>
      </c>
      <c r="B183" s="4"/>
      <c r="C183" s="8" t="b">
        <v>0</v>
      </c>
      <c r="D183" s="4"/>
      <c r="E183" s="8" t="b">
        <v>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x14ac:dyDescent="0.2">
      <c r="A184" s="4">
        <v>181</v>
      </c>
      <c r="B184" s="4"/>
      <c r="C184" s="8" t="b">
        <v>0</v>
      </c>
      <c r="D184" s="4"/>
      <c r="E184" s="8" t="b">
        <v>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x14ac:dyDescent="0.2">
      <c r="A185" s="4">
        <v>182</v>
      </c>
      <c r="B185" s="4"/>
      <c r="C185" s="8" t="b">
        <v>0</v>
      </c>
      <c r="D185" s="4"/>
      <c r="E185" s="8" t="b"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x14ac:dyDescent="0.2">
      <c r="A186" s="4">
        <v>183</v>
      </c>
      <c r="B186" s="4"/>
      <c r="C186" s="8" t="b">
        <v>0</v>
      </c>
      <c r="D186" s="4"/>
      <c r="E186" s="8" t="b">
        <v>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x14ac:dyDescent="0.2">
      <c r="A187" s="4">
        <v>184</v>
      </c>
      <c r="B187" s="4"/>
      <c r="C187" s="8" t="b">
        <v>0</v>
      </c>
      <c r="D187" s="4"/>
      <c r="E187" s="8" t="b">
        <v>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x14ac:dyDescent="0.2">
      <c r="A188" s="4">
        <v>185</v>
      </c>
      <c r="B188" s="4"/>
      <c r="C188" s="8" t="b">
        <v>0</v>
      </c>
      <c r="D188" s="4"/>
      <c r="E188" s="8" t="b">
        <v>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x14ac:dyDescent="0.2">
      <c r="A189" s="4">
        <v>186</v>
      </c>
      <c r="B189" s="4"/>
      <c r="C189" s="8" t="b">
        <v>0</v>
      </c>
      <c r="D189" s="4"/>
      <c r="E189" s="8" t="b">
        <v>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x14ac:dyDescent="0.2">
      <c r="A190" s="4">
        <v>187</v>
      </c>
      <c r="B190" s="4"/>
      <c r="C190" s="8" t="b">
        <v>0</v>
      </c>
      <c r="D190" s="4"/>
      <c r="E190" s="8" t="b"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x14ac:dyDescent="0.2">
      <c r="A191" s="4">
        <v>188</v>
      </c>
      <c r="B191" s="4"/>
      <c r="C191" s="8" t="b">
        <v>0</v>
      </c>
      <c r="D191" s="4"/>
      <c r="E191" s="8" t="b">
        <v>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x14ac:dyDescent="0.2">
      <c r="A192" s="4">
        <v>189</v>
      </c>
      <c r="B192" s="4"/>
      <c r="C192" s="8" t="b">
        <v>0</v>
      </c>
      <c r="D192" s="4"/>
      <c r="E192" s="8" t="b">
        <v>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x14ac:dyDescent="0.2">
      <c r="A193" s="4">
        <v>190</v>
      </c>
      <c r="B193" s="4"/>
      <c r="C193" s="8" t="b">
        <v>0</v>
      </c>
      <c r="D193" s="4"/>
      <c r="E193" s="8" t="b">
        <v>0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x14ac:dyDescent="0.2">
      <c r="A194" s="4">
        <v>191</v>
      </c>
      <c r="B194" s="4"/>
      <c r="C194" s="8" t="b">
        <v>0</v>
      </c>
      <c r="D194" s="4"/>
      <c r="E194" s="8" t="b">
        <v>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x14ac:dyDescent="0.2">
      <c r="A195" s="4">
        <v>192</v>
      </c>
      <c r="B195" s="4"/>
      <c r="C195" s="8" t="b">
        <v>0</v>
      </c>
      <c r="D195" s="4"/>
      <c r="E195" s="8" t="b"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x14ac:dyDescent="0.2">
      <c r="A196" s="4">
        <v>193</v>
      </c>
      <c r="B196" s="4"/>
      <c r="C196" s="8" t="b">
        <v>0</v>
      </c>
      <c r="D196" s="4"/>
      <c r="E196" s="8" t="b">
        <v>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x14ac:dyDescent="0.2">
      <c r="A197" s="4">
        <v>194</v>
      </c>
      <c r="B197" s="4"/>
      <c r="C197" s="8" t="b">
        <v>0</v>
      </c>
      <c r="D197" s="4"/>
      <c r="E197" s="8" t="b">
        <v>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x14ac:dyDescent="0.2">
      <c r="A198" s="4">
        <v>195</v>
      </c>
      <c r="B198" s="4"/>
      <c r="C198" s="8" t="b">
        <v>0</v>
      </c>
      <c r="D198" s="4"/>
      <c r="E198" s="8" t="b">
        <v>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x14ac:dyDescent="0.2">
      <c r="A199" s="4">
        <v>196</v>
      </c>
      <c r="B199" s="4"/>
      <c r="C199" s="8" t="b">
        <v>0</v>
      </c>
      <c r="D199" s="4"/>
      <c r="E199" s="8" t="b">
        <v>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x14ac:dyDescent="0.2">
      <c r="A200" s="4">
        <v>197</v>
      </c>
      <c r="B200" s="4"/>
      <c r="C200" s="8" t="b">
        <v>0</v>
      </c>
      <c r="D200" s="4"/>
      <c r="E200" s="8" t="b">
        <v>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x14ac:dyDescent="0.2">
      <c r="A201" s="4">
        <v>198</v>
      </c>
      <c r="B201" s="4"/>
      <c r="C201" s="8" t="b">
        <v>0</v>
      </c>
      <c r="D201" s="4"/>
      <c r="E201" s="8" t="b">
        <v>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x14ac:dyDescent="0.2">
      <c r="A202" s="4">
        <v>199</v>
      </c>
      <c r="B202" s="4"/>
      <c r="C202" s="8" t="b">
        <v>0</v>
      </c>
      <c r="D202" s="4"/>
      <c r="E202" s="8" t="b">
        <v>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x14ac:dyDescent="0.2">
      <c r="A203" s="4">
        <v>200</v>
      </c>
      <c r="B203" s="4"/>
      <c r="C203" s="8" t="b">
        <v>0</v>
      </c>
      <c r="D203" s="4"/>
      <c r="E203" s="8" t="b">
        <v>0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C204" s="2"/>
      <c r="E204" s="2"/>
    </row>
    <row r="205" spans="1:26" ht="12.75" x14ac:dyDescent="0.2">
      <c r="C205" s="2"/>
      <c r="E205" s="2"/>
    </row>
    <row r="206" spans="1:26" ht="12.75" x14ac:dyDescent="0.2">
      <c r="C206" s="2"/>
      <c r="E206" s="2"/>
    </row>
    <row r="207" spans="1:26" ht="12.75" x14ac:dyDescent="0.2">
      <c r="C207" s="2"/>
      <c r="E207" s="2"/>
    </row>
    <row r="208" spans="1:26" ht="12.75" x14ac:dyDescent="0.2">
      <c r="C208" s="2"/>
      <c r="E208" s="2"/>
    </row>
    <row r="209" spans="3:5" ht="12.75" x14ac:dyDescent="0.2">
      <c r="C209" s="2"/>
      <c r="E209" s="2"/>
    </row>
    <row r="210" spans="3:5" ht="12.75" x14ac:dyDescent="0.2">
      <c r="C210" s="2"/>
      <c r="E210" s="2"/>
    </row>
    <row r="211" spans="3:5" ht="12.75" x14ac:dyDescent="0.2">
      <c r="C211" s="2"/>
      <c r="E211" s="2"/>
    </row>
    <row r="212" spans="3:5" ht="12.75" x14ac:dyDescent="0.2">
      <c r="C212" s="2"/>
      <c r="E212" s="2"/>
    </row>
    <row r="213" spans="3:5" ht="12.75" x14ac:dyDescent="0.2">
      <c r="C213" s="2"/>
      <c r="E213" s="2"/>
    </row>
    <row r="214" spans="3:5" ht="12.75" x14ac:dyDescent="0.2">
      <c r="C214" s="2"/>
      <c r="E214" s="2"/>
    </row>
    <row r="215" spans="3:5" ht="12.75" x14ac:dyDescent="0.2">
      <c r="C215" s="2"/>
      <c r="E215" s="2"/>
    </row>
    <row r="216" spans="3:5" ht="12.75" x14ac:dyDescent="0.2">
      <c r="C216" s="2"/>
      <c r="E216" s="2"/>
    </row>
    <row r="217" spans="3:5" ht="12.75" x14ac:dyDescent="0.2">
      <c r="C217" s="2"/>
      <c r="E217" s="2"/>
    </row>
    <row r="218" spans="3:5" ht="12.75" x14ac:dyDescent="0.2">
      <c r="C218" s="2"/>
      <c r="E218" s="2"/>
    </row>
    <row r="219" spans="3:5" ht="12.75" x14ac:dyDescent="0.2">
      <c r="C219" s="2"/>
      <c r="E219" s="2"/>
    </row>
    <row r="220" spans="3:5" ht="12.75" x14ac:dyDescent="0.2">
      <c r="C220" s="2"/>
      <c r="E220" s="2"/>
    </row>
    <row r="221" spans="3:5" ht="12.75" x14ac:dyDescent="0.2">
      <c r="C221" s="2"/>
      <c r="E221" s="2"/>
    </row>
    <row r="222" spans="3:5" ht="12.75" x14ac:dyDescent="0.2">
      <c r="C222" s="2"/>
      <c r="E222" s="2"/>
    </row>
    <row r="223" spans="3:5" ht="12.75" x14ac:dyDescent="0.2">
      <c r="C223" s="2"/>
      <c r="E223" s="2"/>
    </row>
    <row r="224" spans="3:5" ht="12.75" x14ac:dyDescent="0.2">
      <c r="C224" s="2"/>
      <c r="E224" s="2"/>
    </row>
    <row r="225" spans="3:5" ht="12.75" x14ac:dyDescent="0.2">
      <c r="C225" s="2"/>
      <c r="E225" s="2"/>
    </row>
    <row r="226" spans="3:5" ht="12.75" x14ac:dyDescent="0.2">
      <c r="C226" s="2"/>
      <c r="E226" s="2"/>
    </row>
    <row r="227" spans="3:5" ht="12.75" x14ac:dyDescent="0.2">
      <c r="C227" s="2"/>
      <c r="E227" s="2"/>
    </row>
    <row r="228" spans="3:5" ht="12.75" x14ac:dyDescent="0.2">
      <c r="C228" s="2"/>
      <c r="E228" s="2"/>
    </row>
    <row r="229" spans="3:5" ht="12.75" x14ac:dyDescent="0.2">
      <c r="C229" s="2"/>
      <c r="E229" s="2"/>
    </row>
    <row r="230" spans="3:5" ht="12.75" x14ac:dyDescent="0.2">
      <c r="C230" s="2"/>
      <c r="E230" s="2"/>
    </row>
    <row r="231" spans="3:5" ht="12.75" x14ac:dyDescent="0.2">
      <c r="C231" s="2"/>
      <c r="E231" s="2"/>
    </row>
    <row r="232" spans="3:5" ht="12.75" x14ac:dyDescent="0.2">
      <c r="C232" s="2"/>
      <c r="E232" s="2"/>
    </row>
    <row r="233" spans="3:5" ht="12.75" x14ac:dyDescent="0.2">
      <c r="C233" s="2"/>
      <c r="E233" s="2"/>
    </row>
    <row r="234" spans="3:5" ht="12.75" x14ac:dyDescent="0.2">
      <c r="C234" s="2"/>
      <c r="E234" s="2"/>
    </row>
    <row r="235" spans="3:5" ht="12.75" x14ac:dyDescent="0.2">
      <c r="C235" s="2"/>
      <c r="E235" s="2"/>
    </row>
    <row r="236" spans="3:5" ht="12.75" x14ac:dyDescent="0.2">
      <c r="C236" s="2"/>
      <c r="E236" s="2"/>
    </row>
    <row r="237" spans="3:5" ht="12.75" x14ac:dyDescent="0.2">
      <c r="C237" s="2"/>
      <c r="E237" s="2"/>
    </row>
    <row r="238" spans="3:5" ht="12.75" x14ac:dyDescent="0.2">
      <c r="C238" s="2"/>
      <c r="E238" s="2"/>
    </row>
    <row r="239" spans="3:5" ht="12.75" x14ac:dyDescent="0.2">
      <c r="C239" s="2"/>
      <c r="E239" s="2"/>
    </row>
    <row r="240" spans="3:5" ht="12.75" x14ac:dyDescent="0.2">
      <c r="C240" s="2"/>
      <c r="E240" s="2"/>
    </row>
    <row r="241" spans="3:5" ht="12.75" x14ac:dyDescent="0.2">
      <c r="C241" s="2"/>
      <c r="E241" s="2"/>
    </row>
    <row r="242" spans="3:5" ht="12.75" x14ac:dyDescent="0.2">
      <c r="C242" s="2"/>
      <c r="E242" s="2"/>
    </row>
    <row r="243" spans="3:5" ht="12.75" x14ac:dyDescent="0.2">
      <c r="C243" s="2"/>
      <c r="E243" s="2"/>
    </row>
    <row r="244" spans="3:5" ht="12.75" x14ac:dyDescent="0.2">
      <c r="C244" s="2"/>
      <c r="E244" s="2"/>
    </row>
    <row r="245" spans="3:5" ht="12.75" x14ac:dyDescent="0.2">
      <c r="C245" s="2"/>
      <c r="E245" s="2"/>
    </row>
    <row r="246" spans="3:5" ht="12.75" x14ac:dyDescent="0.2">
      <c r="C246" s="2"/>
      <c r="E246" s="2"/>
    </row>
    <row r="247" spans="3:5" ht="12.75" x14ac:dyDescent="0.2">
      <c r="C247" s="2"/>
      <c r="E247" s="2"/>
    </row>
    <row r="248" spans="3:5" ht="12.75" x14ac:dyDescent="0.2">
      <c r="C248" s="2"/>
      <c r="E248" s="2"/>
    </row>
    <row r="249" spans="3:5" ht="12.75" x14ac:dyDescent="0.2">
      <c r="C249" s="2"/>
      <c r="E249" s="2"/>
    </row>
    <row r="250" spans="3:5" ht="12.75" x14ac:dyDescent="0.2">
      <c r="C250" s="2"/>
      <c r="E250" s="2"/>
    </row>
    <row r="251" spans="3:5" ht="12.75" x14ac:dyDescent="0.2">
      <c r="C251" s="2"/>
      <c r="E251" s="2"/>
    </row>
    <row r="252" spans="3:5" ht="12.75" x14ac:dyDescent="0.2">
      <c r="C252" s="2"/>
      <c r="E252" s="2"/>
    </row>
    <row r="253" spans="3:5" ht="12.75" x14ac:dyDescent="0.2">
      <c r="C253" s="2"/>
      <c r="E253" s="2"/>
    </row>
    <row r="254" spans="3:5" ht="12.75" x14ac:dyDescent="0.2">
      <c r="C254" s="2"/>
      <c r="E254" s="2"/>
    </row>
    <row r="255" spans="3:5" ht="12.75" x14ac:dyDescent="0.2">
      <c r="C255" s="2"/>
      <c r="E255" s="2"/>
    </row>
    <row r="256" spans="3:5" ht="12.75" x14ac:dyDescent="0.2">
      <c r="C256" s="2"/>
      <c r="E256" s="2"/>
    </row>
    <row r="257" spans="3:5" ht="12.75" x14ac:dyDescent="0.2">
      <c r="C257" s="2"/>
      <c r="E257" s="2"/>
    </row>
    <row r="258" spans="3:5" ht="12.75" x14ac:dyDescent="0.2">
      <c r="C258" s="2"/>
      <c r="E258" s="2"/>
    </row>
    <row r="259" spans="3:5" ht="12.75" x14ac:dyDescent="0.2">
      <c r="C259" s="2"/>
      <c r="E259" s="2"/>
    </row>
    <row r="260" spans="3:5" ht="12.75" x14ac:dyDescent="0.2">
      <c r="C260" s="2"/>
      <c r="E260" s="2"/>
    </row>
    <row r="261" spans="3:5" ht="12.75" x14ac:dyDescent="0.2">
      <c r="C261" s="2"/>
      <c r="E261" s="2"/>
    </row>
    <row r="262" spans="3:5" ht="12.75" x14ac:dyDescent="0.2">
      <c r="C262" s="2"/>
      <c r="E262" s="2"/>
    </row>
    <row r="263" spans="3:5" ht="12.75" x14ac:dyDescent="0.2">
      <c r="C263" s="2"/>
      <c r="E263" s="2"/>
    </row>
    <row r="264" spans="3:5" ht="12.75" x14ac:dyDescent="0.2">
      <c r="C264" s="2"/>
      <c r="E264" s="2"/>
    </row>
    <row r="265" spans="3:5" ht="12.75" x14ac:dyDescent="0.2">
      <c r="C265" s="2"/>
      <c r="E265" s="2"/>
    </row>
    <row r="266" spans="3:5" ht="12.75" x14ac:dyDescent="0.2">
      <c r="C266" s="2"/>
      <c r="E266" s="2"/>
    </row>
    <row r="267" spans="3:5" ht="12.75" x14ac:dyDescent="0.2">
      <c r="C267" s="2"/>
      <c r="E267" s="2"/>
    </row>
    <row r="268" spans="3:5" ht="12.75" x14ac:dyDescent="0.2">
      <c r="C268" s="2"/>
      <c r="E268" s="2"/>
    </row>
    <row r="269" spans="3:5" ht="12.75" x14ac:dyDescent="0.2">
      <c r="C269" s="2"/>
      <c r="E269" s="2"/>
    </row>
    <row r="270" spans="3:5" ht="12.75" x14ac:dyDescent="0.2">
      <c r="C270" s="2"/>
      <c r="E270" s="2"/>
    </row>
    <row r="271" spans="3:5" ht="12.75" x14ac:dyDescent="0.2">
      <c r="C271" s="2"/>
      <c r="E271" s="2"/>
    </row>
    <row r="272" spans="3:5" ht="12.75" x14ac:dyDescent="0.2">
      <c r="C272" s="2"/>
      <c r="E272" s="2"/>
    </row>
    <row r="273" spans="3:5" ht="12.75" x14ac:dyDescent="0.2">
      <c r="C273" s="2"/>
      <c r="E273" s="2"/>
    </row>
    <row r="274" spans="3:5" ht="12.75" x14ac:dyDescent="0.2">
      <c r="C274" s="2"/>
      <c r="E274" s="2"/>
    </row>
    <row r="275" spans="3:5" ht="12.75" x14ac:dyDescent="0.2">
      <c r="C275" s="2"/>
      <c r="E275" s="2"/>
    </row>
    <row r="276" spans="3:5" ht="12.75" x14ac:dyDescent="0.2">
      <c r="C276" s="2"/>
      <c r="E276" s="2"/>
    </row>
    <row r="277" spans="3:5" ht="12.75" x14ac:dyDescent="0.2">
      <c r="C277" s="2"/>
      <c r="E277" s="2"/>
    </row>
    <row r="278" spans="3:5" ht="12.75" x14ac:dyDescent="0.2">
      <c r="C278" s="2"/>
      <c r="E278" s="2"/>
    </row>
    <row r="279" spans="3:5" ht="12.75" x14ac:dyDescent="0.2">
      <c r="C279" s="2"/>
      <c r="E279" s="2"/>
    </row>
    <row r="280" spans="3:5" ht="12.75" x14ac:dyDescent="0.2">
      <c r="C280" s="2"/>
      <c r="E280" s="2"/>
    </row>
    <row r="281" spans="3:5" ht="12.75" x14ac:dyDescent="0.2">
      <c r="C281" s="2"/>
      <c r="E281" s="2"/>
    </row>
    <row r="282" spans="3:5" ht="12.75" x14ac:dyDescent="0.2">
      <c r="C282" s="2"/>
      <c r="E282" s="2"/>
    </row>
    <row r="283" spans="3:5" ht="12.75" x14ac:dyDescent="0.2">
      <c r="C283" s="2"/>
      <c r="E283" s="2"/>
    </row>
    <row r="284" spans="3:5" ht="12.75" x14ac:dyDescent="0.2">
      <c r="C284" s="2"/>
      <c r="E284" s="2"/>
    </row>
    <row r="285" spans="3:5" ht="12.75" x14ac:dyDescent="0.2">
      <c r="C285" s="2"/>
      <c r="E285" s="2"/>
    </row>
    <row r="286" spans="3:5" ht="12.75" x14ac:dyDescent="0.2">
      <c r="C286" s="2"/>
      <c r="E286" s="2"/>
    </row>
    <row r="287" spans="3:5" ht="12.75" x14ac:dyDescent="0.2">
      <c r="C287" s="2"/>
      <c r="E287" s="2"/>
    </row>
    <row r="288" spans="3:5" ht="12.75" x14ac:dyDescent="0.2">
      <c r="C288" s="2"/>
      <c r="E288" s="2"/>
    </row>
    <row r="289" spans="3:5" ht="12.75" x14ac:dyDescent="0.2">
      <c r="C289" s="2"/>
      <c r="E289" s="2"/>
    </row>
    <row r="290" spans="3:5" ht="12.75" x14ac:dyDescent="0.2">
      <c r="C290" s="2"/>
      <c r="E290" s="2"/>
    </row>
    <row r="291" spans="3:5" ht="12.75" x14ac:dyDescent="0.2">
      <c r="C291" s="2"/>
      <c r="E291" s="2"/>
    </row>
    <row r="292" spans="3:5" ht="12.75" x14ac:dyDescent="0.2">
      <c r="C292" s="2"/>
      <c r="E292" s="2"/>
    </row>
    <row r="293" spans="3:5" ht="12.75" x14ac:dyDescent="0.2">
      <c r="C293" s="2"/>
      <c r="E293" s="2"/>
    </row>
    <row r="294" spans="3:5" ht="12.75" x14ac:dyDescent="0.2">
      <c r="C294" s="2"/>
      <c r="E294" s="2"/>
    </row>
    <row r="295" spans="3:5" ht="12.75" x14ac:dyDescent="0.2">
      <c r="C295" s="2"/>
      <c r="E295" s="2"/>
    </row>
    <row r="296" spans="3:5" ht="12.75" x14ac:dyDescent="0.2">
      <c r="C296" s="2"/>
      <c r="E296" s="2"/>
    </row>
    <row r="297" spans="3:5" ht="12.75" x14ac:dyDescent="0.2">
      <c r="C297" s="2"/>
      <c r="E297" s="2"/>
    </row>
    <row r="298" spans="3:5" ht="12.75" x14ac:dyDescent="0.2">
      <c r="C298" s="2"/>
      <c r="E298" s="2"/>
    </row>
    <row r="299" spans="3:5" ht="12.75" x14ac:dyDescent="0.2">
      <c r="C299" s="2"/>
      <c r="E299" s="2"/>
    </row>
    <row r="300" spans="3:5" ht="12.75" x14ac:dyDescent="0.2">
      <c r="C300" s="2"/>
      <c r="E300" s="2"/>
    </row>
    <row r="301" spans="3:5" ht="12.75" x14ac:dyDescent="0.2">
      <c r="C301" s="2"/>
      <c r="E301" s="2"/>
    </row>
    <row r="302" spans="3:5" ht="12.75" x14ac:dyDescent="0.2">
      <c r="C302" s="2"/>
      <c r="E302" s="2"/>
    </row>
    <row r="303" spans="3:5" ht="12.75" x14ac:dyDescent="0.2">
      <c r="C303" s="2"/>
      <c r="E303" s="2"/>
    </row>
    <row r="304" spans="3:5" ht="12.75" x14ac:dyDescent="0.2">
      <c r="C304" s="2"/>
      <c r="E304" s="2"/>
    </row>
    <row r="305" spans="3:5" ht="12.75" x14ac:dyDescent="0.2">
      <c r="C305" s="2"/>
      <c r="E305" s="2"/>
    </row>
    <row r="306" spans="3:5" ht="12.75" x14ac:dyDescent="0.2">
      <c r="C306" s="2"/>
      <c r="E306" s="2"/>
    </row>
    <row r="307" spans="3:5" ht="12.75" x14ac:dyDescent="0.2">
      <c r="C307" s="2"/>
      <c r="E307" s="2"/>
    </row>
    <row r="308" spans="3:5" ht="12.75" x14ac:dyDescent="0.2">
      <c r="C308" s="2"/>
      <c r="E308" s="2"/>
    </row>
    <row r="309" spans="3:5" ht="12.75" x14ac:dyDescent="0.2">
      <c r="C309" s="2"/>
      <c r="E309" s="2"/>
    </row>
    <row r="310" spans="3:5" ht="12.75" x14ac:dyDescent="0.2">
      <c r="C310" s="2"/>
      <c r="E310" s="2"/>
    </row>
    <row r="311" spans="3:5" ht="12.75" x14ac:dyDescent="0.2">
      <c r="C311" s="2"/>
      <c r="E311" s="2"/>
    </row>
    <row r="312" spans="3:5" ht="12.75" x14ac:dyDescent="0.2">
      <c r="C312" s="2"/>
      <c r="E312" s="2"/>
    </row>
    <row r="313" spans="3:5" ht="12.75" x14ac:dyDescent="0.2">
      <c r="C313" s="2"/>
      <c r="E313" s="2"/>
    </row>
    <row r="314" spans="3:5" ht="12.75" x14ac:dyDescent="0.2">
      <c r="C314" s="2"/>
      <c r="E314" s="2"/>
    </row>
    <row r="315" spans="3:5" ht="12.75" x14ac:dyDescent="0.2">
      <c r="C315" s="2"/>
      <c r="E315" s="2"/>
    </row>
    <row r="316" spans="3:5" ht="12.75" x14ac:dyDescent="0.2">
      <c r="C316" s="2"/>
      <c r="E316" s="2"/>
    </row>
    <row r="317" spans="3:5" ht="12.75" x14ac:dyDescent="0.2">
      <c r="C317" s="2"/>
      <c r="E317" s="2"/>
    </row>
    <row r="318" spans="3:5" ht="12.75" x14ac:dyDescent="0.2">
      <c r="C318" s="2"/>
      <c r="E318" s="2"/>
    </row>
    <row r="319" spans="3:5" ht="12.75" x14ac:dyDescent="0.2">
      <c r="C319" s="2"/>
      <c r="E319" s="2"/>
    </row>
    <row r="320" spans="3:5" ht="12.75" x14ac:dyDescent="0.2">
      <c r="C320" s="2"/>
      <c r="E320" s="2"/>
    </row>
    <row r="321" spans="3:5" ht="12.75" x14ac:dyDescent="0.2">
      <c r="C321" s="2"/>
      <c r="E321" s="2"/>
    </row>
    <row r="322" spans="3:5" ht="12.75" x14ac:dyDescent="0.2">
      <c r="C322" s="2"/>
      <c r="E322" s="2"/>
    </row>
    <row r="323" spans="3:5" ht="12.75" x14ac:dyDescent="0.2">
      <c r="C323" s="2"/>
      <c r="E323" s="2"/>
    </row>
    <row r="324" spans="3:5" ht="12.75" x14ac:dyDescent="0.2">
      <c r="C324" s="2"/>
      <c r="E324" s="2"/>
    </row>
    <row r="325" spans="3:5" ht="12.75" x14ac:dyDescent="0.2">
      <c r="C325" s="2"/>
      <c r="E325" s="2"/>
    </row>
    <row r="326" spans="3:5" ht="12.75" x14ac:dyDescent="0.2">
      <c r="C326" s="2"/>
      <c r="E326" s="2"/>
    </row>
    <row r="327" spans="3:5" ht="12.75" x14ac:dyDescent="0.2">
      <c r="C327" s="2"/>
      <c r="E327" s="2"/>
    </row>
    <row r="328" spans="3:5" ht="12.75" x14ac:dyDescent="0.2">
      <c r="C328" s="2"/>
      <c r="E328" s="2"/>
    </row>
    <row r="329" spans="3:5" ht="12.75" x14ac:dyDescent="0.2">
      <c r="C329" s="2"/>
      <c r="E329" s="2"/>
    </row>
    <row r="330" spans="3:5" ht="12.75" x14ac:dyDescent="0.2">
      <c r="C330" s="2"/>
      <c r="E330" s="2"/>
    </row>
    <row r="331" spans="3:5" ht="12.75" x14ac:dyDescent="0.2">
      <c r="C331" s="2"/>
      <c r="E331" s="2"/>
    </row>
    <row r="332" spans="3:5" ht="12.75" x14ac:dyDescent="0.2">
      <c r="C332" s="2"/>
      <c r="E332" s="2"/>
    </row>
    <row r="333" spans="3:5" ht="12.75" x14ac:dyDescent="0.2">
      <c r="C333" s="2"/>
      <c r="E333" s="2"/>
    </row>
    <row r="334" spans="3:5" ht="12.75" x14ac:dyDescent="0.2">
      <c r="C334" s="2"/>
      <c r="E334" s="2"/>
    </row>
    <row r="335" spans="3:5" ht="12.75" x14ac:dyDescent="0.2">
      <c r="C335" s="2"/>
      <c r="E335" s="2"/>
    </row>
    <row r="336" spans="3:5" ht="12.75" x14ac:dyDescent="0.2">
      <c r="C336" s="2"/>
      <c r="E336" s="2"/>
    </row>
    <row r="337" spans="3:5" ht="12.75" x14ac:dyDescent="0.2">
      <c r="C337" s="2"/>
      <c r="E337" s="2"/>
    </row>
    <row r="338" spans="3:5" ht="12.75" x14ac:dyDescent="0.2">
      <c r="C338" s="2"/>
      <c r="E338" s="2"/>
    </row>
    <row r="339" spans="3:5" ht="12.75" x14ac:dyDescent="0.2">
      <c r="C339" s="2"/>
      <c r="E339" s="2"/>
    </row>
    <row r="340" spans="3:5" ht="12.75" x14ac:dyDescent="0.2">
      <c r="C340" s="2"/>
      <c r="E340" s="2"/>
    </row>
    <row r="341" spans="3:5" ht="12.75" x14ac:dyDescent="0.2">
      <c r="C341" s="2"/>
      <c r="E341" s="2"/>
    </row>
    <row r="342" spans="3:5" ht="12.75" x14ac:dyDescent="0.2">
      <c r="C342" s="2"/>
      <c r="E342" s="2"/>
    </row>
    <row r="343" spans="3:5" ht="12.75" x14ac:dyDescent="0.2">
      <c r="C343" s="2"/>
      <c r="E343" s="2"/>
    </row>
    <row r="344" spans="3:5" ht="12.75" x14ac:dyDescent="0.2">
      <c r="C344" s="2"/>
      <c r="E344" s="2"/>
    </row>
    <row r="345" spans="3:5" ht="12.75" x14ac:dyDescent="0.2">
      <c r="C345" s="2"/>
      <c r="E345" s="2"/>
    </row>
    <row r="346" spans="3:5" ht="12.75" x14ac:dyDescent="0.2">
      <c r="C346" s="2"/>
      <c r="E346" s="2"/>
    </row>
    <row r="347" spans="3:5" ht="12.75" x14ac:dyDescent="0.2">
      <c r="C347" s="2"/>
      <c r="E347" s="2"/>
    </row>
    <row r="348" spans="3:5" ht="12.75" x14ac:dyDescent="0.2">
      <c r="C348" s="2"/>
      <c r="E348" s="2"/>
    </row>
    <row r="349" spans="3:5" ht="12.75" x14ac:dyDescent="0.2">
      <c r="C349" s="2"/>
      <c r="E349" s="2"/>
    </row>
    <row r="350" spans="3:5" ht="12.75" x14ac:dyDescent="0.2">
      <c r="C350" s="2"/>
      <c r="E350" s="2"/>
    </row>
    <row r="351" spans="3:5" ht="12.75" x14ac:dyDescent="0.2">
      <c r="C351" s="2"/>
      <c r="E351" s="2"/>
    </row>
    <row r="352" spans="3:5" ht="12.75" x14ac:dyDescent="0.2">
      <c r="C352" s="2"/>
      <c r="E352" s="2"/>
    </row>
    <row r="353" spans="3:5" ht="12.75" x14ac:dyDescent="0.2">
      <c r="C353" s="2"/>
      <c r="E353" s="2"/>
    </row>
    <row r="354" spans="3:5" ht="12.75" x14ac:dyDescent="0.2">
      <c r="C354" s="2"/>
      <c r="E354" s="2"/>
    </row>
    <row r="355" spans="3:5" ht="12.75" x14ac:dyDescent="0.2">
      <c r="C355" s="2"/>
      <c r="E355" s="2"/>
    </row>
    <row r="356" spans="3:5" ht="12.75" x14ac:dyDescent="0.2">
      <c r="C356" s="2"/>
      <c r="E356" s="2"/>
    </row>
    <row r="357" spans="3:5" ht="12.75" x14ac:dyDescent="0.2">
      <c r="C357" s="2"/>
      <c r="E357" s="2"/>
    </row>
    <row r="358" spans="3:5" ht="12.75" x14ac:dyDescent="0.2">
      <c r="C358" s="2"/>
      <c r="E358" s="2"/>
    </row>
    <row r="359" spans="3:5" ht="12.75" x14ac:dyDescent="0.2">
      <c r="C359" s="2"/>
      <c r="E359" s="2"/>
    </row>
    <row r="360" spans="3:5" ht="12.75" x14ac:dyDescent="0.2">
      <c r="C360" s="2"/>
      <c r="E360" s="2"/>
    </row>
    <row r="361" spans="3:5" ht="12.75" x14ac:dyDescent="0.2">
      <c r="C361" s="2"/>
      <c r="E361" s="2"/>
    </row>
    <row r="362" spans="3:5" ht="12.75" x14ac:dyDescent="0.2">
      <c r="C362" s="2"/>
      <c r="E362" s="2"/>
    </row>
    <row r="363" spans="3:5" ht="12.75" x14ac:dyDescent="0.2">
      <c r="C363" s="2"/>
      <c r="E363" s="2"/>
    </row>
    <row r="364" spans="3:5" ht="12.75" x14ac:dyDescent="0.2">
      <c r="C364" s="2"/>
      <c r="E364" s="2"/>
    </row>
    <row r="365" spans="3:5" ht="12.75" x14ac:dyDescent="0.2">
      <c r="C365" s="2"/>
      <c r="E365" s="2"/>
    </row>
    <row r="366" spans="3:5" ht="12.75" x14ac:dyDescent="0.2">
      <c r="C366" s="2"/>
      <c r="E366" s="2"/>
    </row>
    <row r="367" spans="3:5" ht="12.75" x14ac:dyDescent="0.2">
      <c r="C367" s="2"/>
      <c r="E367" s="2"/>
    </row>
    <row r="368" spans="3:5" ht="12.75" x14ac:dyDescent="0.2">
      <c r="C368" s="2"/>
      <c r="E368" s="2"/>
    </row>
    <row r="369" spans="3:5" ht="12.75" x14ac:dyDescent="0.2">
      <c r="C369" s="2"/>
      <c r="E369" s="2"/>
    </row>
    <row r="370" spans="3:5" ht="12.75" x14ac:dyDescent="0.2">
      <c r="C370" s="2"/>
      <c r="E370" s="2"/>
    </row>
    <row r="371" spans="3:5" ht="12.75" x14ac:dyDescent="0.2">
      <c r="C371" s="2"/>
      <c r="E371" s="2"/>
    </row>
    <row r="372" spans="3:5" ht="12.75" x14ac:dyDescent="0.2">
      <c r="C372" s="2"/>
      <c r="E372" s="2"/>
    </row>
    <row r="373" spans="3:5" ht="12.75" x14ac:dyDescent="0.2">
      <c r="C373" s="2"/>
      <c r="E373" s="2"/>
    </row>
    <row r="374" spans="3:5" ht="12.75" x14ac:dyDescent="0.2">
      <c r="C374" s="2"/>
      <c r="E374" s="2"/>
    </row>
    <row r="375" spans="3:5" ht="12.75" x14ac:dyDescent="0.2">
      <c r="C375" s="2"/>
      <c r="E375" s="2"/>
    </row>
    <row r="376" spans="3:5" ht="12.75" x14ac:dyDescent="0.2">
      <c r="C376" s="2"/>
      <c r="E376" s="2"/>
    </row>
    <row r="377" spans="3:5" ht="12.75" x14ac:dyDescent="0.2">
      <c r="C377" s="2"/>
      <c r="E377" s="2"/>
    </row>
    <row r="378" spans="3:5" ht="12.75" x14ac:dyDescent="0.2">
      <c r="C378" s="2"/>
      <c r="E378" s="2"/>
    </row>
    <row r="379" spans="3:5" ht="12.75" x14ac:dyDescent="0.2">
      <c r="C379" s="2"/>
      <c r="E379" s="2"/>
    </row>
    <row r="380" spans="3:5" ht="12.75" x14ac:dyDescent="0.2">
      <c r="C380" s="2"/>
      <c r="E380" s="2"/>
    </row>
    <row r="381" spans="3:5" ht="12.75" x14ac:dyDescent="0.2">
      <c r="C381" s="2"/>
      <c r="E381" s="2"/>
    </row>
    <row r="382" spans="3:5" ht="12.75" x14ac:dyDescent="0.2">
      <c r="C382" s="2"/>
      <c r="E382" s="2"/>
    </row>
    <row r="383" spans="3:5" ht="12.75" x14ac:dyDescent="0.2">
      <c r="C383" s="2"/>
      <c r="E383" s="2"/>
    </row>
    <row r="384" spans="3:5" ht="12.75" x14ac:dyDescent="0.2">
      <c r="C384" s="2"/>
      <c r="E384" s="2"/>
    </row>
    <row r="385" spans="3:5" ht="12.75" x14ac:dyDescent="0.2">
      <c r="C385" s="2"/>
      <c r="E385" s="2"/>
    </row>
    <row r="386" spans="3:5" ht="12.75" x14ac:dyDescent="0.2">
      <c r="C386" s="2"/>
      <c r="E386" s="2"/>
    </row>
    <row r="387" spans="3:5" ht="12.75" x14ac:dyDescent="0.2">
      <c r="C387" s="2"/>
      <c r="E387" s="2"/>
    </row>
    <row r="388" spans="3:5" ht="12.75" x14ac:dyDescent="0.2">
      <c r="C388" s="2"/>
      <c r="E388" s="2"/>
    </row>
    <row r="389" spans="3:5" ht="12.75" x14ac:dyDescent="0.2">
      <c r="C389" s="2"/>
      <c r="E389" s="2"/>
    </row>
    <row r="390" spans="3:5" ht="12.75" x14ac:dyDescent="0.2">
      <c r="C390" s="2"/>
      <c r="E390" s="2"/>
    </row>
    <row r="391" spans="3:5" ht="12.75" x14ac:dyDescent="0.2">
      <c r="C391" s="2"/>
      <c r="E391" s="2"/>
    </row>
    <row r="392" spans="3:5" ht="12.75" x14ac:dyDescent="0.2">
      <c r="C392" s="2"/>
      <c r="E392" s="2"/>
    </row>
    <row r="393" spans="3:5" ht="12.75" x14ac:dyDescent="0.2">
      <c r="C393" s="2"/>
      <c r="E393" s="2"/>
    </row>
    <row r="394" spans="3:5" ht="12.75" x14ac:dyDescent="0.2">
      <c r="C394" s="2"/>
      <c r="E394" s="2"/>
    </row>
    <row r="395" spans="3:5" ht="12.75" x14ac:dyDescent="0.2">
      <c r="C395" s="2"/>
      <c r="E395" s="2"/>
    </row>
    <row r="396" spans="3:5" ht="12.75" x14ac:dyDescent="0.2">
      <c r="C396" s="2"/>
      <c r="E396" s="2"/>
    </row>
    <row r="397" spans="3:5" ht="12.75" x14ac:dyDescent="0.2">
      <c r="C397" s="2"/>
      <c r="E397" s="2"/>
    </row>
    <row r="398" spans="3:5" ht="12.75" x14ac:dyDescent="0.2">
      <c r="C398" s="2"/>
      <c r="E398" s="2"/>
    </row>
    <row r="399" spans="3:5" ht="12.75" x14ac:dyDescent="0.2">
      <c r="C399" s="2"/>
      <c r="E399" s="2"/>
    </row>
    <row r="400" spans="3:5" ht="12.75" x14ac:dyDescent="0.2">
      <c r="C400" s="2"/>
      <c r="E400" s="2"/>
    </row>
    <row r="401" spans="3:5" ht="12.75" x14ac:dyDescent="0.2">
      <c r="C401" s="2"/>
      <c r="E401" s="2"/>
    </row>
    <row r="402" spans="3:5" ht="12.75" x14ac:dyDescent="0.2">
      <c r="C402" s="2"/>
      <c r="E402" s="2"/>
    </row>
    <row r="403" spans="3:5" ht="12.75" x14ac:dyDescent="0.2">
      <c r="C403" s="2"/>
      <c r="E403" s="2"/>
    </row>
    <row r="404" spans="3:5" ht="12.75" x14ac:dyDescent="0.2">
      <c r="C404" s="2"/>
      <c r="E404" s="2"/>
    </row>
    <row r="405" spans="3:5" ht="12.75" x14ac:dyDescent="0.2">
      <c r="C405" s="2"/>
      <c r="E405" s="2"/>
    </row>
    <row r="406" spans="3:5" ht="12.75" x14ac:dyDescent="0.2">
      <c r="C406" s="2"/>
      <c r="E406" s="2"/>
    </row>
    <row r="407" spans="3:5" ht="12.75" x14ac:dyDescent="0.2">
      <c r="C407" s="2"/>
      <c r="E407" s="2"/>
    </row>
    <row r="408" spans="3:5" ht="12.75" x14ac:dyDescent="0.2">
      <c r="C408" s="2"/>
      <c r="E408" s="2"/>
    </row>
    <row r="409" spans="3:5" ht="12.75" x14ac:dyDescent="0.2">
      <c r="C409" s="2"/>
      <c r="E409" s="2"/>
    </row>
    <row r="410" spans="3:5" ht="12.75" x14ac:dyDescent="0.2">
      <c r="C410" s="2"/>
      <c r="E410" s="2"/>
    </row>
    <row r="411" spans="3:5" ht="12.75" x14ac:dyDescent="0.2">
      <c r="C411" s="2"/>
      <c r="E411" s="2"/>
    </row>
    <row r="412" spans="3:5" ht="12.75" x14ac:dyDescent="0.2">
      <c r="C412" s="2"/>
      <c r="E412" s="2"/>
    </row>
    <row r="413" spans="3:5" ht="12.75" x14ac:dyDescent="0.2">
      <c r="C413" s="2"/>
      <c r="E413" s="2"/>
    </row>
    <row r="414" spans="3:5" ht="12.75" x14ac:dyDescent="0.2">
      <c r="C414" s="2"/>
      <c r="E414" s="2"/>
    </row>
    <row r="415" spans="3:5" ht="12.75" x14ac:dyDescent="0.2">
      <c r="C415" s="2"/>
      <c r="E415" s="2"/>
    </row>
    <row r="416" spans="3:5" ht="12.75" x14ac:dyDescent="0.2">
      <c r="C416" s="2"/>
      <c r="E416" s="2"/>
    </row>
    <row r="417" spans="3:5" ht="12.75" x14ac:dyDescent="0.2">
      <c r="C417" s="2"/>
      <c r="E417" s="2"/>
    </row>
    <row r="418" spans="3:5" ht="12.75" x14ac:dyDescent="0.2">
      <c r="C418" s="2"/>
      <c r="E418" s="2"/>
    </row>
    <row r="419" spans="3:5" ht="12.75" x14ac:dyDescent="0.2">
      <c r="C419" s="2"/>
      <c r="E419" s="2"/>
    </row>
    <row r="420" spans="3:5" ht="12.75" x14ac:dyDescent="0.2">
      <c r="C420" s="2"/>
      <c r="E420" s="2"/>
    </row>
    <row r="421" spans="3:5" ht="12.75" x14ac:dyDescent="0.2">
      <c r="C421" s="2"/>
      <c r="E421" s="2"/>
    </row>
    <row r="422" spans="3:5" ht="12.75" x14ac:dyDescent="0.2">
      <c r="C422" s="2"/>
      <c r="E422" s="2"/>
    </row>
    <row r="423" spans="3:5" ht="12.75" x14ac:dyDescent="0.2">
      <c r="C423" s="2"/>
      <c r="E423" s="2"/>
    </row>
    <row r="424" spans="3:5" ht="12.75" x14ac:dyDescent="0.2">
      <c r="C424" s="2"/>
      <c r="E424" s="2"/>
    </row>
    <row r="425" spans="3:5" ht="12.75" x14ac:dyDescent="0.2">
      <c r="C425" s="2"/>
      <c r="E425" s="2"/>
    </row>
    <row r="426" spans="3:5" ht="12.75" x14ac:dyDescent="0.2">
      <c r="C426" s="2"/>
      <c r="E426" s="2"/>
    </row>
    <row r="427" spans="3:5" ht="12.75" x14ac:dyDescent="0.2">
      <c r="C427" s="2"/>
      <c r="E427" s="2"/>
    </row>
    <row r="428" spans="3:5" ht="12.75" x14ac:dyDescent="0.2">
      <c r="C428" s="2"/>
      <c r="E428" s="2"/>
    </row>
    <row r="429" spans="3:5" ht="12.75" x14ac:dyDescent="0.2">
      <c r="C429" s="2"/>
      <c r="E429" s="2"/>
    </row>
    <row r="430" spans="3:5" ht="12.75" x14ac:dyDescent="0.2">
      <c r="C430" s="2"/>
      <c r="E430" s="2"/>
    </row>
    <row r="431" spans="3:5" ht="12.75" x14ac:dyDescent="0.2">
      <c r="C431" s="2"/>
      <c r="E431" s="2"/>
    </row>
    <row r="432" spans="3:5" ht="12.75" x14ac:dyDescent="0.2">
      <c r="C432" s="2"/>
      <c r="E432" s="2"/>
    </row>
    <row r="433" spans="3:5" ht="12.75" x14ac:dyDescent="0.2">
      <c r="C433" s="2"/>
      <c r="E433" s="2"/>
    </row>
    <row r="434" spans="3:5" ht="12.75" x14ac:dyDescent="0.2">
      <c r="C434" s="2"/>
      <c r="E434" s="2"/>
    </row>
    <row r="435" spans="3:5" ht="12.75" x14ac:dyDescent="0.2">
      <c r="C435" s="2"/>
      <c r="E435" s="2"/>
    </row>
    <row r="436" spans="3:5" ht="12.75" x14ac:dyDescent="0.2">
      <c r="C436" s="2"/>
      <c r="E436" s="2"/>
    </row>
    <row r="437" spans="3:5" ht="12.75" x14ac:dyDescent="0.2">
      <c r="C437" s="2"/>
      <c r="E437" s="2"/>
    </row>
    <row r="438" spans="3:5" ht="12.75" x14ac:dyDescent="0.2">
      <c r="C438" s="2"/>
      <c r="E438" s="2"/>
    </row>
    <row r="439" spans="3:5" ht="12.75" x14ac:dyDescent="0.2">
      <c r="C439" s="2"/>
      <c r="E439" s="2"/>
    </row>
    <row r="440" spans="3:5" ht="12.75" x14ac:dyDescent="0.2">
      <c r="C440" s="2"/>
      <c r="E440" s="2"/>
    </row>
    <row r="441" spans="3:5" ht="12.75" x14ac:dyDescent="0.2">
      <c r="C441" s="2"/>
      <c r="E441" s="2"/>
    </row>
    <row r="442" spans="3:5" ht="12.75" x14ac:dyDescent="0.2">
      <c r="C442" s="2"/>
      <c r="E442" s="2"/>
    </row>
    <row r="443" spans="3:5" ht="12.75" x14ac:dyDescent="0.2">
      <c r="C443" s="2"/>
      <c r="E443" s="2"/>
    </row>
    <row r="444" spans="3:5" ht="12.75" x14ac:dyDescent="0.2">
      <c r="C444" s="2"/>
      <c r="E444" s="2"/>
    </row>
    <row r="445" spans="3:5" ht="12.75" x14ac:dyDescent="0.2">
      <c r="C445" s="2"/>
      <c r="E445" s="2"/>
    </row>
    <row r="446" spans="3:5" ht="12.75" x14ac:dyDescent="0.2">
      <c r="C446" s="2"/>
      <c r="E446" s="2"/>
    </row>
    <row r="447" spans="3:5" ht="12.75" x14ac:dyDescent="0.2">
      <c r="C447" s="2"/>
      <c r="E447" s="2"/>
    </row>
    <row r="448" spans="3:5" ht="12.75" x14ac:dyDescent="0.2">
      <c r="C448" s="2"/>
      <c r="E448" s="2"/>
    </row>
    <row r="449" spans="3:5" ht="12.75" x14ac:dyDescent="0.2">
      <c r="C449" s="2"/>
      <c r="E449" s="2"/>
    </row>
    <row r="450" spans="3:5" ht="12.75" x14ac:dyDescent="0.2">
      <c r="C450" s="2"/>
      <c r="E450" s="2"/>
    </row>
    <row r="451" spans="3:5" ht="12.75" x14ac:dyDescent="0.2">
      <c r="C451" s="2"/>
      <c r="E451" s="2"/>
    </row>
    <row r="452" spans="3:5" ht="12.75" x14ac:dyDescent="0.2">
      <c r="C452" s="2"/>
      <c r="E452" s="2"/>
    </row>
    <row r="453" spans="3:5" ht="12.75" x14ac:dyDescent="0.2">
      <c r="C453" s="2"/>
      <c r="E453" s="2"/>
    </row>
    <row r="454" spans="3:5" ht="12.75" x14ac:dyDescent="0.2">
      <c r="C454" s="2"/>
      <c r="E454" s="2"/>
    </row>
    <row r="455" spans="3:5" ht="12.75" x14ac:dyDescent="0.2">
      <c r="C455" s="2"/>
      <c r="E455" s="2"/>
    </row>
    <row r="456" spans="3:5" ht="12.75" x14ac:dyDescent="0.2">
      <c r="C456" s="2"/>
      <c r="E456" s="2"/>
    </row>
    <row r="457" spans="3:5" ht="12.75" x14ac:dyDescent="0.2">
      <c r="C457" s="2"/>
      <c r="E457" s="2"/>
    </row>
    <row r="458" spans="3:5" ht="12.75" x14ac:dyDescent="0.2">
      <c r="C458" s="2"/>
      <c r="E458" s="2"/>
    </row>
    <row r="459" spans="3:5" ht="12.75" x14ac:dyDescent="0.2">
      <c r="C459" s="2"/>
      <c r="E459" s="2"/>
    </row>
    <row r="460" spans="3:5" ht="12.75" x14ac:dyDescent="0.2">
      <c r="C460" s="2"/>
      <c r="E460" s="2"/>
    </row>
    <row r="461" spans="3:5" ht="12.75" x14ac:dyDescent="0.2">
      <c r="C461" s="2"/>
      <c r="E461" s="2"/>
    </row>
    <row r="462" spans="3:5" ht="12.75" x14ac:dyDescent="0.2">
      <c r="C462" s="2"/>
      <c r="E462" s="2"/>
    </row>
    <row r="463" spans="3:5" ht="12.75" x14ac:dyDescent="0.2">
      <c r="C463" s="2"/>
      <c r="E463" s="2"/>
    </row>
    <row r="464" spans="3:5" ht="12.75" x14ac:dyDescent="0.2">
      <c r="C464" s="2"/>
      <c r="E464" s="2"/>
    </row>
    <row r="465" spans="3:5" ht="12.75" x14ac:dyDescent="0.2">
      <c r="C465" s="2"/>
      <c r="E465" s="2"/>
    </row>
    <row r="466" spans="3:5" ht="12.75" x14ac:dyDescent="0.2">
      <c r="C466" s="2"/>
      <c r="E466" s="2"/>
    </row>
    <row r="467" spans="3:5" ht="12.75" x14ac:dyDescent="0.2">
      <c r="C467" s="2"/>
      <c r="E467" s="2"/>
    </row>
    <row r="468" spans="3:5" ht="12.75" x14ac:dyDescent="0.2">
      <c r="C468" s="2"/>
      <c r="E468" s="2"/>
    </row>
    <row r="469" spans="3:5" ht="12.75" x14ac:dyDescent="0.2">
      <c r="C469" s="2"/>
      <c r="E469" s="2"/>
    </row>
    <row r="470" spans="3:5" ht="12.75" x14ac:dyDescent="0.2">
      <c r="C470" s="2"/>
      <c r="E470" s="2"/>
    </row>
    <row r="471" spans="3:5" ht="12.75" x14ac:dyDescent="0.2">
      <c r="C471" s="2"/>
      <c r="E471" s="2"/>
    </row>
    <row r="472" spans="3:5" ht="12.75" x14ac:dyDescent="0.2">
      <c r="C472" s="2"/>
      <c r="E472" s="2"/>
    </row>
    <row r="473" spans="3:5" ht="12.75" x14ac:dyDescent="0.2">
      <c r="C473" s="2"/>
      <c r="E473" s="2"/>
    </row>
    <row r="474" spans="3:5" ht="12.75" x14ac:dyDescent="0.2">
      <c r="C474" s="2"/>
      <c r="E474" s="2"/>
    </row>
    <row r="475" spans="3:5" ht="12.75" x14ac:dyDescent="0.2">
      <c r="C475" s="2"/>
      <c r="E475" s="2"/>
    </row>
    <row r="476" spans="3:5" ht="12.75" x14ac:dyDescent="0.2">
      <c r="C476" s="2"/>
      <c r="E476" s="2"/>
    </row>
    <row r="477" spans="3:5" ht="12.75" x14ac:dyDescent="0.2">
      <c r="C477" s="2"/>
      <c r="E477" s="2"/>
    </row>
    <row r="478" spans="3:5" ht="12.75" x14ac:dyDescent="0.2">
      <c r="C478" s="2"/>
      <c r="E478" s="2"/>
    </row>
    <row r="479" spans="3:5" ht="12.75" x14ac:dyDescent="0.2">
      <c r="C479" s="2"/>
      <c r="E479" s="2"/>
    </row>
    <row r="480" spans="3:5" ht="12.75" x14ac:dyDescent="0.2">
      <c r="C480" s="2"/>
      <c r="E480" s="2"/>
    </row>
    <row r="481" spans="3:5" ht="12.75" x14ac:dyDescent="0.2">
      <c r="C481" s="2"/>
      <c r="E481" s="2"/>
    </row>
    <row r="482" spans="3:5" ht="12.75" x14ac:dyDescent="0.2">
      <c r="C482" s="2"/>
      <c r="E482" s="2"/>
    </row>
    <row r="483" spans="3:5" ht="12.75" x14ac:dyDescent="0.2">
      <c r="C483" s="2"/>
      <c r="E483" s="2"/>
    </row>
    <row r="484" spans="3:5" ht="12.75" x14ac:dyDescent="0.2">
      <c r="C484" s="2"/>
      <c r="E484" s="2"/>
    </row>
    <row r="485" spans="3:5" ht="12.75" x14ac:dyDescent="0.2">
      <c r="C485" s="2"/>
      <c r="E485" s="2"/>
    </row>
    <row r="486" spans="3:5" ht="12.75" x14ac:dyDescent="0.2">
      <c r="C486" s="2"/>
      <c r="E486" s="2"/>
    </row>
    <row r="487" spans="3:5" ht="12.75" x14ac:dyDescent="0.2">
      <c r="C487" s="2"/>
      <c r="E487" s="2"/>
    </row>
    <row r="488" spans="3:5" ht="12.75" x14ac:dyDescent="0.2">
      <c r="C488" s="2"/>
      <c r="E488" s="2"/>
    </row>
    <row r="489" spans="3:5" ht="12.75" x14ac:dyDescent="0.2">
      <c r="C489" s="2"/>
      <c r="E489" s="2"/>
    </row>
    <row r="490" spans="3:5" ht="12.75" x14ac:dyDescent="0.2">
      <c r="C490" s="2"/>
      <c r="E490" s="2"/>
    </row>
    <row r="491" spans="3:5" ht="12.75" x14ac:dyDescent="0.2">
      <c r="C491" s="2"/>
      <c r="E491" s="2"/>
    </row>
    <row r="492" spans="3:5" ht="12.75" x14ac:dyDescent="0.2">
      <c r="C492" s="2"/>
      <c r="E492" s="2"/>
    </row>
    <row r="493" spans="3:5" ht="12.75" x14ac:dyDescent="0.2">
      <c r="C493" s="2"/>
      <c r="E493" s="2"/>
    </row>
    <row r="494" spans="3:5" ht="12.75" x14ac:dyDescent="0.2">
      <c r="C494" s="2"/>
      <c r="E494" s="2"/>
    </row>
    <row r="495" spans="3:5" ht="12.75" x14ac:dyDescent="0.2">
      <c r="C495" s="2"/>
      <c r="E495" s="2"/>
    </row>
    <row r="496" spans="3:5" ht="12.75" x14ac:dyDescent="0.2">
      <c r="C496" s="2"/>
      <c r="E496" s="2"/>
    </row>
    <row r="497" spans="3:5" ht="12.75" x14ac:dyDescent="0.2">
      <c r="C497" s="2"/>
      <c r="E497" s="2"/>
    </row>
    <row r="498" spans="3:5" ht="12.75" x14ac:dyDescent="0.2">
      <c r="C498" s="2"/>
      <c r="E498" s="2"/>
    </row>
    <row r="499" spans="3:5" ht="12.75" x14ac:dyDescent="0.2">
      <c r="C499" s="2"/>
      <c r="E499" s="2"/>
    </row>
    <row r="500" spans="3:5" ht="12.75" x14ac:dyDescent="0.2">
      <c r="C500" s="2"/>
      <c r="E500" s="2"/>
    </row>
    <row r="501" spans="3:5" ht="12.75" x14ac:dyDescent="0.2">
      <c r="C501" s="2"/>
      <c r="E501" s="2"/>
    </row>
    <row r="502" spans="3:5" ht="12.75" x14ac:dyDescent="0.2">
      <c r="C502" s="2"/>
      <c r="E502" s="2"/>
    </row>
    <row r="503" spans="3:5" ht="12.75" x14ac:dyDescent="0.2">
      <c r="C503" s="2"/>
      <c r="E503" s="2"/>
    </row>
    <row r="504" spans="3:5" ht="12.75" x14ac:dyDescent="0.2">
      <c r="C504" s="2"/>
      <c r="E504" s="2"/>
    </row>
    <row r="505" spans="3:5" ht="12.75" x14ac:dyDescent="0.2">
      <c r="C505" s="2"/>
      <c r="E505" s="2"/>
    </row>
    <row r="506" spans="3:5" ht="12.75" x14ac:dyDescent="0.2">
      <c r="C506" s="2"/>
      <c r="E506" s="2"/>
    </row>
    <row r="507" spans="3:5" ht="12.75" x14ac:dyDescent="0.2">
      <c r="C507" s="2"/>
      <c r="E507" s="2"/>
    </row>
    <row r="508" spans="3:5" ht="12.75" x14ac:dyDescent="0.2">
      <c r="C508" s="2"/>
      <c r="E508" s="2"/>
    </row>
    <row r="509" spans="3:5" ht="12.75" x14ac:dyDescent="0.2">
      <c r="C509" s="2"/>
      <c r="E509" s="2"/>
    </row>
    <row r="510" spans="3:5" ht="12.75" x14ac:dyDescent="0.2">
      <c r="C510" s="2"/>
      <c r="E510" s="2"/>
    </row>
    <row r="511" spans="3:5" ht="12.75" x14ac:dyDescent="0.2">
      <c r="C511" s="2"/>
      <c r="E511" s="2"/>
    </row>
    <row r="512" spans="3:5" ht="12.75" x14ac:dyDescent="0.2">
      <c r="C512" s="2"/>
      <c r="E512" s="2"/>
    </row>
    <row r="513" spans="3:5" ht="12.75" x14ac:dyDescent="0.2">
      <c r="C513" s="2"/>
      <c r="E513" s="2"/>
    </row>
    <row r="514" spans="3:5" ht="12.75" x14ac:dyDescent="0.2">
      <c r="C514" s="2"/>
      <c r="E514" s="2"/>
    </row>
    <row r="515" spans="3:5" ht="12.75" x14ac:dyDescent="0.2">
      <c r="C515" s="2"/>
      <c r="E515" s="2"/>
    </row>
    <row r="516" spans="3:5" ht="12.75" x14ac:dyDescent="0.2">
      <c r="C516" s="2"/>
      <c r="E516" s="2"/>
    </row>
    <row r="517" spans="3:5" ht="12.75" x14ac:dyDescent="0.2">
      <c r="C517" s="2"/>
      <c r="E517" s="2"/>
    </row>
    <row r="518" spans="3:5" ht="12.75" x14ac:dyDescent="0.2">
      <c r="C518" s="2"/>
      <c r="E518" s="2"/>
    </row>
    <row r="519" spans="3:5" ht="12.75" x14ac:dyDescent="0.2">
      <c r="C519" s="2"/>
      <c r="E519" s="2"/>
    </row>
    <row r="520" spans="3:5" ht="12.75" x14ac:dyDescent="0.2">
      <c r="C520" s="2"/>
      <c r="E520" s="2"/>
    </row>
    <row r="521" spans="3:5" ht="12.75" x14ac:dyDescent="0.2">
      <c r="C521" s="2"/>
      <c r="E521" s="2"/>
    </row>
    <row r="522" spans="3:5" ht="12.75" x14ac:dyDescent="0.2">
      <c r="C522" s="2"/>
      <c r="E522" s="2"/>
    </row>
    <row r="523" spans="3:5" ht="12.75" x14ac:dyDescent="0.2">
      <c r="C523" s="2"/>
      <c r="E523" s="2"/>
    </row>
    <row r="524" spans="3:5" ht="12.75" x14ac:dyDescent="0.2">
      <c r="C524" s="2"/>
      <c r="E524" s="2"/>
    </row>
    <row r="525" spans="3:5" ht="12.75" x14ac:dyDescent="0.2">
      <c r="C525" s="2"/>
      <c r="E525" s="2"/>
    </row>
    <row r="526" spans="3:5" ht="12.75" x14ac:dyDescent="0.2">
      <c r="C526" s="2"/>
      <c r="E526" s="2"/>
    </row>
    <row r="527" spans="3:5" ht="12.75" x14ac:dyDescent="0.2">
      <c r="C527" s="2"/>
      <c r="E527" s="2"/>
    </row>
    <row r="528" spans="3:5" ht="12.75" x14ac:dyDescent="0.2">
      <c r="C528" s="2"/>
      <c r="E528" s="2"/>
    </row>
    <row r="529" spans="3:5" ht="12.75" x14ac:dyDescent="0.2">
      <c r="C529" s="2"/>
      <c r="E529" s="2"/>
    </row>
    <row r="530" spans="3:5" ht="12.75" x14ac:dyDescent="0.2">
      <c r="C530" s="2"/>
      <c r="E530" s="2"/>
    </row>
    <row r="531" spans="3:5" ht="12.75" x14ac:dyDescent="0.2">
      <c r="C531" s="2"/>
      <c r="E531" s="2"/>
    </row>
    <row r="532" spans="3:5" ht="12.75" x14ac:dyDescent="0.2">
      <c r="C532" s="2"/>
      <c r="E532" s="2"/>
    </row>
    <row r="533" spans="3:5" ht="12.75" x14ac:dyDescent="0.2">
      <c r="C533" s="2"/>
      <c r="E533" s="2"/>
    </row>
    <row r="534" spans="3:5" ht="12.75" x14ac:dyDescent="0.2">
      <c r="C534" s="2"/>
      <c r="E534" s="2"/>
    </row>
    <row r="535" spans="3:5" ht="12.75" x14ac:dyDescent="0.2">
      <c r="C535" s="2"/>
      <c r="E535" s="2"/>
    </row>
    <row r="536" spans="3:5" ht="12.75" x14ac:dyDescent="0.2">
      <c r="C536" s="2"/>
      <c r="E536" s="2"/>
    </row>
    <row r="537" spans="3:5" ht="12.75" x14ac:dyDescent="0.2">
      <c r="C537" s="2"/>
      <c r="E537" s="2"/>
    </row>
    <row r="538" spans="3:5" ht="12.75" x14ac:dyDescent="0.2">
      <c r="C538" s="2"/>
      <c r="E538" s="2"/>
    </row>
    <row r="539" spans="3:5" ht="12.75" x14ac:dyDescent="0.2">
      <c r="C539" s="2"/>
      <c r="E539" s="2"/>
    </row>
    <row r="540" spans="3:5" ht="12.75" x14ac:dyDescent="0.2">
      <c r="C540" s="2"/>
      <c r="E540" s="2"/>
    </row>
    <row r="541" spans="3:5" ht="12.75" x14ac:dyDescent="0.2">
      <c r="C541" s="2"/>
      <c r="E541" s="2"/>
    </row>
    <row r="542" spans="3:5" ht="12.75" x14ac:dyDescent="0.2">
      <c r="C542" s="2"/>
      <c r="E542" s="2"/>
    </row>
    <row r="543" spans="3:5" ht="12.75" x14ac:dyDescent="0.2">
      <c r="C543" s="2"/>
      <c r="E543" s="2"/>
    </row>
    <row r="544" spans="3:5" ht="12.75" x14ac:dyDescent="0.2">
      <c r="C544" s="2"/>
      <c r="E544" s="2"/>
    </row>
    <row r="545" spans="3:5" ht="12.75" x14ac:dyDescent="0.2">
      <c r="C545" s="2"/>
      <c r="E545" s="2"/>
    </row>
    <row r="546" spans="3:5" ht="12.75" x14ac:dyDescent="0.2">
      <c r="C546" s="2"/>
      <c r="E546" s="2"/>
    </row>
    <row r="547" spans="3:5" ht="12.75" x14ac:dyDescent="0.2">
      <c r="C547" s="2"/>
      <c r="E547" s="2"/>
    </row>
    <row r="548" spans="3:5" ht="12.75" x14ac:dyDescent="0.2">
      <c r="C548" s="2"/>
      <c r="E548" s="2"/>
    </row>
    <row r="549" spans="3:5" ht="12.75" x14ac:dyDescent="0.2">
      <c r="C549" s="2"/>
      <c r="E549" s="2"/>
    </row>
    <row r="550" spans="3:5" ht="12.75" x14ac:dyDescent="0.2">
      <c r="C550" s="2"/>
      <c r="E550" s="2"/>
    </row>
    <row r="551" spans="3:5" ht="12.75" x14ac:dyDescent="0.2">
      <c r="C551" s="2"/>
      <c r="E551" s="2"/>
    </row>
    <row r="552" spans="3:5" ht="12.75" x14ac:dyDescent="0.2">
      <c r="C552" s="2"/>
      <c r="E552" s="2"/>
    </row>
    <row r="553" spans="3:5" ht="12.75" x14ac:dyDescent="0.2">
      <c r="C553" s="2"/>
      <c r="E553" s="2"/>
    </row>
    <row r="554" spans="3:5" ht="12.75" x14ac:dyDescent="0.2">
      <c r="C554" s="2"/>
      <c r="E554" s="2"/>
    </row>
    <row r="555" spans="3:5" ht="12.75" x14ac:dyDescent="0.2">
      <c r="C555" s="2"/>
      <c r="E555" s="2"/>
    </row>
    <row r="556" spans="3:5" ht="12.75" x14ac:dyDescent="0.2">
      <c r="C556" s="2"/>
      <c r="E556" s="2"/>
    </row>
    <row r="557" spans="3:5" ht="12.75" x14ac:dyDescent="0.2">
      <c r="C557" s="2"/>
      <c r="E557" s="2"/>
    </row>
    <row r="558" spans="3:5" ht="12.75" x14ac:dyDescent="0.2">
      <c r="C558" s="2"/>
      <c r="E558" s="2"/>
    </row>
    <row r="559" spans="3:5" ht="12.75" x14ac:dyDescent="0.2">
      <c r="C559" s="2"/>
      <c r="E559" s="2"/>
    </row>
    <row r="560" spans="3:5" ht="12.75" x14ac:dyDescent="0.2">
      <c r="C560" s="2"/>
      <c r="E560" s="2"/>
    </row>
    <row r="561" spans="3:5" ht="12.75" x14ac:dyDescent="0.2">
      <c r="C561" s="2"/>
      <c r="E561" s="2"/>
    </row>
    <row r="562" spans="3:5" ht="12.75" x14ac:dyDescent="0.2">
      <c r="C562" s="2"/>
      <c r="E562" s="2"/>
    </row>
    <row r="563" spans="3:5" ht="12.75" x14ac:dyDescent="0.2">
      <c r="C563" s="2"/>
      <c r="E563" s="2"/>
    </row>
    <row r="564" spans="3:5" ht="12.75" x14ac:dyDescent="0.2">
      <c r="C564" s="2"/>
      <c r="E564" s="2"/>
    </row>
    <row r="565" spans="3:5" ht="12.75" x14ac:dyDescent="0.2">
      <c r="C565" s="2"/>
      <c r="E565" s="2"/>
    </row>
    <row r="566" spans="3:5" ht="12.75" x14ac:dyDescent="0.2">
      <c r="C566" s="2"/>
      <c r="E566" s="2"/>
    </row>
    <row r="567" spans="3:5" ht="12.75" x14ac:dyDescent="0.2">
      <c r="C567" s="2"/>
      <c r="E567" s="2"/>
    </row>
    <row r="568" spans="3:5" ht="12.75" x14ac:dyDescent="0.2">
      <c r="C568" s="2"/>
      <c r="E568" s="2"/>
    </row>
    <row r="569" spans="3:5" ht="12.75" x14ac:dyDescent="0.2">
      <c r="C569" s="2"/>
      <c r="E569" s="2"/>
    </row>
    <row r="570" spans="3:5" ht="12.75" x14ac:dyDescent="0.2">
      <c r="C570" s="2"/>
      <c r="E570" s="2"/>
    </row>
    <row r="571" spans="3:5" ht="12.75" x14ac:dyDescent="0.2">
      <c r="C571" s="2"/>
      <c r="E571" s="2"/>
    </row>
    <row r="572" spans="3:5" ht="12.75" x14ac:dyDescent="0.2">
      <c r="C572" s="2"/>
      <c r="E572" s="2"/>
    </row>
    <row r="573" spans="3:5" ht="12.75" x14ac:dyDescent="0.2">
      <c r="C573" s="2"/>
      <c r="E573" s="2"/>
    </row>
    <row r="574" spans="3:5" ht="12.75" x14ac:dyDescent="0.2">
      <c r="C574" s="2"/>
      <c r="E574" s="2"/>
    </row>
    <row r="575" spans="3:5" ht="12.75" x14ac:dyDescent="0.2">
      <c r="C575" s="2"/>
      <c r="E575" s="2"/>
    </row>
    <row r="576" spans="3:5" ht="12.75" x14ac:dyDescent="0.2">
      <c r="C576" s="2"/>
      <c r="E576" s="2"/>
    </row>
    <row r="577" spans="3:5" ht="12.75" x14ac:dyDescent="0.2">
      <c r="C577" s="2"/>
      <c r="E577" s="2"/>
    </row>
    <row r="578" spans="3:5" ht="12.75" x14ac:dyDescent="0.2">
      <c r="C578" s="2"/>
      <c r="E578" s="2"/>
    </row>
    <row r="579" spans="3:5" ht="12.75" x14ac:dyDescent="0.2">
      <c r="C579" s="2"/>
      <c r="E579" s="2"/>
    </row>
    <row r="580" spans="3:5" ht="12.75" x14ac:dyDescent="0.2">
      <c r="C580" s="2"/>
      <c r="E580" s="2"/>
    </row>
    <row r="581" spans="3:5" ht="12.75" x14ac:dyDescent="0.2">
      <c r="C581" s="2"/>
      <c r="E581" s="2"/>
    </row>
    <row r="582" spans="3:5" ht="12.75" x14ac:dyDescent="0.2">
      <c r="C582" s="2"/>
      <c r="E582" s="2"/>
    </row>
    <row r="583" spans="3:5" ht="12.75" x14ac:dyDescent="0.2">
      <c r="C583" s="2"/>
      <c r="E583" s="2"/>
    </row>
    <row r="584" spans="3:5" ht="12.75" x14ac:dyDescent="0.2">
      <c r="C584" s="2"/>
      <c r="E584" s="2"/>
    </row>
    <row r="585" spans="3:5" ht="12.75" x14ac:dyDescent="0.2">
      <c r="C585" s="2"/>
      <c r="E585" s="2"/>
    </row>
    <row r="586" spans="3:5" ht="12.75" x14ac:dyDescent="0.2">
      <c r="C586" s="2"/>
      <c r="E586" s="2"/>
    </row>
    <row r="587" spans="3:5" ht="12.75" x14ac:dyDescent="0.2">
      <c r="C587" s="2"/>
      <c r="E587" s="2"/>
    </row>
    <row r="588" spans="3:5" ht="12.75" x14ac:dyDescent="0.2">
      <c r="C588" s="2"/>
      <c r="E588" s="2"/>
    </row>
    <row r="589" spans="3:5" ht="12.75" x14ac:dyDescent="0.2">
      <c r="C589" s="2"/>
      <c r="E589" s="2"/>
    </row>
    <row r="590" spans="3:5" ht="12.75" x14ac:dyDescent="0.2">
      <c r="C590" s="2"/>
      <c r="E590" s="2"/>
    </row>
    <row r="591" spans="3:5" ht="12.75" x14ac:dyDescent="0.2">
      <c r="C591" s="2"/>
      <c r="E591" s="2"/>
    </row>
    <row r="592" spans="3:5" ht="12.75" x14ac:dyDescent="0.2">
      <c r="C592" s="2"/>
      <c r="E592" s="2"/>
    </row>
    <row r="593" spans="3:5" ht="12.75" x14ac:dyDescent="0.2">
      <c r="C593" s="2"/>
      <c r="E593" s="2"/>
    </row>
    <row r="594" spans="3:5" ht="12.75" x14ac:dyDescent="0.2">
      <c r="C594" s="2"/>
      <c r="E594" s="2"/>
    </row>
    <row r="595" spans="3:5" ht="12.75" x14ac:dyDescent="0.2">
      <c r="C595" s="2"/>
      <c r="E595" s="2"/>
    </row>
    <row r="596" spans="3:5" ht="12.75" x14ac:dyDescent="0.2">
      <c r="C596" s="2"/>
      <c r="E596" s="2"/>
    </row>
    <row r="597" spans="3:5" ht="12.75" x14ac:dyDescent="0.2">
      <c r="C597" s="2"/>
      <c r="E597" s="2"/>
    </row>
    <row r="598" spans="3:5" ht="12.75" x14ac:dyDescent="0.2">
      <c r="C598" s="2"/>
      <c r="E598" s="2"/>
    </row>
    <row r="599" spans="3:5" ht="12.75" x14ac:dyDescent="0.2">
      <c r="C599" s="2"/>
      <c r="E599" s="2"/>
    </row>
    <row r="600" spans="3:5" ht="12.75" x14ac:dyDescent="0.2">
      <c r="C600" s="2"/>
      <c r="E600" s="2"/>
    </row>
    <row r="601" spans="3:5" ht="12.75" x14ac:dyDescent="0.2">
      <c r="C601" s="2"/>
      <c r="E601" s="2"/>
    </row>
    <row r="602" spans="3:5" ht="12.75" x14ac:dyDescent="0.2">
      <c r="C602" s="2"/>
      <c r="E602" s="2"/>
    </row>
    <row r="603" spans="3:5" ht="12.75" x14ac:dyDescent="0.2">
      <c r="C603" s="2"/>
      <c r="E603" s="2"/>
    </row>
    <row r="604" spans="3:5" ht="12.75" x14ac:dyDescent="0.2">
      <c r="C604" s="2"/>
      <c r="E604" s="2"/>
    </row>
    <row r="605" spans="3:5" ht="12.75" x14ac:dyDescent="0.2">
      <c r="C605" s="2"/>
      <c r="E605" s="2"/>
    </row>
    <row r="606" spans="3:5" ht="12.75" x14ac:dyDescent="0.2">
      <c r="C606" s="2"/>
      <c r="E606" s="2"/>
    </row>
    <row r="607" spans="3:5" ht="12.75" x14ac:dyDescent="0.2">
      <c r="C607" s="2"/>
      <c r="E607" s="2"/>
    </row>
    <row r="608" spans="3:5" ht="12.75" x14ac:dyDescent="0.2">
      <c r="C608" s="2"/>
      <c r="E608" s="2"/>
    </row>
    <row r="609" spans="3:5" ht="12.75" x14ac:dyDescent="0.2">
      <c r="C609" s="2"/>
      <c r="E609" s="2"/>
    </row>
    <row r="610" spans="3:5" ht="12.75" x14ac:dyDescent="0.2">
      <c r="C610" s="2"/>
      <c r="E610" s="2"/>
    </row>
    <row r="611" spans="3:5" ht="12.75" x14ac:dyDescent="0.2">
      <c r="C611" s="2"/>
      <c r="E611" s="2"/>
    </row>
    <row r="612" spans="3:5" ht="12.75" x14ac:dyDescent="0.2">
      <c r="C612" s="2"/>
      <c r="E612" s="2"/>
    </row>
    <row r="613" spans="3:5" ht="12.75" x14ac:dyDescent="0.2">
      <c r="C613" s="2"/>
      <c r="E613" s="2"/>
    </row>
    <row r="614" spans="3:5" ht="12.75" x14ac:dyDescent="0.2">
      <c r="C614" s="2"/>
      <c r="E614" s="2"/>
    </row>
    <row r="615" spans="3:5" ht="12.75" x14ac:dyDescent="0.2">
      <c r="C615" s="2"/>
      <c r="E615" s="2"/>
    </row>
    <row r="616" spans="3:5" ht="12.75" x14ac:dyDescent="0.2">
      <c r="C616" s="2"/>
      <c r="E616" s="2"/>
    </row>
    <row r="617" spans="3:5" ht="12.75" x14ac:dyDescent="0.2">
      <c r="C617" s="2"/>
      <c r="E617" s="2"/>
    </row>
    <row r="618" spans="3:5" ht="12.75" x14ac:dyDescent="0.2">
      <c r="C618" s="2"/>
      <c r="E618" s="2"/>
    </row>
    <row r="619" spans="3:5" ht="12.75" x14ac:dyDescent="0.2">
      <c r="C619" s="2"/>
      <c r="E619" s="2"/>
    </row>
    <row r="620" spans="3:5" ht="12.75" x14ac:dyDescent="0.2">
      <c r="C620" s="2"/>
      <c r="E620" s="2"/>
    </row>
    <row r="621" spans="3:5" ht="12.75" x14ac:dyDescent="0.2">
      <c r="C621" s="2"/>
      <c r="E621" s="2"/>
    </row>
    <row r="622" spans="3:5" ht="12.75" x14ac:dyDescent="0.2">
      <c r="C622" s="2"/>
      <c r="E622" s="2"/>
    </row>
    <row r="623" spans="3:5" ht="12.75" x14ac:dyDescent="0.2">
      <c r="C623" s="2"/>
      <c r="E623" s="2"/>
    </row>
    <row r="624" spans="3:5" ht="12.75" x14ac:dyDescent="0.2">
      <c r="C624" s="2"/>
      <c r="E624" s="2"/>
    </row>
    <row r="625" spans="3:5" ht="12.75" x14ac:dyDescent="0.2">
      <c r="C625" s="2"/>
      <c r="E625" s="2"/>
    </row>
    <row r="626" spans="3:5" ht="12.75" x14ac:dyDescent="0.2">
      <c r="C626" s="2"/>
      <c r="E626" s="2"/>
    </row>
    <row r="627" spans="3:5" ht="12.75" x14ac:dyDescent="0.2">
      <c r="C627" s="2"/>
      <c r="E627" s="2"/>
    </row>
    <row r="628" spans="3:5" ht="12.75" x14ac:dyDescent="0.2">
      <c r="C628" s="2"/>
      <c r="E628" s="2"/>
    </row>
    <row r="629" spans="3:5" ht="12.75" x14ac:dyDescent="0.2">
      <c r="C629" s="2"/>
      <c r="E629" s="2"/>
    </row>
    <row r="630" spans="3:5" ht="12.75" x14ac:dyDescent="0.2">
      <c r="C630" s="2"/>
      <c r="E630" s="2"/>
    </row>
    <row r="631" spans="3:5" ht="12.75" x14ac:dyDescent="0.2">
      <c r="C631" s="2"/>
      <c r="E631" s="2"/>
    </row>
    <row r="632" spans="3:5" ht="12.75" x14ac:dyDescent="0.2">
      <c r="C632" s="2"/>
      <c r="E632" s="2"/>
    </row>
    <row r="633" spans="3:5" ht="12.75" x14ac:dyDescent="0.2">
      <c r="C633" s="2"/>
      <c r="E633" s="2"/>
    </row>
    <row r="634" spans="3:5" ht="12.75" x14ac:dyDescent="0.2">
      <c r="C634" s="2"/>
      <c r="E634" s="2"/>
    </row>
    <row r="635" spans="3:5" ht="12.75" x14ac:dyDescent="0.2">
      <c r="C635" s="2"/>
      <c r="E635" s="2"/>
    </row>
    <row r="636" spans="3:5" ht="12.75" x14ac:dyDescent="0.2">
      <c r="C636" s="2"/>
      <c r="E636" s="2"/>
    </row>
    <row r="637" spans="3:5" ht="12.75" x14ac:dyDescent="0.2">
      <c r="C637" s="2"/>
      <c r="E637" s="2"/>
    </row>
    <row r="638" spans="3:5" ht="12.75" x14ac:dyDescent="0.2">
      <c r="C638" s="2"/>
      <c r="E638" s="2"/>
    </row>
    <row r="639" spans="3:5" ht="12.75" x14ac:dyDescent="0.2">
      <c r="C639" s="2"/>
      <c r="E639" s="2"/>
    </row>
    <row r="640" spans="3:5" ht="12.75" x14ac:dyDescent="0.2">
      <c r="C640" s="2"/>
      <c r="E640" s="2"/>
    </row>
    <row r="641" spans="3:5" ht="12.75" x14ac:dyDescent="0.2">
      <c r="C641" s="2"/>
      <c r="E641" s="2"/>
    </row>
    <row r="642" spans="3:5" ht="12.75" x14ac:dyDescent="0.2">
      <c r="C642" s="2"/>
      <c r="E642" s="2"/>
    </row>
    <row r="643" spans="3:5" ht="12.75" x14ac:dyDescent="0.2">
      <c r="C643" s="2"/>
      <c r="E643" s="2"/>
    </row>
    <row r="644" spans="3:5" ht="12.75" x14ac:dyDescent="0.2">
      <c r="C644" s="2"/>
      <c r="E644" s="2"/>
    </row>
    <row r="645" spans="3:5" ht="12.75" x14ac:dyDescent="0.2">
      <c r="C645" s="2"/>
      <c r="E645" s="2"/>
    </row>
    <row r="646" spans="3:5" ht="12.75" x14ac:dyDescent="0.2">
      <c r="C646" s="2"/>
      <c r="E646" s="2"/>
    </row>
    <row r="647" spans="3:5" ht="12.75" x14ac:dyDescent="0.2">
      <c r="C647" s="2"/>
      <c r="E647" s="2"/>
    </row>
    <row r="648" spans="3:5" ht="12.75" x14ac:dyDescent="0.2">
      <c r="C648" s="2"/>
      <c r="E648" s="2"/>
    </row>
    <row r="649" spans="3:5" ht="12.75" x14ac:dyDescent="0.2">
      <c r="C649" s="2"/>
      <c r="E649" s="2"/>
    </row>
    <row r="650" spans="3:5" ht="12.75" x14ac:dyDescent="0.2">
      <c r="C650" s="2"/>
      <c r="E650" s="2"/>
    </row>
    <row r="651" spans="3:5" ht="12.75" x14ac:dyDescent="0.2">
      <c r="C651" s="2"/>
      <c r="E651" s="2"/>
    </row>
    <row r="652" spans="3:5" ht="12.75" x14ac:dyDescent="0.2">
      <c r="C652" s="2"/>
      <c r="E652" s="2"/>
    </row>
    <row r="653" spans="3:5" ht="12.75" x14ac:dyDescent="0.2">
      <c r="C653" s="2"/>
      <c r="E653" s="2"/>
    </row>
    <row r="654" spans="3:5" ht="12.75" x14ac:dyDescent="0.2">
      <c r="C654" s="2"/>
      <c r="E654" s="2"/>
    </row>
    <row r="655" spans="3:5" ht="12.75" x14ac:dyDescent="0.2">
      <c r="C655" s="2"/>
      <c r="E655" s="2"/>
    </row>
    <row r="656" spans="3:5" ht="12.75" x14ac:dyDescent="0.2">
      <c r="C656" s="2"/>
      <c r="E656" s="2"/>
    </row>
    <row r="657" spans="3:5" ht="12.75" x14ac:dyDescent="0.2">
      <c r="C657" s="2"/>
      <c r="E657" s="2"/>
    </row>
    <row r="658" spans="3:5" ht="12.75" x14ac:dyDescent="0.2">
      <c r="C658" s="2"/>
      <c r="E658" s="2"/>
    </row>
    <row r="659" spans="3:5" ht="12.75" x14ac:dyDescent="0.2">
      <c r="C659" s="2"/>
      <c r="E659" s="2"/>
    </row>
    <row r="660" spans="3:5" ht="12.75" x14ac:dyDescent="0.2">
      <c r="C660" s="2"/>
      <c r="E660" s="2"/>
    </row>
    <row r="661" spans="3:5" ht="12.75" x14ac:dyDescent="0.2">
      <c r="C661" s="2"/>
      <c r="E661" s="2"/>
    </row>
    <row r="662" spans="3:5" ht="12.75" x14ac:dyDescent="0.2">
      <c r="C662" s="2"/>
      <c r="E662" s="2"/>
    </row>
    <row r="663" spans="3:5" ht="12.75" x14ac:dyDescent="0.2">
      <c r="C663" s="2"/>
      <c r="E663" s="2"/>
    </row>
    <row r="664" spans="3:5" ht="12.75" x14ac:dyDescent="0.2">
      <c r="C664" s="2"/>
      <c r="E664" s="2"/>
    </row>
    <row r="665" spans="3:5" ht="12.75" x14ac:dyDescent="0.2">
      <c r="C665" s="2"/>
      <c r="E665" s="2"/>
    </row>
    <row r="666" spans="3:5" ht="12.75" x14ac:dyDescent="0.2">
      <c r="C666" s="2"/>
      <c r="E666" s="2"/>
    </row>
    <row r="667" spans="3:5" ht="12.75" x14ac:dyDescent="0.2">
      <c r="C667" s="2"/>
      <c r="E667" s="2"/>
    </row>
    <row r="668" spans="3:5" ht="12.75" x14ac:dyDescent="0.2">
      <c r="C668" s="2"/>
      <c r="E668" s="2"/>
    </row>
    <row r="669" spans="3:5" ht="12.75" x14ac:dyDescent="0.2">
      <c r="C669" s="2"/>
      <c r="E669" s="2"/>
    </row>
    <row r="670" spans="3:5" ht="12.75" x14ac:dyDescent="0.2">
      <c r="C670" s="2"/>
      <c r="E670" s="2"/>
    </row>
    <row r="671" spans="3:5" ht="12.75" x14ac:dyDescent="0.2">
      <c r="C671" s="2"/>
      <c r="E671" s="2"/>
    </row>
    <row r="672" spans="3:5" ht="12.75" x14ac:dyDescent="0.2">
      <c r="C672" s="2"/>
      <c r="E672" s="2"/>
    </row>
    <row r="673" spans="3:5" ht="12.75" x14ac:dyDescent="0.2">
      <c r="C673" s="2"/>
      <c r="E673" s="2"/>
    </row>
    <row r="674" spans="3:5" ht="12.75" x14ac:dyDescent="0.2">
      <c r="C674" s="2"/>
      <c r="E674" s="2"/>
    </row>
    <row r="675" spans="3:5" ht="12.75" x14ac:dyDescent="0.2">
      <c r="C675" s="2"/>
      <c r="E675" s="2"/>
    </row>
    <row r="676" spans="3:5" ht="12.75" x14ac:dyDescent="0.2">
      <c r="C676" s="2"/>
      <c r="E676" s="2"/>
    </row>
    <row r="677" spans="3:5" ht="12.75" x14ac:dyDescent="0.2">
      <c r="C677" s="2"/>
      <c r="E677" s="2"/>
    </row>
    <row r="678" spans="3:5" ht="12.75" x14ac:dyDescent="0.2">
      <c r="C678" s="2"/>
      <c r="E678" s="2"/>
    </row>
    <row r="679" spans="3:5" ht="12.75" x14ac:dyDescent="0.2">
      <c r="C679" s="2"/>
      <c r="E679" s="2"/>
    </row>
    <row r="680" spans="3:5" ht="12.75" x14ac:dyDescent="0.2">
      <c r="C680" s="2"/>
      <c r="E680" s="2"/>
    </row>
    <row r="681" spans="3:5" ht="12.75" x14ac:dyDescent="0.2">
      <c r="C681" s="2"/>
      <c r="E681" s="2"/>
    </row>
    <row r="682" spans="3:5" ht="12.75" x14ac:dyDescent="0.2">
      <c r="C682" s="2"/>
      <c r="E682" s="2"/>
    </row>
    <row r="683" spans="3:5" ht="12.75" x14ac:dyDescent="0.2">
      <c r="C683" s="2"/>
      <c r="E683" s="2"/>
    </row>
    <row r="684" spans="3:5" ht="12.75" x14ac:dyDescent="0.2">
      <c r="C684" s="2"/>
      <c r="E684" s="2"/>
    </row>
    <row r="685" spans="3:5" ht="12.75" x14ac:dyDescent="0.2">
      <c r="C685" s="2"/>
      <c r="E685" s="2"/>
    </row>
    <row r="686" spans="3:5" ht="12.75" x14ac:dyDescent="0.2">
      <c r="C686" s="2"/>
      <c r="E686" s="2"/>
    </row>
    <row r="687" spans="3:5" ht="12.75" x14ac:dyDescent="0.2">
      <c r="C687" s="2"/>
      <c r="E687" s="2"/>
    </row>
    <row r="688" spans="3:5" ht="12.75" x14ac:dyDescent="0.2">
      <c r="C688" s="2"/>
      <c r="E688" s="2"/>
    </row>
    <row r="689" spans="3:5" ht="12.75" x14ac:dyDescent="0.2">
      <c r="C689" s="2"/>
      <c r="E689" s="2"/>
    </row>
    <row r="690" spans="3:5" ht="12.75" x14ac:dyDescent="0.2">
      <c r="C690" s="2"/>
      <c r="E690" s="2"/>
    </row>
    <row r="691" spans="3:5" ht="12.75" x14ac:dyDescent="0.2">
      <c r="C691" s="2"/>
      <c r="E691" s="2"/>
    </row>
    <row r="692" spans="3:5" ht="12.75" x14ac:dyDescent="0.2">
      <c r="C692" s="2"/>
      <c r="E692" s="2"/>
    </row>
    <row r="693" spans="3:5" ht="12.75" x14ac:dyDescent="0.2">
      <c r="C693" s="2"/>
      <c r="E693" s="2"/>
    </row>
    <row r="694" spans="3:5" ht="12.75" x14ac:dyDescent="0.2">
      <c r="C694" s="2"/>
      <c r="E694" s="2"/>
    </row>
    <row r="695" spans="3:5" ht="12.75" x14ac:dyDescent="0.2">
      <c r="C695" s="2"/>
      <c r="E695" s="2"/>
    </row>
    <row r="696" spans="3:5" ht="12.75" x14ac:dyDescent="0.2">
      <c r="C696" s="2"/>
      <c r="E696" s="2"/>
    </row>
    <row r="697" spans="3:5" ht="12.75" x14ac:dyDescent="0.2">
      <c r="C697" s="2"/>
      <c r="E697" s="2"/>
    </row>
    <row r="698" spans="3:5" ht="12.75" x14ac:dyDescent="0.2">
      <c r="C698" s="2"/>
      <c r="E698" s="2"/>
    </row>
    <row r="699" spans="3:5" ht="12.75" x14ac:dyDescent="0.2">
      <c r="C699" s="2"/>
      <c r="E699" s="2"/>
    </row>
    <row r="700" spans="3:5" ht="12.75" x14ac:dyDescent="0.2">
      <c r="C700" s="2"/>
      <c r="E700" s="2"/>
    </row>
    <row r="701" spans="3:5" ht="12.75" x14ac:dyDescent="0.2">
      <c r="C701" s="2"/>
      <c r="E701" s="2"/>
    </row>
    <row r="702" spans="3:5" ht="12.75" x14ac:dyDescent="0.2">
      <c r="C702" s="2"/>
      <c r="E702" s="2"/>
    </row>
    <row r="703" spans="3:5" ht="12.75" x14ac:dyDescent="0.2">
      <c r="C703" s="2"/>
      <c r="E703" s="2"/>
    </row>
    <row r="704" spans="3:5" ht="12.75" x14ac:dyDescent="0.2">
      <c r="C704" s="2"/>
      <c r="E704" s="2"/>
    </row>
    <row r="705" spans="3:5" ht="12.75" x14ac:dyDescent="0.2">
      <c r="C705" s="2"/>
      <c r="E705" s="2"/>
    </row>
    <row r="706" spans="3:5" ht="12.75" x14ac:dyDescent="0.2">
      <c r="C706" s="2"/>
      <c r="E706" s="2"/>
    </row>
    <row r="707" spans="3:5" ht="12.75" x14ac:dyDescent="0.2">
      <c r="C707" s="2"/>
      <c r="E707" s="2"/>
    </row>
    <row r="708" spans="3:5" ht="12.75" x14ac:dyDescent="0.2">
      <c r="C708" s="2"/>
      <c r="E708" s="2"/>
    </row>
    <row r="709" spans="3:5" ht="12.75" x14ac:dyDescent="0.2">
      <c r="C709" s="2"/>
      <c r="E709" s="2"/>
    </row>
    <row r="710" spans="3:5" ht="12.75" x14ac:dyDescent="0.2">
      <c r="C710" s="2"/>
      <c r="E710" s="2"/>
    </row>
    <row r="711" spans="3:5" ht="12.75" x14ac:dyDescent="0.2">
      <c r="C711" s="2"/>
      <c r="E711" s="2"/>
    </row>
    <row r="712" spans="3:5" ht="12.75" x14ac:dyDescent="0.2">
      <c r="C712" s="2"/>
      <c r="E712" s="2"/>
    </row>
    <row r="713" spans="3:5" ht="12.75" x14ac:dyDescent="0.2">
      <c r="C713" s="2"/>
      <c r="E713" s="2"/>
    </row>
    <row r="714" spans="3:5" ht="12.75" x14ac:dyDescent="0.2">
      <c r="C714" s="2"/>
      <c r="E714" s="2"/>
    </row>
    <row r="715" spans="3:5" ht="12.75" x14ac:dyDescent="0.2">
      <c r="C715" s="2"/>
      <c r="E715" s="2"/>
    </row>
    <row r="716" spans="3:5" ht="12.75" x14ac:dyDescent="0.2">
      <c r="C716" s="2"/>
      <c r="E716" s="2"/>
    </row>
    <row r="717" spans="3:5" ht="12.75" x14ac:dyDescent="0.2">
      <c r="C717" s="2"/>
      <c r="E717" s="2"/>
    </row>
    <row r="718" spans="3:5" ht="12.75" x14ac:dyDescent="0.2">
      <c r="C718" s="2"/>
      <c r="E718" s="2"/>
    </row>
    <row r="719" spans="3:5" ht="12.75" x14ac:dyDescent="0.2">
      <c r="C719" s="2"/>
      <c r="E719" s="2"/>
    </row>
    <row r="720" spans="3:5" ht="12.75" x14ac:dyDescent="0.2">
      <c r="C720" s="2"/>
      <c r="E720" s="2"/>
    </row>
    <row r="721" spans="3:5" ht="12.75" x14ac:dyDescent="0.2">
      <c r="C721" s="2"/>
      <c r="E721" s="2"/>
    </row>
    <row r="722" spans="3:5" ht="12.75" x14ac:dyDescent="0.2">
      <c r="C722" s="2"/>
      <c r="E722" s="2"/>
    </row>
    <row r="723" spans="3:5" ht="12.75" x14ac:dyDescent="0.2">
      <c r="C723" s="2"/>
      <c r="E723" s="2"/>
    </row>
    <row r="724" spans="3:5" ht="12.75" x14ac:dyDescent="0.2">
      <c r="C724" s="2"/>
      <c r="E724" s="2"/>
    </row>
    <row r="725" spans="3:5" ht="12.75" x14ac:dyDescent="0.2">
      <c r="C725" s="2"/>
      <c r="E725" s="2"/>
    </row>
    <row r="726" spans="3:5" ht="12.75" x14ac:dyDescent="0.2">
      <c r="C726" s="2"/>
      <c r="E726" s="2"/>
    </row>
    <row r="727" spans="3:5" ht="12.75" x14ac:dyDescent="0.2">
      <c r="C727" s="2"/>
      <c r="E727" s="2"/>
    </row>
    <row r="728" spans="3:5" ht="12.75" x14ac:dyDescent="0.2">
      <c r="C728" s="2"/>
      <c r="E728" s="2"/>
    </row>
    <row r="729" spans="3:5" ht="12.75" x14ac:dyDescent="0.2">
      <c r="C729" s="2"/>
      <c r="E729" s="2"/>
    </row>
    <row r="730" spans="3:5" ht="12.75" x14ac:dyDescent="0.2">
      <c r="C730" s="2"/>
      <c r="E730" s="2"/>
    </row>
    <row r="731" spans="3:5" ht="12.75" x14ac:dyDescent="0.2">
      <c r="C731" s="2"/>
      <c r="E731" s="2"/>
    </row>
    <row r="732" spans="3:5" ht="12.75" x14ac:dyDescent="0.2">
      <c r="C732" s="2"/>
      <c r="E732" s="2"/>
    </row>
    <row r="733" spans="3:5" ht="12.75" x14ac:dyDescent="0.2">
      <c r="C733" s="2"/>
      <c r="E733" s="2"/>
    </row>
    <row r="734" spans="3:5" ht="12.75" x14ac:dyDescent="0.2">
      <c r="C734" s="2"/>
      <c r="E734" s="2"/>
    </row>
    <row r="735" spans="3:5" ht="12.75" x14ac:dyDescent="0.2">
      <c r="C735" s="2"/>
      <c r="E735" s="2"/>
    </row>
    <row r="736" spans="3:5" ht="12.75" x14ac:dyDescent="0.2">
      <c r="C736" s="2"/>
      <c r="E736" s="2"/>
    </row>
    <row r="737" spans="3:5" ht="12.75" x14ac:dyDescent="0.2">
      <c r="C737" s="2"/>
      <c r="E737" s="2"/>
    </row>
    <row r="738" spans="3:5" ht="12.75" x14ac:dyDescent="0.2">
      <c r="C738" s="2"/>
      <c r="E738" s="2"/>
    </row>
    <row r="739" spans="3:5" ht="12.75" x14ac:dyDescent="0.2">
      <c r="C739" s="2"/>
      <c r="E739" s="2"/>
    </row>
    <row r="740" spans="3:5" ht="12.75" x14ac:dyDescent="0.2">
      <c r="C740" s="2"/>
      <c r="E740" s="2"/>
    </row>
    <row r="741" spans="3:5" ht="12.75" x14ac:dyDescent="0.2">
      <c r="C741" s="2"/>
      <c r="E741" s="2"/>
    </row>
    <row r="742" spans="3:5" ht="12.75" x14ac:dyDescent="0.2">
      <c r="C742" s="2"/>
      <c r="E742" s="2"/>
    </row>
    <row r="743" spans="3:5" ht="12.75" x14ac:dyDescent="0.2">
      <c r="C743" s="2"/>
      <c r="E743" s="2"/>
    </row>
    <row r="744" spans="3:5" ht="12.75" x14ac:dyDescent="0.2">
      <c r="C744" s="2"/>
      <c r="E744" s="2"/>
    </row>
    <row r="745" spans="3:5" ht="12.75" x14ac:dyDescent="0.2">
      <c r="C745" s="2"/>
      <c r="E745" s="2"/>
    </row>
    <row r="746" spans="3:5" ht="12.75" x14ac:dyDescent="0.2">
      <c r="C746" s="2"/>
      <c r="E746" s="2"/>
    </row>
    <row r="747" spans="3:5" ht="12.75" x14ac:dyDescent="0.2">
      <c r="C747" s="2"/>
      <c r="E747" s="2"/>
    </row>
    <row r="748" spans="3:5" ht="12.75" x14ac:dyDescent="0.2">
      <c r="C748" s="2"/>
      <c r="E748" s="2"/>
    </row>
    <row r="749" spans="3:5" ht="12.75" x14ac:dyDescent="0.2">
      <c r="C749" s="2"/>
      <c r="E749" s="2"/>
    </row>
    <row r="750" spans="3:5" ht="12.75" x14ac:dyDescent="0.2">
      <c r="C750" s="2"/>
      <c r="E750" s="2"/>
    </row>
    <row r="751" spans="3:5" ht="12.75" x14ac:dyDescent="0.2">
      <c r="C751" s="2"/>
      <c r="E751" s="2"/>
    </row>
    <row r="752" spans="3:5" ht="12.75" x14ac:dyDescent="0.2">
      <c r="C752" s="2"/>
      <c r="E752" s="2"/>
    </row>
    <row r="753" spans="3:5" ht="12.75" x14ac:dyDescent="0.2">
      <c r="C753" s="2"/>
      <c r="E753" s="2"/>
    </row>
    <row r="754" spans="3:5" ht="12.75" x14ac:dyDescent="0.2">
      <c r="C754" s="2"/>
      <c r="E754" s="2"/>
    </row>
    <row r="755" spans="3:5" ht="12.75" x14ac:dyDescent="0.2">
      <c r="C755" s="2"/>
      <c r="E755" s="2"/>
    </row>
    <row r="756" spans="3:5" ht="12.75" x14ac:dyDescent="0.2">
      <c r="C756" s="2"/>
      <c r="E756" s="2"/>
    </row>
    <row r="757" spans="3:5" ht="12.75" x14ac:dyDescent="0.2">
      <c r="C757" s="2"/>
      <c r="E757" s="2"/>
    </row>
    <row r="758" spans="3:5" ht="12.75" x14ac:dyDescent="0.2">
      <c r="C758" s="2"/>
      <c r="E758" s="2"/>
    </row>
    <row r="759" spans="3:5" ht="12.75" x14ac:dyDescent="0.2">
      <c r="C759" s="2"/>
      <c r="E759" s="2"/>
    </row>
    <row r="760" spans="3:5" ht="12.75" x14ac:dyDescent="0.2">
      <c r="C760" s="2"/>
      <c r="E760" s="2"/>
    </row>
    <row r="761" spans="3:5" ht="12.75" x14ac:dyDescent="0.2">
      <c r="C761" s="2"/>
      <c r="E761" s="2"/>
    </row>
    <row r="762" spans="3:5" ht="12.75" x14ac:dyDescent="0.2">
      <c r="C762" s="2"/>
      <c r="E762" s="2"/>
    </row>
    <row r="763" spans="3:5" ht="12.75" x14ac:dyDescent="0.2">
      <c r="C763" s="2"/>
      <c r="E763" s="2"/>
    </row>
    <row r="764" spans="3:5" ht="12.75" x14ac:dyDescent="0.2">
      <c r="C764" s="2"/>
      <c r="E764" s="2"/>
    </row>
    <row r="765" spans="3:5" ht="12.75" x14ac:dyDescent="0.2">
      <c r="C765" s="2"/>
      <c r="E765" s="2"/>
    </row>
    <row r="766" spans="3:5" ht="12.75" x14ac:dyDescent="0.2">
      <c r="C766" s="2"/>
      <c r="E766" s="2"/>
    </row>
    <row r="767" spans="3:5" ht="12.75" x14ac:dyDescent="0.2">
      <c r="C767" s="2"/>
      <c r="E767" s="2"/>
    </row>
    <row r="768" spans="3:5" ht="12.75" x14ac:dyDescent="0.2">
      <c r="C768" s="2"/>
      <c r="E768" s="2"/>
    </row>
    <row r="769" spans="3:5" ht="12.75" x14ac:dyDescent="0.2">
      <c r="C769" s="2"/>
      <c r="E769" s="2"/>
    </row>
    <row r="770" spans="3:5" ht="12.75" x14ac:dyDescent="0.2">
      <c r="C770" s="2"/>
      <c r="E770" s="2"/>
    </row>
    <row r="771" spans="3:5" ht="12.75" x14ac:dyDescent="0.2">
      <c r="C771" s="2"/>
      <c r="E771" s="2"/>
    </row>
    <row r="772" spans="3:5" ht="12.75" x14ac:dyDescent="0.2">
      <c r="C772" s="2"/>
      <c r="E772" s="2"/>
    </row>
    <row r="773" spans="3:5" ht="12.75" x14ac:dyDescent="0.2">
      <c r="C773" s="2"/>
      <c r="E773" s="2"/>
    </row>
    <row r="774" spans="3:5" ht="12.75" x14ac:dyDescent="0.2">
      <c r="C774" s="2"/>
      <c r="E774" s="2"/>
    </row>
    <row r="775" spans="3:5" ht="12.75" x14ac:dyDescent="0.2">
      <c r="C775" s="2"/>
      <c r="E775" s="2"/>
    </row>
    <row r="776" spans="3:5" ht="12.75" x14ac:dyDescent="0.2">
      <c r="C776" s="2"/>
      <c r="E776" s="2"/>
    </row>
    <row r="777" spans="3:5" ht="12.75" x14ac:dyDescent="0.2">
      <c r="C777" s="2"/>
      <c r="E777" s="2"/>
    </row>
    <row r="778" spans="3:5" ht="12.75" x14ac:dyDescent="0.2">
      <c r="C778" s="2"/>
      <c r="E778" s="2"/>
    </row>
    <row r="779" spans="3:5" ht="12.75" x14ac:dyDescent="0.2">
      <c r="C779" s="2"/>
      <c r="E779" s="2"/>
    </row>
    <row r="780" spans="3:5" ht="12.75" x14ac:dyDescent="0.2">
      <c r="C780" s="2"/>
      <c r="E780" s="2"/>
    </row>
    <row r="781" spans="3:5" ht="12.75" x14ac:dyDescent="0.2">
      <c r="C781" s="2"/>
      <c r="E781" s="2"/>
    </row>
    <row r="782" spans="3:5" ht="12.75" x14ac:dyDescent="0.2">
      <c r="C782" s="2"/>
      <c r="E782" s="2"/>
    </row>
    <row r="783" spans="3:5" ht="12.75" x14ac:dyDescent="0.2">
      <c r="C783" s="2"/>
      <c r="E783" s="2"/>
    </row>
    <row r="784" spans="3:5" ht="12.75" x14ac:dyDescent="0.2">
      <c r="C784" s="2"/>
      <c r="E784" s="2"/>
    </row>
    <row r="785" spans="3:5" ht="12.75" x14ac:dyDescent="0.2">
      <c r="C785" s="2"/>
      <c r="E785" s="2"/>
    </row>
    <row r="786" spans="3:5" ht="12.75" x14ac:dyDescent="0.2">
      <c r="C786" s="2"/>
      <c r="E786" s="2"/>
    </row>
    <row r="787" spans="3:5" ht="12.75" x14ac:dyDescent="0.2">
      <c r="C787" s="2"/>
      <c r="E787" s="2"/>
    </row>
    <row r="788" spans="3:5" ht="12.75" x14ac:dyDescent="0.2">
      <c r="C788" s="2"/>
      <c r="E788" s="2"/>
    </row>
    <row r="789" spans="3:5" ht="12.75" x14ac:dyDescent="0.2">
      <c r="C789" s="2"/>
      <c r="E789" s="2"/>
    </row>
    <row r="790" spans="3:5" ht="12.75" x14ac:dyDescent="0.2">
      <c r="C790" s="2"/>
      <c r="E790" s="2"/>
    </row>
    <row r="791" spans="3:5" ht="12.75" x14ac:dyDescent="0.2">
      <c r="C791" s="2"/>
      <c r="E791" s="2"/>
    </row>
    <row r="792" spans="3:5" ht="12.75" x14ac:dyDescent="0.2">
      <c r="C792" s="2"/>
      <c r="E792" s="2"/>
    </row>
    <row r="793" spans="3:5" ht="12.75" x14ac:dyDescent="0.2">
      <c r="C793" s="2"/>
      <c r="E793" s="2"/>
    </row>
    <row r="794" spans="3:5" ht="12.75" x14ac:dyDescent="0.2">
      <c r="C794" s="2"/>
      <c r="E794" s="2"/>
    </row>
    <row r="795" spans="3:5" ht="12.75" x14ac:dyDescent="0.2">
      <c r="C795" s="2"/>
      <c r="E795" s="2"/>
    </row>
    <row r="796" spans="3:5" ht="12.75" x14ac:dyDescent="0.2">
      <c r="C796" s="2"/>
      <c r="E796" s="2"/>
    </row>
    <row r="797" spans="3:5" ht="12.75" x14ac:dyDescent="0.2">
      <c r="C797" s="2"/>
      <c r="E797" s="2"/>
    </row>
    <row r="798" spans="3:5" ht="12.75" x14ac:dyDescent="0.2">
      <c r="C798" s="2"/>
      <c r="E798" s="2"/>
    </row>
    <row r="799" spans="3:5" ht="12.75" x14ac:dyDescent="0.2">
      <c r="C799" s="2"/>
      <c r="E799" s="2"/>
    </row>
    <row r="800" spans="3:5" ht="12.75" x14ac:dyDescent="0.2">
      <c r="C800" s="2"/>
      <c r="E800" s="2"/>
    </row>
    <row r="801" spans="3:5" ht="12.75" x14ac:dyDescent="0.2">
      <c r="C801" s="2"/>
      <c r="E801" s="2"/>
    </row>
    <row r="802" spans="3:5" ht="12.75" x14ac:dyDescent="0.2">
      <c r="C802" s="2"/>
      <c r="E802" s="2"/>
    </row>
    <row r="803" spans="3:5" ht="12.75" x14ac:dyDescent="0.2">
      <c r="C803" s="2"/>
      <c r="E803" s="2"/>
    </row>
    <row r="804" spans="3:5" ht="12.75" x14ac:dyDescent="0.2">
      <c r="C804" s="2"/>
      <c r="E804" s="2"/>
    </row>
    <row r="805" spans="3:5" ht="12.75" x14ac:dyDescent="0.2">
      <c r="C805" s="2"/>
      <c r="E805" s="2"/>
    </row>
    <row r="806" spans="3:5" ht="12.75" x14ac:dyDescent="0.2">
      <c r="C806" s="2"/>
      <c r="E806" s="2"/>
    </row>
    <row r="807" spans="3:5" ht="12.75" x14ac:dyDescent="0.2">
      <c r="C807" s="2"/>
      <c r="E807" s="2"/>
    </row>
    <row r="808" spans="3:5" ht="12.75" x14ac:dyDescent="0.2">
      <c r="C808" s="2"/>
      <c r="E808" s="2"/>
    </row>
    <row r="809" spans="3:5" ht="12.75" x14ac:dyDescent="0.2">
      <c r="C809" s="2"/>
      <c r="E809" s="2"/>
    </row>
    <row r="810" spans="3:5" ht="12.75" x14ac:dyDescent="0.2">
      <c r="C810" s="2"/>
      <c r="E810" s="2"/>
    </row>
    <row r="811" spans="3:5" ht="12.75" x14ac:dyDescent="0.2">
      <c r="C811" s="2"/>
      <c r="E811" s="2"/>
    </row>
    <row r="812" spans="3:5" ht="12.75" x14ac:dyDescent="0.2">
      <c r="C812" s="2"/>
      <c r="E812" s="2"/>
    </row>
    <row r="813" spans="3:5" ht="12.75" x14ac:dyDescent="0.2">
      <c r="C813" s="2"/>
      <c r="E813" s="2"/>
    </row>
    <row r="814" spans="3:5" ht="12.75" x14ac:dyDescent="0.2">
      <c r="C814" s="2"/>
      <c r="E814" s="2"/>
    </row>
    <row r="815" spans="3:5" ht="12.75" x14ac:dyDescent="0.2">
      <c r="C815" s="2"/>
      <c r="E815" s="2"/>
    </row>
    <row r="816" spans="3:5" ht="12.75" x14ac:dyDescent="0.2">
      <c r="C816" s="2"/>
      <c r="E816" s="2"/>
    </row>
    <row r="817" spans="3:5" ht="12.75" x14ac:dyDescent="0.2">
      <c r="C817" s="2"/>
      <c r="E817" s="2"/>
    </row>
    <row r="818" spans="3:5" ht="12.75" x14ac:dyDescent="0.2">
      <c r="C818" s="2"/>
      <c r="E818" s="2"/>
    </row>
    <row r="819" spans="3:5" ht="12.75" x14ac:dyDescent="0.2">
      <c r="C819" s="2"/>
      <c r="E819" s="2"/>
    </row>
    <row r="820" spans="3:5" ht="12.75" x14ac:dyDescent="0.2">
      <c r="C820" s="2"/>
      <c r="E820" s="2"/>
    </row>
    <row r="821" spans="3:5" ht="12.75" x14ac:dyDescent="0.2">
      <c r="C821" s="2"/>
      <c r="E821" s="2"/>
    </row>
    <row r="822" spans="3:5" ht="12.75" x14ac:dyDescent="0.2">
      <c r="C822" s="2"/>
      <c r="E822" s="2"/>
    </row>
    <row r="823" spans="3:5" ht="12.75" x14ac:dyDescent="0.2">
      <c r="C823" s="2"/>
      <c r="E823" s="2"/>
    </row>
    <row r="824" spans="3:5" ht="12.75" x14ac:dyDescent="0.2">
      <c r="C824" s="2"/>
      <c r="E824" s="2"/>
    </row>
    <row r="825" spans="3:5" ht="12.75" x14ac:dyDescent="0.2">
      <c r="C825" s="2"/>
      <c r="E825" s="2"/>
    </row>
    <row r="826" spans="3:5" ht="12.75" x14ac:dyDescent="0.2">
      <c r="C826" s="2"/>
      <c r="E826" s="2"/>
    </row>
    <row r="827" spans="3:5" ht="12.75" x14ac:dyDescent="0.2">
      <c r="C827" s="2"/>
      <c r="E827" s="2"/>
    </row>
    <row r="828" spans="3:5" ht="12.75" x14ac:dyDescent="0.2">
      <c r="C828" s="2"/>
      <c r="E828" s="2"/>
    </row>
    <row r="829" spans="3:5" ht="12.75" x14ac:dyDescent="0.2">
      <c r="C829" s="2"/>
      <c r="E829" s="2"/>
    </row>
    <row r="830" spans="3:5" ht="12.75" x14ac:dyDescent="0.2">
      <c r="C830" s="2"/>
      <c r="E830" s="2"/>
    </row>
    <row r="831" spans="3:5" ht="12.75" x14ac:dyDescent="0.2">
      <c r="C831" s="2"/>
      <c r="E831" s="2"/>
    </row>
    <row r="832" spans="3:5" ht="12.75" x14ac:dyDescent="0.2">
      <c r="C832" s="2"/>
      <c r="E832" s="2"/>
    </row>
    <row r="833" spans="3:5" ht="12.75" x14ac:dyDescent="0.2">
      <c r="C833" s="2"/>
      <c r="E833" s="2"/>
    </row>
    <row r="834" spans="3:5" ht="12.75" x14ac:dyDescent="0.2">
      <c r="C834" s="2"/>
      <c r="E834" s="2"/>
    </row>
    <row r="835" spans="3:5" ht="12.75" x14ac:dyDescent="0.2">
      <c r="C835" s="2"/>
      <c r="E835" s="2"/>
    </row>
    <row r="836" spans="3:5" ht="12.75" x14ac:dyDescent="0.2">
      <c r="C836" s="2"/>
      <c r="E836" s="2"/>
    </row>
    <row r="837" spans="3:5" ht="12.75" x14ac:dyDescent="0.2">
      <c r="C837" s="2"/>
      <c r="E837" s="2"/>
    </row>
    <row r="838" spans="3:5" ht="12.75" x14ac:dyDescent="0.2">
      <c r="C838" s="2"/>
      <c r="E838" s="2"/>
    </row>
    <row r="839" spans="3:5" ht="12.75" x14ac:dyDescent="0.2">
      <c r="C839" s="2"/>
      <c r="E839" s="2"/>
    </row>
    <row r="840" spans="3:5" ht="12.75" x14ac:dyDescent="0.2">
      <c r="C840" s="2"/>
      <c r="E840" s="2"/>
    </row>
    <row r="841" spans="3:5" ht="12.75" x14ac:dyDescent="0.2">
      <c r="C841" s="2"/>
      <c r="E841" s="2"/>
    </row>
    <row r="842" spans="3:5" ht="12.75" x14ac:dyDescent="0.2">
      <c r="C842" s="2"/>
      <c r="E842" s="2"/>
    </row>
    <row r="843" spans="3:5" ht="12.75" x14ac:dyDescent="0.2">
      <c r="C843" s="2"/>
      <c r="E843" s="2"/>
    </row>
    <row r="844" spans="3:5" ht="12.75" x14ac:dyDescent="0.2">
      <c r="C844" s="2"/>
      <c r="E844" s="2"/>
    </row>
    <row r="845" spans="3:5" ht="12.75" x14ac:dyDescent="0.2">
      <c r="C845" s="2"/>
      <c r="E845" s="2"/>
    </row>
    <row r="846" spans="3:5" ht="12.75" x14ac:dyDescent="0.2">
      <c r="C846" s="2"/>
      <c r="E846" s="2"/>
    </row>
    <row r="847" spans="3:5" ht="12.75" x14ac:dyDescent="0.2">
      <c r="C847" s="2"/>
      <c r="E847" s="2"/>
    </row>
    <row r="848" spans="3:5" ht="12.75" x14ac:dyDescent="0.2">
      <c r="C848" s="2"/>
      <c r="E848" s="2"/>
    </row>
    <row r="849" spans="3:5" ht="12.75" x14ac:dyDescent="0.2">
      <c r="C849" s="2"/>
      <c r="E849" s="2"/>
    </row>
    <row r="850" spans="3:5" ht="12.75" x14ac:dyDescent="0.2">
      <c r="C850" s="2"/>
      <c r="E850" s="2"/>
    </row>
    <row r="851" spans="3:5" ht="12.75" x14ac:dyDescent="0.2">
      <c r="C851" s="2"/>
      <c r="E851" s="2"/>
    </row>
    <row r="852" spans="3:5" ht="12.75" x14ac:dyDescent="0.2">
      <c r="C852" s="2"/>
      <c r="E852" s="2"/>
    </row>
    <row r="853" spans="3:5" ht="12.75" x14ac:dyDescent="0.2">
      <c r="C853" s="2"/>
      <c r="E853" s="2"/>
    </row>
    <row r="854" spans="3:5" ht="12.75" x14ac:dyDescent="0.2">
      <c r="C854" s="2"/>
      <c r="E854" s="2"/>
    </row>
    <row r="855" spans="3:5" ht="12.75" x14ac:dyDescent="0.2">
      <c r="C855" s="2"/>
      <c r="E855" s="2"/>
    </row>
    <row r="856" spans="3:5" ht="12.75" x14ac:dyDescent="0.2">
      <c r="C856" s="2"/>
      <c r="E856" s="2"/>
    </row>
    <row r="857" spans="3:5" ht="12.75" x14ac:dyDescent="0.2">
      <c r="C857" s="2"/>
      <c r="E857" s="2"/>
    </row>
    <row r="858" spans="3:5" ht="12.75" x14ac:dyDescent="0.2">
      <c r="C858" s="2"/>
      <c r="E858" s="2"/>
    </row>
    <row r="859" spans="3:5" ht="12.75" x14ac:dyDescent="0.2">
      <c r="C859" s="2"/>
      <c r="E859" s="2"/>
    </row>
    <row r="860" spans="3:5" ht="12.75" x14ac:dyDescent="0.2">
      <c r="C860" s="2"/>
      <c r="E860" s="2"/>
    </row>
    <row r="861" spans="3:5" ht="12.75" x14ac:dyDescent="0.2">
      <c r="C861" s="2"/>
      <c r="E861" s="2"/>
    </row>
    <row r="862" spans="3:5" ht="12.75" x14ac:dyDescent="0.2">
      <c r="C862" s="2"/>
      <c r="E862" s="2"/>
    </row>
    <row r="863" spans="3:5" ht="12.75" x14ac:dyDescent="0.2">
      <c r="C863" s="2"/>
      <c r="E863" s="2"/>
    </row>
    <row r="864" spans="3:5" ht="12.75" x14ac:dyDescent="0.2">
      <c r="C864" s="2"/>
      <c r="E864" s="2"/>
    </row>
    <row r="865" spans="3:5" ht="12.75" x14ac:dyDescent="0.2">
      <c r="C865" s="2"/>
      <c r="E865" s="2"/>
    </row>
    <row r="866" spans="3:5" ht="12.75" x14ac:dyDescent="0.2">
      <c r="C866" s="2"/>
      <c r="E866" s="2"/>
    </row>
    <row r="867" spans="3:5" ht="12.75" x14ac:dyDescent="0.2">
      <c r="C867" s="2"/>
      <c r="E867" s="2"/>
    </row>
    <row r="868" spans="3:5" ht="12.75" x14ac:dyDescent="0.2">
      <c r="C868" s="2"/>
      <c r="E868" s="2"/>
    </row>
    <row r="869" spans="3:5" ht="12.75" x14ac:dyDescent="0.2">
      <c r="C869" s="2"/>
      <c r="E869" s="2"/>
    </row>
    <row r="870" spans="3:5" ht="12.75" x14ac:dyDescent="0.2">
      <c r="C870" s="2"/>
      <c r="E870" s="2"/>
    </row>
    <row r="871" spans="3:5" ht="12.75" x14ac:dyDescent="0.2">
      <c r="C871" s="2"/>
      <c r="E871" s="2"/>
    </row>
    <row r="872" spans="3:5" ht="12.75" x14ac:dyDescent="0.2">
      <c r="C872" s="2"/>
      <c r="E872" s="2"/>
    </row>
    <row r="873" spans="3:5" ht="12.75" x14ac:dyDescent="0.2">
      <c r="C873" s="2"/>
      <c r="E873" s="2"/>
    </row>
    <row r="874" spans="3:5" ht="12.75" x14ac:dyDescent="0.2">
      <c r="C874" s="2"/>
      <c r="E874" s="2"/>
    </row>
    <row r="875" spans="3:5" ht="12.75" x14ac:dyDescent="0.2">
      <c r="C875" s="2"/>
      <c r="E875" s="2"/>
    </row>
    <row r="876" spans="3:5" ht="12.75" x14ac:dyDescent="0.2">
      <c r="C876" s="2"/>
      <c r="E876" s="2"/>
    </row>
    <row r="877" spans="3:5" ht="12.75" x14ac:dyDescent="0.2">
      <c r="C877" s="2"/>
      <c r="E877" s="2"/>
    </row>
    <row r="878" spans="3:5" ht="12.75" x14ac:dyDescent="0.2">
      <c r="C878" s="2"/>
      <c r="E878" s="2"/>
    </row>
    <row r="879" spans="3:5" ht="12.75" x14ac:dyDescent="0.2">
      <c r="C879" s="2"/>
      <c r="E879" s="2"/>
    </row>
    <row r="880" spans="3:5" ht="12.75" x14ac:dyDescent="0.2">
      <c r="C880" s="2"/>
      <c r="E880" s="2"/>
    </row>
    <row r="881" spans="3:5" ht="12.75" x14ac:dyDescent="0.2">
      <c r="C881" s="2"/>
      <c r="E881" s="2"/>
    </row>
    <row r="882" spans="3:5" ht="12.75" x14ac:dyDescent="0.2">
      <c r="C882" s="2"/>
      <c r="E882" s="2"/>
    </row>
    <row r="883" spans="3:5" ht="12.75" x14ac:dyDescent="0.2">
      <c r="C883" s="2"/>
      <c r="E883" s="2"/>
    </row>
    <row r="884" spans="3:5" ht="12.75" x14ac:dyDescent="0.2">
      <c r="C884" s="2"/>
      <c r="E884" s="2"/>
    </row>
    <row r="885" spans="3:5" ht="12.75" x14ac:dyDescent="0.2">
      <c r="C885" s="2"/>
      <c r="E885" s="2"/>
    </row>
    <row r="886" spans="3:5" ht="12.75" x14ac:dyDescent="0.2">
      <c r="C886" s="2"/>
      <c r="E886" s="2"/>
    </row>
    <row r="887" spans="3:5" ht="12.75" x14ac:dyDescent="0.2">
      <c r="C887" s="2"/>
      <c r="E887" s="2"/>
    </row>
    <row r="888" spans="3:5" ht="12.75" x14ac:dyDescent="0.2">
      <c r="C888" s="2"/>
      <c r="E888" s="2"/>
    </row>
    <row r="889" spans="3:5" ht="12.75" x14ac:dyDescent="0.2">
      <c r="C889" s="2"/>
      <c r="E889" s="2"/>
    </row>
    <row r="890" spans="3:5" ht="12.75" x14ac:dyDescent="0.2">
      <c r="C890" s="2"/>
      <c r="E890" s="2"/>
    </row>
    <row r="891" spans="3:5" ht="12.75" x14ac:dyDescent="0.2">
      <c r="C891" s="2"/>
      <c r="E891" s="2"/>
    </row>
    <row r="892" spans="3:5" ht="12.75" x14ac:dyDescent="0.2">
      <c r="C892" s="2"/>
      <c r="E892" s="2"/>
    </row>
    <row r="893" spans="3:5" ht="12.75" x14ac:dyDescent="0.2">
      <c r="C893" s="2"/>
      <c r="E893" s="2"/>
    </row>
    <row r="894" spans="3:5" ht="12.75" x14ac:dyDescent="0.2">
      <c r="C894" s="2"/>
      <c r="E894" s="2"/>
    </row>
    <row r="895" spans="3:5" ht="12.75" x14ac:dyDescent="0.2">
      <c r="C895" s="2"/>
      <c r="E895" s="2"/>
    </row>
    <row r="896" spans="3:5" ht="12.75" x14ac:dyDescent="0.2">
      <c r="C896" s="2"/>
      <c r="E896" s="2"/>
    </row>
    <row r="897" spans="3:5" ht="12.75" x14ac:dyDescent="0.2">
      <c r="C897" s="2"/>
      <c r="E897" s="2"/>
    </row>
    <row r="898" spans="3:5" ht="12.75" x14ac:dyDescent="0.2">
      <c r="C898" s="2"/>
      <c r="E898" s="2"/>
    </row>
    <row r="899" spans="3:5" ht="12.75" x14ac:dyDescent="0.2">
      <c r="C899" s="2"/>
      <c r="E899" s="2"/>
    </row>
    <row r="900" spans="3:5" ht="12.75" x14ac:dyDescent="0.2">
      <c r="C900" s="2"/>
      <c r="E900" s="2"/>
    </row>
    <row r="901" spans="3:5" ht="12.75" x14ac:dyDescent="0.2">
      <c r="C901" s="2"/>
      <c r="E901" s="2"/>
    </row>
    <row r="902" spans="3:5" ht="12.75" x14ac:dyDescent="0.2">
      <c r="C902" s="2"/>
      <c r="E902" s="2"/>
    </row>
    <row r="903" spans="3:5" ht="12.75" x14ac:dyDescent="0.2">
      <c r="C903" s="2"/>
      <c r="E903" s="2"/>
    </row>
    <row r="904" spans="3:5" ht="12.75" x14ac:dyDescent="0.2">
      <c r="C904" s="2"/>
      <c r="E904" s="2"/>
    </row>
    <row r="905" spans="3:5" ht="12.75" x14ac:dyDescent="0.2">
      <c r="C905" s="2"/>
      <c r="E905" s="2"/>
    </row>
    <row r="906" spans="3:5" ht="12.75" x14ac:dyDescent="0.2">
      <c r="C906" s="2"/>
      <c r="E906" s="2"/>
    </row>
    <row r="907" spans="3:5" ht="12.75" x14ac:dyDescent="0.2">
      <c r="C907" s="2"/>
      <c r="E907" s="2"/>
    </row>
    <row r="908" spans="3:5" ht="12.75" x14ac:dyDescent="0.2">
      <c r="C908" s="2"/>
      <c r="E908" s="2"/>
    </row>
    <row r="909" spans="3:5" ht="12.75" x14ac:dyDescent="0.2">
      <c r="C909" s="2"/>
      <c r="E909" s="2"/>
    </row>
    <row r="910" spans="3:5" ht="12.75" x14ac:dyDescent="0.2">
      <c r="C910" s="2"/>
      <c r="E910" s="2"/>
    </row>
    <row r="911" spans="3:5" ht="12.75" x14ac:dyDescent="0.2">
      <c r="C911" s="2"/>
      <c r="E911" s="2"/>
    </row>
    <row r="912" spans="3:5" ht="12.75" x14ac:dyDescent="0.2">
      <c r="C912" s="2"/>
      <c r="E912" s="2"/>
    </row>
    <row r="913" spans="3:5" ht="12.75" x14ac:dyDescent="0.2">
      <c r="C913" s="2"/>
      <c r="E913" s="2"/>
    </row>
    <row r="914" spans="3:5" ht="12.75" x14ac:dyDescent="0.2">
      <c r="C914" s="2"/>
      <c r="E914" s="2"/>
    </row>
    <row r="915" spans="3:5" ht="12.75" x14ac:dyDescent="0.2">
      <c r="C915" s="2"/>
      <c r="E915" s="2"/>
    </row>
    <row r="916" spans="3:5" ht="12.75" x14ac:dyDescent="0.2">
      <c r="C916" s="2"/>
      <c r="E916" s="2"/>
    </row>
    <row r="917" spans="3:5" ht="12.75" x14ac:dyDescent="0.2">
      <c r="C917" s="2"/>
      <c r="E917" s="2"/>
    </row>
    <row r="918" spans="3:5" ht="12.75" x14ac:dyDescent="0.2">
      <c r="C918" s="2"/>
      <c r="E918" s="2"/>
    </row>
    <row r="919" spans="3:5" ht="12.75" x14ac:dyDescent="0.2">
      <c r="C919" s="2"/>
      <c r="E919" s="2"/>
    </row>
    <row r="920" spans="3:5" ht="12.75" x14ac:dyDescent="0.2">
      <c r="C920" s="2"/>
      <c r="E920" s="2"/>
    </row>
    <row r="921" spans="3:5" ht="12.75" x14ac:dyDescent="0.2">
      <c r="C921" s="2"/>
      <c r="E921" s="2"/>
    </row>
    <row r="922" spans="3:5" ht="12.75" x14ac:dyDescent="0.2">
      <c r="C922" s="2"/>
      <c r="E922" s="2"/>
    </row>
    <row r="923" spans="3:5" ht="12.75" x14ac:dyDescent="0.2">
      <c r="C923" s="2"/>
      <c r="E923" s="2"/>
    </row>
    <row r="924" spans="3:5" ht="12.75" x14ac:dyDescent="0.2">
      <c r="C924" s="2"/>
      <c r="E924" s="2"/>
    </row>
    <row r="925" spans="3:5" ht="12.75" x14ac:dyDescent="0.2">
      <c r="C925" s="2"/>
      <c r="E925" s="2"/>
    </row>
    <row r="926" spans="3:5" ht="12.75" x14ac:dyDescent="0.2">
      <c r="C926" s="2"/>
      <c r="E926" s="2"/>
    </row>
    <row r="927" spans="3:5" ht="12.75" x14ac:dyDescent="0.2">
      <c r="C927" s="2"/>
      <c r="E927" s="2"/>
    </row>
    <row r="928" spans="3:5" ht="12.75" x14ac:dyDescent="0.2">
      <c r="C928" s="2"/>
      <c r="E928" s="2"/>
    </row>
    <row r="929" spans="3:5" ht="12.75" x14ac:dyDescent="0.2">
      <c r="C929" s="2"/>
      <c r="E929" s="2"/>
    </row>
    <row r="930" spans="3:5" ht="12.75" x14ac:dyDescent="0.2">
      <c r="C930" s="2"/>
      <c r="E930" s="2"/>
    </row>
    <row r="931" spans="3:5" ht="12.75" x14ac:dyDescent="0.2">
      <c r="C931" s="2"/>
      <c r="E931" s="2"/>
    </row>
    <row r="932" spans="3:5" ht="12.75" x14ac:dyDescent="0.2">
      <c r="C932" s="2"/>
      <c r="E932" s="2"/>
    </row>
    <row r="933" spans="3:5" ht="12.75" x14ac:dyDescent="0.2">
      <c r="C933" s="2"/>
      <c r="E933" s="2"/>
    </row>
    <row r="934" spans="3:5" ht="12.75" x14ac:dyDescent="0.2">
      <c r="C934" s="2"/>
      <c r="E934" s="2"/>
    </row>
    <row r="935" spans="3:5" ht="12.75" x14ac:dyDescent="0.2">
      <c r="C935" s="2"/>
      <c r="E935" s="2"/>
    </row>
    <row r="936" spans="3:5" ht="12.75" x14ac:dyDescent="0.2">
      <c r="C936" s="2"/>
      <c r="E936" s="2"/>
    </row>
    <row r="937" spans="3:5" ht="12.75" x14ac:dyDescent="0.2">
      <c r="C937" s="2"/>
      <c r="E937" s="2"/>
    </row>
    <row r="938" spans="3:5" ht="12.75" x14ac:dyDescent="0.2">
      <c r="C938" s="2"/>
      <c r="E938" s="2"/>
    </row>
    <row r="939" spans="3:5" ht="12.75" x14ac:dyDescent="0.2">
      <c r="C939" s="2"/>
      <c r="E939" s="2"/>
    </row>
    <row r="940" spans="3:5" ht="12.75" x14ac:dyDescent="0.2">
      <c r="C940" s="2"/>
      <c r="E940" s="2"/>
    </row>
    <row r="941" spans="3:5" ht="12.75" x14ac:dyDescent="0.2">
      <c r="C941" s="2"/>
      <c r="E941" s="2"/>
    </row>
    <row r="942" spans="3:5" ht="12.75" x14ac:dyDescent="0.2">
      <c r="C942" s="2"/>
      <c r="E942" s="2"/>
    </row>
    <row r="943" spans="3:5" ht="12.75" x14ac:dyDescent="0.2">
      <c r="C943" s="2"/>
      <c r="E943" s="2"/>
    </row>
    <row r="944" spans="3:5" ht="12.75" x14ac:dyDescent="0.2">
      <c r="C944" s="2"/>
      <c r="E944" s="2"/>
    </row>
    <row r="945" spans="3:5" ht="12.75" x14ac:dyDescent="0.2">
      <c r="C945" s="2"/>
      <c r="E945" s="2"/>
    </row>
    <row r="946" spans="3:5" ht="12.75" x14ac:dyDescent="0.2">
      <c r="C946" s="2"/>
      <c r="E946" s="2"/>
    </row>
    <row r="947" spans="3:5" ht="12.75" x14ac:dyDescent="0.2">
      <c r="C947" s="2"/>
      <c r="E947" s="2"/>
    </row>
    <row r="948" spans="3:5" ht="12.75" x14ac:dyDescent="0.2">
      <c r="C948" s="2"/>
      <c r="E948" s="2"/>
    </row>
    <row r="949" spans="3:5" ht="12.75" x14ac:dyDescent="0.2">
      <c r="C949" s="2"/>
      <c r="E949" s="2"/>
    </row>
    <row r="950" spans="3:5" ht="12.75" x14ac:dyDescent="0.2">
      <c r="C950" s="2"/>
      <c r="E950" s="2"/>
    </row>
    <row r="951" spans="3:5" ht="12.75" x14ac:dyDescent="0.2">
      <c r="C951" s="2"/>
      <c r="E951" s="2"/>
    </row>
    <row r="952" spans="3:5" ht="12.75" x14ac:dyDescent="0.2">
      <c r="C952" s="2"/>
      <c r="E952" s="2"/>
    </row>
    <row r="953" spans="3:5" ht="12.75" x14ac:dyDescent="0.2">
      <c r="C953" s="2"/>
      <c r="E953" s="2"/>
    </row>
    <row r="954" spans="3:5" ht="12.75" x14ac:dyDescent="0.2">
      <c r="C954" s="2"/>
      <c r="E954" s="2"/>
    </row>
    <row r="955" spans="3:5" ht="12.75" x14ac:dyDescent="0.2">
      <c r="C955" s="2"/>
      <c r="E955" s="2"/>
    </row>
    <row r="956" spans="3:5" ht="12.75" x14ac:dyDescent="0.2">
      <c r="C956" s="2"/>
      <c r="E956" s="2"/>
    </row>
    <row r="957" spans="3:5" ht="12.75" x14ac:dyDescent="0.2">
      <c r="C957" s="2"/>
      <c r="E957" s="2"/>
    </row>
    <row r="958" spans="3:5" ht="12.75" x14ac:dyDescent="0.2">
      <c r="C958" s="2"/>
      <c r="E958" s="2"/>
    </row>
    <row r="959" spans="3:5" ht="12.75" x14ac:dyDescent="0.2">
      <c r="C959" s="2"/>
      <c r="E959" s="2"/>
    </row>
    <row r="960" spans="3:5" ht="12.75" x14ac:dyDescent="0.2">
      <c r="C960" s="2"/>
      <c r="E960" s="2"/>
    </row>
    <row r="961" spans="3:5" ht="12.75" x14ac:dyDescent="0.2">
      <c r="C961" s="2"/>
      <c r="E961" s="2"/>
    </row>
    <row r="962" spans="3:5" ht="12.75" x14ac:dyDescent="0.2">
      <c r="C962" s="2"/>
      <c r="E962" s="2"/>
    </row>
    <row r="963" spans="3:5" ht="12.75" x14ac:dyDescent="0.2">
      <c r="C963" s="2"/>
      <c r="E963" s="2"/>
    </row>
    <row r="964" spans="3:5" ht="12.75" x14ac:dyDescent="0.2">
      <c r="C964" s="2"/>
      <c r="E964" s="2"/>
    </row>
    <row r="965" spans="3:5" ht="12.75" x14ac:dyDescent="0.2">
      <c r="C965" s="2"/>
      <c r="E965" s="2"/>
    </row>
    <row r="966" spans="3:5" ht="12.75" x14ac:dyDescent="0.2">
      <c r="C966" s="2"/>
      <c r="E966" s="2"/>
    </row>
    <row r="967" spans="3:5" ht="12.75" x14ac:dyDescent="0.2">
      <c r="C967" s="2"/>
      <c r="E967" s="2"/>
    </row>
    <row r="968" spans="3:5" ht="12.75" x14ac:dyDescent="0.2">
      <c r="C968" s="2"/>
      <c r="E968" s="2"/>
    </row>
    <row r="969" spans="3:5" ht="12.75" x14ac:dyDescent="0.2">
      <c r="C969" s="2"/>
      <c r="E969" s="2"/>
    </row>
    <row r="970" spans="3:5" ht="12.75" x14ac:dyDescent="0.2">
      <c r="C970" s="2"/>
      <c r="E970" s="2"/>
    </row>
    <row r="971" spans="3:5" ht="12.75" x14ac:dyDescent="0.2">
      <c r="C971" s="2"/>
      <c r="E971" s="2"/>
    </row>
    <row r="972" spans="3:5" ht="12.75" x14ac:dyDescent="0.2">
      <c r="C972" s="2"/>
      <c r="E972" s="2"/>
    </row>
    <row r="973" spans="3:5" ht="12.75" x14ac:dyDescent="0.2">
      <c r="C973" s="2"/>
      <c r="E973" s="2"/>
    </row>
    <row r="974" spans="3:5" ht="12.75" x14ac:dyDescent="0.2">
      <c r="C974" s="2"/>
      <c r="E974" s="2"/>
    </row>
    <row r="975" spans="3:5" ht="12.75" x14ac:dyDescent="0.2">
      <c r="C975" s="2"/>
      <c r="E975" s="2"/>
    </row>
    <row r="976" spans="3:5" ht="12.75" x14ac:dyDescent="0.2">
      <c r="C976" s="2"/>
      <c r="E976" s="2"/>
    </row>
    <row r="977" spans="3:5" ht="12.75" x14ac:dyDescent="0.2">
      <c r="C977" s="2"/>
      <c r="E977" s="2"/>
    </row>
    <row r="978" spans="3:5" ht="12.75" x14ac:dyDescent="0.2">
      <c r="C978" s="2"/>
      <c r="E978" s="2"/>
    </row>
    <row r="979" spans="3:5" ht="12.75" x14ac:dyDescent="0.2">
      <c r="C979" s="2"/>
      <c r="E979" s="2"/>
    </row>
    <row r="980" spans="3:5" ht="12.75" x14ac:dyDescent="0.2">
      <c r="C980" s="2"/>
      <c r="E980" s="2"/>
    </row>
    <row r="981" spans="3:5" ht="12.75" x14ac:dyDescent="0.2">
      <c r="C981" s="2"/>
      <c r="E981" s="2"/>
    </row>
    <row r="982" spans="3:5" ht="12.75" x14ac:dyDescent="0.2">
      <c r="C982" s="2"/>
      <c r="E982" s="2"/>
    </row>
    <row r="983" spans="3:5" ht="12.75" x14ac:dyDescent="0.2">
      <c r="C983" s="2"/>
      <c r="E983" s="2"/>
    </row>
    <row r="984" spans="3:5" ht="12.75" x14ac:dyDescent="0.2">
      <c r="C984" s="2"/>
      <c r="E984" s="2"/>
    </row>
    <row r="985" spans="3:5" ht="12.75" x14ac:dyDescent="0.2">
      <c r="C985" s="2"/>
      <c r="E985" s="2"/>
    </row>
    <row r="986" spans="3:5" ht="12.75" x14ac:dyDescent="0.2">
      <c r="C986" s="2"/>
      <c r="E986" s="2"/>
    </row>
    <row r="987" spans="3:5" ht="12.75" x14ac:dyDescent="0.2">
      <c r="C987" s="2"/>
      <c r="E987" s="2"/>
    </row>
    <row r="988" spans="3:5" ht="12.75" x14ac:dyDescent="0.2">
      <c r="C988" s="2"/>
      <c r="E988" s="2"/>
    </row>
    <row r="989" spans="3:5" ht="12.75" x14ac:dyDescent="0.2">
      <c r="C989" s="2"/>
      <c r="E989" s="2"/>
    </row>
    <row r="990" spans="3:5" ht="12.75" x14ac:dyDescent="0.2">
      <c r="C990" s="2"/>
      <c r="E990" s="2"/>
    </row>
    <row r="991" spans="3:5" ht="12.75" x14ac:dyDescent="0.2">
      <c r="C991" s="2"/>
      <c r="E991" s="2"/>
    </row>
    <row r="992" spans="3:5" ht="12.75" x14ac:dyDescent="0.2">
      <c r="C992" s="2"/>
      <c r="E992" s="2"/>
    </row>
    <row r="993" spans="3:5" ht="12.75" x14ac:dyDescent="0.2">
      <c r="C993" s="2"/>
      <c r="E993" s="2"/>
    </row>
    <row r="994" spans="3:5" ht="12.75" x14ac:dyDescent="0.2">
      <c r="C994" s="2"/>
      <c r="E994" s="2"/>
    </row>
    <row r="995" spans="3:5" ht="12.75" x14ac:dyDescent="0.2">
      <c r="C995" s="2"/>
      <c r="E995" s="2"/>
    </row>
    <row r="996" spans="3:5" ht="12.75" x14ac:dyDescent="0.2">
      <c r="C996" s="2"/>
      <c r="E996" s="2"/>
    </row>
    <row r="997" spans="3:5" ht="12.75" x14ac:dyDescent="0.2">
      <c r="C997" s="2"/>
      <c r="E997" s="2"/>
    </row>
    <row r="998" spans="3:5" ht="12.75" x14ac:dyDescent="0.2">
      <c r="C998" s="2"/>
      <c r="E998" s="2"/>
    </row>
    <row r="999" spans="3:5" ht="12.75" x14ac:dyDescent="0.2">
      <c r="C999" s="2"/>
      <c r="E999" s="2"/>
    </row>
    <row r="1000" spans="3:5" ht="12.75" x14ac:dyDescent="0.2">
      <c r="C1000" s="2"/>
      <c r="E1000" s="2"/>
    </row>
    <row r="1001" spans="3:5" ht="12.75" x14ac:dyDescent="0.2">
      <c r="C1001" s="2"/>
      <c r="E1001" s="2"/>
    </row>
  </sheetData>
  <dataValidations count="2">
    <dataValidation type="list" allowBlank="1" showErrorMessage="1" sqref="E4:E203" xr:uid="{00000000-0002-0000-0100-000000000000}">
      <formula1>"Approved,Denied"</formula1>
    </dataValidation>
    <dataValidation type="list" allowBlank="1" showErrorMessage="1" sqref="C4:C203" xr:uid="{00000000-0002-0000-0100-000001000000}">
      <formula1>"NO,YES"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8"/>
  <sheetViews>
    <sheetView workbookViewId="0">
      <selection sqref="A1:F1"/>
    </sheetView>
  </sheetViews>
  <sheetFormatPr defaultColWidth="12.5703125" defaultRowHeight="15.75" customHeight="1" x14ac:dyDescent="0.2"/>
  <cols>
    <col min="1" max="6" width="28.28515625" customWidth="1"/>
  </cols>
  <sheetData>
    <row r="1" spans="1:6" ht="63.75" x14ac:dyDescent="0.2">
      <c r="A1" s="1369" t="s">
        <v>14</v>
      </c>
      <c r="B1" s="1348"/>
      <c r="C1" s="1348"/>
      <c r="D1" s="1348"/>
      <c r="E1" s="1348"/>
      <c r="F1" s="1349"/>
    </row>
    <row r="2" spans="1:6" ht="69.75" x14ac:dyDescent="0.2">
      <c r="A2" s="9"/>
      <c r="B2" s="9"/>
      <c r="C2" s="9"/>
      <c r="D2" s="9"/>
      <c r="E2" s="9"/>
      <c r="F2" s="9"/>
    </row>
    <row r="3" spans="1:6" ht="69.75" x14ac:dyDescent="0.2">
      <c r="A3" s="9"/>
      <c r="B3" s="9"/>
      <c r="C3" s="9"/>
      <c r="D3" s="9"/>
      <c r="E3" s="9"/>
      <c r="F3" s="9"/>
    </row>
    <row r="4" spans="1:6" ht="25.5" x14ac:dyDescent="0.2">
      <c r="A4" s="1347" t="s">
        <v>15</v>
      </c>
      <c r="B4" s="1348"/>
      <c r="C4" s="1348"/>
      <c r="D4" s="1348"/>
      <c r="E4" s="1348"/>
      <c r="F4" s="1349"/>
    </row>
    <row r="5" spans="1:6" ht="12.75" x14ac:dyDescent="0.2">
      <c r="A5" s="10"/>
      <c r="B5" s="10"/>
      <c r="C5" s="10"/>
      <c r="D5" s="10"/>
      <c r="E5" s="11"/>
      <c r="F5" s="11"/>
    </row>
    <row r="6" spans="1:6" ht="15" x14ac:dyDescent="0.2">
      <c r="A6" s="1355" t="s">
        <v>16</v>
      </c>
      <c r="B6" s="1356"/>
      <c r="C6" s="1356"/>
      <c r="D6" s="1357"/>
      <c r="E6" s="12"/>
      <c r="F6" s="13"/>
    </row>
    <row r="7" spans="1:6" ht="15" x14ac:dyDescent="0.2">
      <c r="A7" s="14" t="s">
        <v>17</v>
      </c>
      <c r="B7" s="15">
        <v>0.1</v>
      </c>
      <c r="C7" s="16" t="s">
        <v>18</v>
      </c>
      <c r="D7" s="17" t="s">
        <v>19</v>
      </c>
      <c r="E7" s="12"/>
      <c r="F7" s="18"/>
    </row>
    <row r="8" spans="1:6" ht="15" x14ac:dyDescent="0.2">
      <c r="A8" s="1361" t="s">
        <v>20</v>
      </c>
      <c r="B8" s="19">
        <v>0.5</v>
      </c>
      <c r="C8" s="20" t="s">
        <v>21</v>
      </c>
      <c r="D8" s="1363" t="s">
        <v>22</v>
      </c>
      <c r="E8" s="12"/>
      <c r="F8" s="18"/>
    </row>
    <row r="9" spans="1:6" ht="15" x14ac:dyDescent="0.2">
      <c r="A9" s="1365"/>
      <c r="B9" s="21">
        <v>0.3</v>
      </c>
      <c r="C9" s="22" t="s">
        <v>23</v>
      </c>
      <c r="D9" s="1370"/>
      <c r="E9" s="12"/>
      <c r="F9" s="18"/>
    </row>
    <row r="10" spans="1:6" ht="15" x14ac:dyDescent="0.2">
      <c r="A10" s="1362"/>
      <c r="B10" s="15">
        <f>1-B8-B9</f>
        <v>0.2</v>
      </c>
      <c r="C10" s="16" t="s">
        <v>24</v>
      </c>
      <c r="D10" s="1364"/>
      <c r="E10" s="12"/>
      <c r="F10" s="18"/>
    </row>
    <row r="11" spans="1:6" ht="15" x14ac:dyDescent="0.2">
      <c r="A11" s="1361" t="s">
        <v>25</v>
      </c>
      <c r="B11" s="19">
        <v>0.7</v>
      </c>
      <c r="C11" s="20" t="s">
        <v>21</v>
      </c>
      <c r="D11" s="1363" t="s">
        <v>26</v>
      </c>
      <c r="E11" s="12"/>
      <c r="F11" s="18"/>
    </row>
    <row r="12" spans="1:6" ht="15" x14ac:dyDescent="0.2">
      <c r="A12" s="1362"/>
      <c r="B12" s="23">
        <f>1-B11</f>
        <v>0.30000000000000004</v>
      </c>
      <c r="C12" s="16" t="s">
        <v>23</v>
      </c>
      <c r="D12" s="1364"/>
      <c r="E12" s="12"/>
      <c r="F12" s="18"/>
    </row>
    <row r="13" spans="1:6" ht="15" x14ac:dyDescent="0.2">
      <c r="A13" s="1361" t="s">
        <v>26</v>
      </c>
      <c r="B13" s="24">
        <v>0.1</v>
      </c>
      <c r="C13" s="20" t="s">
        <v>18</v>
      </c>
      <c r="D13" s="25" t="s">
        <v>27</v>
      </c>
      <c r="E13" s="12"/>
      <c r="F13" s="18"/>
    </row>
    <row r="14" spans="1:6" ht="15" x14ac:dyDescent="0.2">
      <c r="A14" s="1365"/>
      <c r="B14" s="26">
        <f>'Operations plan'!C67</f>
        <v>0.12</v>
      </c>
      <c r="C14" s="22" t="s">
        <v>28</v>
      </c>
      <c r="D14" s="27" t="s">
        <v>29</v>
      </c>
      <c r="E14" s="12"/>
      <c r="F14" s="18"/>
    </row>
    <row r="15" spans="1:6" ht="15" x14ac:dyDescent="0.2">
      <c r="A15" s="1362"/>
      <c r="B15" s="23">
        <f>'Operations plan'!C70</f>
        <v>0.12</v>
      </c>
      <c r="C15" s="16" t="s">
        <v>28</v>
      </c>
      <c r="D15" s="17" t="s">
        <v>30</v>
      </c>
      <c r="E15" s="12"/>
      <c r="F15" s="18"/>
    </row>
    <row r="16" spans="1:6" ht="15" x14ac:dyDescent="0.2">
      <c r="A16" s="20"/>
      <c r="B16" s="20"/>
      <c r="C16" s="20"/>
      <c r="D16" s="20"/>
      <c r="E16" s="22"/>
      <c r="F16" s="28"/>
    </row>
    <row r="17" spans="1:6" ht="15" x14ac:dyDescent="0.2">
      <c r="A17" s="29"/>
      <c r="B17" s="29"/>
      <c r="C17" s="29"/>
      <c r="D17" s="29"/>
      <c r="E17" s="22"/>
      <c r="F17" s="28"/>
    </row>
    <row r="18" spans="1:6" ht="15" x14ac:dyDescent="0.2">
      <c r="A18" s="1355" t="s">
        <v>31</v>
      </c>
      <c r="B18" s="1356"/>
      <c r="C18" s="1356"/>
      <c r="D18" s="1357"/>
      <c r="E18" s="30"/>
      <c r="F18" s="13"/>
    </row>
    <row r="19" spans="1:6" ht="15" x14ac:dyDescent="0.2">
      <c r="A19" s="31" t="s">
        <v>32</v>
      </c>
      <c r="B19" s="32" t="s">
        <v>33</v>
      </c>
      <c r="C19" s="32" t="s">
        <v>34</v>
      </c>
      <c r="D19" s="33" t="s">
        <v>35</v>
      </c>
      <c r="E19" s="30"/>
      <c r="F19" s="28"/>
    </row>
    <row r="20" spans="1:6" ht="15" x14ac:dyDescent="0.2">
      <c r="A20" s="34" t="s">
        <v>36</v>
      </c>
      <c r="B20" s="35">
        <f>SUM(B21:B24)</f>
        <v>36000000000</v>
      </c>
      <c r="C20" s="36">
        <v>0.5</v>
      </c>
      <c r="D20" s="37"/>
      <c r="E20" s="30"/>
      <c r="F20" s="28"/>
    </row>
    <row r="21" spans="1:6" ht="15" x14ac:dyDescent="0.2">
      <c r="A21" s="38" t="s">
        <v>37</v>
      </c>
      <c r="B21" s="39">
        <v>7300000000</v>
      </c>
      <c r="C21" s="40">
        <f t="shared" ref="C21:C24" si="0">B21/B$20</f>
        <v>0.20277777777777778</v>
      </c>
      <c r="D21" s="41">
        <v>45657</v>
      </c>
      <c r="E21" s="30"/>
      <c r="F21" s="28"/>
    </row>
    <row r="22" spans="1:6" ht="15" x14ac:dyDescent="0.2">
      <c r="A22" s="38" t="s">
        <v>38</v>
      </c>
      <c r="B22" s="39">
        <v>9400000000</v>
      </c>
      <c r="C22" s="40">
        <f t="shared" si="0"/>
        <v>0.26111111111111113</v>
      </c>
      <c r="D22" s="41">
        <v>45657</v>
      </c>
      <c r="E22" s="30"/>
      <c r="F22" s="28"/>
    </row>
    <row r="23" spans="1:6" ht="15" x14ac:dyDescent="0.2">
      <c r="A23" s="38" t="s">
        <v>39</v>
      </c>
      <c r="B23" s="39">
        <v>9700000000</v>
      </c>
      <c r="C23" s="40">
        <f t="shared" si="0"/>
        <v>0.26944444444444443</v>
      </c>
      <c r="D23" s="41">
        <v>45657</v>
      </c>
      <c r="E23" s="30"/>
      <c r="F23" s="28"/>
    </row>
    <row r="24" spans="1:6" ht="15" x14ac:dyDescent="0.2">
      <c r="A24" s="42" t="s">
        <v>40</v>
      </c>
      <c r="B24" s="43">
        <v>9600000000</v>
      </c>
      <c r="C24" s="44">
        <f t="shared" si="0"/>
        <v>0.26666666666666666</v>
      </c>
      <c r="D24" s="45">
        <v>45657</v>
      </c>
      <c r="E24" s="30"/>
      <c r="F24" s="28"/>
    </row>
    <row r="25" spans="1:6" ht="15" x14ac:dyDescent="0.2">
      <c r="A25" s="46" t="s">
        <v>41</v>
      </c>
      <c r="B25" s="47">
        <f t="shared" ref="B25:B26" si="1">C25*$B$27</f>
        <v>14399999999.999996</v>
      </c>
      <c r="C25" s="48">
        <f>1-(C20+C26)</f>
        <v>0.19999999999999996</v>
      </c>
      <c r="D25" s="49">
        <v>45780</v>
      </c>
      <c r="E25" s="30"/>
      <c r="F25" s="28"/>
    </row>
    <row r="26" spans="1:6" ht="15" x14ac:dyDescent="0.2">
      <c r="A26" s="46" t="s">
        <v>42</v>
      </c>
      <c r="B26" s="47">
        <f t="shared" si="1"/>
        <v>21600000000</v>
      </c>
      <c r="C26" s="48">
        <v>0.3</v>
      </c>
      <c r="D26" s="49">
        <v>45700</v>
      </c>
      <c r="E26" s="30"/>
      <c r="F26" s="28"/>
    </row>
    <row r="27" spans="1:6" ht="15" x14ac:dyDescent="0.2">
      <c r="A27" s="50" t="s">
        <v>43</v>
      </c>
      <c r="B27" s="1366">
        <f>B20/C20</f>
        <v>72000000000</v>
      </c>
      <c r="C27" s="1367"/>
      <c r="D27" s="1368"/>
      <c r="E27" s="30"/>
      <c r="F27" s="28"/>
    </row>
    <row r="28" spans="1:6" ht="15" x14ac:dyDescent="0.2">
      <c r="A28" s="20"/>
      <c r="B28" s="20"/>
      <c r="C28" s="20"/>
      <c r="D28" s="20"/>
      <c r="E28" s="22"/>
      <c r="F28" s="28"/>
    </row>
    <row r="29" spans="1:6" ht="15" x14ac:dyDescent="0.2">
      <c r="A29" s="29"/>
      <c r="B29" s="29"/>
      <c r="C29" s="29"/>
      <c r="D29" s="29"/>
      <c r="E29" s="22"/>
      <c r="F29" s="51"/>
    </row>
    <row r="30" spans="1:6" ht="15" x14ac:dyDescent="0.2">
      <c r="A30" s="1344" t="s">
        <v>44</v>
      </c>
      <c r="B30" s="1345"/>
      <c r="C30" s="1345"/>
      <c r="D30" s="1346"/>
      <c r="E30" s="30"/>
      <c r="F30" s="13"/>
    </row>
    <row r="31" spans="1:6" ht="15" x14ac:dyDescent="0.2">
      <c r="A31" s="52" t="s">
        <v>45</v>
      </c>
      <c r="B31" s="53">
        <f>B25</f>
        <v>14399999999.999996</v>
      </c>
      <c r="C31" s="54" t="s">
        <v>46</v>
      </c>
      <c r="D31" s="55" t="s">
        <v>47</v>
      </c>
      <c r="E31" s="30"/>
      <c r="F31" s="56"/>
    </row>
    <row r="32" spans="1:6" ht="15" x14ac:dyDescent="0.2">
      <c r="A32" s="22" t="s">
        <v>48</v>
      </c>
      <c r="B32" s="57">
        <v>7.3099999999999998E-2</v>
      </c>
      <c r="C32" s="58" t="s">
        <v>49</v>
      </c>
      <c r="D32" s="59" t="s">
        <v>50</v>
      </c>
      <c r="E32" s="30"/>
      <c r="F32" s="56"/>
    </row>
    <row r="33" spans="1:6" ht="15" x14ac:dyDescent="0.2">
      <c r="A33" s="60" t="s">
        <v>51</v>
      </c>
      <c r="B33" s="61" t="s">
        <v>52</v>
      </c>
      <c r="C33" s="60" t="s">
        <v>53</v>
      </c>
      <c r="D33" s="62" t="s">
        <v>54</v>
      </c>
      <c r="E33" s="30"/>
      <c r="F33" s="63"/>
    </row>
    <row r="34" spans="1:6" ht="15" x14ac:dyDescent="0.2">
      <c r="A34" s="64"/>
      <c r="B34" s="65">
        <v>46022</v>
      </c>
      <c r="C34" s="65">
        <v>46387</v>
      </c>
      <c r="D34" s="66">
        <v>46752</v>
      </c>
      <c r="E34" s="30"/>
      <c r="F34" s="63"/>
    </row>
    <row r="35" spans="1:6" ht="15" x14ac:dyDescent="0.2">
      <c r="A35" s="58" t="s">
        <v>55</v>
      </c>
      <c r="B35" s="67">
        <f>$B$31</f>
        <v>14399999999.999996</v>
      </c>
      <c r="C35" s="67">
        <f t="shared" ref="C35:D35" si="2">B39</f>
        <v>14399999999.999996</v>
      </c>
      <c r="D35" s="68">
        <f t="shared" si="2"/>
        <v>14399999999.999996</v>
      </c>
      <c r="E35" s="30"/>
      <c r="F35" s="22"/>
    </row>
    <row r="36" spans="1:6" ht="15" x14ac:dyDescent="0.2">
      <c r="A36" s="58" t="s">
        <v>56</v>
      </c>
      <c r="B36" s="67" t="e">
        <f t="shared" ref="B36:D36" ca="1" si="3">SUM(B37:B38)</f>
        <v>#NAME?</v>
      </c>
      <c r="C36" s="67" t="e">
        <f t="shared" ca="1" si="3"/>
        <v>#NAME?</v>
      </c>
      <c r="D36" s="68" t="e">
        <f t="shared" ca="1" si="3"/>
        <v>#NAME?</v>
      </c>
      <c r="E36" s="30"/>
      <c r="F36" s="22"/>
    </row>
    <row r="37" spans="1:6" ht="15" x14ac:dyDescent="0.2">
      <c r="A37" s="69" t="s">
        <v>57</v>
      </c>
      <c r="B37" s="67" t="e">
        <f t="array" aca="1" ref="B37" ca="1">SUM($B$31*(1-SEQUENCE(1,13,0)/12)*$B$32/12)</f>
        <v>#NAME?</v>
      </c>
      <c r="C37" s="67" t="e">
        <f t="array" aca="1" ref="C37" ca="1">SUM($B$31*(1-SEQUENCE(1,13,0)/12)*$B$32/12)</f>
        <v>#NAME?</v>
      </c>
      <c r="D37" s="68" t="e">
        <f t="array" aca="1" ref="D37" ca="1">SUM($B$31*(1-SEQUENCE(1,13,0)/12)*$B$32/12)</f>
        <v>#NAME?</v>
      </c>
      <c r="E37" s="30"/>
      <c r="F37" s="22"/>
    </row>
    <row r="38" spans="1:6" ht="15" x14ac:dyDescent="0.2">
      <c r="A38" s="69" t="s">
        <v>58</v>
      </c>
      <c r="B38" s="67" t="e">
        <f>B35/12*(DATEDIF(D25,DATEVALUE("12-31-2025"),"M"))</f>
        <v>#VALUE!</v>
      </c>
      <c r="C38" s="67">
        <f t="shared" ref="C38:D38" si="4">C35</f>
        <v>14399999999.999996</v>
      </c>
      <c r="D38" s="68">
        <f t="shared" si="4"/>
        <v>14399999999.999996</v>
      </c>
      <c r="E38" s="30"/>
      <c r="F38" s="22"/>
    </row>
    <row r="39" spans="1:6" ht="15" x14ac:dyDescent="0.2">
      <c r="A39" s="60" t="s">
        <v>59</v>
      </c>
      <c r="B39" s="70">
        <f t="shared" ref="B39:D39" si="5">$B$31</f>
        <v>14399999999.999996</v>
      </c>
      <c r="C39" s="70">
        <f t="shared" si="5"/>
        <v>14399999999.999996</v>
      </c>
      <c r="D39" s="71">
        <f t="shared" si="5"/>
        <v>14399999999.999996</v>
      </c>
      <c r="E39" s="30"/>
      <c r="F39" s="22"/>
    </row>
    <row r="40" spans="1:6" ht="15" x14ac:dyDescent="0.2">
      <c r="A40" s="22"/>
      <c r="B40" s="22"/>
      <c r="C40" s="22"/>
      <c r="D40" s="22"/>
      <c r="E40" s="30"/>
      <c r="F40" s="22"/>
    </row>
    <row r="41" spans="1:6" ht="15" x14ac:dyDescent="0.2">
      <c r="A41" s="29"/>
      <c r="B41" s="29"/>
      <c r="C41" s="29"/>
      <c r="D41" s="29"/>
      <c r="E41" s="30"/>
      <c r="F41" s="22"/>
    </row>
    <row r="42" spans="1:6" ht="15" x14ac:dyDescent="0.2">
      <c r="A42" s="1344" t="s">
        <v>60</v>
      </c>
      <c r="B42" s="1345"/>
      <c r="C42" s="1345"/>
      <c r="D42" s="1346"/>
      <c r="E42" s="30"/>
      <c r="F42" s="22"/>
    </row>
    <row r="43" spans="1:6" ht="15" x14ac:dyDescent="0.2">
      <c r="A43" s="72" t="s">
        <v>61</v>
      </c>
      <c r="B43" s="73">
        <v>0.2</v>
      </c>
      <c r="C43" s="74" t="s">
        <v>62</v>
      </c>
      <c r="D43" s="75" t="s">
        <v>63</v>
      </c>
      <c r="E43" s="30"/>
      <c r="F43" s="22"/>
    </row>
    <row r="44" spans="1:6" ht="15" x14ac:dyDescent="0.2">
      <c r="A44" s="76"/>
      <c r="B44" s="20"/>
      <c r="C44" s="20"/>
      <c r="D44" s="77"/>
      <c r="E44" s="30"/>
      <c r="F44" s="22"/>
    </row>
    <row r="45" spans="1:6" ht="15" x14ac:dyDescent="0.2">
      <c r="A45" s="30"/>
      <c r="B45" s="22"/>
      <c r="C45" s="22"/>
      <c r="D45" s="78"/>
      <c r="E45" s="30"/>
      <c r="F45" s="22"/>
    </row>
    <row r="46" spans="1:6" ht="15" x14ac:dyDescent="0.2">
      <c r="A46" s="1355" t="s">
        <v>64</v>
      </c>
      <c r="B46" s="1356"/>
      <c r="C46" s="1356"/>
      <c r="D46" s="1357"/>
      <c r="E46" s="30"/>
      <c r="F46" s="22"/>
    </row>
    <row r="47" spans="1:6" ht="15" x14ac:dyDescent="0.2">
      <c r="A47" s="1358" t="s">
        <v>65</v>
      </c>
      <c r="B47" s="1359"/>
      <c r="C47" s="1359"/>
      <c r="D47" s="1360"/>
      <c r="E47" s="30"/>
      <c r="F47" s="22"/>
    </row>
    <row r="48" spans="1:6" ht="15" x14ac:dyDescent="0.2">
      <c r="A48" s="22"/>
      <c r="B48" s="22"/>
      <c r="C48" s="22"/>
      <c r="D48" s="22"/>
      <c r="E48" s="30"/>
      <c r="F48" s="22"/>
    </row>
    <row r="49" spans="1:6" ht="15" x14ac:dyDescent="0.2">
      <c r="A49" s="20"/>
      <c r="B49" s="20"/>
      <c r="C49" s="20"/>
      <c r="D49" s="20"/>
      <c r="E49" s="22"/>
      <c r="F49" s="22"/>
    </row>
    <row r="50" spans="1:6" ht="15" x14ac:dyDescent="0.2">
      <c r="A50" s="22"/>
      <c r="B50" s="22"/>
      <c r="C50" s="22"/>
      <c r="D50" s="22"/>
      <c r="E50" s="22"/>
      <c r="F50" s="22"/>
    </row>
    <row r="51" spans="1:6" ht="15.75" customHeight="1" x14ac:dyDescent="0.35">
      <c r="A51" s="1350" t="s">
        <v>66</v>
      </c>
      <c r="B51" s="1348"/>
      <c r="C51" s="1348"/>
      <c r="D51" s="1348"/>
      <c r="E51" s="1348"/>
      <c r="F51" s="1349"/>
    </row>
    <row r="52" spans="1:6" ht="12.75" x14ac:dyDescent="0.2">
      <c r="A52" s="79"/>
      <c r="B52" s="79"/>
      <c r="C52" s="79"/>
      <c r="D52" s="79"/>
      <c r="E52" s="79"/>
      <c r="F52" s="79"/>
    </row>
    <row r="53" spans="1:6" ht="15" x14ac:dyDescent="0.2">
      <c r="A53" s="1351" t="s">
        <v>67</v>
      </c>
      <c r="B53" s="1345"/>
      <c r="C53" s="1345"/>
      <c r="D53" s="1346"/>
      <c r="E53" s="79"/>
      <c r="F53" s="22"/>
    </row>
    <row r="54" spans="1:6" ht="15" x14ac:dyDescent="0.2">
      <c r="A54" s="80" t="s">
        <v>68</v>
      </c>
      <c r="B54" s="81">
        <f>ROUNDDOWN(('Operations plan'!C61+'Operations plan'!C58)/B55,-2)</f>
        <v>2400</v>
      </c>
      <c r="C54" s="82" t="s">
        <v>69</v>
      </c>
      <c r="D54" s="83" t="s">
        <v>70</v>
      </c>
      <c r="E54" s="84"/>
      <c r="F54" s="22"/>
    </row>
    <row r="55" spans="1:6" ht="15" x14ac:dyDescent="0.2">
      <c r="A55" s="85" t="s">
        <v>71</v>
      </c>
      <c r="B55" s="86">
        <v>0.8</v>
      </c>
      <c r="C55" s="87" t="s">
        <v>72</v>
      </c>
      <c r="D55" s="88" t="s">
        <v>73</v>
      </c>
      <c r="E55" s="84"/>
      <c r="F55" s="22"/>
    </row>
    <row r="56" spans="1:6" ht="15" x14ac:dyDescent="0.2">
      <c r="A56" s="80" t="s">
        <v>74</v>
      </c>
      <c r="B56" s="89"/>
      <c r="C56" s="89"/>
      <c r="D56" s="90"/>
      <c r="E56" s="84"/>
      <c r="F56" s="22"/>
    </row>
    <row r="57" spans="1:6" ht="15" x14ac:dyDescent="0.2">
      <c r="A57" s="1352" t="s">
        <v>75</v>
      </c>
      <c r="B57" s="91">
        <f>'Operations plan'!C7</f>
        <v>90</v>
      </c>
      <c r="C57" s="92" t="s">
        <v>76</v>
      </c>
      <c r="D57" s="93" t="s">
        <v>77</v>
      </c>
      <c r="E57" s="84"/>
      <c r="F57" s="22"/>
    </row>
    <row r="58" spans="1:6" ht="15" x14ac:dyDescent="0.2">
      <c r="A58" s="1353"/>
      <c r="B58" s="94">
        <f>'Operations plan'!C17</f>
        <v>1200</v>
      </c>
      <c r="C58" s="95" t="s">
        <v>76</v>
      </c>
      <c r="D58" s="96" t="s">
        <v>30</v>
      </c>
      <c r="E58" s="84"/>
      <c r="F58" s="22"/>
    </row>
    <row r="59" spans="1:6" ht="15" x14ac:dyDescent="0.2">
      <c r="A59" s="1352" t="s">
        <v>78</v>
      </c>
      <c r="B59" s="91">
        <f>'Operations plan'!C8</f>
        <v>50</v>
      </c>
      <c r="C59" s="92" t="s">
        <v>76</v>
      </c>
      <c r="D59" s="93" t="s">
        <v>77</v>
      </c>
      <c r="E59" s="84"/>
      <c r="F59" s="22"/>
    </row>
    <row r="60" spans="1:6" ht="15" x14ac:dyDescent="0.2">
      <c r="A60" s="1354"/>
      <c r="B60" s="97">
        <f>'Operations plan'!C18</f>
        <v>600</v>
      </c>
      <c r="C60" s="98" t="s">
        <v>76</v>
      </c>
      <c r="D60" s="99" t="s">
        <v>30</v>
      </c>
      <c r="E60" s="84"/>
      <c r="F60" s="22"/>
    </row>
    <row r="61" spans="1:6" ht="15" x14ac:dyDescent="0.2">
      <c r="A61" s="80" t="s">
        <v>79</v>
      </c>
      <c r="B61" s="89"/>
      <c r="C61" s="89"/>
      <c r="D61" s="90"/>
      <c r="E61" s="84"/>
      <c r="F61" s="22"/>
    </row>
    <row r="62" spans="1:6" ht="15" x14ac:dyDescent="0.2">
      <c r="A62" s="100" t="s">
        <v>75</v>
      </c>
      <c r="B62" s="63">
        <f>'Operations plan'!C28</f>
        <v>6790000</v>
      </c>
      <c r="C62" s="101" t="s">
        <v>80</v>
      </c>
      <c r="D62" s="102" t="s">
        <v>81</v>
      </c>
      <c r="E62" s="84"/>
      <c r="F62" s="22"/>
    </row>
    <row r="63" spans="1:6" ht="15" x14ac:dyDescent="0.2">
      <c r="A63" s="103" t="s">
        <v>82</v>
      </c>
      <c r="B63" s="104">
        <f>'Operations plan'!C29</f>
        <v>17990000</v>
      </c>
      <c r="C63" s="98" t="s">
        <v>80</v>
      </c>
      <c r="D63" s="99" t="s">
        <v>81</v>
      </c>
      <c r="E63" s="84"/>
      <c r="F63" s="22"/>
    </row>
    <row r="64" spans="1:6" ht="15" x14ac:dyDescent="0.2">
      <c r="A64" s="80" t="s">
        <v>83</v>
      </c>
      <c r="B64" s="89"/>
      <c r="C64" s="89"/>
      <c r="D64" s="90"/>
      <c r="E64" s="79"/>
      <c r="F64" s="22"/>
    </row>
    <row r="65" spans="1:6" ht="15" x14ac:dyDescent="0.2">
      <c r="A65" s="100" t="s">
        <v>75</v>
      </c>
      <c r="B65" s="63">
        <v>3350000</v>
      </c>
      <c r="C65" s="101" t="s">
        <v>84</v>
      </c>
      <c r="D65" s="105"/>
      <c r="E65" s="84"/>
      <c r="F65" s="22"/>
    </row>
    <row r="66" spans="1:6" ht="15" x14ac:dyDescent="0.2">
      <c r="A66" s="103" t="s">
        <v>78</v>
      </c>
      <c r="B66" s="104">
        <v>10800000</v>
      </c>
      <c r="C66" s="98" t="s">
        <v>84</v>
      </c>
      <c r="D66" s="106"/>
      <c r="E66" s="84"/>
      <c r="F66" s="22"/>
    </row>
    <row r="67" spans="1:6" ht="15" x14ac:dyDescent="0.2">
      <c r="A67" s="79"/>
      <c r="B67" s="79"/>
      <c r="C67" s="79"/>
      <c r="D67" s="79"/>
      <c r="E67" s="84"/>
      <c r="F67" s="22"/>
    </row>
    <row r="68" spans="1:6" ht="15" x14ac:dyDescent="0.2">
      <c r="A68" s="107"/>
      <c r="B68" s="107"/>
      <c r="C68" s="107"/>
      <c r="D68" s="107"/>
      <c r="E68" s="84"/>
      <c r="F68" s="22"/>
    </row>
    <row r="69" spans="1:6" ht="15" x14ac:dyDescent="0.2">
      <c r="A69" s="1351" t="s">
        <v>85</v>
      </c>
      <c r="B69" s="1345"/>
      <c r="C69" s="1345"/>
      <c r="D69" s="1346"/>
      <c r="E69" s="84"/>
      <c r="F69" s="22"/>
    </row>
    <row r="70" spans="1:6" ht="15" x14ac:dyDescent="0.2">
      <c r="A70" s="108" t="s">
        <v>86</v>
      </c>
      <c r="B70" s="109">
        <v>0.1</v>
      </c>
      <c r="C70" s="101" t="s">
        <v>69</v>
      </c>
      <c r="D70" s="102" t="s">
        <v>68</v>
      </c>
      <c r="E70" s="84"/>
      <c r="F70" s="22"/>
    </row>
    <row r="71" spans="1:6" ht="15" x14ac:dyDescent="0.2">
      <c r="A71" s="110" t="s">
        <v>87</v>
      </c>
      <c r="B71" s="111">
        <f>'Operations plan'!C67</f>
        <v>0.12</v>
      </c>
      <c r="C71" s="98" t="s">
        <v>69</v>
      </c>
      <c r="D71" s="99" t="s">
        <v>88</v>
      </c>
      <c r="E71" s="84"/>
      <c r="F71" s="22"/>
    </row>
    <row r="72" spans="1:6" ht="15" x14ac:dyDescent="0.2">
      <c r="A72" s="112"/>
      <c r="B72" s="112"/>
      <c r="C72" s="112"/>
      <c r="D72" s="112"/>
      <c r="E72" s="84"/>
      <c r="F72" s="22"/>
    </row>
    <row r="73" spans="1:6" ht="15" x14ac:dyDescent="0.2">
      <c r="A73" s="79"/>
      <c r="B73" s="79"/>
      <c r="C73" s="79"/>
      <c r="D73" s="79"/>
      <c r="E73" s="84"/>
      <c r="F73" s="22"/>
    </row>
    <row r="74" spans="1:6" ht="15" x14ac:dyDescent="0.2">
      <c r="A74" s="1351" t="s">
        <v>89</v>
      </c>
      <c r="B74" s="1345"/>
      <c r="C74" s="1345"/>
      <c r="D74" s="1346"/>
      <c r="E74" s="84"/>
      <c r="F74" s="22"/>
    </row>
    <row r="75" spans="1:6" ht="15" x14ac:dyDescent="0.2">
      <c r="A75" s="85" t="s">
        <v>90</v>
      </c>
      <c r="B75" s="113">
        <v>80000000</v>
      </c>
      <c r="C75" s="95" t="s">
        <v>91</v>
      </c>
      <c r="D75" s="114">
        <v>45658</v>
      </c>
      <c r="E75" s="84"/>
      <c r="F75" s="22"/>
    </row>
    <row r="76" spans="1:6" ht="15" x14ac:dyDescent="0.2">
      <c r="A76" s="85" t="s">
        <v>92</v>
      </c>
      <c r="B76" s="113">
        <v>50000000</v>
      </c>
      <c r="C76" s="95" t="s">
        <v>91</v>
      </c>
      <c r="D76" s="114">
        <v>45689</v>
      </c>
      <c r="E76" s="84"/>
      <c r="F76" s="22"/>
    </row>
    <row r="77" spans="1:6" ht="15" x14ac:dyDescent="0.2">
      <c r="A77" s="110" t="s">
        <v>29</v>
      </c>
      <c r="B77" s="104">
        <v>120000000</v>
      </c>
      <c r="C77" s="98" t="s">
        <v>91</v>
      </c>
      <c r="D77" s="115">
        <v>45809</v>
      </c>
      <c r="E77" s="84"/>
      <c r="F77" s="22"/>
    </row>
    <row r="78" spans="1:6" ht="15" x14ac:dyDescent="0.2">
      <c r="A78" s="116"/>
      <c r="B78" s="116"/>
      <c r="C78" s="116"/>
      <c r="D78" s="117"/>
      <c r="E78" s="79"/>
      <c r="F78" s="22"/>
    </row>
    <row r="79" spans="1:6" ht="15" x14ac:dyDescent="0.2">
      <c r="A79" s="29"/>
      <c r="B79" s="29"/>
      <c r="C79" s="29"/>
      <c r="D79" s="118"/>
      <c r="E79" s="22"/>
      <c r="F79" s="22"/>
    </row>
    <row r="80" spans="1:6" ht="15" x14ac:dyDescent="0.2">
      <c r="A80" s="1344" t="s">
        <v>93</v>
      </c>
      <c r="B80" s="1345"/>
      <c r="C80" s="1345"/>
      <c r="D80" s="1346"/>
      <c r="E80" s="22"/>
      <c r="F80" s="22"/>
    </row>
    <row r="81" spans="1:6" ht="15" x14ac:dyDescent="0.2">
      <c r="A81" s="119" t="s">
        <v>90</v>
      </c>
      <c r="B81" s="120">
        <v>70000</v>
      </c>
      <c r="C81" s="29" t="s">
        <v>91</v>
      </c>
      <c r="D81" s="121" t="s">
        <v>94</v>
      </c>
      <c r="E81" s="30"/>
      <c r="F81" s="22"/>
    </row>
    <row r="82" spans="1:6" ht="15" x14ac:dyDescent="0.2">
      <c r="A82" s="58" t="s">
        <v>92</v>
      </c>
      <c r="B82" s="67">
        <v>3500000</v>
      </c>
      <c r="C82" s="22" t="s">
        <v>91</v>
      </c>
      <c r="D82" s="27" t="s">
        <v>95</v>
      </c>
      <c r="E82" s="30"/>
      <c r="F82" s="22"/>
    </row>
    <row r="83" spans="1:6" ht="15" x14ac:dyDescent="0.2">
      <c r="A83" s="72" t="s">
        <v>29</v>
      </c>
      <c r="B83" s="122">
        <v>7500000</v>
      </c>
      <c r="C83" s="74" t="s">
        <v>91</v>
      </c>
      <c r="D83" s="75" t="s">
        <v>95</v>
      </c>
      <c r="E83" s="30"/>
      <c r="F83" s="22"/>
    </row>
    <row r="84" spans="1:6" ht="15" x14ac:dyDescent="0.2">
      <c r="A84" s="123"/>
      <c r="B84" s="120"/>
      <c r="C84" s="29"/>
      <c r="D84" s="22"/>
      <c r="E84" s="22"/>
      <c r="F84" s="22"/>
    </row>
    <row r="85" spans="1:6" ht="15" x14ac:dyDescent="0.2">
      <c r="A85" s="22"/>
      <c r="B85" s="22"/>
      <c r="C85" s="22"/>
      <c r="D85" s="22"/>
      <c r="E85" s="22"/>
      <c r="F85" s="22"/>
    </row>
    <row r="86" spans="1:6" ht="25.5" x14ac:dyDescent="0.2">
      <c r="A86" s="1347" t="s">
        <v>96</v>
      </c>
      <c r="B86" s="1348"/>
      <c r="C86" s="1348"/>
      <c r="D86" s="1348"/>
      <c r="E86" s="1348"/>
      <c r="F86" s="1349"/>
    </row>
    <row r="87" spans="1:6" ht="15" x14ac:dyDescent="0.2">
      <c r="A87" s="29"/>
      <c r="B87" s="29"/>
      <c r="C87" s="29"/>
      <c r="D87" s="29"/>
      <c r="E87" s="22"/>
      <c r="F87" s="22"/>
    </row>
    <row r="88" spans="1:6" ht="15" x14ac:dyDescent="0.2">
      <c r="A88" s="1344" t="s">
        <v>97</v>
      </c>
      <c r="B88" s="1345"/>
      <c r="C88" s="1345"/>
      <c r="D88" s="1346"/>
      <c r="E88" s="30"/>
      <c r="F88" s="22"/>
    </row>
    <row r="89" spans="1:6" ht="15" x14ac:dyDescent="0.2">
      <c r="A89" s="58" t="s">
        <v>98</v>
      </c>
      <c r="B89" s="124">
        <v>0.32</v>
      </c>
      <c r="C89" s="22" t="s">
        <v>91</v>
      </c>
      <c r="D89" s="27" t="s">
        <v>99</v>
      </c>
      <c r="E89" s="30"/>
      <c r="F89" s="22"/>
    </row>
    <row r="90" spans="1:6" ht="15" x14ac:dyDescent="0.2">
      <c r="A90" s="125" t="s">
        <v>99</v>
      </c>
      <c r="B90" s="70">
        <v>5200000</v>
      </c>
      <c r="C90" s="16" t="s">
        <v>91</v>
      </c>
      <c r="D90" s="17" t="s">
        <v>100</v>
      </c>
      <c r="E90" s="30"/>
      <c r="F90" s="22"/>
    </row>
    <row r="91" spans="1:6" ht="15" x14ac:dyDescent="0.2">
      <c r="A91" s="126"/>
      <c r="B91" s="20"/>
      <c r="C91" s="20"/>
      <c r="D91" s="20"/>
      <c r="E91" s="22"/>
      <c r="F91" s="22"/>
    </row>
    <row r="92" spans="1:6" ht="15" x14ac:dyDescent="0.2">
      <c r="A92" s="127"/>
      <c r="B92" s="22"/>
      <c r="C92" s="22"/>
      <c r="D92" s="22"/>
      <c r="E92" s="22"/>
      <c r="F92" s="22"/>
    </row>
    <row r="93" spans="1:6" ht="25.5" x14ac:dyDescent="0.2">
      <c r="A93" s="1347" t="s">
        <v>101</v>
      </c>
      <c r="B93" s="1348"/>
      <c r="C93" s="1348"/>
      <c r="D93" s="1348"/>
      <c r="E93" s="1348"/>
      <c r="F93" s="1349"/>
    </row>
    <row r="94" spans="1:6" ht="15" x14ac:dyDescent="0.2">
      <c r="A94" s="128"/>
      <c r="B94" s="29"/>
      <c r="C94" s="29"/>
      <c r="D94" s="29"/>
      <c r="E94" s="22"/>
      <c r="F94" s="22"/>
    </row>
    <row r="95" spans="1:6" ht="15" x14ac:dyDescent="0.2">
      <c r="A95" s="1344" t="s">
        <v>102</v>
      </c>
      <c r="B95" s="1345"/>
      <c r="C95" s="1345"/>
      <c r="D95" s="1346"/>
      <c r="E95" s="30"/>
      <c r="F95" s="22"/>
    </row>
    <row r="96" spans="1:6" ht="15" x14ac:dyDescent="0.2">
      <c r="A96" s="129"/>
      <c r="B96" s="130">
        <v>2025</v>
      </c>
      <c r="C96" s="130">
        <v>2026</v>
      </c>
      <c r="D96" s="131">
        <v>2027</v>
      </c>
      <c r="E96" s="30"/>
      <c r="F96" s="22"/>
    </row>
    <row r="97" spans="1:6" ht="15" x14ac:dyDescent="0.2">
      <c r="A97" s="129" t="s">
        <v>103</v>
      </c>
      <c r="B97" s="132">
        <f ca="1">'INCOME STATEMENT'!J192/'INCOME STATEMENT'!J190</f>
        <v>0.15519188395140279</v>
      </c>
      <c r="C97" s="132">
        <f ca="1">'INCOME STATEMENT'!K192/'INCOME STATEMENT'!K190</f>
        <v>0.2395921746392112</v>
      </c>
      <c r="D97" s="133">
        <f ca="1">'INCOME STATEMENT'!L192/'INCOME STATEMENT'!L190</f>
        <v>0.28264621368875292</v>
      </c>
      <c r="E97" s="30"/>
      <c r="F97" s="22"/>
    </row>
    <row r="98" spans="1:6" ht="15" x14ac:dyDescent="0.2">
      <c r="A98" s="129" t="s">
        <v>104</v>
      </c>
      <c r="B98" s="132">
        <f ca="1">'BALANCE SHEET'!V34/'BALANCE SHEET'!V46</f>
        <v>1.7986030697227553</v>
      </c>
      <c r="C98" s="132">
        <f ca="1">'BALANCE SHEET'!W34/'BALANCE SHEET'!W46</f>
        <v>3.1922704987747843</v>
      </c>
      <c r="D98" s="133">
        <f ca="1">'BALANCE SHEET'!X34/'BALANCE SHEET'!X46</f>
        <v>6.6218165568221439</v>
      </c>
      <c r="E98" s="30"/>
      <c r="F98" s="22"/>
    </row>
    <row r="99" spans="1:6" ht="15" x14ac:dyDescent="0.2">
      <c r="A99" s="129" t="s">
        <v>105</v>
      </c>
      <c r="B99" s="132">
        <f ca="1">'BALANCE SHEET'!V46/'BALANCE SHEET'!V50</f>
        <v>0.14175116394901427</v>
      </c>
      <c r="C99" s="132">
        <f ca="1">'BALANCE SHEET'!W46/'BALANCE SHEET'!W50</f>
        <v>0.14825430175795939</v>
      </c>
      <c r="D99" s="133">
        <f ca="1">'BALANCE SHEET'!X46/'BALANCE SHEET'!X50</f>
        <v>0.10888019818383886</v>
      </c>
      <c r="E99" s="30"/>
      <c r="F99" s="22"/>
    </row>
    <row r="100" spans="1:6" ht="15" x14ac:dyDescent="0.2">
      <c r="A100" s="129" t="s">
        <v>106</v>
      </c>
      <c r="B100" s="132">
        <f ca="1">'BALANCE SHEET'!V46/'BALANCE SHEET'!V43</f>
        <v>0.12415241466339706</v>
      </c>
      <c r="C100" s="132">
        <f ca="1">'BALANCE SHEET'!W46/'BALANCE SHEET'!W43</f>
        <v>0.12911277713567834</v>
      </c>
      <c r="D100" s="133">
        <f ca="1">'BALANCE SHEET'!X46/'BALANCE SHEET'!X43</f>
        <v>9.8189325016504472E-2</v>
      </c>
      <c r="E100" s="30"/>
      <c r="F100" s="22"/>
    </row>
    <row r="101" spans="1:6" ht="15" x14ac:dyDescent="0.2">
      <c r="A101" s="134" t="s">
        <v>107</v>
      </c>
      <c r="B101" s="135">
        <f ca="1">'BALANCE SHEET'!V43/'BALANCE SHEET'!V50</f>
        <v>1.1417511639490143</v>
      </c>
      <c r="C101" s="135">
        <f ca="1">'BALANCE SHEET'!W43/'BALANCE SHEET'!W50</f>
        <v>1.1482543017579596</v>
      </c>
      <c r="D101" s="136">
        <f ca="1">'BALANCE SHEET'!X43/'BALANCE SHEET'!X50</f>
        <v>1.108880198183839</v>
      </c>
      <c r="E101" s="30"/>
      <c r="F101" s="22"/>
    </row>
    <row r="102" spans="1:6" ht="15" x14ac:dyDescent="0.2">
      <c r="A102" s="126"/>
      <c r="B102" s="137"/>
      <c r="C102" s="137"/>
      <c r="D102" s="137"/>
      <c r="E102" s="22"/>
      <c r="F102" s="22"/>
    </row>
    <row r="103" spans="1:6" ht="15" x14ac:dyDescent="0.2">
      <c r="A103" s="128"/>
      <c r="B103" s="138"/>
      <c r="C103" s="138"/>
      <c r="D103" s="138"/>
      <c r="E103" s="22"/>
      <c r="F103" s="22"/>
    </row>
    <row r="104" spans="1:6" ht="15" x14ac:dyDescent="0.2">
      <c r="A104" s="1344" t="s">
        <v>108</v>
      </c>
      <c r="B104" s="1345"/>
      <c r="C104" s="1345"/>
      <c r="D104" s="1346"/>
      <c r="E104" s="139"/>
      <c r="F104" s="22"/>
    </row>
    <row r="105" spans="1:6" ht="15" x14ac:dyDescent="0.2">
      <c r="A105" s="140"/>
      <c r="B105" s="141">
        <v>2025</v>
      </c>
      <c r="C105" s="141">
        <v>2026</v>
      </c>
      <c r="D105" s="142">
        <v>2027</v>
      </c>
      <c r="E105" s="139"/>
      <c r="F105" s="22"/>
    </row>
    <row r="106" spans="1:6" ht="15" x14ac:dyDescent="0.2">
      <c r="A106" s="143" t="s">
        <v>109</v>
      </c>
      <c r="B106" s="20"/>
      <c r="C106" s="20"/>
      <c r="D106" s="25"/>
      <c r="E106" s="30"/>
      <c r="F106" s="22"/>
    </row>
    <row r="107" spans="1:6" ht="15" x14ac:dyDescent="0.2">
      <c r="A107" s="38" t="s">
        <v>75</v>
      </c>
      <c r="B107" s="67">
        <f t="array" ref="B107">SUM(('Operations plan'!E28:P28-B65-$B$81)*'Operations plan'!E7:P7+('Operations plan'!E38:P38-B65-$B$81)*'Operations plan'!E17:P17)</f>
        <v>25463130000</v>
      </c>
      <c r="C107" s="67">
        <f t="array" ref="C107">SUM(('Operations plan'!R28:AC28-B65-$B$81)*'Operations plan'!R7:AC7+('Operations plan'!R38:AC38-B65-$B$81)*'Operations plan'!R17:AC17)</f>
        <v>47657520000</v>
      </c>
      <c r="D107" s="68">
        <f t="array" ref="D107">SUM(('Operations plan'!AE28:AP28-B65-$B$81)*'Operations plan'!AE7:AP7+('Operations plan'!AE38:AP38-B65-$B$81)*'Operations plan'!AE17:AP17)</f>
        <v>50998530000</v>
      </c>
      <c r="E107" s="30"/>
      <c r="F107" s="22"/>
    </row>
    <row r="108" spans="1:6" ht="15" x14ac:dyDescent="0.2">
      <c r="A108" s="42" t="s">
        <v>78</v>
      </c>
      <c r="B108" s="120">
        <f t="array" ref="B108">SUM(('Operations plan'!E29:P29-B66-$B$81)*'Operations plan'!E8:P8+('Operations plan'!E39:P39-B66-$B$81)*'Operations plan'!E18:P18)</f>
        <v>0</v>
      </c>
      <c r="C108" s="120">
        <f t="array" ref="C108">SUM(('Operations plan'!R29:AC29-B66-$B$81)*'Operations plan'!R8:AC8+('Operations plan'!R39:AC39-B66-$B$81)*'Operations plan'!R18:AC18)</f>
        <v>3192600000</v>
      </c>
      <c r="D108" s="144">
        <f t="array" ref="D108">SUM(('Operations plan'!AE29:AP29-B66-$B$81)*'Operations plan'!AE8:AP8+('Operations plan'!AE39:AP39-B66-$B$81)*'Operations plan'!AE18:AP18)</f>
        <v>26724010000</v>
      </c>
      <c r="E108" s="30"/>
      <c r="F108" s="22"/>
    </row>
    <row r="109" spans="1:6" ht="15" x14ac:dyDescent="0.2">
      <c r="A109" s="143" t="s">
        <v>110</v>
      </c>
      <c r="B109" s="20"/>
      <c r="C109" s="20"/>
      <c r="D109" s="25"/>
      <c r="E109" s="30"/>
      <c r="F109" s="22"/>
    </row>
    <row r="110" spans="1:6" ht="15" x14ac:dyDescent="0.2">
      <c r="A110" s="38" t="s">
        <v>75</v>
      </c>
      <c r="B110" s="145">
        <f>SUM('Operations plan'!E59:P59,'Operations plan'!E62:P62)</f>
        <v>9345</v>
      </c>
      <c r="C110" s="145">
        <f>SUM('Operations plan'!R59:AC59,'Operations plan'!R62:AC62)</f>
        <v>17442</v>
      </c>
      <c r="D110" s="146">
        <f>SUM('Operations plan'!AE59:AP59,'Operations plan'!AE62:AP62)</f>
        <v>18651</v>
      </c>
      <c r="E110" s="30"/>
      <c r="F110" s="22"/>
    </row>
    <row r="111" spans="1:6" ht="15" x14ac:dyDescent="0.2">
      <c r="A111" s="42" t="s">
        <v>78</v>
      </c>
      <c r="B111" s="147">
        <f>SUM('Operations plan'!E60:P60,'Operations plan'!E63:P63)</f>
        <v>0</v>
      </c>
      <c r="C111" s="147">
        <f>SUM('Operations plan'!R60:AC60,'Operations plan'!R63:AC63)</f>
        <v>600</v>
      </c>
      <c r="D111" s="148">
        <f>SUM('Operations plan'!AE60:AP60,'Operations plan'!AE63:AP63)</f>
        <v>4807</v>
      </c>
      <c r="E111" s="30"/>
      <c r="F111" s="22"/>
    </row>
    <row r="112" spans="1:6" ht="15" x14ac:dyDescent="0.2">
      <c r="A112" s="143" t="s">
        <v>111</v>
      </c>
      <c r="B112" s="20"/>
      <c r="C112" s="20"/>
      <c r="D112" s="149"/>
      <c r="E112" s="30"/>
      <c r="F112" s="22"/>
    </row>
    <row r="113" spans="1:6" ht="15" x14ac:dyDescent="0.2">
      <c r="A113" s="38" t="s">
        <v>75</v>
      </c>
      <c r="B113" s="67">
        <f t="shared" ref="B113:D113" si="6">B107/B110</f>
        <v>2724786.5168539328</v>
      </c>
      <c r="C113" s="67">
        <f t="shared" si="6"/>
        <v>2732342.62125903</v>
      </c>
      <c r="D113" s="68">
        <f t="shared" si="6"/>
        <v>2734359.0156023805</v>
      </c>
      <c r="E113" s="30"/>
      <c r="F113" s="22"/>
    </row>
    <row r="114" spans="1:6" ht="15" x14ac:dyDescent="0.2">
      <c r="A114" s="42" t="s">
        <v>78</v>
      </c>
      <c r="B114" s="29"/>
      <c r="C114" s="120">
        <f t="shared" ref="C114:D114" si="7">C108/C111</f>
        <v>5321000</v>
      </c>
      <c r="D114" s="144">
        <f t="shared" si="7"/>
        <v>5559394.6328271274</v>
      </c>
      <c r="E114" s="30"/>
      <c r="F114" s="22"/>
    </row>
    <row r="115" spans="1:6" ht="15" x14ac:dyDescent="0.2">
      <c r="A115" s="143" t="s">
        <v>112</v>
      </c>
      <c r="B115" s="20"/>
      <c r="C115" s="20"/>
      <c r="D115" s="25"/>
      <c r="E115" s="30"/>
      <c r="F115" s="22"/>
    </row>
    <row r="116" spans="1:6" ht="15" x14ac:dyDescent="0.2">
      <c r="A116" s="38" t="s">
        <v>75</v>
      </c>
      <c r="B116" s="150">
        <f t="shared" ref="B116:D116" si="8">B110/(B110+B111)</f>
        <v>1</v>
      </c>
      <c r="C116" s="150">
        <f t="shared" si="8"/>
        <v>0.96674426338543396</v>
      </c>
      <c r="D116" s="151">
        <f t="shared" si="8"/>
        <v>0.79508056952851902</v>
      </c>
      <c r="E116" s="30"/>
      <c r="F116" s="22"/>
    </row>
    <row r="117" spans="1:6" ht="15" x14ac:dyDescent="0.2">
      <c r="A117" s="42" t="s">
        <v>78</v>
      </c>
      <c r="B117" s="152">
        <f t="shared" ref="B117:D117" si="9">B111/(B111+B110)</f>
        <v>0</v>
      </c>
      <c r="C117" s="152">
        <f t="shared" si="9"/>
        <v>3.325573661456601E-2</v>
      </c>
      <c r="D117" s="153">
        <f t="shared" si="9"/>
        <v>0.20491943047148095</v>
      </c>
      <c r="E117" s="30"/>
      <c r="F117" s="22"/>
    </row>
    <row r="118" spans="1:6" ht="15" x14ac:dyDescent="0.2">
      <c r="A118" s="154" t="s">
        <v>113</v>
      </c>
      <c r="B118" s="155">
        <f t="shared" ref="B118:D118" si="10">SUMPRODUCT(B116:B117,B113:B114)</f>
        <v>2724786.5168539328</v>
      </c>
      <c r="C118" s="155">
        <f t="shared" si="10"/>
        <v>2818430.3292317926</v>
      </c>
      <c r="D118" s="156">
        <f t="shared" si="10"/>
        <v>3313263.7053457242</v>
      </c>
      <c r="E118" s="30"/>
      <c r="F118" s="22"/>
    </row>
    <row r="119" spans="1:6" ht="15" x14ac:dyDescent="0.2">
      <c r="A119" s="154" t="s">
        <v>114</v>
      </c>
      <c r="B119" s="155">
        <f ca="1">Expenses!E76-Expenses!E74</f>
        <v>20033095619.49934</v>
      </c>
      <c r="C119" s="155">
        <f ca="1">Expenses!F76-Expenses!F74</f>
        <v>31164023500</v>
      </c>
      <c r="D119" s="156">
        <f ca="1">Expenses!G76-Expenses!G74</f>
        <v>38711096300</v>
      </c>
      <c r="E119" s="30"/>
      <c r="F119" s="22"/>
    </row>
    <row r="120" spans="1:6" ht="15" x14ac:dyDescent="0.2">
      <c r="A120" s="157" t="s">
        <v>115</v>
      </c>
      <c r="B120" s="158">
        <f ca="1">B119/B118/6</f>
        <v>1225.3617849561394</v>
      </c>
      <c r="C120" s="158">
        <f t="shared" ref="C120:D120" ca="1" si="11">C119/C118/12</f>
        <v>921.43557050111178</v>
      </c>
      <c r="D120" s="159">
        <f t="shared" ca="1" si="11"/>
        <v>973.63958276603762</v>
      </c>
      <c r="E120" s="30"/>
      <c r="F120" s="22"/>
    </row>
    <row r="121" spans="1:6" ht="15" x14ac:dyDescent="0.2">
      <c r="A121" s="160" t="s">
        <v>116</v>
      </c>
      <c r="B121" s="161">
        <f t="shared" ref="B121:D121" ca="1" si="12">B119/B118</f>
        <v>7352.1707097368362</v>
      </c>
      <c r="C121" s="161">
        <f t="shared" ca="1" si="12"/>
        <v>11057.226846013342</v>
      </c>
      <c r="D121" s="162">
        <f t="shared" ca="1" si="12"/>
        <v>11683.674993192451</v>
      </c>
      <c r="E121" s="30"/>
      <c r="F121" s="22"/>
    </row>
    <row r="122" spans="1:6" ht="15" x14ac:dyDescent="0.2">
      <c r="A122" s="20"/>
      <c r="B122" s="20"/>
      <c r="C122" s="20"/>
      <c r="D122" s="20"/>
      <c r="E122" s="22"/>
      <c r="F122" s="22"/>
    </row>
    <row r="123" spans="1:6" ht="15" x14ac:dyDescent="0.2">
      <c r="A123" s="22"/>
      <c r="B123" s="22"/>
      <c r="C123" s="22"/>
      <c r="D123" s="22"/>
      <c r="E123" s="22"/>
      <c r="F123" s="22"/>
    </row>
    <row r="124" spans="1:6" ht="15" x14ac:dyDescent="0.2">
      <c r="A124" s="22"/>
      <c r="B124" s="22"/>
      <c r="C124" s="22"/>
      <c r="D124" s="22"/>
      <c r="E124" s="22"/>
      <c r="F124" s="22"/>
    </row>
    <row r="125" spans="1:6" ht="15" x14ac:dyDescent="0.2">
      <c r="A125" s="22"/>
      <c r="B125" s="22"/>
      <c r="C125" s="22"/>
      <c r="D125" s="22"/>
      <c r="E125" s="22"/>
      <c r="F125" s="22"/>
    </row>
    <row r="126" spans="1:6" ht="15" x14ac:dyDescent="0.2">
      <c r="A126" s="22"/>
      <c r="B126" s="22"/>
      <c r="C126" s="22"/>
      <c r="D126" s="22"/>
      <c r="E126" s="22"/>
      <c r="F126" s="22"/>
    </row>
    <row r="127" spans="1:6" ht="15" x14ac:dyDescent="0.2">
      <c r="A127" s="22"/>
      <c r="B127" s="22"/>
      <c r="C127" s="22"/>
      <c r="D127" s="22"/>
      <c r="E127" s="22"/>
      <c r="F127" s="22"/>
    </row>
    <row r="128" spans="1:6" ht="15" x14ac:dyDescent="0.2">
      <c r="A128" s="127"/>
      <c r="B128" s="22"/>
      <c r="C128" s="22"/>
      <c r="D128" s="22"/>
      <c r="E128" s="22"/>
      <c r="F128" s="22"/>
    </row>
  </sheetData>
  <mergeCells count="26">
    <mergeCell ref="A1:F1"/>
    <mergeCell ref="A4:F4"/>
    <mergeCell ref="A6:D6"/>
    <mergeCell ref="A8:A10"/>
    <mergeCell ref="D8:D10"/>
    <mergeCell ref="A11:A12"/>
    <mergeCell ref="D11:D12"/>
    <mergeCell ref="A13:A15"/>
    <mergeCell ref="A18:D18"/>
    <mergeCell ref="B27:D27"/>
    <mergeCell ref="A30:D30"/>
    <mergeCell ref="A42:D42"/>
    <mergeCell ref="A46:D46"/>
    <mergeCell ref="A47:D47"/>
    <mergeCell ref="A86:F86"/>
    <mergeCell ref="A88:D88"/>
    <mergeCell ref="A93:F93"/>
    <mergeCell ref="A95:D95"/>
    <mergeCell ref="A104:D104"/>
    <mergeCell ref="A51:F51"/>
    <mergeCell ref="A53:D53"/>
    <mergeCell ref="A57:A58"/>
    <mergeCell ref="A59:A60"/>
    <mergeCell ref="A69:D69"/>
    <mergeCell ref="A74:D74"/>
    <mergeCell ref="A80:D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41B47"/>
    <outlinePr summaryBelow="0" summaryRight="0"/>
  </sheetPr>
  <dimension ref="A1:AZ50"/>
  <sheetViews>
    <sheetView workbookViewId="0"/>
  </sheetViews>
  <sheetFormatPr defaultColWidth="12.5703125" defaultRowHeight="15.75" customHeight="1" x14ac:dyDescent="0.2"/>
  <cols>
    <col min="1" max="1" width="25.42578125" customWidth="1"/>
    <col min="3" max="6" width="12.5703125" hidden="1"/>
    <col min="7" max="46" width="15.7109375" customWidth="1"/>
  </cols>
  <sheetData>
    <row r="1" spans="1:52" ht="12.75" x14ac:dyDescent="0.2">
      <c r="A1" s="1379" t="s">
        <v>117</v>
      </c>
      <c r="B1" s="1380"/>
      <c r="C1" s="163"/>
      <c r="D1" s="163"/>
      <c r="E1" s="164"/>
      <c r="F1" s="165"/>
      <c r="G1" s="1376">
        <v>2025</v>
      </c>
      <c r="H1" s="1367"/>
      <c r="I1" s="1367"/>
      <c r="J1" s="1367"/>
      <c r="K1" s="1367"/>
      <c r="L1" s="1367"/>
      <c r="M1" s="1367"/>
      <c r="N1" s="1367"/>
      <c r="O1" s="1367"/>
      <c r="P1" s="1367"/>
      <c r="Q1" s="1367"/>
      <c r="R1" s="1368"/>
      <c r="S1" s="166"/>
      <c r="T1" s="1377">
        <v>2026</v>
      </c>
      <c r="U1" s="1367"/>
      <c r="V1" s="1367"/>
      <c r="W1" s="1367"/>
      <c r="X1" s="1367"/>
      <c r="Y1" s="1367"/>
      <c r="Z1" s="1367"/>
      <c r="AA1" s="1367"/>
      <c r="AB1" s="1367"/>
      <c r="AC1" s="1367"/>
      <c r="AD1" s="1367"/>
      <c r="AE1" s="1368"/>
      <c r="AF1" s="167"/>
      <c r="AG1" s="1376">
        <v>2027</v>
      </c>
      <c r="AH1" s="1367"/>
      <c r="AI1" s="1367"/>
      <c r="AJ1" s="1367"/>
      <c r="AK1" s="1367"/>
      <c r="AL1" s="1367"/>
      <c r="AM1" s="1367"/>
      <c r="AN1" s="1367"/>
      <c r="AO1" s="1367"/>
      <c r="AP1" s="1367"/>
      <c r="AQ1" s="1367"/>
      <c r="AR1" s="1368"/>
      <c r="AS1" s="168"/>
      <c r="AT1" s="169"/>
      <c r="AU1" s="170"/>
      <c r="AV1" s="170"/>
      <c r="AW1" s="170"/>
      <c r="AX1" s="170"/>
      <c r="AY1" s="170"/>
      <c r="AZ1" s="171"/>
    </row>
    <row r="2" spans="1:52" ht="12.75" x14ac:dyDescent="0.2">
      <c r="A2" s="1381"/>
      <c r="B2" s="1343"/>
      <c r="C2" s="172"/>
      <c r="D2" s="172"/>
      <c r="E2" s="172"/>
      <c r="F2" s="173"/>
      <c r="G2" s="1378" t="s">
        <v>118</v>
      </c>
      <c r="H2" s="1367"/>
      <c r="I2" s="1368"/>
      <c r="J2" s="1371" t="s">
        <v>119</v>
      </c>
      <c r="K2" s="1367"/>
      <c r="L2" s="1368"/>
      <c r="M2" s="1371" t="s">
        <v>120</v>
      </c>
      <c r="N2" s="1367"/>
      <c r="O2" s="1368"/>
      <c r="P2" s="1371" t="s">
        <v>121</v>
      </c>
      <c r="Q2" s="1367"/>
      <c r="R2" s="1368"/>
      <c r="S2" s="174"/>
      <c r="T2" s="1378" t="s">
        <v>118</v>
      </c>
      <c r="U2" s="1367"/>
      <c r="V2" s="1368"/>
      <c r="W2" s="1371" t="s">
        <v>119</v>
      </c>
      <c r="X2" s="1367"/>
      <c r="Y2" s="1368"/>
      <c r="Z2" s="1371" t="s">
        <v>120</v>
      </c>
      <c r="AA2" s="1367"/>
      <c r="AB2" s="1368"/>
      <c r="AC2" s="1371" t="s">
        <v>121</v>
      </c>
      <c r="AD2" s="1367"/>
      <c r="AE2" s="1368"/>
      <c r="AF2" s="174"/>
      <c r="AG2" s="1378" t="s">
        <v>118</v>
      </c>
      <c r="AH2" s="1367"/>
      <c r="AI2" s="1368"/>
      <c r="AJ2" s="1371" t="s">
        <v>119</v>
      </c>
      <c r="AK2" s="1367"/>
      <c r="AL2" s="1368"/>
      <c r="AM2" s="1371" t="s">
        <v>120</v>
      </c>
      <c r="AN2" s="1367"/>
      <c r="AO2" s="1368"/>
      <c r="AP2" s="1371" t="s">
        <v>121</v>
      </c>
      <c r="AQ2" s="1367"/>
      <c r="AR2" s="1368"/>
      <c r="AS2" s="175"/>
      <c r="AT2" s="176"/>
      <c r="AU2" s="176"/>
      <c r="AV2" s="176"/>
      <c r="AW2" s="176"/>
      <c r="AX2" s="176"/>
      <c r="AY2" s="176"/>
      <c r="AZ2" s="177"/>
    </row>
    <row r="3" spans="1:52" ht="18" x14ac:dyDescent="0.25">
      <c r="A3" s="1382"/>
      <c r="B3" s="1383"/>
      <c r="C3" s="178"/>
      <c r="D3" s="179"/>
      <c r="E3" s="180"/>
      <c r="F3" s="180"/>
      <c r="G3" s="181">
        <v>1</v>
      </c>
      <c r="H3" s="182">
        <v>2</v>
      </c>
      <c r="I3" s="182">
        <v>3</v>
      </c>
      <c r="J3" s="181">
        <v>4</v>
      </c>
      <c r="K3" s="181">
        <v>5</v>
      </c>
      <c r="L3" s="181">
        <v>6</v>
      </c>
      <c r="M3" s="181">
        <v>7</v>
      </c>
      <c r="N3" s="181">
        <v>8</v>
      </c>
      <c r="O3" s="181">
        <v>9</v>
      </c>
      <c r="P3" s="181">
        <v>10</v>
      </c>
      <c r="Q3" s="181">
        <v>11</v>
      </c>
      <c r="R3" s="183">
        <v>12</v>
      </c>
      <c r="S3" s="181"/>
      <c r="T3" s="181">
        <v>1</v>
      </c>
      <c r="U3" s="181">
        <v>2</v>
      </c>
      <c r="V3" s="181">
        <v>3</v>
      </c>
      <c r="W3" s="181">
        <v>4</v>
      </c>
      <c r="X3" s="181">
        <v>5</v>
      </c>
      <c r="Y3" s="181">
        <v>6</v>
      </c>
      <c r="Z3" s="181">
        <v>7</v>
      </c>
      <c r="AA3" s="181">
        <v>8</v>
      </c>
      <c r="AB3" s="181">
        <v>9</v>
      </c>
      <c r="AC3" s="181">
        <v>10</v>
      </c>
      <c r="AD3" s="181">
        <v>11</v>
      </c>
      <c r="AE3" s="183">
        <v>12</v>
      </c>
      <c r="AF3" s="181"/>
      <c r="AG3" s="181">
        <v>1</v>
      </c>
      <c r="AH3" s="181">
        <v>2</v>
      </c>
      <c r="AI3" s="181">
        <v>3</v>
      </c>
      <c r="AJ3" s="181">
        <v>4</v>
      </c>
      <c r="AK3" s="181">
        <v>5</v>
      </c>
      <c r="AL3" s="181">
        <v>6</v>
      </c>
      <c r="AM3" s="181">
        <v>7</v>
      </c>
      <c r="AN3" s="181">
        <v>8</v>
      </c>
      <c r="AO3" s="181">
        <v>9</v>
      </c>
      <c r="AP3" s="181">
        <v>10</v>
      </c>
      <c r="AQ3" s="181">
        <v>11</v>
      </c>
      <c r="AR3" s="183">
        <v>12</v>
      </c>
      <c r="AS3" s="184"/>
      <c r="AT3" s="185"/>
      <c r="AU3" s="185"/>
      <c r="AV3" s="185"/>
      <c r="AW3" s="185"/>
      <c r="AX3" s="185"/>
      <c r="AY3" s="185"/>
      <c r="AZ3" s="186"/>
    </row>
    <row r="4" spans="1:52" ht="18" x14ac:dyDescent="0.25">
      <c r="A4" s="1384" t="s">
        <v>122</v>
      </c>
      <c r="B4" s="1346"/>
      <c r="C4" s="187">
        <f>'Operations plan'!C16</f>
        <v>1800</v>
      </c>
      <c r="D4" s="188">
        <f>'Operations plan'!D16</f>
        <v>0</v>
      </c>
      <c r="E4" s="187"/>
      <c r="F4" s="187"/>
      <c r="G4" s="187">
        <f>'Operations plan'!E16</f>
        <v>0</v>
      </c>
      <c r="H4" s="189">
        <f>'Operations plan'!F16</f>
        <v>0</v>
      </c>
      <c r="I4" s="189">
        <f>'Operations plan'!G16</f>
        <v>0</v>
      </c>
      <c r="J4" s="187">
        <f>'Operations plan'!H16</f>
        <v>0</v>
      </c>
      <c r="K4" s="187">
        <f>'Operations plan'!I16</f>
        <v>0</v>
      </c>
      <c r="L4" s="187">
        <f>'Operations plan'!J16</f>
        <v>1200</v>
      </c>
      <c r="M4" s="187">
        <f>'Operations plan'!K16</f>
        <v>1200</v>
      </c>
      <c r="N4" s="187">
        <f>'Operations plan'!L16</f>
        <v>1260</v>
      </c>
      <c r="O4" s="187">
        <f>'Operations plan'!M16</f>
        <v>1260</v>
      </c>
      <c r="P4" s="187">
        <f>'Operations plan'!N16</f>
        <v>1320</v>
      </c>
      <c r="Q4" s="187">
        <f>'Operations plan'!O16</f>
        <v>1320</v>
      </c>
      <c r="R4" s="190">
        <f>'Operations plan'!P16</f>
        <v>1320</v>
      </c>
      <c r="S4" s="187"/>
      <c r="T4" s="187">
        <f>'Operations plan'!R16</f>
        <v>1140</v>
      </c>
      <c r="U4" s="187">
        <f>'Operations plan'!S16</f>
        <v>1140</v>
      </c>
      <c r="V4" s="187">
        <f>'Operations plan'!T16</f>
        <v>1140</v>
      </c>
      <c r="W4" s="187">
        <f>'Operations plan'!U16</f>
        <v>1380</v>
      </c>
      <c r="X4" s="187">
        <f>'Operations plan'!V16</f>
        <v>1380</v>
      </c>
      <c r="Y4" s="187">
        <f>'Operations plan'!W16</f>
        <v>1380</v>
      </c>
      <c r="Z4" s="187">
        <f>'Operations plan'!X16</f>
        <v>1440</v>
      </c>
      <c r="AA4" s="187">
        <f>'Operations plan'!Y16</f>
        <v>1440</v>
      </c>
      <c r="AB4" s="187">
        <f>'Operations plan'!Z16</f>
        <v>1440</v>
      </c>
      <c r="AC4" s="187">
        <f>'Operations plan'!AA16</f>
        <v>1500</v>
      </c>
      <c r="AD4" s="187">
        <f>'Operations plan'!AB16</f>
        <v>1800</v>
      </c>
      <c r="AE4" s="190">
        <f>'Operations plan'!AC16</f>
        <v>1800</v>
      </c>
      <c r="AF4" s="187"/>
      <c r="AG4" s="187">
        <f>'Operations plan'!AE16</f>
        <v>1530</v>
      </c>
      <c r="AH4" s="187">
        <f>'Operations plan'!AF16</f>
        <v>1530</v>
      </c>
      <c r="AI4" s="187">
        <f>'Operations plan'!AG16</f>
        <v>1530</v>
      </c>
      <c r="AJ4" s="187">
        <f>'Operations plan'!AH16</f>
        <v>1800</v>
      </c>
      <c r="AK4" s="187">
        <f>'Operations plan'!AI16</f>
        <v>1800</v>
      </c>
      <c r="AL4" s="187">
        <f>'Operations plan'!AJ16</f>
        <v>1800</v>
      </c>
      <c r="AM4" s="187">
        <f>'Operations plan'!AK16</f>
        <v>1890</v>
      </c>
      <c r="AN4" s="187">
        <f>'Operations plan'!AL16</f>
        <v>1890</v>
      </c>
      <c r="AO4" s="187">
        <f>'Operations plan'!AM16</f>
        <v>1920</v>
      </c>
      <c r="AP4" s="187">
        <f>'Operations plan'!AN16</f>
        <v>1980</v>
      </c>
      <c r="AQ4" s="187">
        <f>'Operations plan'!AO16</f>
        <v>1980</v>
      </c>
      <c r="AR4" s="190">
        <f>'Operations plan'!AP16</f>
        <v>1980</v>
      </c>
      <c r="AS4" s="191"/>
      <c r="AT4" s="192"/>
      <c r="AU4" s="192"/>
      <c r="AV4" s="192"/>
      <c r="AW4" s="192"/>
      <c r="AX4" s="192"/>
      <c r="AY4" s="192"/>
      <c r="AZ4" s="193"/>
    </row>
    <row r="5" spans="1:52" ht="12.75" x14ac:dyDescent="0.2">
      <c r="A5" s="1385"/>
      <c r="B5" s="194" t="s">
        <v>123</v>
      </c>
      <c r="C5" s="195">
        <f>'Operations plan'!C17</f>
        <v>1200</v>
      </c>
      <c r="D5" s="196">
        <f>'Operations plan'!D17</f>
        <v>1200</v>
      </c>
      <c r="E5" s="197"/>
      <c r="F5" s="197"/>
      <c r="G5" s="198">
        <f>'Operations plan'!E17</f>
        <v>0</v>
      </c>
      <c r="H5" s="198">
        <f>'Operations plan'!F17</f>
        <v>0</v>
      </c>
      <c r="I5" s="198">
        <f>'Operations plan'!G17</f>
        <v>0</v>
      </c>
      <c r="J5" s="199">
        <f>'Operations plan'!H17</f>
        <v>0</v>
      </c>
      <c r="K5" s="199">
        <f>'Operations plan'!I17</f>
        <v>0</v>
      </c>
      <c r="L5" s="199">
        <f>'Operations plan'!J17</f>
        <v>1200</v>
      </c>
      <c r="M5" s="199">
        <f>'Operations plan'!K17</f>
        <v>1200</v>
      </c>
      <c r="N5" s="199">
        <f>'Operations plan'!L17</f>
        <v>1260</v>
      </c>
      <c r="O5" s="199">
        <f>'Operations plan'!M17</f>
        <v>1260</v>
      </c>
      <c r="P5" s="199">
        <f>'Operations plan'!N17</f>
        <v>1320</v>
      </c>
      <c r="Q5" s="199">
        <f>'Operations plan'!O17</f>
        <v>1320</v>
      </c>
      <c r="R5" s="200">
        <f>'Operations plan'!P17</f>
        <v>1320</v>
      </c>
      <c r="S5" s="199"/>
      <c r="T5" s="199">
        <f>'Operations plan'!R17</f>
        <v>1140</v>
      </c>
      <c r="U5" s="199">
        <f>'Operations plan'!S17</f>
        <v>1140</v>
      </c>
      <c r="V5" s="199">
        <f>'Operations plan'!T17</f>
        <v>1140</v>
      </c>
      <c r="W5" s="199">
        <f>'Operations plan'!U17</f>
        <v>1380</v>
      </c>
      <c r="X5" s="199">
        <f>'Operations plan'!V17</f>
        <v>1380</v>
      </c>
      <c r="Y5" s="199">
        <f>'Operations plan'!W17</f>
        <v>1380</v>
      </c>
      <c r="Z5" s="199">
        <f>'Operations plan'!X17</f>
        <v>1440</v>
      </c>
      <c r="AA5" s="199">
        <f>'Operations plan'!Y17</f>
        <v>1440</v>
      </c>
      <c r="AB5" s="199">
        <f>'Operations plan'!Z17</f>
        <v>1440</v>
      </c>
      <c r="AC5" s="199">
        <f>'Operations plan'!AA17</f>
        <v>1500</v>
      </c>
      <c r="AD5" s="199">
        <f>'Operations plan'!AB17</f>
        <v>1500</v>
      </c>
      <c r="AE5" s="200">
        <f>'Operations plan'!AC17</f>
        <v>1500</v>
      </c>
      <c r="AF5" s="199"/>
      <c r="AG5" s="199">
        <f>'Operations plan'!AE17</f>
        <v>1320</v>
      </c>
      <c r="AH5" s="199">
        <f>'Operations plan'!AF17</f>
        <v>1320</v>
      </c>
      <c r="AI5" s="199">
        <f>'Operations plan'!AG17</f>
        <v>1320</v>
      </c>
      <c r="AJ5" s="199">
        <f>'Operations plan'!AH17</f>
        <v>1440</v>
      </c>
      <c r="AK5" s="199">
        <f>'Operations plan'!AI17</f>
        <v>1440</v>
      </c>
      <c r="AL5" s="199">
        <f>'Operations plan'!AJ17</f>
        <v>1440</v>
      </c>
      <c r="AM5" s="199">
        <f>'Operations plan'!AK17</f>
        <v>1500</v>
      </c>
      <c r="AN5" s="199">
        <f>'Operations plan'!AL17</f>
        <v>1500</v>
      </c>
      <c r="AO5" s="199">
        <f>'Operations plan'!AM17</f>
        <v>1500</v>
      </c>
      <c r="AP5" s="199">
        <f>'Operations plan'!AN17</f>
        <v>1560</v>
      </c>
      <c r="AQ5" s="199">
        <f>'Operations plan'!AO17</f>
        <v>1560</v>
      </c>
      <c r="AR5" s="200">
        <f>'Operations plan'!AP17</f>
        <v>1560</v>
      </c>
      <c r="AS5" s="191"/>
      <c r="AT5" s="192"/>
      <c r="AU5" s="192"/>
      <c r="AV5" s="192"/>
      <c r="AW5" s="192"/>
      <c r="AX5" s="192"/>
      <c r="AY5" s="192"/>
      <c r="AZ5" s="193"/>
    </row>
    <row r="6" spans="1:52" ht="12.75" x14ac:dyDescent="0.2">
      <c r="A6" s="1386"/>
      <c r="B6" s="201" t="s">
        <v>124</v>
      </c>
      <c r="C6" s="202">
        <f>'Operations plan'!C18</f>
        <v>600</v>
      </c>
      <c r="D6" s="203">
        <f>'Operations plan'!D18</f>
        <v>600</v>
      </c>
      <c r="E6" s="204"/>
      <c r="F6" s="204"/>
      <c r="G6" s="205">
        <f>'Operations plan'!E18</f>
        <v>0</v>
      </c>
      <c r="H6" s="205">
        <f>'Operations plan'!F18</f>
        <v>0</v>
      </c>
      <c r="I6" s="205">
        <f>'Operations plan'!G18</f>
        <v>0</v>
      </c>
      <c r="J6" s="206">
        <f>'Operations plan'!H18</f>
        <v>0</v>
      </c>
      <c r="K6" s="206">
        <f>'Operations plan'!I18</f>
        <v>0</v>
      </c>
      <c r="L6" s="206">
        <f>'Operations plan'!J18</f>
        <v>0</v>
      </c>
      <c r="M6" s="206">
        <f>'Operations plan'!K18</f>
        <v>0</v>
      </c>
      <c r="N6" s="206">
        <f>'Operations plan'!L18</f>
        <v>0</v>
      </c>
      <c r="O6" s="206">
        <f>'Operations plan'!M18</f>
        <v>0</v>
      </c>
      <c r="P6" s="206">
        <f>'Operations plan'!N18</f>
        <v>0</v>
      </c>
      <c r="Q6" s="206">
        <f>'Operations plan'!O18</f>
        <v>0</v>
      </c>
      <c r="R6" s="207">
        <f>'Operations plan'!P18</f>
        <v>0</v>
      </c>
      <c r="S6" s="206"/>
      <c r="T6" s="206">
        <f>'Operations plan'!R18</f>
        <v>0</v>
      </c>
      <c r="U6" s="206">
        <f>'Operations plan'!S18</f>
        <v>0</v>
      </c>
      <c r="V6" s="206">
        <f>'Operations plan'!T18</f>
        <v>0</v>
      </c>
      <c r="W6" s="206">
        <f>'Operations plan'!U18</f>
        <v>0</v>
      </c>
      <c r="X6" s="206">
        <f>'Operations plan'!V18</f>
        <v>0</v>
      </c>
      <c r="Y6" s="206">
        <f>'Operations plan'!W18</f>
        <v>0</v>
      </c>
      <c r="Z6" s="206">
        <f>'Operations plan'!X18</f>
        <v>0</v>
      </c>
      <c r="AA6" s="206">
        <f>'Operations plan'!Y18</f>
        <v>0</v>
      </c>
      <c r="AB6" s="206">
        <f>'Operations plan'!Z18</f>
        <v>0</v>
      </c>
      <c r="AC6" s="206">
        <f>'Operations plan'!AA18</f>
        <v>0</v>
      </c>
      <c r="AD6" s="206">
        <f>'Operations plan'!AB18</f>
        <v>300</v>
      </c>
      <c r="AE6" s="207">
        <f>'Operations plan'!AC18</f>
        <v>300</v>
      </c>
      <c r="AF6" s="206"/>
      <c r="AG6" s="206">
        <f>'Operations plan'!AE18</f>
        <v>210</v>
      </c>
      <c r="AH6" s="206">
        <f>'Operations plan'!AF18</f>
        <v>210</v>
      </c>
      <c r="AI6" s="206">
        <f>'Operations plan'!AG18</f>
        <v>210</v>
      </c>
      <c r="AJ6" s="206">
        <f>'Operations plan'!AH18</f>
        <v>360</v>
      </c>
      <c r="AK6" s="206">
        <f>'Operations plan'!AI18</f>
        <v>360</v>
      </c>
      <c r="AL6" s="206">
        <f>'Operations plan'!AJ18</f>
        <v>360</v>
      </c>
      <c r="AM6" s="206">
        <f>'Operations plan'!AK18</f>
        <v>390</v>
      </c>
      <c r="AN6" s="206">
        <f>'Operations plan'!AL18</f>
        <v>390</v>
      </c>
      <c r="AO6" s="206">
        <f>'Operations plan'!AM18</f>
        <v>420</v>
      </c>
      <c r="AP6" s="206">
        <f>'Operations plan'!AN18</f>
        <v>420</v>
      </c>
      <c r="AQ6" s="206">
        <f>'Operations plan'!AO18</f>
        <v>420</v>
      </c>
      <c r="AR6" s="207">
        <f>'Operations plan'!AP18</f>
        <v>420</v>
      </c>
      <c r="AS6" s="191"/>
      <c r="AT6" s="192"/>
      <c r="AU6" s="192"/>
      <c r="AV6" s="192"/>
      <c r="AW6" s="192"/>
      <c r="AX6" s="192"/>
      <c r="AY6" s="192"/>
      <c r="AZ6" s="193"/>
    </row>
    <row r="7" spans="1:52" ht="18" x14ac:dyDescent="0.25">
      <c r="A7" s="1387" t="s">
        <v>125</v>
      </c>
      <c r="B7" s="1346"/>
      <c r="C7" s="208" t="str">
        <f>'Operations plan'!C37</f>
        <v>Base          \ Sale</v>
      </c>
      <c r="D7" s="209">
        <f>'Operations plan'!D37</f>
        <v>18942000000</v>
      </c>
      <c r="E7" s="187"/>
      <c r="F7" s="187"/>
      <c r="G7" s="210">
        <f>'Operations plan'!E37</f>
        <v>0</v>
      </c>
      <c r="H7" s="211">
        <f>'Operations plan'!F37</f>
        <v>0</v>
      </c>
      <c r="I7" s="211">
        <f>'Operations plan'!G37</f>
        <v>0</v>
      </c>
      <c r="J7" s="210">
        <f>'Operations plan'!H37</f>
        <v>0</v>
      </c>
      <c r="K7" s="210">
        <f>'Operations plan'!I37</f>
        <v>0</v>
      </c>
      <c r="L7" s="210">
        <f>'Operations plan'!J37</f>
        <v>7333200000</v>
      </c>
      <c r="M7" s="210">
        <f>'Operations plan'!K37</f>
        <v>7333200000</v>
      </c>
      <c r="N7" s="210">
        <f>'Operations plan'!L37</f>
        <v>7699860000</v>
      </c>
      <c r="O7" s="210">
        <f>'Operations plan'!M37</f>
        <v>7699860000</v>
      </c>
      <c r="P7" s="210">
        <f>'Operations plan'!N37</f>
        <v>8066520000</v>
      </c>
      <c r="Q7" s="210">
        <f>'Operations plan'!O37</f>
        <v>8066520000</v>
      </c>
      <c r="R7" s="212">
        <f>'Operations plan'!P37</f>
        <v>8066520000</v>
      </c>
      <c r="S7" s="210"/>
      <c r="T7" s="210">
        <f>'Operations plan'!R37</f>
        <v>6966540000</v>
      </c>
      <c r="U7" s="210">
        <f>'Operations plan'!S37</f>
        <v>6966540000</v>
      </c>
      <c r="V7" s="210">
        <f>'Operations plan'!T37</f>
        <v>6966540000</v>
      </c>
      <c r="W7" s="210">
        <f>'Operations plan'!U37</f>
        <v>8433180000</v>
      </c>
      <c r="X7" s="210">
        <f>'Operations plan'!V37</f>
        <v>8433180000</v>
      </c>
      <c r="Y7" s="210">
        <f>'Operations plan'!W37</f>
        <v>8433180000</v>
      </c>
      <c r="Z7" s="210">
        <f>'Operations plan'!X37</f>
        <v>8799840000</v>
      </c>
      <c r="AA7" s="210">
        <f>'Operations plan'!Y37</f>
        <v>8799840000</v>
      </c>
      <c r="AB7" s="210">
        <f>'Operations plan'!Z37</f>
        <v>8799840000</v>
      </c>
      <c r="AC7" s="210">
        <f>'Operations plan'!AA37</f>
        <v>9166500000</v>
      </c>
      <c r="AD7" s="210">
        <f>'Operations plan'!AB37</f>
        <v>14023800000</v>
      </c>
      <c r="AE7" s="212">
        <f>'Operations plan'!AC37</f>
        <v>14023800000</v>
      </c>
      <c r="AF7" s="210"/>
      <c r="AG7" s="210">
        <f>'Operations plan'!AE37</f>
        <v>11466630000</v>
      </c>
      <c r="AH7" s="210">
        <f>'Operations plan'!AF37</f>
        <v>11466630000</v>
      </c>
      <c r="AI7" s="210">
        <f>'Operations plan'!AG37</f>
        <v>11466630000</v>
      </c>
      <c r="AJ7" s="210">
        <f>'Operations plan'!AH37</f>
        <v>14628600000</v>
      </c>
      <c r="AK7" s="210">
        <f>'Operations plan'!AI37</f>
        <v>14628600000</v>
      </c>
      <c r="AL7" s="210">
        <f>'Operations plan'!AJ37</f>
        <v>14628600000</v>
      </c>
      <c r="AM7" s="210">
        <f>'Operations plan'!AK37</f>
        <v>15480990000</v>
      </c>
      <c r="AN7" s="210">
        <f>'Operations plan'!AL37</f>
        <v>15480990000</v>
      </c>
      <c r="AO7" s="210">
        <f>'Operations plan'!AM37</f>
        <v>15966720000</v>
      </c>
      <c r="AP7" s="210">
        <f>'Operations plan'!AN37</f>
        <v>16333380000</v>
      </c>
      <c r="AQ7" s="210">
        <f>'Operations plan'!AO37</f>
        <v>16333380000</v>
      </c>
      <c r="AR7" s="212">
        <f>'Operations plan'!AP37</f>
        <v>16333380000</v>
      </c>
      <c r="AS7" s="191"/>
      <c r="AT7" s="192"/>
      <c r="AU7" s="192"/>
      <c r="AV7" s="192"/>
      <c r="AW7" s="192"/>
      <c r="AX7" s="192"/>
      <c r="AY7" s="192"/>
      <c r="AZ7" s="193"/>
    </row>
    <row r="8" spans="1:52" ht="12.75" x14ac:dyDescent="0.2">
      <c r="A8" s="1388"/>
      <c r="B8" s="194" t="s">
        <v>123</v>
      </c>
      <c r="C8" s="213">
        <f>'Operations plan'!C38</f>
        <v>6790000</v>
      </c>
      <c r="D8" s="196">
        <f>'Operations plan'!D38</f>
        <v>6790000</v>
      </c>
      <c r="E8" s="214"/>
      <c r="F8" s="214"/>
      <c r="G8" s="215">
        <f>'Operations plan'!E38</f>
        <v>6111000</v>
      </c>
      <c r="H8" s="215">
        <f>'Operations plan'!F38</f>
        <v>6111000</v>
      </c>
      <c r="I8" s="215">
        <f>'Operations plan'!G38</f>
        <v>6111000</v>
      </c>
      <c r="J8" s="216">
        <f>'Operations plan'!H38</f>
        <v>6111000</v>
      </c>
      <c r="K8" s="216">
        <f>'Operations plan'!I38</f>
        <v>6111000</v>
      </c>
      <c r="L8" s="216">
        <f>'Operations plan'!J38</f>
        <v>6111000</v>
      </c>
      <c r="M8" s="216">
        <f>'Operations plan'!K38</f>
        <v>6111000</v>
      </c>
      <c r="N8" s="216">
        <f>'Operations plan'!L38</f>
        <v>6111000</v>
      </c>
      <c r="O8" s="216">
        <f>'Operations plan'!M38</f>
        <v>6111000</v>
      </c>
      <c r="P8" s="216">
        <f>'Operations plan'!N38</f>
        <v>6111000</v>
      </c>
      <c r="Q8" s="216">
        <f>'Operations plan'!O38</f>
        <v>6111000</v>
      </c>
      <c r="R8" s="217">
        <f>'Operations plan'!P38</f>
        <v>6111000</v>
      </c>
      <c r="S8" s="216"/>
      <c r="T8" s="216">
        <f>'Operations plan'!R38</f>
        <v>6111000</v>
      </c>
      <c r="U8" s="216">
        <f>'Operations plan'!S38</f>
        <v>6111000</v>
      </c>
      <c r="V8" s="216">
        <f>'Operations plan'!T38</f>
        <v>6111000</v>
      </c>
      <c r="W8" s="216">
        <f>'Operations plan'!U38</f>
        <v>6111000</v>
      </c>
      <c r="X8" s="216">
        <f>'Operations plan'!V38</f>
        <v>6111000</v>
      </c>
      <c r="Y8" s="216">
        <f>'Operations plan'!W38</f>
        <v>6111000</v>
      </c>
      <c r="Z8" s="216">
        <f>'Operations plan'!X38</f>
        <v>6111000</v>
      </c>
      <c r="AA8" s="216">
        <f>'Operations plan'!Y38</f>
        <v>6111000</v>
      </c>
      <c r="AB8" s="216">
        <f>'Operations plan'!Z38</f>
        <v>6111000</v>
      </c>
      <c r="AC8" s="216">
        <f>'Operations plan'!AA38</f>
        <v>6111000</v>
      </c>
      <c r="AD8" s="216">
        <f>'Operations plan'!AB38</f>
        <v>6111000</v>
      </c>
      <c r="AE8" s="217">
        <f>'Operations plan'!AC38</f>
        <v>6111000</v>
      </c>
      <c r="AF8" s="216"/>
      <c r="AG8" s="216">
        <f>'Operations plan'!AE38</f>
        <v>6111000</v>
      </c>
      <c r="AH8" s="216">
        <f>'Operations plan'!AF38</f>
        <v>6111000</v>
      </c>
      <c r="AI8" s="216">
        <f>'Operations plan'!AG38</f>
        <v>6111000</v>
      </c>
      <c r="AJ8" s="216">
        <f>'Operations plan'!AH38</f>
        <v>6111000</v>
      </c>
      <c r="AK8" s="216">
        <f>'Operations plan'!AI38</f>
        <v>6111000</v>
      </c>
      <c r="AL8" s="216">
        <f>'Operations plan'!AJ38</f>
        <v>6111000</v>
      </c>
      <c r="AM8" s="216">
        <f>'Operations plan'!AK38</f>
        <v>6111000</v>
      </c>
      <c r="AN8" s="216">
        <f>'Operations plan'!AL38</f>
        <v>6111000</v>
      </c>
      <c r="AO8" s="216">
        <f>'Operations plan'!AM38</f>
        <v>6111000</v>
      </c>
      <c r="AP8" s="216">
        <f>'Operations plan'!AN38</f>
        <v>6111000</v>
      </c>
      <c r="AQ8" s="216">
        <f>'Operations plan'!AO38</f>
        <v>6111000</v>
      </c>
      <c r="AR8" s="217">
        <f>'Operations plan'!AP38</f>
        <v>6111000</v>
      </c>
      <c r="AS8" s="191"/>
      <c r="AT8" s="192"/>
      <c r="AU8" s="192"/>
      <c r="AV8" s="192"/>
      <c r="AW8" s="192"/>
      <c r="AX8" s="192"/>
      <c r="AY8" s="192"/>
      <c r="AZ8" s="193"/>
    </row>
    <row r="9" spans="1:52" ht="12.75" x14ac:dyDescent="0.2">
      <c r="A9" s="1386"/>
      <c r="B9" s="201" t="s">
        <v>124</v>
      </c>
      <c r="C9" s="218">
        <f>'Operations plan'!C39</f>
        <v>17990000</v>
      </c>
      <c r="D9" s="203">
        <f>'Operations plan'!D39</f>
        <v>17990000</v>
      </c>
      <c r="E9" s="219"/>
      <c r="F9" s="219"/>
      <c r="G9" s="220">
        <f>'Operations plan'!E39</f>
        <v>16191000</v>
      </c>
      <c r="H9" s="220">
        <f>'Operations plan'!F39</f>
        <v>16191000</v>
      </c>
      <c r="I9" s="220">
        <f>'Operations plan'!G39</f>
        <v>16191000</v>
      </c>
      <c r="J9" s="221">
        <f>'Operations plan'!H39</f>
        <v>16191000</v>
      </c>
      <c r="K9" s="221">
        <f>'Operations plan'!I39</f>
        <v>16191000</v>
      </c>
      <c r="L9" s="221">
        <f>'Operations plan'!J39</f>
        <v>16191000</v>
      </c>
      <c r="M9" s="221">
        <f>'Operations plan'!K39</f>
        <v>16191000</v>
      </c>
      <c r="N9" s="221">
        <f>'Operations plan'!L39</f>
        <v>16191000</v>
      </c>
      <c r="O9" s="221">
        <f>'Operations plan'!M39</f>
        <v>16191000</v>
      </c>
      <c r="P9" s="221">
        <f>'Operations plan'!N39</f>
        <v>16191000</v>
      </c>
      <c r="Q9" s="221">
        <f>'Operations plan'!O39</f>
        <v>16191000</v>
      </c>
      <c r="R9" s="222">
        <f>'Operations plan'!P39</f>
        <v>16191000</v>
      </c>
      <c r="S9" s="221"/>
      <c r="T9" s="221">
        <f>'Operations plan'!R39</f>
        <v>16191000</v>
      </c>
      <c r="U9" s="221">
        <f>'Operations plan'!S39</f>
        <v>16191000</v>
      </c>
      <c r="V9" s="221">
        <f>'Operations plan'!T39</f>
        <v>16191000</v>
      </c>
      <c r="W9" s="221">
        <f>'Operations plan'!U39</f>
        <v>16191000</v>
      </c>
      <c r="X9" s="221">
        <f>'Operations plan'!V39</f>
        <v>16191000</v>
      </c>
      <c r="Y9" s="221">
        <f>'Operations plan'!W39</f>
        <v>16191000</v>
      </c>
      <c r="Z9" s="221">
        <f>'Operations plan'!X39</f>
        <v>16191000</v>
      </c>
      <c r="AA9" s="221">
        <f>'Operations plan'!Y39</f>
        <v>16191000</v>
      </c>
      <c r="AB9" s="221">
        <f>'Operations plan'!Z39</f>
        <v>16191000</v>
      </c>
      <c r="AC9" s="221">
        <f>'Operations plan'!AA39</f>
        <v>16191000</v>
      </c>
      <c r="AD9" s="221">
        <f>'Operations plan'!AB39</f>
        <v>16191000</v>
      </c>
      <c r="AE9" s="222">
        <f>'Operations plan'!AC39</f>
        <v>16191000</v>
      </c>
      <c r="AF9" s="221"/>
      <c r="AG9" s="221">
        <f>'Operations plan'!AE39</f>
        <v>16191000</v>
      </c>
      <c r="AH9" s="221">
        <f>'Operations plan'!AF39</f>
        <v>16191000</v>
      </c>
      <c r="AI9" s="221">
        <f>'Operations plan'!AG39</f>
        <v>16191000</v>
      </c>
      <c r="AJ9" s="221">
        <f>'Operations plan'!AH39</f>
        <v>16191000</v>
      </c>
      <c r="AK9" s="221">
        <f>'Operations plan'!AI39</f>
        <v>16191000</v>
      </c>
      <c r="AL9" s="221">
        <f>'Operations plan'!AJ39</f>
        <v>16191000</v>
      </c>
      <c r="AM9" s="221">
        <f>'Operations plan'!AK39</f>
        <v>16191000</v>
      </c>
      <c r="AN9" s="221">
        <f>'Operations plan'!AL39</f>
        <v>16191000</v>
      </c>
      <c r="AO9" s="221">
        <f>'Operations plan'!AM39</f>
        <v>16191000</v>
      </c>
      <c r="AP9" s="221">
        <f>'Operations plan'!AN39</f>
        <v>16191000</v>
      </c>
      <c r="AQ9" s="221">
        <f>'Operations plan'!AO39</f>
        <v>16191000</v>
      </c>
      <c r="AR9" s="222">
        <f>'Operations plan'!AP39</f>
        <v>16191000</v>
      </c>
      <c r="AS9" s="191"/>
      <c r="AT9" s="192"/>
      <c r="AU9" s="192"/>
      <c r="AV9" s="192"/>
      <c r="AW9" s="192"/>
      <c r="AX9" s="192"/>
      <c r="AY9" s="192"/>
      <c r="AZ9" s="193"/>
    </row>
    <row r="10" spans="1:52" ht="12.75" x14ac:dyDescent="0.2">
      <c r="A10" s="223"/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5"/>
      <c r="AT10" s="225"/>
      <c r="AU10" s="225"/>
      <c r="AV10" s="225"/>
      <c r="AW10" s="225"/>
      <c r="AX10" s="225"/>
      <c r="AY10" s="225"/>
      <c r="AZ10" s="226"/>
    </row>
    <row r="11" spans="1:52" ht="12.75" hidden="1" x14ac:dyDescent="0.2">
      <c r="A11" s="227" t="s">
        <v>126</v>
      </c>
      <c r="B11" s="225" t="s">
        <v>127</v>
      </c>
      <c r="C11" s="228">
        <f>Parameter!B8</f>
        <v>0.5</v>
      </c>
      <c r="D11" s="225"/>
      <c r="E11" s="229"/>
      <c r="F11" s="229"/>
      <c r="G11" s="229">
        <f>$C11*G$7</f>
        <v>0</v>
      </c>
      <c r="H11" s="229">
        <f t="shared" ref="H11:R11" si="0">$C11*H7</f>
        <v>0</v>
      </c>
      <c r="I11" s="229">
        <f t="shared" si="0"/>
        <v>0</v>
      </c>
      <c r="J11" s="229">
        <f t="shared" si="0"/>
        <v>0</v>
      </c>
      <c r="K11" s="229">
        <f t="shared" si="0"/>
        <v>0</v>
      </c>
      <c r="L11" s="229">
        <f t="shared" si="0"/>
        <v>3666600000</v>
      </c>
      <c r="M11" s="229">
        <f t="shared" si="0"/>
        <v>3666600000</v>
      </c>
      <c r="N11" s="229">
        <f t="shared" si="0"/>
        <v>3849930000</v>
      </c>
      <c r="O11" s="229">
        <f t="shared" si="0"/>
        <v>3849930000</v>
      </c>
      <c r="P11" s="229">
        <f t="shared" si="0"/>
        <v>4033260000</v>
      </c>
      <c r="Q11" s="229">
        <f t="shared" si="0"/>
        <v>4033260000</v>
      </c>
      <c r="R11" s="229">
        <f t="shared" si="0"/>
        <v>4033260000</v>
      </c>
      <c r="S11" s="229"/>
      <c r="T11" s="229">
        <f t="shared" ref="T11:AE11" si="1">$C11*T7</f>
        <v>3483270000</v>
      </c>
      <c r="U11" s="229">
        <f t="shared" si="1"/>
        <v>3483270000</v>
      </c>
      <c r="V11" s="229">
        <f t="shared" si="1"/>
        <v>3483270000</v>
      </c>
      <c r="W11" s="229">
        <f t="shared" si="1"/>
        <v>4216590000</v>
      </c>
      <c r="X11" s="229">
        <f t="shared" si="1"/>
        <v>4216590000</v>
      </c>
      <c r="Y11" s="229">
        <f t="shared" si="1"/>
        <v>4216590000</v>
      </c>
      <c r="Z11" s="229">
        <f t="shared" si="1"/>
        <v>4399920000</v>
      </c>
      <c r="AA11" s="229">
        <f t="shared" si="1"/>
        <v>4399920000</v>
      </c>
      <c r="AB11" s="229">
        <f t="shared" si="1"/>
        <v>4399920000</v>
      </c>
      <c r="AC11" s="229">
        <f t="shared" si="1"/>
        <v>4583250000</v>
      </c>
      <c r="AD11" s="229">
        <f t="shared" si="1"/>
        <v>7011900000</v>
      </c>
      <c r="AE11" s="229">
        <f t="shared" si="1"/>
        <v>7011900000</v>
      </c>
      <c r="AF11" s="229"/>
      <c r="AG11" s="229">
        <f t="shared" ref="AG11:AR11" si="2">$C11*AG7</f>
        <v>5733315000</v>
      </c>
      <c r="AH11" s="229">
        <f t="shared" si="2"/>
        <v>5733315000</v>
      </c>
      <c r="AI11" s="229">
        <f t="shared" si="2"/>
        <v>5733315000</v>
      </c>
      <c r="AJ11" s="229">
        <f t="shared" si="2"/>
        <v>7314300000</v>
      </c>
      <c r="AK11" s="229">
        <f t="shared" si="2"/>
        <v>7314300000</v>
      </c>
      <c r="AL11" s="229">
        <f t="shared" si="2"/>
        <v>7314300000</v>
      </c>
      <c r="AM11" s="229">
        <f t="shared" si="2"/>
        <v>7740495000</v>
      </c>
      <c r="AN11" s="229">
        <f t="shared" si="2"/>
        <v>7740495000</v>
      </c>
      <c r="AO11" s="229">
        <f t="shared" si="2"/>
        <v>7983360000</v>
      </c>
      <c r="AP11" s="229">
        <f t="shared" si="2"/>
        <v>8166690000</v>
      </c>
      <c r="AQ11" s="229">
        <f t="shared" si="2"/>
        <v>8166690000</v>
      </c>
      <c r="AR11" s="229">
        <f t="shared" si="2"/>
        <v>8166690000</v>
      </c>
      <c r="AS11" s="229"/>
      <c r="AT11" s="229"/>
      <c r="AU11" s="229"/>
      <c r="AV11" s="229"/>
      <c r="AW11" s="229"/>
      <c r="AX11" s="229"/>
      <c r="AY11" s="229"/>
      <c r="AZ11" s="230"/>
    </row>
    <row r="12" spans="1:52" ht="12.75" hidden="1" x14ac:dyDescent="0.2">
      <c r="A12" s="227"/>
      <c r="B12" s="225" t="s">
        <v>128</v>
      </c>
      <c r="C12" s="225"/>
      <c r="D12" s="225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30"/>
    </row>
    <row r="13" spans="1:52" ht="12.75" hidden="1" x14ac:dyDescent="0.2">
      <c r="A13" s="227"/>
      <c r="B13" s="225" t="s">
        <v>129</v>
      </c>
      <c r="C13" s="228">
        <f>Parameter!B10</f>
        <v>0.2</v>
      </c>
      <c r="D13" s="225"/>
      <c r="E13" s="229"/>
      <c r="F13" s="229"/>
      <c r="G13" s="229">
        <f t="shared" ref="G13:R13" si="3">$C13*G9</f>
        <v>3238200</v>
      </c>
      <c r="H13" s="229">
        <f t="shared" si="3"/>
        <v>3238200</v>
      </c>
      <c r="I13" s="229">
        <f t="shared" si="3"/>
        <v>3238200</v>
      </c>
      <c r="J13" s="229">
        <f t="shared" si="3"/>
        <v>3238200</v>
      </c>
      <c r="K13" s="229">
        <f t="shared" si="3"/>
        <v>3238200</v>
      </c>
      <c r="L13" s="229">
        <f t="shared" si="3"/>
        <v>3238200</v>
      </c>
      <c r="M13" s="229">
        <f t="shared" si="3"/>
        <v>3238200</v>
      </c>
      <c r="N13" s="229">
        <f t="shared" si="3"/>
        <v>3238200</v>
      </c>
      <c r="O13" s="229">
        <f t="shared" si="3"/>
        <v>3238200</v>
      </c>
      <c r="P13" s="229">
        <f t="shared" si="3"/>
        <v>3238200</v>
      </c>
      <c r="Q13" s="229">
        <f t="shared" si="3"/>
        <v>3238200</v>
      </c>
      <c r="R13" s="229">
        <f t="shared" si="3"/>
        <v>3238200</v>
      </c>
      <c r="S13" s="229"/>
      <c r="T13" s="229">
        <f t="shared" ref="T13:AE13" si="4">$C13*T9</f>
        <v>3238200</v>
      </c>
      <c r="U13" s="229">
        <f t="shared" si="4"/>
        <v>3238200</v>
      </c>
      <c r="V13" s="229">
        <f t="shared" si="4"/>
        <v>3238200</v>
      </c>
      <c r="W13" s="229">
        <f t="shared" si="4"/>
        <v>3238200</v>
      </c>
      <c r="X13" s="229">
        <f t="shared" si="4"/>
        <v>3238200</v>
      </c>
      <c r="Y13" s="229">
        <f t="shared" si="4"/>
        <v>3238200</v>
      </c>
      <c r="Z13" s="229">
        <f t="shared" si="4"/>
        <v>3238200</v>
      </c>
      <c r="AA13" s="229">
        <f t="shared" si="4"/>
        <v>3238200</v>
      </c>
      <c r="AB13" s="229">
        <f t="shared" si="4"/>
        <v>3238200</v>
      </c>
      <c r="AC13" s="229">
        <f t="shared" si="4"/>
        <v>3238200</v>
      </c>
      <c r="AD13" s="229">
        <f t="shared" si="4"/>
        <v>3238200</v>
      </c>
      <c r="AE13" s="229">
        <f t="shared" si="4"/>
        <v>3238200</v>
      </c>
      <c r="AF13" s="229"/>
      <c r="AG13" s="229">
        <f t="shared" ref="AG13:AR13" si="5">$C13*AG9</f>
        <v>3238200</v>
      </c>
      <c r="AH13" s="229">
        <f t="shared" si="5"/>
        <v>3238200</v>
      </c>
      <c r="AI13" s="229">
        <f t="shared" si="5"/>
        <v>3238200</v>
      </c>
      <c r="AJ13" s="229">
        <f t="shared" si="5"/>
        <v>3238200</v>
      </c>
      <c r="AK13" s="229">
        <f t="shared" si="5"/>
        <v>3238200</v>
      </c>
      <c r="AL13" s="229">
        <f t="shared" si="5"/>
        <v>3238200</v>
      </c>
      <c r="AM13" s="229">
        <f t="shared" si="5"/>
        <v>3238200</v>
      </c>
      <c r="AN13" s="229">
        <f t="shared" si="5"/>
        <v>3238200</v>
      </c>
      <c r="AO13" s="229">
        <f t="shared" si="5"/>
        <v>3238200</v>
      </c>
      <c r="AP13" s="229">
        <f t="shared" si="5"/>
        <v>3238200</v>
      </c>
      <c r="AQ13" s="229">
        <f t="shared" si="5"/>
        <v>3238200</v>
      </c>
      <c r="AR13" s="229">
        <f t="shared" si="5"/>
        <v>3238200</v>
      </c>
      <c r="AS13" s="229"/>
      <c r="AT13" s="229"/>
      <c r="AU13" s="229"/>
      <c r="AV13" s="229"/>
      <c r="AW13" s="229"/>
      <c r="AX13" s="229"/>
      <c r="AY13" s="229"/>
      <c r="AZ13" s="230"/>
    </row>
    <row r="14" spans="1:52" ht="12.75" hidden="1" x14ac:dyDescent="0.2">
      <c r="A14" s="227"/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6"/>
    </row>
    <row r="15" spans="1:52" ht="12.75" hidden="1" x14ac:dyDescent="0.2">
      <c r="A15" s="227"/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5"/>
      <c r="AU15" s="225"/>
      <c r="AV15" s="225"/>
      <c r="AW15" s="225"/>
      <c r="AX15" s="225"/>
      <c r="AY15" s="225"/>
      <c r="AZ15" s="226"/>
    </row>
    <row r="16" spans="1:52" ht="12.75" hidden="1" x14ac:dyDescent="0.2">
      <c r="A16" s="227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6"/>
    </row>
    <row r="17" spans="1:52" ht="12.75" hidden="1" x14ac:dyDescent="0.2">
      <c r="A17" s="227"/>
      <c r="B17" s="225" t="s">
        <v>130</v>
      </c>
      <c r="C17" s="228">
        <f>Parameter!B9</f>
        <v>0.3</v>
      </c>
      <c r="D17" s="225"/>
      <c r="E17" s="229"/>
      <c r="F17" s="229"/>
      <c r="G17" s="229" t="e">
        <f t="shared" ref="G17:G18" si="6">IF( ISBLANK(#REF!),
        IF( ISBLANK(D$3), 0, D$7 *$C17
        ),#REF! *
 $C17
)</f>
        <v>#REF!</v>
      </c>
      <c r="H17" s="229">
        <f t="shared" ref="H17:H18" si="7">IF( ISBLANK(G$3),
        IF( ISBLANK(#REF!), 0,#REF! * $C17
        ),
         G$7 * $C17
)</f>
        <v>0</v>
      </c>
      <c r="I17" s="229">
        <f t="shared" ref="I17:R17" si="8">IF( ISBLANK(H$3),
        IF( ISBLANK(G$3), 0, G$7 *$C17
        ),
         H$7 * $C17
)</f>
        <v>0</v>
      </c>
      <c r="J17" s="229">
        <f t="shared" si="8"/>
        <v>0</v>
      </c>
      <c r="K17" s="229">
        <f t="shared" si="8"/>
        <v>0</v>
      </c>
      <c r="L17" s="229">
        <f t="shared" si="8"/>
        <v>0</v>
      </c>
      <c r="M17" s="229">
        <f t="shared" si="8"/>
        <v>2199960000</v>
      </c>
      <c r="N17" s="229">
        <f t="shared" si="8"/>
        <v>2199960000</v>
      </c>
      <c r="O17" s="229">
        <f t="shared" si="8"/>
        <v>2309958000</v>
      </c>
      <c r="P17" s="229">
        <f t="shared" si="8"/>
        <v>2309958000</v>
      </c>
      <c r="Q17" s="229">
        <f t="shared" si="8"/>
        <v>2419956000</v>
      </c>
      <c r="R17" s="229">
        <f t="shared" si="8"/>
        <v>2419956000</v>
      </c>
      <c r="S17" s="229"/>
      <c r="T17" s="229" t="e">
        <f t="shared" ref="T17:T18" si="9">IF( ISBLANK(#REF!),
        IF( ISBLANK(R$3), 0, R$7 *$C17
        ),#REF! *
 $C17
)</f>
        <v>#REF!</v>
      </c>
      <c r="U17" s="229">
        <f t="shared" ref="U17:U18" si="10">IF( ISBLANK(T$3),
        IF( ISBLANK(#REF!), 0,#REF! * $C17
        ),
         T$7 * $C17
)</f>
        <v>2089962000</v>
      </c>
      <c r="V17" s="229">
        <f t="shared" ref="V17:AE17" si="11">IF( ISBLANK(U$3),
        IF( ISBLANK(T$3), 0, T$7 *$C17
        ),
         U$7 * $C17
)</f>
        <v>2089962000</v>
      </c>
      <c r="W17" s="229">
        <f t="shared" si="11"/>
        <v>2089962000</v>
      </c>
      <c r="X17" s="229">
        <f t="shared" si="11"/>
        <v>2529954000</v>
      </c>
      <c r="Y17" s="229">
        <f t="shared" si="11"/>
        <v>2529954000</v>
      </c>
      <c r="Z17" s="229">
        <f t="shared" si="11"/>
        <v>2529954000</v>
      </c>
      <c r="AA17" s="229">
        <f t="shared" si="11"/>
        <v>2639952000</v>
      </c>
      <c r="AB17" s="229">
        <f t="shared" si="11"/>
        <v>2639952000</v>
      </c>
      <c r="AC17" s="229">
        <f t="shared" si="11"/>
        <v>2639952000</v>
      </c>
      <c r="AD17" s="229">
        <f t="shared" si="11"/>
        <v>2749950000</v>
      </c>
      <c r="AE17" s="229">
        <f t="shared" si="11"/>
        <v>4207140000</v>
      </c>
      <c r="AF17" s="229"/>
      <c r="AG17" s="229" t="e">
        <f t="shared" ref="AG17:AG18" si="12">IF( ISBLANK(#REF!),
        IF( ISBLANK(AE$3), 0, AE$7 *$C17
        ),#REF! *
 $C17
)</f>
        <v>#REF!</v>
      </c>
      <c r="AH17" s="229">
        <f t="shared" ref="AH17:AH18" si="13">IF( ISBLANK(AG$3),
        IF( ISBLANK(#REF!), 0,#REF! * $C17
        ),
         AG$7 * $C17
)</f>
        <v>3439989000</v>
      </c>
      <c r="AI17" s="229">
        <f t="shared" ref="AI17:AR17" si="14">IF( ISBLANK(AH$3),
        IF( ISBLANK(AG$3), 0, AG$7 *$C17
        ),
         AH$7 * $C17
)</f>
        <v>3439989000</v>
      </c>
      <c r="AJ17" s="229">
        <f t="shared" si="14"/>
        <v>3439989000</v>
      </c>
      <c r="AK17" s="229">
        <f t="shared" si="14"/>
        <v>4388580000</v>
      </c>
      <c r="AL17" s="229">
        <f t="shared" si="14"/>
        <v>4388580000</v>
      </c>
      <c r="AM17" s="229">
        <f t="shared" si="14"/>
        <v>4388580000</v>
      </c>
      <c r="AN17" s="229">
        <f t="shared" si="14"/>
        <v>4644297000</v>
      </c>
      <c r="AO17" s="229">
        <f t="shared" si="14"/>
        <v>4644297000</v>
      </c>
      <c r="AP17" s="229">
        <f t="shared" si="14"/>
        <v>4790016000</v>
      </c>
      <c r="AQ17" s="229">
        <f t="shared" si="14"/>
        <v>4900014000</v>
      </c>
      <c r="AR17" s="229">
        <f t="shared" si="14"/>
        <v>4900014000</v>
      </c>
      <c r="AS17" s="229"/>
      <c r="AT17" s="229"/>
      <c r="AU17" s="229"/>
      <c r="AV17" s="229"/>
      <c r="AW17" s="229"/>
      <c r="AX17" s="229"/>
      <c r="AY17" s="229"/>
      <c r="AZ17" s="230"/>
    </row>
    <row r="18" spans="1:52" ht="12.75" hidden="1" x14ac:dyDescent="0.2">
      <c r="A18" s="227"/>
      <c r="B18" s="225" t="s">
        <v>131</v>
      </c>
      <c r="C18" s="225"/>
      <c r="D18" s="225"/>
      <c r="E18" s="229"/>
      <c r="F18" s="229"/>
      <c r="G18" s="229" t="e">
        <f t="shared" si="6"/>
        <v>#REF!</v>
      </c>
      <c r="H18" s="229">
        <f t="shared" si="7"/>
        <v>0</v>
      </c>
      <c r="I18" s="229">
        <f t="shared" ref="I18:R18" si="15">IF( ISBLANK(H$3),
        IF( ISBLANK(G$3), 0, G$7 *$C18
        ),
         H$7 * $C18
)</f>
        <v>0</v>
      </c>
      <c r="J18" s="229">
        <f t="shared" si="15"/>
        <v>0</v>
      </c>
      <c r="K18" s="229">
        <f t="shared" si="15"/>
        <v>0</v>
      </c>
      <c r="L18" s="229">
        <f t="shared" si="15"/>
        <v>0</v>
      </c>
      <c r="M18" s="229">
        <f t="shared" si="15"/>
        <v>0</v>
      </c>
      <c r="N18" s="229">
        <f t="shared" si="15"/>
        <v>0</v>
      </c>
      <c r="O18" s="229">
        <f t="shared" si="15"/>
        <v>0</v>
      </c>
      <c r="P18" s="229">
        <f t="shared" si="15"/>
        <v>0</v>
      </c>
      <c r="Q18" s="229">
        <f t="shared" si="15"/>
        <v>0</v>
      </c>
      <c r="R18" s="229">
        <f t="shared" si="15"/>
        <v>0</v>
      </c>
      <c r="S18" s="229"/>
      <c r="T18" s="229" t="e">
        <f t="shared" si="9"/>
        <v>#REF!</v>
      </c>
      <c r="U18" s="229">
        <f t="shared" si="10"/>
        <v>0</v>
      </c>
      <c r="V18" s="229">
        <f t="shared" ref="V18:AE18" si="16">IF( ISBLANK(U$3),
        IF( ISBLANK(T$3), 0, T$7 *$C18
        ),
         U$7 * $C18
)</f>
        <v>0</v>
      </c>
      <c r="W18" s="229">
        <f t="shared" si="16"/>
        <v>0</v>
      </c>
      <c r="X18" s="229">
        <f t="shared" si="16"/>
        <v>0</v>
      </c>
      <c r="Y18" s="229">
        <f t="shared" si="16"/>
        <v>0</v>
      </c>
      <c r="Z18" s="229">
        <f t="shared" si="16"/>
        <v>0</v>
      </c>
      <c r="AA18" s="229">
        <f t="shared" si="16"/>
        <v>0</v>
      </c>
      <c r="AB18" s="229">
        <f t="shared" si="16"/>
        <v>0</v>
      </c>
      <c r="AC18" s="229">
        <f t="shared" si="16"/>
        <v>0</v>
      </c>
      <c r="AD18" s="229">
        <f t="shared" si="16"/>
        <v>0</v>
      </c>
      <c r="AE18" s="229">
        <f t="shared" si="16"/>
        <v>0</v>
      </c>
      <c r="AF18" s="229"/>
      <c r="AG18" s="229" t="e">
        <f t="shared" si="12"/>
        <v>#REF!</v>
      </c>
      <c r="AH18" s="229">
        <f t="shared" si="13"/>
        <v>0</v>
      </c>
      <c r="AI18" s="229">
        <f t="shared" ref="AI18:AR18" si="17">IF( ISBLANK(AH$3),
        IF( ISBLANK(AG$3), 0, AG$7 *$C18
        ),
         AH$7 * $C18
)</f>
        <v>0</v>
      </c>
      <c r="AJ18" s="229">
        <f t="shared" si="17"/>
        <v>0</v>
      </c>
      <c r="AK18" s="229">
        <f t="shared" si="17"/>
        <v>0</v>
      </c>
      <c r="AL18" s="229">
        <f t="shared" si="17"/>
        <v>0</v>
      </c>
      <c r="AM18" s="229">
        <f t="shared" si="17"/>
        <v>0</v>
      </c>
      <c r="AN18" s="229">
        <f t="shared" si="17"/>
        <v>0</v>
      </c>
      <c r="AO18" s="229">
        <f t="shared" si="17"/>
        <v>0</v>
      </c>
      <c r="AP18" s="229">
        <f t="shared" si="17"/>
        <v>0</v>
      </c>
      <c r="AQ18" s="229">
        <f t="shared" si="17"/>
        <v>0</v>
      </c>
      <c r="AR18" s="229">
        <f t="shared" si="17"/>
        <v>0</v>
      </c>
      <c r="AS18" s="229"/>
      <c r="AT18" s="229"/>
      <c r="AU18" s="229"/>
      <c r="AV18" s="229"/>
      <c r="AW18" s="229"/>
      <c r="AX18" s="229"/>
      <c r="AY18" s="229"/>
      <c r="AZ18" s="230"/>
    </row>
    <row r="19" spans="1:52" ht="12.75" x14ac:dyDescent="0.2">
      <c r="A19" s="231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25"/>
      <c r="AV19" s="225"/>
      <c r="AW19" s="225"/>
      <c r="AX19" s="225"/>
      <c r="AY19" s="225"/>
      <c r="AZ19" s="226"/>
    </row>
    <row r="20" spans="1:52" ht="12.75" x14ac:dyDescent="0.2">
      <c r="A20" s="233" t="s">
        <v>21</v>
      </c>
      <c r="B20" s="234">
        <f>Parameter!B8</f>
        <v>0.5</v>
      </c>
      <c r="D20" s="235"/>
      <c r="E20" s="236"/>
      <c r="F20" s="236"/>
      <c r="G20" s="237">
        <f t="shared" ref="G20:R20" si="18">$B20*G$7</f>
        <v>0</v>
      </c>
      <c r="H20" s="238">
        <f t="shared" si="18"/>
        <v>0</v>
      </c>
      <c r="I20" s="238">
        <f t="shared" si="18"/>
        <v>0</v>
      </c>
      <c r="J20" s="238">
        <f t="shared" si="18"/>
        <v>0</v>
      </c>
      <c r="K20" s="238">
        <f t="shared" si="18"/>
        <v>0</v>
      </c>
      <c r="L20" s="238">
        <f t="shared" si="18"/>
        <v>3666600000</v>
      </c>
      <c r="M20" s="238">
        <f t="shared" si="18"/>
        <v>3666600000</v>
      </c>
      <c r="N20" s="238">
        <f t="shared" si="18"/>
        <v>3849930000</v>
      </c>
      <c r="O20" s="238">
        <f t="shared" si="18"/>
        <v>3849930000</v>
      </c>
      <c r="P20" s="238">
        <f t="shared" si="18"/>
        <v>4033260000</v>
      </c>
      <c r="Q20" s="238">
        <f t="shared" si="18"/>
        <v>4033260000</v>
      </c>
      <c r="R20" s="239">
        <f t="shared" si="18"/>
        <v>4033260000</v>
      </c>
      <c r="S20" s="237"/>
      <c r="T20" s="238">
        <f t="shared" ref="T20:AE20" si="19">$B20*T$7</f>
        <v>3483270000</v>
      </c>
      <c r="U20" s="238">
        <f t="shared" si="19"/>
        <v>3483270000</v>
      </c>
      <c r="V20" s="238">
        <f t="shared" si="19"/>
        <v>3483270000</v>
      </c>
      <c r="W20" s="238">
        <f t="shared" si="19"/>
        <v>4216590000</v>
      </c>
      <c r="X20" s="238">
        <f t="shared" si="19"/>
        <v>4216590000</v>
      </c>
      <c r="Y20" s="238">
        <f t="shared" si="19"/>
        <v>4216590000</v>
      </c>
      <c r="Z20" s="238">
        <f t="shared" si="19"/>
        <v>4399920000</v>
      </c>
      <c r="AA20" s="238">
        <f t="shared" si="19"/>
        <v>4399920000</v>
      </c>
      <c r="AB20" s="238">
        <f t="shared" si="19"/>
        <v>4399920000</v>
      </c>
      <c r="AC20" s="238">
        <f t="shared" si="19"/>
        <v>4583250000</v>
      </c>
      <c r="AD20" s="238">
        <f t="shared" si="19"/>
        <v>7011900000</v>
      </c>
      <c r="AE20" s="239">
        <f t="shared" si="19"/>
        <v>7011900000</v>
      </c>
      <c r="AF20" s="237"/>
      <c r="AG20" s="238">
        <f t="shared" ref="AG20:AT20" si="20">$B20*AG$7</f>
        <v>5733315000</v>
      </c>
      <c r="AH20" s="238">
        <f t="shared" si="20"/>
        <v>5733315000</v>
      </c>
      <c r="AI20" s="238">
        <f t="shared" si="20"/>
        <v>5733315000</v>
      </c>
      <c r="AJ20" s="238">
        <f t="shared" si="20"/>
        <v>7314300000</v>
      </c>
      <c r="AK20" s="238">
        <f t="shared" si="20"/>
        <v>7314300000</v>
      </c>
      <c r="AL20" s="238">
        <f t="shared" si="20"/>
        <v>7314300000</v>
      </c>
      <c r="AM20" s="238">
        <f t="shared" si="20"/>
        <v>7740495000</v>
      </c>
      <c r="AN20" s="238">
        <f t="shared" si="20"/>
        <v>7740495000</v>
      </c>
      <c r="AO20" s="238">
        <f t="shared" si="20"/>
        <v>7983360000</v>
      </c>
      <c r="AP20" s="238">
        <f t="shared" si="20"/>
        <v>8166690000</v>
      </c>
      <c r="AQ20" s="238">
        <f t="shared" si="20"/>
        <v>8166690000</v>
      </c>
      <c r="AR20" s="238">
        <f t="shared" si="20"/>
        <v>8166690000</v>
      </c>
      <c r="AS20" s="238">
        <f t="shared" si="20"/>
        <v>0</v>
      </c>
      <c r="AT20" s="239">
        <f t="shared" si="20"/>
        <v>0</v>
      </c>
      <c r="AU20" s="240"/>
      <c r="AV20" s="229"/>
      <c r="AW20" s="229"/>
      <c r="AX20" s="229"/>
      <c r="AY20" s="229"/>
      <c r="AZ20" s="230"/>
    </row>
    <row r="21" spans="1:52" ht="12.75" x14ac:dyDescent="0.2">
      <c r="A21" s="241" t="s">
        <v>132</v>
      </c>
      <c r="B21" s="242">
        <f>Parameter!B9</f>
        <v>0.3</v>
      </c>
      <c r="D21" s="243"/>
      <c r="E21" s="243"/>
      <c r="F21" s="243"/>
      <c r="G21" s="244">
        <f t="shared" ref="G21:R21" si="21">F$7*$B21</f>
        <v>0</v>
      </c>
      <c r="H21" s="245">
        <f t="shared" si="21"/>
        <v>0</v>
      </c>
      <c r="I21" s="245">
        <f t="shared" si="21"/>
        <v>0</v>
      </c>
      <c r="J21" s="245">
        <f t="shared" si="21"/>
        <v>0</v>
      </c>
      <c r="K21" s="245">
        <f t="shared" si="21"/>
        <v>0</v>
      </c>
      <c r="L21" s="245">
        <f t="shared" si="21"/>
        <v>0</v>
      </c>
      <c r="M21" s="245">
        <f t="shared" si="21"/>
        <v>2199960000</v>
      </c>
      <c r="N21" s="245">
        <f t="shared" si="21"/>
        <v>2199960000</v>
      </c>
      <c r="O21" s="245">
        <f t="shared" si="21"/>
        <v>2309958000</v>
      </c>
      <c r="P21" s="245">
        <f t="shared" si="21"/>
        <v>2309958000</v>
      </c>
      <c r="Q21" s="245">
        <f t="shared" si="21"/>
        <v>2419956000</v>
      </c>
      <c r="R21" s="246">
        <f t="shared" si="21"/>
        <v>2419956000</v>
      </c>
      <c r="S21" s="244"/>
      <c r="T21" s="245">
        <f>R$7*$B21</f>
        <v>2419956000</v>
      </c>
      <c r="U21" s="245">
        <f t="shared" ref="U21:AE21" si="22">T$7*$B21</f>
        <v>2089962000</v>
      </c>
      <c r="V21" s="245">
        <f t="shared" si="22"/>
        <v>2089962000</v>
      </c>
      <c r="W21" s="245">
        <f t="shared" si="22"/>
        <v>2089962000</v>
      </c>
      <c r="X21" s="245">
        <f t="shared" si="22"/>
        <v>2529954000</v>
      </c>
      <c r="Y21" s="245">
        <f t="shared" si="22"/>
        <v>2529954000</v>
      </c>
      <c r="Z21" s="245">
        <f t="shared" si="22"/>
        <v>2529954000</v>
      </c>
      <c r="AA21" s="245">
        <f t="shared" si="22"/>
        <v>2639952000</v>
      </c>
      <c r="AB21" s="245">
        <f t="shared" si="22"/>
        <v>2639952000</v>
      </c>
      <c r="AC21" s="245">
        <f t="shared" si="22"/>
        <v>2639952000</v>
      </c>
      <c r="AD21" s="245">
        <f t="shared" si="22"/>
        <v>2749950000</v>
      </c>
      <c r="AE21" s="246">
        <f t="shared" si="22"/>
        <v>4207140000</v>
      </c>
      <c r="AF21" s="244"/>
      <c r="AG21" s="245">
        <f>AE$7*$B21</f>
        <v>4207140000</v>
      </c>
      <c r="AH21" s="245">
        <f t="shared" ref="AH21:AT21" si="23">AG$7*$B21</f>
        <v>3439989000</v>
      </c>
      <c r="AI21" s="245">
        <f t="shared" si="23"/>
        <v>3439989000</v>
      </c>
      <c r="AJ21" s="245">
        <f t="shared" si="23"/>
        <v>3439989000</v>
      </c>
      <c r="AK21" s="245">
        <f t="shared" si="23"/>
        <v>4388580000</v>
      </c>
      <c r="AL21" s="245">
        <f t="shared" si="23"/>
        <v>4388580000</v>
      </c>
      <c r="AM21" s="245">
        <f t="shared" si="23"/>
        <v>4388580000</v>
      </c>
      <c r="AN21" s="245">
        <f t="shared" si="23"/>
        <v>4644297000</v>
      </c>
      <c r="AO21" s="245">
        <f t="shared" si="23"/>
        <v>4644297000</v>
      </c>
      <c r="AP21" s="245">
        <f t="shared" si="23"/>
        <v>4790016000</v>
      </c>
      <c r="AQ21" s="245">
        <f t="shared" si="23"/>
        <v>4900014000</v>
      </c>
      <c r="AR21" s="245">
        <f t="shared" si="23"/>
        <v>4900014000</v>
      </c>
      <c r="AS21" s="245">
        <f t="shared" si="23"/>
        <v>4900014000</v>
      </c>
      <c r="AT21" s="246">
        <f t="shared" si="23"/>
        <v>0</v>
      </c>
      <c r="AU21" s="240"/>
      <c r="AV21" s="229"/>
      <c r="AW21" s="229"/>
      <c r="AX21" s="229"/>
      <c r="AY21" s="229"/>
      <c r="AZ21" s="230"/>
    </row>
    <row r="22" spans="1:52" ht="12.75" x14ac:dyDescent="0.2">
      <c r="A22" s="241" t="s">
        <v>133</v>
      </c>
      <c r="B22" s="242">
        <f>Parameter!B10</f>
        <v>0.2</v>
      </c>
      <c r="D22" s="243"/>
      <c r="E22" s="243"/>
      <c r="F22" s="243"/>
      <c r="G22" s="244">
        <f t="shared" ref="G22:R22" si="24">E$7*$B22</f>
        <v>0</v>
      </c>
      <c r="H22" s="245">
        <f t="shared" si="24"/>
        <v>0</v>
      </c>
      <c r="I22" s="245">
        <f t="shared" si="24"/>
        <v>0</v>
      </c>
      <c r="J22" s="245">
        <f t="shared" si="24"/>
        <v>0</v>
      </c>
      <c r="K22" s="245">
        <f t="shared" si="24"/>
        <v>0</v>
      </c>
      <c r="L22" s="245">
        <f t="shared" si="24"/>
        <v>0</v>
      </c>
      <c r="M22" s="245">
        <f t="shared" si="24"/>
        <v>0</v>
      </c>
      <c r="N22" s="245">
        <f t="shared" si="24"/>
        <v>1466640000</v>
      </c>
      <c r="O22" s="245">
        <f t="shared" si="24"/>
        <v>1466640000</v>
      </c>
      <c r="P22" s="245">
        <f t="shared" si="24"/>
        <v>1539972000</v>
      </c>
      <c r="Q22" s="245">
        <f t="shared" si="24"/>
        <v>1539972000</v>
      </c>
      <c r="R22" s="246">
        <f t="shared" si="24"/>
        <v>1613304000</v>
      </c>
      <c r="S22" s="244"/>
      <c r="T22" s="245">
        <f t="shared" ref="T22:U22" si="25">Q$7*$B22</f>
        <v>1613304000</v>
      </c>
      <c r="U22" s="245">
        <f t="shared" si="25"/>
        <v>1613304000</v>
      </c>
      <c r="V22" s="245">
        <f t="shared" ref="V22:AE22" si="26">T$7*$B22</f>
        <v>1393308000</v>
      </c>
      <c r="W22" s="245">
        <f t="shared" si="26"/>
        <v>1393308000</v>
      </c>
      <c r="X22" s="245">
        <f t="shared" si="26"/>
        <v>1393308000</v>
      </c>
      <c r="Y22" s="245">
        <f t="shared" si="26"/>
        <v>1686636000</v>
      </c>
      <c r="Z22" s="245">
        <f t="shared" si="26"/>
        <v>1686636000</v>
      </c>
      <c r="AA22" s="245">
        <f t="shared" si="26"/>
        <v>1686636000</v>
      </c>
      <c r="AB22" s="245">
        <f t="shared" si="26"/>
        <v>1759968000</v>
      </c>
      <c r="AC22" s="245">
        <f t="shared" si="26"/>
        <v>1759968000</v>
      </c>
      <c r="AD22" s="245">
        <f t="shared" si="26"/>
        <v>1759968000</v>
      </c>
      <c r="AE22" s="246">
        <f t="shared" si="26"/>
        <v>1833300000</v>
      </c>
      <c r="AF22" s="244"/>
      <c r="AG22" s="245">
        <f t="shared" ref="AG22:AH22" si="27">AD$7*$B22</f>
        <v>2804760000</v>
      </c>
      <c r="AH22" s="245">
        <f t="shared" si="27"/>
        <v>2804760000</v>
      </c>
      <c r="AI22" s="245">
        <f t="shared" ref="AI22:AT22" si="28">AG$7*$B22</f>
        <v>2293326000</v>
      </c>
      <c r="AJ22" s="245">
        <f t="shared" si="28"/>
        <v>2293326000</v>
      </c>
      <c r="AK22" s="245">
        <f t="shared" si="28"/>
        <v>2293326000</v>
      </c>
      <c r="AL22" s="245">
        <f t="shared" si="28"/>
        <v>2925720000</v>
      </c>
      <c r="AM22" s="245">
        <f t="shared" si="28"/>
        <v>2925720000</v>
      </c>
      <c r="AN22" s="245">
        <f t="shared" si="28"/>
        <v>2925720000</v>
      </c>
      <c r="AO22" s="245">
        <f t="shared" si="28"/>
        <v>3096198000</v>
      </c>
      <c r="AP22" s="245">
        <f t="shared" si="28"/>
        <v>3096198000</v>
      </c>
      <c r="AQ22" s="245">
        <f t="shared" si="28"/>
        <v>3193344000</v>
      </c>
      <c r="AR22" s="245">
        <f t="shared" si="28"/>
        <v>3266676000</v>
      </c>
      <c r="AS22" s="245">
        <f t="shared" si="28"/>
        <v>3266676000</v>
      </c>
      <c r="AT22" s="246">
        <f t="shared" si="28"/>
        <v>3266676000</v>
      </c>
      <c r="AU22" s="240"/>
      <c r="AV22" s="229"/>
      <c r="AW22" s="229"/>
      <c r="AX22" s="229"/>
      <c r="AY22" s="229"/>
      <c r="AZ22" s="230"/>
    </row>
    <row r="23" spans="1:52" ht="12.75" x14ac:dyDescent="0.2">
      <c r="A23" s="247" t="s">
        <v>134</v>
      </c>
      <c r="B23" s="248"/>
      <c r="C23" s="249"/>
      <c r="D23" s="249"/>
      <c r="E23" s="249"/>
      <c r="F23" s="250"/>
      <c r="G23" s="251">
        <f t="shared" ref="G23:R23" si="29">SUM(G20:G22)</f>
        <v>0</v>
      </c>
      <c r="H23" s="252">
        <f t="shared" si="29"/>
        <v>0</v>
      </c>
      <c r="I23" s="252">
        <f t="shared" si="29"/>
        <v>0</v>
      </c>
      <c r="J23" s="252">
        <f t="shared" si="29"/>
        <v>0</v>
      </c>
      <c r="K23" s="252">
        <f t="shared" si="29"/>
        <v>0</v>
      </c>
      <c r="L23" s="252">
        <f t="shared" si="29"/>
        <v>3666600000</v>
      </c>
      <c r="M23" s="252">
        <f t="shared" si="29"/>
        <v>5866560000</v>
      </c>
      <c r="N23" s="252">
        <f t="shared" si="29"/>
        <v>7516530000</v>
      </c>
      <c r="O23" s="252">
        <f t="shared" si="29"/>
        <v>7626528000</v>
      </c>
      <c r="P23" s="252">
        <f t="shared" si="29"/>
        <v>7883190000</v>
      </c>
      <c r="Q23" s="252">
        <f t="shared" si="29"/>
        <v>7993188000</v>
      </c>
      <c r="R23" s="253">
        <f t="shared" si="29"/>
        <v>8066520000</v>
      </c>
      <c r="S23" s="251"/>
      <c r="T23" s="252">
        <f t="shared" ref="T23:AE23" si="30">SUM(T20:T22)</f>
        <v>7516530000</v>
      </c>
      <c r="U23" s="252">
        <f t="shared" si="30"/>
        <v>7186536000</v>
      </c>
      <c r="V23" s="252">
        <f t="shared" si="30"/>
        <v>6966540000</v>
      </c>
      <c r="W23" s="252">
        <f t="shared" si="30"/>
        <v>7699860000</v>
      </c>
      <c r="X23" s="252">
        <f t="shared" si="30"/>
        <v>8139852000</v>
      </c>
      <c r="Y23" s="252">
        <f t="shared" si="30"/>
        <v>8433180000</v>
      </c>
      <c r="Z23" s="252">
        <f t="shared" si="30"/>
        <v>8616510000</v>
      </c>
      <c r="AA23" s="252">
        <f t="shared" si="30"/>
        <v>8726508000</v>
      </c>
      <c r="AB23" s="252">
        <f t="shared" si="30"/>
        <v>8799840000</v>
      </c>
      <c r="AC23" s="252">
        <f t="shared" si="30"/>
        <v>8983170000</v>
      </c>
      <c r="AD23" s="252">
        <f t="shared" si="30"/>
        <v>11521818000</v>
      </c>
      <c r="AE23" s="253">
        <f t="shared" si="30"/>
        <v>13052340000</v>
      </c>
      <c r="AF23" s="251"/>
      <c r="AG23" s="252">
        <f t="shared" ref="AG23:AT23" si="31">SUM(AG20:AG22)</f>
        <v>12745215000</v>
      </c>
      <c r="AH23" s="252">
        <f t="shared" si="31"/>
        <v>11978064000</v>
      </c>
      <c r="AI23" s="252">
        <f t="shared" si="31"/>
        <v>11466630000</v>
      </c>
      <c r="AJ23" s="252">
        <f t="shared" si="31"/>
        <v>13047615000</v>
      </c>
      <c r="AK23" s="252">
        <f t="shared" si="31"/>
        <v>13996206000</v>
      </c>
      <c r="AL23" s="252">
        <f t="shared" si="31"/>
        <v>14628600000</v>
      </c>
      <c r="AM23" s="252">
        <f t="shared" si="31"/>
        <v>15054795000</v>
      </c>
      <c r="AN23" s="252">
        <f t="shared" si="31"/>
        <v>15310512000</v>
      </c>
      <c r="AO23" s="252">
        <f t="shared" si="31"/>
        <v>15723855000</v>
      </c>
      <c r="AP23" s="252">
        <f t="shared" si="31"/>
        <v>16052904000</v>
      </c>
      <c r="AQ23" s="252">
        <f t="shared" si="31"/>
        <v>16260048000</v>
      </c>
      <c r="AR23" s="252">
        <f t="shared" si="31"/>
        <v>16333380000</v>
      </c>
      <c r="AS23" s="252">
        <f t="shared" si="31"/>
        <v>8166690000</v>
      </c>
      <c r="AT23" s="253">
        <f t="shared" si="31"/>
        <v>3266676000</v>
      </c>
      <c r="AU23" s="254"/>
      <c r="AV23" s="255"/>
      <c r="AW23" s="255"/>
      <c r="AX23" s="255"/>
      <c r="AY23" s="255"/>
      <c r="AZ23" s="256"/>
    </row>
    <row r="24" spans="1:52" ht="12.75" x14ac:dyDescent="0.2">
      <c r="A24" s="233" t="s">
        <v>135</v>
      </c>
      <c r="B24" s="234"/>
      <c r="D24" s="235"/>
      <c r="E24" s="236"/>
      <c r="F24" s="236"/>
      <c r="G24" s="237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9"/>
      <c r="S24" s="237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9"/>
      <c r="AF24" s="237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9"/>
      <c r="AU24" s="240"/>
      <c r="AV24" s="229"/>
      <c r="AW24" s="229"/>
      <c r="AX24" s="229"/>
      <c r="AY24" s="229"/>
      <c r="AZ24" s="230"/>
    </row>
    <row r="25" spans="1:52" ht="12.75" x14ac:dyDescent="0.2">
      <c r="A25" s="257" t="s">
        <v>136</v>
      </c>
      <c r="B25" s="242"/>
      <c r="D25" s="243"/>
      <c r="E25" s="243"/>
      <c r="F25" s="258">
        <f t="shared" ref="F25:Q25" si="32">G21</f>
        <v>0</v>
      </c>
      <c r="G25" s="244">
        <f t="shared" si="32"/>
        <v>0</v>
      </c>
      <c r="H25" s="245">
        <f t="shared" si="32"/>
        <v>0</v>
      </c>
      <c r="I25" s="258">
        <f t="shared" si="32"/>
        <v>0</v>
      </c>
      <c r="J25" s="245">
        <f t="shared" si="32"/>
        <v>0</v>
      </c>
      <c r="K25" s="245">
        <f t="shared" si="32"/>
        <v>0</v>
      </c>
      <c r="L25" s="245">
        <f t="shared" si="32"/>
        <v>2199960000</v>
      </c>
      <c r="M25" s="245">
        <f t="shared" si="32"/>
        <v>2199960000</v>
      </c>
      <c r="N25" s="245">
        <f t="shared" si="32"/>
        <v>2309958000</v>
      </c>
      <c r="O25" s="245">
        <f t="shared" si="32"/>
        <v>2309958000</v>
      </c>
      <c r="P25" s="245">
        <f t="shared" si="32"/>
        <v>2419956000</v>
      </c>
      <c r="Q25" s="245">
        <f t="shared" si="32"/>
        <v>2419956000</v>
      </c>
      <c r="R25" s="246">
        <f>T21</f>
        <v>2419956000</v>
      </c>
      <c r="S25" s="244"/>
      <c r="T25" s="245">
        <f t="shared" ref="T25:AD25" si="33">U21</f>
        <v>2089962000</v>
      </c>
      <c r="U25" s="245">
        <f t="shared" si="33"/>
        <v>2089962000</v>
      </c>
      <c r="V25" s="245">
        <f t="shared" si="33"/>
        <v>2089962000</v>
      </c>
      <c r="W25" s="245">
        <f t="shared" si="33"/>
        <v>2529954000</v>
      </c>
      <c r="X25" s="245">
        <f t="shared" si="33"/>
        <v>2529954000</v>
      </c>
      <c r="Y25" s="245">
        <f t="shared" si="33"/>
        <v>2529954000</v>
      </c>
      <c r="Z25" s="245">
        <f t="shared" si="33"/>
        <v>2639952000</v>
      </c>
      <c r="AA25" s="245">
        <f t="shared" si="33"/>
        <v>2639952000</v>
      </c>
      <c r="AB25" s="245">
        <f t="shared" si="33"/>
        <v>2639952000</v>
      </c>
      <c r="AC25" s="245">
        <f t="shared" si="33"/>
        <v>2749950000</v>
      </c>
      <c r="AD25" s="245">
        <f t="shared" si="33"/>
        <v>4207140000</v>
      </c>
      <c r="AE25" s="246">
        <f>AG21</f>
        <v>4207140000</v>
      </c>
      <c r="AF25" s="244">
        <f>IF(ISBLANK(AF3),AE25)</f>
        <v>4207140000</v>
      </c>
      <c r="AG25" s="245">
        <f t="shared" ref="AG25:AS25" si="34">AH21</f>
        <v>3439989000</v>
      </c>
      <c r="AH25" s="245">
        <f t="shared" si="34"/>
        <v>3439989000</v>
      </c>
      <c r="AI25" s="245">
        <f t="shared" si="34"/>
        <v>3439989000</v>
      </c>
      <c r="AJ25" s="245">
        <f t="shared" si="34"/>
        <v>4388580000</v>
      </c>
      <c r="AK25" s="245">
        <f t="shared" si="34"/>
        <v>4388580000</v>
      </c>
      <c r="AL25" s="245">
        <f t="shared" si="34"/>
        <v>4388580000</v>
      </c>
      <c r="AM25" s="245">
        <f t="shared" si="34"/>
        <v>4644297000</v>
      </c>
      <c r="AN25" s="245">
        <f t="shared" si="34"/>
        <v>4644297000</v>
      </c>
      <c r="AO25" s="245">
        <f t="shared" si="34"/>
        <v>4790016000</v>
      </c>
      <c r="AP25" s="245">
        <f t="shared" si="34"/>
        <v>4900014000</v>
      </c>
      <c r="AQ25" s="245">
        <f t="shared" si="34"/>
        <v>4900014000</v>
      </c>
      <c r="AR25" s="245">
        <f t="shared" si="34"/>
        <v>4900014000</v>
      </c>
      <c r="AS25" s="245">
        <f t="shared" si="34"/>
        <v>0</v>
      </c>
      <c r="AT25" s="246">
        <f>BA21</f>
        <v>0</v>
      </c>
      <c r="AU25" s="240"/>
      <c r="AV25" s="229"/>
      <c r="AW25" s="229"/>
      <c r="AX25" s="229"/>
      <c r="AY25" s="229"/>
      <c r="AZ25" s="230"/>
    </row>
    <row r="26" spans="1:52" ht="12.75" x14ac:dyDescent="0.2">
      <c r="A26" s="257" t="s">
        <v>137</v>
      </c>
      <c r="B26" s="242"/>
      <c r="D26" s="243"/>
      <c r="E26" s="258">
        <f t="shared" ref="E26:P26" si="35">G22</f>
        <v>0</v>
      </c>
      <c r="F26" s="258">
        <f t="shared" si="35"/>
        <v>0</v>
      </c>
      <c r="G26" s="244">
        <f t="shared" si="35"/>
        <v>0</v>
      </c>
      <c r="H26" s="245">
        <f t="shared" si="35"/>
        <v>0</v>
      </c>
      <c r="I26" s="245">
        <f t="shared" si="35"/>
        <v>0</v>
      </c>
      <c r="J26" s="245">
        <f t="shared" si="35"/>
        <v>0</v>
      </c>
      <c r="K26" s="245">
        <f t="shared" si="35"/>
        <v>0</v>
      </c>
      <c r="L26" s="245">
        <f t="shared" si="35"/>
        <v>1466640000</v>
      </c>
      <c r="M26" s="245">
        <f t="shared" si="35"/>
        <v>1466640000</v>
      </c>
      <c r="N26" s="245">
        <f t="shared" si="35"/>
        <v>1539972000</v>
      </c>
      <c r="O26" s="245">
        <f t="shared" si="35"/>
        <v>1539972000</v>
      </c>
      <c r="P26" s="245">
        <f t="shared" si="35"/>
        <v>1613304000</v>
      </c>
      <c r="Q26" s="245">
        <f t="shared" ref="Q26:R26" si="36">T22</f>
        <v>1613304000</v>
      </c>
      <c r="R26" s="246">
        <f t="shared" si="36"/>
        <v>1613304000</v>
      </c>
      <c r="S26" s="244"/>
      <c r="T26" s="245">
        <f t="shared" ref="T26:AC26" si="37">V22</f>
        <v>1393308000</v>
      </c>
      <c r="U26" s="245">
        <f t="shared" si="37"/>
        <v>1393308000</v>
      </c>
      <c r="V26" s="245">
        <f t="shared" si="37"/>
        <v>1393308000</v>
      </c>
      <c r="W26" s="245">
        <f t="shared" si="37"/>
        <v>1686636000</v>
      </c>
      <c r="X26" s="245">
        <f t="shared" si="37"/>
        <v>1686636000</v>
      </c>
      <c r="Y26" s="245">
        <f t="shared" si="37"/>
        <v>1686636000</v>
      </c>
      <c r="Z26" s="245">
        <f t="shared" si="37"/>
        <v>1759968000</v>
      </c>
      <c r="AA26" s="245">
        <f t="shared" si="37"/>
        <v>1759968000</v>
      </c>
      <c r="AB26" s="245">
        <f t="shared" si="37"/>
        <v>1759968000</v>
      </c>
      <c r="AC26" s="245">
        <f t="shared" si="37"/>
        <v>1833300000</v>
      </c>
      <c r="AD26" s="245">
        <f t="shared" ref="AD26:AE26" si="38">AG22</f>
        <v>2804760000</v>
      </c>
      <c r="AE26" s="246">
        <f t="shared" si="38"/>
        <v>2804760000</v>
      </c>
      <c r="AF26" s="244">
        <f>IF(ISBLANK(AF3),AE26)</f>
        <v>2804760000</v>
      </c>
      <c r="AG26" s="245">
        <f t="shared" ref="AG26:AR26" si="39">AI22</f>
        <v>2293326000</v>
      </c>
      <c r="AH26" s="245">
        <f t="shared" si="39"/>
        <v>2293326000</v>
      </c>
      <c r="AI26" s="245">
        <f t="shared" si="39"/>
        <v>2293326000</v>
      </c>
      <c r="AJ26" s="245">
        <f t="shared" si="39"/>
        <v>2925720000</v>
      </c>
      <c r="AK26" s="245">
        <f t="shared" si="39"/>
        <v>2925720000</v>
      </c>
      <c r="AL26" s="245">
        <f t="shared" si="39"/>
        <v>2925720000</v>
      </c>
      <c r="AM26" s="245">
        <f t="shared" si="39"/>
        <v>3096198000</v>
      </c>
      <c r="AN26" s="245">
        <f t="shared" si="39"/>
        <v>3096198000</v>
      </c>
      <c r="AO26" s="245">
        <f t="shared" si="39"/>
        <v>3193344000</v>
      </c>
      <c r="AP26" s="245">
        <f t="shared" si="39"/>
        <v>3266676000</v>
      </c>
      <c r="AQ26" s="245">
        <f t="shared" si="39"/>
        <v>3266676000</v>
      </c>
      <c r="AR26" s="245">
        <f t="shared" si="39"/>
        <v>3266676000</v>
      </c>
      <c r="AS26" s="245">
        <f t="shared" ref="AS26:AT26" si="40">BA22</f>
        <v>0</v>
      </c>
      <c r="AT26" s="246">
        <f t="shared" si="40"/>
        <v>0</v>
      </c>
      <c r="AU26" s="240"/>
      <c r="AV26" s="229"/>
      <c r="AW26" s="229"/>
      <c r="AX26" s="229"/>
      <c r="AY26" s="229"/>
      <c r="AZ26" s="230"/>
    </row>
    <row r="27" spans="1:52" ht="12.75" x14ac:dyDescent="0.2">
      <c r="A27" s="247" t="s">
        <v>138</v>
      </c>
      <c r="B27" s="248"/>
      <c r="C27" s="249"/>
      <c r="D27" s="249"/>
      <c r="E27" s="249"/>
      <c r="F27" s="250"/>
      <c r="G27" s="251">
        <f t="shared" ref="G27:AE27" si="41">SUM(G25:G26)-SUM(G21:G22)+F27</f>
        <v>0</v>
      </c>
      <c r="H27" s="252">
        <f t="shared" si="41"/>
        <v>0</v>
      </c>
      <c r="I27" s="252">
        <f t="shared" si="41"/>
        <v>0</v>
      </c>
      <c r="J27" s="252">
        <f t="shared" si="41"/>
        <v>0</v>
      </c>
      <c r="K27" s="252">
        <f t="shared" si="41"/>
        <v>0</v>
      </c>
      <c r="L27" s="252">
        <f t="shared" si="41"/>
        <v>3666600000</v>
      </c>
      <c r="M27" s="252">
        <f t="shared" si="41"/>
        <v>5133240000</v>
      </c>
      <c r="N27" s="252">
        <f t="shared" si="41"/>
        <v>5316570000</v>
      </c>
      <c r="O27" s="252">
        <f t="shared" si="41"/>
        <v>5389902000</v>
      </c>
      <c r="P27" s="252">
        <f t="shared" si="41"/>
        <v>5573232000</v>
      </c>
      <c r="Q27" s="252">
        <f t="shared" si="41"/>
        <v>5646564000</v>
      </c>
      <c r="R27" s="253">
        <f t="shared" si="41"/>
        <v>5646564000</v>
      </c>
      <c r="S27" s="251">
        <f t="shared" si="41"/>
        <v>5646564000</v>
      </c>
      <c r="T27" s="252">
        <f t="shared" si="41"/>
        <v>5096574000</v>
      </c>
      <c r="U27" s="252">
        <f t="shared" si="41"/>
        <v>4876578000</v>
      </c>
      <c r="V27" s="252">
        <f t="shared" si="41"/>
        <v>4876578000</v>
      </c>
      <c r="W27" s="252">
        <f t="shared" si="41"/>
        <v>5609898000</v>
      </c>
      <c r="X27" s="252">
        <f t="shared" si="41"/>
        <v>5903226000</v>
      </c>
      <c r="Y27" s="252">
        <f t="shared" si="41"/>
        <v>5903226000</v>
      </c>
      <c r="Z27" s="252">
        <f t="shared" si="41"/>
        <v>6086556000</v>
      </c>
      <c r="AA27" s="252">
        <f t="shared" si="41"/>
        <v>6159888000</v>
      </c>
      <c r="AB27" s="252">
        <f t="shared" si="41"/>
        <v>6159888000</v>
      </c>
      <c r="AC27" s="252">
        <f t="shared" si="41"/>
        <v>6343218000</v>
      </c>
      <c r="AD27" s="252">
        <f t="shared" si="41"/>
        <v>8845200000</v>
      </c>
      <c r="AE27" s="253">
        <f t="shared" si="41"/>
        <v>9816660000</v>
      </c>
      <c r="AF27" s="251"/>
      <c r="AG27" s="252">
        <f>SUM(AG25:AG26)-SUM(AG21:AG22)+AE27</f>
        <v>8538075000</v>
      </c>
      <c r="AH27" s="252">
        <f t="shared" ref="AH27:AT27" si="42">SUM(AH25:AH26)-SUM(AH21:AH22)+AG27</f>
        <v>8026641000</v>
      </c>
      <c r="AI27" s="252">
        <f t="shared" si="42"/>
        <v>8026641000</v>
      </c>
      <c r="AJ27" s="252">
        <f t="shared" si="42"/>
        <v>9607626000</v>
      </c>
      <c r="AK27" s="252">
        <f t="shared" si="42"/>
        <v>10240020000</v>
      </c>
      <c r="AL27" s="252">
        <f t="shared" si="42"/>
        <v>10240020000</v>
      </c>
      <c r="AM27" s="252">
        <f t="shared" si="42"/>
        <v>10666215000</v>
      </c>
      <c r="AN27" s="252">
        <f t="shared" si="42"/>
        <v>10836693000</v>
      </c>
      <c r="AO27" s="252">
        <f t="shared" si="42"/>
        <v>11079558000</v>
      </c>
      <c r="AP27" s="252">
        <f t="shared" si="42"/>
        <v>11360034000</v>
      </c>
      <c r="AQ27" s="252">
        <f t="shared" si="42"/>
        <v>11433366000</v>
      </c>
      <c r="AR27" s="252">
        <f t="shared" si="42"/>
        <v>11433366000</v>
      </c>
      <c r="AS27" s="252">
        <f t="shared" si="42"/>
        <v>3266676000</v>
      </c>
      <c r="AT27" s="253">
        <f t="shared" si="42"/>
        <v>0</v>
      </c>
      <c r="AU27" s="254"/>
      <c r="AV27" s="255"/>
      <c r="AW27" s="255"/>
      <c r="AX27" s="255"/>
      <c r="AY27" s="255"/>
      <c r="AZ27" s="256"/>
    </row>
    <row r="28" spans="1:52" ht="12.75" x14ac:dyDescent="0.2">
      <c r="A28" s="223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5"/>
      <c r="AV28" s="225"/>
      <c r="AW28" s="225"/>
      <c r="AX28" s="225"/>
      <c r="AY28" s="225"/>
      <c r="AZ28" s="226"/>
    </row>
    <row r="29" spans="1:52" ht="12.75" x14ac:dyDescent="0.2">
      <c r="A29" s="231"/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  <c r="AP29" s="232"/>
      <c r="AQ29" s="232"/>
      <c r="AR29" s="232"/>
      <c r="AS29" s="225"/>
      <c r="AT29" s="225"/>
      <c r="AU29" s="225"/>
      <c r="AV29" s="225"/>
      <c r="AW29" s="225"/>
      <c r="AX29" s="225"/>
      <c r="AY29" s="225"/>
      <c r="AZ29" s="226"/>
    </row>
    <row r="30" spans="1:52" ht="12.75" x14ac:dyDescent="0.2">
      <c r="A30" s="1379" t="s">
        <v>139</v>
      </c>
      <c r="B30" s="1389"/>
      <c r="C30" s="259"/>
      <c r="D30" s="259"/>
      <c r="E30" s="260"/>
      <c r="F30" s="260"/>
      <c r="G30" s="1376">
        <v>2025</v>
      </c>
      <c r="H30" s="1367"/>
      <c r="I30" s="1367"/>
      <c r="J30" s="1367"/>
      <c r="K30" s="1367"/>
      <c r="L30" s="1367"/>
      <c r="M30" s="1367"/>
      <c r="N30" s="1367"/>
      <c r="O30" s="1367"/>
      <c r="P30" s="1367"/>
      <c r="Q30" s="1367"/>
      <c r="R30" s="1368"/>
      <c r="S30" s="166"/>
      <c r="T30" s="1377">
        <v>2026</v>
      </c>
      <c r="U30" s="1367"/>
      <c r="V30" s="1367"/>
      <c r="W30" s="1367"/>
      <c r="X30" s="1367"/>
      <c r="Y30" s="1367"/>
      <c r="Z30" s="1367"/>
      <c r="AA30" s="1367"/>
      <c r="AB30" s="1367"/>
      <c r="AC30" s="1367"/>
      <c r="AD30" s="1367"/>
      <c r="AE30" s="1368"/>
      <c r="AF30" s="167"/>
      <c r="AG30" s="1376">
        <v>2027</v>
      </c>
      <c r="AH30" s="1367"/>
      <c r="AI30" s="1367"/>
      <c r="AJ30" s="1367"/>
      <c r="AK30" s="1367"/>
      <c r="AL30" s="1367"/>
      <c r="AM30" s="1367"/>
      <c r="AN30" s="1367"/>
      <c r="AO30" s="1367"/>
      <c r="AP30" s="1367"/>
      <c r="AQ30" s="1367"/>
      <c r="AR30" s="1368"/>
      <c r="AS30" s="227"/>
      <c r="AT30" s="225"/>
      <c r="AU30" s="225"/>
      <c r="AV30" s="225"/>
      <c r="AW30" s="225"/>
      <c r="AX30" s="225"/>
      <c r="AY30" s="225"/>
      <c r="AZ30" s="226"/>
    </row>
    <row r="31" spans="1:52" ht="12.75" x14ac:dyDescent="0.2">
      <c r="A31" s="1381"/>
      <c r="B31" s="1390"/>
      <c r="C31" s="259"/>
      <c r="D31" s="259"/>
      <c r="E31" s="259"/>
      <c r="F31" s="259"/>
      <c r="G31" s="1378" t="s">
        <v>118</v>
      </c>
      <c r="H31" s="1367"/>
      <c r="I31" s="1368"/>
      <c r="J31" s="1371" t="s">
        <v>119</v>
      </c>
      <c r="K31" s="1367"/>
      <c r="L31" s="1368"/>
      <c r="M31" s="1371" t="s">
        <v>120</v>
      </c>
      <c r="N31" s="1367"/>
      <c r="O31" s="1368"/>
      <c r="P31" s="1371" t="s">
        <v>121</v>
      </c>
      <c r="Q31" s="1367"/>
      <c r="R31" s="1368"/>
      <c r="S31" s="174"/>
      <c r="T31" s="1378" t="s">
        <v>118</v>
      </c>
      <c r="U31" s="1367"/>
      <c r="V31" s="1368"/>
      <c r="W31" s="1371" t="s">
        <v>119</v>
      </c>
      <c r="X31" s="1367"/>
      <c r="Y31" s="1368"/>
      <c r="Z31" s="1371" t="s">
        <v>120</v>
      </c>
      <c r="AA31" s="1367"/>
      <c r="AB31" s="1368"/>
      <c r="AC31" s="1371" t="s">
        <v>121</v>
      </c>
      <c r="AD31" s="1367"/>
      <c r="AE31" s="1368"/>
      <c r="AF31" s="174"/>
      <c r="AG31" s="1378" t="s">
        <v>118</v>
      </c>
      <c r="AH31" s="1367"/>
      <c r="AI31" s="1368"/>
      <c r="AJ31" s="1371" t="s">
        <v>119</v>
      </c>
      <c r="AK31" s="1367"/>
      <c r="AL31" s="1368"/>
      <c r="AM31" s="1371" t="s">
        <v>120</v>
      </c>
      <c r="AN31" s="1367"/>
      <c r="AO31" s="1368"/>
      <c r="AP31" s="1371" t="s">
        <v>121</v>
      </c>
      <c r="AQ31" s="1367"/>
      <c r="AR31" s="1368"/>
      <c r="AS31" s="227"/>
      <c r="AT31" s="225"/>
      <c r="AU31" s="225"/>
      <c r="AV31" s="225"/>
      <c r="AW31" s="225"/>
      <c r="AX31" s="225"/>
      <c r="AY31" s="225"/>
      <c r="AZ31" s="226"/>
    </row>
    <row r="32" spans="1:52" ht="18" x14ac:dyDescent="0.25">
      <c r="A32" s="1382"/>
      <c r="B32" s="1391"/>
      <c r="C32" s="261"/>
      <c r="D32" s="262"/>
      <c r="E32" s="263"/>
      <c r="F32" s="263"/>
      <c r="G32" s="181">
        <v>1</v>
      </c>
      <c r="H32" s="182">
        <v>2</v>
      </c>
      <c r="I32" s="182">
        <v>3</v>
      </c>
      <c r="J32" s="181">
        <v>4</v>
      </c>
      <c r="K32" s="181">
        <v>5</v>
      </c>
      <c r="L32" s="181">
        <v>6</v>
      </c>
      <c r="M32" s="181">
        <v>7</v>
      </c>
      <c r="N32" s="181">
        <v>8</v>
      </c>
      <c r="O32" s="181">
        <v>9</v>
      </c>
      <c r="P32" s="181">
        <v>10</v>
      </c>
      <c r="Q32" s="181">
        <v>11</v>
      </c>
      <c r="R32" s="183">
        <v>12</v>
      </c>
      <c r="S32" s="181"/>
      <c r="T32" s="181">
        <v>1</v>
      </c>
      <c r="U32" s="181">
        <v>2</v>
      </c>
      <c r="V32" s="181">
        <v>3</v>
      </c>
      <c r="W32" s="181">
        <v>4</v>
      </c>
      <c r="X32" s="181">
        <v>5</v>
      </c>
      <c r="Y32" s="181">
        <v>6</v>
      </c>
      <c r="Z32" s="181">
        <v>7</v>
      </c>
      <c r="AA32" s="181">
        <v>8</v>
      </c>
      <c r="AB32" s="181">
        <v>9</v>
      </c>
      <c r="AC32" s="181">
        <v>10</v>
      </c>
      <c r="AD32" s="181">
        <v>11</v>
      </c>
      <c r="AE32" s="183">
        <v>12</v>
      </c>
      <c r="AF32" s="181"/>
      <c r="AG32" s="181">
        <v>1</v>
      </c>
      <c r="AH32" s="181">
        <v>2</v>
      </c>
      <c r="AI32" s="181">
        <v>3</v>
      </c>
      <c r="AJ32" s="181">
        <v>4</v>
      </c>
      <c r="AK32" s="181">
        <v>5</v>
      </c>
      <c r="AL32" s="181">
        <v>6</v>
      </c>
      <c r="AM32" s="181">
        <v>7</v>
      </c>
      <c r="AN32" s="181">
        <v>8</v>
      </c>
      <c r="AO32" s="181">
        <v>9</v>
      </c>
      <c r="AP32" s="181">
        <v>10</v>
      </c>
      <c r="AQ32" s="181">
        <v>11</v>
      </c>
      <c r="AR32" s="183">
        <v>12</v>
      </c>
      <c r="AS32" s="227"/>
      <c r="AT32" s="225"/>
      <c r="AU32" s="225"/>
      <c r="AV32" s="225"/>
      <c r="AW32" s="225"/>
      <c r="AX32" s="225"/>
      <c r="AY32" s="225"/>
      <c r="AZ32" s="226"/>
    </row>
    <row r="33" spans="1:52" ht="18" x14ac:dyDescent="0.25">
      <c r="A33" s="1372" t="s">
        <v>140</v>
      </c>
      <c r="B33" s="1373"/>
      <c r="C33" s="264" t="s">
        <v>141</v>
      </c>
      <c r="D33" s="265"/>
      <c r="E33" s="264">
        <f t="shared" ref="E33:F33" si="43">SUM(E34:E35)</f>
        <v>0</v>
      </c>
      <c r="F33" s="264">
        <f t="shared" si="43"/>
        <v>0</v>
      </c>
      <c r="G33" s="266">
        <f>'Operations plan'!E77</f>
        <v>0</v>
      </c>
      <c r="H33" s="266">
        <f>'Operations plan'!F77</f>
        <v>0</v>
      </c>
      <c r="I33" s="264">
        <f>'Operations plan'!G77</f>
        <v>0</v>
      </c>
      <c r="J33" s="264">
        <f>'Operations plan'!H77</f>
        <v>0</v>
      </c>
      <c r="K33" s="264">
        <f>'Operations plan'!I77</f>
        <v>274</v>
      </c>
      <c r="L33" s="264">
        <f>'Operations plan'!J77</f>
        <v>1200</v>
      </c>
      <c r="M33" s="264">
        <f>'Operations plan'!K77</f>
        <v>1219</v>
      </c>
      <c r="N33" s="264">
        <f>'Operations plan'!L77</f>
        <v>1350</v>
      </c>
      <c r="O33" s="264">
        <f>'Operations plan'!M77</f>
        <v>1358</v>
      </c>
      <c r="P33" s="264">
        <f>'Operations plan'!N77</f>
        <v>1415</v>
      </c>
      <c r="Q33" s="264">
        <f>'Operations plan'!O77</f>
        <v>1415</v>
      </c>
      <c r="R33" s="267">
        <f>'Operations plan'!P77</f>
        <v>1389</v>
      </c>
      <c r="S33" s="264"/>
      <c r="T33" s="264">
        <f>'Operations plan'!R77</f>
        <v>1204</v>
      </c>
      <c r="U33" s="264">
        <f>'Operations plan'!S77</f>
        <v>1204</v>
      </c>
      <c r="V33" s="264">
        <f>'Operations plan'!T77</f>
        <v>1237</v>
      </c>
      <c r="W33" s="264">
        <f>'Operations plan'!U77</f>
        <v>1476</v>
      </c>
      <c r="X33" s="264">
        <f>'Operations plan'!V77</f>
        <v>1476</v>
      </c>
      <c r="Y33" s="264">
        <f>'Operations plan'!W77</f>
        <v>1483</v>
      </c>
      <c r="Z33" s="264">
        <f>'Operations plan'!X77</f>
        <v>1532</v>
      </c>
      <c r="AA33" s="264">
        <f>'Operations plan'!Y77</f>
        <v>1532</v>
      </c>
      <c r="AB33" s="264">
        <f>'Operations plan'!Z77</f>
        <v>1539</v>
      </c>
      <c r="AC33" s="264">
        <f>'Operations plan'!AA77</f>
        <v>1634</v>
      </c>
      <c r="AD33" s="264">
        <f>'Operations plan'!AB77</f>
        <v>1972</v>
      </c>
      <c r="AE33" s="267">
        <f>'Operations plan'!AC77</f>
        <v>1878</v>
      </c>
      <c r="AF33" s="264"/>
      <c r="AG33" s="264">
        <f>'Operations plan'!AE77</f>
        <v>1651</v>
      </c>
      <c r="AH33" s="264">
        <f>'Operations plan'!AF77</f>
        <v>1641</v>
      </c>
      <c r="AI33" s="264">
        <f>'Operations plan'!AG77</f>
        <v>1679</v>
      </c>
      <c r="AJ33" s="264">
        <f>'Operations plan'!AH77</f>
        <v>1962</v>
      </c>
      <c r="AK33" s="264">
        <f>'Operations plan'!AI77</f>
        <v>1962</v>
      </c>
      <c r="AL33" s="264">
        <f>'Operations plan'!AJ77</f>
        <v>1971</v>
      </c>
      <c r="AM33" s="264">
        <f>'Operations plan'!AK77</f>
        <v>2042</v>
      </c>
      <c r="AN33" s="264">
        <f>'Operations plan'!AL77</f>
        <v>2046</v>
      </c>
      <c r="AO33" s="264">
        <f>'Operations plan'!AM77</f>
        <v>2082</v>
      </c>
      <c r="AP33" s="264">
        <f>'Operations plan'!AN77</f>
        <v>2155</v>
      </c>
      <c r="AQ33" s="264">
        <f>'Operations plan'!AO77</f>
        <v>2162</v>
      </c>
      <c r="AR33" s="267">
        <f>'Operations plan'!AP77</f>
        <v>1906</v>
      </c>
      <c r="AS33" s="227"/>
      <c r="AT33" s="225"/>
      <c r="AU33" s="225"/>
      <c r="AV33" s="225"/>
      <c r="AW33" s="225"/>
      <c r="AX33" s="225"/>
      <c r="AY33" s="225"/>
      <c r="AZ33" s="226"/>
    </row>
    <row r="34" spans="1:52" ht="12.75" x14ac:dyDescent="0.2">
      <c r="A34" s="1374"/>
      <c r="B34" s="194" t="s">
        <v>123</v>
      </c>
      <c r="C34" s="268">
        <f>Parameter!B65</f>
        <v>3350000</v>
      </c>
      <c r="D34" s="269"/>
      <c r="E34" s="268">
        <f t="shared" ref="E34:F34" si="44">E21+E24+E31</f>
        <v>0</v>
      </c>
      <c r="F34" s="268">
        <f t="shared" si="44"/>
        <v>0</v>
      </c>
      <c r="G34" s="270">
        <f>'Operations plan'!E78</f>
        <v>0</v>
      </c>
      <c r="H34" s="270">
        <f>'Operations plan'!F78</f>
        <v>0</v>
      </c>
      <c r="I34" s="271">
        <f>'Operations plan'!G78</f>
        <v>0</v>
      </c>
      <c r="J34" s="271">
        <f>'Operations plan'!H78</f>
        <v>0</v>
      </c>
      <c r="K34" s="271">
        <f>'Operations plan'!I78</f>
        <v>274</v>
      </c>
      <c r="L34" s="272">
        <f>'Operations plan'!J78</f>
        <v>1200</v>
      </c>
      <c r="M34" s="272">
        <f>'Operations plan'!K78</f>
        <v>1219</v>
      </c>
      <c r="N34" s="272">
        <f>'Operations plan'!L78</f>
        <v>1350</v>
      </c>
      <c r="O34" s="272">
        <f>'Operations plan'!M78</f>
        <v>1358</v>
      </c>
      <c r="P34" s="272">
        <f>'Operations plan'!N78</f>
        <v>1415</v>
      </c>
      <c r="Q34" s="272">
        <f>'Operations plan'!O78</f>
        <v>1415</v>
      </c>
      <c r="R34" s="273">
        <f>'Operations plan'!P78</f>
        <v>1389</v>
      </c>
      <c r="S34" s="272"/>
      <c r="T34" s="272">
        <f>'Operations plan'!R78</f>
        <v>1204</v>
      </c>
      <c r="U34" s="272">
        <f>'Operations plan'!S78</f>
        <v>1204</v>
      </c>
      <c r="V34" s="272">
        <f>'Operations plan'!T78</f>
        <v>1237</v>
      </c>
      <c r="W34" s="272">
        <f>'Operations plan'!U78</f>
        <v>1476</v>
      </c>
      <c r="X34" s="272">
        <f>'Operations plan'!V78</f>
        <v>1476</v>
      </c>
      <c r="Y34" s="272">
        <f>'Operations plan'!W78</f>
        <v>1483</v>
      </c>
      <c r="Z34" s="272">
        <f>'Operations plan'!X78</f>
        <v>1532</v>
      </c>
      <c r="AA34" s="272">
        <f>'Operations plan'!Y78</f>
        <v>1532</v>
      </c>
      <c r="AB34" s="272">
        <f>'Operations plan'!Z78</f>
        <v>1539</v>
      </c>
      <c r="AC34" s="272">
        <f>'Operations plan'!AA78</f>
        <v>1598</v>
      </c>
      <c r="AD34" s="272">
        <f>'Operations plan'!AB78</f>
        <v>1602</v>
      </c>
      <c r="AE34" s="273">
        <f>'Operations plan'!AC78</f>
        <v>1582</v>
      </c>
      <c r="AF34" s="272"/>
      <c r="AG34" s="272">
        <f>'Operations plan'!AE78</f>
        <v>1391</v>
      </c>
      <c r="AH34" s="272">
        <f>'Operations plan'!AF78</f>
        <v>1391</v>
      </c>
      <c r="AI34" s="272">
        <f>'Operations plan'!AG78</f>
        <v>1409</v>
      </c>
      <c r="AJ34" s="272">
        <f>'Operations plan'!AH78</f>
        <v>1547</v>
      </c>
      <c r="AK34" s="272">
        <f>'Operations plan'!AI78</f>
        <v>1547</v>
      </c>
      <c r="AL34" s="272">
        <f>'Operations plan'!AJ78</f>
        <v>1553</v>
      </c>
      <c r="AM34" s="272">
        <f>'Operations plan'!AK78</f>
        <v>1598</v>
      </c>
      <c r="AN34" s="272">
        <f>'Operations plan'!AL78</f>
        <v>1598</v>
      </c>
      <c r="AO34" s="272">
        <f>'Operations plan'!AM78</f>
        <v>1608</v>
      </c>
      <c r="AP34" s="272">
        <f>'Operations plan'!AN78</f>
        <v>1677</v>
      </c>
      <c r="AQ34" s="272">
        <f>'Operations plan'!AO78</f>
        <v>1682</v>
      </c>
      <c r="AR34" s="273">
        <f>'Operations plan'!AP78</f>
        <v>1482</v>
      </c>
      <c r="AS34" s="227"/>
      <c r="AT34" s="225"/>
      <c r="AU34" s="225"/>
      <c r="AV34" s="225"/>
      <c r="AW34" s="225"/>
      <c r="AX34" s="225"/>
      <c r="AY34" s="225"/>
      <c r="AZ34" s="226"/>
    </row>
    <row r="35" spans="1:52" ht="12.75" x14ac:dyDescent="0.2">
      <c r="A35" s="1375"/>
      <c r="B35" s="274" t="s">
        <v>124</v>
      </c>
      <c r="C35" s="275">
        <f>Parameter!B66</f>
        <v>10800000</v>
      </c>
      <c r="D35" s="276"/>
      <c r="E35" s="275">
        <f t="shared" ref="E35:F35" si="45">E22+E25+E32</f>
        <v>0</v>
      </c>
      <c r="F35" s="275">
        <f t="shared" si="45"/>
        <v>0</v>
      </c>
      <c r="G35" s="277">
        <f>'Operations plan'!E79</f>
        <v>0</v>
      </c>
      <c r="H35" s="277">
        <f>'Operations plan'!F79</f>
        <v>0</v>
      </c>
      <c r="I35" s="277">
        <f>'Operations plan'!G79</f>
        <v>0</v>
      </c>
      <c r="J35" s="277">
        <f>'Operations plan'!H79</f>
        <v>0</v>
      </c>
      <c r="K35" s="277">
        <f>'Operations plan'!I79</f>
        <v>0</v>
      </c>
      <c r="L35" s="278">
        <f>'Operations plan'!J79</f>
        <v>0</v>
      </c>
      <c r="M35" s="278">
        <f>'Operations plan'!K79</f>
        <v>0</v>
      </c>
      <c r="N35" s="278">
        <f>'Operations plan'!L79</f>
        <v>0</v>
      </c>
      <c r="O35" s="278">
        <f>'Operations plan'!M79</f>
        <v>0</v>
      </c>
      <c r="P35" s="278">
        <f>'Operations plan'!N79</f>
        <v>0</v>
      </c>
      <c r="Q35" s="278">
        <f>'Operations plan'!O79</f>
        <v>0</v>
      </c>
      <c r="R35" s="279">
        <f>'Operations plan'!P79</f>
        <v>0</v>
      </c>
      <c r="S35" s="278"/>
      <c r="T35" s="278">
        <f>'Operations plan'!R79</f>
        <v>0</v>
      </c>
      <c r="U35" s="278">
        <f>'Operations plan'!S79</f>
        <v>0</v>
      </c>
      <c r="V35" s="278">
        <f>'Operations plan'!T79</f>
        <v>0</v>
      </c>
      <c r="W35" s="278">
        <f>'Operations plan'!U79</f>
        <v>0</v>
      </c>
      <c r="X35" s="278">
        <f>'Operations plan'!V79</f>
        <v>0</v>
      </c>
      <c r="Y35" s="278">
        <f>'Operations plan'!W79</f>
        <v>0</v>
      </c>
      <c r="Z35" s="278">
        <f>'Operations plan'!X79</f>
        <v>0</v>
      </c>
      <c r="AA35" s="278">
        <f>'Operations plan'!Y79</f>
        <v>0</v>
      </c>
      <c r="AB35" s="278">
        <f>'Operations plan'!Z79</f>
        <v>0</v>
      </c>
      <c r="AC35" s="278">
        <f>'Operations plan'!AA79</f>
        <v>36</v>
      </c>
      <c r="AD35" s="278">
        <f>'Operations plan'!AB79</f>
        <v>370</v>
      </c>
      <c r="AE35" s="279">
        <f>'Operations plan'!AC79</f>
        <v>296</v>
      </c>
      <c r="AF35" s="278"/>
      <c r="AG35" s="278">
        <f>'Operations plan'!AE79</f>
        <v>260</v>
      </c>
      <c r="AH35" s="278">
        <f>'Operations plan'!AF79</f>
        <v>250</v>
      </c>
      <c r="AI35" s="278">
        <f>'Operations plan'!AG79</f>
        <v>270</v>
      </c>
      <c r="AJ35" s="278">
        <f>'Operations plan'!AH79</f>
        <v>415</v>
      </c>
      <c r="AK35" s="278">
        <f>'Operations plan'!AI79</f>
        <v>415</v>
      </c>
      <c r="AL35" s="278">
        <f>'Operations plan'!AJ79</f>
        <v>418</v>
      </c>
      <c r="AM35" s="278">
        <f>'Operations plan'!AK79</f>
        <v>444</v>
      </c>
      <c r="AN35" s="278">
        <f>'Operations plan'!AL79</f>
        <v>448</v>
      </c>
      <c r="AO35" s="278">
        <f>'Operations plan'!AM79</f>
        <v>474</v>
      </c>
      <c r="AP35" s="278">
        <f>'Operations plan'!AN79</f>
        <v>478</v>
      </c>
      <c r="AQ35" s="278">
        <f>'Operations plan'!AO79</f>
        <v>480</v>
      </c>
      <c r="AR35" s="279">
        <f>'Operations plan'!AP79</f>
        <v>424</v>
      </c>
      <c r="AS35" s="227"/>
      <c r="AT35" s="225"/>
      <c r="AU35" s="225"/>
      <c r="AV35" s="225"/>
      <c r="AW35" s="225"/>
      <c r="AX35" s="225"/>
      <c r="AY35" s="225"/>
      <c r="AZ35" s="226"/>
    </row>
    <row r="36" spans="1:52" ht="12.75" x14ac:dyDescent="0.2">
      <c r="A36" s="280"/>
      <c r="B36" s="281"/>
      <c r="C36" s="282"/>
      <c r="D36" s="282"/>
      <c r="E36" s="282"/>
      <c r="F36" s="282"/>
      <c r="G36" s="282"/>
      <c r="H36" s="282"/>
      <c r="I36" s="282"/>
      <c r="J36" s="282"/>
      <c r="K36" s="282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283"/>
      <c r="AB36" s="283"/>
      <c r="AC36" s="283"/>
      <c r="AD36" s="283"/>
      <c r="AE36" s="283"/>
      <c r="AF36" s="283"/>
      <c r="AG36" s="283"/>
      <c r="AH36" s="283"/>
      <c r="AI36" s="283"/>
      <c r="AJ36" s="283"/>
      <c r="AK36" s="283"/>
      <c r="AL36" s="283"/>
      <c r="AM36" s="283"/>
      <c r="AN36" s="283"/>
      <c r="AO36" s="283"/>
      <c r="AP36" s="283"/>
      <c r="AQ36" s="283"/>
      <c r="AR36" s="283"/>
      <c r="AS36" s="225"/>
      <c r="AT36" s="225"/>
      <c r="AU36" s="225"/>
      <c r="AV36" s="225"/>
      <c r="AW36" s="225"/>
      <c r="AX36" s="225"/>
      <c r="AY36" s="225"/>
      <c r="AZ36" s="226"/>
    </row>
    <row r="37" spans="1:52" ht="12.75" x14ac:dyDescent="0.2">
      <c r="A37" s="284"/>
      <c r="B37" s="285"/>
      <c r="C37" s="286"/>
      <c r="D37" s="286"/>
      <c r="E37" s="286"/>
      <c r="F37" s="286"/>
      <c r="G37" s="286"/>
      <c r="H37" s="286"/>
      <c r="I37" s="286"/>
      <c r="J37" s="286"/>
      <c r="K37" s="286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  <c r="AR37" s="287"/>
      <c r="AS37" s="232"/>
      <c r="AT37" s="232"/>
      <c r="AU37" s="225"/>
      <c r="AV37" s="225"/>
      <c r="AW37" s="225"/>
      <c r="AX37" s="225"/>
      <c r="AY37" s="225"/>
      <c r="AZ37" s="226"/>
    </row>
    <row r="38" spans="1:52" ht="12.75" x14ac:dyDescent="0.2">
      <c r="A38" s="233" t="s">
        <v>21</v>
      </c>
      <c r="B38" s="288">
        <f>Parameter!B11</f>
        <v>0.7</v>
      </c>
      <c r="C38" s="289">
        <f>Parameter!B11</f>
        <v>0.7</v>
      </c>
      <c r="D38" s="290"/>
      <c r="E38" s="238"/>
      <c r="F38" s="238"/>
      <c r="G38" s="237">
        <f t="shared" ref="G38:R38" si="46">$C38*SUMPRODUCT($C$34:$C$35,G34:G35)</f>
        <v>0</v>
      </c>
      <c r="H38" s="238">
        <f t="shared" si="46"/>
        <v>0</v>
      </c>
      <c r="I38" s="238">
        <f t="shared" si="46"/>
        <v>0</v>
      </c>
      <c r="J38" s="238">
        <f t="shared" si="46"/>
        <v>0</v>
      </c>
      <c r="K38" s="238">
        <f t="shared" si="46"/>
        <v>642530000</v>
      </c>
      <c r="L38" s="238">
        <f t="shared" si="46"/>
        <v>2814000000</v>
      </c>
      <c r="M38" s="238">
        <f t="shared" si="46"/>
        <v>2858555000</v>
      </c>
      <c r="N38" s="238">
        <f t="shared" si="46"/>
        <v>3165750000</v>
      </c>
      <c r="O38" s="238">
        <f t="shared" si="46"/>
        <v>3184510000</v>
      </c>
      <c r="P38" s="238">
        <f t="shared" si="46"/>
        <v>3318175000</v>
      </c>
      <c r="Q38" s="238">
        <f t="shared" si="46"/>
        <v>3318175000</v>
      </c>
      <c r="R38" s="239">
        <f t="shared" si="46"/>
        <v>3257205000</v>
      </c>
      <c r="S38" s="237"/>
      <c r="T38" s="237">
        <f t="shared" ref="T38:AE38" si="47">$C38*SUMPRODUCT($C$34:$C$35,T34:T35)</f>
        <v>2823380000</v>
      </c>
      <c r="U38" s="238">
        <f t="shared" si="47"/>
        <v>2823380000</v>
      </c>
      <c r="V38" s="238">
        <f t="shared" si="47"/>
        <v>2900765000</v>
      </c>
      <c r="W38" s="238">
        <f t="shared" si="47"/>
        <v>3461220000</v>
      </c>
      <c r="X38" s="238">
        <f t="shared" si="47"/>
        <v>3461220000</v>
      </c>
      <c r="Y38" s="238">
        <f t="shared" si="47"/>
        <v>3477635000</v>
      </c>
      <c r="Z38" s="238">
        <f t="shared" si="47"/>
        <v>3592540000</v>
      </c>
      <c r="AA38" s="238">
        <f t="shared" si="47"/>
        <v>3592540000</v>
      </c>
      <c r="AB38" s="238">
        <f t="shared" si="47"/>
        <v>3608955000</v>
      </c>
      <c r="AC38" s="238">
        <f t="shared" si="47"/>
        <v>4019469999.9999995</v>
      </c>
      <c r="AD38" s="238">
        <f t="shared" si="47"/>
        <v>6553890000</v>
      </c>
      <c r="AE38" s="239">
        <f t="shared" si="47"/>
        <v>5947550000</v>
      </c>
      <c r="AF38" s="237"/>
      <c r="AG38" s="237">
        <f t="shared" ref="AG38:AR38" si="48">$C38*SUMPRODUCT($C$34:$C$35,AG34:AG35)</f>
        <v>5227495000</v>
      </c>
      <c r="AH38" s="238">
        <f t="shared" si="48"/>
        <v>5151895000</v>
      </c>
      <c r="AI38" s="238">
        <f t="shared" si="48"/>
        <v>5345305000</v>
      </c>
      <c r="AJ38" s="238">
        <f t="shared" si="48"/>
        <v>6765115000</v>
      </c>
      <c r="AK38" s="238">
        <f t="shared" si="48"/>
        <v>6765115000</v>
      </c>
      <c r="AL38" s="238">
        <f t="shared" si="48"/>
        <v>6801865000</v>
      </c>
      <c r="AM38" s="238">
        <f t="shared" si="48"/>
        <v>7103950000</v>
      </c>
      <c r="AN38" s="238">
        <f t="shared" si="48"/>
        <v>7134190000</v>
      </c>
      <c r="AO38" s="238">
        <f t="shared" si="48"/>
        <v>7354200000</v>
      </c>
      <c r="AP38" s="238">
        <f t="shared" si="48"/>
        <v>7546244999.999999</v>
      </c>
      <c r="AQ38" s="238">
        <f t="shared" si="48"/>
        <v>7573089999.999999</v>
      </c>
      <c r="AR38" s="238">
        <f t="shared" si="48"/>
        <v>6680730000</v>
      </c>
      <c r="AS38" s="238"/>
      <c r="AT38" s="239"/>
      <c r="AU38" s="240"/>
      <c r="AV38" s="229"/>
      <c r="AW38" s="229"/>
      <c r="AX38" s="229"/>
      <c r="AY38" s="229"/>
      <c r="AZ38" s="230"/>
    </row>
    <row r="39" spans="1:52" ht="12.75" x14ac:dyDescent="0.2">
      <c r="A39" s="291" t="s">
        <v>142</v>
      </c>
      <c r="B39" s="292">
        <f>Parameter!B12</f>
        <v>0.30000000000000004</v>
      </c>
      <c r="C39" s="293">
        <f>Parameter!B12</f>
        <v>0.30000000000000004</v>
      </c>
      <c r="D39" s="294"/>
      <c r="E39" s="294"/>
      <c r="F39" s="294"/>
      <c r="G39" s="295">
        <f t="shared" ref="G39:R39" si="49">$C39*SUMPRODUCT($C$34:$C$35,F34:F35)</f>
        <v>0</v>
      </c>
      <c r="H39" s="296">
        <f t="shared" si="49"/>
        <v>0</v>
      </c>
      <c r="I39" s="296">
        <f t="shared" si="49"/>
        <v>0</v>
      </c>
      <c r="J39" s="296">
        <f t="shared" si="49"/>
        <v>0</v>
      </c>
      <c r="K39" s="296">
        <f t="shared" si="49"/>
        <v>0</v>
      </c>
      <c r="L39" s="296">
        <f t="shared" si="49"/>
        <v>275370000.00000006</v>
      </c>
      <c r="M39" s="296">
        <f t="shared" si="49"/>
        <v>1206000000.0000002</v>
      </c>
      <c r="N39" s="296">
        <f t="shared" si="49"/>
        <v>1225095000.0000002</v>
      </c>
      <c r="O39" s="296">
        <f t="shared" si="49"/>
        <v>1356750000.0000002</v>
      </c>
      <c r="P39" s="296">
        <f t="shared" si="49"/>
        <v>1364790000.0000002</v>
      </c>
      <c r="Q39" s="296">
        <f t="shared" si="49"/>
        <v>1422075000.0000002</v>
      </c>
      <c r="R39" s="297">
        <f t="shared" si="49"/>
        <v>1422075000.0000002</v>
      </c>
      <c r="S39" s="295"/>
      <c r="T39" s="295">
        <f>$C39*SUMPRODUCT($C$34:$C$35,R34:R35)</f>
        <v>1395945000.0000002</v>
      </c>
      <c r="U39" s="296">
        <f t="shared" ref="U39:AE39" si="50">$C39*SUMPRODUCT($C$34:$C$35,T34:T35)</f>
        <v>1210020000.0000002</v>
      </c>
      <c r="V39" s="296">
        <f t="shared" si="50"/>
        <v>1210020000.0000002</v>
      </c>
      <c r="W39" s="296">
        <f t="shared" si="50"/>
        <v>1243185000.0000002</v>
      </c>
      <c r="X39" s="296">
        <f t="shared" si="50"/>
        <v>1483380000.0000002</v>
      </c>
      <c r="Y39" s="296">
        <f t="shared" si="50"/>
        <v>1483380000.0000002</v>
      </c>
      <c r="Z39" s="296">
        <f t="shared" si="50"/>
        <v>1490415000.0000002</v>
      </c>
      <c r="AA39" s="296">
        <f t="shared" si="50"/>
        <v>1539660000.0000002</v>
      </c>
      <c r="AB39" s="296">
        <f t="shared" si="50"/>
        <v>1539660000.0000002</v>
      </c>
      <c r="AC39" s="296">
        <f t="shared" si="50"/>
        <v>1546695000.0000002</v>
      </c>
      <c r="AD39" s="296">
        <f t="shared" si="50"/>
        <v>1722630000.0000002</v>
      </c>
      <c r="AE39" s="297">
        <f t="shared" si="50"/>
        <v>2808810000.0000005</v>
      </c>
      <c r="AF39" s="295"/>
      <c r="AG39" s="295">
        <f>$C39*SUMPRODUCT($C$34:$C$35,AE34:AE35)</f>
        <v>2548950000.0000005</v>
      </c>
      <c r="AH39" s="296">
        <f t="shared" ref="AH39:AT39" si="51">$C39*SUMPRODUCT($C$34:$C$35,AG34:AG35)</f>
        <v>2240355000.0000005</v>
      </c>
      <c r="AI39" s="296">
        <f t="shared" si="51"/>
        <v>2207955000.0000005</v>
      </c>
      <c r="AJ39" s="296">
        <f t="shared" si="51"/>
        <v>2290845000.0000005</v>
      </c>
      <c r="AK39" s="296">
        <f t="shared" si="51"/>
        <v>2899335000.0000005</v>
      </c>
      <c r="AL39" s="296">
        <f t="shared" si="51"/>
        <v>2899335000.0000005</v>
      </c>
      <c r="AM39" s="296">
        <f t="shared" si="51"/>
        <v>2915085000.0000005</v>
      </c>
      <c r="AN39" s="296">
        <f t="shared" si="51"/>
        <v>3044550000.0000005</v>
      </c>
      <c r="AO39" s="296">
        <f t="shared" si="51"/>
        <v>3057510000.0000005</v>
      </c>
      <c r="AP39" s="296">
        <f t="shared" si="51"/>
        <v>3151800000.0000005</v>
      </c>
      <c r="AQ39" s="296">
        <f t="shared" si="51"/>
        <v>3234105000.0000005</v>
      </c>
      <c r="AR39" s="296">
        <f t="shared" si="51"/>
        <v>3245610000.0000005</v>
      </c>
      <c r="AS39" s="296">
        <f t="shared" si="51"/>
        <v>2863170000.0000005</v>
      </c>
      <c r="AT39" s="297">
        <f t="shared" si="51"/>
        <v>0</v>
      </c>
      <c r="AU39" s="240"/>
      <c r="AV39" s="229"/>
      <c r="AW39" s="229"/>
      <c r="AX39" s="229"/>
      <c r="AY39" s="229"/>
      <c r="AZ39" s="230"/>
    </row>
    <row r="40" spans="1:52" ht="12.75" x14ac:dyDescent="0.2">
      <c r="A40" s="298" t="s">
        <v>134</v>
      </c>
      <c r="B40" s="299"/>
      <c r="C40" s="249"/>
      <c r="D40" s="249"/>
      <c r="E40" s="249"/>
      <c r="F40" s="250"/>
      <c r="G40" s="300">
        <f t="shared" ref="G40:AE40" si="52">SUM(G38:G39)</f>
        <v>0</v>
      </c>
      <c r="H40" s="250">
        <f t="shared" si="52"/>
        <v>0</v>
      </c>
      <c r="I40" s="250">
        <f t="shared" si="52"/>
        <v>0</v>
      </c>
      <c r="J40" s="250">
        <f t="shared" si="52"/>
        <v>0</v>
      </c>
      <c r="K40" s="250">
        <f t="shared" si="52"/>
        <v>642530000</v>
      </c>
      <c r="L40" s="250">
        <f t="shared" si="52"/>
        <v>3089370000</v>
      </c>
      <c r="M40" s="250">
        <f t="shared" si="52"/>
        <v>4064555000</v>
      </c>
      <c r="N40" s="250">
        <f t="shared" si="52"/>
        <v>4390845000</v>
      </c>
      <c r="O40" s="250">
        <f t="shared" si="52"/>
        <v>4541260000</v>
      </c>
      <c r="P40" s="250">
        <f t="shared" si="52"/>
        <v>4682965000</v>
      </c>
      <c r="Q40" s="250">
        <f t="shared" si="52"/>
        <v>4740250000</v>
      </c>
      <c r="R40" s="301">
        <f t="shared" si="52"/>
        <v>4679280000</v>
      </c>
      <c r="S40" s="300">
        <f t="shared" si="52"/>
        <v>0</v>
      </c>
      <c r="T40" s="300">
        <f t="shared" si="52"/>
        <v>4219325000</v>
      </c>
      <c r="U40" s="250">
        <f t="shared" si="52"/>
        <v>4033400000</v>
      </c>
      <c r="V40" s="250">
        <f t="shared" si="52"/>
        <v>4110785000</v>
      </c>
      <c r="W40" s="250">
        <f t="shared" si="52"/>
        <v>4704405000</v>
      </c>
      <c r="X40" s="250">
        <f t="shared" si="52"/>
        <v>4944600000</v>
      </c>
      <c r="Y40" s="250">
        <f t="shared" si="52"/>
        <v>4961015000</v>
      </c>
      <c r="Z40" s="250">
        <f t="shared" si="52"/>
        <v>5082955000</v>
      </c>
      <c r="AA40" s="250">
        <f t="shared" si="52"/>
        <v>5132200000</v>
      </c>
      <c r="AB40" s="250">
        <f t="shared" si="52"/>
        <v>5148615000</v>
      </c>
      <c r="AC40" s="250">
        <f t="shared" si="52"/>
        <v>5566165000</v>
      </c>
      <c r="AD40" s="250">
        <f t="shared" si="52"/>
        <v>8276520000</v>
      </c>
      <c r="AE40" s="301">
        <f t="shared" si="52"/>
        <v>8756360000</v>
      </c>
      <c r="AF40" s="300"/>
      <c r="AG40" s="300">
        <f t="shared" ref="AG40:AT40" si="53">SUM(AG38:AG39)</f>
        <v>7776445000</v>
      </c>
      <c r="AH40" s="250">
        <f t="shared" si="53"/>
        <v>7392250000</v>
      </c>
      <c r="AI40" s="250">
        <f t="shared" si="53"/>
        <v>7553260000</v>
      </c>
      <c r="AJ40" s="250">
        <f t="shared" si="53"/>
        <v>9055960000</v>
      </c>
      <c r="AK40" s="250">
        <f t="shared" si="53"/>
        <v>9664450000</v>
      </c>
      <c r="AL40" s="250">
        <f t="shared" si="53"/>
        <v>9701200000</v>
      </c>
      <c r="AM40" s="250">
        <f t="shared" si="53"/>
        <v>10019035000</v>
      </c>
      <c r="AN40" s="250">
        <f t="shared" si="53"/>
        <v>10178740000</v>
      </c>
      <c r="AO40" s="250">
        <f t="shared" si="53"/>
        <v>10411710000</v>
      </c>
      <c r="AP40" s="250">
        <f t="shared" si="53"/>
        <v>10698045000</v>
      </c>
      <c r="AQ40" s="250">
        <f t="shared" si="53"/>
        <v>10807195000</v>
      </c>
      <c r="AR40" s="250">
        <f t="shared" si="53"/>
        <v>9926340000</v>
      </c>
      <c r="AS40" s="250">
        <f t="shared" si="53"/>
        <v>2863170000.0000005</v>
      </c>
      <c r="AT40" s="301">
        <f t="shared" si="53"/>
        <v>0</v>
      </c>
      <c r="AU40" s="254"/>
      <c r="AV40" s="255"/>
      <c r="AW40" s="255"/>
      <c r="AX40" s="255"/>
      <c r="AY40" s="255"/>
      <c r="AZ40" s="256"/>
    </row>
    <row r="41" spans="1:52" ht="12.75" x14ac:dyDescent="0.2">
      <c r="A41" s="302" t="s">
        <v>143</v>
      </c>
      <c r="B41" s="303"/>
      <c r="C41" s="303"/>
      <c r="D41" s="303"/>
      <c r="E41" s="303"/>
      <c r="F41" s="304"/>
      <c r="G41" s="305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5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5"/>
      <c r="AH41" s="304"/>
      <c r="AI41" s="304"/>
      <c r="AJ41" s="304"/>
      <c r="AK41" s="304"/>
      <c r="AL41" s="304"/>
      <c r="AM41" s="304"/>
      <c r="AN41" s="304"/>
      <c r="AO41" s="304"/>
      <c r="AP41" s="304"/>
      <c r="AQ41" s="304"/>
      <c r="AR41" s="304"/>
      <c r="AS41" s="304"/>
      <c r="AT41" s="306"/>
      <c r="AU41" s="307"/>
      <c r="AV41" s="308"/>
      <c r="AW41" s="308"/>
      <c r="AX41" s="308"/>
      <c r="AY41" s="308"/>
      <c r="AZ41" s="309"/>
    </row>
    <row r="42" spans="1:52" ht="12.75" x14ac:dyDescent="0.2">
      <c r="A42" s="310" t="s">
        <v>144</v>
      </c>
      <c r="B42" s="294"/>
      <c r="C42" s="294"/>
      <c r="D42" s="294"/>
      <c r="E42" s="294"/>
      <c r="F42" s="296">
        <f t="shared" ref="F42:Q42" si="54">G39</f>
        <v>0</v>
      </c>
      <c r="G42" s="295">
        <f t="shared" si="54"/>
        <v>0</v>
      </c>
      <c r="H42" s="296">
        <f t="shared" si="54"/>
        <v>0</v>
      </c>
      <c r="I42" s="296">
        <f t="shared" si="54"/>
        <v>0</v>
      </c>
      <c r="J42" s="296">
        <f t="shared" si="54"/>
        <v>0</v>
      </c>
      <c r="K42" s="296">
        <f t="shared" si="54"/>
        <v>275370000.00000006</v>
      </c>
      <c r="L42" s="296">
        <f t="shared" si="54"/>
        <v>1206000000.0000002</v>
      </c>
      <c r="M42" s="296">
        <f t="shared" si="54"/>
        <v>1225095000.0000002</v>
      </c>
      <c r="N42" s="296">
        <f t="shared" si="54"/>
        <v>1356750000.0000002</v>
      </c>
      <c r="O42" s="296">
        <f t="shared" si="54"/>
        <v>1364790000.0000002</v>
      </c>
      <c r="P42" s="296">
        <f t="shared" si="54"/>
        <v>1422075000.0000002</v>
      </c>
      <c r="Q42" s="296">
        <f t="shared" si="54"/>
        <v>1422075000.0000002</v>
      </c>
      <c r="R42" s="296">
        <f>T39</f>
        <v>1395945000.0000002</v>
      </c>
      <c r="S42" s="296">
        <f>IF(ISBLANK(S32),R42)</f>
        <v>1395945000.0000002</v>
      </c>
      <c r="T42" s="295">
        <f t="shared" ref="T42:AD42" si="55">U39</f>
        <v>1210020000.0000002</v>
      </c>
      <c r="U42" s="296">
        <f t="shared" si="55"/>
        <v>1210020000.0000002</v>
      </c>
      <c r="V42" s="296">
        <f t="shared" si="55"/>
        <v>1243185000.0000002</v>
      </c>
      <c r="W42" s="296">
        <f t="shared" si="55"/>
        <v>1483380000.0000002</v>
      </c>
      <c r="X42" s="296">
        <f t="shared" si="55"/>
        <v>1483380000.0000002</v>
      </c>
      <c r="Y42" s="296">
        <f t="shared" si="55"/>
        <v>1490415000.0000002</v>
      </c>
      <c r="Z42" s="296">
        <f t="shared" si="55"/>
        <v>1539660000.0000002</v>
      </c>
      <c r="AA42" s="296">
        <f t="shared" si="55"/>
        <v>1539660000.0000002</v>
      </c>
      <c r="AB42" s="296">
        <f t="shared" si="55"/>
        <v>1546695000.0000002</v>
      </c>
      <c r="AC42" s="296">
        <f t="shared" si="55"/>
        <v>1722630000.0000002</v>
      </c>
      <c r="AD42" s="296">
        <f t="shared" si="55"/>
        <v>2808810000.0000005</v>
      </c>
      <c r="AE42" s="296">
        <f>AG39</f>
        <v>2548950000.0000005</v>
      </c>
      <c r="AF42" s="296">
        <f>IF(ISBLANK(AF32),AE42)</f>
        <v>2548950000.0000005</v>
      </c>
      <c r="AG42" s="295">
        <f t="shared" ref="AG42:AS42" si="56">AH39</f>
        <v>2240355000.0000005</v>
      </c>
      <c r="AH42" s="296">
        <f t="shared" si="56"/>
        <v>2207955000.0000005</v>
      </c>
      <c r="AI42" s="296">
        <f t="shared" si="56"/>
        <v>2290845000.0000005</v>
      </c>
      <c r="AJ42" s="296">
        <f t="shared" si="56"/>
        <v>2899335000.0000005</v>
      </c>
      <c r="AK42" s="296">
        <f t="shared" si="56"/>
        <v>2899335000.0000005</v>
      </c>
      <c r="AL42" s="296">
        <f t="shared" si="56"/>
        <v>2915085000.0000005</v>
      </c>
      <c r="AM42" s="296">
        <f t="shared" si="56"/>
        <v>3044550000.0000005</v>
      </c>
      <c r="AN42" s="296">
        <f t="shared" si="56"/>
        <v>3057510000.0000005</v>
      </c>
      <c r="AO42" s="296">
        <f t="shared" si="56"/>
        <v>3151800000.0000005</v>
      </c>
      <c r="AP42" s="296">
        <f t="shared" si="56"/>
        <v>3234105000.0000005</v>
      </c>
      <c r="AQ42" s="296">
        <f t="shared" si="56"/>
        <v>3245610000.0000005</v>
      </c>
      <c r="AR42" s="296">
        <f t="shared" si="56"/>
        <v>2863170000.0000005</v>
      </c>
      <c r="AS42" s="296">
        <f t="shared" si="56"/>
        <v>0</v>
      </c>
      <c r="AT42" s="311">
        <f>BA39</f>
        <v>0</v>
      </c>
      <c r="AU42" s="227"/>
      <c r="AV42" s="225"/>
      <c r="AW42" s="225"/>
      <c r="AX42" s="225"/>
      <c r="AY42" s="225"/>
      <c r="AZ42" s="226"/>
    </row>
    <row r="43" spans="1:52" ht="12.75" x14ac:dyDescent="0.2">
      <c r="A43" s="247" t="s">
        <v>145</v>
      </c>
      <c r="B43" s="248"/>
      <c r="C43" s="249"/>
      <c r="D43" s="249"/>
      <c r="E43" s="249"/>
      <c r="F43" s="250"/>
      <c r="G43" s="251">
        <f>G42-G39+F45</f>
        <v>0</v>
      </c>
      <c r="H43" s="252">
        <f t="shared" ref="H43:R43" si="57">H42-H39+G43</f>
        <v>0</v>
      </c>
      <c r="I43" s="252">
        <f t="shared" si="57"/>
        <v>0</v>
      </c>
      <c r="J43" s="252">
        <f t="shared" si="57"/>
        <v>0</v>
      </c>
      <c r="K43" s="252">
        <f t="shared" si="57"/>
        <v>275370000.00000006</v>
      </c>
      <c r="L43" s="252">
        <f t="shared" si="57"/>
        <v>1206000000.0000002</v>
      </c>
      <c r="M43" s="252">
        <f t="shared" si="57"/>
        <v>1225095000.0000002</v>
      </c>
      <c r="N43" s="252">
        <f t="shared" si="57"/>
        <v>1356750000.0000002</v>
      </c>
      <c r="O43" s="252">
        <f t="shared" si="57"/>
        <v>1364790000.0000002</v>
      </c>
      <c r="P43" s="252">
        <f t="shared" si="57"/>
        <v>1422075000.0000002</v>
      </c>
      <c r="Q43" s="252">
        <f t="shared" si="57"/>
        <v>1422075000.0000002</v>
      </c>
      <c r="R43" s="253">
        <f t="shared" si="57"/>
        <v>1395945000.0000002</v>
      </c>
      <c r="S43" s="251"/>
      <c r="T43" s="251">
        <f>T42-T39+R43</f>
        <v>1210020000.0000002</v>
      </c>
      <c r="U43" s="252">
        <f t="shared" ref="U43:AE43" si="58">U42-U39+T43</f>
        <v>1210020000.0000002</v>
      </c>
      <c r="V43" s="252">
        <f t="shared" si="58"/>
        <v>1243185000.0000002</v>
      </c>
      <c r="W43" s="252">
        <f t="shared" si="58"/>
        <v>1483380000.0000002</v>
      </c>
      <c r="X43" s="252">
        <f t="shared" si="58"/>
        <v>1483380000.0000002</v>
      </c>
      <c r="Y43" s="252">
        <f t="shared" si="58"/>
        <v>1490415000.0000002</v>
      </c>
      <c r="Z43" s="252">
        <f t="shared" si="58"/>
        <v>1539660000.0000002</v>
      </c>
      <c r="AA43" s="252">
        <f t="shared" si="58"/>
        <v>1539660000.0000002</v>
      </c>
      <c r="AB43" s="252">
        <f t="shared" si="58"/>
        <v>1546695000.0000002</v>
      </c>
      <c r="AC43" s="252">
        <f t="shared" si="58"/>
        <v>1722630000.0000002</v>
      </c>
      <c r="AD43" s="252">
        <f t="shared" si="58"/>
        <v>2808810000.0000005</v>
      </c>
      <c r="AE43" s="253">
        <f t="shared" si="58"/>
        <v>2548950000.0000005</v>
      </c>
      <c r="AF43" s="251"/>
      <c r="AG43" s="251">
        <f>AG42-AG39+AE43</f>
        <v>2240355000.0000005</v>
      </c>
      <c r="AH43" s="252">
        <f t="shared" ref="AH43:AT43" si="59">AH42-AH39+AG43</f>
        <v>2207955000.0000005</v>
      </c>
      <c r="AI43" s="252">
        <f t="shared" si="59"/>
        <v>2290845000.0000005</v>
      </c>
      <c r="AJ43" s="252">
        <f t="shared" si="59"/>
        <v>2899335000.0000005</v>
      </c>
      <c r="AK43" s="252">
        <f t="shared" si="59"/>
        <v>2899335000.0000005</v>
      </c>
      <c r="AL43" s="252">
        <f t="shared" si="59"/>
        <v>2915085000.0000005</v>
      </c>
      <c r="AM43" s="252">
        <f t="shared" si="59"/>
        <v>3044550000.0000005</v>
      </c>
      <c r="AN43" s="252">
        <f t="shared" si="59"/>
        <v>3057510000.0000005</v>
      </c>
      <c r="AO43" s="252">
        <f t="shared" si="59"/>
        <v>3151800000.0000005</v>
      </c>
      <c r="AP43" s="252">
        <f t="shared" si="59"/>
        <v>3234105000.0000005</v>
      </c>
      <c r="AQ43" s="252">
        <f t="shared" si="59"/>
        <v>3245610000.0000005</v>
      </c>
      <c r="AR43" s="252">
        <f t="shared" si="59"/>
        <v>2863170000.0000005</v>
      </c>
      <c r="AS43" s="252">
        <f t="shared" si="59"/>
        <v>0</v>
      </c>
      <c r="AT43" s="253">
        <f t="shared" si="59"/>
        <v>0</v>
      </c>
      <c r="AU43" s="254"/>
      <c r="AV43" s="255"/>
      <c r="AW43" s="255"/>
      <c r="AX43" s="255"/>
      <c r="AY43" s="255"/>
      <c r="AZ43" s="256"/>
    </row>
    <row r="44" spans="1:52" ht="12.75" x14ac:dyDescent="0.2">
      <c r="A44" s="312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5"/>
      <c r="AV44" s="225"/>
      <c r="AW44" s="225"/>
      <c r="AX44" s="225"/>
      <c r="AY44" s="225"/>
      <c r="AZ44" s="226"/>
    </row>
    <row r="45" spans="1:52" ht="12.75" x14ac:dyDescent="0.2">
      <c r="A45" s="227"/>
      <c r="B45" s="225"/>
      <c r="C45" s="225"/>
      <c r="D45" s="225"/>
      <c r="E45" s="225"/>
      <c r="F45" s="225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4"/>
    </row>
    <row r="46" spans="1:52" ht="12.75" x14ac:dyDescent="0.2">
      <c r="A46" s="227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6"/>
    </row>
    <row r="47" spans="1:52" ht="12.75" x14ac:dyDescent="0.2">
      <c r="A47" s="227"/>
      <c r="B47" s="225"/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6"/>
    </row>
    <row r="48" spans="1:52" ht="12.75" x14ac:dyDescent="0.2">
      <c r="A48" s="227"/>
      <c r="B48" s="225"/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6"/>
    </row>
    <row r="49" spans="1:52" ht="12.75" x14ac:dyDescent="0.2">
      <c r="A49" s="227"/>
      <c r="B49" s="225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6"/>
    </row>
    <row r="50" spans="1:52" ht="12.75" x14ac:dyDescent="0.2">
      <c r="A50" s="23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2"/>
      <c r="AX50" s="232"/>
      <c r="AY50" s="232"/>
      <c r="AZ50" s="315"/>
    </row>
  </sheetData>
  <mergeCells count="38">
    <mergeCell ref="T30:AE30"/>
    <mergeCell ref="G31:I31"/>
    <mergeCell ref="J31:L31"/>
    <mergeCell ref="M31:O31"/>
    <mergeCell ref="W2:Y2"/>
    <mergeCell ref="Z2:AB2"/>
    <mergeCell ref="AC2:AE2"/>
    <mergeCell ref="AG31:AI31"/>
    <mergeCell ref="AJ31:AL31"/>
    <mergeCell ref="AM31:AO31"/>
    <mergeCell ref="AM2:AO2"/>
    <mergeCell ref="AG30:AR30"/>
    <mergeCell ref="AP31:AR31"/>
    <mergeCell ref="AG2:AI2"/>
    <mergeCell ref="AJ2:AL2"/>
    <mergeCell ref="AG1:AR1"/>
    <mergeCell ref="G2:I2"/>
    <mergeCell ref="J2:L2"/>
    <mergeCell ref="M2:O2"/>
    <mergeCell ref="AP2:AR2"/>
    <mergeCell ref="P2:R2"/>
    <mergeCell ref="T2:V2"/>
    <mergeCell ref="AC31:AE31"/>
    <mergeCell ref="A33:B33"/>
    <mergeCell ref="A34:A35"/>
    <mergeCell ref="G1:R1"/>
    <mergeCell ref="T1:AE1"/>
    <mergeCell ref="P31:R31"/>
    <mergeCell ref="T31:V31"/>
    <mergeCell ref="W31:Y31"/>
    <mergeCell ref="Z31:AB31"/>
    <mergeCell ref="A1:B3"/>
    <mergeCell ref="A4:B4"/>
    <mergeCell ref="A5:A6"/>
    <mergeCell ref="A7:B7"/>
    <mergeCell ref="A8:A9"/>
    <mergeCell ref="A30:B32"/>
    <mergeCell ref="G30:R30"/>
  </mergeCells>
  <conditionalFormatting sqref="E33:AR37">
    <cfRule type="cellIs" dxfId="13" priority="1" operator="equal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outlinePr summaryBelow="0" summaryRight="0"/>
    <pageSetUpPr fitToPage="1"/>
  </sheetPr>
  <dimension ref="A1:BG42"/>
  <sheetViews>
    <sheetView workbookViewId="0"/>
  </sheetViews>
  <sheetFormatPr defaultColWidth="12.5703125" defaultRowHeight="15.75" customHeight="1" x14ac:dyDescent="0.2"/>
  <cols>
    <col min="1" max="1" width="26.28515625" customWidth="1"/>
    <col min="2" max="2" width="9.28515625" customWidth="1"/>
    <col min="4" max="4" width="12.5703125" hidden="1"/>
    <col min="17" max="17" width="12.5703125" hidden="1"/>
  </cols>
  <sheetData>
    <row r="1" spans="1:59" ht="12.75" x14ac:dyDescent="0.2">
      <c r="A1" s="1379" t="s">
        <v>146</v>
      </c>
      <c r="B1" s="1380"/>
      <c r="C1" s="1380"/>
      <c r="D1" s="316"/>
      <c r="E1" s="1376">
        <v>2025</v>
      </c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8"/>
      <c r="Q1" s="166"/>
      <c r="R1" s="1377">
        <v>2026</v>
      </c>
      <c r="S1" s="1367"/>
      <c r="T1" s="1367"/>
      <c r="U1" s="1367"/>
      <c r="V1" s="1367"/>
      <c r="W1" s="1367"/>
      <c r="X1" s="1367"/>
      <c r="Y1" s="1367"/>
      <c r="Z1" s="1367"/>
      <c r="AA1" s="1367"/>
      <c r="AB1" s="1367"/>
      <c r="AC1" s="1367"/>
      <c r="AD1" s="1367"/>
      <c r="AE1" s="1367"/>
      <c r="AF1" s="1367"/>
      <c r="AG1" s="1367"/>
      <c r="AH1" s="1367"/>
      <c r="AI1" s="1368"/>
      <c r="AJ1" s="1376">
        <v>2027</v>
      </c>
      <c r="AK1" s="1367"/>
      <c r="AL1" s="1367"/>
      <c r="AM1" s="1367"/>
      <c r="AN1" s="1367"/>
      <c r="AO1" s="1367"/>
      <c r="AP1" s="1367"/>
      <c r="AQ1" s="1367"/>
      <c r="AR1" s="1367"/>
      <c r="AS1" s="1367"/>
      <c r="AT1" s="1367"/>
      <c r="AU1" s="1367"/>
      <c r="AV1" s="1367"/>
      <c r="AW1" s="1367"/>
      <c r="AX1" s="1367"/>
      <c r="AY1" s="1367"/>
      <c r="AZ1" s="1367"/>
      <c r="BA1" s="1404"/>
      <c r="BB1" s="317"/>
      <c r="BC1" s="318"/>
      <c r="BD1" s="281"/>
      <c r="BE1" s="281"/>
      <c r="BF1" s="281"/>
      <c r="BG1" s="319"/>
    </row>
    <row r="2" spans="1:59" ht="12.75" x14ac:dyDescent="0.2">
      <c r="A2" s="1381"/>
      <c r="B2" s="1343"/>
      <c r="C2" s="1343"/>
      <c r="D2" s="320"/>
      <c r="E2" s="1378" t="s">
        <v>118</v>
      </c>
      <c r="F2" s="1367"/>
      <c r="G2" s="1368"/>
      <c r="H2" s="1371" t="s">
        <v>119</v>
      </c>
      <c r="I2" s="1367"/>
      <c r="J2" s="1368"/>
      <c r="K2" s="1371" t="s">
        <v>120</v>
      </c>
      <c r="L2" s="1367"/>
      <c r="M2" s="1368"/>
      <c r="N2" s="1371" t="s">
        <v>121</v>
      </c>
      <c r="O2" s="1367"/>
      <c r="P2" s="1368"/>
      <c r="Q2" s="174"/>
      <c r="R2" s="1378" t="s">
        <v>118</v>
      </c>
      <c r="S2" s="1367"/>
      <c r="T2" s="1368"/>
      <c r="U2" s="1401" t="s">
        <v>119</v>
      </c>
      <c r="V2" s="1399"/>
      <c r="W2" s="1399"/>
      <c r="X2" s="1399"/>
      <c r="Y2" s="1399"/>
      <c r="Z2" s="1400"/>
      <c r="AA2" s="1401" t="s">
        <v>120</v>
      </c>
      <c r="AB2" s="1399"/>
      <c r="AC2" s="1400"/>
      <c r="AD2" s="1401" t="s">
        <v>121</v>
      </c>
      <c r="AE2" s="1399"/>
      <c r="AF2" s="1399"/>
      <c r="AG2" s="1399"/>
      <c r="AH2" s="1399"/>
      <c r="AI2" s="1399"/>
      <c r="AJ2" s="1401" t="s">
        <v>118</v>
      </c>
      <c r="AK2" s="1399"/>
      <c r="AL2" s="1399"/>
      <c r="AM2" s="1401" t="s">
        <v>119</v>
      </c>
      <c r="AN2" s="1399"/>
      <c r="AO2" s="1399"/>
      <c r="AP2" s="1399"/>
      <c r="AQ2" s="1399"/>
      <c r="AR2" s="1400"/>
      <c r="AS2" s="1403" t="s">
        <v>120</v>
      </c>
      <c r="AT2" s="1399"/>
      <c r="AU2" s="1400"/>
      <c r="AV2" s="1405" t="s">
        <v>121</v>
      </c>
      <c r="AW2" s="1343"/>
      <c r="AX2" s="1343"/>
      <c r="AY2" s="1343"/>
      <c r="AZ2" s="1343"/>
      <c r="BA2" s="1406"/>
      <c r="BB2" s="318"/>
      <c r="BC2" s="163"/>
      <c r="BD2" s="163"/>
      <c r="BE2" s="163"/>
      <c r="BF2" s="163"/>
      <c r="BG2" s="321"/>
    </row>
    <row r="3" spans="1:59" ht="18" x14ac:dyDescent="0.25">
      <c r="A3" s="1382"/>
      <c r="B3" s="1383"/>
      <c r="C3" s="1383"/>
      <c r="D3" s="263"/>
      <c r="E3" s="263">
        <v>1</v>
      </c>
      <c r="F3" s="263">
        <v>2</v>
      </c>
      <c r="G3" s="263">
        <v>3</v>
      </c>
      <c r="H3" s="322">
        <v>4</v>
      </c>
      <c r="I3" s="263">
        <v>5</v>
      </c>
      <c r="J3" s="323">
        <v>6</v>
      </c>
      <c r="K3" s="263">
        <v>7</v>
      </c>
      <c r="L3" s="263">
        <v>8</v>
      </c>
      <c r="M3" s="263">
        <v>9</v>
      </c>
      <c r="N3" s="322">
        <v>10</v>
      </c>
      <c r="O3" s="263">
        <v>11</v>
      </c>
      <c r="P3" s="324">
        <v>12</v>
      </c>
      <c r="Q3" s="263"/>
      <c r="R3" s="263">
        <v>1</v>
      </c>
      <c r="S3" s="263">
        <v>2</v>
      </c>
      <c r="T3" s="263">
        <v>3</v>
      </c>
      <c r="U3" s="322" t="s">
        <v>147</v>
      </c>
      <c r="V3" s="263" t="s">
        <v>148</v>
      </c>
      <c r="W3" s="263" t="s">
        <v>149</v>
      </c>
      <c r="X3" s="182" t="s">
        <v>150</v>
      </c>
      <c r="Y3" s="182" t="s">
        <v>151</v>
      </c>
      <c r="Z3" s="182" t="s">
        <v>152</v>
      </c>
      <c r="AA3" s="325">
        <v>7</v>
      </c>
      <c r="AB3" s="182">
        <v>8</v>
      </c>
      <c r="AC3" s="326">
        <v>9</v>
      </c>
      <c r="AD3" s="263" t="s">
        <v>153</v>
      </c>
      <c r="AE3" s="263" t="s">
        <v>154</v>
      </c>
      <c r="AF3" s="263" t="s">
        <v>155</v>
      </c>
      <c r="AG3" s="263" t="s">
        <v>156</v>
      </c>
      <c r="AH3" s="327" t="s">
        <v>157</v>
      </c>
      <c r="AI3" s="328" t="s">
        <v>158</v>
      </c>
      <c r="AJ3" s="329">
        <v>1</v>
      </c>
      <c r="AK3" s="182">
        <v>2</v>
      </c>
      <c r="AL3" s="326">
        <v>3</v>
      </c>
      <c r="AM3" s="182" t="s">
        <v>147</v>
      </c>
      <c r="AN3" s="263" t="s">
        <v>148</v>
      </c>
      <c r="AO3" s="263" t="s">
        <v>149</v>
      </c>
      <c r="AP3" s="263" t="s">
        <v>150</v>
      </c>
      <c r="AQ3" s="263" t="s">
        <v>151</v>
      </c>
      <c r="AR3" s="323" t="s">
        <v>152</v>
      </c>
      <c r="AS3" s="182">
        <v>7</v>
      </c>
      <c r="AT3" s="182">
        <v>8</v>
      </c>
      <c r="AU3" s="326">
        <v>9</v>
      </c>
      <c r="AV3" s="263" t="s">
        <v>153</v>
      </c>
      <c r="AW3" s="263" t="s">
        <v>154</v>
      </c>
      <c r="AX3" s="263" t="s">
        <v>155</v>
      </c>
      <c r="AY3" s="263" t="s">
        <v>156</v>
      </c>
      <c r="AZ3" s="330" t="s">
        <v>157</v>
      </c>
      <c r="BA3" s="324" t="s">
        <v>158</v>
      </c>
      <c r="BB3" s="331"/>
      <c r="BC3" s="332"/>
      <c r="BD3" s="332"/>
      <c r="BE3" s="332"/>
      <c r="BF3" s="163"/>
      <c r="BG3" s="321"/>
    </row>
    <row r="4" spans="1:59" ht="12.75" x14ac:dyDescent="0.2">
      <c r="A4" s="333" t="s">
        <v>159</v>
      </c>
      <c r="B4" s="334"/>
      <c r="C4" s="334"/>
      <c r="D4" s="334"/>
      <c r="E4" s="335">
        <f t="shared" ref="E4:P4" si="0">SUM(E5:E10)</f>
        <v>0</v>
      </c>
      <c r="F4" s="335">
        <f t="shared" si="0"/>
        <v>0</v>
      </c>
      <c r="G4" s="335">
        <f t="shared" si="0"/>
        <v>0</v>
      </c>
      <c r="H4" s="336">
        <f t="shared" si="0"/>
        <v>0</v>
      </c>
      <c r="I4" s="335">
        <f t="shared" si="0"/>
        <v>11000000</v>
      </c>
      <c r="J4" s="337">
        <f t="shared" si="0"/>
        <v>20000000</v>
      </c>
      <c r="K4" s="335">
        <f t="shared" si="0"/>
        <v>8500000</v>
      </c>
      <c r="L4" s="335">
        <f t="shared" si="0"/>
        <v>22000000</v>
      </c>
      <c r="M4" s="335">
        <f t="shared" si="0"/>
        <v>7500000</v>
      </c>
      <c r="N4" s="336">
        <f t="shared" si="0"/>
        <v>7500000</v>
      </c>
      <c r="O4" s="335">
        <f t="shared" si="0"/>
        <v>7500000</v>
      </c>
      <c r="P4" s="338">
        <f t="shared" si="0"/>
        <v>8500000</v>
      </c>
      <c r="Q4" s="335"/>
      <c r="R4" s="335">
        <f t="shared" ref="R4:BA4" si="1">SUM(R5:R10)</f>
        <v>6500000</v>
      </c>
      <c r="S4" s="335">
        <f t="shared" si="1"/>
        <v>6500000</v>
      </c>
      <c r="T4" s="335">
        <f t="shared" si="1"/>
        <v>7500000</v>
      </c>
      <c r="U4" s="336">
        <f t="shared" si="1"/>
        <v>3750000</v>
      </c>
      <c r="V4" s="335">
        <f t="shared" si="1"/>
        <v>3750000</v>
      </c>
      <c r="W4" s="335">
        <f t="shared" si="1"/>
        <v>5750000</v>
      </c>
      <c r="X4" s="335">
        <f t="shared" si="1"/>
        <v>5750000</v>
      </c>
      <c r="Y4" s="335">
        <f t="shared" si="1"/>
        <v>3750000</v>
      </c>
      <c r="Z4" s="335">
        <f t="shared" si="1"/>
        <v>3750000</v>
      </c>
      <c r="AA4" s="336">
        <f t="shared" si="1"/>
        <v>6500000</v>
      </c>
      <c r="AB4" s="335">
        <f t="shared" si="1"/>
        <v>7500000</v>
      </c>
      <c r="AC4" s="337">
        <f t="shared" si="1"/>
        <v>7500000</v>
      </c>
      <c r="AD4" s="335">
        <f t="shared" si="1"/>
        <v>4250000</v>
      </c>
      <c r="AE4" s="335">
        <f t="shared" si="1"/>
        <v>4250000</v>
      </c>
      <c r="AF4" s="335">
        <f t="shared" si="1"/>
        <v>16000000</v>
      </c>
      <c r="AG4" s="335">
        <f t="shared" si="1"/>
        <v>16000000</v>
      </c>
      <c r="AH4" s="335">
        <f t="shared" si="1"/>
        <v>5750000</v>
      </c>
      <c r="AI4" s="335">
        <f t="shared" si="1"/>
        <v>5750000</v>
      </c>
      <c r="AJ4" s="339">
        <f t="shared" si="1"/>
        <v>32000000</v>
      </c>
      <c r="AK4" s="335">
        <f t="shared" si="1"/>
        <v>6500000</v>
      </c>
      <c r="AL4" s="337">
        <f t="shared" si="1"/>
        <v>7500000</v>
      </c>
      <c r="AM4" s="335">
        <f t="shared" si="1"/>
        <v>3750000</v>
      </c>
      <c r="AN4" s="335">
        <f t="shared" si="1"/>
        <v>3750000</v>
      </c>
      <c r="AO4" s="335">
        <f t="shared" si="1"/>
        <v>4250000</v>
      </c>
      <c r="AP4" s="335">
        <f t="shared" si="1"/>
        <v>4250000</v>
      </c>
      <c r="AQ4" s="335">
        <f t="shared" si="1"/>
        <v>3750000</v>
      </c>
      <c r="AR4" s="337">
        <f t="shared" si="1"/>
        <v>3750000</v>
      </c>
      <c r="AS4" s="335">
        <f t="shared" si="1"/>
        <v>6500000</v>
      </c>
      <c r="AT4" s="335">
        <f t="shared" si="1"/>
        <v>7500000</v>
      </c>
      <c r="AU4" s="337">
        <f t="shared" si="1"/>
        <v>6500000</v>
      </c>
      <c r="AV4" s="335">
        <f t="shared" si="1"/>
        <v>3250000</v>
      </c>
      <c r="AW4" s="335">
        <f t="shared" si="1"/>
        <v>3250000</v>
      </c>
      <c r="AX4" s="335">
        <f t="shared" si="1"/>
        <v>3250000</v>
      </c>
      <c r="AY4" s="335">
        <f t="shared" si="1"/>
        <v>3250000</v>
      </c>
      <c r="AZ4" s="335">
        <f t="shared" si="1"/>
        <v>4250000</v>
      </c>
      <c r="BA4" s="338">
        <f t="shared" si="1"/>
        <v>4250000</v>
      </c>
      <c r="BB4" s="340"/>
      <c r="BC4" s="341"/>
      <c r="BD4" s="341"/>
      <c r="BE4" s="341"/>
      <c r="BF4" s="341"/>
      <c r="BG4" s="342"/>
    </row>
    <row r="5" spans="1:59" ht="12.75" x14ac:dyDescent="0.2">
      <c r="A5" s="343" t="s">
        <v>160</v>
      </c>
      <c r="B5" s="344"/>
      <c r="C5" s="345"/>
      <c r="D5" s="345"/>
      <c r="E5" s="346"/>
      <c r="F5" s="346"/>
      <c r="G5" s="346"/>
      <c r="H5" s="347"/>
      <c r="I5" s="346">
        <v>3000000</v>
      </c>
      <c r="J5" s="348">
        <v>3000000</v>
      </c>
      <c r="K5" s="346">
        <f>500000</f>
        <v>500000</v>
      </c>
      <c r="L5" s="349">
        <v>3000000</v>
      </c>
      <c r="M5" s="346">
        <v>500000</v>
      </c>
      <c r="N5" s="347">
        <v>500000</v>
      </c>
      <c r="O5" s="346">
        <v>500000</v>
      </c>
      <c r="P5" s="350">
        <v>500000</v>
      </c>
      <c r="Q5" s="346"/>
      <c r="R5" s="346">
        <v>500000</v>
      </c>
      <c r="S5" s="346">
        <v>500000</v>
      </c>
      <c r="T5" s="346">
        <v>500000</v>
      </c>
      <c r="U5" s="347">
        <f t="shared" ref="U5:Z5" si="2">500000/2</f>
        <v>250000</v>
      </c>
      <c r="V5" s="346">
        <f t="shared" si="2"/>
        <v>250000</v>
      </c>
      <c r="W5" s="346">
        <f t="shared" si="2"/>
        <v>250000</v>
      </c>
      <c r="X5" s="346">
        <f t="shared" si="2"/>
        <v>250000</v>
      </c>
      <c r="Y5" s="346">
        <f t="shared" si="2"/>
        <v>250000</v>
      </c>
      <c r="Z5" s="346">
        <f t="shared" si="2"/>
        <v>250000</v>
      </c>
      <c r="AA5" s="347">
        <v>500000</v>
      </c>
      <c r="AB5" s="346">
        <v>500000</v>
      </c>
      <c r="AC5" s="348">
        <v>500000</v>
      </c>
      <c r="AD5" s="346">
        <v>250000</v>
      </c>
      <c r="AE5" s="346">
        <v>250000</v>
      </c>
      <c r="AF5" s="346">
        <f t="shared" ref="AF5:AG5" si="3">3000000/2</f>
        <v>1500000</v>
      </c>
      <c r="AG5" s="346">
        <f t="shared" si="3"/>
        <v>1500000</v>
      </c>
      <c r="AH5" s="346">
        <v>250000</v>
      </c>
      <c r="AI5" s="346">
        <v>250000</v>
      </c>
      <c r="AJ5" s="351">
        <v>3000000</v>
      </c>
      <c r="AK5" s="346">
        <v>500000</v>
      </c>
      <c r="AL5" s="348">
        <f>500000</f>
        <v>500000</v>
      </c>
      <c r="AM5" s="346">
        <v>250000</v>
      </c>
      <c r="AN5" s="346">
        <v>250000</v>
      </c>
      <c r="AO5" s="346">
        <v>250000</v>
      </c>
      <c r="AP5" s="346">
        <v>250000</v>
      </c>
      <c r="AQ5" s="346">
        <v>250000</v>
      </c>
      <c r="AR5" s="348">
        <v>250000</v>
      </c>
      <c r="AS5" s="346">
        <v>500000</v>
      </c>
      <c r="AT5" s="346">
        <v>500000</v>
      </c>
      <c r="AU5" s="348">
        <v>500000</v>
      </c>
      <c r="AV5" s="346">
        <v>250000</v>
      </c>
      <c r="AW5" s="346">
        <v>250000</v>
      </c>
      <c r="AX5" s="346">
        <v>250000</v>
      </c>
      <c r="AY5" s="346">
        <v>250000</v>
      </c>
      <c r="AZ5" s="346">
        <v>250000</v>
      </c>
      <c r="BA5" s="350">
        <v>250000</v>
      </c>
      <c r="BB5" s="352"/>
      <c r="BC5" s="353"/>
      <c r="BD5" s="353"/>
      <c r="BE5" s="353"/>
      <c r="BF5" s="353"/>
      <c r="BG5" s="354"/>
    </row>
    <row r="6" spans="1:59" ht="12.75" x14ac:dyDescent="0.2">
      <c r="A6" s="343" t="s">
        <v>161</v>
      </c>
      <c r="B6" s="344"/>
      <c r="C6" s="345"/>
      <c r="D6" s="345"/>
      <c r="E6" s="346"/>
      <c r="F6" s="346"/>
      <c r="G6" s="346"/>
      <c r="H6" s="347"/>
      <c r="I6" s="346">
        <v>3000000</v>
      </c>
      <c r="J6" s="348">
        <v>6000000</v>
      </c>
      <c r="K6" s="346">
        <v>3000000</v>
      </c>
      <c r="L6" s="349">
        <v>6000000</v>
      </c>
      <c r="M6" s="346">
        <v>3000000</v>
      </c>
      <c r="N6" s="347">
        <v>3000000</v>
      </c>
      <c r="O6" s="346">
        <v>3000000</v>
      </c>
      <c r="P6" s="350">
        <v>3000000</v>
      </c>
      <c r="Q6" s="346"/>
      <c r="R6" s="346">
        <v>3000000</v>
      </c>
      <c r="S6" s="346">
        <v>3000000</v>
      </c>
      <c r="T6" s="346">
        <v>3000000</v>
      </c>
      <c r="U6" s="347">
        <f t="shared" ref="U6:Z6" si="4">3000000/2</f>
        <v>1500000</v>
      </c>
      <c r="V6" s="346">
        <f t="shared" si="4"/>
        <v>1500000</v>
      </c>
      <c r="W6" s="346">
        <f t="shared" si="4"/>
        <v>1500000</v>
      </c>
      <c r="X6" s="346">
        <f t="shared" si="4"/>
        <v>1500000</v>
      </c>
      <c r="Y6" s="346">
        <f t="shared" si="4"/>
        <v>1500000</v>
      </c>
      <c r="Z6" s="346">
        <f t="shared" si="4"/>
        <v>1500000</v>
      </c>
      <c r="AA6" s="347">
        <v>3000000</v>
      </c>
      <c r="AB6" s="346">
        <v>3000000</v>
      </c>
      <c r="AC6" s="348">
        <v>3000000</v>
      </c>
      <c r="AD6" s="346">
        <f t="shared" ref="AD6:AE6" si="5">3000000/2</f>
        <v>1500000</v>
      </c>
      <c r="AE6" s="346">
        <f t="shared" si="5"/>
        <v>1500000</v>
      </c>
      <c r="AF6" s="346">
        <f t="shared" ref="AF6:AG6" si="6">6000000/2</f>
        <v>3000000</v>
      </c>
      <c r="AG6" s="346">
        <f t="shared" si="6"/>
        <v>3000000</v>
      </c>
      <c r="AH6" s="346">
        <f t="shared" ref="AH6:AI6" si="7">3000000/2</f>
        <v>1500000</v>
      </c>
      <c r="AI6" s="346">
        <f t="shared" si="7"/>
        <v>1500000</v>
      </c>
      <c r="AJ6" s="351">
        <v>6000000</v>
      </c>
      <c r="AK6" s="346">
        <v>3000000</v>
      </c>
      <c r="AL6" s="348">
        <v>3000000</v>
      </c>
      <c r="AM6" s="346">
        <f t="shared" ref="AM6:AR6" si="8">3000000/2</f>
        <v>1500000</v>
      </c>
      <c r="AN6" s="346">
        <f t="shared" si="8"/>
        <v>1500000</v>
      </c>
      <c r="AO6" s="346">
        <f t="shared" si="8"/>
        <v>1500000</v>
      </c>
      <c r="AP6" s="346">
        <f t="shared" si="8"/>
        <v>1500000</v>
      </c>
      <c r="AQ6" s="346">
        <f t="shared" si="8"/>
        <v>1500000</v>
      </c>
      <c r="AR6" s="348">
        <f t="shared" si="8"/>
        <v>1500000</v>
      </c>
      <c r="AS6" s="346">
        <v>3000000</v>
      </c>
      <c r="AT6" s="346">
        <v>3000000</v>
      </c>
      <c r="AU6" s="348">
        <v>3000000</v>
      </c>
      <c r="AV6" s="346">
        <f t="shared" ref="AV6:BA6" si="9">3000000/2</f>
        <v>1500000</v>
      </c>
      <c r="AW6" s="346">
        <f t="shared" si="9"/>
        <v>1500000</v>
      </c>
      <c r="AX6" s="346">
        <f t="shared" si="9"/>
        <v>1500000</v>
      </c>
      <c r="AY6" s="346">
        <f t="shared" si="9"/>
        <v>1500000</v>
      </c>
      <c r="AZ6" s="346">
        <f t="shared" si="9"/>
        <v>1500000</v>
      </c>
      <c r="BA6" s="350">
        <f t="shared" si="9"/>
        <v>1500000</v>
      </c>
      <c r="BB6" s="352"/>
      <c r="BC6" s="353"/>
      <c r="BD6" s="353"/>
      <c r="BE6" s="353"/>
      <c r="BF6" s="353"/>
      <c r="BG6" s="354"/>
    </row>
    <row r="7" spans="1:59" ht="12.75" x14ac:dyDescent="0.2">
      <c r="A7" s="343" t="s">
        <v>162</v>
      </c>
      <c r="B7" s="344"/>
      <c r="C7" s="345"/>
      <c r="D7" s="345"/>
      <c r="E7" s="346"/>
      <c r="F7" s="346"/>
      <c r="G7" s="346"/>
      <c r="H7" s="347"/>
      <c r="I7" s="346">
        <v>2000000</v>
      </c>
      <c r="J7" s="348">
        <v>3000000</v>
      </c>
      <c r="K7" s="346">
        <v>3000000</v>
      </c>
      <c r="L7" s="349">
        <v>5000000</v>
      </c>
      <c r="M7" s="346">
        <v>2000000</v>
      </c>
      <c r="N7" s="347">
        <v>2000000</v>
      </c>
      <c r="O7" s="346">
        <v>2000000</v>
      </c>
      <c r="P7" s="350">
        <v>2000000</v>
      </c>
      <c r="Q7" s="346"/>
      <c r="R7" s="346">
        <v>2000000</v>
      </c>
      <c r="S7" s="346">
        <v>2000000</v>
      </c>
      <c r="T7" s="348">
        <v>2000000</v>
      </c>
      <c r="U7" s="346">
        <v>1000000</v>
      </c>
      <c r="V7" s="346">
        <v>1000000</v>
      </c>
      <c r="W7" s="346">
        <v>1000000</v>
      </c>
      <c r="X7" s="346">
        <v>1000000</v>
      </c>
      <c r="Y7" s="346">
        <v>1000000</v>
      </c>
      <c r="Z7" s="346">
        <v>1000000</v>
      </c>
      <c r="AA7" s="347">
        <v>2000000</v>
      </c>
      <c r="AB7" s="346">
        <v>2000000</v>
      </c>
      <c r="AC7" s="348">
        <v>2000000</v>
      </c>
      <c r="AD7" s="346">
        <v>1000000</v>
      </c>
      <c r="AE7" s="346">
        <v>1000000</v>
      </c>
      <c r="AF7" s="346">
        <f t="shared" ref="AF7:AG7" si="10">5000000/2</f>
        <v>2500000</v>
      </c>
      <c r="AG7" s="346">
        <f t="shared" si="10"/>
        <v>2500000</v>
      </c>
      <c r="AH7" s="346">
        <v>1000000</v>
      </c>
      <c r="AI7" s="346">
        <v>1000000</v>
      </c>
      <c r="AJ7" s="351">
        <v>5000000</v>
      </c>
      <c r="AK7" s="346">
        <v>2000000</v>
      </c>
      <c r="AL7" s="348">
        <v>2000000</v>
      </c>
      <c r="AM7" s="346">
        <v>1000000</v>
      </c>
      <c r="AN7" s="346">
        <v>1000000</v>
      </c>
      <c r="AO7" s="346">
        <v>1000000</v>
      </c>
      <c r="AP7" s="346">
        <v>1000000</v>
      </c>
      <c r="AQ7" s="346">
        <v>1000000</v>
      </c>
      <c r="AR7" s="348">
        <v>1000000</v>
      </c>
      <c r="AS7" s="346">
        <v>2000000</v>
      </c>
      <c r="AT7" s="346">
        <v>2000000</v>
      </c>
      <c r="AU7" s="348">
        <v>2000000</v>
      </c>
      <c r="AV7" s="346">
        <v>1000000</v>
      </c>
      <c r="AW7" s="346">
        <v>1000000</v>
      </c>
      <c r="AX7" s="346">
        <v>1000000</v>
      </c>
      <c r="AY7" s="346">
        <v>1000000</v>
      </c>
      <c r="AZ7" s="346">
        <v>1000000</v>
      </c>
      <c r="BA7" s="350">
        <v>1000000</v>
      </c>
      <c r="BB7" s="352"/>
      <c r="BC7" s="353"/>
      <c r="BD7" s="353"/>
      <c r="BE7" s="353"/>
      <c r="BF7" s="353"/>
      <c r="BG7" s="354"/>
    </row>
    <row r="8" spans="1:59" ht="12.75" x14ac:dyDescent="0.2">
      <c r="A8" s="355" t="s">
        <v>163</v>
      </c>
      <c r="B8" s="344"/>
      <c r="C8" s="356"/>
      <c r="D8" s="356"/>
      <c r="E8" s="346"/>
      <c r="F8" s="346"/>
      <c r="G8" s="346"/>
      <c r="H8" s="347"/>
      <c r="I8" s="346"/>
      <c r="J8" s="348">
        <v>3000000</v>
      </c>
      <c r="K8" s="346"/>
      <c r="L8" s="349">
        <v>3000000</v>
      </c>
      <c r="M8" s="346"/>
      <c r="N8" s="347"/>
      <c r="O8" s="346"/>
      <c r="P8" s="350"/>
      <c r="Q8" s="346"/>
      <c r="R8" s="346"/>
      <c r="S8" s="346"/>
      <c r="T8" s="346"/>
      <c r="U8" s="347"/>
      <c r="V8" s="346"/>
      <c r="W8" s="346">
        <f t="shared" ref="W8:X8" si="11">3000000/2</f>
        <v>1500000</v>
      </c>
      <c r="X8" s="346">
        <f t="shared" si="11"/>
        <v>1500000</v>
      </c>
      <c r="Y8" s="346"/>
      <c r="Z8" s="346"/>
      <c r="AA8" s="347"/>
      <c r="AB8" s="346"/>
      <c r="AC8" s="348"/>
      <c r="AD8" s="346"/>
      <c r="AE8" s="346"/>
      <c r="AF8" s="346">
        <f t="shared" ref="AF8:AI8" si="12">3000000/2</f>
        <v>1500000</v>
      </c>
      <c r="AG8" s="346">
        <f t="shared" si="12"/>
        <v>1500000</v>
      </c>
      <c r="AH8" s="346">
        <f t="shared" si="12"/>
        <v>1500000</v>
      </c>
      <c r="AI8" s="346">
        <f t="shared" si="12"/>
        <v>1500000</v>
      </c>
      <c r="AJ8" s="351">
        <v>3000000</v>
      </c>
      <c r="AK8" s="346"/>
      <c r="AL8" s="348"/>
      <c r="AM8" s="346"/>
      <c r="AN8" s="346"/>
      <c r="AO8" s="346"/>
      <c r="AP8" s="346"/>
      <c r="AQ8" s="346"/>
      <c r="AR8" s="348"/>
      <c r="AS8" s="346"/>
      <c r="AT8" s="346"/>
      <c r="AU8" s="348"/>
      <c r="AV8" s="346"/>
      <c r="AW8" s="346"/>
      <c r="AX8" s="346"/>
      <c r="AY8" s="346"/>
      <c r="AZ8" s="346"/>
      <c r="BA8" s="350"/>
      <c r="BB8" s="357"/>
      <c r="BC8" s="163"/>
      <c r="BD8" s="163"/>
      <c r="BE8" s="163"/>
      <c r="BF8" s="163"/>
      <c r="BG8" s="321"/>
    </row>
    <row r="9" spans="1:59" ht="12.75" x14ac:dyDescent="0.2">
      <c r="A9" s="343" t="s">
        <v>164</v>
      </c>
      <c r="B9" s="344"/>
      <c r="C9" s="345"/>
      <c r="D9" s="345"/>
      <c r="E9" s="346"/>
      <c r="F9" s="346"/>
      <c r="G9" s="346"/>
      <c r="H9" s="347"/>
      <c r="I9" s="346">
        <v>3000000</v>
      </c>
      <c r="J9" s="348">
        <v>5000000</v>
      </c>
      <c r="K9" s="346">
        <v>2000000</v>
      </c>
      <c r="L9" s="349">
        <v>5000000</v>
      </c>
      <c r="M9" s="346">
        <v>2000000</v>
      </c>
      <c r="N9" s="347"/>
      <c r="O9" s="346"/>
      <c r="P9" s="350"/>
      <c r="Q9" s="346"/>
      <c r="R9" s="346"/>
      <c r="S9" s="346"/>
      <c r="T9" s="346"/>
      <c r="U9" s="347"/>
      <c r="V9" s="346"/>
      <c r="W9" s="346"/>
      <c r="X9" s="346"/>
      <c r="Y9" s="346"/>
      <c r="Z9" s="346"/>
      <c r="AA9" s="347"/>
      <c r="AB9" s="346"/>
      <c r="AC9" s="348"/>
      <c r="AD9" s="346"/>
      <c r="AE9" s="346"/>
      <c r="AF9" s="346">
        <f t="shared" ref="AF9:AG9" si="13">10000000/2</f>
        <v>5000000</v>
      </c>
      <c r="AG9" s="346">
        <f t="shared" si="13"/>
        <v>5000000</v>
      </c>
      <c r="AH9" s="346"/>
      <c r="AI9" s="346"/>
      <c r="AJ9" s="351">
        <v>10000000</v>
      </c>
      <c r="AK9" s="346"/>
      <c r="AL9" s="348"/>
      <c r="AM9" s="346"/>
      <c r="AN9" s="346"/>
      <c r="AO9" s="346"/>
      <c r="AP9" s="346"/>
      <c r="AQ9" s="346"/>
      <c r="AR9" s="348"/>
      <c r="AS9" s="346"/>
      <c r="AT9" s="346"/>
      <c r="AU9" s="348"/>
      <c r="AV9" s="346"/>
      <c r="AW9" s="346"/>
      <c r="AX9" s="346"/>
      <c r="AY9" s="346"/>
      <c r="AZ9" s="346"/>
      <c r="BA9" s="350"/>
      <c r="BB9" s="352"/>
      <c r="BC9" s="353"/>
      <c r="BD9" s="353"/>
      <c r="BE9" s="353"/>
      <c r="BF9" s="353"/>
      <c r="BG9" s="354"/>
    </row>
    <row r="10" spans="1:59" ht="12.75" x14ac:dyDescent="0.2">
      <c r="A10" s="358" t="s">
        <v>165</v>
      </c>
      <c r="B10" s="359"/>
      <c r="C10" s="360"/>
      <c r="D10" s="360"/>
      <c r="E10" s="361"/>
      <c r="F10" s="361"/>
      <c r="G10" s="361"/>
      <c r="H10" s="362"/>
      <c r="I10" s="361"/>
      <c r="J10" s="363"/>
      <c r="K10" s="361"/>
      <c r="L10" s="361"/>
      <c r="M10" s="361"/>
      <c r="N10" s="362">
        <v>2000000</v>
      </c>
      <c r="O10" s="361">
        <v>2000000</v>
      </c>
      <c r="P10" s="364">
        <v>3000000</v>
      </c>
      <c r="Q10" s="361"/>
      <c r="R10" s="361">
        <v>1000000</v>
      </c>
      <c r="S10" s="361">
        <v>1000000</v>
      </c>
      <c r="T10" s="361">
        <v>2000000</v>
      </c>
      <c r="U10" s="362">
        <f t="shared" ref="U10:V10" si="14">2000000/2</f>
        <v>1000000</v>
      </c>
      <c r="V10" s="361">
        <f t="shared" si="14"/>
        <v>1000000</v>
      </c>
      <c r="W10" s="361">
        <f t="shared" ref="W10:X10" si="15">3000000/2</f>
        <v>1500000</v>
      </c>
      <c r="X10" s="361">
        <f t="shared" si="15"/>
        <v>1500000</v>
      </c>
      <c r="Y10" s="361">
        <f>2000000/2</f>
        <v>1000000</v>
      </c>
      <c r="Z10" s="361">
        <v>1000000</v>
      </c>
      <c r="AA10" s="362">
        <v>1000000</v>
      </c>
      <c r="AB10" s="361">
        <v>2000000</v>
      </c>
      <c r="AC10" s="363">
        <v>2000000</v>
      </c>
      <c r="AD10" s="361">
        <v>1500000</v>
      </c>
      <c r="AE10" s="361">
        <v>1500000</v>
      </c>
      <c r="AF10" s="361">
        <f t="shared" ref="AF10:AG10" si="16">5000000/2</f>
        <v>2500000</v>
      </c>
      <c r="AG10" s="361">
        <f t="shared" si="16"/>
        <v>2500000</v>
      </c>
      <c r="AH10" s="361">
        <f t="shared" ref="AH10:AI10" si="17">3000000/2</f>
        <v>1500000</v>
      </c>
      <c r="AI10" s="361">
        <f t="shared" si="17"/>
        <v>1500000</v>
      </c>
      <c r="AJ10" s="365">
        <v>5000000</v>
      </c>
      <c r="AK10" s="361">
        <v>1000000</v>
      </c>
      <c r="AL10" s="363">
        <v>2000000</v>
      </c>
      <c r="AM10" s="361">
        <v>1000000</v>
      </c>
      <c r="AN10" s="361">
        <v>1000000</v>
      </c>
      <c r="AO10" s="361">
        <f t="shared" ref="AO10:AP10" si="18">3000000/2</f>
        <v>1500000</v>
      </c>
      <c r="AP10" s="361">
        <f t="shared" si="18"/>
        <v>1500000</v>
      </c>
      <c r="AQ10" s="361">
        <v>1000000</v>
      </c>
      <c r="AR10" s="363">
        <v>1000000</v>
      </c>
      <c r="AS10" s="361">
        <v>1000000</v>
      </c>
      <c r="AT10" s="361">
        <v>2000000</v>
      </c>
      <c r="AU10" s="363">
        <v>1000000</v>
      </c>
      <c r="AV10" s="361">
        <f t="shared" ref="AV10:AY10" si="19">1000000/2</f>
        <v>500000</v>
      </c>
      <c r="AW10" s="361">
        <f t="shared" si="19"/>
        <v>500000</v>
      </c>
      <c r="AX10" s="361">
        <f t="shared" si="19"/>
        <v>500000</v>
      </c>
      <c r="AY10" s="361">
        <f t="shared" si="19"/>
        <v>500000</v>
      </c>
      <c r="AZ10" s="361">
        <f t="shared" ref="AZ10:BA10" si="20">3000000/2</f>
        <v>1500000</v>
      </c>
      <c r="BA10" s="364">
        <f t="shared" si="20"/>
        <v>1500000</v>
      </c>
      <c r="BB10" s="352"/>
      <c r="BC10" s="353"/>
      <c r="BD10" s="353"/>
      <c r="BE10" s="353"/>
      <c r="BF10" s="353"/>
      <c r="BG10" s="354"/>
    </row>
    <row r="11" spans="1:59" ht="12.75" x14ac:dyDescent="0.2">
      <c r="A11" s="366" t="s">
        <v>166</v>
      </c>
      <c r="B11" s="367"/>
      <c r="C11" s="367"/>
      <c r="D11" s="367"/>
      <c r="E11" s="367"/>
      <c r="F11" s="367"/>
      <c r="G11" s="367"/>
      <c r="H11" s="368"/>
      <c r="I11" s="367"/>
      <c r="J11" s="369">
        <f t="shared" ref="J11:P11" si="21">J16*(J17*J19+J18*J20)+J21+J22</f>
        <v>0</v>
      </c>
      <c r="K11" s="367">
        <f t="shared" si="21"/>
        <v>0</v>
      </c>
      <c r="L11" s="367">
        <f t="shared" si="21"/>
        <v>5000000</v>
      </c>
      <c r="M11" s="367">
        <f t="shared" si="21"/>
        <v>5000000</v>
      </c>
      <c r="N11" s="368">
        <f t="shared" si="21"/>
        <v>5000000</v>
      </c>
      <c r="O11" s="367">
        <f t="shared" si="21"/>
        <v>5000000</v>
      </c>
      <c r="P11" s="370">
        <f t="shared" si="21"/>
        <v>5000000</v>
      </c>
      <c r="Q11" s="367"/>
      <c r="R11" s="367">
        <f t="shared" ref="R11:BA11" si="22">R16*(R17*R19+R18*R20)+R21+R22</f>
        <v>86751600</v>
      </c>
      <c r="S11" s="367">
        <f t="shared" si="22"/>
        <v>86751600</v>
      </c>
      <c r="T11" s="367">
        <f t="shared" si="22"/>
        <v>86751600</v>
      </c>
      <c r="U11" s="368">
        <f t="shared" si="22"/>
        <v>3750000</v>
      </c>
      <c r="V11" s="367">
        <f t="shared" si="22"/>
        <v>3750000</v>
      </c>
      <c r="W11" s="367">
        <f t="shared" si="22"/>
        <v>103970400</v>
      </c>
      <c r="X11" s="367">
        <f t="shared" si="22"/>
        <v>103970400</v>
      </c>
      <c r="Y11" s="367">
        <f t="shared" si="22"/>
        <v>2500000</v>
      </c>
      <c r="Z11" s="367">
        <f t="shared" si="22"/>
        <v>2500000</v>
      </c>
      <c r="AA11" s="368">
        <f t="shared" si="22"/>
        <v>109022800</v>
      </c>
      <c r="AB11" s="367">
        <f t="shared" si="22"/>
        <v>109022800</v>
      </c>
      <c r="AC11" s="369">
        <f t="shared" si="22"/>
        <v>109022800</v>
      </c>
      <c r="AD11" s="367">
        <f t="shared" si="22"/>
        <v>2500000</v>
      </c>
      <c r="AE11" s="367">
        <f t="shared" si="22"/>
        <v>110936300</v>
      </c>
      <c r="AF11" s="367">
        <f t="shared" si="22"/>
        <v>165245800</v>
      </c>
      <c r="AG11" s="367">
        <f t="shared" si="22"/>
        <v>165245800</v>
      </c>
      <c r="AH11" s="367">
        <f t="shared" si="22"/>
        <v>2500000</v>
      </c>
      <c r="AI11" s="367">
        <f t="shared" si="22"/>
        <v>2500000</v>
      </c>
      <c r="AJ11" s="371">
        <f t="shared" si="22"/>
        <v>146222900</v>
      </c>
      <c r="AK11" s="367">
        <f t="shared" si="22"/>
        <v>144423900</v>
      </c>
      <c r="AL11" s="369">
        <f t="shared" si="22"/>
        <v>144423900</v>
      </c>
      <c r="AM11" s="367">
        <f t="shared" si="22"/>
        <v>2500000</v>
      </c>
      <c r="AN11" s="367">
        <f t="shared" si="22"/>
        <v>2500000</v>
      </c>
      <c r="AO11" s="367">
        <f t="shared" si="22"/>
        <v>361899600</v>
      </c>
      <c r="AP11" s="367">
        <f t="shared" si="22"/>
        <v>361899600</v>
      </c>
      <c r="AQ11" s="367">
        <f t="shared" si="22"/>
        <v>2500000</v>
      </c>
      <c r="AR11" s="369">
        <f t="shared" si="22"/>
        <v>2500000</v>
      </c>
      <c r="AS11" s="367">
        <f t="shared" si="22"/>
        <v>193379800</v>
      </c>
      <c r="AT11" s="367">
        <f t="shared" si="22"/>
        <v>193379800</v>
      </c>
      <c r="AU11" s="369">
        <f t="shared" si="22"/>
        <v>198776800</v>
      </c>
      <c r="AV11" s="367">
        <f t="shared" si="22"/>
        <v>2500000</v>
      </c>
      <c r="AW11" s="367">
        <f t="shared" si="22"/>
        <v>202112700</v>
      </c>
      <c r="AX11" s="367">
        <f t="shared" si="22"/>
        <v>202991900</v>
      </c>
      <c r="AY11" s="367">
        <f t="shared" si="22"/>
        <v>202991900</v>
      </c>
      <c r="AZ11" s="367">
        <f t="shared" si="22"/>
        <v>2500000</v>
      </c>
      <c r="BA11" s="370">
        <f t="shared" si="22"/>
        <v>2500000</v>
      </c>
      <c r="BB11" s="340"/>
      <c r="BC11" s="341"/>
      <c r="BD11" s="341"/>
      <c r="BE11" s="341"/>
      <c r="BF11" s="341"/>
      <c r="BG11" s="342"/>
    </row>
    <row r="12" spans="1:59" ht="12.75" x14ac:dyDescent="0.2">
      <c r="A12" s="372" t="s">
        <v>167</v>
      </c>
      <c r="B12" s="373" t="s">
        <v>168</v>
      </c>
      <c r="C12" s="374"/>
      <c r="D12" s="374"/>
      <c r="E12" s="374"/>
      <c r="F12" s="374"/>
      <c r="G12" s="374"/>
      <c r="H12" s="375"/>
      <c r="I12" s="374"/>
      <c r="J12" s="376"/>
      <c r="K12" s="374"/>
      <c r="L12" s="374"/>
      <c r="M12" s="374"/>
      <c r="N12" s="375"/>
      <c r="O12" s="374"/>
      <c r="P12" s="377"/>
      <c r="Q12" s="374"/>
      <c r="R12" s="374"/>
      <c r="S12" s="374"/>
      <c r="T12" s="374"/>
      <c r="U12" s="375"/>
      <c r="V12" s="374"/>
      <c r="W12" s="378">
        <v>0.02</v>
      </c>
      <c r="X12" s="378">
        <v>0.02</v>
      </c>
      <c r="Y12" s="374"/>
      <c r="Z12" s="374"/>
      <c r="AA12" s="375"/>
      <c r="AB12" s="374"/>
      <c r="AC12" s="376"/>
      <c r="AD12" s="374"/>
      <c r="AE12" s="378">
        <v>0.02</v>
      </c>
      <c r="AF12" s="378">
        <v>0.02</v>
      </c>
      <c r="AG12" s="378">
        <v>0.02</v>
      </c>
      <c r="AH12" s="374"/>
      <c r="AI12" s="374"/>
      <c r="AJ12" s="379"/>
      <c r="AK12" s="374"/>
      <c r="AL12" s="376"/>
      <c r="AM12" s="374"/>
      <c r="AN12" s="374"/>
      <c r="AO12" s="378">
        <v>0.02</v>
      </c>
      <c r="AP12" s="378">
        <v>0.02</v>
      </c>
      <c r="AQ12" s="374"/>
      <c r="AR12" s="376"/>
      <c r="AS12" s="374"/>
      <c r="AT12" s="374"/>
      <c r="AU12" s="376"/>
      <c r="AV12" s="374"/>
      <c r="AW12" s="378">
        <v>0.02</v>
      </c>
      <c r="AX12" s="378">
        <v>0.02</v>
      </c>
      <c r="AY12" s="378">
        <v>0.02</v>
      </c>
      <c r="AZ12" s="374"/>
      <c r="BA12" s="377"/>
      <c r="BB12" s="357"/>
      <c r="BC12" s="163"/>
      <c r="BD12" s="163"/>
      <c r="BE12" s="163"/>
      <c r="BF12" s="163"/>
      <c r="BG12" s="321"/>
    </row>
    <row r="13" spans="1:59" ht="12.75" hidden="1" x14ac:dyDescent="0.2">
      <c r="A13" s="380" t="s">
        <v>169</v>
      </c>
      <c r="B13" s="381" t="s">
        <v>168</v>
      </c>
      <c r="C13" s="356"/>
      <c r="D13" s="356"/>
      <c r="E13" s="356"/>
      <c r="F13" s="356"/>
      <c r="G13" s="356"/>
      <c r="H13" s="382"/>
      <c r="I13" s="356"/>
      <c r="J13" s="383"/>
      <c r="K13" s="356"/>
      <c r="L13" s="356"/>
      <c r="M13" s="356"/>
      <c r="N13" s="382"/>
      <c r="O13" s="356"/>
      <c r="P13" s="384"/>
      <c r="Q13" s="356"/>
      <c r="R13" s="356"/>
      <c r="S13" s="356"/>
      <c r="T13" s="356"/>
      <c r="U13" s="382"/>
      <c r="V13" s="356"/>
      <c r="W13" s="356"/>
      <c r="X13" s="356"/>
      <c r="Y13" s="356"/>
      <c r="Z13" s="356"/>
      <c r="AA13" s="382"/>
      <c r="AB13" s="356"/>
      <c r="AC13" s="383"/>
      <c r="AD13" s="356"/>
      <c r="AE13" s="356"/>
      <c r="AF13" s="356"/>
      <c r="AG13" s="356"/>
      <c r="AH13" s="356"/>
      <c r="AI13" s="356"/>
      <c r="AJ13" s="385"/>
      <c r="AK13" s="356"/>
      <c r="AL13" s="383"/>
      <c r="AM13" s="356"/>
      <c r="AN13" s="356"/>
      <c r="AO13" s="356"/>
      <c r="AP13" s="356"/>
      <c r="AQ13" s="356"/>
      <c r="AR13" s="383"/>
      <c r="AS13" s="356"/>
      <c r="AT13" s="356"/>
      <c r="AU13" s="383"/>
      <c r="AV13" s="356"/>
      <c r="AW13" s="356"/>
      <c r="AX13" s="356"/>
      <c r="AY13" s="356"/>
      <c r="AZ13" s="356"/>
      <c r="BA13" s="384"/>
      <c r="BB13" s="357"/>
      <c r="BC13" s="163"/>
      <c r="BD13" s="163"/>
      <c r="BE13" s="163"/>
      <c r="BF13" s="163"/>
      <c r="BG13" s="321"/>
    </row>
    <row r="14" spans="1:59" ht="12.75" x14ac:dyDescent="0.2">
      <c r="A14" s="380" t="s">
        <v>170</v>
      </c>
      <c r="B14" s="381" t="s">
        <v>168</v>
      </c>
      <c r="C14" s="356"/>
      <c r="D14" s="356"/>
      <c r="E14" s="356"/>
      <c r="F14" s="356"/>
      <c r="G14" s="356"/>
      <c r="H14" s="382"/>
      <c r="I14" s="356"/>
      <c r="J14" s="383"/>
      <c r="K14" s="356"/>
      <c r="L14" s="356"/>
      <c r="M14" s="356"/>
      <c r="N14" s="382"/>
      <c r="O14" s="356"/>
      <c r="P14" s="384"/>
      <c r="Q14" s="356"/>
      <c r="R14" s="386">
        <v>0.01</v>
      </c>
      <c r="S14" s="387">
        <v>0.01</v>
      </c>
      <c r="T14" s="387">
        <v>0.01</v>
      </c>
      <c r="U14" s="382"/>
      <c r="V14" s="356"/>
      <c r="W14" s="356"/>
      <c r="X14" s="356"/>
      <c r="Y14" s="356"/>
      <c r="Z14" s="356"/>
      <c r="AA14" s="382"/>
      <c r="AB14" s="356"/>
      <c r="AC14" s="383"/>
      <c r="AD14" s="356"/>
      <c r="AE14" s="356"/>
      <c r="AF14" s="356"/>
      <c r="AG14" s="356"/>
      <c r="AH14" s="356"/>
      <c r="AI14" s="356"/>
      <c r="AJ14" s="386">
        <v>0.01</v>
      </c>
      <c r="AK14" s="387">
        <v>0.01</v>
      </c>
      <c r="AL14" s="388">
        <v>0.01</v>
      </c>
      <c r="AM14" s="356"/>
      <c r="AN14" s="356"/>
      <c r="AO14" s="356"/>
      <c r="AP14" s="356"/>
      <c r="AQ14" s="356"/>
      <c r="AR14" s="383"/>
      <c r="AS14" s="356"/>
      <c r="AT14" s="356"/>
      <c r="AU14" s="383"/>
      <c r="AV14" s="356"/>
      <c r="AW14" s="356"/>
      <c r="AX14" s="356"/>
      <c r="AY14" s="356"/>
      <c r="AZ14" s="356"/>
      <c r="BA14" s="384"/>
      <c r="BB14" s="357"/>
      <c r="BC14" s="163"/>
      <c r="BD14" s="163"/>
      <c r="BE14" s="163"/>
      <c r="BF14" s="163"/>
      <c r="BG14" s="321"/>
    </row>
    <row r="15" spans="1:59" ht="12.75" x14ac:dyDescent="0.2">
      <c r="A15" s="380" t="s">
        <v>171</v>
      </c>
      <c r="B15" s="381" t="s">
        <v>168</v>
      </c>
      <c r="C15" s="356"/>
      <c r="D15" s="356"/>
      <c r="E15" s="356"/>
      <c r="F15" s="356"/>
      <c r="G15" s="356"/>
      <c r="H15" s="382"/>
      <c r="I15" s="356"/>
      <c r="J15" s="383"/>
      <c r="K15" s="356"/>
      <c r="L15" s="356"/>
      <c r="M15" s="356"/>
      <c r="N15" s="382"/>
      <c r="O15" s="356"/>
      <c r="P15" s="356"/>
      <c r="Q15" s="356"/>
      <c r="R15" s="385"/>
      <c r="S15" s="356"/>
      <c r="T15" s="356"/>
      <c r="U15" s="382"/>
      <c r="V15" s="356"/>
      <c r="W15" s="356"/>
      <c r="X15" s="356"/>
      <c r="Y15" s="356"/>
      <c r="Z15" s="356"/>
      <c r="AA15" s="389">
        <v>0.01</v>
      </c>
      <c r="AB15" s="387">
        <v>0.01</v>
      </c>
      <c r="AC15" s="388">
        <v>0.01</v>
      </c>
      <c r="AD15" s="356"/>
      <c r="AE15" s="356"/>
      <c r="AF15" s="356"/>
      <c r="AG15" s="356"/>
      <c r="AH15" s="356"/>
      <c r="AI15" s="356"/>
      <c r="AJ15" s="385"/>
      <c r="AK15" s="356"/>
      <c r="AL15" s="383"/>
      <c r="AM15" s="356"/>
      <c r="AN15" s="356"/>
      <c r="AO15" s="356"/>
      <c r="AP15" s="356"/>
      <c r="AQ15" s="356"/>
      <c r="AR15" s="383"/>
      <c r="AS15" s="387">
        <v>0.01</v>
      </c>
      <c r="AT15" s="387">
        <v>0.01</v>
      </c>
      <c r="AU15" s="388">
        <v>0.01</v>
      </c>
      <c r="AV15" s="356"/>
      <c r="AW15" s="356"/>
      <c r="AX15" s="356"/>
      <c r="AY15" s="356"/>
      <c r="AZ15" s="356"/>
      <c r="BA15" s="384"/>
      <c r="BB15" s="357"/>
      <c r="BC15" s="163"/>
      <c r="BD15" s="163"/>
      <c r="BE15" s="163"/>
      <c r="BF15" s="163"/>
      <c r="BG15" s="321"/>
    </row>
    <row r="16" spans="1:59" ht="12.75" x14ac:dyDescent="0.2">
      <c r="A16" s="390" t="s">
        <v>172</v>
      </c>
      <c r="B16" s="391" t="s">
        <v>168</v>
      </c>
      <c r="C16" s="392"/>
      <c r="D16" s="392"/>
      <c r="E16" s="392"/>
      <c r="F16" s="392"/>
      <c r="G16" s="392"/>
      <c r="H16" s="393"/>
      <c r="I16" s="392"/>
      <c r="J16" s="394">
        <f t="shared" ref="J16:P16" si="23">SUM(J12:J15)</f>
        <v>0</v>
      </c>
      <c r="K16" s="392">
        <f t="shared" si="23"/>
        <v>0</v>
      </c>
      <c r="L16" s="392">
        <f t="shared" si="23"/>
        <v>0</v>
      </c>
      <c r="M16" s="392">
        <f t="shared" si="23"/>
        <v>0</v>
      </c>
      <c r="N16" s="393">
        <f t="shared" si="23"/>
        <v>0</v>
      </c>
      <c r="O16" s="392">
        <f t="shared" si="23"/>
        <v>0</v>
      </c>
      <c r="P16" s="395">
        <f t="shared" si="23"/>
        <v>0</v>
      </c>
      <c r="Q16" s="392"/>
      <c r="R16" s="392">
        <f t="shared" ref="R16:BA16" si="24">SUM(R12:R15)</f>
        <v>0.01</v>
      </c>
      <c r="S16" s="392">
        <f t="shared" si="24"/>
        <v>0.01</v>
      </c>
      <c r="T16" s="392">
        <f t="shared" si="24"/>
        <v>0.01</v>
      </c>
      <c r="U16" s="393">
        <f t="shared" si="24"/>
        <v>0</v>
      </c>
      <c r="V16" s="392">
        <f t="shared" si="24"/>
        <v>0</v>
      </c>
      <c r="W16" s="392">
        <f t="shared" si="24"/>
        <v>0.02</v>
      </c>
      <c r="X16" s="392">
        <f t="shared" si="24"/>
        <v>0.02</v>
      </c>
      <c r="Y16" s="392">
        <f t="shared" si="24"/>
        <v>0</v>
      </c>
      <c r="Z16" s="392">
        <f t="shared" si="24"/>
        <v>0</v>
      </c>
      <c r="AA16" s="389">
        <f t="shared" si="24"/>
        <v>0.01</v>
      </c>
      <c r="AB16" s="387">
        <f t="shared" si="24"/>
        <v>0.01</v>
      </c>
      <c r="AC16" s="388">
        <f t="shared" si="24"/>
        <v>0.01</v>
      </c>
      <c r="AD16" s="392">
        <f t="shared" si="24"/>
        <v>0</v>
      </c>
      <c r="AE16" s="392">
        <f t="shared" si="24"/>
        <v>0.02</v>
      </c>
      <c r="AF16" s="392">
        <f t="shared" si="24"/>
        <v>0.02</v>
      </c>
      <c r="AG16" s="392">
        <f t="shared" si="24"/>
        <v>0.02</v>
      </c>
      <c r="AH16" s="392">
        <f t="shared" si="24"/>
        <v>0</v>
      </c>
      <c r="AI16" s="392">
        <f t="shared" si="24"/>
        <v>0</v>
      </c>
      <c r="AJ16" s="396">
        <f t="shared" si="24"/>
        <v>0.01</v>
      </c>
      <c r="AK16" s="392">
        <f t="shared" si="24"/>
        <v>0.01</v>
      </c>
      <c r="AL16" s="394">
        <f t="shared" si="24"/>
        <v>0.01</v>
      </c>
      <c r="AM16" s="392">
        <f t="shared" si="24"/>
        <v>0</v>
      </c>
      <c r="AN16" s="392">
        <f t="shared" si="24"/>
        <v>0</v>
      </c>
      <c r="AO16" s="392">
        <f t="shared" si="24"/>
        <v>0.02</v>
      </c>
      <c r="AP16" s="392">
        <f t="shared" si="24"/>
        <v>0.02</v>
      </c>
      <c r="AQ16" s="392">
        <f t="shared" si="24"/>
        <v>0</v>
      </c>
      <c r="AR16" s="394">
        <f t="shared" si="24"/>
        <v>0</v>
      </c>
      <c r="AS16" s="387">
        <f t="shared" si="24"/>
        <v>0.01</v>
      </c>
      <c r="AT16" s="387">
        <f t="shared" si="24"/>
        <v>0.01</v>
      </c>
      <c r="AU16" s="388">
        <f t="shared" si="24"/>
        <v>0.01</v>
      </c>
      <c r="AV16" s="392">
        <f t="shared" si="24"/>
        <v>0</v>
      </c>
      <c r="AW16" s="392">
        <f t="shared" si="24"/>
        <v>0.02</v>
      </c>
      <c r="AX16" s="392">
        <f t="shared" si="24"/>
        <v>0.02</v>
      </c>
      <c r="AY16" s="392">
        <f t="shared" si="24"/>
        <v>0.02</v>
      </c>
      <c r="AZ16" s="392">
        <f t="shared" si="24"/>
        <v>0</v>
      </c>
      <c r="BA16" s="395">
        <f t="shared" si="24"/>
        <v>0</v>
      </c>
      <c r="BB16" s="397"/>
      <c r="BC16" s="398"/>
      <c r="BD16" s="398"/>
      <c r="BE16" s="398"/>
      <c r="BF16" s="398"/>
      <c r="BG16" s="399"/>
    </row>
    <row r="17" spans="1:59" ht="12.75" x14ac:dyDescent="0.2">
      <c r="A17" s="400" t="s">
        <v>173</v>
      </c>
      <c r="B17" s="344"/>
      <c r="C17" s="345" t="s">
        <v>123</v>
      </c>
      <c r="D17" s="345"/>
      <c r="E17" s="345"/>
      <c r="F17" s="345"/>
      <c r="G17" s="345"/>
      <c r="H17" s="401"/>
      <c r="I17" s="345"/>
      <c r="J17" s="402">
        <f>'Operations plan'!$C$28</f>
        <v>6790000</v>
      </c>
      <c r="K17" s="345">
        <f>'Operations plan'!$C$28</f>
        <v>6790000</v>
      </c>
      <c r="L17" s="345">
        <f>'Operations plan'!$C$28</f>
        <v>6790000</v>
      </c>
      <c r="M17" s="345">
        <f>'Operations plan'!$C$28</f>
        <v>6790000</v>
      </c>
      <c r="N17" s="401">
        <f>'Operations plan'!$C$28</f>
        <v>6790000</v>
      </c>
      <c r="O17" s="345">
        <f>'Operations plan'!$C$28</f>
        <v>6790000</v>
      </c>
      <c r="P17" s="403">
        <f>'Operations plan'!$C$28</f>
        <v>6790000</v>
      </c>
      <c r="Q17" s="345"/>
      <c r="R17" s="345">
        <f>'Operations plan'!$C$28</f>
        <v>6790000</v>
      </c>
      <c r="S17" s="345">
        <f>'Operations plan'!$C$28</f>
        <v>6790000</v>
      </c>
      <c r="T17" s="345">
        <f>'Operations plan'!$C$28</f>
        <v>6790000</v>
      </c>
      <c r="U17" s="401">
        <f>'Operations plan'!$C$28</f>
        <v>6790000</v>
      </c>
      <c r="V17" s="345">
        <f>'Operations plan'!$C$28</f>
        <v>6790000</v>
      </c>
      <c r="W17" s="345">
        <f>'Operations plan'!$C$28</f>
        <v>6790000</v>
      </c>
      <c r="X17" s="345">
        <f>'Operations plan'!$C$28</f>
        <v>6790000</v>
      </c>
      <c r="Y17" s="345">
        <f>'Operations plan'!$C$28</f>
        <v>6790000</v>
      </c>
      <c r="Z17" s="345">
        <f>'Operations plan'!$C$28</f>
        <v>6790000</v>
      </c>
      <c r="AA17" s="404">
        <f>'Operations plan'!$C$28</f>
        <v>6790000</v>
      </c>
      <c r="AB17" s="405">
        <f>'Operations plan'!$C$28</f>
        <v>6790000</v>
      </c>
      <c r="AC17" s="406">
        <f>'Operations plan'!$C$28</f>
        <v>6790000</v>
      </c>
      <c r="AD17" s="345">
        <f>'Operations plan'!$C$28</f>
        <v>6790000</v>
      </c>
      <c r="AE17" s="345">
        <f>'Operations plan'!$C$28</f>
        <v>6790000</v>
      </c>
      <c r="AF17" s="345">
        <f>'Operations plan'!$C$28</f>
        <v>6790000</v>
      </c>
      <c r="AG17" s="345">
        <f>'Operations plan'!$C$28</f>
        <v>6790000</v>
      </c>
      <c r="AH17" s="345">
        <f>'Operations plan'!$C$28</f>
        <v>6790000</v>
      </c>
      <c r="AI17" s="345">
        <f>'Operations plan'!$C$28</f>
        <v>6790000</v>
      </c>
      <c r="AJ17" s="407">
        <f>'Operations plan'!$C$28</f>
        <v>6790000</v>
      </c>
      <c r="AK17" s="345">
        <f>'Operations plan'!$C$28</f>
        <v>6790000</v>
      </c>
      <c r="AL17" s="402">
        <f>'Operations plan'!$C$28</f>
        <v>6790000</v>
      </c>
      <c r="AM17" s="345">
        <f>'Operations plan'!$C$28</f>
        <v>6790000</v>
      </c>
      <c r="AN17" s="345">
        <f>'Operations plan'!$C$28</f>
        <v>6790000</v>
      </c>
      <c r="AO17" s="345">
        <f>'Operations plan'!$C$28</f>
        <v>6790000</v>
      </c>
      <c r="AP17" s="345">
        <f>'Operations plan'!$C$28</f>
        <v>6790000</v>
      </c>
      <c r="AQ17" s="345">
        <f>'Operations plan'!$C$28</f>
        <v>6790000</v>
      </c>
      <c r="AR17" s="402">
        <f>'Operations plan'!$C$28</f>
        <v>6790000</v>
      </c>
      <c r="AS17" s="405">
        <f>'Operations plan'!$C$28</f>
        <v>6790000</v>
      </c>
      <c r="AT17" s="405">
        <f>'Operations plan'!$C$28</f>
        <v>6790000</v>
      </c>
      <c r="AU17" s="406">
        <f>'Operations plan'!$C$28</f>
        <v>6790000</v>
      </c>
      <c r="AV17" s="345">
        <f>'Operations plan'!$C$28</f>
        <v>6790000</v>
      </c>
      <c r="AW17" s="345">
        <f>'Operations plan'!$C$28</f>
        <v>6790000</v>
      </c>
      <c r="AX17" s="345">
        <f>'Operations plan'!$C$28</f>
        <v>6790000</v>
      </c>
      <c r="AY17" s="345">
        <f>'Operations plan'!$C$28</f>
        <v>6790000</v>
      </c>
      <c r="AZ17" s="345">
        <f>'Operations plan'!$C$28</f>
        <v>6790000</v>
      </c>
      <c r="BA17" s="403">
        <f>'Operations plan'!$C$28</f>
        <v>6790000</v>
      </c>
      <c r="BB17" s="352"/>
      <c r="BC17" s="353"/>
      <c r="BD17" s="353"/>
      <c r="BE17" s="353"/>
      <c r="BF17" s="353"/>
      <c r="BG17" s="354"/>
    </row>
    <row r="18" spans="1:59" ht="12.75" x14ac:dyDescent="0.2">
      <c r="A18" s="402"/>
      <c r="B18" s="344"/>
      <c r="C18" s="345" t="s">
        <v>174</v>
      </c>
      <c r="D18" s="345"/>
      <c r="E18" s="345"/>
      <c r="F18" s="345"/>
      <c r="G18" s="345"/>
      <c r="H18" s="401"/>
      <c r="I18" s="345"/>
      <c r="J18" s="348">
        <f>'Operations plan'!$C$29</f>
        <v>17990000</v>
      </c>
      <c r="K18" s="346">
        <f>'Operations plan'!$C$29</f>
        <v>17990000</v>
      </c>
      <c r="L18" s="346">
        <f>'Operations plan'!$C$29</f>
        <v>17990000</v>
      </c>
      <c r="M18" s="346">
        <f>'Operations plan'!$C$29</f>
        <v>17990000</v>
      </c>
      <c r="N18" s="347">
        <f>'Operations plan'!$C$29</f>
        <v>17990000</v>
      </c>
      <c r="O18" s="346">
        <f>'Operations plan'!$C$29</f>
        <v>17990000</v>
      </c>
      <c r="P18" s="350">
        <f>'Operations plan'!$C$29</f>
        <v>17990000</v>
      </c>
      <c r="Q18" s="346"/>
      <c r="R18" s="346">
        <f>'Operations plan'!$C$29</f>
        <v>17990000</v>
      </c>
      <c r="S18" s="346">
        <f>'Operations plan'!$C$29</f>
        <v>17990000</v>
      </c>
      <c r="T18" s="346">
        <f>'Operations plan'!$C$29</f>
        <v>17990000</v>
      </c>
      <c r="U18" s="347">
        <f>'Operations plan'!$C$29</f>
        <v>17990000</v>
      </c>
      <c r="V18" s="346">
        <f>'Operations plan'!$C$29</f>
        <v>17990000</v>
      </c>
      <c r="W18" s="346">
        <f>'Operations plan'!$C$29</f>
        <v>17990000</v>
      </c>
      <c r="X18" s="346">
        <f>'Operations plan'!$C$29</f>
        <v>17990000</v>
      </c>
      <c r="Y18" s="346">
        <f>'Operations plan'!$C$29</f>
        <v>17990000</v>
      </c>
      <c r="Z18" s="346">
        <f>'Operations plan'!$C$29</f>
        <v>17990000</v>
      </c>
      <c r="AA18" s="408">
        <f>'Operations plan'!$C$29</f>
        <v>17990000</v>
      </c>
      <c r="AB18" s="349">
        <f>'Operations plan'!$C$29</f>
        <v>17990000</v>
      </c>
      <c r="AC18" s="409">
        <f>'Operations plan'!$C$29</f>
        <v>17990000</v>
      </c>
      <c r="AD18" s="346">
        <f>'Operations plan'!$C$29</f>
        <v>17990000</v>
      </c>
      <c r="AE18" s="346">
        <f>'Operations plan'!$C$29</f>
        <v>17990000</v>
      </c>
      <c r="AF18" s="346">
        <f>'Operations plan'!$C$29</f>
        <v>17990000</v>
      </c>
      <c r="AG18" s="346">
        <f>'Operations plan'!$C$29</f>
        <v>17990000</v>
      </c>
      <c r="AH18" s="346">
        <f>'Operations plan'!$C$29</f>
        <v>17990000</v>
      </c>
      <c r="AI18" s="346">
        <f>'Operations plan'!$C$29</f>
        <v>17990000</v>
      </c>
      <c r="AJ18" s="410">
        <f>'Operations plan'!$C$29</f>
        <v>17990000</v>
      </c>
      <c r="AK18" s="346">
        <f>'Operations plan'!$C$29</f>
        <v>17990000</v>
      </c>
      <c r="AL18" s="348">
        <f>'Operations plan'!$C$29</f>
        <v>17990000</v>
      </c>
      <c r="AM18" s="346">
        <f>'Operations plan'!$C$29</f>
        <v>17990000</v>
      </c>
      <c r="AN18" s="346">
        <f>'Operations plan'!$C$29</f>
        <v>17990000</v>
      </c>
      <c r="AO18" s="346">
        <f>'Operations plan'!$C$29</f>
        <v>17990000</v>
      </c>
      <c r="AP18" s="346">
        <f>'Operations plan'!$C$29</f>
        <v>17990000</v>
      </c>
      <c r="AQ18" s="346">
        <f>'Operations plan'!$C$29</f>
        <v>17990000</v>
      </c>
      <c r="AR18" s="348">
        <f>'Operations plan'!$C$29</f>
        <v>17990000</v>
      </c>
      <c r="AS18" s="349">
        <f>'Operations plan'!$C$29</f>
        <v>17990000</v>
      </c>
      <c r="AT18" s="349">
        <f>'Operations plan'!$C$29</f>
        <v>17990000</v>
      </c>
      <c r="AU18" s="409">
        <f>'Operations plan'!$C$29</f>
        <v>17990000</v>
      </c>
      <c r="AV18" s="346">
        <f>'Operations plan'!$C$29</f>
        <v>17990000</v>
      </c>
      <c r="AW18" s="346">
        <f>'Operations plan'!$C$29</f>
        <v>17990000</v>
      </c>
      <c r="AX18" s="346">
        <f>'Operations plan'!$C$29</f>
        <v>17990000</v>
      </c>
      <c r="AY18" s="346">
        <f>'Operations plan'!$C$29</f>
        <v>17990000</v>
      </c>
      <c r="AZ18" s="346">
        <f>'Operations plan'!$C$29</f>
        <v>17990000</v>
      </c>
      <c r="BA18" s="350">
        <f>'Operations plan'!$C$29</f>
        <v>17990000</v>
      </c>
      <c r="BB18" s="352"/>
      <c r="BC18" s="353"/>
      <c r="BD18" s="353"/>
      <c r="BE18" s="353"/>
      <c r="BF18" s="353"/>
      <c r="BG18" s="354"/>
    </row>
    <row r="19" spans="1:59" ht="12.75" x14ac:dyDescent="0.2">
      <c r="A19" s="400" t="s">
        <v>175</v>
      </c>
      <c r="B19" s="344" t="s">
        <v>176</v>
      </c>
      <c r="C19" s="345" t="s">
        <v>123</v>
      </c>
      <c r="D19" s="345"/>
      <c r="E19" s="345"/>
      <c r="F19" s="345"/>
      <c r="G19" s="345"/>
      <c r="H19" s="401"/>
      <c r="I19" s="345"/>
      <c r="J19" s="348">
        <f>'Operations plan'!J7+'Operations plan'!J17</f>
        <v>1200</v>
      </c>
      <c r="K19" s="346">
        <f>'Operations plan'!K7+'Operations plan'!K17</f>
        <v>1200</v>
      </c>
      <c r="L19" s="346">
        <f>'Operations plan'!L7+'Operations plan'!L17</f>
        <v>1350</v>
      </c>
      <c r="M19" s="346">
        <f>'Operations plan'!M7+'Operations plan'!M17</f>
        <v>1350</v>
      </c>
      <c r="N19" s="347">
        <f>'Operations plan'!N7+'Operations plan'!N17</f>
        <v>1415</v>
      </c>
      <c r="O19" s="346">
        <f>'Operations plan'!O7+'Operations plan'!O17</f>
        <v>1415</v>
      </c>
      <c r="P19" s="350">
        <f>'Operations plan'!P7+'Operations plan'!P17</f>
        <v>1415</v>
      </c>
      <c r="Q19" s="346"/>
      <c r="R19" s="346">
        <f>'Operations plan'!R7+'Operations plan'!R17</f>
        <v>1204</v>
      </c>
      <c r="S19" s="346">
        <f>'Operations plan'!S7+'Operations plan'!S17</f>
        <v>1204</v>
      </c>
      <c r="T19" s="346">
        <f>'Operations plan'!T7+'Operations plan'!T17</f>
        <v>1204</v>
      </c>
      <c r="U19" s="347">
        <f>('Operations plan'!U7+'Operations plan'!U17)/2</f>
        <v>738</v>
      </c>
      <c r="V19" s="346">
        <f>('Operations plan'!U7+'Operations plan'!U17)/2</f>
        <v>738</v>
      </c>
      <c r="W19" s="346">
        <f>('Operations plan'!V7+'Operations plan'!V17)/2</f>
        <v>738</v>
      </c>
      <c r="X19" s="346">
        <f>('Operations plan'!V7+'Operations plan'!V17)/2</f>
        <v>738</v>
      </c>
      <c r="Y19" s="346">
        <f>('Operations plan'!W7+'Operations plan'!W17)/2</f>
        <v>738</v>
      </c>
      <c r="Z19" s="346">
        <f>('Operations plan'!W7+'Operations plan'!W17)/2</f>
        <v>738</v>
      </c>
      <c r="AA19" s="408">
        <f>'Operations plan'!X7+'Operations plan'!X17</f>
        <v>1532</v>
      </c>
      <c r="AB19" s="349">
        <f>'Operations plan'!Y7+'Operations plan'!Y17</f>
        <v>1532</v>
      </c>
      <c r="AC19" s="409">
        <f>'Operations plan'!Z7+'Operations plan'!Z17</f>
        <v>1532</v>
      </c>
      <c r="AD19" s="346">
        <f>('Operations plan'!AA7+'Operations plan'!AA17)/2</f>
        <v>798.5</v>
      </c>
      <c r="AE19" s="346">
        <f>('Operations plan'!AA7+'Operations plan'!AA17)/2</f>
        <v>798.5</v>
      </c>
      <c r="AF19" s="346">
        <f>('Operations plan'!AB7+'Operations plan'!AB17)/2</f>
        <v>801</v>
      </c>
      <c r="AG19" s="346">
        <f>('Operations plan'!AB7+'Operations plan'!AB17)/2</f>
        <v>801</v>
      </c>
      <c r="AH19" s="346">
        <f>('Operations plan'!AC7+'Operations plan'!AC17)/2</f>
        <v>803.5</v>
      </c>
      <c r="AI19" s="346">
        <f>('Operations plan'!AC7+'Operations plan'!AC17)/2</f>
        <v>803.5</v>
      </c>
      <c r="AJ19" s="410">
        <f>'Operations plan'!AE7+'Operations plan'!AE17</f>
        <v>1391</v>
      </c>
      <c r="AK19" s="346">
        <f>'Operations plan'!AF7+'Operations plan'!AF17</f>
        <v>1391</v>
      </c>
      <c r="AL19" s="348">
        <f>'Operations plan'!AG7+'Operations plan'!AG17</f>
        <v>1391</v>
      </c>
      <c r="AM19" s="346">
        <f>'Operations plan'!AH7+'Operations plan'!AH17</f>
        <v>1547</v>
      </c>
      <c r="AN19" s="346">
        <f t="shared" ref="AN19:AN20" si="25">AM19</f>
        <v>1547</v>
      </c>
      <c r="AO19" s="346">
        <f>'Operations plan'!AI7+'Operations plan'!AI17</f>
        <v>1547</v>
      </c>
      <c r="AP19" s="346">
        <f t="shared" ref="AP19:AP20" si="26">AO19</f>
        <v>1547</v>
      </c>
      <c r="AQ19" s="346">
        <f>('Operations plan'!AJ7+'Operations plan'!AJ17)/2</f>
        <v>773.5</v>
      </c>
      <c r="AR19" s="348">
        <f t="shared" ref="AR19:AR20" si="27">AQ19</f>
        <v>773.5</v>
      </c>
      <c r="AS19" s="349">
        <f>'Operations plan'!AK7+'Operations plan'!AK17</f>
        <v>1598</v>
      </c>
      <c r="AT19" s="349">
        <f>'Operations plan'!AL7+'Operations plan'!AL17</f>
        <v>1598</v>
      </c>
      <c r="AU19" s="409">
        <f>'Operations plan'!AM7+'Operations plan'!AM17</f>
        <v>1598</v>
      </c>
      <c r="AV19" s="346">
        <f>('Operations plan'!AN7+'Operations plan'!AN17)/2</f>
        <v>838</v>
      </c>
      <c r="AW19" s="346">
        <f t="shared" ref="AW19:AW20" si="28">AV19</f>
        <v>838</v>
      </c>
      <c r="AX19" s="346">
        <f>('Operations plan'!AO7+'Operations plan'!AO17)/2</f>
        <v>840.5</v>
      </c>
      <c r="AY19" s="346">
        <f t="shared" ref="AY19:AY20" si="29">AX19</f>
        <v>840.5</v>
      </c>
      <c r="AZ19" s="346">
        <f>('Operations plan'!AP7+'Operations plan'!AP17)/2</f>
        <v>843</v>
      </c>
      <c r="BA19" s="350">
        <f t="shared" ref="BA19:BA20" si="30">AZ19</f>
        <v>843</v>
      </c>
      <c r="BB19" s="352"/>
      <c r="BC19" s="353"/>
      <c r="BD19" s="353"/>
      <c r="BE19" s="353"/>
      <c r="BF19" s="353"/>
      <c r="BG19" s="354"/>
    </row>
    <row r="20" spans="1:59" ht="12.75" x14ac:dyDescent="0.2">
      <c r="A20" s="400"/>
      <c r="B20" s="344" t="s">
        <v>176</v>
      </c>
      <c r="C20" s="345" t="s">
        <v>174</v>
      </c>
      <c r="D20" s="345"/>
      <c r="E20" s="345"/>
      <c r="F20" s="345"/>
      <c r="G20" s="345"/>
      <c r="H20" s="401"/>
      <c r="I20" s="345"/>
      <c r="J20" s="402">
        <f>'Operations plan'!J8+'Operations plan'!J18</f>
        <v>0</v>
      </c>
      <c r="K20" s="345">
        <f>'Operations plan'!K8+'Operations plan'!K18</f>
        <v>0</v>
      </c>
      <c r="L20" s="345">
        <f>'Operations plan'!L8+'Operations plan'!L18</f>
        <v>0</v>
      </c>
      <c r="M20" s="345">
        <f>'Operations plan'!M8+'Operations plan'!M18</f>
        <v>0</v>
      </c>
      <c r="N20" s="401">
        <f>'Operations plan'!N8+'Operations plan'!N18</f>
        <v>0</v>
      </c>
      <c r="O20" s="345">
        <f>'Operations plan'!O8+'Operations plan'!O18</f>
        <v>0</v>
      </c>
      <c r="P20" s="403">
        <f>'Operations plan'!P8+'Operations plan'!P18</f>
        <v>0</v>
      </c>
      <c r="Q20" s="345"/>
      <c r="R20" s="345">
        <f>'Operations plan'!R8+'Operations plan'!R18</f>
        <v>0</v>
      </c>
      <c r="S20" s="345">
        <f>'Operations plan'!S8+'Operations plan'!S18</f>
        <v>0</v>
      </c>
      <c r="T20" s="345">
        <f>'Operations plan'!T8+'Operations plan'!T18</f>
        <v>0</v>
      </c>
      <c r="U20" s="401">
        <f>('Operations plan'!U8+'Operations plan'!U18)/2</f>
        <v>0</v>
      </c>
      <c r="V20" s="345">
        <f>('Operations plan'!U8+'Operations plan'!U18)/2</f>
        <v>0</v>
      </c>
      <c r="W20" s="345">
        <f>('Operations plan'!V8+'Operations plan'!V18)/2</f>
        <v>0</v>
      </c>
      <c r="X20" s="345">
        <f>('Operations plan'!V8+'Operations plan'!V18)/2</f>
        <v>0</v>
      </c>
      <c r="Y20" s="345">
        <f>('Operations plan'!W8+'Operations plan'!W18)/2</f>
        <v>0</v>
      </c>
      <c r="Z20" s="345">
        <f>('Operations plan'!W8+'Operations plan'!W18)/2</f>
        <v>0</v>
      </c>
      <c r="AA20" s="404">
        <f>'Operations plan'!X8+'Operations plan'!X18</f>
        <v>0</v>
      </c>
      <c r="AB20" s="405">
        <f>'Operations plan'!Y8+'Operations plan'!Y18</f>
        <v>0</v>
      </c>
      <c r="AC20" s="406">
        <f>'Operations plan'!Z8+'Operations plan'!Z18</f>
        <v>0</v>
      </c>
      <c r="AD20" s="345">
        <f>('Operations plan'!AA8+'Operations plan'!AA18)/2</f>
        <v>0</v>
      </c>
      <c r="AE20" s="345">
        <f>('Operations plan'!AA8+'Operations plan'!AA18)/2</f>
        <v>0</v>
      </c>
      <c r="AF20" s="345">
        <f>('Operations plan'!AB8+'Operations plan'!AB18)/2</f>
        <v>150</v>
      </c>
      <c r="AG20" s="345">
        <f>('Operations plan'!AB8+'Operations plan'!AB18)/2</f>
        <v>150</v>
      </c>
      <c r="AH20" s="345">
        <f>('Operations plan'!AC8+'Operations plan'!AC18)/2</f>
        <v>150</v>
      </c>
      <c r="AI20" s="345">
        <f>('Operations plan'!AC8+'Operations plan'!AC18)/2</f>
        <v>150</v>
      </c>
      <c r="AJ20" s="407">
        <f>'Operations plan'!AE8+'Operations plan'!AE18</f>
        <v>260</v>
      </c>
      <c r="AK20" s="345">
        <f>'Operations plan'!AF8+'Operations plan'!AF18</f>
        <v>250</v>
      </c>
      <c r="AL20" s="402">
        <f>'Operations plan'!AG8+'Operations plan'!AG18</f>
        <v>250</v>
      </c>
      <c r="AM20" s="345">
        <f>'Operations plan'!AH8+'Operations plan'!AH18</f>
        <v>415</v>
      </c>
      <c r="AN20" s="345">
        <f t="shared" si="25"/>
        <v>415</v>
      </c>
      <c r="AO20" s="345">
        <f>'Operations plan'!AI8+'Operations plan'!AI18</f>
        <v>415</v>
      </c>
      <c r="AP20" s="345">
        <f t="shared" si="26"/>
        <v>415</v>
      </c>
      <c r="AQ20" s="345">
        <f>('Operations plan'!AJ8+'Operations plan'!AJ18)/2</f>
        <v>207.5</v>
      </c>
      <c r="AR20" s="402">
        <f t="shared" si="27"/>
        <v>207.5</v>
      </c>
      <c r="AS20" s="405">
        <f>'Operations plan'!AK8+'Operations plan'!AK18</f>
        <v>444</v>
      </c>
      <c r="AT20" s="405">
        <f>'Operations plan'!AL8+'Operations plan'!AL18</f>
        <v>444</v>
      </c>
      <c r="AU20" s="406">
        <f>'Operations plan'!AM8+'Operations plan'!AM18</f>
        <v>474</v>
      </c>
      <c r="AV20" s="345">
        <f>('Operations plan'!AN8+'Operations plan'!AN18)/2</f>
        <v>238.5</v>
      </c>
      <c r="AW20" s="345">
        <f t="shared" si="28"/>
        <v>238.5</v>
      </c>
      <c r="AX20" s="345">
        <f>('Operations plan'!AO8+'Operations plan'!AO18)/2</f>
        <v>240</v>
      </c>
      <c r="AY20" s="345">
        <f t="shared" si="29"/>
        <v>240</v>
      </c>
      <c r="AZ20" s="345">
        <f>('Operations plan'!AP8+'Operations plan'!AP18)/2</f>
        <v>241.5</v>
      </c>
      <c r="BA20" s="403">
        <f t="shared" si="30"/>
        <v>241.5</v>
      </c>
      <c r="BB20" s="352"/>
      <c r="BC20" s="353"/>
      <c r="BD20" s="353"/>
      <c r="BE20" s="353"/>
      <c r="BF20" s="353"/>
      <c r="BG20" s="354"/>
    </row>
    <row r="21" spans="1:59" ht="12.75" x14ac:dyDescent="0.2">
      <c r="A21" s="355" t="s">
        <v>177</v>
      </c>
      <c r="B21" s="381"/>
      <c r="C21" s="356"/>
      <c r="D21" s="356"/>
      <c r="E21" s="346"/>
      <c r="F21" s="346"/>
      <c r="G21" s="346"/>
      <c r="H21" s="347"/>
      <c r="I21" s="346"/>
      <c r="J21" s="348"/>
      <c r="K21" s="346"/>
      <c r="L21" s="346"/>
      <c r="M21" s="346"/>
      <c r="N21" s="347"/>
      <c r="O21" s="346"/>
      <c r="P21" s="350"/>
      <c r="Q21" s="346"/>
      <c r="R21" s="346"/>
      <c r="S21" s="346"/>
      <c r="T21" s="346"/>
      <c r="U21" s="408">
        <f t="shared" ref="U21:X21" si="31">5000000/4</f>
        <v>1250000</v>
      </c>
      <c r="V21" s="349">
        <f t="shared" si="31"/>
        <v>1250000</v>
      </c>
      <c r="W21" s="349">
        <f t="shared" si="31"/>
        <v>1250000</v>
      </c>
      <c r="X21" s="349">
        <f t="shared" si="31"/>
        <v>1250000</v>
      </c>
      <c r="Y21" s="346"/>
      <c r="Z21" s="346"/>
      <c r="AA21" s="347"/>
      <c r="AB21" s="346"/>
      <c r="AC21" s="348"/>
      <c r="AD21" s="346"/>
      <c r="AE21" s="346"/>
      <c r="AF21" s="346"/>
      <c r="AG21" s="346"/>
      <c r="AH21" s="346"/>
      <c r="AI21" s="346"/>
      <c r="AJ21" s="410"/>
      <c r="AK21" s="346"/>
      <c r="AL21" s="348"/>
      <c r="AM21" s="346"/>
      <c r="AN21" s="346"/>
      <c r="AO21" s="346"/>
      <c r="AP21" s="346"/>
      <c r="AQ21" s="346"/>
      <c r="AR21" s="348"/>
      <c r="AS21" s="346"/>
      <c r="AT21" s="346"/>
      <c r="AU21" s="348"/>
      <c r="AV21" s="346"/>
      <c r="AW21" s="346"/>
      <c r="AX21" s="346"/>
      <c r="AY21" s="346"/>
      <c r="AZ21" s="346"/>
      <c r="BA21" s="350"/>
      <c r="BB21" s="357"/>
      <c r="BC21" s="163"/>
      <c r="BD21" s="163"/>
      <c r="BE21" s="163"/>
      <c r="BF21" s="163"/>
      <c r="BG21" s="321"/>
    </row>
    <row r="22" spans="1:59" ht="12.75" x14ac:dyDescent="0.2">
      <c r="A22" s="358" t="s">
        <v>178</v>
      </c>
      <c r="B22" s="411"/>
      <c r="C22" s="360"/>
      <c r="D22" s="360"/>
      <c r="E22" s="361"/>
      <c r="F22" s="361"/>
      <c r="G22" s="361"/>
      <c r="H22" s="362"/>
      <c r="I22" s="361"/>
      <c r="J22" s="363"/>
      <c r="K22" s="361"/>
      <c r="L22" s="412">
        <v>5000000</v>
      </c>
      <c r="M22" s="412">
        <v>5000000</v>
      </c>
      <c r="N22" s="413">
        <v>5000000</v>
      </c>
      <c r="O22" s="412">
        <v>5000000</v>
      </c>
      <c r="P22" s="414">
        <v>5000000</v>
      </c>
      <c r="Q22" s="412"/>
      <c r="R22" s="412">
        <v>5000000</v>
      </c>
      <c r="S22" s="412">
        <v>5000000</v>
      </c>
      <c r="T22" s="412">
        <v>5000000</v>
      </c>
      <c r="U22" s="413">
        <f t="shared" ref="U22:Z22" si="32">5000000/2</f>
        <v>2500000</v>
      </c>
      <c r="V22" s="412">
        <f t="shared" si="32"/>
        <v>2500000</v>
      </c>
      <c r="W22" s="412">
        <f t="shared" si="32"/>
        <v>2500000</v>
      </c>
      <c r="X22" s="412">
        <f t="shared" si="32"/>
        <v>2500000</v>
      </c>
      <c r="Y22" s="412">
        <f t="shared" si="32"/>
        <v>2500000</v>
      </c>
      <c r="Z22" s="412">
        <f t="shared" si="32"/>
        <v>2500000</v>
      </c>
      <c r="AA22" s="413">
        <v>5000000</v>
      </c>
      <c r="AB22" s="412">
        <v>5000000</v>
      </c>
      <c r="AC22" s="415">
        <v>5000000</v>
      </c>
      <c r="AD22" s="412">
        <f t="shared" ref="AD22:AI22" si="33">5000000/2</f>
        <v>2500000</v>
      </c>
      <c r="AE22" s="412">
        <f t="shared" si="33"/>
        <v>2500000</v>
      </c>
      <c r="AF22" s="412">
        <f t="shared" si="33"/>
        <v>2500000</v>
      </c>
      <c r="AG22" s="412">
        <f t="shared" si="33"/>
        <v>2500000</v>
      </c>
      <c r="AH22" s="412">
        <f t="shared" si="33"/>
        <v>2500000</v>
      </c>
      <c r="AI22" s="412">
        <f t="shared" si="33"/>
        <v>2500000</v>
      </c>
      <c r="AJ22" s="365">
        <v>5000000</v>
      </c>
      <c r="AK22" s="412">
        <v>5000000</v>
      </c>
      <c r="AL22" s="415">
        <v>5000000</v>
      </c>
      <c r="AM22" s="412">
        <f t="shared" ref="AM22:AR22" si="34">5000000/2</f>
        <v>2500000</v>
      </c>
      <c r="AN22" s="412">
        <f t="shared" si="34"/>
        <v>2500000</v>
      </c>
      <c r="AO22" s="412">
        <f t="shared" si="34"/>
        <v>2500000</v>
      </c>
      <c r="AP22" s="412">
        <f t="shared" si="34"/>
        <v>2500000</v>
      </c>
      <c r="AQ22" s="412">
        <f t="shared" si="34"/>
        <v>2500000</v>
      </c>
      <c r="AR22" s="415">
        <f t="shared" si="34"/>
        <v>2500000</v>
      </c>
      <c r="AS22" s="412">
        <v>5000000</v>
      </c>
      <c r="AT22" s="412">
        <v>5000000</v>
      </c>
      <c r="AU22" s="415">
        <v>5000000</v>
      </c>
      <c r="AV22" s="412">
        <f t="shared" ref="AV22:BA22" si="35">5000000/2</f>
        <v>2500000</v>
      </c>
      <c r="AW22" s="412">
        <f t="shared" si="35"/>
        <v>2500000</v>
      </c>
      <c r="AX22" s="412">
        <f t="shared" si="35"/>
        <v>2500000</v>
      </c>
      <c r="AY22" s="412">
        <f t="shared" si="35"/>
        <v>2500000</v>
      </c>
      <c r="AZ22" s="412">
        <f t="shared" si="35"/>
        <v>2500000</v>
      </c>
      <c r="BA22" s="414">
        <f t="shared" si="35"/>
        <v>2500000</v>
      </c>
      <c r="BB22" s="416"/>
      <c r="BC22" s="417"/>
      <c r="BD22" s="417"/>
      <c r="BE22" s="417"/>
      <c r="BF22" s="353"/>
      <c r="BG22" s="354"/>
    </row>
    <row r="23" spans="1:59" ht="12.75" x14ac:dyDescent="0.2">
      <c r="A23" s="418" t="s">
        <v>179</v>
      </c>
      <c r="B23" s="419"/>
      <c r="C23" s="419"/>
      <c r="D23" s="420"/>
      <c r="E23" s="421">
        <f t="shared" ref="E23:P23" si="36">SUM(E24:E28)</f>
        <v>61250000</v>
      </c>
      <c r="F23" s="421">
        <f t="shared" si="36"/>
        <v>61250000</v>
      </c>
      <c r="G23" s="422">
        <f t="shared" si="36"/>
        <v>61250000</v>
      </c>
      <c r="H23" s="421">
        <f t="shared" si="36"/>
        <v>58750000</v>
      </c>
      <c r="I23" s="421">
        <f t="shared" si="36"/>
        <v>58750000</v>
      </c>
      <c r="J23" s="422">
        <f t="shared" si="36"/>
        <v>58750000</v>
      </c>
      <c r="K23" s="421">
        <f t="shared" si="36"/>
        <v>58750000</v>
      </c>
      <c r="L23" s="421">
        <f t="shared" si="36"/>
        <v>133750000</v>
      </c>
      <c r="M23" s="422">
        <f t="shared" si="36"/>
        <v>58750000</v>
      </c>
      <c r="N23" s="421">
        <f t="shared" si="36"/>
        <v>53750000</v>
      </c>
      <c r="O23" s="421">
        <f t="shared" si="36"/>
        <v>123750000</v>
      </c>
      <c r="P23" s="423">
        <f t="shared" si="36"/>
        <v>123750000</v>
      </c>
      <c r="Q23" s="421"/>
      <c r="R23" s="421">
        <f t="shared" ref="R23:AI23" si="37">SUM(R24:R28)</f>
        <v>56750000</v>
      </c>
      <c r="S23" s="421">
        <f t="shared" si="37"/>
        <v>56750000</v>
      </c>
      <c r="T23" s="422">
        <f t="shared" si="37"/>
        <v>56750000</v>
      </c>
      <c r="U23" s="421">
        <f t="shared" si="37"/>
        <v>21125000</v>
      </c>
      <c r="V23" s="421">
        <f t="shared" si="37"/>
        <v>21125000</v>
      </c>
      <c r="W23" s="421">
        <f t="shared" si="37"/>
        <v>33000000</v>
      </c>
      <c r="X23" s="421">
        <f t="shared" si="37"/>
        <v>33000000</v>
      </c>
      <c r="Y23" s="421">
        <f t="shared" si="37"/>
        <v>33000000</v>
      </c>
      <c r="Z23" s="422">
        <f t="shared" si="37"/>
        <v>33000000</v>
      </c>
      <c r="AA23" s="421">
        <f t="shared" si="37"/>
        <v>75500000</v>
      </c>
      <c r="AB23" s="421">
        <f t="shared" si="37"/>
        <v>75500000</v>
      </c>
      <c r="AC23" s="422">
        <f t="shared" si="37"/>
        <v>75500000</v>
      </c>
      <c r="AD23" s="421">
        <f t="shared" si="37"/>
        <v>60500000</v>
      </c>
      <c r="AE23" s="421">
        <f t="shared" si="37"/>
        <v>80500000</v>
      </c>
      <c r="AF23" s="421">
        <f t="shared" si="37"/>
        <v>80500000</v>
      </c>
      <c r="AG23" s="421">
        <f t="shared" si="37"/>
        <v>80500000</v>
      </c>
      <c r="AH23" s="421">
        <f t="shared" si="37"/>
        <v>80500000</v>
      </c>
      <c r="AI23" s="421">
        <f t="shared" si="37"/>
        <v>80500000</v>
      </c>
      <c r="AJ23" s="424">
        <f t="shared" ref="AJ23:BA23" si="38">SUM(AJ24:AJ28)</f>
        <v>75500000</v>
      </c>
      <c r="AK23" s="421">
        <f t="shared" si="38"/>
        <v>75500000</v>
      </c>
      <c r="AL23" s="422">
        <f t="shared" si="38"/>
        <v>75500000</v>
      </c>
      <c r="AM23" s="421">
        <f t="shared" si="38"/>
        <v>80500000</v>
      </c>
      <c r="AN23" s="421">
        <f t="shared" si="38"/>
        <v>80500000</v>
      </c>
      <c r="AO23" s="421">
        <f t="shared" si="38"/>
        <v>80500000</v>
      </c>
      <c r="AP23" s="421">
        <f t="shared" si="38"/>
        <v>80500000</v>
      </c>
      <c r="AQ23" s="421">
        <f t="shared" si="38"/>
        <v>80500000</v>
      </c>
      <c r="AR23" s="422">
        <f t="shared" si="38"/>
        <v>80500000</v>
      </c>
      <c r="AS23" s="421">
        <f t="shared" si="38"/>
        <v>75500000</v>
      </c>
      <c r="AT23" s="421">
        <f t="shared" si="38"/>
        <v>75500000</v>
      </c>
      <c r="AU23" s="422">
        <f t="shared" si="38"/>
        <v>75500000</v>
      </c>
      <c r="AV23" s="421">
        <f t="shared" si="38"/>
        <v>80500000</v>
      </c>
      <c r="AW23" s="421">
        <f t="shared" si="38"/>
        <v>80500000</v>
      </c>
      <c r="AX23" s="421">
        <f t="shared" si="38"/>
        <v>80500000</v>
      </c>
      <c r="AY23" s="421">
        <f t="shared" si="38"/>
        <v>80500000</v>
      </c>
      <c r="AZ23" s="421">
        <f t="shared" si="38"/>
        <v>80500000</v>
      </c>
      <c r="BA23" s="423">
        <f t="shared" si="38"/>
        <v>80500000</v>
      </c>
      <c r="BB23" s="425"/>
      <c r="BC23" s="426"/>
      <c r="BD23" s="426"/>
      <c r="BE23" s="426"/>
      <c r="BF23" s="163"/>
      <c r="BG23" s="321"/>
    </row>
    <row r="24" spans="1:59" ht="12.75" x14ac:dyDescent="0.2">
      <c r="A24" s="427" t="s">
        <v>180</v>
      </c>
      <c r="B24" s="373"/>
      <c r="C24" s="270"/>
      <c r="D24" s="198"/>
      <c r="E24" s="428">
        <v>30000000</v>
      </c>
      <c r="F24" s="428">
        <v>30000000</v>
      </c>
      <c r="G24" s="429">
        <v>30000000</v>
      </c>
      <c r="H24" s="428">
        <v>30000000</v>
      </c>
      <c r="I24" s="428">
        <v>30000000</v>
      </c>
      <c r="J24" s="429">
        <v>30000000</v>
      </c>
      <c r="K24" s="428">
        <v>30000000</v>
      </c>
      <c r="L24" s="428">
        <v>100000000</v>
      </c>
      <c r="M24" s="429">
        <v>30000000</v>
      </c>
      <c r="N24" s="428">
        <v>30000000</v>
      </c>
      <c r="O24" s="428">
        <v>100000000</v>
      </c>
      <c r="P24" s="430">
        <v>100000000</v>
      </c>
      <c r="Q24" s="428"/>
      <c r="R24" s="428">
        <v>30000000</v>
      </c>
      <c r="S24" s="428">
        <v>30000000</v>
      </c>
      <c r="T24" s="429">
        <v>30000000</v>
      </c>
      <c r="U24" s="431"/>
      <c r="V24" s="432"/>
      <c r="W24" s="432"/>
      <c r="X24" s="432"/>
      <c r="Y24" s="432"/>
      <c r="Z24" s="433"/>
      <c r="AA24" s="428">
        <v>30000000</v>
      </c>
      <c r="AB24" s="428">
        <v>30000000</v>
      </c>
      <c r="AC24" s="429">
        <v>30000000</v>
      </c>
      <c r="AD24" s="428">
        <v>30000000</v>
      </c>
      <c r="AE24" s="428">
        <f t="shared" ref="AE24:AI24" si="39">100000000/2</f>
        <v>50000000</v>
      </c>
      <c r="AF24" s="428">
        <f t="shared" si="39"/>
        <v>50000000</v>
      </c>
      <c r="AG24" s="428">
        <f t="shared" si="39"/>
        <v>50000000</v>
      </c>
      <c r="AH24" s="428">
        <f t="shared" si="39"/>
        <v>50000000</v>
      </c>
      <c r="AI24" s="430">
        <f t="shared" si="39"/>
        <v>50000000</v>
      </c>
      <c r="AJ24" s="428">
        <v>30000000</v>
      </c>
      <c r="AK24" s="428">
        <v>30000000</v>
      </c>
      <c r="AL24" s="429">
        <v>30000000</v>
      </c>
      <c r="AM24" s="428">
        <f t="shared" ref="AM24:AR24" si="40">100000000/2</f>
        <v>50000000</v>
      </c>
      <c r="AN24" s="428">
        <f t="shared" si="40"/>
        <v>50000000</v>
      </c>
      <c r="AO24" s="428">
        <f t="shared" si="40"/>
        <v>50000000</v>
      </c>
      <c r="AP24" s="428">
        <f t="shared" si="40"/>
        <v>50000000</v>
      </c>
      <c r="AQ24" s="428">
        <f t="shared" si="40"/>
        <v>50000000</v>
      </c>
      <c r="AR24" s="429">
        <f t="shared" si="40"/>
        <v>50000000</v>
      </c>
      <c r="AS24" s="428">
        <v>30000000</v>
      </c>
      <c r="AT24" s="428">
        <v>30000000</v>
      </c>
      <c r="AU24" s="429">
        <v>30000000</v>
      </c>
      <c r="AV24" s="434">
        <f t="shared" ref="AV24:BA24" si="41">100000000/2</f>
        <v>50000000</v>
      </c>
      <c r="AW24" s="428">
        <f t="shared" si="41"/>
        <v>50000000</v>
      </c>
      <c r="AX24" s="428">
        <f t="shared" si="41"/>
        <v>50000000</v>
      </c>
      <c r="AY24" s="428">
        <f t="shared" si="41"/>
        <v>50000000</v>
      </c>
      <c r="AZ24" s="428">
        <f t="shared" si="41"/>
        <v>50000000</v>
      </c>
      <c r="BA24" s="430">
        <f t="shared" si="41"/>
        <v>50000000</v>
      </c>
      <c r="BB24" s="416"/>
      <c r="BC24" s="417"/>
      <c r="BD24" s="417"/>
      <c r="BE24" s="417"/>
      <c r="BF24" s="353"/>
      <c r="BG24" s="354"/>
    </row>
    <row r="25" spans="1:59" ht="12.75" x14ac:dyDescent="0.2">
      <c r="A25" s="435" t="s">
        <v>181</v>
      </c>
      <c r="B25" s="381"/>
      <c r="C25" s="345"/>
      <c r="D25" s="405"/>
      <c r="E25" s="349">
        <v>15000000</v>
      </c>
      <c r="F25" s="349">
        <v>15000000</v>
      </c>
      <c r="G25" s="349">
        <v>15000000</v>
      </c>
      <c r="H25" s="408">
        <v>12500000</v>
      </c>
      <c r="I25" s="349">
        <v>12500000</v>
      </c>
      <c r="J25" s="409">
        <v>12500000</v>
      </c>
      <c r="K25" s="349">
        <v>12500000</v>
      </c>
      <c r="L25" s="349">
        <v>12500000</v>
      </c>
      <c r="M25" s="409">
        <v>12500000</v>
      </c>
      <c r="N25" s="349">
        <v>12500000</v>
      </c>
      <c r="O25" s="349">
        <v>12500000</v>
      </c>
      <c r="P25" s="436">
        <v>12500000</v>
      </c>
      <c r="Q25" s="349"/>
      <c r="R25" s="349">
        <v>12500000</v>
      </c>
      <c r="S25" s="349">
        <v>12500000</v>
      </c>
      <c r="T25" s="409">
        <v>12500000</v>
      </c>
      <c r="U25" s="408">
        <f>25000000/2</f>
        <v>12500000</v>
      </c>
      <c r="V25" s="349">
        <v>12500000</v>
      </c>
      <c r="W25" s="349">
        <v>12500000</v>
      </c>
      <c r="X25" s="349">
        <v>12500000</v>
      </c>
      <c r="Y25" s="349">
        <v>12500000</v>
      </c>
      <c r="Z25" s="409">
        <v>12500000</v>
      </c>
      <c r="AA25" s="349">
        <v>12500000</v>
      </c>
      <c r="AB25" s="349">
        <v>12500000</v>
      </c>
      <c r="AC25" s="409">
        <v>12500000</v>
      </c>
      <c r="AD25" s="408">
        <f>25000000/2</f>
        <v>12500000</v>
      </c>
      <c r="AE25" s="349">
        <v>12500000</v>
      </c>
      <c r="AF25" s="349">
        <v>12500000</v>
      </c>
      <c r="AG25" s="349">
        <v>12500000</v>
      </c>
      <c r="AH25" s="349">
        <v>12500000</v>
      </c>
      <c r="AI25" s="436">
        <v>12500000</v>
      </c>
      <c r="AJ25" s="349">
        <v>12500000</v>
      </c>
      <c r="AK25" s="349">
        <v>12500000</v>
      </c>
      <c r="AL25" s="409">
        <v>12500000</v>
      </c>
      <c r="AM25" s="408">
        <f>25000000/2</f>
        <v>12500000</v>
      </c>
      <c r="AN25" s="349">
        <v>12500000</v>
      </c>
      <c r="AO25" s="349">
        <v>12500000</v>
      </c>
      <c r="AP25" s="349">
        <v>12500000</v>
      </c>
      <c r="AQ25" s="349">
        <v>12500000</v>
      </c>
      <c r="AR25" s="409">
        <v>12500000</v>
      </c>
      <c r="AS25" s="349">
        <v>12500000</v>
      </c>
      <c r="AT25" s="349">
        <v>12500000</v>
      </c>
      <c r="AU25" s="409">
        <v>12500000</v>
      </c>
      <c r="AV25" s="408">
        <f>25000000/2</f>
        <v>12500000</v>
      </c>
      <c r="AW25" s="349">
        <v>12500000</v>
      </c>
      <c r="AX25" s="349">
        <v>12500000</v>
      </c>
      <c r="AY25" s="349">
        <v>12500000</v>
      </c>
      <c r="AZ25" s="349">
        <v>12500000</v>
      </c>
      <c r="BA25" s="436">
        <v>12500000</v>
      </c>
      <c r="BB25" s="416"/>
      <c r="BC25" s="417"/>
      <c r="BD25" s="417"/>
      <c r="BE25" s="417"/>
      <c r="BF25" s="353"/>
      <c r="BG25" s="354"/>
    </row>
    <row r="26" spans="1:59" ht="12.75" x14ac:dyDescent="0.2">
      <c r="A26" s="435" t="s">
        <v>182</v>
      </c>
      <c r="B26" s="381"/>
      <c r="C26" s="345"/>
      <c r="D26" s="405"/>
      <c r="E26" s="349">
        <v>5000000</v>
      </c>
      <c r="F26" s="349">
        <v>5000000</v>
      </c>
      <c r="G26" s="349">
        <v>5000000</v>
      </c>
      <c r="H26" s="408">
        <v>5000000</v>
      </c>
      <c r="I26" s="349">
        <v>5000000</v>
      </c>
      <c r="J26" s="409">
        <v>5000000</v>
      </c>
      <c r="K26" s="349">
        <f>J26</f>
        <v>5000000</v>
      </c>
      <c r="L26" s="349">
        <v>10000000</v>
      </c>
      <c r="M26" s="409">
        <v>5000000</v>
      </c>
      <c r="N26" s="347"/>
      <c r="O26" s="346"/>
      <c r="P26" s="346"/>
      <c r="Q26" s="346"/>
      <c r="R26" s="351">
        <v>3000000</v>
      </c>
      <c r="S26" s="349">
        <v>3000000</v>
      </c>
      <c r="T26" s="349">
        <v>3000000</v>
      </c>
      <c r="U26" s="408">
        <v>3000000</v>
      </c>
      <c r="V26" s="349">
        <v>3000000</v>
      </c>
      <c r="W26" s="349">
        <v>3000000</v>
      </c>
      <c r="X26" s="349">
        <v>3000000</v>
      </c>
      <c r="Y26" s="349">
        <v>3000000</v>
      </c>
      <c r="Z26" s="349">
        <v>3000000</v>
      </c>
      <c r="AA26" s="408">
        <v>3000000</v>
      </c>
      <c r="AB26" s="349">
        <v>3000000</v>
      </c>
      <c r="AC26" s="409">
        <v>3000000</v>
      </c>
      <c r="AD26" s="349">
        <v>3000000</v>
      </c>
      <c r="AE26" s="349">
        <v>3000000</v>
      </c>
      <c r="AF26" s="349">
        <v>3000000</v>
      </c>
      <c r="AG26" s="349">
        <v>3000000</v>
      </c>
      <c r="AH26" s="349">
        <v>3000000</v>
      </c>
      <c r="AI26" s="349">
        <v>3000000</v>
      </c>
      <c r="AJ26" s="351">
        <v>3000000</v>
      </c>
      <c r="AK26" s="349">
        <v>3000000</v>
      </c>
      <c r="AL26" s="349">
        <v>3000000</v>
      </c>
      <c r="AM26" s="408">
        <v>3000000</v>
      </c>
      <c r="AN26" s="349">
        <v>3000000</v>
      </c>
      <c r="AO26" s="349">
        <v>3000000</v>
      </c>
      <c r="AP26" s="349">
        <v>3000000</v>
      </c>
      <c r="AQ26" s="349">
        <v>3000000</v>
      </c>
      <c r="AR26" s="349">
        <v>3000000</v>
      </c>
      <c r="AS26" s="408">
        <v>3000000</v>
      </c>
      <c r="AT26" s="349">
        <v>3000000</v>
      </c>
      <c r="AU26" s="409">
        <v>3000000</v>
      </c>
      <c r="AV26" s="349">
        <v>3000000</v>
      </c>
      <c r="AW26" s="349">
        <v>3000000</v>
      </c>
      <c r="AX26" s="349">
        <v>3000000</v>
      </c>
      <c r="AY26" s="349">
        <v>3000000</v>
      </c>
      <c r="AZ26" s="349">
        <v>3000000</v>
      </c>
      <c r="BA26" s="436">
        <v>3000000</v>
      </c>
      <c r="BB26" s="416"/>
      <c r="BC26" s="417"/>
      <c r="BD26" s="417"/>
      <c r="BE26" s="417"/>
      <c r="BF26" s="353"/>
      <c r="BG26" s="354"/>
    </row>
    <row r="27" spans="1:59" ht="12.75" x14ac:dyDescent="0.2">
      <c r="A27" s="435" t="s">
        <v>183</v>
      </c>
      <c r="B27" s="381"/>
      <c r="C27" s="345"/>
      <c r="D27" s="405"/>
      <c r="E27" s="349">
        <v>5000000</v>
      </c>
      <c r="F27" s="349">
        <v>5000000</v>
      </c>
      <c r="G27" s="349">
        <v>5000000</v>
      </c>
      <c r="H27" s="408">
        <v>5000000</v>
      </c>
      <c r="I27" s="349">
        <v>5000000</v>
      </c>
      <c r="J27" s="409">
        <v>5000000</v>
      </c>
      <c r="K27" s="408">
        <v>5000000</v>
      </c>
      <c r="L27" s="349">
        <v>5000000</v>
      </c>
      <c r="M27" s="409">
        <v>5000000</v>
      </c>
      <c r="N27" s="408">
        <v>5000000</v>
      </c>
      <c r="O27" s="349">
        <v>5000000</v>
      </c>
      <c r="P27" s="349">
        <v>5000000</v>
      </c>
      <c r="Q27" s="349"/>
      <c r="R27" s="351">
        <v>5000000</v>
      </c>
      <c r="S27" s="349">
        <v>5000000</v>
      </c>
      <c r="T27" s="349">
        <v>5000000</v>
      </c>
      <c r="U27" s="408">
        <f t="shared" ref="U27:Z27" si="42">5000000/2</f>
        <v>2500000</v>
      </c>
      <c r="V27" s="349">
        <f t="shared" si="42"/>
        <v>2500000</v>
      </c>
      <c r="W27" s="349">
        <f t="shared" si="42"/>
        <v>2500000</v>
      </c>
      <c r="X27" s="349">
        <f t="shared" si="42"/>
        <v>2500000</v>
      </c>
      <c r="Y27" s="349">
        <f t="shared" si="42"/>
        <v>2500000</v>
      </c>
      <c r="Z27" s="349">
        <f t="shared" si="42"/>
        <v>2500000</v>
      </c>
      <c r="AA27" s="408">
        <v>5000000</v>
      </c>
      <c r="AB27" s="349">
        <v>5000000</v>
      </c>
      <c r="AC27" s="409">
        <v>5000000</v>
      </c>
      <c r="AD27" s="349">
        <f t="shared" ref="AD27:AI27" si="43">5000000/2</f>
        <v>2500000</v>
      </c>
      <c r="AE27" s="349">
        <f t="shared" si="43"/>
        <v>2500000</v>
      </c>
      <c r="AF27" s="349">
        <f t="shared" si="43"/>
        <v>2500000</v>
      </c>
      <c r="AG27" s="349">
        <f t="shared" si="43"/>
        <v>2500000</v>
      </c>
      <c r="AH27" s="349">
        <f t="shared" si="43"/>
        <v>2500000</v>
      </c>
      <c r="AI27" s="349">
        <f t="shared" si="43"/>
        <v>2500000</v>
      </c>
      <c r="AJ27" s="351">
        <v>5000000</v>
      </c>
      <c r="AK27" s="349">
        <v>5000000</v>
      </c>
      <c r="AL27" s="409">
        <v>5000000</v>
      </c>
      <c r="AM27" s="349">
        <f t="shared" ref="AM27:AR27" si="44">5000000/2</f>
        <v>2500000</v>
      </c>
      <c r="AN27" s="349">
        <f t="shared" si="44"/>
        <v>2500000</v>
      </c>
      <c r="AO27" s="349">
        <f t="shared" si="44"/>
        <v>2500000</v>
      </c>
      <c r="AP27" s="349">
        <f t="shared" si="44"/>
        <v>2500000</v>
      </c>
      <c r="AQ27" s="349">
        <f t="shared" si="44"/>
        <v>2500000</v>
      </c>
      <c r="AR27" s="349">
        <f t="shared" si="44"/>
        <v>2500000</v>
      </c>
      <c r="AS27" s="408">
        <v>5000000</v>
      </c>
      <c r="AT27" s="349">
        <v>5000000</v>
      </c>
      <c r="AU27" s="409">
        <v>5000000</v>
      </c>
      <c r="AV27" s="349">
        <f t="shared" ref="AV27:BA27" si="45">5000000/2</f>
        <v>2500000</v>
      </c>
      <c r="AW27" s="349">
        <f t="shared" si="45"/>
        <v>2500000</v>
      </c>
      <c r="AX27" s="349">
        <f t="shared" si="45"/>
        <v>2500000</v>
      </c>
      <c r="AY27" s="349">
        <f t="shared" si="45"/>
        <v>2500000</v>
      </c>
      <c r="AZ27" s="349">
        <f t="shared" si="45"/>
        <v>2500000</v>
      </c>
      <c r="BA27" s="436">
        <f t="shared" si="45"/>
        <v>2500000</v>
      </c>
      <c r="BB27" s="416"/>
      <c r="BC27" s="417"/>
      <c r="BD27" s="417"/>
      <c r="BE27" s="417"/>
      <c r="BF27" s="353"/>
      <c r="BG27" s="354"/>
    </row>
    <row r="28" spans="1:59" ht="12.75" x14ac:dyDescent="0.2">
      <c r="A28" s="435" t="s">
        <v>184</v>
      </c>
      <c r="B28" s="381"/>
      <c r="C28" s="345"/>
      <c r="D28" s="405"/>
      <c r="E28" s="349">
        <f>100000000/16</f>
        <v>6250000</v>
      </c>
      <c r="F28" s="349">
        <f>E28</f>
        <v>6250000</v>
      </c>
      <c r="G28" s="349">
        <f>E28</f>
        <v>6250000</v>
      </c>
      <c r="H28" s="408">
        <f t="shared" ref="H28:P28" si="46">G28</f>
        <v>6250000</v>
      </c>
      <c r="I28" s="349">
        <f t="shared" si="46"/>
        <v>6250000</v>
      </c>
      <c r="J28" s="409">
        <f t="shared" si="46"/>
        <v>6250000</v>
      </c>
      <c r="K28" s="349">
        <f t="shared" si="46"/>
        <v>6250000</v>
      </c>
      <c r="L28" s="349">
        <f t="shared" si="46"/>
        <v>6250000</v>
      </c>
      <c r="M28" s="349">
        <f t="shared" si="46"/>
        <v>6250000</v>
      </c>
      <c r="N28" s="408">
        <f t="shared" si="46"/>
        <v>6250000</v>
      </c>
      <c r="O28" s="349">
        <f t="shared" si="46"/>
        <v>6250000</v>
      </c>
      <c r="P28" s="349">
        <f t="shared" si="46"/>
        <v>6250000</v>
      </c>
      <c r="Q28" s="349"/>
      <c r="R28" s="351">
        <f>P28</f>
        <v>6250000</v>
      </c>
      <c r="S28" s="349">
        <f t="shared" ref="S28:T28" si="47">R28</f>
        <v>6250000</v>
      </c>
      <c r="T28" s="349">
        <f t="shared" si="47"/>
        <v>6250000</v>
      </c>
      <c r="U28" s="408">
        <f>T28/2</f>
        <v>3125000</v>
      </c>
      <c r="V28" s="349">
        <f>U28</f>
        <v>3125000</v>
      </c>
      <c r="W28" s="349">
        <f>30000000/2</f>
        <v>15000000</v>
      </c>
      <c r="X28" s="349">
        <f t="shared" ref="X28:Z28" si="48">W28</f>
        <v>15000000</v>
      </c>
      <c r="Y28" s="349">
        <f t="shared" si="48"/>
        <v>15000000</v>
      </c>
      <c r="Z28" s="349">
        <f t="shared" si="48"/>
        <v>15000000</v>
      </c>
      <c r="AA28" s="408">
        <v>25000000</v>
      </c>
      <c r="AB28" s="349">
        <v>25000000</v>
      </c>
      <c r="AC28" s="409">
        <v>25000000</v>
      </c>
      <c r="AD28" s="349">
        <f t="shared" ref="AD28:AI28" si="49">25000000/2</f>
        <v>12500000</v>
      </c>
      <c r="AE28" s="349">
        <f t="shared" si="49"/>
        <v>12500000</v>
      </c>
      <c r="AF28" s="349">
        <f t="shared" si="49"/>
        <v>12500000</v>
      </c>
      <c r="AG28" s="349">
        <f t="shared" si="49"/>
        <v>12500000</v>
      </c>
      <c r="AH28" s="349">
        <f t="shared" si="49"/>
        <v>12500000</v>
      </c>
      <c r="AI28" s="436">
        <f t="shared" si="49"/>
        <v>12500000</v>
      </c>
      <c r="AJ28" s="349">
        <v>25000000</v>
      </c>
      <c r="AK28" s="349">
        <v>25000000</v>
      </c>
      <c r="AL28" s="409">
        <v>25000000</v>
      </c>
      <c r="AM28" s="349">
        <f t="shared" ref="AM28:AR28" si="50">25000000/2</f>
        <v>12500000</v>
      </c>
      <c r="AN28" s="349">
        <f t="shared" si="50"/>
        <v>12500000</v>
      </c>
      <c r="AO28" s="349">
        <f t="shared" si="50"/>
        <v>12500000</v>
      </c>
      <c r="AP28" s="349">
        <f t="shared" si="50"/>
        <v>12500000</v>
      </c>
      <c r="AQ28" s="349">
        <f t="shared" si="50"/>
        <v>12500000</v>
      </c>
      <c r="AR28" s="409">
        <f t="shared" si="50"/>
        <v>12500000</v>
      </c>
      <c r="AS28" s="408">
        <v>25000000</v>
      </c>
      <c r="AT28" s="349">
        <v>25000000</v>
      </c>
      <c r="AU28" s="409">
        <v>25000000</v>
      </c>
      <c r="AV28" s="349">
        <f t="shared" ref="AV28:BA28" si="51">25000000/2</f>
        <v>12500000</v>
      </c>
      <c r="AW28" s="349">
        <f t="shared" si="51"/>
        <v>12500000</v>
      </c>
      <c r="AX28" s="349">
        <f t="shared" si="51"/>
        <v>12500000</v>
      </c>
      <c r="AY28" s="349">
        <f t="shared" si="51"/>
        <v>12500000</v>
      </c>
      <c r="AZ28" s="349">
        <f t="shared" si="51"/>
        <v>12500000</v>
      </c>
      <c r="BA28" s="436">
        <f t="shared" si="51"/>
        <v>12500000</v>
      </c>
      <c r="BB28" s="416"/>
      <c r="BC28" s="417"/>
      <c r="BD28" s="417"/>
      <c r="BE28" s="417"/>
      <c r="BF28" s="353"/>
      <c r="BG28" s="354"/>
    </row>
    <row r="29" spans="1:59" ht="12.75" x14ac:dyDescent="0.2">
      <c r="A29" s="437" t="s">
        <v>185</v>
      </c>
      <c r="B29" s="411"/>
      <c r="C29" s="360"/>
      <c r="D29" s="360"/>
      <c r="E29" s="361"/>
      <c r="F29" s="361"/>
      <c r="G29" s="361"/>
      <c r="H29" s="413">
        <v>30000000</v>
      </c>
      <c r="I29" s="412">
        <v>30000000</v>
      </c>
      <c r="J29" s="415">
        <v>30000000</v>
      </c>
      <c r="K29" s="361"/>
      <c r="L29" s="361"/>
      <c r="M29" s="361"/>
      <c r="N29" s="362"/>
      <c r="O29" s="361"/>
      <c r="P29" s="361"/>
      <c r="Q29" s="361"/>
      <c r="R29" s="438"/>
      <c r="S29" s="361"/>
      <c r="T29" s="361"/>
      <c r="U29" s="362"/>
      <c r="V29" s="361"/>
      <c r="W29" s="361"/>
      <c r="X29" s="361"/>
      <c r="Y29" s="361"/>
      <c r="Z29" s="361"/>
      <c r="AA29" s="362"/>
      <c r="AB29" s="361"/>
      <c r="AC29" s="363"/>
      <c r="AD29" s="361"/>
      <c r="AE29" s="361"/>
      <c r="AF29" s="361"/>
      <c r="AG29" s="361"/>
      <c r="AH29" s="361"/>
      <c r="AI29" s="361"/>
      <c r="AJ29" s="438"/>
      <c r="AK29" s="361"/>
      <c r="AL29" s="363"/>
      <c r="AM29" s="361"/>
      <c r="AN29" s="361"/>
      <c r="AO29" s="361"/>
      <c r="AP29" s="361"/>
      <c r="AQ29" s="361"/>
      <c r="AR29" s="363"/>
      <c r="AS29" s="361"/>
      <c r="AT29" s="361"/>
      <c r="AU29" s="363"/>
      <c r="AV29" s="361"/>
      <c r="AW29" s="361"/>
      <c r="AX29" s="361"/>
      <c r="AY29" s="361"/>
      <c r="AZ29" s="361"/>
      <c r="BA29" s="364"/>
      <c r="BB29" s="352"/>
      <c r="BC29" s="353"/>
      <c r="BD29" s="353"/>
      <c r="BE29" s="353"/>
      <c r="BF29" s="353"/>
      <c r="BG29" s="354"/>
    </row>
    <row r="30" spans="1:59" ht="12.75" x14ac:dyDescent="0.2">
      <c r="A30" s="366" t="s">
        <v>186</v>
      </c>
      <c r="B30" s="367"/>
      <c r="C30" s="367"/>
      <c r="D30" s="367"/>
      <c r="E30" s="367"/>
      <c r="F30" s="367"/>
      <c r="G30" s="367"/>
      <c r="H30" s="368"/>
      <c r="I30" s="367"/>
      <c r="J30" s="369">
        <f>J$31*('Operations plan'!$C$38*'Operations plan'!J17+'Operations plan'!$C$39*'Operations plan'!J18)</f>
        <v>244440000</v>
      </c>
      <c r="K30" s="367">
        <f>K$31*('Operations plan'!$C$38*'Operations plan'!K17+'Operations plan'!$C$39*'Operations plan'!K18)</f>
        <v>244440000</v>
      </c>
      <c r="L30" s="367">
        <f>L$31*('Operations plan'!$C$38*'Operations plan'!L17+'Operations plan'!$C$39*'Operations plan'!L18)</f>
        <v>0</v>
      </c>
      <c r="M30" s="367">
        <f>M$31*('Operations plan'!$C$38*'Operations plan'!M17+'Operations plan'!$C$39*'Operations plan'!M18)</f>
        <v>0</v>
      </c>
      <c r="N30" s="368">
        <f>N$31*('Operations plan'!$C$38*'Operations plan'!N17+'Operations plan'!$C$39*'Operations plan'!N18)</f>
        <v>179256000</v>
      </c>
      <c r="O30" s="367">
        <f>O$31*('Operations plan'!$C$38*'Operations plan'!O17+'Operations plan'!$C$39*'Operations plan'!O18)</f>
        <v>537768000</v>
      </c>
      <c r="P30" s="367">
        <f>P$31*('Operations plan'!$C$38*'Operations plan'!P17+'Operations plan'!$C$39*'Operations plan'!P18)</f>
        <v>537768000</v>
      </c>
      <c r="Q30" s="367"/>
      <c r="R30" s="371">
        <f>R$31*('Operations plan'!$C$38*'Operations plan'!Q17+'Operations plan'!$C$39*'Operations plan'!Q18)</f>
        <v>0</v>
      </c>
      <c r="S30" s="367">
        <f>S$31*('Operations plan'!$C$38*'Operations plan'!R17+'Operations plan'!$C$39*'Operations plan'!R18)</f>
        <v>232218000</v>
      </c>
      <c r="T30" s="367">
        <f>T$31*('Operations plan'!$C$38*'Operations plan'!S17+'Operations plan'!$C$39*'Operations plan'!S18)</f>
        <v>0</v>
      </c>
      <c r="U30" s="368">
        <f>(U$31*('Operations plan'!$C$38*'Operations plan'!T17+'Operations plan'!$C$39*'Operations plan'!T18))/2</f>
        <v>0</v>
      </c>
      <c r="V30" s="367">
        <f>(V$31*('Operations plan'!$C$38*'Operations plan'!T17+'Operations plan'!$C$39*'Operations plan'!T18))/2</f>
        <v>0</v>
      </c>
      <c r="W30" s="367">
        <f>(W$31*('Operations plan'!$C$38*'Operations plan'!V17+'Operations plan'!$C$39*'Operations plan'!V18))/2</f>
        <v>0</v>
      </c>
      <c r="X30" s="367">
        <f>(X$31*('Operations plan'!$C$38*'Operations plan'!V17+'Operations plan'!$C$39*'Operations plan'!V18))/2</f>
        <v>0</v>
      </c>
      <c r="Y30" s="367">
        <f>(Y$31*('Operations plan'!$C$38*'Operations plan'!W17+'Operations plan'!$C$39*'Operations plan'!W18))/2</f>
        <v>140553000</v>
      </c>
      <c r="Z30" s="367">
        <f>(Z$31*('Operations plan'!$C$38*'Operations plan'!W17+'Operations plan'!$C$39*'Operations plan'!W18))/2</f>
        <v>140553000</v>
      </c>
      <c r="AA30" s="368">
        <f>AA$31*('Operations plan'!$C$38*'Operations plan'!X17+'Operations plan'!$C$39*'Operations plan'!X18)</f>
        <v>293328000</v>
      </c>
      <c r="AB30" s="367">
        <f>AB$31*('Operations plan'!$C$38*'Operations plan'!Y17+'Operations plan'!$C$39*'Operations plan'!Y18)</f>
        <v>0</v>
      </c>
      <c r="AC30" s="369">
        <f>AC$31*('Operations plan'!$C$38*'Operations plan'!Z17+'Operations plan'!$C$39*'Operations plan'!Z18)</f>
        <v>0</v>
      </c>
      <c r="AD30" s="367">
        <f>(AD$31*('Operations plan'!$C$38*'Operations plan'!AA17+'Operations plan'!$C$39*'Operations plan'!AA18))/2</f>
        <v>101850000</v>
      </c>
      <c r="AE30" s="367">
        <f>AD30</f>
        <v>101850000</v>
      </c>
      <c r="AF30" s="367">
        <f>(AF$31*('Operations plan'!$C$38*'Operations plan'!AB17+'Operations plan'!$C$39*'Operations plan'!AB18))/2</f>
        <v>467460000</v>
      </c>
      <c r="AG30" s="367">
        <f>AF30</f>
        <v>467460000</v>
      </c>
      <c r="AH30" s="367">
        <f>(AH$31*('Operations plan'!$C$38*'Operations plan'!AC17+'Operations plan'!$C$39*'Operations plan'!AC18))/2</f>
        <v>467460000</v>
      </c>
      <c r="AI30" s="367">
        <f>(AH$31*('Operations plan'!$C$38*'Operations plan'!AC17+'Operations plan'!$C$39*'Operations plan'!AC18))/2</f>
        <v>467460000</v>
      </c>
      <c r="AJ30" s="371">
        <f>AJ$31*('Operations plan'!$C$38*'Operations plan'!AE17+'Operations plan'!$C$39*'Operations plan'!AE18)</f>
        <v>382221000</v>
      </c>
      <c r="AK30" s="367">
        <f>AK$31*('Operations plan'!$C$38*'Operations plan'!AF17+'Operations plan'!$C$39*'Operations plan'!AF18)</f>
        <v>382221000</v>
      </c>
      <c r="AL30" s="369">
        <f>AL$31*('Operations plan'!$C$38*'Operations plan'!AG17+'Operations plan'!$C$39*'Operations plan'!AG18)</f>
        <v>0</v>
      </c>
      <c r="AM30" s="367">
        <f>(AM$31*('Operations plan'!$C$38*'Operations plan'!AH17+'Operations plan'!$C$39*'Operations plan'!AH18))/2</f>
        <v>0</v>
      </c>
      <c r="AN30" s="367">
        <f>(AN$31*('Operations plan'!$C$38*'Operations plan'!AH17+'Operations plan'!$C$39*'Operations plan'!AH18))/2</f>
        <v>0</v>
      </c>
      <c r="AO30" s="367">
        <f>(AO$31*('Operations plan'!$C$38*'Operations plan'!AI17+'Operations plan'!$C$39*'Operations plan'!AI18))/2</f>
        <v>0</v>
      </c>
      <c r="AP30" s="367">
        <f>(AP$31*('Operations plan'!$C$38*'Operations plan'!AI17+'Operations plan'!$C$39*'Operations plan'!AI18))/2</f>
        <v>0</v>
      </c>
      <c r="AQ30" s="367">
        <f>(AQ$31*('Operations plan'!$C$38*'Operations plan'!AJ17+'Operations plan'!$C$39*'Operations plan'!AJ18))/2</f>
        <v>243810000</v>
      </c>
      <c r="AR30" s="369">
        <f>(AQ$31*('Operations plan'!$C$38*'Operations plan'!AJ17+'Operations plan'!$C$39*'Operations plan'!AJ18))/2</f>
        <v>243810000</v>
      </c>
      <c r="AS30" s="367">
        <f>(AS$31*('Operations plan'!$C$38*'Operations plan'!AK17+'Operations plan'!$C$39*'Operations plan'!AK18))/2</f>
        <v>258016500</v>
      </c>
      <c r="AT30" s="367">
        <f>(AT$31*('Operations plan'!$C$38*'Operations plan'!AL17+'Operations plan'!$C$39*'Operations plan'!AL18))/2</f>
        <v>0</v>
      </c>
      <c r="AU30" s="369">
        <f>(AU$31*('Operations plan'!$C$38*'Operations plan'!AM17+'Operations plan'!$C$39*'Operations plan'!AM18))/2</f>
        <v>0</v>
      </c>
      <c r="AV30" s="367">
        <f>(AV$31*('Operations plan'!$C$38*'Operations plan'!AN17+'Operations plan'!$C$39*'Operations plan'!AN18))/2</f>
        <v>181482000</v>
      </c>
      <c r="AW30" s="367">
        <f>(AW$31*('Operations plan'!$C$38*'Operations plan'!AN17+'Operations plan'!$C$39*'Operations plan'!AN18))/2</f>
        <v>181482000</v>
      </c>
      <c r="AX30" s="367">
        <f>(AX$31*('Operations plan'!$C$38*'Operations plan'!AO17+'Operations plan'!$C$39*'Operations plan'!AO18))/2</f>
        <v>544446000</v>
      </c>
      <c r="AY30" s="367">
        <f>(AY$31*('Operations plan'!$C$38*'Operations plan'!AO17+'Operations plan'!$C$39*'Operations plan'!AO18))/2</f>
        <v>544446000</v>
      </c>
      <c r="AZ30" s="367">
        <f>(AZ$31*('Operations plan'!$C$38*'Operations plan'!AP17+'Operations plan'!$C$39*'Operations plan'!AP18))/2</f>
        <v>544446000</v>
      </c>
      <c r="BA30" s="370">
        <f>(BA$31*('Operations plan'!$C$38*'Operations plan'!AP17+'Operations plan'!$C$39*'Operations plan'!AP18))/2</f>
        <v>544446000</v>
      </c>
      <c r="BB30" s="340"/>
      <c r="BC30" s="341"/>
      <c r="BD30" s="341"/>
      <c r="BE30" s="341"/>
      <c r="BF30" s="341"/>
      <c r="BG30" s="342"/>
    </row>
    <row r="31" spans="1:59" ht="12.75" x14ac:dyDescent="0.2">
      <c r="A31" s="439" t="s">
        <v>187</v>
      </c>
      <c r="B31" s="440" t="s">
        <v>168</v>
      </c>
      <c r="C31" s="441"/>
      <c r="D31" s="441"/>
      <c r="E31" s="441"/>
      <c r="F31" s="441"/>
      <c r="G31" s="441"/>
      <c r="H31" s="442"/>
      <c r="I31" s="441"/>
      <c r="J31" s="443">
        <v>0.03</v>
      </c>
      <c r="K31" s="444">
        <v>0.03</v>
      </c>
      <c r="L31" s="444">
        <v>0</v>
      </c>
      <c r="M31" s="444">
        <v>0</v>
      </c>
      <c r="N31" s="445">
        <v>0.02</v>
      </c>
      <c r="O31" s="444">
        <v>0.06</v>
      </c>
      <c r="P31" s="444">
        <v>0.06</v>
      </c>
      <c r="Q31" s="444"/>
      <c r="R31" s="446">
        <v>0.03</v>
      </c>
      <c r="S31" s="444">
        <v>0.03</v>
      </c>
      <c r="T31" s="444">
        <v>0</v>
      </c>
      <c r="U31" s="445">
        <v>0</v>
      </c>
      <c r="V31" s="444">
        <v>0</v>
      </c>
      <c r="W31" s="444">
        <v>0</v>
      </c>
      <c r="X31" s="444">
        <v>0</v>
      </c>
      <c r="Y31" s="444">
        <v>0.03</v>
      </c>
      <c r="Z31" s="444">
        <v>0.03</v>
      </c>
      <c r="AA31" s="445">
        <v>0.03</v>
      </c>
      <c r="AB31" s="444">
        <v>0</v>
      </c>
      <c r="AC31" s="443">
        <v>0</v>
      </c>
      <c r="AD31" s="444">
        <v>0.02</v>
      </c>
      <c r="AE31" s="444">
        <v>0.02</v>
      </c>
      <c r="AF31" s="444">
        <v>0.06</v>
      </c>
      <c r="AG31" s="444">
        <v>0.06</v>
      </c>
      <c r="AH31" s="444">
        <v>0.06</v>
      </c>
      <c r="AI31" s="444">
        <v>0.06</v>
      </c>
      <c r="AJ31" s="446">
        <v>0.03</v>
      </c>
      <c r="AK31" s="444">
        <v>0.03</v>
      </c>
      <c r="AL31" s="443">
        <v>0</v>
      </c>
      <c r="AM31" s="444">
        <v>0</v>
      </c>
      <c r="AN31" s="444">
        <v>0</v>
      </c>
      <c r="AO31" s="444">
        <v>0</v>
      </c>
      <c r="AP31" s="444">
        <v>0</v>
      </c>
      <c r="AQ31" s="444">
        <v>0.03</v>
      </c>
      <c r="AR31" s="443">
        <v>0.03</v>
      </c>
      <c r="AS31" s="444">
        <v>0.03</v>
      </c>
      <c r="AT31" s="444">
        <v>0</v>
      </c>
      <c r="AU31" s="443">
        <v>0</v>
      </c>
      <c r="AV31" s="444">
        <v>0.02</v>
      </c>
      <c r="AW31" s="444">
        <v>0.02</v>
      </c>
      <c r="AX31" s="444">
        <v>0.06</v>
      </c>
      <c r="AY31" s="444">
        <v>0.06</v>
      </c>
      <c r="AZ31" s="444">
        <v>0.06</v>
      </c>
      <c r="BA31" s="447">
        <v>0.06</v>
      </c>
      <c r="BB31" s="448"/>
      <c r="BC31" s="449"/>
      <c r="BD31" s="449"/>
      <c r="BE31" s="449"/>
      <c r="BF31" s="398"/>
      <c r="BG31" s="399"/>
    </row>
    <row r="32" spans="1:59" ht="12.75" x14ac:dyDescent="0.2">
      <c r="A32" s="450" t="s">
        <v>188</v>
      </c>
      <c r="B32" s="451"/>
      <c r="C32" s="451"/>
      <c r="D32" s="452"/>
      <c r="E32" s="453">
        <f t="shared" ref="E32:P32" si="52">E30+E23+E11+E4</f>
        <v>61250000</v>
      </c>
      <c r="F32" s="453">
        <f t="shared" si="52"/>
        <v>61250000</v>
      </c>
      <c r="G32" s="453">
        <f t="shared" si="52"/>
        <v>61250000</v>
      </c>
      <c r="H32" s="453">
        <f t="shared" si="52"/>
        <v>58750000</v>
      </c>
      <c r="I32" s="453">
        <f t="shared" si="52"/>
        <v>69750000</v>
      </c>
      <c r="J32" s="453">
        <f t="shared" si="52"/>
        <v>323190000</v>
      </c>
      <c r="K32" s="453">
        <f t="shared" si="52"/>
        <v>311690000</v>
      </c>
      <c r="L32" s="453">
        <f t="shared" si="52"/>
        <v>160750000</v>
      </c>
      <c r="M32" s="453">
        <f t="shared" si="52"/>
        <v>71250000</v>
      </c>
      <c r="N32" s="453">
        <f t="shared" si="52"/>
        <v>245506000</v>
      </c>
      <c r="O32" s="453">
        <f t="shared" si="52"/>
        <v>674018000</v>
      </c>
      <c r="P32" s="453">
        <f t="shared" si="52"/>
        <v>675018000</v>
      </c>
      <c r="Q32" s="453"/>
      <c r="R32" s="453">
        <f t="shared" ref="R32:BA32" si="53">R30+R23+R11+R4</f>
        <v>150001600</v>
      </c>
      <c r="S32" s="453">
        <f t="shared" si="53"/>
        <v>382219600</v>
      </c>
      <c r="T32" s="453">
        <f t="shared" si="53"/>
        <v>151001600</v>
      </c>
      <c r="U32" s="453">
        <f t="shared" si="53"/>
        <v>28625000</v>
      </c>
      <c r="V32" s="453">
        <f t="shared" si="53"/>
        <v>28625000</v>
      </c>
      <c r="W32" s="453">
        <f t="shared" si="53"/>
        <v>142720400</v>
      </c>
      <c r="X32" s="453">
        <f t="shared" si="53"/>
        <v>142720400</v>
      </c>
      <c r="Y32" s="453">
        <f t="shared" si="53"/>
        <v>179803000</v>
      </c>
      <c r="Z32" s="453">
        <f t="shared" si="53"/>
        <v>179803000</v>
      </c>
      <c r="AA32" s="453">
        <f t="shared" si="53"/>
        <v>484350800</v>
      </c>
      <c r="AB32" s="453">
        <f t="shared" si="53"/>
        <v>192022800</v>
      </c>
      <c r="AC32" s="453">
        <f t="shared" si="53"/>
        <v>192022800</v>
      </c>
      <c r="AD32" s="453">
        <f t="shared" si="53"/>
        <v>169100000</v>
      </c>
      <c r="AE32" s="453">
        <f t="shared" si="53"/>
        <v>297536300</v>
      </c>
      <c r="AF32" s="453">
        <f t="shared" si="53"/>
        <v>729205800</v>
      </c>
      <c r="AG32" s="453">
        <f t="shared" si="53"/>
        <v>729205800</v>
      </c>
      <c r="AH32" s="453">
        <f t="shared" si="53"/>
        <v>556210000</v>
      </c>
      <c r="AI32" s="453">
        <f t="shared" si="53"/>
        <v>556210000</v>
      </c>
      <c r="AJ32" s="453">
        <f t="shared" si="53"/>
        <v>635943900</v>
      </c>
      <c r="AK32" s="453">
        <f t="shared" si="53"/>
        <v>608644900</v>
      </c>
      <c r="AL32" s="453">
        <f t="shared" si="53"/>
        <v>227423900</v>
      </c>
      <c r="AM32" s="453">
        <f t="shared" si="53"/>
        <v>86750000</v>
      </c>
      <c r="AN32" s="453">
        <f t="shared" si="53"/>
        <v>86750000</v>
      </c>
      <c r="AO32" s="453">
        <f t="shared" si="53"/>
        <v>446649600</v>
      </c>
      <c r="AP32" s="453">
        <f t="shared" si="53"/>
        <v>446649600</v>
      </c>
      <c r="AQ32" s="453">
        <f t="shared" si="53"/>
        <v>330560000</v>
      </c>
      <c r="AR32" s="453">
        <f t="shared" si="53"/>
        <v>330560000</v>
      </c>
      <c r="AS32" s="453">
        <f t="shared" si="53"/>
        <v>533396300</v>
      </c>
      <c r="AT32" s="453">
        <f t="shared" si="53"/>
        <v>276379800</v>
      </c>
      <c r="AU32" s="453">
        <f t="shared" si="53"/>
        <v>280776800</v>
      </c>
      <c r="AV32" s="453">
        <f t="shared" si="53"/>
        <v>267732000</v>
      </c>
      <c r="AW32" s="453">
        <f t="shared" si="53"/>
        <v>467344700</v>
      </c>
      <c r="AX32" s="453">
        <f t="shared" si="53"/>
        <v>831187900</v>
      </c>
      <c r="AY32" s="453">
        <f t="shared" si="53"/>
        <v>831187900</v>
      </c>
      <c r="AZ32" s="453">
        <f t="shared" si="53"/>
        <v>631696000</v>
      </c>
      <c r="BA32" s="453">
        <f t="shared" si="53"/>
        <v>631696000</v>
      </c>
      <c r="BB32" s="426"/>
      <c r="BC32" s="426"/>
      <c r="BD32" s="426"/>
      <c r="BE32" s="426"/>
      <c r="BF32" s="353"/>
      <c r="BG32" s="354"/>
    </row>
    <row r="33" spans="1:59" ht="12.75" x14ac:dyDescent="0.2">
      <c r="A33" s="454"/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M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  <c r="Y33" s="455"/>
      <c r="Z33" s="455"/>
      <c r="AA33" s="455"/>
      <c r="AB33" s="455"/>
      <c r="AC33" s="455"/>
      <c r="AD33" s="455"/>
      <c r="AE33" s="455"/>
      <c r="AF33" s="455"/>
      <c r="AG33" s="455"/>
      <c r="AH33" s="455"/>
      <c r="AI33" s="455"/>
      <c r="AJ33" s="455"/>
      <c r="AK33" s="455"/>
      <c r="AL33" s="455"/>
      <c r="AM33" s="455"/>
      <c r="AN33" s="455"/>
      <c r="AO33" s="455"/>
      <c r="AP33" s="455"/>
      <c r="AQ33" s="455"/>
      <c r="AR33" s="455"/>
      <c r="AS33" s="455"/>
      <c r="AT33" s="455"/>
      <c r="AU33" s="455"/>
      <c r="AV33" s="455"/>
      <c r="AW33" s="455"/>
      <c r="AX33" s="455"/>
      <c r="AY33" s="455"/>
      <c r="AZ33" s="455"/>
      <c r="BA33" s="455"/>
      <c r="BB33" s="456"/>
      <c r="BC33" s="456"/>
      <c r="BD33" s="456"/>
      <c r="BE33" s="456"/>
      <c r="BF33" s="456"/>
      <c r="BG33" s="457"/>
    </row>
    <row r="34" spans="1:59" ht="12.75" x14ac:dyDescent="0.2">
      <c r="A34" s="458"/>
      <c r="B34" s="459"/>
      <c r="C34" s="459"/>
      <c r="D34" s="225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163"/>
      <c r="BC34" s="163"/>
      <c r="BD34" s="163"/>
      <c r="BE34" s="163"/>
      <c r="BF34" s="163"/>
      <c r="BG34" s="321"/>
    </row>
    <row r="35" spans="1:59" ht="12.75" x14ac:dyDescent="0.2">
      <c r="A35" s="1392" t="s">
        <v>189</v>
      </c>
      <c r="B35" s="1393"/>
      <c r="C35" s="1394"/>
      <c r="D35" s="226"/>
      <c r="E35" s="1395">
        <v>2025</v>
      </c>
      <c r="F35" s="1396"/>
      <c r="G35" s="1396"/>
      <c r="H35" s="1396"/>
      <c r="I35" s="1396"/>
      <c r="J35" s="1396"/>
      <c r="K35" s="1396"/>
      <c r="L35" s="1396"/>
      <c r="M35" s="1396"/>
      <c r="N35" s="1396"/>
      <c r="O35" s="1396"/>
      <c r="P35" s="1397"/>
      <c r="Q35" s="227"/>
      <c r="R35" s="1395">
        <v>2026</v>
      </c>
      <c r="S35" s="1396"/>
      <c r="T35" s="1396"/>
      <c r="U35" s="1396"/>
      <c r="V35" s="1396"/>
      <c r="W35" s="1396"/>
      <c r="X35" s="1396"/>
      <c r="Y35" s="1396"/>
      <c r="Z35" s="1396"/>
      <c r="AA35" s="1396"/>
      <c r="AB35" s="1396"/>
      <c r="AC35" s="1397"/>
      <c r="AD35" s="460"/>
      <c r="AE35" s="1395">
        <v>2027</v>
      </c>
      <c r="AF35" s="1396"/>
      <c r="AG35" s="1396"/>
      <c r="AH35" s="1396"/>
      <c r="AI35" s="1396"/>
      <c r="AJ35" s="1396"/>
      <c r="AK35" s="1396"/>
      <c r="AL35" s="1396"/>
      <c r="AM35" s="1396"/>
      <c r="AN35" s="1396"/>
      <c r="AO35" s="1396"/>
      <c r="AP35" s="1397"/>
      <c r="AQ35" s="227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163"/>
      <c r="BC35" s="163"/>
      <c r="BD35" s="163"/>
      <c r="BE35" s="163"/>
      <c r="BF35" s="163"/>
      <c r="BG35" s="321"/>
    </row>
    <row r="36" spans="1:59" ht="12.75" x14ac:dyDescent="0.2">
      <c r="A36" s="1343"/>
      <c r="B36" s="1343"/>
      <c r="C36" s="1390"/>
      <c r="D36" s="461"/>
      <c r="E36" s="1398" t="s">
        <v>118</v>
      </c>
      <c r="F36" s="1399"/>
      <c r="G36" s="1400"/>
      <c r="H36" s="1401" t="s">
        <v>119</v>
      </c>
      <c r="I36" s="1399"/>
      <c r="J36" s="1400"/>
      <c r="K36" s="1401" t="s">
        <v>120</v>
      </c>
      <c r="L36" s="1399"/>
      <c r="M36" s="1400"/>
      <c r="N36" s="1401" t="s">
        <v>121</v>
      </c>
      <c r="O36" s="1399"/>
      <c r="P36" s="1402"/>
      <c r="Q36" s="174"/>
      <c r="R36" s="1398" t="s">
        <v>118</v>
      </c>
      <c r="S36" s="1399"/>
      <c r="T36" s="1400"/>
      <c r="U36" s="1401" t="s">
        <v>119</v>
      </c>
      <c r="V36" s="1399"/>
      <c r="W36" s="1400"/>
      <c r="X36" s="1401" t="s">
        <v>120</v>
      </c>
      <c r="Y36" s="1399"/>
      <c r="Z36" s="1400"/>
      <c r="AA36" s="1401" t="s">
        <v>121</v>
      </c>
      <c r="AB36" s="1399"/>
      <c r="AC36" s="1402"/>
      <c r="AD36" s="320"/>
      <c r="AE36" s="1398" t="s">
        <v>118</v>
      </c>
      <c r="AF36" s="1399"/>
      <c r="AG36" s="1400"/>
      <c r="AH36" s="1401" t="s">
        <v>119</v>
      </c>
      <c r="AI36" s="1399"/>
      <c r="AJ36" s="1400"/>
      <c r="AK36" s="1401" t="s">
        <v>120</v>
      </c>
      <c r="AL36" s="1399"/>
      <c r="AM36" s="1400"/>
      <c r="AN36" s="1401" t="s">
        <v>121</v>
      </c>
      <c r="AO36" s="1399"/>
      <c r="AP36" s="1402"/>
      <c r="AQ36" s="462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398"/>
      <c r="BC36" s="398"/>
      <c r="BD36" s="398"/>
      <c r="BE36" s="398"/>
      <c r="BF36" s="398"/>
      <c r="BG36" s="399"/>
    </row>
    <row r="37" spans="1:59" ht="18" x14ac:dyDescent="0.25">
      <c r="A37" s="1383"/>
      <c r="B37" s="1383"/>
      <c r="C37" s="1391"/>
      <c r="D37" s="327"/>
      <c r="E37" s="463">
        <v>1</v>
      </c>
      <c r="F37" s="464">
        <v>2</v>
      </c>
      <c r="G37" s="464">
        <v>3</v>
      </c>
      <c r="H37" s="464">
        <v>4</v>
      </c>
      <c r="I37" s="464">
        <v>5</v>
      </c>
      <c r="J37" s="464">
        <v>6</v>
      </c>
      <c r="K37" s="464">
        <v>7</v>
      </c>
      <c r="L37" s="464">
        <v>8</v>
      </c>
      <c r="M37" s="464">
        <v>9</v>
      </c>
      <c r="N37" s="464">
        <v>10</v>
      </c>
      <c r="O37" s="464">
        <v>11</v>
      </c>
      <c r="P37" s="465">
        <v>12</v>
      </c>
      <c r="Q37" s="466"/>
      <c r="R37" s="463">
        <v>1</v>
      </c>
      <c r="S37" s="464">
        <v>2</v>
      </c>
      <c r="T37" s="464">
        <v>3</v>
      </c>
      <c r="U37" s="464">
        <v>4</v>
      </c>
      <c r="V37" s="464">
        <v>5</v>
      </c>
      <c r="W37" s="464">
        <v>6</v>
      </c>
      <c r="X37" s="464">
        <v>7</v>
      </c>
      <c r="Y37" s="464">
        <v>8</v>
      </c>
      <c r="Z37" s="464">
        <v>9</v>
      </c>
      <c r="AA37" s="464">
        <v>10</v>
      </c>
      <c r="AB37" s="464">
        <v>11</v>
      </c>
      <c r="AC37" s="465">
        <v>12</v>
      </c>
      <c r="AD37" s="467"/>
      <c r="AE37" s="463">
        <v>1</v>
      </c>
      <c r="AF37" s="464">
        <v>2</v>
      </c>
      <c r="AG37" s="464">
        <v>3</v>
      </c>
      <c r="AH37" s="464">
        <v>4</v>
      </c>
      <c r="AI37" s="464">
        <v>5</v>
      </c>
      <c r="AJ37" s="464">
        <v>6</v>
      </c>
      <c r="AK37" s="464">
        <v>7</v>
      </c>
      <c r="AL37" s="464">
        <v>8</v>
      </c>
      <c r="AM37" s="464">
        <v>9</v>
      </c>
      <c r="AN37" s="464">
        <v>10</v>
      </c>
      <c r="AO37" s="464">
        <v>11</v>
      </c>
      <c r="AP37" s="465">
        <v>12</v>
      </c>
      <c r="AQ37" s="462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398"/>
      <c r="BC37" s="398"/>
      <c r="BD37" s="398"/>
      <c r="BE37" s="398"/>
      <c r="BF37" s="398"/>
      <c r="BG37" s="399"/>
    </row>
    <row r="38" spans="1:59" ht="12.75" x14ac:dyDescent="0.2">
      <c r="A38" s="468" t="s">
        <v>190</v>
      </c>
      <c r="B38" s="266"/>
      <c r="C38" s="266"/>
      <c r="D38" s="214"/>
      <c r="E38" s="469">
        <f t="shared" ref="E38:T38" si="54">E4+E25+E28+E29+E27</f>
        <v>26250000</v>
      </c>
      <c r="F38" s="470">
        <f t="shared" si="54"/>
        <v>26250000</v>
      </c>
      <c r="G38" s="471">
        <f t="shared" si="54"/>
        <v>26250000</v>
      </c>
      <c r="H38" s="470">
        <f t="shared" si="54"/>
        <v>53750000</v>
      </c>
      <c r="I38" s="470">
        <f t="shared" si="54"/>
        <v>64750000</v>
      </c>
      <c r="J38" s="471">
        <f t="shared" si="54"/>
        <v>73750000</v>
      </c>
      <c r="K38" s="470">
        <f t="shared" si="54"/>
        <v>32250000</v>
      </c>
      <c r="L38" s="470">
        <f t="shared" si="54"/>
        <v>45750000</v>
      </c>
      <c r="M38" s="471">
        <f t="shared" si="54"/>
        <v>31250000</v>
      </c>
      <c r="N38" s="470">
        <f t="shared" si="54"/>
        <v>31250000</v>
      </c>
      <c r="O38" s="470">
        <f t="shared" si="54"/>
        <v>31250000</v>
      </c>
      <c r="P38" s="472">
        <f t="shared" si="54"/>
        <v>32250000</v>
      </c>
      <c r="Q38" s="470">
        <f t="shared" si="54"/>
        <v>0</v>
      </c>
      <c r="R38" s="469">
        <f t="shared" si="54"/>
        <v>30250000</v>
      </c>
      <c r="S38" s="470">
        <f t="shared" si="54"/>
        <v>30250000</v>
      </c>
      <c r="T38" s="471">
        <f t="shared" si="54"/>
        <v>31250000</v>
      </c>
      <c r="U38" s="470">
        <f>U4+U25+U28+U29+U27+V4+V25+V28+V29+V27</f>
        <v>43750000</v>
      </c>
      <c r="V38" s="470">
        <f>W4+W25+W28+W29+W27+X4+X25+X28+X29+X27</f>
        <v>71500000</v>
      </c>
      <c r="W38" s="471">
        <f>Y4+Y25+Y28+Y29+Y27+Z4+Z25+Z28+Z29+Z27</f>
        <v>67500000</v>
      </c>
      <c r="X38" s="470">
        <f t="shared" ref="X38:Z38" si="55">AA4+AA25+AA28+AA29+AA27</f>
        <v>49000000</v>
      </c>
      <c r="Y38" s="470">
        <f t="shared" si="55"/>
        <v>50000000</v>
      </c>
      <c r="Z38" s="471">
        <f t="shared" si="55"/>
        <v>50000000</v>
      </c>
      <c r="AA38" s="470">
        <f>AD4+AD25+AD28+AD29+AD27+AE4+AE25+AE28+AE29+AE27</f>
        <v>63500000</v>
      </c>
      <c r="AB38" s="470">
        <f>AF4+AF25+AF28+AF29+AF27+AG4+AG25+AG28+AG29+AG27</f>
        <v>87000000</v>
      </c>
      <c r="AC38" s="472">
        <f>AH4+AH25+AH28+AH29+AH27+AI4+AI25+AI28+AI29+AI27</f>
        <v>66500000</v>
      </c>
      <c r="AD38" s="473"/>
      <c r="AE38" s="469">
        <f t="shared" ref="AE38:AG38" si="56">AJ4+AJ25+AJ28+AJ29+AJ27</f>
        <v>74500000</v>
      </c>
      <c r="AF38" s="470">
        <f t="shared" si="56"/>
        <v>49000000</v>
      </c>
      <c r="AG38" s="471">
        <f t="shared" si="56"/>
        <v>50000000</v>
      </c>
      <c r="AH38" s="470">
        <f>AM4+AM25+AM28+AM29+AM27+AN4+AN25+AN28+AN29+AN27</f>
        <v>62500000</v>
      </c>
      <c r="AI38" s="470">
        <f>AO4+AO25+AO28+AO29+AO27+AP4+AP25+AP28+AP29+AP27</f>
        <v>63500000</v>
      </c>
      <c r="AJ38" s="471">
        <f>AQ4+AQ25+AQ28+AQ29+AQ27+AR4+AR25+AR28+AR29+AR27</f>
        <v>62500000</v>
      </c>
      <c r="AK38" s="470">
        <f t="shared" ref="AK38:AM38" si="57">AS4+AS25+AS28+AS29+AS27</f>
        <v>49000000</v>
      </c>
      <c r="AL38" s="470">
        <f t="shared" si="57"/>
        <v>50000000</v>
      </c>
      <c r="AM38" s="471">
        <f t="shared" si="57"/>
        <v>49000000</v>
      </c>
      <c r="AN38" s="470">
        <f>AV4+AV25+AV28+AV29+AV27+AW4+AW25+AW28+AW29+AW27</f>
        <v>61500000</v>
      </c>
      <c r="AO38" s="470">
        <f>AX4+AX25+AX28+AX29+AX27+AY4+AY25+AY28+AY29+AY27</f>
        <v>61500000</v>
      </c>
      <c r="AP38" s="472">
        <f>AZ4+AZ25+AZ28+AZ29+AZ27+BA4+BA25+BA28+BA29+BA27</f>
        <v>63500000</v>
      </c>
      <c r="AQ38" s="214"/>
      <c r="AR38" s="313"/>
      <c r="AS38" s="192"/>
      <c r="AT38" s="192"/>
      <c r="AU38" s="192"/>
      <c r="AV38" s="474"/>
      <c r="AW38" s="474"/>
      <c r="AX38" s="474"/>
      <c r="AY38" s="474"/>
      <c r="AZ38" s="474"/>
      <c r="BA38" s="474"/>
      <c r="BB38" s="417"/>
      <c r="BC38" s="417"/>
      <c r="BD38" s="417"/>
      <c r="BE38" s="417"/>
      <c r="BF38" s="353"/>
      <c r="BG38" s="354"/>
    </row>
    <row r="39" spans="1:59" ht="12.75" x14ac:dyDescent="0.2">
      <c r="A39" s="475" t="s">
        <v>191</v>
      </c>
      <c r="B39" s="476"/>
      <c r="C39" s="476"/>
      <c r="D39" s="477"/>
      <c r="E39" s="478">
        <f t="shared" ref="E39:T39" si="58">E11+E24+E26+E30</f>
        <v>35000000</v>
      </c>
      <c r="F39" s="479">
        <f t="shared" si="58"/>
        <v>35000000</v>
      </c>
      <c r="G39" s="480">
        <f t="shared" si="58"/>
        <v>35000000</v>
      </c>
      <c r="H39" s="479">
        <f t="shared" si="58"/>
        <v>35000000</v>
      </c>
      <c r="I39" s="479">
        <f t="shared" si="58"/>
        <v>35000000</v>
      </c>
      <c r="J39" s="480">
        <f t="shared" si="58"/>
        <v>279440000</v>
      </c>
      <c r="K39" s="479">
        <f t="shared" si="58"/>
        <v>279440000</v>
      </c>
      <c r="L39" s="479">
        <f t="shared" si="58"/>
        <v>115000000</v>
      </c>
      <c r="M39" s="480">
        <f t="shared" si="58"/>
        <v>40000000</v>
      </c>
      <c r="N39" s="479">
        <f t="shared" si="58"/>
        <v>214256000</v>
      </c>
      <c r="O39" s="479">
        <f t="shared" si="58"/>
        <v>642768000</v>
      </c>
      <c r="P39" s="481">
        <f t="shared" si="58"/>
        <v>642768000</v>
      </c>
      <c r="Q39" s="479">
        <f t="shared" si="58"/>
        <v>0</v>
      </c>
      <c r="R39" s="478">
        <f t="shared" si="58"/>
        <v>119751600</v>
      </c>
      <c r="S39" s="479">
        <f t="shared" si="58"/>
        <v>351969600</v>
      </c>
      <c r="T39" s="480">
        <f t="shared" si="58"/>
        <v>119751600</v>
      </c>
      <c r="U39" s="479">
        <f t="shared" ref="U39:AC39" si="59">U40-U38</f>
        <v>13500000</v>
      </c>
      <c r="V39" s="479">
        <f t="shared" si="59"/>
        <v>213940800</v>
      </c>
      <c r="W39" s="480">
        <f t="shared" si="59"/>
        <v>292106000</v>
      </c>
      <c r="X39" s="479">
        <f t="shared" si="59"/>
        <v>435350800</v>
      </c>
      <c r="Y39" s="479">
        <f t="shared" si="59"/>
        <v>142022800</v>
      </c>
      <c r="Z39" s="480">
        <f t="shared" si="59"/>
        <v>142022800</v>
      </c>
      <c r="AA39" s="479">
        <f t="shared" si="59"/>
        <v>403136300</v>
      </c>
      <c r="AB39" s="479">
        <f t="shared" si="59"/>
        <v>1371411600</v>
      </c>
      <c r="AC39" s="481">
        <f t="shared" si="59"/>
        <v>1045920000</v>
      </c>
      <c r="AD39" s="473"/>
      <c r="AE39" s="469">
        <f t="shared" ref="AE39:AP39" si="60">AE40-AE38</f>
        <v>561443900</v>
      </c>
      <c r="AF39" s="470">
        <f t="shared" si="60"/>
        <v>559644900</v>
      </c>
      <c r="AG39" s="471">
        <f t="shared" si="60"/>
        <v>177423900</v>
      </c>
      <c r="AH39" s="470">
        <f t="shared" si="60"/>
        <v>111000000</v>
      </c>
      <c r="AI39" s="470">
        <f t="shared" si="60"/>
        <v>829799200</v>
      </c>
      <c r="AJ39" s="471">
        <f t="shared" si="60"/>
        <v>598620000</v>
      </c>
      <c r="AK39" s="470">
        <f t="shared" si="60"/>
        <v>484396300</v>
      </c>
      <c r="AL39" s="470">
        <f t="shared" si="60"/>
        <v>226379800</v>
      </c>
      <c r="AM39" s="471">
        <f t="shared" si="60"/>
        <v>231776800</v>
      </c>
      <c r="AN39" s="470">
        <f t="shared" si="60"/>
        <v>673576700</v>
      </c>
      <c r="AO39" s="470">
        <f t="shared" si="60"/>
        <v>1600875800</v>
      </c>
      <c r="AP39" s="472">
        <f t="shared" si="60"/>
        <v>1199892000</v>
      </c>
      <c r="AQ39" s="214"/>
      <c r="AR39" s="192"/>
      <c r="AS39" s="192"/>
      <c r="AT39" s="192"/>
      <c r="AU39" s="192"/>
      <c r="AV39" s="474"/>
      <c r="AW39" s="474"/>
      <c r="AX39" s="474"/>
      <c r="AY39" s="474"/>
      <c r="AZ39" s="474"/>
      <c r="BA39" s="474"/>
      <c r="BB39" s="417"/>
      <c r="BC39" s="417"/>
      <c r="BD39" s="417"/>
      <c r="BE39" s="417"/>
      <c r="BF39" s="353"/>
      <c r="BG39" s="354"/>
    </row>
    <row r="40" spans="1:59" ht="12.75" x14ac:dyDescent="0.2">
      <c r="A40" s="482" t="s">
        <v>188</v>
      </c>
      <c r="B40" s="483"/>
      <c r="C40" s="484"/>
      <c r="D40" s="452"/>
      <c r="E40" s="485">
        <f t="shared" ref="E40:T40" si="61">E32</f>
        <v>61250000</v>
      </c>
      <c r="F40" s="486">
        <f t="shared" si="61"/>
        <v>61250000</v>
      </c>
      <c r="G40" s="487">
        <f t="shared" si="61"/>
        <v>61250000</v>
      </c>
      <c r="H40" s="488">
        <f t="shared" si="61"/>
        <v>58750000</v>
      </c>
      <c r="I40" s="486">
        <f t="shared" si="61"/>
        <v>69750000</v>
      </c>
      <c r="J40" s="487">
        <f t="shared" si="61"/>
        <v>323190000</v>
      </c>
      <c r="K40" s="488">
        <f t="shared" si="61"/>
        <v>311690000</v>
      </c>
      <c r="L40" s="486">
        <f t="shared" si="61"/>
        <v>160750000</v>
      </c>
      <c r="M40" s="487">
        <f t="shared" si="61"/>
        <v>71250000</v>
      </c>
      <c r="N40" s="488">
        <f t="shared" si="61"/>
        <v>245506000</v>
      </c>
      <c r="O40" s="486">
        <f t="shared" si="61"/>
        <v>674018000</v>
      </c>
      <c r="P40" s="489">
        <f t="shared" si="61"/>
        <v>675018000</v>
      </c>
      <c r="Q40" s="453">
        <f t="shared" si="61"/>
        <v>0</v>
      </c>
      <c r="R40" s="485">
        <f t="shared" si="61"/>
        <v>150001600</v>
      </c>
      <c r="S40" s="486">
        <f t="shared" si="61"/>
        <v>382219600</v>
      </c>
      <c r="T40" s="487">
        <f t="shared" si="61"/>
        <v>151001600</v>
      </c>
      <c r="U40" s="488">
        <f>U32+V32</f>
        <v>57250000</v>
      </c>
      <c r="V40" s="486">
        <f>W32+X32</f>
        <v>285440800</v>
      </c>
      <c r="W40" s="487">
        <f>Y32+Z32</f>
        <v>359606000</v>
      </c>
      <c r="X40" s="488">
        <f t="shared" ref="X40:Z40" si="62">AA32</f>
        <v>484350800</v>
      </c>
      <c r="Y40" s="486">
        <f t="shared" si="62"/>
        <v>192022800</v>
      </c>
      <c r="Z40" s="487">
        <f t="shared" si="62"/>
        <v>192022800</v>
      </c>
      <c r="AA40" s="488">
        <f>AD32+AE32</f>
        <v>466636300</v>
      </c>
      <c r="AB40" s="486">
        <f>AF32+AG32</f>
        <v>1458411600</v>
      </c>
      <c r="AC40" s="489">
        <f>AH32+AI32</f>
        <v>1112420000</v>
      </c>
      <c r="AD40" s="490"/>
      <c r="AE40" s="485">
        <f t="shared" ref="AE40:AG40" si="63">AJ32</f>
        <v>635943900</v>
      </c>
      <c r="AF40" s="486">
        <f t="shared" si="63"/>
        <v>608644900</v>
      </c>
      <c r="AG40" s="487">
        <f t="shared" si="63"/>
        <v>227423900</v>
      </c>
      <c r="AH40" s="488">
        <f>AM32+AN32</f>
        <v>173500000</v>
      </c>
      <c r="AI40" s="486">
        <f>AO32+AP32</f>
        <v>893299200</v>
      </c>
      <c r="AJ40" s="487">
        <f>AQ32+AR32</f>
        <v>661120000</v>
      </c>
      <c r="AK40" s="488">
        <f t="shared" ref="AK40:AM40" si="64">AS32</f>
        <v>533396300</v>
      </c>
      <c r="AL40" s="486">
        <f t="shared" si="64"/>
        <v>276379800</v>
      </c>
      <c r="AM40" s="487">
        <f t="shared" si="64"/>
        <v>280776800</v>
      </c>
      <c r="AN40" s="488">
        <f>AV32+AW32</f>
        <v>735076700</v>
      </c>
      <c r="AO40" s="486">
        <f>AX32+AY32</f>
        <v>1662375800</v>
      </c>
      <c r="AP40" s="489">
        <f>AZ32+BA32</f>
        <v>1263392000</v>
      </c>
      <c r="AQ40" s="491"/>
      <c r="AR40" s="492"/>
      <c r="AS40" s="492"/>
      <c r="AT40" s="492"/>
      <c r="AU40" s="492"/>
      <c r="AV40" s="452"/>
      <c r="AW40" s="452"/>
      <c r="AX40" s="452"/>
      <c r="AY40" s="452"/>
      <c r="AZ40" s="452"/>
      <c r="BA40" s="452"/>
      <c r="BB40" s="426"/>
      <c r="BC40" s="426"/>
      <c r="BD40" s="426"/>
      <c r="BE40" s="426"/>
      <c r="BF40" s="353"/>
      <c r="BG40" s="354"/>
    </row>
    <row r="41" spans="1:59" ht="12.75" x14ac:dyDescent="0.2">
      <c r="A41" s="493"/>
      <c r="B41" s="224"/>
      <c r="C41" s="224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163"/>
      <c r="BC41" s="163"/>
      <c r="BD41" s="163"/>
      <c r="BE41" s="163"/>
      <c r="BF41" s="163"/>
      <c r="BG41" s="321"/>
    </row>
    <row r="42" spans="1:59" ht="12.75" x14ac:dyDescent="0.2">
      <c r="A42" s="494"/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2"/>
      <c r="AX42" s="232"/>
      <c r="AY42" s="232"/>
      <c r="AZ42" s="232"/>
      <c r="BA42" s="232"/>
      <c r="BB42" s="285"/>
      <c r="BC42" s="285"/>
      <c r="BD42" s="285"/>
      <c r="BE42" s="285"/>
      <c r="BF42" s="285"/>
      <c r="BG42" s="460"/>
    </row>
  </sheetData>
  <mergeCells count="32">
    <mergeCell ref="AE35:AP35"/>
    <mergeCell ref="AM2:AR2"/>
    <mergeCell ref="AS2:AU2"/>
    <mergeCell ref="A1:C3"/>
    <mergeCell ref="E1:P1"/>
    <mergeCell ref="R1:AI1"/>
    <mergeCell ref="AJ1:BA1"/>
    <mergeCell ref="E2:G2"/>
    <mergeCell ref="H2:J2"/>
    <mergeCell ref="K2:M2"/>
    <mergeCell ref="AV2:BA2"/>
    <mergeCell ref="N2:P2"/>
    <mergeCell ref="R2:T2"/>
    <mergeCell ref="U2:Z2"/>
    <mergeCell ref="AA2:AC2"/>
    <mergeCell ref="AD2:AI2"/>
    <mergeCell ref="AJ2:AL2"/>
    <mergeCell ref="AE36:AG36"/>
    <mergeCell ref="AH36:AJ36"/>
    <mergeCell ref="AK36:AM36"/>
    <mergeCell ref="AN36:AP36"/>
    <mergeCell ref="K36:M36"/>
    <mergeCell ref="N36:P36"/>
    <mergeCell ref="R36:T36"/>
    <mergeCell ref="U36:W36"/>
    <mergeCell ref="X36:Z36"/>
    <mergeCell ref="A35:C37"/>
    <mergeCell ref="E35:P35"/>
    <mergeCell ref="R35:AC35"/>
    <mergeCell ref="E36:G36"/>
    <mergeCell ref="H36:J36"/>
    <mergeCell ref="AA36:AC36"/>
  </mergeCells>
  <printOptions horizontalCentered="1" gridLines="1"/>
  <pageMargins left="0.25" right="0.25" top="0.75" bottom="0.75" header="0" footer="0"/>
  <pageSetup paperSize="9" pageOrder="overThenDown" orientation="landscape" cellComments="atEnd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9EEB"/>
    <outlinePr summaryBelow="0" summaryRight="0"/>
  </sheetPr>
  <dimension ref="A1:AT114"/>
  <sheetViews>
    <sheetView workbookViewId="0"/>
  </sheetViews>
  <sheetFormatPr defaultColWidth="12.5703125" defaultRowHeight="15.75" customHeight="1" x14ac:dyDescent="0.2"/>
  <cols>
    <col min="1" max="1" width="33.42578125" customWidth="1"/>
    <col min="4" max="4" width="12.5703125" hidden="1"/>
    <col min="30" max="30" width="12.5703125" hidden="1"/>
  </cols>
  <sheetData>
    <row r="1" spans="1:46" ht="12.75" x14ac:dyDescent="0.2">
      <c r="A1" s="1379"/>
      <c r="B1" s="1380"/>
      <c r="C1" s="1380"/>
      <c r="D1" s="259"/>
      <c r="E1" s="1376">
        <v>2025</v>
      </c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8"/>
      <c r="Q1" s="166"/>
      <c r="R1" s="1377">
        <v>2026</v>
      </c>
      <c r="S1" s="1367"/>
      <c r="T1" s="1367"/>
      <c r="U1" s="1367"/>
      <c r="V1" s="1367"/>
      <c r="W1" s="1367"/>
      <c r="X1" s="1367"/>
      <c r="Y1" s="1367"/>
      <c r="Z1" s="1367"/>
      <c r="AA1" s="1367"/>
      <c r="AB1" s="1367"/>
      <c r="AC1" s="1368"/>
      <c r="AD1" s="167"/>
      <c r="AE1" s="1376">
        <v>2027</v>
      </c>
      <c r="AF1" s="1367"/>
      <c r="AG1" s="1367"/>
      <c r="AH1" s="1367"/>
      <c r="AI1" s="1367"/>
      <c r="AJ1" s="1367"/>
      <c r="AK1" s="1367"/>
      <c r="AL1" s="1367"/>
      <c r="AM1" s="1367"/>
      <c r="AN1" s="1367"/>
      <c r="AO1" s="1367"/>
      <c r="AP1" s="1368"/>
      <c r="AQ1" s="495"/>
      <c r="AR1" s="496"/>
      <c r="AS1" s="496"/>
      <c r="AT1" s="319"/>
    </row>
    <row r="2" spans="1:46" ht="12.75" x14ac:dyDescent="0.2">
      <c r="A2" s="1381"/>
      <c r="B2" s="1343"/>
      <c r="C2" s="1343"/>
      <c r="D2" s="259"/>
      <c r="E2" s="1378" t="s">
        <v>118</v>
      </c>
      <c r="F2" s="1367"/>
      <c r="G2" s="1368"/>
      <c r="H2" s="1371" t="s">
        <v>119</v>
      </c>
      <c r="I2" s="1367"/>
      <c r="J2" s="1368"/>
      <c r="K2" s="1371" t="s">
        <v>120</v>
      </c>
      <c r="L2" s="1367"/>
      <c r="M2" s="1368"/>
      <c r="N2" s="1371" t="s">
        <v>121</v>
      </c>
      <c r="O2" s="1367"/>
      <c r="P2" s="1368"/>
      <c r="Q2" s="174"/>
      <c r="R2" s="1378" t="s">
        <v>118</v>
      </c>
      <c r="S2" s="1367"/>
      <c r="T2" s="1368"/>
      <c r="U2" s="1371" t="s">
        <v>119</v>
      </c>
      <c r="V2" s="1367"/>
      <c r="W2" s="1368"/>
      <c r="X2" s="1371" t="s">
        <v>120</v>
      </c>
      <c r="Y2" s="1367"/>
      <c r="Z2" s="1368"/>
      <c r="AA2" s="1371" t="s">
        <v>121</v>
      </c>
      <c r="AB2" s="1367"/>
      <c r="AC2" s="1368"/>
      <c r="AD2" s="174"/>
      <c r="AE2" s="1378" t="s">
        <v>118</v>
      </c>
      <c r="AF2" s="1367"/>
      <c r="AG2" s="1368"/>
      <c r="AH2" s="1371" t="s">
        <v>119</v>
      </c>
      <c r="AI2" s="1367"/>
      <c r="AJ2" s="1368"/>
      <c r="AK2" s="1371" t="s">
        <v>120</v>
      </c>
      <c r="AL2" s="1367"/>
      <c r="AM2" s="1368"/>
      <c r="AN2" s="1371" t="s">
        <v>121</v>
      </c>
      <c r="AO2" s="1367"/>
      <c r="AP2" s="1368"/>
      <c r="AQ2" s="497"/>
      <c r="AR2" s="498"/>
      <c r="AS2" s="498"/>
      <c r="AT2" s="321"/>
    </row>
    <row r="3" spans="1:46" ht="15.75" customHeight="1" x14ac:dyDescent="0.25">
      <c r="A3" s="1416"/>
      <c r="B3" s="1417"/>
      <c r="C3" s="1417"/>
      <c r="D3" s="327"/>
      <c r="E3" s="327">
        <v>1</v>
      </c>
      <c r="F3" s="499">
        <v>2</v>
      </c>
      <c r="G3" s="499">
        <v>3</v>
      </c>
      <c r="H3" s="499">
        <v>4</v>
      </c>
      <c r="I3" s="499">
        <v>5</v>
      </c>
      <c r="J3" s="499">
        <v>6</v>
      </c>
      <c r="K3" s="499">
        <v>7</v>
      </c>
      <c r="L3" s="499">
        <v>8</v>
      </c>
      <c r="M3" s="499">
        <v>9</v>
      </c>
      <c r="N3" s="499">
        <v>10</v>
      </c>
      <c r="O3" s="499">
        <v>11</v>
      </c>
      <c r="P3" s="499">
        <v>12</v>
      </c>
      <c r="Q3" s="499"/>
      <c r="R3" s="499">
        <v>1</v>
      </c>
      <c r="S3" s="499">
        <v>2</v>
      </c>
      <c r="T3" s="499">
        <v>3</v>
      </c>
      <c r="U3" s="499">
        <v>4</v>
      </c>
      <c r="V3" s="499">
        <v>5</v>
      </c>
      <c r="W3" s="499">
        <v>6</v>
      </c>
      <c r="X3" s="499">
        <v>7</v>
      </c>
      <c r="Y3" s="499">
        <v>8</v>
      </c>
      <c r="Z3" s="499">
        <v>9</v>
      </c>
      <c r="AA3" s="499">
        <v>10</v>
      </c>
      <c r="AB3" s="499">
        <v>11</v>
      </c>
      <c r="AC3" s="499">
        <v>12</v>
      </c>
      <c r="AD3" s="499"/>
      <c r="AE3" s="500">
        <v>1</v>
      </c>
      <c r="AF3" s="501">
        <v>2</v>
      </c>
      <c r="AG3" s="501">
        <v>3</v>
      </c>
      <c r="AH3" s="501">
        <v>4</v>
      </c>
      <c r="AI3" s="501">
        <v>5</v>
      </c>
      <c r="AJ3" s="501">
        <v>6</v>
      </c>
      <c r="AK3" s="501">
        <v>7</v>
      </c>
      <c r="AL3" s="501">
        <v>8</v>
      </c>
      <c r="AM3" s="501">
        <v>9</v>
      </c>
      <c r="AN3" s="501">
        <v>10</v>
      </c>
      <c r="AO3" s="501">
        <v>11</v>
      </c>
      <c r="AP3" s="502">
        <v>12</v>
      </c>
      <c r="AQ3" s="503"/>
      <c r="AR3" s="504"/>
      <c r="AS3" s="504"/>
      <c r="AT3" s="321"/>
    </row>
    <row r="4" spans="1:46" ht="12.75" x14ac:dyDescent="0.2">
      <c r="A4" s="505"/>
      <c r="B4" s="506"/>
      <c r="C4" s="506"/>
      <c r="D4" s="506"/>
      <c r="E4" s="506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  <c r="X4" s="507"/>
      <c r="Y4" s="507"/>
      <c r="Z4" s="507"/>
      <c r="AA4" s="507"/>
      <c r="AB4" s="507"/>
      <c r="AC4" s="507"/>
      <c r="AD4" s="507"/>
      <c r="AE4" s="507"/>
      <c r="AF4" s="507"/>
      <c r="AG4" s="507"/>
      <c r="AH4" s="507"/>
      <c r="AI4" s="507"/>
      <c r="AJ4" s="507"/>
      <c r="AK4" s="507"/>
      <c r="AL4" s="507"/>
      <c r="AM4" s="507"/>
      <c r="AN4" s="507"/>
      <c r="AO4" s="507"/>
      <c r="AP4" s="507"/>
      <c r="AQ4" s="508"/>
      <c r="AR4" s="353"/>
      <c r="AS4" s="353"/>
      <c r="AT4" s="321"/>
    </row>
    <row r="5" spans="1:46" ht="15.75" customHeight="1" x14ac:dyDescent="0.25">
      <c r="A5" s="509" t="s">
        <v>192</v>
      </c>
      <c r="B5" s="510"/>
      <c r="C5" s="510"/>
      <c r="D5" s="510"/>
      <c r="E5" s="511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  <c r="AB5" s="512"/>
      <c r="AC5" s="512"/>
      <c r="AD5" s="512"/>
      <c r="AE5" s="512"/>
      <c r="AF5" s="512"/>
      <c r="AG5" s="512"/>
      <c r="AH5" s="512"/>
      <c r="AI5" s="512"/>
      <c r="AJ5" s="512"/>
      <c r="AK5" s="512"/>
      <c r="AL5" s="512"/>
      <c r="AM5" s="512"/>
      <c r="AN5" s="512"/>
      <c r="AO5" s="512"/>
      <c r="AP5" s="512"/>
      <c r="AQ5" s="508"/>
      <c r="AR5" s="353"/>
      <c r="AS5" s="353"/>
      <c r="AT5" s="321"/>
    </row>
    <row r="6" spans="1:46" ht="15.75" customHeight="1" x14ac:dyDescent="0.25">
      <c r="A6" s="513" t="s">
        <v>193</v>
      </c>
      <c r="B6" s="514"/>
      <c r="C6" s="515">
        <f>SUM(C7:C8)</f>
        <v>140</v>
      </c>
      <c r="D6" s="516"/>
      <c r="E6" s="515">
        <f t="shared" ref="E6:P6" si="0">SUM(E7:E8)</f>
        <v>0</v>
      </c>
      <c r="F6" s="515">
        <f t="shared" si="0"/>
        <v>0</v>
      </c>
      <c r="G6" s="515">
        <f t="shared" si="0"/>
        <v>0</v>
      </c>
      <c r="H6" s="515">
        <f t="shared" si="0"/>
        <v>0</v>
      </c>
      <c r="I6" s="515">
        <f t="shared" si="0"/>
        <v>0</v>
      </c>
      <c r="J6" s="515">
        <f t="shared" si="0"/>
        <v>0</v>
      </c>
      <c r="K6" s="515">
        <f t="shared" si="0"/>
        <v>0</v>
      </c>
      <c r="L6" s="515">
        <f t="shared" si="0"/>
        <v>90</v>
      </c>
      <c r="M6" s="515">
        <f t="shared" si="0"/>
        <v>90</v>
      </c>
      <c r="N6" s="515">
        <f t="shared" si="0"/>
        <v>95</v>
      </c>
      <c r="O6" s="515">
        <f t="shared" si="0"/>
        <v>95</v>
      </c>
      <c r="P6" s="517">
        <f t="shared" si="0"/>
        <v>95</v>
      </c>
      <c r="Q6" s="515"/>
      <c r="R6" s="518">
        <f t="shared" ref="R6:AC6" si="1">SUM(R7:R8)</f>
        <v>64</v>
      </c>
      <c r="S6" s="515">
        <f t="shared" si="1"/>
        <v>64</v>
      </c>
      <c r="T6" s="515">
        <f t="shared" si="1"/>
        <v>64</v>
      </c>
      <c r="U6" s="515">
        <f t="shared" si="1"/>
        <v>96</v>
      </c>
      <c r="V6" s="515">
        <f t="shared" si="1"/>
        <v>96</v>
      </c>
      <c r="W6" s="515">
        <f t="shared" si="1"/>
        <v>96</v>
      </c>
      <c r="X6" s="515">
        <f t="shared" si="1"/>
        <v>92</v>
      </c>
      <c r="Y6" s="515">
        <f t="shared" si="1"/>
        <v>92</v>
      </c>
      <c r="Z6" s="515">
        <f t="shared" si="1"/>
        <v>92</v>
      </c>
      <c r="AA6" s="515">
        <f t="shared" si="1"/>
        <v>97</v>
      </c>
      <c r="AB6" s="515">
        <f t="shared" si="1"/>
        <v>102</v>
      </c>
      <c r="AC6" s="517">
        <f t="shared" si="1"/>
        <v>107</v>
      </c>
      <c r="AD6" s="515"/>
      <c r="AE6" s="518">
        <f t="shared" ref="AE6:AP6" si="2">SUM(AE7:AE8)</f>
        <v>121</v>
      </c>
      <c r="AF6" s="515">
        <f t="shared" si="2"/>
        <v>111</v>
      </c>
      <c r="AG6" s="515">
        <f t="shared" si="2"/>
        <v>111</v>
      </c>
      <c r="AH6" s="515">
        <f t="shared" si="2"/>
        <v>162</v>
      </c>
      <c r="AI6" s="515">
        <f t="shared" si="2"/>
        <v>162</v>
      </c>
      <c r="AJ6" s="515">
        <f t="shared" si="2"/>
        <v>162</v>
      </c>
      <c r="AK6" s="515">
        <f t="shared" si="2"/>
        <v>152</v>
      </c>
      <c r="AL6" s="515">
        <f t="shared" si="2"/>
        <v>152</v>
      </c>
      <c r="AM6" s="515">
        <f t="shared" si="2"/>
        <v>152</v>
      </c>
      <c r="AN6" s="515">
        <f t="shared" si="2"/>
        <v>173</v>
      </c>
      <c r="AO6" s="515">
        <f t="shared" si="2"/>
        <v>181</v>
      </c>
      <c r="AP6" s="519">
        <f t="shared" si="2"/>
        <v>189</v>
      </c>
      <c r="AQ6" s="416"/>
      <c r="AR6" s="417"/>
      <c r="AS6" s="417"/>
      <c r="AT6" s="321"/>
    </row>
    <row r="7" spans="1:46" ht="12.75" x14ac:dyDescent="0.2">
      <c r="A7" s="520"/>
      <c r="B7" s="259" t="s">
        <v>123</v>
      </c>
      <c r="C7" s="521">
        <v>90</v>
      </c>
      <c r="D7" s="522">
        <f t="shared" ref="D7:D8" si="3">C7</f>
        <v>90</v>
      </c>
      <c r="E7" s="199">
        <v>0</v>
      </c>
      <c r="F7" s="199">
        <v>0</v>
      </c>
      <c r="G7" s="199">
        <v>0</v>
      </c>
      <c r="H7" s="199">
        <v>0</v>
      </c>
      <c r="I7" s="199">
        <v>0</v>
      </c>
      <c r="J7" s="199">
        <v>0</v>
      </c>
      <c r="K7" s="199">
        <v>0</v>
      </c>
      <c r="L7" s="199">
        <v>90</v>
      </c>
      <c r="M7" s="199">
        <v>90</v>
      </c>
      <c r="N7" s="199">
        <v>95</v>
      </c>
      <c r="O7" s="199">
        <v>95</v>
      </c>
      <c r="P7" s="522">
        <v>95</v>
      </c>
      <c r="Q7" s="199"/>
      <c r="R7" s="523">
        <v>64</v>
      </c>
      <c r="S7" s="199">
        <v>64</v>
      </c>
      <c r="T7" s="199">
        <v>64</v>
      </c>
      <c r="U7" s="199">
        <v>96</v>
      </c>
      <c r="V7" s="199">
        <v>96</v>
      </c>
      <c r="W7" s="199">
        <v>96</v>
      </c>
      <c r="X7" s="199">
        <v>92</v>
      </c>
      <c r="Y7" s="199">
        <v>92</v>
      </c>
      <c r="Z7" s="199">
        <v>92</v>
      </c>
      <c r="AA7" s="199">
        <v>97</v>
      </c>
      <c r="AB7" s="199">
        <v>102</v>
      </c>
      <c r="AC7" s="522">
        <v>107</v>
      </c>
      <c r="AD7" s="199"/>
      <c r="AE7" s="523">
        <v>71</v>
      </c>
      <c r="AF7" s="199">
        <v>71</v>
      </c>
      <c r="AG7" s="199">
        <v>71</v>
      </c>
      <c r="AH7" s="199">
        <v>107</v>
      </c>
      <c r="AI7" s="199">
        <v>107</v>
      </c>
      <c r="AJ7" s="199">
        <v>107</v>
      </c>
      <c r="AK7" s="199">
        <v>98</v>
      </c>
      <c r="AL7" s="199">
        <v>98</v>
      </c>
      <c r="AM7" s="199">
        <v>98</v>
      </c>
      <c r="AN7" s="199">
        <v>116</v>
      </c>
      <c r="AO7" s="199">
        <v>121</v>
      </c>
      <c r="AP7" s="524">
        <v>126</v>
      </c>
      <c r="AQ7" s="416"/>
      <c r="AR7" s="417"/>
      <c r="AS7" s="417"/>
      <c r="AT7" s="321"/>
    </row>
    <row r="8" spans="1:46" ht="12.75" x14ac:dyDescent="0.2">
      <c r="A8" s="525"/>
      <c r="B8" s="526" t="s">
        <v>124</v>
      </c>
      <c r="C8" s="527">
        <v>50</v>
      </c>
      <c r="D8" s="528">
        <f t="shared" si="3"/>
        <v>50</v>
      </c>
      <c r="E8" s="206">
        <v>0</v>
      </c>
      <c r="F8" s="206">
        <v>0</v>
      </c>
      <c r="G8" s="206">
        <v>0</v>
      </c>
      <c r="H8" s="206">
        <v>0</v>
      </c>
      <c r="I8" s="206">
        <v>0</v>
      </c>
      <c r="J8" s="206">
        <v>0</v>
      </c>
      <c r="K8" s="206">
        <v>0</v>
      </c>
      <c r="L8" s="206">
        <v>0</v>
      </c>
      <c r="M8" s="206">
        <v>0</v>
      </c>
      <c r="N8" s="206">
        <v>0</v>
      </c>
      <c r="O8" s="206">
        <v>0</v>
      </c>
      <c r="P8" s="528">
        <v>0</v>
      </c>
      <c r="Q8" s="206"/>
      <c r="R8" s="529">
        <v>0</v>
      </c>
      <c r="S8" s="206">
        <v>0</v>
      </c>
      <c r="T8" s="206">
        <v>0</v>
      </c>
      <c r="U8" s="206">
        <v>0</v>
      </c>
      <c r="V8" s="206">
        <v>0</v>
      </c>
      <c r="W8" s="206">
        <v>0</v>
      </c>
      <c r="X8" s="206">
        <v>0</v>
      </c>
      <c r="Y8" s="206">
        <v>0</v>
      </c>
      <c r="Z8" s="206">
        <v>0</v>
      </c>
      <c r="AA8" s="206">
        <v>0</v>
      </c>
      <c r="AB8" s="206">
        <v>0</v>
      </c>
      <c r="AC8" s="528">
        <v>0</v>
      </c>
      <c r="AD8" s="206"/>
      <c r="AE8" s="529">
        <v>50</v>
      </c>
      <c r="AF8" s="206">
        <v>40</v>
      </c>
      <c r="AG8" s="206">
        <v>40</v>
      </c>
      <c r="AH8" s="206">
        <v>55</v>
      </c>
      <c r="AI8" s="206">
        <v>55</v>
      </c>
      <c r="AJ8" s="206">
        <v>55</v>
      </c>
      <c r="AK8" s="206">
        <v>54</v>
      </c>
      <c r="AL8" s="206">
        <v>54</v>
      </c>
      <c r="AM8" s="206">
        <v>54</v>
      </c>
      <c r="AN8" s="206">
        <v>57</v>
      </c>
      <c r="AO8" s="206">
        <v>60</v>
      </c>
      <c r="AP8" s="530">
        <v>63</v>
      </c>
      <c r="AQ8" s="416"/>
      <c r="AR8" s="417"/>
      <c r="AS8" s="417"/>
      <c r="AT8" s="321"/>
    </row>
    <row r="9" spans="1:46" ht="15.75" customHeight="1" x14ac:dyDescent="0.25">
      <c r="A9" s="531" t="s">
        <v>194</v>
      </c>
      <c r="B9" s="532"/>
      <c r="C9" s="533"/>
      <c r="D9" s="534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4"/>
      <c r="Q9" s="533"/>
      <c r="R9" s="535"/>
      <c r="S9" s="536"/>
      <c r="T9" s="536"/>
      <c r="U9" s="536"/>
      <c r="V9" s="536"/>
      <c r="W9" s="536"/>
      <c r="X9" s="536"/>
      <c r="Y9" s="536"/>
      <c r="Z9" s="536"/>
      <c r="AA9" s="536"/>
      <c r="AB9" s="536"/>
      <c r="AC9" s="537"/>
      <c r="AD9" s="536"/>
      <c r="AE9" s="538"/>
      <c r="AF9" s="539"/>
      <c r="AG9" s="539"/>
      <c r="AH9" s="539"/>
      <c r="AI9" s="539"/>
      <c r="AJ9" s="536"/>
      <c r="AK9" s="536"/>
      <c r="AL9" s="536"/>
      <c r="AM9" s="536"/>
      <c r="AN9" s="536"/>
      <c r="AO9" s="536"/>
      <c r="AP9" s="540"/>
      <c r="AQ9" s="397"/>
      <c r="AR9" s="398"/>
      <c r="AS9" s="398"/>
      <c r="AT9" s="399"/>
    </row>
    <row r="10" spans="1:46" ht="12.75" x14ac:dyDescent="0.2">
      <c r="A10" s="541" t="s">
        <v>195</v>
      </c>
      <c r="B10" s="534" t="s">
        <v>123</v>
      </c>
      <c r="C10" s="542"/>
      <c r="D10" s="543"/>
      <c r="E10" s="544">
        <f t="shared" ref="E10:AP10" si="4">D10+E13</f>
        <v>-1</v>
      </c>
      <c r="F10" s="544">
        <f t="shared" si="4"/>
        <v>-1</v>
      </c>
      <c r="G10" s="544">
        <f t="shared" si="4"/>
        <v>-1</v>
      </c>
      <c r="H10" s="544">
        <f t="shared" si="4"/>
        <v>-1</v>
      </c>
      <c r="I10" s="544">
        <f t="shared" si="4"/>
        <v>-1</v>
      </c>
      <c r="J10" s="544">
        <f t="shared" si="4"/>
        <v>-1</v>
      </c>
      <c r="K10" s="544">
        <f t="shared" si="4"/>
        <v>-1</v>
      </c>
      <c r="L10" s="544">
        <f t="shared" si="4"/>
        <v>0</v>
      </c>
      <c r="M10" s="544">
        <f t="shared" si="4"/>
        <v>0</v>
      </c>
      <c r="N10" s="544">
        <f t="shared" si="4"/>
        <v>0.05</v>
      </c>
      <c r="O10" s="544">
        <f t="shared" si="4"/>
        <v>0.05</v>
      </c>
      <c r="P10" s="545">
        <f t="shared" si="4"/>
        <v>0.05</v>
      </c>
      <c r="Q10" s="544">
        <f t="shared" si="4"/>
        <v>0.05</v>
      </c>
      <c r="R10" s="546">
        <f t="shared" si="4"/>
        <v>-0.3</v>
      </c>
      <c r="S10" s="378">
        <f t="shared" si="4"/>
        <v>-0.3</v>
      </c>
      <c r="T10" s="378">
        <f t="shared" si="4"/>
        <v>-0.3</v>
      </c>
      <c r="U10" s="378">
        <f t="shared" si="4"/>
        <v>4.9999999999999989E-2</v>
      </c>
      <c r="V10" s="378">
        <f t="shared" si="4"/>
        <v>4.9999999999999989E-2</v>
      </c>
      <c r="W10" s="378">
        <f t="shared" si="4"/>
        <v>4.9999999999999989E-2</v>
      </c>
      <c r="X10" s="378">
        <f t="shared" si="4"/>
        <v>0</v>
      </c>
      <c r="Y10" s="378">
        <f t="shared" si="4"/>
        <v>0</v>
      </c>
      <c r="Z10" s="378">
        <f t="shared" si="4"/>
        <v>0</v>
      </c>
      <c r="AA10" s="378">
        <f t="shared" si="4"/>
        <v>0.05</v>
      </c>
      <c r="AB10" s="378">
        <f t="shared" si="4"/>
        <v>0.1</v>
      </c>
      <c r="AC10" s="547">
        <f t="shared" si="4"/>
        <v>0.15000000000000002</v>
      </c>
      <c r="AD10" s="378">
        <f t="shared" si="4"/>
        <v>0.15000000000000002</v>
      </c>
      <c r="AE10" s="546">
        <f t="shared" si="4"/>
        <v>-0.25</v>
      </c>
      <c r="AF10" s="378">
        <f t="shared" si="4"/>
        <v>-0.25</v>
      </c>
      <c r="AG10" s="378">
        <f t="shared" si="4"/>
        <v>-0.25</v>
      </c>
      <c r="AH10" s="378">
        <f t="shared" si="4"/>
        <v>0.15000000000000002</v>
      </c>
      <c r="AI10" s="378">
        <f t="shared" si="4"/>
        <v>0.15000000000000002</v>
      </c>
      <c r="AJ10" s="378">
        <f t="shared" si="4"/>
        <v>0.15000000000000002</v>
      </c>
      <c r="AK10" s="378">
        <f t="shared" si="4"/>
        <v>5.0000000000000017E-2</v>
      </c>
      <c r="AL10" s="378">
        <f t="shared" si="4"/>
        <v>5.0000000000000017E-2</v>
      </c>
      <c r="AM10" s="378">
        <f t="shared" si="4"/>
        <v>5.0000000000000017E-2</v>
      </c>
      <c r="AN10" s="378">
        <f t="shared" si="4"/>
        <v>0.25</v>
      </c>
      <c r="AO10" s="378">
        <f t="shared" si="4"/>
        <v>0.3</v>
      </c>
      <c r="AP10" s="548">
        <f t="shared" si="4"/>
        <v>0.35</v>
      </c>
      <c r="AQ10" s="448"/>
      <c r="AR10" s="449"/>
      <c r="AS10" s="449"/>
      <c r="AT10" s="399"/>
    </row>
    <row r="11" spans="1:46" ht="12.75" x14ac:dyDescent="0.2">
      <c r="A11" s="549"/>
      <c r="B11" s="550" t="s">
        <v>124</v>
      </c>
      <c r="C11" s="551"/>
      <c r="D11" s="552"/>
      <c r="E11" s="553">
        <f t="shared" ref="E11:AP11" si="5">D11+E14</f>
        <v>-1</v>
      </c>
      <c r="F11" s="553">
        <f t="shared" si="5"/>
        <v>-1</v>
      </c>
      <c r="G11" s="553">
        <f t="shared" si="5"/>
        <v>-1</v>
      </c>
      <c r="H11" s="553">
        <f t="shared" si="5"/>
        <v>-1</v>
      </c>
      <c r="I11" s="553">
        <f t="shared" si="5"/>
        <v>-1</v>
      </c>
      <c r="J11" s="553">
        <f t="shared" si="5"/>
        <v>-1</v>
      </c>
      <c r="K11" s="553">
        <f t="shared" si="5"/>
        <v>-1</v>
      </c>
      <c r="L11" s="553">
        <f t="shared" si="5"/>
        <v>-1</v>
      </c>
      <c r="M11" s="553">
        <f t="shared" si="5"/>
        <v>-1</v>
      </c>
      <c r="N11" s="553">
        <f t="shared" si="5"/>
        <v>-1</v>
      </c>
      <c r="O11" s="553">
        <f t="shared" si="5"/>
        <v>-1</v>
      </c>
      <c r="P11" s="554">
        <f t="shared" si="5"/>
        <v>-1</v>
      </c>
      <c r="Q11" s="553">
        <f t="shared" si="5"/>
        <v>-1</v>
      </c>
      <c r="R11" s="555">
        <f t="shared" si="5"/>
        <v>-1</v>
      </c>
      <c r="S11" s="556">
        <f t="shared" si="5"/>
        <v>-1</v>
      </c>
      <c r="T11" s="556">
        <f t="shared" si="5"/>
        <v>-1</v>
      </c>
      <c r="U11" s="556">
        <f t="shared" si="5"/>
        <v>-1</v>
      </c>
      <c r="V11" s="556">
        <f t="shared" si="5"/>
        <v>-1</v>
      </c>
      <c r="W11" s="556">
        <f t="shared" si="5"/>
        <v>-1</v>
      </c>
      <c r="X11" s="556">
        <f t="shared" si="5"/>
        <v>-1</v>
      </c>
      <c r="Y11" s="556">
        <f t="shared" si="5"/>
        <v>-1</v>
      </c>
      <c r="Z11" s="556">
        <f t="shared" si="5"/>
        <v>-1</v>
      </c>
      <c r="AA11" s="556">
        <f t="shared" si="5"/>
        <v>-1</v>
      </c>
      <c r="AB11" s="556">
        <f t="shared" si="5"/>
        <v>-1</v>
      </c>
      <c r="AC11" s="557">
        <f t="shared" si="5"/>
        <v>-1</v>
      </c>
      <c r="AD11" s="556">
        <f t="shared" si="5"/>
        <v>-1</v>
      </c>
      <c r="AE11" s="555">
        <f t="shared" si="5"/>
        <v>0</v>
      </c>
      <c r="AF11" s="556">
        <f t="shared" si="5"/>
        <v>-0.2</v>
      </c>
      <c r="AG11" s="556">
        <f t="shared" si="5"/>
        <v>-0.2</v>
      </c>
      <c r="AH11" s="556">
        <f t="shared" si="5"/>
        <v>9.9999999999999978E-2</v>
      </c>
      <c r="AI11" s="556">
        <f t="shared" si="5"/>
        <v>9.9999999999999978E-2</v>
      </c>
      <c r="AJ11" s="556">
        <f t="shared" si="5"/>
        <v>9.9999999999999978E-2</v>
      </c>
      <c r="AK11" s="556">
        <f t="shared" si="5"/>
        <v>7.9999999999999974E-2</v>
      </c>
      <c r="AL11" s="556">
        <f t="shared" si="5"/>
        <v>7.9999999999999974E-2</v>
      </c>
      <c r="AM11" s="556">
        <f t="shared" si="5"/>
        <v>7.9999999999999974E-2</v>
      </c>
      <c r="AN11" s="556">
        <f t="shared" si="5"/>
        <v>0.12999999999999998</v>
      </c>
      <c r="AO11" s="556">
        <f t="shared" si="5"/>
        <v>0.18</v>
      </c>
      <c r="AP11" s="558">
        <f t="shared" si="5"/>
        <v>0.22999999999999998</v>
      </c>
      <c r="AQ11" s="448"/>
      <c r="AR11" s="449"/>
      <c r="AS11" s="449"/>
      <c r="AT11" s="399"/>
    </row>
    <row r="12" spans="1:46" ht="15.75" customHeight="1" x14ac:dyDescent="0.25">
      <c r="A12" s="559" t="s">
        <v>196</v>
      </c>
      <c r="B12" s="560"/>
      <c r="C12" s="533"/>
      <c r="D12" s="534"/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4"/>
      <c r="Q12" s="533"/>
      <c r="R12" s="535"/>
      <c r="S12" s="536"/>
      <c r="T12" s="536"/>
      <c r="U12" s="536"/>
      <c r="V12" s="536"/>
      <c r="W12" s="536"/>
      <c r="X12" s="536"/>
      <c r="Y12" s="536"/>
      <c r="Z12" s="536"/>
      <c r="AA12" s="536"/>
      <c r="AB12" s="536"/>
      <c r="AC12" s="537"/>
      <c r="AD12" s="536"/>
      <c r="AE12" s="535"/>
      <c r="AF12" s="536"/>
      <c r="AG12" s="536"/>
      <c r="AH12" s="536"/>
      <c r="AI12" s="536"/>
      <c r="AJ12" s="536"/>
      <c r="AK12" s="536"/>
      <c r="AL12" s="536"/>
      <c r="AM12" s="536"/>
      <c r="AN12" s="536"/>
      <c r="AO12" s="536"/>
      <c r="AP12" s="540"/>
      <c r="AQ12" s="397"/>
      <c r="AR12" s="398"/>
      <c r="AS12" s="398"/>
      <c r="AT12" s="399"/>
    </row>
    <row r="13" spans="1:46" ht="12.75" x14ac:dyDescent="0.2">
      <c r="A13" s="561" t="s">
        <v>197</v>
      </c>
      <c r="B13" s="534" t="s">
        <v>123</v>
      </c>
      <c r="C13" s="542"/>
      <c r="D13" s="543"/>
      <c r="E13" s="544">
        <v>-1</v>
      </c>
      <c r="F13" s="544">
        <v>0</v>
      </c>
      <c r="G13" s="544">
        <v>0</v>
      </c>
      <c r="H13" s="544">
        <v>0</v>
      </c>
      <c r="I13" s="544">
        <v>0</v>
      </c>
      <c r="J13" s="544">
        <v>0</v>
      </c>
      <c r="K13" s="544">
        <v>0</v>
      </c>
      <c r="L13" s="544">
        <v>1</v>
      </c>
      <c r="M13" s="544">
        <v>0</v>
      </c>
      <c r="N13" s="544">
        <v>0.05</v>
      </c>
      <c r="O13" s="544">
        <v>0</v>
      </c>
      <c r="P13" s="545">
        <v>0</v>
      </c>
      <c r="Q13" s="544"/>
      <c r="R13" s="546">
        <v>-0.35</v>
      </c>
      <c r="S13" s="378">
        <v>0</v>
      </c>
      <c r="T13" s="378">
        <v>0</v>
      </c>
      <c r="U13" s="378">
        <v>0.35</v>
      </c>
      <c r="V13" s="378">
        <v>0</v>
      </c>
      <c r="W13" s="378">
        <v>0</v>
      </c>
      <c r="X13" s="378">
        <v>-0.05</v>
      </c>
      <c r="Y13" s="378">
        <v>0</v>
      </c>
      <c r="Z13" s="378">
        <v>0</v>
      </c>
      <c r="AA13" s="378">
        <v>0.05</v>
      </c>
      <c r="AB13" s="378">
        <v>0.05</v>
      </c>
      <c r="AC13" s="547">
        <v>0.05</v>
      </c>
      <c r="AD13" s="378"/>
      <c r="AE13" s="546">
        <v>-0.4</v>
      </c>
      <c r="AF13" s="378">
        <v>0</v>
      </c>
      <c r="AG13" s="378">
        <v>0</v>
      </c>
      <c r="AH13" s="378">
        <v>0.4</v>
      </c>
      <c r="AI13" s="378">
        <v>0</v>
      </c>
      <c r="AJ13" s="378">
        <v>0</v>
      </c>
      <c r="AK13" s="378">
        <v>-0.1</v>
      </c>
      <c r="AL13" s="378">
        <v>0</v>
      </c>
      <c r="AM13" s="378">
        <v>0</v>
      </c>
      <c r="AN13" s="378">
        <v>0.2</v>
      </c>
      <c r="AO13" s="378">
        <v>0.05</v>
      </c>
      <c r="AP13" s="548">
        <v>0.05</v>
      </c>
      <c r="AQ13" s="448"/>
      <c r="AR13" s="449"/>
      <c r="AS13" s="449"/>
      <c r="AT13" s="399"/>
    </row>
    <row r="14" spans="1:46" ht="12.75" x14ac:dyDescent="0.2">
      <c r="A14" s="562"/>
      <c r="B14" s="563" t="s">
        <v>124</v>
      </c>
      <c r="C14" s="564"/>
      <c r="D14" s="565"/>
      <c r="E14" s="566">
        <v>-1</v>
      </c>
      <c r="F14" s="566">
        <v>0</v>
      </c>
      <c r="G14" s="566">
        <v>0</v>
      </c>
      <c r="H14" s="566">
        <v>0</v>
      </c>
      <c r="I14" s="566">
        <v>0</v>
      </c>
      <c r="J14" s="566">
        <v>0</v>
      </c>
      <c r="K14" s="566">
        <v>0</v>
      </c>
      <c r="L14" s="566">
        <v>0</v>
      </c>
      <c r="M14" s="566">
        <v>0</v>
      </c>
      <c r="N14" s="566">
        <v>0</v>
      </c>
      <c r="O14" s="566">
        <v>0</v>
      </c>
      <c r="P14" s="567">
        <v>0</v>
      </c>
      <c r="Q14" s="566"/>
      <c r="R14" s="568">
        <v>0</v>
      </c>
      <c r="S14" s="569">
        <v>0</v>
      </c>
      <c r="T14" s="569">
        <v>0</v>
      </c>
      <c r="U14" s="569">
        <v>0</v>
      </c>
      <c r="V14" s="569">
        <v>0</v>
      </c>
      <c r="W14" s="569">
        <v>0</v>
      </c>
      <c r="X14" s="569">
        <v>0</v>
      </c>
      <c r="Y14" s="569">
        <v>0</v>
      </c>
      <c r="Z14" s="569">
        <v>0</v>
      </c>
      <c r="AA14" s="569">
        <v>0</v>
      </c>
      <c r="AB14" s="569">
        <v>0</v>
      </c>
      <c r="AC14" s="570">
        <v>0</v>
      </c>
      <c r="AD14" s="569"/>
      <c r="AE14" s="568">
        <v>1</v>
      </c>
      <c r="AF14" s="569">
        <v>-0.2</v>
      </c>
      <c r="AG14" s="569">
        <v>0</v>
      </c>
      <c r="AH14" s="569">
        <v>0.3</v>
      </c>
      <c r="AI14" s="569">
        <v>0</v>
      </c>
      <c r="AJ14" s="569">
        <v>0</v>
      </c>
      <c r="AK14" s="569">
        <v>-0.02</v>
      </c>
      <c r="AL14" s="569">
        <v>0</v>
      </c>
      <c r="AM14" s="569">
        <v>0</v>
      </c>
      <c r="AN14" s="569">
        <v>0.05</v>
      </c>
      <c r="AO14" s="569">
        <v>0.05</v>
      </c>
      <c r="AP14" s="571">
        <v>0.05</v>
      </c>
      <c r="AQ14" s="448"/>
      <c r="AR14" s="449"/>
      <c r="AS14" s="449"/>
      <c r="AT14" s="399"/>
    </row>
    <row r="15" spans="1:46" ht="12.75" x14ac:dyDescent="0.2">
      <c r="A15" s="572"/>
      <c r="B15" s="573"/>
      <c r="C15" s="573"/>
      <c r="D15" s="573"/>
      <c r="E15" s="574"/>
      <c r="F15" s="574"/>
      <c r="G15" s="574"/>
      <c r="H15" s="574"/>
      <c r="I15" s="574"/>
      <c r="J15" s="574"/>
      <c r="K15" s="574"/>
      <c r="L15" s="574"/>
      <c r="M15" s="574"/>
      <c r="N15" s="574"/>
      <c r="O15" s="574"/>
      <c r="P15" s="574"/>
      <c r="Q15" s="574"/>
      <c r="R15" s="575"/>
      <c r="S15" s="575"/>
      <c r="T15" s="575"/>
      <c r="U15" s="575"/>
      <c r="V15" s="575"/>
      <c r="W15" s="575"/>
      <c r="X15" s="575"/>
      <c r="Y15" s="575"/>
      <c r="Z15" s="575"/>
      <c r="AA15" s="575"/>
      <c r="AB15" s="575"/>
      <c r="AC15" s="575"/>
      <c r="AD15" s="575"/>
      <c r="AE15" s="575"/>
      <c r="AF15" s="575"/>
      <c r="AG15" s="575"/>
      <c r="AH15" s="575"/>
      <c r="AI15" s="575"/>
      <c r="AJ15" s="575"/>
      <c r="AK15" s="575"/>
      <c r="AL15" s="575"/>
      <c r="AM15" s="575"/>
      <c r="AN15" s="575"/>
      <c r="AO15" s="575"/>
      <c r="AP15" s="575"/>
      <c r="AQ15" s="449"/>
      <c r="AR15" s="449"/>
      <c r="AS15" s="449"/>
      <c r="AT15" s="398"/>
    </row>
    <row r="16" spans="1:46" ht="15.75" customHeight="1" x14ac:dyDescent="0.25">
      <c r="A16" s="1420" t="s">
        <v>122</v>
      </c>
      <c r="B16" s="1421"/>
      <c r="C16" s="515">
        <f>SUM(C17:C18)</f>
        <v>1800</v>
      </c>
      <c r="D16" s="516"/>
      <c r="E16" s="515">
        <f t="shared" ref="E16:P16" si="6">SUM(E17:E18)</f>
        <v>0</v>
      </c>
      <c r="F16" s="576">
        <f t="shared" si="6"/>
        <v>0</v>
      </c>
      <c r="G16" s="576">
        <f t="shared" si="6"/>
        <v>0</v>
      </c>
      <c r="H16" s="515">
        <f t="shared" si="6"/>
        <v>0</v>
      </c>
      <c r="I16" s="515">
        <f t="shared" si="6"/>
        <v>0</v>
      </c>
      <c r="J16" s="515">
        <f t="shared" si="6"/>
        <v>1200</v>
      </c>
      <c r="K16" s="515">
        <f t="shared" si="6"/>
        <v>1200</v>
      </c>
      <c r="L16" s="515">
        <f t="shared" si="6"/>
        <v>1260</v>
      </c>
      <c r="M16" s="515">
        <f t="shared" si="6"/>
        <v>1260</v>
      </c>
      <c r="N16" s="515">
        <f t="shared" si="6"/>
        <v>1320</v>
      </c>
      <c r="O16" s="515">
        <f t="shared" si="6"/>
        <v>1320</v>
      </c>
      <c r="P16" s="517">
        <f t="shared" si="6"/>
        <v>1320</v>
      </c>
      <c r="Q16" s="515"/>
      <c r="R16" s="518">
        <f t="shared" ref="R16:AC16" si="7">SUM(R17:R18)</f>
        <v>1140</v>
      </c>
      <c r="S16" s="515">
        <f t="shared" si="7"/>
        <v>1140</v>
      </c>
      <c r="T16" s="515">
        <f t="shared" si="7"/>
        <v>1140</v>
      </c>
      <c r="U16" s="515">
        <f t="shared" si="7"/>
        <v>1380</v>
      </c>
      <c r="V16" s="515">
        <f t="shared" si="7"/>
        <v>1380</v>
      </c>
      <c r="W16" s="515">
        <f t="shared" si="7"/>
        <v>1380</v>
      </c>
      <c r="X16" s="515">
        <f t="shared" si="7"/>
        <v>1440</v>
      </c>
      <c r="Y16" s="515">
        <f t="shared" si="7"/>
        <v>1440</v>
      </c>
      <c r="Z16" s="515">
        <f t="shared" si="7"/>
        <v>1440</v>
      </c>
      <c r="AA16" s="515">
        <f t="shared" si="7"/>
        <v>1500</v>
      </c>
      <c r="AB16" s="515">
        <f t="shared" si="7"/>
        <v>1800</v>
      </c>
      <c r="AC16" s="517">
        <f t="shared" si="7"/>
        <v>1800</v>
      </c>
      <c r="AD16" s="515"/>
      <c r="AE16" s="518">
        <f t="shared" ref="AE16:AP16" si="8">SUM(AE17:AE18)</f>
        <v>1530</v>
      </c>
      <c r="AF16" s="515">
        <f t="shared" si="8"/>
        <v>1530</v>
      </c>
      <c r="AG16" s="515">
        <f t="shared" si="8"/>
        <v>1530</v>
      </c>
      <c r="AH16" s="515">
        <f t="shared" si="8"/>
        <v>1800</v>
      </c>
      <c r="AI16" s="515">
        <f t="shared" si="8"/>
        <v>1800</v>
      </c>
      <c r="AJ16" s="515">
        <f t="shared" si="8"/>
        <v>1800</v>
      </c>
      <c r="AK16" s="515">
        <f t="shared" si="8"/>
        <v>1890</v>
      </c>
      <c r="AL16" s="515">
        <f t="shared" si="8"/>
        <v>1890</v>
      </c>
      <c r="AM16" s="515">
        <f t="shared" si="8"/>
        <v>1920</v>
      </c>
      <c r="AN16" s="515">
        <f t="shared" si="8"/>
        <v>1980</v>
      </c>
      <c r="AO16" s="515">
        <f t="shared" si="8"/>
        <v>1980</v>
      </c>
      <c r="AP16" s="519">
        <f t="shared" si="8"/>
        <v>1980</v>
      </c>
      <c r="AQ16" s="416"/>
      <c r="AR16" s="417"/>
      <c r="AS16" s="417"/>
      <c r="AT16" s="321"/>
    </row>
    <row r="17" spans="1:46" ht="12.75" x14ac:dyDescent="0.2">
      <c r="A17" s="1422"/>
      <c r="B17" s="259" t="s">
        <v>123</v>
      </c>
      <c r="C17" s="521">
        <v>1200</v>
      </c>
      <c r="D17" s="522">
        <f t="shared" ref="D17:D18" si="9">C17</f>
        <v>1200</v>
      </c>
      <c r="E17" s="199">
        <v>0</v>
      </c>
      <c r="F17" s="199">
        <v>0</v>
      </c>
      <c r="G17" s="199">
        <v>0</v>
      </c>
      <c r="H17" s="199">
        <v>0</v>
      </c>
      <c r="I17" s="199">
        <v>0</v>
      </c>
      <c r="J17" s="199">
        <v>1200</v>
      </c>
      <c r="K17" s="199">
        <v>1200</v>
      </c>
      <c r="L17" s="199">
        <v>1260</v>
      </c>
      <c r="M17" s="199">
        <v>1260</v>
      </c>
      <c r="N17" s="199">
        <v>1320</v>
      </c>
      <c r="O17" s="199">
        <v>1320</v>
      </c>
      <c r="P17" s="522">
        <v>1320</v>
      </c>
      <c r="Q17" s="199"/>
      <c r="R17" s="523">
        <v>1140</v>
      </c>
      <c r="S17" s="199">
        <v>1140</v>
      </c>
      <c r="T17" s="199">
        <v>1140</v>
      </c>
      <c r="U17" s="199">
        <v>1380</v>
      </c>
      <c r="V17" s="199">
        <v>1380</v>
      </c>
      <c r="W17" s="199">
        <v>1380</v>
      </c>
      <c r="X17" s="199">
        <v>1440</v>
      </c>
      <c r="Y17" s="199">
        <v>1440</v>
      </c>
      <c r="Z17" s="199">
        <v>1440</v>
      </c>
      <c r="AA17" s="199">
        <v>1500</v>
      </c>
      <c r="AB17" s="199">
        <v>1500</v>
      </c>
      <c r="AC17" s="522">
        <v>1500</v>
      </c>
      <c r="AD17" s="199"/>
      <c r="AE17" s="523">
        <v>1320</v>
      </c>
      <c r="AF17" s="199">
        <v>1320</v>
      </c>
      <c r="AG17" s="199">
        <v>1320</v>
      </c>
      <c r="AH17" s="199">
        <v>1440</v>
      </c>
      <c r="AI17" s="199">
        <v>1440</v>
      </c>
      <c r="AJ17" s="199">
        <v>1440</v>
      </c>
      <c r="AK17" s="199">
        <v>1500</v>
      </c>
      <c r="AL17" s="199">
        <v>1500</v>
      </c>
      <c r="AM17" s="199">
        <v>1500</v>
      </c>
      <c r="AN17" s="199">
        <v>1560</v>
      </c>
      <c r="AO17" s="199">
        <v>1560</v>
      </c>
      <c r="AP17" s="524">
        <v>1560</v>
      </c>
      <c r="AQ17" s="416"/>
      <c r="AR17" s="417"/>
      <c r="AS17" s="417"/>
      <c r="AT17" s="321"/>
    </row>
    <row r="18" spans="1:46" ht="12.75" x14ac:dyDescent="0.2">
      <c r="A18" s="1408"/>
      <c r="B18" s="526" t="s">
        <v>124</v>
      </c>
      <c r="C18" s="527">
        <v>600</v>
      </c>
      <c r="D18" s="528">
        <f t="shared" si="9"/>
        <v>600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528">
        <v>0</v>
      </c>
      <c r="Q18" s="206"/>
      <c r="R18" s="529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X18" s="206">
        <v>0</v>
      </c>
      <c r="Y18" s="206">
        <v>0</v>
      </c>
      <c r="Z18" s="206">
        <v>0</v>
      </c>
      <c r="AA18" s="206">
        <v>0</v>
      </c>
      <c r="AB18" s="206">
        <v>300</v>
      </c>
      <c r="AC18" s="528">
        <v>300</v>
      </c>
      <c r="AD18" s="206"/>
      <c r="AE18" s="529">
        <v>210</v>
      </c>
      <c r="AF18" s="206">
        <v>210</v>
      </c>
      <c r="AG18" s="206">
        <v>210</v>
      </c>
      <c r="AH18" s="206">
        <v>360</v>
      </c>
      <c r="AI18" s="206">
        <v>360</v>
      </c>
      <c r="AJ18" s="206">
        <v>360</v>
      </c>
      <c r="AK18" s="206">
        <v>390</v>
      </c>
      <c r="AL18" s="206">
        <v>390</v>
      </c>
      <c r="AM18" s="206">
        <v>420</v>
      </c>
      <c r="AN18" s="206">
        <v>420</v>
      </c>
      <c r="AO18" s="206">
        <v>420</v>
      </c>
      <c r="AP18" s="530">
        <v>420</v>
      </c>
      <c r="AQ18" s="416"/>
      <c r="AR18" s="417"/>
      <c r="AS18" s="417"/>
      <c r="AT18" s="321"/>
    </row>
    <row r="19" spans="1:46" ht="15.75" customHeight="1" x14ac:dyDescent="0.25">
      <c r="A19" s="1423" t="s">
        <v>198</v>
      </c>
      <c r="B19" s="1346"/>
      <c r="C19" s="533"/>
      <c r="D19" s="534"/>
      <c r="E19" s="533"/>
      <c r="F19" s="536"/>
      <c r="G19" s="536"/>
      <c r="H19" s="533"/>
      <c r="I19" s="533"/>
      <c r="J19" s="577"/>
      <c r="K19" s="577"/>
      <c r="L19" s="577"/>
      <c r="M19" s="577"/>
      <c r="N19" s="577"/>
      <c r="O19" s="577"/>
      <c r="P19" s="534"/>
      <c r="Q19" s="533"/>
      <c r="R19" s="578"/>
      <c r="S19" s="577"/>
      <c r="T19" s="577"/>
      <c r="U19" s="577"/>
      <c r="V19" s="577"/>
      <c r="W19" s="577"/>
      <c r="X19" s="577"/>
      <c r="Y19" s="577"/>
      <c r="Z19" s="577"/>
      <c r="AA19" s="577"/>
      <c r="AB19" s="577"/>
      <c r="AC19" s="534"/>
      <c r="AD19" s="533"/>
      <c r="AE19" s="579"/>
      <c r="AF19" s="580"/>
      <c r="AG19" s="580"/>
      <c r="AH19" s="580"/>
      <c r="AI19" s="580"/>
      <c r="AJ19" s="580"/>
      <c r="AK19" s="533"/>
      <c r="AL19" s="533"/>
      <c r="AM19" s="533"/>
      <c r="AN19" s="533"/>
      <c r="AO19" s="533"/>
      <c r="AP19" s="581"/>
      <c r="AQ19" s="397"/>
      <c r="AR19" s="398"/>
      <c r="AS19" s="398"/>
      <c r="AT19" s="399"/>
    </row>
    <row r="20" spans="1:46" ht="12.75" x14ac:dyDescent="0.2">
      <c r="A20" s="1414"/>
      <c r="B20" s="534" t="s">
        <v>123</v>
      </c>
      <c r="C20" s="542"/>
      <c r="D20" s="543"/>
      <c r="E20" s="544">
        <f t="shared" ref="E20:AP20" si="10">D20+E23</f>
        <v>-1</v>
      </c>
      <c r="F20" s="544">
        <f t="shared" si="10"/>
        <v>-1</v>
      </c>
      <c r="G20" s="544">
        <f t="shared" si="10"/>
        <v>-1</v>
      </c>
      <c r="H20" s="544">
        <f t="shared" si="10"/>
        <v>-1</v>
      </c>
      <c r="I20" s="544">
        <f t="shared" si="10"/>
        <v>-1</v>
      </c>
      <c r="J20" s="544">
        <f t="shared" si="10"/>
        <v>0</v>
      </c>
      <c r="K20" s="544">
        <f t="shared" si="10"/>
        <v>0</v>
      </c>
      <c r="L20" s="544">
        <f t="shared" si="10"/>
        <v>0.05</v>
      </c>
      <c r="M20" s="544">
        <f t="shared" si="10"/>
        <v>0.05</v>
      </c>
      <c r="N20" s="544">
        <f t="shared" si="10"/>
        <v>0.1</v>
      </c>
      <c r="O20" s="544">
        <f t="shared" si="10"/>
        <v>0.1</v>
      </c>
      <c r="P20" s="545">
        <f t="shared" si="10"/>
        <v>0.1</v>
      </c>
      <c r="Q20" s="544">
        <f t="shared" si="10"/>
        <v>0.1</v>
      </c>
      <c r="R20" s="546">
        <f t="shared" si="10"/>
        <v>-4.9999999999999989E-2</v>
      </c>
      <c r="S20" s="378">
        <f t="shared" si="10"/>
        <v>-4.9999999999999989E-2</v>
      </c>
      <c r="T20" s="378">
        <f t="shared" si="10"/>
        <v>-4.9999999999999989E-2</v>
      </c>
      <c r="U20" s="378">
        <f t="shared" si="10"/>
        <v>0.15000000000000002</v>
      </c>
      <c r="V20" s="378">
        <f t="shared" si="10"/>
        <v>0.15000000000000002</v>
      </c>
      <c r="W20" s="378">
        <f t="shared" si="10"/>
        <v>0.15000000000000002</v>
      </c>
      <c r="X20" s="378">
        <f t="shared" si="10"/>
        <v>0.2</v>
      </c>
      <c r="Y20" s="378">
        <f t="shared" si="10"/>
        <v>0.2</v>
      </c>
      <c r="Z20" s="378">
        <f t="shared" si="10"/>
        <v>0.2</v>
      </c>
      <c r="AA20" s="378">
        <f t="shared" si="10"/>
        <v>0.25</v>
      </c>
      <c r="AB20" s="378">
        <f t="shared" si="10"/>
        <v>0.25</v>
      </c>
      <c r="AC20" s="547">
        <f t="shared" si="10"/>
        <v>0.25</v>
      </c>
      <c r="AD20" s="378">
        <f t="shared" si="10"/>
        <v>0.25</v>
      </c>
      <c r="AE20" s="546">
        <f t="shared" si="10"/>
        <v>0.1</v>
      </c>
      <c r="AF20" s="378">
        <f t="shared" si="10"/>
        <v>0.1</v>
      </c>
      <c r="AG20" s="378">
        <f t="shared" si="10"/>
        <v>0.1</v>
      </c>
      <c r="AH20" s="378">
        <f t="shared" si="10"/>
        <v>0.2</v>
      </c>
      <c r="AI20" s="378">
        <f t="shared" si="10"/>
        <v>0.2</v>
      </c>
      <c r="AJ20" s="378">
        <f t="shared" si="10"/>
        <v>0.2</v>
      </c>
      <c r="AK20" s="378">
        <f t="shared" si="10"/>
        <v>0.25</v>
      </c>
      <c r="AL20" s="378">
        <f t="shared" si="10"/>
        <v>0.25</v>
      </c>
      <c r="AM20" s="378">
        <f t="shared" si="10"/>
        <v>0.25</v>
      </c>
      <c r="AN20" s="378">
        <f t="shared" si="10"/>
        <v>0.3</v>
      </c>
      <c r="AO20" s="378">
        <f t="shared" si="10"/>
        <v>0.3</v>
      </c>
      <c r="AP20" s="548">
        <f t="shared" si="10"/>
        <v>0.3</v>
      </c>
      <c r="AQ20" s="448"/>
      <c r="AR20" s="449"/>
      <c r="AS20" s="449"/>
      <c r="AT20" s="399"/>
    </row>
    <row r="21" spans="1:46" ht="12.75" x14ac:dyDescent="0.2">
      <c r="A21" s="1408"/>
      <c r="B21" s="550" t="s">
        <v>124</v>
      </c>
      <c r="C21" s="551"/>
      <c r="D21" s="552"/>
      <c r="E21" s="553">
        <f t="shared" ref="E21:AP21" si="11">D21+E24</f>
        <v>-1</v>
      </c>
      <c r="F21" s="553">
        <f t="shared" si="11"/>
        <v>-1</v>
      </c>
      <c r="G21" s="553">
        <f t="shared" si="11"/>
        <v>-1</v>
      </c>
      <c r="H21" s="553">
        <f t="shared" si="11"/>
        <v>-1</v>
      </c>
      <c r="I21" s="553">
        <f t="shared" si="11"/>
        <v>-1</v>
      </c>
      <c r="J21" s="553">
        <f t="shared" si="11"/>
        <v>-1</v>
      </c>
      <c r="K21" s="553">
        <f t="shared" si="11"/>
        <v>-1</v>
      </c>
      <c r="L21" s="553">
        <f t="shared" si="11"/>
        <v>-1</v>
      </c>
      <c r="M21" s="553">
        <f t="shared" si="11"/>
        <v>-1</v>
      </c>
      <c r="N21" s="553">
        <f t="shared" si="11"/>
        <v>-1</v>
      </c>
      <c r="O21" s="553">
        <f t="shared" si="11"/>
        <v>-1</v>
      </c>
      <c r="P21" s="554">
        <f t="shared" si="11"/>
        <v>-1</v>
      </c>
      <c r="Q21" s="553">
        <f t="shared" si="11"/>
        <v>-1</v>
      </c>
      <c r="R21" s="555">
        <f t="shared" si="11"/>
        <v>-1</v>
      </c>
      <c r="S21" s="556">
        <f t="shared" si="11"/>
        <v>-1</v>
      </c>
      <c r="T21" s="556">
        <f t="shared" si="11"/>
        <v>-1</v>
      </c>
      <c r="U21" s="556">
        <f t="shared" si="11"/>
        <v>-1</v>
      </c>
      <c r="V21" s="556">
        <f t="shared" si="11"/>
        <v>-1</v>
      </c>
      <c r="W21" s="556">
        <f t="shared" si="11"/>
        <v>-1</v>
      </c>
      <c r="X21" s="556">
        <f t="shared" si="11"/>
        <v>-1</v>
      </c>
      <c r="Y21" s="556">
        <f t="shared" si="11"/>
        <v>-1</v>
      </c>
      <c r="Z21" s="556">
        <f t="shared" si="11"/>
        <v>-1</v>
      </c>
      <c r="AA21" s="556">
        <f t="shared" si="11"/>
        <v>-1</v>
      </c>
      <c r="AB21" s="556">
        <f t="shared" si="11"/>
        <v>-0.5</v>
      </c>
      <c r="AC21" s="557">
        <f t="shared" si="11"/>
        <v>-0.5</v>
      </c>
      <c r="AD21" s="556">
        <f t="shared" si="11"/>
        <v>-0.5</v>
      </c>
      <c r="AE21" s="555">
        <f t="shared" si="11"/>
        <v>-0.65</v>
      </c>
      <c r="AF21" s="556">
        <f t="shared" si="11"/>
        <v>-0.65</v>
      </c>
      <c r="AG21" s="556">
        <f t="shared" si="11"/>
        <v>-0.65</v>
      </c>
      <c r="AH21" s="556">
        <f t="shared" si="11"/>
        <v>-0.4</v>
      </c>
      <c r="AI21" s="556">
        <f t="shared" si="11"/>
        <v>-0.4</v>
      </c>
      <c r="AJ21" s="556">
        <f t="shared" si="11"/>
        <v>-0.4</v>
      </c>
      <c r="AK21" s="556">
        <f t="shared" si="11"/>
        <v>-0.35000000000000003</v>
      </c>
      <c r="AL21" s="556">
        <f t="shared" si="11"/>
        <v>-0.35000000000000003</v>
      </c>
      <c r="AM21" s="556">
        <f t="shared" si="11"/>
        <v>-0.30000000000000004</v>
      </c>
      <c r="AN21" s="556">
        <f t="shared" si="11"/>
        <v>-0.30000000000000004</v>
      </c>
      <c r="AO21" s="556">
        <f t="shared" si="11"/>
        <v>-0.30000000000000004</v>
      </c>
      <c r="AP21" s="558">
        <f t="shared" si="11"/>
        <v>-0.30000000000000004</v>
      </c>
      <c r="AQ21" s="448"/>
      <c r="AR21" s="449"/>
      <c r="AS21" s="449"/>
      <c r="AT21" s="399"/>
    </row>
    <row r="22" spans="1:46" ht="18" x14ac:dyDescent="0.25">
      <c r="A22" s="1424" t="s">
        <v>199</v>
      </c>
      <c r="B22" s="1346"/>
      <c r="C22" s="533"/>
      <c r="D22" s="534"/>
      <c r="E22" s="533"/>
      <c r="F22" s="536"/>
      <c r="G22" s="536"/>
      <c r="H22" s="533"/>
      <c r="I22" s="533"/>
      <c r="J22" s="533"/>
      <c r="K22" s="533"/>
      <c r="L22" s="533"/>
      <c r="M22" s="533"/>
      <c r="N22" s="533"/>
      <c r="O22" s="533"/>
      <c r="P22" s="534"/>
      <c r="Q22" s="533"/>
      <c r="R22" s="582"/>
      <c r="S22" s="533"/>
      <c r="T22" s="533"/>
      <c r="U22" s="533"/>
      <c r="V22" s="533"/>
      <c r="W22" s="533"/>
      <c r="X22" s="533"/>
      <c r="Y22" s="533"/>
      <c r="Z22" s="533"/>
      <c r="AA22" s="533"/>
      <c r="AB22" s="533"/>
      <c r="AC22" s="534"/>
      <c r="AD22" s="533"/>
      <c r="AE22" s="582"/>
      <c r="AF22" s="533"/>
      <c r="AG22" s="533"/>
      <c r="AH22" s="533"/>
      <c r="AI22" s="533"/>
      <c r="AJ22" s="533"/>
      <c r="AK22" s="533"/>
      <c r="AL22" s="533"/>
      <c r="AM22" s="533"/>
      <c r="AN22" s="533"/>
      <c r="AO22" s="533"/>
      <c r="AP22" s="581"/>
      <c r="AQ22" s="397"/>
      <c r="AR22" s="398"/>
      <c r="AS22" s="398"/>
      <c r="AT22" s="399"/>
    </row>
    <row r="23" spans="1:46" ht="12.75" x14ac:dyDescent="0.2">
      <c r="A23" s="1407" t="s">
        <v>200</v>
      </c>
      <c r="B23" s="534" t="s">
        <v>123</v>
      </c>
      <c r="C23" s="542"/>
      <c r="D23" s="543"/>
      <c r="E23" s="544">
        <v>-1</v>
      </c>
      <c r="F23" s="544">
        <v>0</v>
      </c>
      <c r="G23" s="544">
        <v>0</v>
      </c>
      <c r="H23" s="544">
        <v>0</v>
      </c>
      <c r="I23" s="544">
        <v>0</v>
      </c>
      <c r="J23" s="544">
        <v>1</v>
      </c>
      <c r="K23" s="544">
        <v>0</v>
      </c>
      <c r="L23" s="544">
        <v>0.05</v>
      </c>
      <c r="M23" s="544">
        <v>0</v>
      </c>
      <c r="N23" s="544">
        <v>0.05</v>
      </c>
      <c r="O23" s="544">
        <v>0</v>
      </c>
      <c r="P23" s="545">
        <v>0</v>
      </c>
      <c r="Q23" s="544"/>
      <c r="R23" s="546">
        <v>-0.15</v>
      </c>
      <c r="S23" s="378">
        <v>0</v>
      </c>
      <c r="T23" s="378">
        <v>0</v>
      </c>
      <c r="U23" s="378">
        <v>0.2</v>
      </c>
      <c r="V23" s="378">
        <v>0</v>
      </c>
      <c r="W23" s="378">
        <v>0</v>
      </c>
      <c r="X23" s="378">
        <v>0.05</v>
      </c>
      <c r="Y23" s="378">
        <v>0</v>
      </c>
      <c r="Z23" s="378">
        <v>0</v>
      </c>
      <c r="AA23" s="378">
        <v>0.05</v>
      </c>
      <c r="AB23" s="378">
        <v>0</v>
      </c>
      <c r="AC23" s="547">
        <v>0</v>
      </c>
      <c r="AD23" s="378"/>
      <c r="AE23" s="546">
        <v>-0.15</v>
      </c>
      <c r="AF23" s="378">
        <v>0</v>
      </c>
      <c r="AG23" s="378">
        <v>0</v>
      </c>
      <c r="AH23" s="378">
        <v>0.1</v>
      </c>
      <c r="AI23" s="378">
        <v>0</v>
      </c>
      <c r="AJ23" s="378">
        <v>0</v>
      </c>
      <c r="AK23" s="378">
        <v>0.05</v>
      </c>
      <c r="AL23" s="378">
        <v>0</v>
      </c>
      <c r="AM23" s="378">
        <v>0</v>
      </c>
      <c r="AN23" s="378">
        <v>0.05</v>
      </c>
      <c r="AO23" s="378">
        <v>0</v>
      </c>
      <c r="AP23" s="548">
        <v>0</v>
      </c>
      <c r="AQ23" s="448"/>
      <c r="AR23" s="449"/>
      <c r="AS23" s="449"/>
      <c r="AT23" s="399"/>
    </row>
    <row r="24" spans="1:46" ht="12.75" x14ac:dyDescent="0.2">
      <c r="A24" s="1411"/>
      <c r="B24" s="563" t="s">
        <v>124</v>
      </c>
      <c r="C24" s="564"/>
      <c r="D24" s="565"/>
      <c r="E24" s="566">
        <v>-1</v>
      </c>
      <c r="F24" s="566">
        <v>0</v>
      </c>
      <c r="G24" s="566">
        <v>0</v>
      </c>
      <c r="H24" s="566">
        <v>0</v>
      </c>
      <c r="I24" s="566">
        <v>0</v>
      </c>
      <c r="J24" s="566">
        <v>0</v>
      </c>
      <c r="K24" s="566">
        <v>0</v>
      </c>
      <c r="L24" s="566">
        <v>0</v>
      </c>
      <c r="M24" s="566">
        <v>0</v>
      </c>
      <c r="N24" s="566">
        <v>0</v>
      </c>
      <c r="O24" s="566">
        <v>0</v>
      </c>
      <c r="P24" s="567">
        <v>0</v>
      </c>
      <c r="Q24" s="566"/>
      <c r="R24" s="568">
        <v>0</v>
      </c>
      <c r="S24" s="569">
        <v>0</v>
      </c>
      <c r="T24" s="569">
        <v>0</v>
      </c>
      <c r="U24" s="569">
        <v>0</v>
      </c>
      <c r="V24" s="569">
        <v>0</v>
      </c>
      <c r="W24" s="569">
        <v>0</v>
      </c>
      <c r="X24" s="569">
        <v>0</v>
      </c>
      <c r="Y24" s="569">
        <v>0</v>
      </c>
      <c r="Z24" s="569">
        <v>0</v>
      </c>
      <c r="AA24" s="569">
        <v>0</v>
      </c>
      <c r="AB24" s="569">
        <v>0.5</v>
      </c>
      <c r="AC24" s="570">
        <v>0</v>
      </c>
      <c r="AD24" s="569"/>
      <c r="AE24" s="568">
        <v>-0.15</v>
      </c>
      <c r="AF24" s="569">
        <v>0</v>
      </c>
      <c r="AG24" s="569">
        <v>0</v>
      </c>
      <c r="AH24" s="569">
        <v>0.25</v>
      </c>
      <c r="AI24" s="569">
        <v>0</v>
      </c>
      <c r="AJ24" s="569">
        <v>0</v>
      </c>
      <c r="AK24" s="569">
        <v>0.05</v>
      </c>
      <c r="AL24" s="569">
        <v>0</v>
      </c>
      <c r="AM24" s="569">
        <v>0.05</v>
      </c>
      <c r="AN24" s="569">
        <v>0</v>
      </c>
      <c r="AO24" s="569">
        <v>0</v>
      </c>
      <c r="AP24" s="571">
        <v>0</v>
      </c>
      <c r="AQ24" s="448"/>
      <c r="AR24" s="449"/>
      <c r="AS24" s="449"/>
      <c r="AT24" s="399"/>
    </row>
    <row r="25" spans="1:46" ht="12.75" x14ac:dyDescent="0.2">
      <c r="A25" s="583"/>
      <c r="B25" s="584"/>
      <c r="C25" s="584"/>
      <c r="D25" s="584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R25" s="586"/>
      <c r="S25" s="586"/>
      <c r="T25" s="586"/>
      <c r="U25" s="586"/>
      <c r="V25" s="586"/>
      <c r="W25" s="586"/>
      <c r="X25" s="586"/>
      <c r="Y25" s="586"/>
      <c r="Z25" s="586"/>
      <c r="AA25" s="586"/>
      <c r="AB25" s="586"/>
      <c r="AC25" s="586"/>
      <c r="AD25" s="586"/>
      <c r="AE25" s="586"/>
      <c r="AF25" s="586"/>
      <c r="AG25" s="586"/>
      <c r="AH25" s="586"/>
      <c r="AI25" s="586"/>
      <c r="AJ25" s="586"/>
      <c r="AK25" s="586"/>
      <c r="AL25" s="586"/>
      <c r="AM25" s="586"/>
      <c r="AN25" s="586"/>
      <c r="AO25" s="586"/>
      <c r="AP25" s="586"/>
      <c r="AQ25" s="449"/>
      <c r="AR25" s="449"/>
      <c r="AS25" s="449"/>
      <c r="AT25" s="398"/>
    </row>
    <row r="26" spans="1:46" ht="18" x14ac:dyDescent="0.25">
      <c r="A26" s="509" t="s">
        <v>201</v>
      </c>
      <c r="B26" s="587"/>
      <c r="C26" s="587"/>
      <c r="D26" s="587"/>
      <c r="E26" s="588"/>
      <c r="F26" s="588"/>
      <c r="G26" s="588"/>
      <c r="H26" s="588"/>
      <c r="I26" s="588"/>
      <c r="J26" s="588"/>
      <c r="K26" s="588"/>
      <c r="L26" s="588"/>
      <c r="M26" s="588"/>
      <c r="N26" s="588"/>
      <c r="O26" s="588"/>
      <c r="P26" s="588"/>
      <c r="Q26" s="588"/>
      <c r="R26" s="589"/>
      <c r="S26" s="589"/>
      <c r="T26" s="589"/>
      <c r="U26" s="589"/>
      <c r="V26" s="589"/>
      <c r="W26" s="589"/>
      <c r="X26" s="589"/>
      <c r="Y26" s="589"/>
      <c r="Z26" s="589"/>
      <c r="AA26" s="589"/>
      <c r="AB26" s="589"/>
      <c r="AC26" s="589"/>
      <c r="AD26" s="589"/>
      <c r="AE26" s="589"/>
      <c r="AF26" s="589"/>
      <c r="AG26" s="589"/>
      <c r="AH26" s="589"/>
      <c r="AI26" s="589"/>
      <c r="AJ26" s="589"/>
      <c r="AK26" s="589"/>
      <c r="AL26" s="589"/>
      <c r="AM26" s="589"/>
      <c r="AN26" s="589"/>
      <c r="AO26" s="589"/>
      <c r="AP26" s="589"/>
      <c r="AQ26" s="449"/>
      <c r="AR26" s="449"/>
      <c r="AS26" s="449"/>
      <c r="AT26" s="398"/>
    </row>
    <row r="27" spans="1:46" ht="18" x14ac:dyDescent="0.25">
      <c r="A27" s="590" t="s">
        <v>202</v>
      </c>
      <c r="B27" s="591"/>
      <c r="C27" s="592" t="s">
        <v>203</v>
      </c>
      <c r="D27" s="517">
        <f t="shared" ref="D27:P27" si="12">SUMPRODUCT(D28:D29,D7:D8)</f>
        <v>1510600000</v>
      </c>
      <c r="E27" s="515">
        <f t="shared" si="12"/>
        <v>0</v>
      </c>
      <c r="F27" s="576">
        <f t="shared" si="12"/>
        <v>0</v>
      </c>
      <c r="G27" s="576">
        <f t="shared" si="12"/>
        <v>0</v>
      </c>
      <c r="H27" s="515">
        <f t="shared" si="12"/>
        <v>0</v>
      </c>
      <c r="I27" s="515">
        <f t="shared" si="12"/>
        <v>0</v>
      </c>
      <c r="J27" s="515">
        <f t="shared" si="12"/>
        <v>0</v>
      </c>
      <c r="K27" s="515">
        <f t="shared" si="12"/>
        <v>0</v>
      </c>
      <c r="L27" s="515">
        <f t="shared" si="12"/>
        <v>611100000</v>
      </c>
      <c r="M27" s="515">
        <f t="shared" si="12"/>
        <v>611100000</v>
      </c>
      <c r="N27" s="515">
        <f t="shared" si="12"/>
        <v>645050000</v>
      </c>
      <c r="O27" s="515">
        <f t="shared" si="12"/>
        <v>645050000</v>
      </c>
      <c r="P27" s="517">
        <f t="shared" si="12"/>
        <v>645050000</v>
      </c>
      <c r="Q27" s="515"/>
      <c r="R27" s="518">
        <f t="shared" ref="R27:AC27" si="13">SUMPRODUCT(R28:R29,R7:R8)</f>
        <v>434560000</v>
      </c>
      <c r="S27" s="515">
        <f t="shared" si="13"/>
        <v>434560000</v>
      </c>
      <c r="T27" s="515">
        <f t="shared" si="13"/>
        <v>434560000</v>
      </c>
      <c r="U27" s="515">
        <f t="shared" si="13"/>
        <v>651840000</v>
      </c>
      <c r="V27" s="515">
        <f t="shared" si="13"/>
        <v>651840000</v>
      </c>
      <c r="W27" s="515">
        <f t="shared" si="13"/>
        <v>651840000</v>
      </c>
      <c r="X27" s="515">
        <f t="shared" si="13"/>
        <v>624680000</v>
      </c>
      <c r="Y27" s="515">
        <f t="shared" si="13"/>
        <v>624680000</v>
      </c>
      <c r="Z27" s="515">
        <f t="shared" si="13"/>
        <v>624680000</v>
      </c>
      <c r="AA27" s="515">
        <f t="shared" si="13"/>
        <v>658630000</v>
      </c>
      <c r="AB27" s="515">
        <f t="shared" si="13"/>
        <v>692580000</v>
      </c>
      <c r="AC27" s="517">
        <f t="shared" si="13"/>
        <v>726530000</v>
      </c>
      <c r="AD27" s="515"/>
      <c r="AE27" s="518">
        <f t="shared" ref="AE27:AP27" si="14">SUMPRODUCT(AE28:AE29,AE7:AE8)</f>
        <v>1381590000</v>
      </c>
      <c r="AF27" s="515">
        <f t="shared" si="14"/>
        <v>1201690000</v>
      </c>
      <c r="AG27" s="515">
        <f t="shared" si="14"/>
        <v>1201690000</v>
      </c>
      <c r="AH27" s="515">
        <f t="shared" si="14"/>
        <v>1715980000</v>
      </c>
      <c r="AI27" s="515">
        <f t="shared" si="14"/>
        <v>1715980000</v>
      </c>
      <c r="AJ27" s="515">
        <f t="shared" si="14"/>
        <v>1715980000</v>
      </c>
      <c r="AK27" s="515">
        <f t="shared" si="14"/>
        <v>1636880000</v>
      </c>
      <c r="AL27" s="515">
        <f t="shared" si="14"/>
        <v>1636880000</v>
      </c>
      <c r="AM27" s="515">
        <f t="shared" si="14"/>
        <v>1636880000</v>
      </c>
      <c r="AN27" s="515">
        <f t="shared" si="14"/>
        <v>1813070000</v>
      </c>
      <c r="AO27" s="515">
        <f t="shared" si="14"/>
        <v>1900990000</v>
      </c>
      <c r="AP27" s="519">
        <f t="shared" si="14"/>
        <v>1988910000</v>
      </c>
      <c r="AQ27" s="416"/>
      <c r="AR27" s="417"/>
      <c r="AS27" s="417"/>
      <c r="AT27" s="321"/>
    </row>
    <row r="28" spans="1:46" ht="12.75" x14ac:dyDescent="0.2">
      <c r="A28" s="593"/>
      <c r="B28" s="194" t="s">
        <v>123</v>
      </c>
      <c r="C28" s="594">
        <v>6790000</v>
      </c>
      <c r="D28" s="595">
        <f t="shared" ref="D28:D29" si="15">C28</f>
        <v>6790000</v>
      </c>
      <c r="E28" s="216">
        <f t="shared" ref="E28:P28" si="16">$C28*(E34)+D28</f>
        <v>6790000</v>
      </c>
      <c r="F28" s="216">
        <f t="shared" si="16"/>
        <v>6790000</v>
      </c>
      <c r="G28" s="216">
        <f t="shared" si="16"/>
        <v>6790000</v>
      </c>
      <c r="H28" s="216">
        <f t="shared" si="16"/>
        <v>6790000</v>
      </c>
      <c r="I28" s="216">
        <f t="shared" si="16"/>
        <v>6790000</v>
      </c>
      <c r="J28" s="216">
        <f t="shared" si="16"/>
        <v>6790000</v>
      </c>
      <c r="K28" s="216">
        <f t="shared" si="16"/>
        <v>6790000</v>
      </c>
      <c r="L28" s="216">
        <f t="shared" si="16"/>
        <v>6790000</v>
      </c>
      <c r="M28" s="216">
        <f t="shared" si="16"/>
        <v>6790000</v>
      </c>
      <c r="N28" s="216">
        <f t="shared" si="16"/>
        <v>6790000</v>
      </c>
      <c r="O28" s="216">
        <f t="shared" si="16"/>
        <v>6790000</v>
      </c>
      <c r="P28" s="595">
        <f t="shared" si="16"/>
        <v>6790000</v>
      </c>
      <c r="Q28" s="216"/>
      <c r="R28" s="596">
        <f t="shared" ref="R28:R29" si="17">$C28*(R34)+P28</f>
        <v>6790000</v>
      </c>
      <c r="S28" s="216">
        <f t="shared" ref="S28:AC28" si="18">$C28*(S34)+R28</f>
        <v>6790000</v>
      </c>
      <c r="T28" s="216">
        <f t="shared" si="18"/>
        <v>6790000</v>
      </c>
      <c r="U28" s="216">
        <f t="shared" si="18"/>
        <v>6790000</v>
      </c>
      <c r="V28" s="216">
        <f t="shared" si="18"/>
        <v>6790000</v>
      </c>
      <c r="W28" s="216">
        <f t="shared" si="18"/>
        <v>6790000</v>
      </c>
      <c r="X28" s="216">
        <f t="shared" si="18"/>
        <v>6790000</v>
      </c>
      <c r="Y28" s="216">
        <f t="shared" si="18"/>
        <v>6790000</v>
      </c>
      <c r="Z28" s="216">
        <f t="shared" si="18"/>
        <v>6790000</v>
      </c>
      <c r="AA28" s="216">
        <f t="shared" si="18"/>
        <v>6790000</v>
      </c>
      <c r="AB28" s="216">
        <f t="shared" si="18"/>
        <v>6790000</v>
      </c>
      <c r="AC28" s="595">
        <f t="shared" si="18"/>
        <v>6790000</v>
      </c>
      <c r="AD28" s="216"/>
      <c r="AE28" s="596">
        <f t="shared" ref="AE28:AE29" si="19">$C28*(AE34)+AC28</f>
        <v>6790000</v>
      </c>
      <c r="AF28" s="216">
        <f t="shared" ref="AF28:AP28" si="20">$C28*(AF34)+AE28</f>
        <v>6790000</v>
      </c>
      <c r="AG28" s="216">
        <f t="shared" si="20"/>
        <v>6790000</v>
      </c>
      <c r="AH28" s="216">
        <f t="shared" si="20"/>
        <v>6790000</v>
      </c>
      <c r="AI28" s="216">
        <f t="shared" si="20"/>
        <v>6790000</v>
      </c>
      <c r="AJ28" s="216">
        <f t="shared" si="20"/>
        <v>6790000</v>
      </c>
      <c r="AK28" s="216">
        <f t="shared" si="20"/>
        <v>6790000</v>
      </c>
      <c r="AL28" s="216">
        <f t="shared" si="20"/>
        <v>6790000</v>
      </c>
      <c r="AM28" s="216">
        <f t="shared" si="20"/>
        <v>6790000</v>
      </c>
      <c r="AN28" s="216">
        <f t="shared" si="20"/>
        <v>6790000</v>
      </c>
      <c r="AO28" s="216">
        <f t="shared" si="20"/>
        <v>6790000</v>
      </c>
      <c r="AP28" s="597">
        <f t="shared" si="20"/>
        <v>6790000</v>
      </c>
      <c r="AQ28" s="598"/>
      <c r="AR28" s="599"/>
      <c r="AS28" s="599"/>
      <c r="AT28" s="321"/>
    </row>
    <row r="29" spans="1:46" ht="12.75" x14ac:dyDescent="0.2">
      <c r="A29" s="600"/>
      <c r="B29" s="201" t="s">
        <v>124</v>
      </c>
      <c r="C29" s="601">
        <v>17990000</v>
      </c>
      <c r="D29" s="602">
        <f t="shared" si="15"/>
        <v>17990000</v>
      </c>
      <c r="E29" s="221">
        <f t="shared" ref="E29:P29" si="21">$C29*(E35)+D29</f>
        <v>17990000</v>
      </c>
      <c r="F29" s="221">
        <f t="shared" si="21"/>
        <v>17990000</v>
      </c>
      <c r="G29" s="221">
        <f t="shared" si="21"/>
        <v>17990000</v>
      </c>
      <c r="H29" s="221">
        <f t="shared" si="21"/>
        <v>17990000</v>
      </c>
      <c r="I29" s="221">
        <f t="shared" si="21"/>
        <v>17990000</v>
      </c>
      <c r="J29" s="221">
        <f t="shared" si="21"/>
        <v>17990000</v>
      </c>
      <c r="K29" s="221">
        <f t="shared" si="21"/>
        <v>17990000</v>
      </c>
      <c r="L29" s="221">
        <f t="shared" si="21"/>
        <v>17990000</v>
      </c>
      <c r="M29" s="221">
        <f t="shared" si="21"/>
        <v>17990000</v>
      </c>
      <c r="N29" s="221">
        <f t="shared" si="21"/>
        <v>17990000</v>
      </c>
      <c r="O29" s="221">
        <f t="shared" si="21"/>
        <v>17990000</v>
      </c>
      <c r="P29" s="602">
        <f t="shared" si="21"/>
        <v>17990000</v>
      </c>
      <c r="Q29" s="221"/>
      <c r="R29" s="603">
        <f t="shared" si="17"/>
        <v>17990000</v>
      </c>
      <c r="S29" s="221">
        <f t="shared" ref="S29:AC29" si="22">$C29*(S35)+R29</f>
        <v>17990000</v>
      </c>
      <c r="T29" s="221">
        <f t="shared" si="22"/>
        <v>17990000</v>
      </c>
      <c r="U29" s="221">
        <f t="shared" si="22"/>
        <v>17990000</v>
      </c>
      <c r="V29" s="221">
        <f t="shared" si="22"/>
        <v>17990000</v>
      </c>
      <c r="W29" s="221">
        <f t="shared" si="22"/>
        <v>17990000</v>
      </c>
      <c r="X29" s="221">
        <f t="shared" si="22"/>
        <v>17990000</v>
      </c>
      <c r="Y29" s="221">
        <f t="shared" si="22"/>
        <v>17990000</v>
      </c>
      <c r="Z29" s="221">
        <f t="shared" si="22"/>
        <v>17990000</v>
      </c>
      <c r="AA29" s="221">
        <f t="shared" si="22"/>
        <v>17990000</v>
      </c>
      <c r="AB29" s="221">
        <f t="shared" si="22"/>
        <v>17990000</v>
      </c>
      <c r="AC29" s="602">
        <f t="shared" si="22"/>
        <v>17990000</v>
      </c>
      <c r="AD29" s="221"/>
      <c r="AE29" s="603">
        <f t="shared" si="19"/>
        <v>17990000</v>
      </c>
      <c r="AF29" s="221">
        <f t="shared" ref="AF29:AP29" si="23">$C29*(AF35)+AE29</f>
        <v>17990000</v>
      </c>
      <c r="AG29" s="221">
        <f t="shared" si="23"/>
        <v>17990000</v>
      </c>
      <c r="AH29" s="221">
        <f t="shared" si="23"/>
        <v>17990000</v>
      </c>
      <c r="AI29" s="221">
        <f t="shared" si="23"/>
        <v>17990000</v>
      </c>
      <c r="AJ29" s="221">
        <f t="shared" si="23"/>
        <v>17990000</v>
      </c>
      <c r="AK29" s="221">
        <f t="shared" si="23"/>
        <v>17990000</v>
      </c>
      <c r="AL29" s="221">
        <f t="shared" si="23"/>
        <v>17990000</v>
      </c>
      <c r="AM29" s="221">
        <f t="shared" si="23"/>
        <v>17990000</v>
      </c>
      <c r="AN29" s="221">
        <f t="shared" si="23"/>
        <v>17990000</v>
      </c>
      <c r="AO29" s="221">
        <f t="shared" si="23"/>
        <v>17990000</v>
      </c>
      <c r="AP29" s="604">
        <f t="shared" si="23"/>
        <v>17990000</v>
      </c>
      <c r="AQ29" s="598"/>
      <c r="AR29" s="599"/>
      <c r="AS29" s="599"/>
      <c r="AT29" s="321"/>
    </row>
    <row r="30" spans="1:46" ht="18" x14ac:dyDescent="0.25">
      <c r="A30" s="605" t="s">
        <v>204</v>
      </c>
      <c r="B30" s="606"/>
      <c r="C30" s="607"/>
      <c r="D30" s="608"/>
      <c r="E30" s="266"/>
      <c r="F30" s="266"/>
      <c r="G30" s="266"/>
      <c r="H30" s="607"/>
      <c r="I30" s="607"/>
      <c r="J30" s="607"/>
      <c r="K30" s="607"/>
      <c r="L30" s="607"/>
      <c r="M30" s="607"/>
      <c r="N30" s="607"/>
      <c r="O30" s="607"/>
      <c r="P30" s="609"/>
      <c r="Q30" s="607"/>
      <c r="R30" s="610"/>
      <c r="S30" s="607"/>
      <c r="T30" s="607"/>
      <c r="U30" s="607"/>
      <c r="V30" s="607"/>
      <c r="W30" s="607"/>
      <c r="X30" s="607"/>
      <c r="Y30" s="607"/>
      <c r="Z30" s="607"/>
      <c r="AA30" s="607"/>
      <c r="AB30" s="607"/>
      <c r="AC30" s="609"/>
      <c r="AD30" s="607"/>
      <c r="AE30" s="610"/>
      <c r="AF30" s="607"/>
      <c r="AG30" s="607"/>
      <c r="AH30" s="607"/>
      <c r="AI30" s="607"/>
      <c r="AJ30" s="607"/>
      <c r="AK30" s="607"/>
      <c r="AL30" s="607"/>
      <c r="AM30" s="607"/>
      <c r="AN30" s="607"/>
      <c r="AO30" s="607"/>
      <c r="AP30" s="611"/>
      <c r="AQ30" s="352"/>
      <c r="AR30" s="353"/>
      <c r="AS30" s="353"/>
      <c r="AT30" s="321"/>
    </row>
    <row r="31" spans="1:46" ht="12.75" x14ac:dyDescent="0.2">
      <c r="A31" s="541" t="s">
        <v>195</v>
      </c>
      <c r="B31" s="194" t="s">
        <v>123</v>
      </c>
      <c r="C31" s="542"/>
      <c r="D31" s="543"/>
      <c r="E31" s="544">
        <f t="shared" ref="E31:AP31" si="24">D31+E34</f>
        <v>0</v>
      </c>
      <c r="F31" s="544">
        <f t="shared" si="24"/>
        <v>0</v>
      </c>
      <c r="G31" s="544">
        <f t="shared" si="24"/>
        <v>0</v>
      </c>
      <c r="H31" s="544">
        <f t="shared" si="24"/>
        <v>0</v>
      </c>
      <c r="I31" s="544">
        <f t="shared" si="24"/>
        <v>0</v>
      </c>
      <c r="J31" s="544">
        <f t="shared" si="24"/>
        <v>0</v>
      </c>
      <c r="K31" s="544">
        <f t="shared" si="24"/>
        <v>0</v>
      </c>
      <c r="L31" s="544">
        <f t="shared" si="24"/>
        <v>0</v>
      </c>
      <c r="M31" s="544">
        <f t="shared" si="24"/>
        <v>0</v>
      </c>
      <c r="N31" s="544">
        <f t="shared" si="24"/>
        <v>0</v>
      </c>
      <c r="O31" s="544">
        <f t="shared" si="24"/>
        <v>0</v>
      </c>
      <c r="P31" s="545">
        <f t="shared" si="24"/>
        <v>0</v>
      </c>
      <c r="Q31" s="544">
        <f t="shared" si="24"/>
        <v>0</v>
      </c>
      <c r="R31" s="546">
        <f t="shared" si="24"/>
        <v>0</v>
      </c>
      <c r="S31" s="378">
        <f t="shared" si="24"/>
        <v>0</v>
      </c>
      <c r="T31" s="378">
        <f t="shared" si="24"/>
        <v>0</v>
      </c>
      <c r="U31" s="378">
        <f t="shared" si="24"/>
        <v>0</v>
      </c>
      <c r="V31" s="378">
        <f t="shared" si="24"/>
        <v>0</v>
      </c>
      <c r="W31" s="378">
        <f t="shared" si="24"/>
        <v>0</v>
      </c>
      <c r="X31" s="378">
        <f t="shared" si="24"/>
        <v>0</v>
      </c>
      <c r="Y31" s="378">
        <f t="shared" si="24"/>
        <v>0</v>
      </c>
      <c r="Z31" s="378">
        <f t="shared" si="24"/>
        <v>0</v>
      </c>
      <c r="AA31" s="378">
        <f t="shared" si="24"/>
        <v>0</v>
      </c>
      <c r="AB31" s="378">
        <f t="shared" si="24"/>
        <v>0</v>
      </c>
      <c r="AC31" s="547">
        <f t="shared" si="24"/>
        <v>0</v>
      </c>
      <c r="AD31" s="378">
        <f t="shared" si="24"/>
        <v>0</v>
      </c>
      <c r="AE31" s="546">
        <f t="shared" si="24"/>
        <v>0</v>
      </c>
      <c r="AF31" s="378">
        <f t="shared" si="24"/>
        <v>0</v>
      </c>
      <c r="AG31" s="378">
        <f t="shared" si="24"/>
        <v>0</v>
      </c>
      <c r="AH31" s="378">
        <f t="shared" si="24"/>
        <v>0</v>
      </c>
      <c r="AI31" s="378">
        <f t="shared" si="24"/>
        <v>0</v>
      </c>
      <c r="AJ31" s="378">
        <f t="shared" si="24"/>
        <v>0</v>
      </c>
      <c r="AK31" s="378">
        <f t="shared" si="24"/>
        <v>0</v>
      </c>
      <c r="AL31" s="378">
        <f t="shared" si="24"/>
        <v>0</v>
      </c>
      <c r="AM31" s="378">
        <f t="shared" si="24"/>
        <v>0</v>
      </c>
      <c r="AN31" s="378">
        <f t="shared" si="24"/>
        <v>0</v>
      </c>
      <c r="AO31" s="378">
        <f t="shared" si="24"/>
        <v>0</v>
      </c>
      <c r="AP31" s="548">
        <f t="shared" si="24"/>
        <v>0</v>
      </c>
      <c r="AQ31" s="448"/>
      <c r="AR31" s="449"/>
      <c r="AS31" s="449"/>
      <c r="AT31" s="321"/>
    </row>
    <row r="32" spans="1:46" ht="12.75" x14ac:dyDescent="0.2">
      <c r="A32" s="600"/>
      <c r="B32" s="201" t="s">
        <v>124</v>
      </c>
      <c r="C32" s="551"/>
      <c r="D32" s="552"/>
      <c r="E32" s="553">
        <f t="shared" ref="E32:AP32" si="25">D32+E35</f>
        <v>0</v>
      </c>
      <c r="F32" s="553">
        <f t="shared" si="25"/>
        <v>0</v>
      </c>
      <c r="G32" s="553">
        <f t="shared" si="25"/>
        <v>0</v>
      </c>
      <c r="H32" s="553">
        <f t="shared" si="25"/>
        <v>0</v>
      </c>
      <c r="I32" s="553">
        <f t="shared" si="25"/>
        <v>0</v>
      </c>
      <c r="J32" s="553">
        <f t="shared" si="25"/>
        <v>0</v>
      </c>
      <c r="K32" s="553">
        <f t="shared" si="25"/>
        <v>0</v>
      </c>
      <c r="L32" s="553">
        <f t="shared" si="25"/>
        <v>0</v>
      </c>
      <c r="M32" s="553">
        <f t="shared" si="25"/>
        <v>0</v>
      </c>
      <c r="N32" s="553">
        <f t="shared" si="25"/>
        <v>0</v>
      </c>
      <c r="O32" s="553">
        <f t="shared" si="25"/>
        <v>0</v>
      </c>
      <c r="P32" s="554">
        <f t="shared" si="25"/>
        <v>0</v>
      </c>
      <c r="Q32" s="553">
        <f t="shared" si="25"/>
        <v>0</v>
      </c>
      <c r="R32" s="555">
        <f t="shared" si="25"/>
        <v>0</v>
      </c>
      <c r="S32" s="556">
        <f t="shared" si="25"/>
        <v>0</v>
      </c>
      <c r="T32" s="556">
        <f t="shared" si="25"/>
        <v>0</v>
      </c>
      <c r="U32" s="556">
        <f t="shared" si="25"/>
        <v>0</v>
      </c>
      <c r="V32" s="556">
        <f t="shared" si="25"/>
        <v>0</v>
      </c>
      <c r="W32" s="556">
        <f t="shared" si="25"/>
        <v>0</v>
      </c>
      <c r="X32" s="556">
        <f t="shared" si="25"/>
        <v>0</v>
      </c>
      <c r="Y32" s="556">
        <f t="shared" si="25"/>
        <v>0</v>
      </c>
      <c r="Z32" s="556">
        <f t="shared" si="25"/>
        <v>0</v>
      </c>
      <c r="AA32" s="556">
        <f t="shared" si="25"/>
        <v>0</v>
      </c>
      <c r="AB32" s="556">
        <f t="shared" si="25"/>
        <v>0</v>
      </c>
      <c r="AC32" s="557">
        <f t="shared" si="25"/>
        <v>0</v>
      </c>
      <c r="AD32" s="556">
        <f t="shared" si="25"/>
        <v>0</v>
      </c>
      <c r="AE32" s="555">
        <f t="shared" si="25"/>
        <v>0</v>
      </c>
      <c r="AF32" s="556">
        <f t="shared" si="25"/>
        <v>0</v>
      </c>
      <c r="AG32" s="556">
        <f t="shared" si="25"/>
        <v>0</v>
      </c>
      <c r="AH32" s="556">
        <f t="shared" si="25"/>
        <v>0</v>
      </c>
      <c r="AI32" s="556">
        <f t="shared" si="25"/>
        <v>0</v>
      </c>
      <c r="AJ32" s="556">
        <f t="shared" si="25"/>
        <v>0</v>
      </c>
      <c r="AK32" s="556">
        <f t="shared" si="25"/>
        <v>0</v>
      </c>
      <c r="AL32" s="556">
        <f t="shared" si="25"/>
        <v>0</v>
      </c>
      <c r="AM32" s="556">
        <f t="shared" si="25"/>
        <v>0</v>
      </c>
      <c r="AN32" s="556">
        <f t="shared" si="25"/>
        <v>0</v>
      </c>
      <c r="AO32" s="556">
        <f t="shared" si="25"/>
        <v>0</v>
      </c>
      <c r="AP32" s="558">
        <f t="shared" si="25"/>
        <v>0</v>
      </c>
      <c r="AQ32" s="448"/>
      <c r="AR32" s="449"/>
      <c r="AS32" s="449"/>
      <c r="AT32" s="321"/>
    </row>
    <row r="33" spans="1:46" ht="18" x14ac:dyDescent="0.25">
      <c r="A33" s="559" t="s">
        <v>205</v>
      </c>
      <c r="B33" s="560"/>
      <c r="C33" s="536"/>
      <c r="D33" s="534"/>
      <c r="E33" s="612"/>
      <c r="F33" s="612"/>
      <c r="G33" s="612"/>
      <c r="H33" s="612"/>
      <c r="I33" s="612"/>
      <c r="J33" s="612"/>
      <c r="K33" s="612"/>
      <c r="L33" s="612"/>
      <c r="M33" s="612"/>
      <c r="N33" s="612"/>
      <c r="O33" s="612"/>
      <c r="P33" s="613"/>
      <c r="Q33" s="612"/>
      <c r="R33" s="614"/>
      <c r="S33" s="612"/>
      <c r="T33" s="612"/>
      <c r="U33" s="612"/>
      <c r="V33" s="612"/>
      <c r="W33" s="612"/>
      <c r="X33" s="612"/>
      <c r="Y33" s="612"/>
      <c r="Z33" s="612"/>
      <c r="AA33" s="612"/>
      <c r="AB33" s="612"/>
      <c r="AC33" s="613"/>
      <c r="AD33" s="612"/>
      <c r="AE33" s="614"/>
      <c r="AF33" s="612"/>
      <c r="AG33" s="612"/>
      <c r="AH33" s="612"/>
      <c r="AI33" s="612"/>
      <c r="AJ33" s="612"/>
      <c r="AK33" s="612"/>
      <c r="AL33" s="612"/>
      <c r="AM33" s="612"/>
      <c r="AN33" s="612"/>
      <c r="AO33" s="612"/>
      <c r="AP33" s="615"/>
      <c r="AQ33" s="397"/>
      <c r="AR33" s="398"/>
      <c r="AS33" s="398"/>
      <c r="AT33" s="399"/>
    </row>
    <row r="34" spans="1:46" ht="12.75" x14ac:dyDescent="0.2">
      <c r="A34" s="561" t="s">
        <v>206</v>
      </c>
      <c r="B34" s="534" t="s">
        <v>123</v>
      </c>
      <c r="C34" s="542"/>
      <c r="D34" s="543"/>
      <c r="E34" s="544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5"/>
      <c r="Q34" s="544"/>
      <c r="R34" s="546"/>
      <c r="S34" s="378"/>
      <c r="T34" s="378"/>
      <c r="U34" s="378"/>
      <c r="V34" s="378"/>
      <c r="W34" s="378"/>
      <c r="X34" s="378"/>
      <c r="Y34" s="378"/>
      <c r="Z34" s="378"/>
      <c r="AA34" s="378"/>
      <c r="AB34" s="378"/>
      <c r="AC34" s="547"/>
      <c r="AD34" s="378"/>
      <c r="AE34" s="546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548"/>
      <c r="AQ34" s="448"/>
      <c r="AR34" s="449"/>
      <c r="AS34" s="449"/>
      <c r="AT34" s="399"/>
    </row>
    <row r="35" spans="1:46" ht="12.75" x14ac:dyDescent="0.2">
      <c r="A35" s="562"/>
      <c r="B35" s="563" t="s">
        <v>124</v>
      </c>
      <c r="C35" s="564"/>
      <c r="D35" s="565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7"/>
      <c r="Q35" s="566"/>
      <c r="R35" s="568"/>
      <c r="S35" s="569"/>
      <c r="T35" s="569"/>
      <c r="U35" s="569"/>
      <c r="V35" s="569"/>
      <c r="W35" s="569"/>
      <c r="X35" s="569"/>
      <c r="Y35" s="569"/>
      <c r="Z35" s="569"/>
      <c r="AA35" s="569"/>
      <c r="AB35" s="569"/>
      <c r="AC35" s="570"/>
      <c r="AD35" s="569"/>
      <c r="AE35" s="568"/>
      <c r="AF35" s="569"/>
      <c r="AG35" s="569"/>
      <c r="AH35" s="569"/>
      <c r="AI35" s="569"/>
      <c r="AJ35" s="569"/>
      <c r="AK35" s="569"/>
      <c r="AL35" s="569"/>
      <c r="AM35" s="569"/>
      <c r="AN35" s="569"/>
      <c r="AO35" s="569"/>
      <c r="AP35" s="571"/>
      <c r="AQ35" s="448"/>
      <c r="AR35" s="449"/>
      <c r="AS35" s="449"/>
      <c r="AT35" s="399"/>
    </row>
    <row r="36" spans="1:46" ht="12.75" x14ac:dyDescent="0.2">
      <c r="A36" s="572"/>
      <c r="B36" s="573"/>
      <c r="C36" s="573"/>
      <c r="D36" s="573"/>
      <c r="E36" s="574"/>
      <c r="F36" s="574"/>
      <c r="G36" s="574"/>
      <c r="H36" s="574"/>
      <c r="I36" s="574"/>
      <c r="J36" s="574"/>
      <c r="K36" s="574"/>
      <c r="L36" s="574"/>
      <c r="M36" s="574"/>
      <c r="N36" s="574"/>
      <c r="O36" s="574"/>
      <c r="P36" s="574"/>
      <c r="Q36" s="574"/>
      <c r="R36" s="575"/>
      <c r="S36" s="575"/>
      <c r="T36" s="575"/>
      <c r="U36" s="575"/>
      <c r="V36" s="575"/>
      <c r="W36" s="575"/>
      <c r="X36" s="575"/>
      <c r="Y36" s="575"/>
      <c r="Z36" s="575"/>
      <c r="AA36" s="575"/>
      <c r="AB36" s="575"/>
      <c r="AC36" s="575"/>
      <c r="AD36" s="575"/>
      <c r="AE36" s="575"/>
      <c r="AF36" s="575"/>
      <c r="AG36" s="575"/>
      <c r="AH36" s="575"/>
      <c r="AI36" s="575"/>
      <c r="AJ36" s="575"/>
      <c r="AK36" s="575"/>
      <c r="AL36" s="575"/>
      <c r="AM36" s="575"/>
      <c r="AN36" s="575"/>
      <c r="AO36" s="575"/>
      <c r="AP36" s="575"/>
      <c r="AQ36" s="449"/>
      <c r="AR36" s="449"/>
      <c r="AS36" s="449"/>
      <c r="AT36" s="398"/>
    </row>
    <row r="37" spans="1:46" ht="18" x14ac:dyDescent="0.25">
      <c r="A37" s="590" t="s">
        <v>125</v>
      </c>
      <c r="B37" s="591"/>
      <c r="C37" s="592" t="s">
        <v>203</v>
      </c>
      <c r="D37" s="517">
        <f t="shared" ref="D37:P37" si="26">SUMPRODUCT(D38:D39,D17:D18)</f>
        <v>18942000000</v>
      </c>
      <c r="E37" s="515">
        <f t="shared" si="26"/>
        <v>0</v>
      </c>
      <c r="F37" s="576">
        <f t="shared" si="26"/>
        <v>0</v>
      </c>
      <c r="G37" s="576">
        <f t="shared" si="26"/>
        <v>0</v>
      </c>
      <c r="H37" s="515">
        <f t="shared" si="26"/>
        <v>0</v>
      </c>
      <c r="I37" s="515">
        <f t="shared" si="26"/>
        <v>0</v>
      </c>
      <c r="J37" s="515">
        <f t="shared" si="26"/>
        <v>7333200000</v>
      </c>
      <c r="K37" s="515">
        <f t="shared" si="26"/>
        <v>7333200000</v>
      </c>
      <c r="L37" s="515">
        <f t="shared" si="26"/>
        <v>7699860000</v>
      </c>
      <c r="M37" s="515">
        <f t="shared" si="26"/>
        <v>7699860000</v>
      </c>
      <c r="N37" s="515">
        <f t="shared" si="26"/>
        <v>8066520000</v>
      </c>
      <c r="O37" s="515">
        <f t="shared" si="26"/>
        <v>8066520000</v>
      </c>
      <c r="P37" s="517">
        <f t="shared" si="26"/>
        <v>8066520000</v>
      </c>
      <c r="Q37" s="515"/>
      <c r="R37" s="518">
        <f t="shared" ref="R37:AC37" si="27">SUMPRODUCT(R38:R39,R17:R18)</f>
        <v>6966540000</v>
      </c>
      <c r="S37" s="515">
        <f t="shared" si="27"/>
        <v>6966540000</v>
      </c>
      <c r="T37" s="515">
        <f t="shared" si="27"/>
        <v>6966540000</v>
      </c>
      <c r="U37" s="515">
        <f t="shared" si="27"/>
        <v>8433180000</v>
      </c>
      <c r="V37" s="515">
        <f t="shared" si="27"/>
        <v>8433180000</v>
      </c>
      <c r="W37" s="515">
        <f t="shared" si="27"/>
        <v>8433180000</v>
      </c>
      <c r="X37" s="515">
        <f t="shared" si="27"/>
        <v>8799840000</v>
      </c>
      <c r="Y37" s="515">
        <f t="shared" si="27"/>
        <v>8799840000</v>
      </c>
      <c r="Z37" s="616">
        <f t="shared" si="27"/>
        <v>8799840000</v>
      </c>
      <c r="AA37" s="515">
        <f t="shared" si="27"/>
        <v>9166500000</v>
      </c>
      <c r="AB37" s="515">
        <f t="shared" si="27"/>
        <v>14023800000</v>
      </c>
      <c r="AC37" s="517">
        <f t="shared" si="27"/>
        <v>14023800000</v>
      </c>
      <c r="AD37" s="515"/>
      <c r="AE37" s="518">
        <f t="shared" ref="AE37:AP37" si="28">SUMPRODUCT(AE38:AE39,AE17:AE18)</f>
        <v>11466630000</v>
      </c>
      <c r="AF37" s="515">
        <f t="shared" si="28"/>
        <v>11466630000</v>
      </c>
      <c r="AG37" s="515">
        <f t="shared" si="28"/>
        <v>11466630000</v>
      </c>
      <c r="AH37" s="515">
        <f t="shared" si="28"/>
        <v>14628600000</v>
      </c>
      <c r="AI37" s="515">
        <f t="shared" si="28"/>
        <v>14628600000</v>
      </c>
      <c r="AJ37" s="515">
        <f t="shared" si="28"/>
        <v>14628600000</v>
      </c>
      <c r="AK37" s="515">
        <f t="shared" si="28"/>
        <v>15480990000</v>
      </c>
      <c r="AL37" s="515">
        <f t="shared" si="28"/>
        <v>15480990000</v>
      </c>
      <c r="AM37" s="515">
        <f t="shared" si="28"/>
        <v>15966720000</v>
      </c>
      <c r="AN37" s="515">
        <f t="shared" si="28"/>
        <v>16333380000</v>
      </c>
      <c r="AO37" s="515">
        <f t="shared" si="28"/>
        <v>16333380000</v>
      </c>
      <c r="AP37" s="519">
        <f t="shared" si="28"/>
        <v>16333380000</v>
      </c>
      <c r="AQ37" s="416"/>
      <c r="AR37" s="417"/>
      <c r="AS37" s="417"/>
      <c r="AT37" s="321"/>
    </row>
    <row r="38" spans="1:46" ht="12.75" x14ac:dyDescent="0.2">
      <c r="A38" s="593"/>
      <c r="B38" s="194" t="s">
        <v>123</v>
      </c>
      <c r="C38" s="594">
        <f t="shared" ref="C38:C39" si="29">C28</f>
        <v>6790000</v>
      </c>
      <c r="D38" s="595">
        <f t="shared" ref="D38:D39" si="30">C38</f>
        <v>6790000</v>
      </c>
      <c r="E38" s="216">
        <f t="shared" ref="E38:P38" si="31">$C38*(E44)+D38</f>
        <v>6111000</v>
      </c>
      <c r="F38" s="216">
        <f t="shared" si="31"/>
        <v>6111000</v>
      </c>
      <c r="G38" s="216">
        <f t="shared" si="31"/>
        <v>6111000</v>
      </c>
      <c r="H38" s="216">
        <f t="shared" si="31"/>
        <v>6111000</v>
      </c>
      <c r="I38" s="216">
        <f t="shared" si="31"/>
        <v>6111000</v>
      </c>
      <c r="J38" s="216">
        <f t="shared" si="31"/>
        <v>6111000</v>
      </c>
      <c r="K38" s="216">
        <f t="shared" si="31"/>
        <v>6111000</v>
      </c>
      <c r="L38" s="216">
        <f t="shared" si="31"/>
        <v>6111000</v>
      </c>
      <c r="M38" s="216">
        <f t="shared" si="31"/>
        <v>6111000</v>
      </c>
      <c r="N38" s="216">
        <f t="shared" si="31"/>
        <v>6111000</v>
      </c>
      <c r="O38" s="216">
        <f t="shared" si="31"/>
        <v>6111000</v>
      </c>
      <c r="P38" s="595">
        <f t="shared" si="31"/>
        <v>6111000</v>
      </c>
      <c r="Q38" s="216"/>
      <c r="R38" s="596">
        <f t="shared" ref="R38:R39" si="32">$C38*(R44)+P38</f>
        <v>6111000</v>
      </c>
      <c r="S38" s="216">
        <f t="shared" ref="S38:AC38" si="33">$C38*(S44)+R38</f>
        <v>6111000</v>
      </c>
      <c r="T38" s="216">
        <f t="shared" si="33"/>
        <v>6111000</v>
      </c>
      <c r="U38" s="216">
        <f t="shared" si="33"/>
        <v>6111000</v>
      </c>
      <c r="V38" s="216">
        <f t="shared" si="33"/>
        <v>6111000</v>
      </c>
      <c r="W38" s="216">
        <f t="shared" si="33"/>
        <v>6111000</v>
      </c>
      <c r="X38" s="216">
        <f t="shared" si="33"/>
        <v>6111000</v>
      </c>
      <c r="Y38" s="216">
        <f t="shared" si="33"/>
        <v>6111000</v>
      </c>
      <c r="Z38" s="216">
        <f t="shared" si="33"/>
        <v>6111000</v>
      </c>
      <c r="AA38" s="216">
        <f t="shared" si="33"/>
        <v>6111000</v>
      </c>
      <c r="AB38" s="216">
        <f t="shared" si="33"/>
        <v>6111000</v>
      </c>
      <c r="AC38" s="595">
        <f t="shared" si="33"/>
        <v>6111000</v>
      </c>
      <c r="AD38" s="216"/>
      <c r="AE38" s="596">
        <f t="shared" ref="AE38:AE39" si="34">$C38*(AE44)+AC38</f>
        <v>6111000</v>
      </c>
      <c r="AF38" s="216">
        <f t="shared" ref="AF38:AP38" si="35">$C38*(AF44)+AE38</f>
        <v>6111000</v>
      </c>
      <c r="AG38" s="216">
        <f t="shared" si="35"/>
        <v>6111000</v>
      </c>
      <c r="AH38" s="216">
        <f t="shared" si="35"/>
        <v>6111000</v>
      </c>
      <c r="AI38" s="216">
        <f t="shared" si="35"/>
        <v>6111000</v>
      </c>
      <c r="AJ38" s="216">
        <f t="shared" si="35"/>
        <v>6111000</v>
      </c>
      <c r="AK38" s="216">
        <f t="shared" si="35"/>
        <v>6111000</v>
      </c>
      <c r="AL38" s="216">
        <f t="shared" si="35"/>
        <v>6111000</v>
      </c>
      <c r="AM38" s="216">
        <f t="shared" si="35"/>
        <v>6111000</v>
      </c>
      <c r="AN38" s="216">
        <f t="shared" si="35"/>
        <v>6111000</v>
      </c>
      <c r="AO38" s="216">
        <f t="shared" si="35"/>
        <v>6111000</v>
      </c>
      <c r="AP38" s="597">
        <f t="shared" si="35"/>
        <v>6111000</v>
      </c>
      <c r="AQ38" s="598"/>
      <c r="AR38" s="599"/>
      <c r="AS38" s="599"/>
      <c r="AT38" s="321"/>
    </row>
    <row r="39" spans="1:46" ht="12.75" x14ac:dyDescent="0.2">
      <c r="A39" s="600"/>
      <c r="B39" s="201" t="s">
        <v>124</v>
      </c>
      <c r="C39" s="601">
        <f t="shared" si="29"/>
        <v>17990000</v>
      </c>
      <c r="D39" s="602">
        <f t="shared" si="30"/>
        <v>17990000</v>
      </c>
      <c r="E39" s="221">
        <f t="shared" ref="E39:P39" si="36">$C39*(E45)+D39</f>
        <v>16191000</v>
      </c>
      <c r="F39" s="221">
        <f t="shared" si="36"/>
        <v>16191000</v>
      </c>
      <c r="G39" s="221">
        <f t="shared" si="36"/>
        <v>16191000</v>
      </c>
      <c r="H39" s="221">
        <f t="shared" si="36"/>
        <v>16191000</v>
      </c>
      <c r="I39" s="221">
        <f t="shared" si="36"/>
        <v>16191000</v>
      </c>
      <c r="J39" s="221">
        <f t="shared" si="36"/>
        <v>16191000</v>
      </c>
      <c r="K39" s="221">
        <f t="shared" si="36"/>
        <v>16191000</v>
      </c>
      <c r="L39" s="221">
        <f t="shared" si="36"/>
        <v>16191000</v>
      </c>
      <c r="M39" s="221">
        <f t="shared" si="36"/>
        <v>16191000</v>
      </c>
      <c r="N39" s="221">
        <f t="shared" si="36"/>
        <v>16191000</v>
      </c>
      <c r="O39" s="221">
        <f t="shared" si="36"/>
        <v>16191000</v>
      </c>
      <c r="P39" s="602">
        <f t="shared" si="36"/>
        <v>16191000</v>
      </c>
      <c r="Q39" s="221"/>
      <c r="R39" s="603">
        <f t="shared" si="32"/>
        <v>16191000</v>
      </c>
      <c r="S39" s="221">
        <f t="shared" ref="S39:AC39" si="37">$C39*(S45)+R39</f>
        <v>16191000</v>
      </c>
      <c r="T39" s="221">
        <f t="shared" si="37"/>
        <v>16191000</v>
      </c>
      <c r="U39" s="221">
        <f t="shared" si="37"/>
        <v>16191000</v>
      </c>
      <c r="V39" s="221">
        <f t="shared" si="37"/>
        <v>16191000</v>
      </c>
      <c r="W39" s="221">
        <f t="shared" si="37"/>
        <v>16191000</v>
      </c>
      <c r="X39" s="221">
        <f t="shared" si="37"/>
        <v>16191000</v>
      </c>
      <c r="Y39" s="221">
        <f t="shared" si="37"/>
        <v>16191000</v>
      </c>
      <c r="Z39" s="221">
        <f t="shared" si="37"/>
        <v>16191000</v>
      </c>
      <c r="AA39" s="221">
        <f t="shared" si="37"/>
        <v>16191000</v>
      </c>
      <c r="AB39" s="221">
        <f t="shared" si="37"/>
        <v>16191000</v>
      </c>
      <c r="AC39" s="602">
        <f t="shared" si="37"/>
        <v>16191000</v>
      </c>
      <c r="AD39" s="221"/>
      <c r="AE39" s="603">
        <f t="shared" si="34"/>
        <v>16191000</v>
      </c>
      <c r="AF39" s="221">
        <f t="shared" ref="AF39:AP39" si="38">$C39*(AF45)+AE39</f>
        <v>16191000</v>
      </c>
      <c r="AG39" s="221">
        <f t="shared" si="38"/>
        <v>16191000</v>
      </c>
      <c r="AH39" s="221">
        <f t="shared" si="38"/>
        <v>16191000</v>
      </c>
      <c r="AI39" s="221">
        <f t="shared" si="38"/>
        <v>16191000</v>
      </c>
      <c r="AJ39" s="221">
        <f t="shared" si="38"/>
        <v>16191000</v>
      </c>
      <c r="AK39" s="221">
        <f t="shared" si="38"/>
        <v>16191000</v>
      </c>
      <c r="AL39" s="221">
        <f t="shared" si="38"/>
        <v>16191000</v>
      </c>
      <c r="AM39" s="221">
        <f t="shared" si="38"/>
        <v>16191000</v>
      </c>
      <c r="AN39" s="221">
        <f t="shared" si="38"/>
        <v>16191000</v>
      </c>
      <c r="AO39" s="221">
        <f t="shared" si="38"/>
        <v>16191000</v>
      </c>
      <c r="AP39" s="604">
        <f t="shared" si="38"/>
        <v>16191000</v>
      </c>
      <c r="AQ39" s="598"/>
      <c r="AR39" s="599"/>
      <c r="AS39" s="599"/>
      <c r="AT39" s="321"/>
    </row>
    <row r="40" spans="1:46" ht="18" x14ac:dyDescent="0.25">
      <c r="A40" s="605" t="s">
        <v>207</v>
      </c>
      <c r="B40" s="606"/>
      <c r="C40" s="607"/>
      <c r="D40" s="608"/>
      <c r="E40" s="266"/>
      <c r="F40" s="266"/>
      <c r="G40" s="266"/>
      <c r="H40" s="607"/>
      <c r="I40" s="607"/>
      <c r="J40" s="607"/>
      <c r="K40" s="607"/>
      <c r="L40" s="607"/>
      <c r="M40" s="607"/>
      <c r="N40" s="607"/>
      <c r="O40" s="607"/>
      <c r="P40" s="609"/>
      <c r="Q40" s="607"/>
      <c r="R40" s="610"/>
      <c r="S40" s="607"/>
      <c r="T40" s="607"/>
      <c r="U40" s="607"/>
      <c r="V40" s="607"/>
      <c r="W40" s="607"/>
      <c r="X40" s="607"/>
      <c r="Y40" s="607"/>
      <c r="Z40" s="607"/>
      <c r="AA40" s="607"/>
      <c r="AB40" s="607"/>
      <c r="AC40" s="609"/>
      <c r="AD40" s="607"/>
      <c r="AE40" s="610"/>
      <c r="AF40" s="607"/>
      <c r="AG40" s="607"/>
      <c r="AH40" s="607"/>
      <c r="AI40" s="607"/>
      <c r="AJ40" s="607"/>
      <c r="AK40" s="607"/>
      <c r="AL40" s="607"/>
      <c r="AM40" s="607"/>
      <c r="AN40" s="607"/>
      <c r="AO40" s="607"/>
      <c r="AP40" s="611"/>
      <c r="AQ40" s="352"/>
      <c r="AR40" s="353"/>
      <c r="AS40" s="353"/>
      <c r="AT40" s="321"/>
    </row>
    <row r="41" spans="1:46" ht="12.75" x14ac:dyDescent="0.2">
      <c r="A41" s="541" t="s">
        <v>195</v>
      </c>
      <c r="B41" s="194" t="s">
        <v>123</v>
      </c>
      <c r="C41" s="542"/>
      <c r="D41" s="543"/>
      <c r="E41" s="544">
        <f t="shared" ref="E41:AP41" si="39">D41+E44</f>
        <v>-0.1</v>
      </c>
      <c r="F41" s="544">
        <f t="shared" si="39"/>
        <v>-0.1</v>
      </c>
      <c r="G41" s="544">
        <f t="shared" si="39"/>
        <v>-0.1</v>
      </c>
      <c r="H41" s="544">
        <f t="shared" si="39"/>
        <v>-0.1</v>
      </c>
      <c r="I41" s="544">
        <f t="shared" si="39"/>
        <v>-0.1</v>
      </c>
      <c r="J41" s="544">
        <f t="shared" si="39"/>
        <v>-0.1</v>
      </c>
      <c r="K41" s="544">
        <f t="shared" si="39"/>
        <v>-0.1</v>
      </c>
      <c r="L41" s="544">
        <f t="shared" si="39"/>
        <v>-0.1</v>
      </c>
      <c r="M41" s="544">
        <f t="shared" si="39"/>
        <v>-0.1</v>
      </c>
      <c r="N41" s="544">
        <f t="shared" si="39"/>
        <v>-0.1</v>
      </c>
      <c r="O41" s="544">
        <f t="shared" si="39"/>
        <v>-0.1</v>
      </c>
      <c r="P41" s="545">
        <f t="shared" si="39"/>
        <v>-0.1</v>
      </c>
      <c r="Q41" s="544">
        <f t="shared" si="39"/>
        <v>-0.1</v>
      </c>
      <c r="R41" s="546">
        <f t="shared" si="39"/>
        <v>-0.1</v>
      </c>
      <c r="S41" s="378">
        <f t="shared" si="39"/>
        <v>-0.1</v>
      </c>
      <c r="T41" s="378">
        <f t="shared" si="39"/>
        <v>-0.1</v>
      </c>
      <c r="U41" s="378">
        <f t="shared" si="39"/>
        <v>-0.1</v>
      </c>
      <c r="V41" s="378">
        <f t="shared" si="39"/>
        <v>-0.1</v>
      </c>
      <c r="W41" s="378">
        <f t="shared" si="39"/>
        <v>-0.1</v>
      </c>
      <c r="X41" s="378">
        <f t="shared" si="39"/>
        <v>-0.1</v>
      </c>
      <c r="Y41" s="378">
        <f t="shared" si="39"/>
        <v>-0.1</v>
      </c>
      <c r="Z41" s="378">
        <f t="shared" si="39"/>
        <v>-0.1</v>
      </c>
      <c r="AA41" s="378">
        <f t="shared" si="39"/>
        <v>-0.1</v>
      </c>
      <c r="AB41" s="378">
        <f t="shared" si="39"/>
        <v>-0.1</v>
      </c>
      <c r="AC41" s="547">
        <f t="shared" si="39"/>
        <v>-0.1</v>
      </c>
      <c r="AD41" s="378">
        <f t="shared" si="39"/>
        <v>-0.1</v>
      </c>
      <c r="AE41" s="546">
        <f t="shared" si="39"/>
        <v>-0.1</v>
      </c>
      <c r="AF41" s="378">
        <f t="shared" si="39"/>
        <v>-0.1</v>
      </c>
      <c r="AG41" s="378">
        <f t="shared" si="39"/>
        <v>-0.1</v>
      </c>
      <c r="AH41" s="378">
        <f t="shared" si="39"/>
        <v>-0.1</v>
      </c>
      <c r="AI41" s="378">
        <f t="shared" si="39"/>
        <v>-0.1</v>
      </c>
      <c r="AJ41" s="378">
        <f t="shared" si="39"/>
        <v>-0.1</v>
      </c>
      <c r="AK41" s="378">
        <f t="shared" si="39"/>
        <v>-0.1</v>
      </c>
      <c r="AL41" s="378">
        <f t="shared" si="39"/>
        <v>-0.1</v>
      </c>
      <c r="AM41" s="378">
        <f t="shared" si="39"/>
        <v>-0.1</v>
      </c>
      <c r="AN41" s="378">
        <f t="shared" si="39"/>
        <v>-0.1</v>
      </c>
      <c r="AO41" s="378">
        <f t="shared" si="39"/>
        <v>-0.1</v>
      </c>
      <c r="AP41" s="548">
        <f t="shared" si="39"/>
        <v>-0.1</v>
      </c>
      <c r="AQ41" s="448"/>
      <c r="AR41" s="449"/>
      <c r="AS41" s="449"/>
      <c r="AT41" s="321"/>
    </row>
    <row r="42" spans="1:46" ht="12.75" x14ac:dyDescent="0.2">
      <c r="A42" s="600"/>
      <c r="B42" s="201" t="s">
        <v>124</v>
      </c>
      <c r="C42" s="551"/>
      <c r="D42" s="552"/>
      <c r="E42" s="553">
        <f t="shared" ref="E42:AP42" si="40">D42+E45</f>
        <v>-0.1</v>
      </c>
      <c r="F42" s="553">
        <f t="shared" si="40"/>
        <v>-0.1</v>
      </c>
      <c r="G42" s="553">
        <f t="shared" si="40"/>
        <v>-0.1</v>
      </c>
      <c r="H42" s="553">
        <f t="shared" si="40"/>
        <v>-0.1</v>
      </c>
      <c r="I42" s="553">
        <f t="shared" si="40"/>
        <v>-0.1</v>
      </c>
      <c r="J42" s="553">
        <f t="shared" si="40"/>
        <v>-0.1</v>
      </c>
      <c r="K42" s="553">
        <f t="shared" si="40"/>
        <v>-0.1</v>
      </c>
      <c r="L42" s="553">
        <f t="shared" si="40"/>
        <v>-0.1</v>
      </c>
      <c r="M42" s="553">
        <f t="shared" si="40"/>
        <v>-0.1</v>
      </c>
      <c r="N42" s="553">
        <f t="shared" si="40"/>
        <v>-0.1</v>
      </c>
      <c r="O42" s="553">
        <f t="shared" si="40"/>
        <v>-0.1</v>
      </c>
      <c r="P42" s="554">
        <f t="shared" si="40"/>
        <v>-0.1</v>
      </c>
      <c r="Q42" s="553">
        <f t="shared" si="40"/>
        <v>-0.1</v>
      </c>
      <c r="R42" s="555">
        <f t="shared" si="40"/>
        <v>-0.1</v>
      </c>
      <c r="S42" s="556">
        <f t="shared" si="40"/>
        <v>-0.1</v>
      </c>
      <c r="T42" s="556">
        <f t="shared" si="40"/>
        <v>-0.1</v>
      </c>
      <c r="U42" s="556">
        <f t="shared" si="40"/>
        <v>-0.1</v>
      </c>
      <c r="V42" s="556">
        <f t="shared" si="40"/>
        <v>-0.1</v>
      </c>
      <c r="W42" s="556">
        <f t="shared" si="40"/>
        <v>-0.1</v>
      </c>
      <c r="X42" s="556">
        <f t="shared" si="40"/>
        <v>-0.1</v>
      </c>
      <c r="Y42" s="556">
        <f t="shared" si="40"/>
        <v>-0.1</v>
      </c>
      <c r="Z42" s="556">
        <f t="shared" si="40"/>
        <v>-0.1</v>
      </c>
      <c r="AA42" s="556">
        <f t="shared" si="40"/>
        <v>-0.1</v>
      </c>
      <c r="AB42" s="556">
        <f t="shared" si="40"/>
        <v>-0.1</v>
      </c>
      <c r="AC42" s="557">
        <f t="shared" si="40"/>
        <v>-0.1</v>
      </c>
      <c r="AD42" s="556">
        <f t="shared" si="40"/>
        <v>-0.1</v>
      </c>
      <c r="AE42" s="555">
        <f t="shared" si="40"/>
        <v>-0.1</v>
      </c>
      <c r="AF42" s="556">
        <f t="shared" si="40"/>
        <v>-0.1</v>
      </c>
      <c r="AG42" s="556">
        <f t="shared" si="40"/>
        <v>-0.1</v>
      </c>
      <c r="AH42" s="556">
        <f t="shared" si="40"/>
        <v>-0.1</v>
      </c>
      <c r="AI42" s="556">
        <f t="shared" si="40"/>
        <v>-0.1</v>
      </c>
      <c r="AJ42" s="556">
        <f t="shared" si="40"/>
        <v>-0.1</v>
      </c>
      <c r="AK42" s="556">
        <f t="shared" si="40"/>
        <v>-0.1</v>
      </c>
      <c r="AL42" s="556">
        <f t="shared" si="40"/>
        <v>-0.1</v>
      </c>
      <c r="AM42" s="556">
        <f t="shared" si="40"/>
        <v>-0.1</v>
      </c>
      <c r="AN42" s="556">
        <f t="shared" si="40"/>
        <v>-0.1</v>
      </c>
      <c r="AO42" s="556">
        <f t="shared" si="40"/>
        <v>-0.1</v>
      </c>
      <c r="AP42" s="558">
        <f t="shared" si="40"/>
        <v>-0.1</v>
      </c>
      <c r="AQ42" s="448"/>
      <c r="AR42" s="449"/>
      <c r="AS42" s="449"/>
      <c r="AT42" s="321"/>
    </row>
    <row r="43" spans="1:46" ht="18" x14ac:dyDescent="0.25">
      <c r="A43" s="559" t="s">
        <v>208</v>
      </c>
      <c r="B43" s="560"/>
      <c r="C43" s="612"/>
      <c r="D43" s="613"/>
      <c r="E43" s="612"/>
      <c r="F43" s="612"/>
      <c r="G43" s="612"/>
      <c r="H43" s="612"/>
      <c r="I43" s="612"/>
      <c r="J43" s="612"/>
      <c r="K43" s="612"/>
      <c r="L43" s="612"/>
      <c r="M43" s="612"/>
      <c r="N43" s="612"/>
      <c r="O43" s="612"/>
      <c r="P43" s="613"/>
      <c r="Q43" s="612"/>
      <c r="R43" s="614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3"/>
      <c r="AD43" s="612"/>
      <c r="AE43" s="614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  <c r="AP43" s="615"/>
      <c r="AQ43" s="397"/>
      <c r="AR43" s="398"/>
      <c r="AS43" s="398"/>
      <c r="AT43" s="399"/>
    </row>
    <row r="44" spans="1:46" ht="25.5" x14ac:dyDescent="0.2">
      <c r="A44" s="561" t="s">
        <v>209</v>
      </c>
      <c r="B44" s="534" t="s">
        <v>123</v>
      </c>
      <c r="C44" s="542"/>
      <c r="D44" s="543"/>
      <c r="E44" s="544">
        <v>-0.1</v>
      </c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5"/>
      <c r="Q44" s="544"/>
      <c r="R44" s="546"/>
      <c r="S44" s="378"/>
      <c r="T44" s="378"/>
      <c r="U44" s="378"/>
      <c r="V44" s="378"/>
      <c r="W44" s="378"/>
      <c r="X44" s="378"/>
      <c r="Y44" s="378"/>
      <c r="Z44" s="378"/>
      <c r="AA44" s="378"/>
      <c r="AB44" s="378"/>
      <c r="AC44" s="547"/>
      <c r="AD44" s="378"/>
      <c r="AE44" s="546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548"/>
      <c r="AQ44" s="448"/>
      <c r="AR44" s="449"/>
      <c r="AS44" s="449"/>
      <c r="AT44" s="399"/>
    </row>
    <row r="45" spans="1:46" ht="12.75" x14ac:dyDescent="0.2">
      <c r="A45" s="562"/>
      <c r="B45" s="563" t="s">
        <v>124</v>
      </c>
      <c r="C45" s="564"/>
      <c r="D45" s="565"/>
      <c r="E45" s="566">
        <v>-0.1</v>
      </c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7"/>
      <c r="Q45" s="566"/>
      <c r="R45" s="568"/>
      <c r="S45" s="569"/>
      <c r="T45" s="569"/>
      <c r="U45" s="569"/>
      <c r="V45" s="569"/>
      <c r="W45" s="569"/>
      <c r="X45" s="569"/>
      <c r="Y45" s="569"/>
      <c r="Z45" s="569"/>
      <c r="AA45" s="569"/>
      <c r="AB45" s="569"/>
      <c r="AC45" s="570"/>
      <c r="AD45" s="569"/>
      <c r="AE45" s="568"/>
      <c r="AF45" s="569"/>
      <c r="AG45" s="569"/>
      <c r="AH45" s="569"/>
      <c r="AI45" s="569"/>
      <c r="AJ45" s="569"/>
      <c r="AK45" s="569"/>
      <c r="AL45" s="569"/>
      <c r="AM45" s="569"/>
      <c r="AN45" s="569"/>
      <c r="AO45" s="569"/>
      <c r="AP45" s="571"/>
      <c r="AQ45" s="448"/>
      <c r="AR45" s="449"/>
      <c r="AS45" s="449"/>
      <c r="AT45" s="399"/>
    </row>
    <row r="46" spans="1:46" ht="12.75" x14ac:dyDescent="0.2">
      <c r="A46" s="583"/>
      <c r="B46" s="584"/>
      <c r="C46" s="584"/>
      <c r="D46" s="584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5"/>
      <c r="R46" s="586"/>
      <c r="S46" s="586"/>
      <c r="T46" s="586"/>
      <c r="U46" s="586"/>
      <c r="V46" s="586"/>
      <c r="W46" s="586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  <c r="AH46" s="586"/>
      <c r="AI46" s="586"/>
      <c r="AJ46" s="586"/>
      <c r="AK46" s="586"/>
      <c r="AL46" s="586"/>
      <c r="AM46" s="586"/>
      <c r="AN46" s="586"/>
      <c r="AO46" s="586"/>
      <c r="AP46" s="586"/>
      <c r="AQ46" s="449"/>
      <c r="AR46" s="449"/>
      <c r="AS46" s="449"/>
      <c r="AT46" s="398"/>
    </row>
    <row r="47" spans="1:46" ht="18" x14ac:dyDescent="0.25">
      <c r="A47" s="509" t="s">
        <v>210</v>
      </c>
      <c r="B47" s="587"/>
      <c r="C47" s="587"/>
      <c r="D47" s="587"/>
      <c r="E47" s="588"/>
      <c r="F47" s="588"/>
      <c r="G47" s="588"/>
      <c r="H47" s="588"/>
      <c r="I47" s="588"/>
      <c r="J47" s="588"/>
      <c r="K47" s="588"/>
      <c r="L47" s="588"/>
      <c r="M47" s="588"/>
      <c r="N47" s="588"/>
      <c r="O47" s="588"/>
      <c r="P47" s="588"/>
      <c r="Q47" s="588"/>
      <c r="R47" s="589"/>
      <c r="S47" s="589"/>
      <c r="T47" s="589"/>
      <c r="U47" s="589"/>
      <c r="V47" s="589"/>
      <c r="W47" s="589"/>
      <c r="X47" s="589"/>
      <c r="Y47" s="589"/>
      <c r="Z47" s="589"/>
      <c r="AA47" s="589"/>
      <c r="AB47" s="589"/>
      <c r="AC47" s="589"/>
      <c r="AD47" s="589"/>
      <c r="AE47" s="589"/>
      <c r="AF47" s="589"/>
      <c r="AG47" s="589"/>
      <c r="AH47" s="589"/>
      <c r="AI47" s="589"/>
      <c r="AJ47" s="589"/>
      <c r="AK47" s="589"/>
      <c r="AL47" s="589"/>
      <c r="AM47" s="589"/>
      <c r="AN47" s="589"/>
      <c r="AO47" s="589"/>
      <c r="AP47" s="589"/>
      <c r="AQ47" s="449"/>
      <c r="AR47" s="449"/>
      <c r="AS47" s="449"/>
      <c r="AT47" s="398"/>
    </row>
    <row r="48" spans="1:46" ht="18" x14ac:dyDescent="0.25">
      <c r="A48" s="617" t="s">
        <v>211</v>
      </c>
      <c r="B48" s="618"/>
      <c r="C48" s="619"/>
      <c r="D48" s="620"/>
      <c r="E48" s="621">
        <f t="shared" ref="E48:P48" si="41">IF(NOT(SUM(E49:E50)=SUM(E37,E27)), "Error", SUM(E37,E27))</f>
        <v>0</v>
      </c>
      <c r="F48" s="621">
        <f t="shared" si="41"/>
        <v>0</v>
      </c>
      <c r="G48" s="621">
        <f t="shared" si="41"/>
        <v>0</v>
      </c>
      <c r="H48" s="621">
        <f t="shared" si="41"/>
        <v>0</v>
      </c>
      <c r="I48" s="621">
        <f t="shared" si="41"/>
        <v>0</v>
      </c>
      <c r="J48" s="621">
        <f t="shared" si="41"/>
        <v>7333200000</v>
      </c>
      <c r="K48" s="621">
        <f t="shared" si="41"/>
        <v>7333200000</v>
      </c>
      <c r="L48" s="621">
        <f t="shared" si="41"/>
        <v>8310960000</v>
      </c>
      <c r="M48" s="621">
        <f t="shared" si="41"/>
        <v>8310960000</v>
      </c>
      <c r="N48" s="621">
        <f t="shared" si="41"/>
        <v>8711570000</v>
      </c>
      <c r="O48" s="621">
        <f t="shared" si="41"/>
        <v>8711570000</v>
      </c>
      <c r="P48" s="622">
        <f t="shared" si="41"/>
        <v>8711570000</v>
      </c>
      <c r="Q48" s="621"/>
      <c r="R48" s="623">
        <f t="shared" ref="R48:AC48" si="42">IF(NOT(SUM(R49:R50)=SUM(R37,R27)), "Error", SUM(R37,R27))</f>
        <v>7401100000</v>
      </c>
      <c r="S48" s="621">
        <f t="shared" si="42"/>
        <v>7401100000</v>
      </c>
      <c r="T48" s="621">
        <f t="shared" si="42"/>
        <v>7401100000</v>
      </c>
      <c r="U48" s="621">
        <f t="shared" si="42"/>
        <v>9085020000</v>
      </c>
      <c r="V48" s="621">
        <f t="shared" si="42"/>
        <v>9085020000</v>
      </c>
      <c r="W48" s="621">
        <f t="shared" si="42"/>
        <v>9085020000</v>
      </c>
      <c r="X48" s="621">
        <f t="shared" si="42"/>
        <v>9424520000</v>
      </c>
      <c r="Y48" s="621">
        <f t="shared" si="42"/>
        <v>9424520000</v>
      </c>
      <c r="Z48" s="621">
        <f t="shared" si="42"/>
        <v>9424520000</v>
      </c>
      <c r="AA48" s="621">
        <f t="shared" si="42"/>
        <v>9825130000</v>
      </c>
      <c r="AB48" s="621">
        <f t="shared" si="42"/>
        <v>14716380000</v>
      </c>
      <c r="AC48" s="622">
        <f t="shared" si="42"/>
        <v>14750330000</v>
      </c>
      <c r="AD48" s="621"/>
      <c r="AE48" s="623">
        <f t="shared" ref="AE48:AP48" si="43">IF(NOT(SUM(AE49:AE50)=SUM(AE37,AE27)), "Error", SUM(AE37,AE27))</f>
        <v>12848220000</v>
      </c>
      <c r="AF48" s="621">
        <f t="shared" si="43"/>
        <v>12668320000</v>
      </c>
      <c r="AG48" s="621">
        <f t="shared" si="43"/>
        <v>12668320000</v>
      </c>
      <c r="AH48" s="621">
        <f t="shared" si="43"/>
        <v>16344580000</v>
      </c>
      <c r="AI48" s="621">
        <f t="shared" si="43"/>
        <v>16344580000</v>
      </c>
      <c r="AJ48" s="621">
        <f t="shared" si="43"/>
        <v>16344580000</v>
      </c>
      <c r="AK48" s="621">
        <f t="shared" si="43"/>
        <v>17117870000</v>
      </c>
      <c r="AL48" s="621">
        <f t="shared" si="43"/>
        <v>17117870000</v>
      </c>
      <c r="AM48" s="621">
        <f t="shared" si="43"/>
        <v>17603600000</v>
      </c>
      <c r="AN48" s="621">
        <f t="shared" si="43"/>
        <v>18146450000</v>
      </c>
      <c r="AO48" s="621">
        <f t="shared" si="43"/>
        <v>18234370000</v>
      </c>
      <c r="AP48" s="622">
        <f t="shared" si="43"/>
        <v>18322290000</v>
      </c>
      <c r="AQ48" s="624"/>
      <c r="AR48" s="625"/>
      <c r="AS48" s="625"/>
      <c r="AT48" s="626"/>
    </row>
    <row r="49" spans="1:46" ht="12.75" x14ac:dyDescent="0.2">
      <c r="A49" s="627"/>
      <c r="B49" s="628" t="s">
        <v>123</v>
      </c>
      <c r="C49" s="629"/>
      <c r="D49" s="630"/>
      <c r="E49" s="216">
        <f t="shared" ref="E49:P49" si="44">E7*E28+E17*E38</f>
        <v>0</v>
      </c>
      <c r="F49" s="216">
        <f t="shared" si="44"/>
        <v>0</v>
      </c>
      <c r="G49" s="216">
        <f t="shared" si="44"/>
        <v>0</v>
      </c>
      <c r="H49" s="216">
        <f t="shared" si="44"/>
        <v>0</v>
      </c>
      <c r="I49" s="216">
        <f t="shared" si="44"/>
        <v>0</v>
      </c>
      <c r="J49" s="216">
        <f t="shared" si="44"/>
        <v>7333200000</v>
      </c>
      <c r="K49" s="216">
        <f t="shared" si="44"/>
        <v>7333200000</v>
      </c>
      <c r="L49" s="216">
        <f t="shared" si="44"/>
        <v>8310960000</v>
      </c>
      <c r="M49" s="216">
        <f t="shared" si="44"/>
        <v>8310960000</v>
      </c>
      <c r="N49" s="216">
        <f t="shared" si="44"/>
        <v>8711570000</v>
      </c>
      <c r="O49" s="216">
        <f t="shared" si="44"/>
        <v>8711570000</v>
      </c>
      <c r="P49" s="595">
        <f t="shared" si="44"/>
        <v>8711570000</v>
      </c>
      <c r="Q49" s="216"/>
      <c r="R49" s="631">
        <f t="shared" ref="R49:AC49" si="45">R7*R28+R17*R38</f>
        <v>7401100000</v>
      </c>
      <c r="S49" s="215">
        <f t="shared" si="45"/>
        <v>7401100000</v>
      </c>
      <c r="T49" s="215">
        <f t="shared" si="45"/>
        <v>7401100000</v>
      </c>
      <c r="U49" s="215">
        <f t="shared" si="45"/>
        <v>9085020000</v>
      </c>
      <c r="V49" s="215">
        <f t="shared" si="45"/>
        <v>9085020000</v>
      </c>
      <c r="W49" s="215">
        <f t="shared" si="45"/>
        <v>9085020000</v>
      </c>
      <c r="X49" s="215">
        <f t="shared" si="45"/>
        <v>9424520000</v>
      </c>
      <c r="Y49" s="215">
        <f t="shared" si="45"/>
        <v>9424520000</v>
      </c>
      <c r="Z49" s="215">
        <f t="shared" si="45"/>
        <v>9424520000</v>
      </c>
      <c r="AA49" s="215">
        <f t="shared" si="45"/>
        <v>9825130000</v>
      </c>
      <c r="AB49" s="215">
        <f t="shared" si="45"/>
        <v>9859080000</v>
      </c>
      <c r="AC49" s="632">
        <f t="shared" si="45"/>
        <v>9893030000</v>
      </c>
      <c r="AD49" s="215"/>
      <c r="AE49" s="631">
        <f t="shared" ref="AE49:AP49" si="46">AE7*AE28+AE17*AE38</f>
        <v>8548610000</v>
      </c>
      <c r="AF49" s="215">
        <f t="shared" si="46"/>
        <v>8548610000</v>
      </c>
      <c r="AG49" s="215">
        <f t="shared" si="46"/>
        <v>8548610000</v>
      </c>
      <c r="AH49" s="215">
        <f t="shared" si="46"/>
        <v>9526370000</v>
      </c>
      <c r="AI49" s="215">
        <f t="shared" si="46"/>
        <v>9526370000</v>
      </c>
      <c r="AJ49" s="215">
        <f t="shared" si="46"/>
        <v>9526370000</v>
      </c>
      <c r="AK49" s="215">
        <f t="shared" si="46"/>
        <v>9831920000</v>
      </c>
      <c r="AL49" s="215">
        <f t="shared" si="46"/>
        <v>9831920000</v>
      </c>
      <c r="AM49" s="215">
        <f t="shared" si="46"/>
        <v>9831920000</v>
      </c>
      <c r="AN49" s="215">
        <f t="shared" si="46"/>
        <v>10320800000</v>
      </c>
      <c r="AO49" s="215">
        <f t="shared" si="46"/>
        <v>10354750000</v>
      </c>
      <c r="AP49" s="632">
        <f t="shared" si="46"/>
        <v>10388700000</v>
      </c>
      <c r="AQ49" s="598"/>
      <c r="AR49" s="599"/>
      <c r="AS49" s="599"/>
      <c r="AT49" s="321"/>
    </row>
    <row r="50" spans="1:46" ht="12.75" x14ac:dyDescent="0.2">
      <c r="A50" s="633"/>
      <c r="B50" s="634" t="s">
        <v>124</v>
      </c>
      <c r="C50" s="635"/>
      <c r="D50" s="636"/>
      <c r="E50" s="221">
        <f t="shared" ref="E50:P50" si="47">E8*E29+E18*E39</f>
        <v>0</v>
      </c>
      <c r="F50" s="221">
        <f t="shared" si="47"/>
        <v>0</v>
      </c>
      <c r="G50" s="221">
        <f t="shared" si="47"/>
        <v>0</v>
      </c>
      <c r="H50" s="221">
        <f t="shared" si="47"/>
        <v>0</v>
      </c>
      <c r="I50" s="221">
        <f t="shared" si="47"/>
        <v>0</v>
      </c>
      <c r="J50" s="221">
        <f t="shared" si="47"/>
        <v>0</v>
      </c>
      <c r="K50" s="221">
        <f t="shared" si="47"/>
        <v>0</v>
      </c>
      <c r="L50" s="221">
        <f t="shared" si="47"/>
        <v>0</v>
      </c>
      <c r="M50" s="221">
        <f t="shared" si="47"/>
        <v>0</v>
      </c>
      <c r="N50" s="221">
        <f t="shared" si="47"/>
        <v>0</v>
      </c>
      <c r="O50" s="221">
        <f t="shared" si="47"/>
        <v>0</v>
      </c>
      <c r="P50" s="602">
        <f t="shared" si="47"/>
        <v>0</v>
      </c>
      <c r="Q50" s="221"/>
      <c r="R50" s="637">
        <f t="shared" ref="R50:AC50" si="48">R8*R29+R18*R39</f>
        <v>0</v>
      </c>
      <c r="S50" s="220">
        <f t="shared" si="48"/>
        <v>0</v>
      </c>
      <c r="T50" s="220">
        <f t="shared" si="48"/>
        <v>0</v>
      </c>
      <c r="U50" s="220">
        <f t="shared" si="48"/>
        <v>0</v>
      </c>
      <c r="V50" s="220">
        <f t="shared" si="48"/>
        <v>0</v>
      </c>
      <c r="W50" s="220">
        <f t="shared" si="48"/>
        <v>0</v>
      </c>
      <c r="X50" s="220">
        <f t="shared" si="48"/>
        <v>0</v>
      </c>
      <c r="Y50" s="220">
        <f t="shared" si="48"/>
        <v>0</v>
      </c>
      <c r="Z50" s="220">
        <f t="shared" si="48"/>
        <v>0</v>
      </c>
      <c r="AA50" s="220">
        <f t="shared" si="48"/>
        <v>0</v>
      </c>
      <c r="AB50" s="220">
        <f t="shared" si="48"/>
        <v>4857300000</v>
      </c>
      <c r="AC50" s="638">
        <f t="shared" si="48"/>
        <v>4857300000</v>
      </c>
      <c r="AD50" s="220"/>
      <c r="AE50" s="637">
        <f t="shared" ref="AE50:AP50" si="49">AE8*AE29+AE18*AE39</f>
        <v>4299610000</v>
      </c>
      <c r="AF50" s="220">
        <f t="shared" si="49"/>
        <v>4119710000</v>
      </c>
      <c r="AG50" s="220">
        <f t="shared" si="49"/>
        <v>4119710000</v>
      </c>
      <c r="AH50" s="220">
        <f t="shared" si="49"/>
        <v>6818210000</v>
      </c>
      <c r="AI50" s="220">
        <f t="shared" si="49"/>
        <v>6818210000</v>
      </c>
      <c r="AJ50" s="220">
        <f t="shared" si="49"/>
        <v>6818210000</v>
      </c>
      <c r="AK50" s="220">
        <f t="shared" si="49"/>
        <v>7285950000</v>
      </c>
      <c r="AL50" s="220">
        <f t="shared" si="49"/>
        <v>7285950000</v>
      </c>
      <c r="AM50" s="220">
        <f t="shared" si="49"/>
        <v>7771680000</v>
      </c>
      <c r="AN50" s="220">
        <f t="shared" si="49"/>
        <v>7825650000</v>
      </c>
      <c r="AO50" s="220">
        <f t="shared" si="49"/>
        <v>7879620000</v>
      </c>
      <c r="AP50" s="638">
        <f t="shared" si="49"/>
        <v>7933590000</v>
      </c>
      <c r="AQ50" s="598"/>
      <c r="AR50" s="599"/>
      <c r="AS50" s="599"/>
      <c r="AT50" s="321"/>
    </row>
    <row r="51" spans="1:46" ht="12.75" x14ac:dyDescent="0.2">
      <c r="A51" s="281"/>
      <c r="B51" s="281"/>
      <c r="C51" s="639"/>
      <c r="D51" s="639"/>
      <c r="E51" s="639"/>
      <c r="F51" s="640"/>
      <c r="G51" s="640"/>
      <c r="H51" s="640"/>
      <c r="I51" s="640"/>
      <c r="J51" s="640"/>
      <c r="K51" s="640"/>
      <c r="L51" s="640"/>
      <c r="M51" s="640"/>
      <c r="N51" s="640"/>
      <c r="O51" s="640"/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  <c r="AA51" s="640"/>
      <c r="AB51" s="640"/>
      <c r="AC51" s="640"/>
      <c r="AD51" s="640"/>
      <c r="AE51" s="640"/>
      <c r="AF51" s="640"/>
      <c r="AG51" s="640"/>
      <c r="AH51" s="640"/>
      <c r="AI51" s="640"/>
      <c r="AJ51" s="640"/>
      <c r="AK51" s="640"/>
      <c r="AL51" s="640"/>
      <c r="AM51" s="640"/>
      <c r="AN51" s="640"/>
      <c r="AO51" s="640"/>
      <c r="AP51" s="640"/>
      <c r="AQ51" s="641"/>
      <c r="AR51" s="641"/>
      <c r="AS51" s="641"/>
      <c r="AT51" s="163"/>
    </row>
    <row r="52" spans="1:46" ht="12.75" x14ac:dyDescent="0.2">
      <c r="A52" s="163"/>
      <c r="B52" s="163"/>
      <c r="C52" s="642"/>
      <c r="D52" s="642"/>
      <c r="E52" s="642"/>
      <c r="F52" s="641"/>
      <c r="G52" s="641"/>
      <c r="H52" s="641"/>
      <c r="I52" s="641"/>
      <c r="J52" s="641"/>
      <c r="K52" s="641"/>
      <c r="L52" s="641"/>
      <c r="M52" s="641"/>
      <c r="N52" s="641"/>
      <c r="O52" s="641"/>
      <c r="P52" s="641"/>
      <c r="Q52" s="641"/>
      <c r="R52" s="641"/>
      <c r="S52" s="641"/>
      <c r="T52" s="641"/>
      <c r="U52" s="641"/>
      <c r="V52" s="641"/>
      <c r="W52" s="641"/>
      <c r="X52" s="641"/>
      <c r="Y52" s="641"/>
      <c r="Z52" s="641"/>
      <c r="AA52" s="641"/>
      <c r="AB52" s="641"/>
      <c r="AC52" s="641"/>
      <c r="AD52" s="641"/>
      <c r="AE52" s="641"/>
      <c r="AF52" s="641"/>
      <c r="AG52" s="641"/>
      <c r="AH52" s="641"/>
      <c r="AI52" s="641"/>
      <c r="AJ52" s="641"/>
      <c r="AK52" s="641"/>
      <c r="AL52" s="641"/>
      <c r="AM52" s="641"/>
      <c r="AN52" s="641"/>
      <c r="AO52" s="641"/>
      <c r="AP52" s="641"/>
      <c r="AQ52" s="641"/>
      <c r="AR52" s="641"/>
      <c r="AS52" s="641"/>
      <c r="AT52" s="163"/>
    </row>
    <row r="53" spans="1:46" ht="12.75" x14ac:dyDescent="0.2">
      <c r="A53" s="1379" t="s">
        <v>212</v>
      </c>
      <c r="B53" s="1380"/>
      <c r="C53" s="1380"/>
      <c r="D53" s="259"/>
      <c r="E53" s="1376">
        <v>2025</v>
      </c>
      <c r="F53" s="1367"/>
      <c r="G53" s="1367"/>
      <c r="H53" s="1367"/>
      <c r="I53" s="1367"/>
      <c r="J53" s="1367"/>
      <c r="K53" s="1367"/>
      <c r="L53" s="1367"/>
      <c r="M53" s="1367"/>
      <c r="N53" s="1367"/>
      <c r="O53" s="1367"/>
      <c r="P53" s="1368"/>
      <c r="Q53" s="166"/>
      <c r="R53" s="1377">
        <v>2026</v>
      </c>
      <c r="S53" s="1367"/>
      <c r="T53" s="1367"/>
      <c r="U53" s="1367"/>
      <c r="V53" s="1367"/>
      <c r="W53" s="1367"/>
      <c r="X53" s="1367"/>
      <c r="Y53" s="1367"/>
      <c r="Z53" s="1367"/>
      <c r="AA53" s="1367"/>
      <c r="AB53" s="1367"/>
      <c r="AC53" s="1368"/>
      <c r="AD53" s="167"/>
      <c r="AE53" s="1376">
        <v>2027</v>
      </c>
      <c r="AF53" s="1367"/>
      <c r="AG53" s="1367"/>
      <c r="AH53" s="1367"/>
      <c r="AI53" s="1367"/>
      <c r="AJ53" s="1367"/>
      <c r="AK53" s="1367"/>
      <c r="AL53" s="1367"/>
      <c r="AM53" s="1367"/>
      <c r="AN53" s="1367"/>
      <c r="AO53" s="1367"/>
      <c r="AP53" s="1368"/>
      <c r="AQ53" s="643"/>
      <c r="AR53" s="644"/>
      <c r="AS53" s="644"/>
      <c r="AT53" s="321"/>
    </row>
    <row r="54" spans="1:46" ht="12.75" x14ac:dyDescent="0.2">
      <c r="A54" s="1381"/>
      <c r="B54" s="1343"/>
      <c r="C54" s="1343"/>
      <c r="D54" s="259"/>
      <c r="E54" s="1378" t="s">
        <v>118</v>
      </c>
      <c r="F54" s="1367"/>
      <c r="G54" s="1368"/>
      <c r="H54" s="1371" t="s">
        <v>119</v>
      </c>
      <c r="I54" s="1367"/>
      <c r="J54" s="1368"/>
      <c r="K54" s="1371" t="s">
        <v>120</v>
      </c>
      <c r="L54" s="1367"/>
      <c r="M54" s="1368"/>
      <c r="N54" s="1371" t="s">
        <v>121</v>
      </c>
      <c r="O54" s="1367"/>
      <c r="P54" s="1368"/>
      <c r="Q54" s="174"/>
      <c r="R54" s="1378" t="s">
        <v>118</v>
      </c>
      <c r="S54" s="1367"/>
      <c r="T54" s="1368"/>
      <c r="U54" s="1371" t="s">
        <v>119</v>
      </c>
      <c r="V54" s="1367"/>
      <c r="W54" s="1368"/>
      <c r="X54" s="1371" t="s">
        <v>120</v>
      </c>
      <c r="Y54" s="1367"/>
      <c r="Z54" s="1368"/>
      <c r="AA54" s="1371" t="s">
        <v>121</v>
      </c>
      <c r="AB54" s="1367"/>
      <c r="AC54" s="1368"/>
      <c r="AD54" s="174"/>
      <c r="AE54" s="1378" t="s">
        <v>118</v>
      </c>
      <c r="AF54" s="1367"/>
      <c r="AG54" s="1368"/>
      <c r="AH54" s="1371" t="s">
        <v>119</v>
      </c>
      <c r="AI54" s="1367"/>
      <c r="AJ54" s="1368"/>
      <c r="AK54" s="1371" t="s">
        <v>120</v>
      </c>
      <c r="AL54" s="1367"/>
      <c r="AM54" s="1368"/>
      <c r="AN54" s="1371" t="s">
        <v>121</v>
      </c>
      <c r="AO54" s="1367"/>
      <c r="AP54" s="1368"/>
      <c r="AQ54" s="497"/>
      <c r="AR54" s="498"/>
      <c r="AS54" s="498"/>
      <c r="AT54" s="321"/>
    </row>
    <row r="55" spans="1:46" ht="18" x14ac:dyDescent="0.25">
      <c r="A55" s="1416"/>
      <c r="B55" s="1417"/>
      <c r="C55" s="1417"/>
      <c r="D55" s="323" t="s">
        <v>213</v>
      </c>
      <c r="E55" s="327">
        <v>1</v>
      </c>
      <c r="F55" s="499">
        <v>2</v>
      </c>
      <c r="G55" s="499">
        <v>3</v>
      </c>
      <c r="H55" s="499">
        <v>4</v>
      </c>
      <c r="I55" s="499">
        <v>5</v>
      </c>
      <c r="J55" s="499">
        <v>6</v>
      </c>
      <c r="K55" s="499">
        <v>7</v>
      </c>
      <c r="L55" s="499">
        <v>8</v>
      </c>
      <c r="M55" s="499">
        <v>9</v>
      </c>
      <c r="N55" s="499">
        <v>10</v>
      </c>
      <c r="O55" s="499">
        <v>11</v>
      </c>
      <c r="P55" s="499">
        <v>12</v>
      </c>
      <c r="Q55" s="499"/>
      <c r="R55" s="499">
        <v>1</v>
      </c>
      <c r="S55" s="499">
        <v>2</v>
      </c>
      <c r="T55" s="499">
        <v>3</v>
      </c>
      <c r="U55" s="499">
        <v>4</v>
      </c>
      <c r="V55" s="499">
        <v>5</v>
      </c>
      <c r="W55" s="499">
        <v>6</v>
      </c>
      <c r="X55" s="499">
        <v>7</v>
      </c>
      <c r="Y55" s="499">
        <v>8</v>
      </c>
      <c r="Z55" s="499">
        <v>9</v>
      </c>
      <c r="AA55" s="499">
        <v>10</v>
      </c>
      <c r="AB55" s="499">
        <v>11</v>
      </c>
      <c r="AC55" s="499">
        <v>12</v>
      </c>
      <c r="AD55" s="499"/>
      <c r="AE55" s="500">
        <v>1</v>
      </c>
      <c r="AF55" s="501">
        <v>2</v>
      </c>
      <c r="AG55" s="501">
        <v>3</v>
      </c>
      <c r="AH55" s="501">
        <v>4</v>
      </c>
      <c r="AI55" s="501">
        <v>5</v>
      </c>
      <c r="AJ55" s="501">
        <v>6</v>
      </c>
      <c r="AK55" s="501">
        <v>7</v>
      </c>
      <c r="AL55" s="501">
        <v>8</v>
      </c>
      <c r="AM55" s="501">
        <v>9</v>
      </c>
      <c r="AN55" s="501">
        <v>10</v>
      </c>
      <c r="AO55" s="501">
        <v>11</v>
      </c>
      <c r="AP55" s="502">
        <v>12</v>
      </c>
      <c r="AQ55" s="503"/>
      <c r="AR55" s="504"/>
      <c r="AS55" s="504"/>
      <c r="AT55" s="321"/>
    </row>
    <row r="56" spans="1:46" ht="12.75" x14ac:dyDescent="0.2">
      <c r="A56" s="645"/>
      <c r="B56" s="507"/>
      <c r="C56" s="507"/>
      <c r="D56" s="507"/>
      <c r="E56" s="507"/>
      <c r="F56" s="507"/>
      <c r="G56" s="507"/>
      <c r="H56" s="507"/>
      <c r="I56" s="507"/>
      <c r="J56" s="507"/>
      <c r="K56" s="507"/>
      <c r="L56" s="507"/>
      <c r="M56" s="507"/>
      <c r="N56" s="507"/>
      <c r="O56" s="507"/>
      <c r="P56" s="507"/>
      <c r="Q56" s="507"/>
      <c r="R56" s="507"/>
      <c r="S56" s="507"/>
      <c r="T56" s="507"/>
      <c r="U56" s="507"/>
      <c r="V56" s="507"/>
      <c r="W56" s="507"/>
      <c r="X56" s="507"/>
      <c r="Y56" s="507"/>
      <c r="Z56" s="507"/>
      <c r="AA56" s="507"/>
      <c r="AB56" s="507"/>
      <c r="AC56" s="507"/>
      <c r="AD56" s="507"/>
      <c r="AE56" s="507"/>
      <c r="AF56" s="507"/>
      <c r="AG56" s="507"/>
      <c r="AH56" s="507"/>
      <c r="AI56" s="507"/>
      <c r="AJ56" s="507"/>
      <c r="AK56" s="507"/>
      <c r="AL56" s="507"/>
      <c r="AM56" s="507"/>
      <c r="AN56" s="507"/>
      <c r="AO56" s="507"/>
      <c r="AP56" s="507"/>
      <c r="AQ56" s="508"/>
      <c r="AR56" s="353"/>
      <c r="AS56" s="353"/>
      <c r="AT56" s="354"/>
    </row>
    <row r="57" spans="1:46" ht="18" x14ac:dyDescent="0.25">
      <c r="A57" s="509" t="s">
        <v>214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46"/>
      <c r="AB57" s="646"/>
      <c r="AC57" s="646"/>
      <c r="AD57" s="646"/>
      <c r="AE57" s="646"/>
      <c r="AF57" s="646"/>
      <c r="AG57" s="646"/>
      <c r="AH57" s="646"/>
      <c r="AI57" s="646"/>
      <c r="AJ57" s="646"/>
      <c r="AK57" s="646"/>
      <c r="AL57" s="646"/>
      <c r="AM57" s="646"/>
      <c r="AN57" s="646"/>
      <c r="AO57" s="646"/>
      <c r="AP57" s="646"/>
      <c r="AQ57" s="508"/>
      <c r="AR57" s="353"/>
      <c r="AS57" s="353"/>
      <c r="AT57" s="354"/>
    </row>
    <row r="58" spans="1:46" ht="18" x14ac:dyDescent="0.25">
      <c r="A58" s="647" t="s">
        <v>193</v>
      </c>
      <c r="B58" s="648"/>
      <c r="C58" s="649">
        <f t="shared" ref="C58:C60" si="50">C6</f>
        <v>140</v>
      </c>
      <c r="D58" s="650"/>
      <c r="E58" s="651">
        <f t="shared" ref="E58:P58" si="51">E6</f>
        <v>0</v>
      </c>
      <c r="F58" s="651">
        <f t="shared" si="51"/>
        <v>0</v>
      </c>
      <c r="G58" s="651">
        <f t="shared" si="51"/>
        <v>0</v>
      </c>
      <c r="H58" s="651">
        <f t="shared" si="51"/>
        <v>0</v>
      </c>
      <c r="I58" s="651">
        <f t="shared" si="51"/>
        <v>0</v>
      </c>
      <c r="J58" s="651">
        <f t="shared" si="51"/>
        <v>0</v>
      </c>
      <c r="K58" s="651">
        <f t="shared" si="51"/>
        <v>0</v>
      </c>
      <c r="L58" s="651">
        <f t="shared" si="51"/>
        <v>90</v>
      </c>
      <c r="M58" s="651">
        <f t="shared" si="51"/>
        <v>90</v>
      </c>
      <c r="N58" s="515">
        <f t="shared" si="51"/>
        <v>95</v>
      </c>
      <c r="O58" s="651">
        <f t="shared" si="51"/>
        <v>95</v>
      </c>
      <c r="P58" s="652">
        <f t="shared" si="51"/>
        <v>95</v>
      </c>
      <c r="Q58" s="651"/>
      <c r="R58" s="651">
        <f t="shared" ref="R58:AC58" si="52">R6</f>
        <v>64</v>
      </c>
      <c r="S58" s="651">
        <f t="shared" si="52"/>
        <v>64</v>
      </c>
      <c r="T58" s="651">
        <f t="shared" si="52"/>
        <v>64</v>
      </c>
      <c r="U58" s="651">
        <f t="shared" si="52"/>
        <v>96</v>
      </c>
      <c r="V58" s="651">
        <f t="shared" si="52"/>
        <v>96</v>
      </c>
      <c r="W58" s="651">
        <f t="shared" si="52"/>
        <v>96</v>
      </c>
      <c r="X58" s="651">
        <f t="shared" si="52"/>
        <v>92</v>
      </c>
      <c r="Y58" s="651">
        <f t="shared" si="52"/>
        <v>92</v>
      </c>
      <c r="Z58" s="651">
        <f t="shared" si="52"/>
        <v>92</v>
      </c>
      <c r="AA58" s="515">
        <f t="shared" si="52"/>
        <v>97</v>
      </c>
      <c r="AB58" s="651">
        <f t="shared" si="52"/>
        <v>102</v>
      </c>
      <c r="AC58" s="652">
        <f t="shared" si="52"/>
        <v>107</v>
      </c>
      <c r="AD58" s="651"/>
      <c r="AE58" s="651">
        <f t="shared" ref="AE58:AP58" si="53">AE6</f>
        <v>121</v>
      </c>
      <c r="AF58" s="651">
        <f t="shared" si="53"/>
        <v>111</v>
      </c>
      <c r="AG58" s="651">
        <f t="shared" si="53"/>
        <v>111</v>
      </c>
      <c r="AH58" s="651">
        <f t="shared" si="53"/>
        <v>162</v>
      </c>
      <c r="AI58" s="651">
        <f t="shared" si="53"/>
        <v>162</v>
      </c>
      <c r="AJ58" s="651">
        <f t="shared" si="53"/>
        <v>162</v>
      </c>
      <c r="AK58" s="651">
        <f t="shared" si="53"/>
        <v>152</v>
      </c>
      <c r="AL58" s="651">
        <f t="shared" si="53"/>
        <v>152</v>
      </c>
      <c r="AM58" s="651">
        <f t="shared" si="53"/>
        <v>152</v>
      </c>
      <c r="AN58" s="515">
        <f t="shared" si="53"/>
        <v>173</v>
      </c>
      <c r="AO58" s="651">
        <f t="shared" si="53"/>
        <v>181</v>
      </c>
      <c r="AP58" s="653">
        <f t="shared" si="53"/>
        <v>189</v>
      </c>
      <c r="AQ58" s="654"/>
      <c r="AR58" s="655"/>
      <c r="AS58" s="655"/>
      <c r="AT58" s="354"/>
    </row>
    <row r="59" spans="1:46" ht="12.75" x14ac:dyDescent="0.2">
      <c r="A59" s="1415" t="s">
        <v>215</v>
      </c>
      <c r="B59" s="656" t="s">
        <v>123</v>
      </c>
      <c r="C59" s="657">
        <f t="shared" si="50"/>
        <v>90</v>
      </c>
      <c r="D59" s="658"/>
      <c r="E59" s="659">
        <f t="shared" ref="E59:P59" si="54">E7</f>
        <v>0</v>
      </c>
      <c r="F59" s="659">
        <f t="shared" si="54"/>
        <v>0</v>
      </c>
      <c r="G59" s="659">
        <f t="shared" si="54"/>
        <v>0</v>
      </c>
      <c r="H59" s="659">
        <f t="shared" si="54"/>
        <v>0</v>
      </c>
      <c r="I59" s="659">
        <f t="shared" si="54"/>
        <v>0</v>
      </c>
      <c r="J59" s="659">
        <f t="shared" si="54"/>
        <v>0</v>
      </c>
      <c r="K59" s="659">
        <f t="shared" si="54"/>
        <v>0</v>
      </c>
      <c r="L59" s="659">
        <f t="shared" si="54"/>
        <v>90</v>
      </c>
      <c r="M59" s="659">
        <f t="shared" si="54"/>
        <v>90</v>
      </c>
      <c r="N59" s="660">
        <f t="shared" si="54"/>
        <v>95</v>
      </c>
      <c r="O59" s="659">
        <f t="shared" si="54"/>
        <v>95</v>
      </c>
      <c r="P59" s="661">
        <f t="shared" si="54"/>
        <v>95</v>
      </c>
      <c r="Q59" s="659"/>
      <c r="R59" s="659">
        <f t="shared" ref="R59:AC59" si="55">R7</f>
        <v>64</v>
      </c>
      <c r="S59" s="659">
        <f t="shared" si="55"/>
        <v>64</v>
      </c>
      <c r="T59" s="659">
        <f t="shared" si="55"/>
        <v>64</v>
      </c>
      <c r="U59" s="659">
        <f t="shared" si="55"/>
        <v>96</v>
      </c>
      <c r="V59" s="659">
        <f t="shared" si="55"/>
        <v>96</v>
      </c>
      <c r="W59" s="659">
        <f t="shared" si="55"/>
        <v>96</v>
      </c>
      <c r="X59" s="659">
        <f t="shared" si="55"/>
        <v>92</v>
      </c>
      <c r="Y59" s="659">
        <f t="shared" si="55"/>
        <v>92</v>
      </c>
      <c r="Z59" s="659">
        <f t="shared" si="55"/>
        <v>92</v>
      </c>
      <c r="AA59" s="660">
        <f t="shared" si="55"/>
        <v>97</v>
      </c>
      <c r="AB59" s="659">
        <f t="shared" si="55"/>
        <v>102</v>
      </c>
      <c r="AC59" s="661">
        <f t="shared" si="55"/>
        <v>107</v>
      </c>
      <c r="AD59" s="659"/>
      <c r="AE59" s="659">
        <f t="shared" ref="AE59:AP59" si="56">AE7</f>
        <v>71</v>
      </c>
      <c r="AF59" s="659">
        <f t="shared" si="56"/>
        <v>71</v>
      </c>
      <c r="AG59" s="659">
        <f t="shared" si="56"/>
        <v>71</v>
      </c>
      <c r="AH59" s="659">
        <f t="shared" si="56"/>
        <v>107</v>
      </c>
      <c r="AI59" s="659">
        <f t="shared" si="56"/>
        <v>107</v>
      </c>
      <c r="AJ59" s="659">
        <f t="shared" si="56"/>
        <v>107</v>
      </c>
      <c r="AK59" s="659">
        <f t="shared" si="56"/>
        <v>98</v>
      </c>
      <c r="AL59" s="659">
        <f t="shared" si="56"/>
        <v>98</v>
      </c>
      <c r="AM59" s="659">
        <f t="shared" si="56"/>
        <v>98</v>
      </c>
      <c r="AN59" s="660">
        <f t="shared" si="56"/>
        <v>116</v>
      </c>
      <c r="AO59" s="659">
        <f t="shared" si="56"/>
        <v>121</v>
      </c>
      <c r="AP59" s="662">
        <f t="shared" si="56"/>
        <v>126</v>
      </c>
      <c r="AQ59" s="654"/>
      <c r="AR59" s="655"/>
      <c r="AS59" s="655"/>
      <c r="AT59" s="354"/>
    </row>
    <row r="60" spans="1:46" ht="12.75" x14ac:dyDescent="0.2">
      <c r="A60" s="1408"/>
      <c r="B60" s="663" t="s">
        <v>124</v>
      </c>
      <c r="C60" s="664">
        <f t="shared" si="50"/>
        <v>50</v>
      </c>
      <c r="D60" s="665"/>
      <c r="E60" s="666">
        <f t="shared" ref="E60:P60" si="57">E8</f>
        <v>0</v>
      </c>
      <c r="F60" s="666">
        <f t="shared" si="57"/>
        <v>0</v>
      </c>
      <c r="G60" s="666">
        <f t="shared" si="57"/>
        <v>0</v>
      </c>
      <c r="H60" s="666">
        <f t="shared" si="57"/>
        <v>0</v>
      </c>
      <c r="I60" s="666">
        <f t="shared" si="57"/>
        <v>0</v>
      </c>
      <c r="J60" s="666">
        <f t="shared" si="57"/>
        <v>0</v>
      </c>
      <c r="K60" s="666">
        <f t="shared" si="57"/>
        <v>0</v>
      </c>
      <c r="L60" s="666">
        <f t="shared" si="57"/>
        <v>0</v>
      </c>
      <c r="M60" s="666">
        <f t="shared" si="57"/>
        <v>0</v>
      </c>
      <c r="N60" s="667">
        <f t="shared" si="57"/>
        <v>0</v>
      </c>
      <c r="O60" s="666">
        <f t="shared" si="57"/>
        <v>0</v>
      </c>
      <c r="P60" s="668">
        <f t="shared" si="57"/>
        <v>0</v>
      </c>
      <c r="Q60" s="666"/>
      <c r="R60" s="666">
        <f t="shared" ref="R60:AC60" si="58">R8</f>
        <v>0</v>
      </c>
      <c r="S60" s="666">
        <f t="shared" si="58"/>
        <v>0</v>
      </c>
      <c r="T60" s="666">
        <f t="shared" si="58"/>
        <v>0</v>
      </c>
      <c r="U60" s="666">
        <f t="shared" si="58"/>
        <v>0</v>
      </c>
      <c r="V60" s="666">
        <f t="shared" si="58"/>
        <v>0</v>
      </c>
      <c r="W60" s="666">
        <f t="shared" si="58"/>
        <v>0</v>
      </c>
      <c r="X60" s="666">
        <f t="shared" si="58"/>
        <v>0</v>
      </c>
      <c r="Y60" s="666">
        <f t="shared" si="58"/>
        <v>0</v>
      </c>
      <c r="Z60" s="666">
        <f t="shared" si="58"/>
        <v>0</v>
      </c>
      <c r="AA60" s="667">
        <f t="shared" si="58"/>
        <v>0</v>
      </c>
      <c r="AB60" s="666">
        <f t="shared" si="58"/>
        <v>0</v>
      </c>
      <c r="AC60" s="668">
        <f t="shared" si="58"/>
        <v>0</v>
      </c>
      <c r="AD60" s="666"/>
      <c r="AE60" s="666">
        <f t="shared" ref="AE60:AP60" si="59">AE8</f>
        <v>50</v>
      </c>
      <c r="AF60" s="666">
        <f t="shared" si="59"/>
        <v>40</v>
      </c>
      <c r="AG60" s="666">
        <f t="shared" si="59"/>
        <v>40</v>
      </c>
      <c r="AH60" s="666">
        <f t="shared" si="59"/>
        <v>55</v>
      </c>
      <c r="AI60" s="666">
        <f t="shared" si="59"/>
        <v>55</v>
      </c>
      <c r="AJ60" s="666">
        <f t="shared" si="59"/>
        <v>55</v>
      </c>
      <c r="AK60" s="666">
        <f t="shared" si="59"/>
        <v>54</v>
      </c>
      <c r="AL60" s="666">
        <f t="shared" si="59"/>
        <v>54</v>
      </c>
      <c r="AM60" s="666">
        <f t="shared" si="59"/>
        <v>54</v>
      </c>
      <c r="AN60" s="667">
        <f t="shared" si="59"/>
        <v>57</v>
      </c>
      <c r="AO60" s="666">
        <f t="shared" si="59"/>
        <v>60</v>
      </c>
      <c r="AP60" s="669">
        <f t="shared" si="59"/>
        <v>63</v>
      </c>
      <c r="AQ60" s="654"/>
      <c r="AR60" s="655"/>
      <c r="AS60" s="655"/>
      <c r="AT60" s="354"/>
    </row>
    <row r="61" spans="1:46" ht="18" x14ac:dyDescent="0.25">
      <c r="A61" s="670" t="s">
        <v>122</v>
      </c>
      <c r="B61" s="671" t="s">
        <v>216</v>
      </c>
      <c r="C61" s="672">
        <f t="shared" ref="C61:C63" si="60">C16</f>
        <v>1800</v>
      </c>
      <c r="D61" s="269"/>
      <c r="E61" s="268">
        <f t="shared" ref="E61:P61" si="61">E16</f>
        <v>0</v>
      </c>
      <c r="F61" s="268">
        <f t="shared" si="61"/>
        <v>0</v>
      </c>
      <c r="G61" s="268">
        <f t="shared" si="61"/>
        <v>0</v>
      </c>
      <c r="H61" s="268">
        <f t="shared" si="61"/>
        <v>0</v>
      </c>
      <c r="I61" s="268">
        <f t="shared" si="61"/>
        <v>0</v>
      </c>
      <c r="J61" s="268">
        <f t="shared" si="61"/>
        <v>1200</v>
      </c>
      <c r="K61" s="268">
        <f t="shared" si="61"/>
        <v>1200</v>
      </c>
      <c r="L61" s="268">
        <f t="shared" si="61"/>
        <v>1260</v>
      </c>
      <c r="M61" s="268">
        <f t="shared" si="61"/>
        <v>1260</v>
      </c>
      <c r="N61" s="673">
        <f t="shared" si="61"/>
        <v>1320</v>
      </c>
      <c r="O61" s="268">
        <f t="shared" si="61"/>
        <v>1320</v>
      </c>
      <c r="P61" s="674">
        <f t="shared" si="61"/>
        <v>1320</v>
      </c>
      <c r="Q61" s="268"/>
      <c r="R61" s="268">
        <f t="shared" ref="R61:AC61" si="62">R16</f>
        <v>1140</v>
      </c>
      <c r="S61" s="268">
        <f t="shared" si="62"/>
        <v>1140</v>
      </c>
      <c r="T61" s="268">
        <f t="shared" si="62"/>
        <v>1140</v>
      </c>
      <c r="U61" s="268">
        <f t="shared" si="62"/>
        <v>1380</v>
      </c>
      <c r="V61" s="268">
        <f t="shared" si="62"/>
        <v>1380</v>
      </c>
      <c r="W61" s="268">
        <f t="shared" si="62"/>
        <v>1380</v>
      </c>
      <c r="X61" s="268">
        <f t="shared" si="62"/>
        <v>1440</v>
      </c>
      <c r="Y61" s="268">
        <f t="shared" si="62"/>
        <v>1440</v>
      </c>
      <c r="Z61" s="268">
        <f t="shared" si="62"/>
        <v>1440</v>
      </c>
      <c r="AA61" s="673">
        <f t="shared" si="62"/>
        <v>1500</v>
      </c>
      <c r="AB61" s="268">
        <f t="shared" si="62"/>
        <v>1800</v>
      </c>
      <c r="AC61" s="674">
        <f t="shared" si="62"/>
        <v>1800</v>
      </c>
      <c r="AD61" s="268"/>
      <c r="AE61" s="268">
        <f t="shared" ref="AE61:AP61" si="63">AE16</f>
        <v>1530</v>
      </c>
      <c r="AF61" s="268">
        <f t="shared" si="63"/>
        <v>1530</v>
      </c>
      <c r="AG61" s="268">
        <f t="shared" si="63"/>
        <v>1530</v>
      </c>
      <c r="AH61" s="268">
        <f t="shared" si="63"/>
        <v>1800</v>
      </c>
      <c r="AI61" s="268">
        <f t="shared" si="63"/>
        <v>1800</v>
      </c>
      <c r="AJ61" s="268">
        <f t="shared" si="63"/>
        <v>1800</v>
      </c>
      <c r="AK61" s="268">
        <f t="shared" si="63"/>
        <v>1890</v>
      </c>
      <c r="AL61" s="268">
        <f t="shared" si="63"/>
        <v>1890</v>
      </c>
      <c r="AM61" s="268">
        <f t="shared" si="63"/>
        <v>1920</v>
      </c>
      <c r="AN61" s="673">
        <f t="shared" si="63"/>
        <v>1980</v>
      </c>
      <c r="AO61" s="268">
        <f t="shared" si="63"/>
        <v>1980</v>
      </c>
      <c r="AP61" s="675">
        <f t="shared" si="63"/>
        <v>1980</v>
      </c>
      <c r="AQ61" s="654"/>
      <c r="AR61" s="655"/>
      <c r="AS61" s="655"/>
      <c r="AT61" s="354"/>
    </row>
    <row r="62" spans="1:46" ht="12.75" x14ac:dyDescent="0.2">
      <c r="A62" s="1415" t="s">
        <v>215</v>
      </c>
      <c r="B62" s="607" t="s">
        <v>123</v>
      </c>
      <c r="C62" s="657">
        <f t="shared" si="60"/>
        <v>1200</v>
      </c>
      <c r="D62" s="658"/>
      <c r="E62" s="659">
        <f t="shared" ref="E62:P62" si="64">E17</f>
        <v>0</v>
      </c>
      <c r="F62" s="659">
        <f t="shared" si="64"/>
        <v>0</v>
      </c>
      <c r="G62" s="659">
        <f t="shared" si="64"/>
        <v>0</v>
      </c>
      <c r="H62" s="659">
        <f t="shared" si="64"/>
        <v>0</v>
      </c>
      <c r="I62" s="659">
        <f t="shared" si="64"/>
        <v>0</v>
      </c>
      <c r="J62" s="659">
        <f t="shared" si="64"/>
        <v>1200</v>
      </c>
      <c r="K62" s="659">
        <f t="shared" si="64"/>
        <v>1200</v>
      </c>
      <c r="L62" s="659">
        <f t="shared" si="64"/>
        <v>1260</v>
      </c>
      <c r="M62" s="659">
        <f t="shared" si="64"/>
        <v>1260</v>
      </c>
      <c r="N62" s="660">
        <f t="shared" si="64"/>
        <v>1320</v>
      </c>
      <c r="O62" s="659">
        <f t="shared" si="64"/>
        <v>1320</v>
      </c>
      <c r="P62" s="661">
        <f t="shared" si="64"/>
        <v>1320</v>
      </c>
      <c r="Q62" s="659"/>
      <c r="R62" s="659">
        <f t="shared" ref="R62:AC62" si="65">R17</f>
        <v>1140</v>
      </c>
      <c r="S62" s="659">
        <f t="shared" si="65"/>
        <v>1140</v>
      </c>
      <c r="T62" s="659">
        <f t="shared" si="65"/>
        <v>1140</v>
      </c>
      <c r="U62" s="659">
        <f t="shared" si="65"/>
        <v>1380</v>
      </c>
      <c r="V62" s="659">
        <f t="shared" si="65"/>
        <v>1380</v>
      </c>
      <c r="W62" s="659">
        <f t="shared" si="65"/>
        <v>1380</v>
      </c>
      <c r="X62" s="659">
        <f t="shared" si="65"/>
        <v>1440</v>
      </c>
      <c r="Y62" s="659">
        <f t="shared" si="65"/>
        <v>1440</v>
      </c>
      <c r="Z62" s="659">
        <f t="shared" si="65"/>
        <v>1440</v>
      </c>
      <c r="AA62" s="660">
        <f t="shared" si="65"/>
        <v>1500</v>
      </c>
      <c r="AB62" s="659">
        <f t="shared" si="65"/>
        <v>1500</v>
      </c>
      <c r="AC62" s="661">
        <f t="shared" si="65"/>
        <v>1500</v>
      </c>
      <c r="AD62" s="659"/>
      <c r="AE62" s="659">
        <f t="shared" ref="AE62:AP62" si="66">AE17</f>
        <v>1320</v>
      </c>
      <c r="AF62" s="659">
        <f t="shared" si="66"/>
        <v>1320</v>
      </c>
      <c r="AG62" s="659">
        <f t="shared" si="66"/>
        <v>1320</v>
      </c>
      <c r="AH62" s="659">
        <f t="shared" si="66"/>
        <v>1440</v>
      </c>
      <c r="AI62" s="659">
        <f t="shared" si="66"/>
        <v>1440</v>
      </c>
      <c r="AJ62" s="659">
        <f t="shared" si="66"/>
        <v>1440</v>
      </c>
      <c r="AK62" s="659">
        <f t="shared" si="66"/>
        <v>1500</v>
      </c>
      <c r="AL62" s="659">
        <f t="shared" si="66"/>
        <v>1500</v>
      </c>
      <c r="AM62" s="659">
        <f t="shared" si="66"/>
        <v>1500</v>
      </c>
      <c r="AN62" s="660">
        <f t="shared" si="66"/>
        <v>1560</v>
      </c>
      <c r="AO62" s="659">
        <f t="shared" si="66"/>
        <v>1560</v>
      </c>
      <c r="AP62" s="662">
        <f t="shared" si="66"/>
        <v>1560</v>
      </c>
      <c r="AQ62" s="654"/>
      <c r="AR62" s="655"/>
      <c r="AS62" s="655"/>
      <c r="AT62" s="354"/>
    </row>
    <row r="63" spans="1:46" ht="12.75" x14ac:dyDescent="0.2">
      <c r="A63" s="1411"/>
      <c r="B63" s="676" t="s">
        <v>124</v>
      </c>
      <c r="C63" s="677">
        <f t="shared" si="60"/>
        <v>600</v>
      </c>
      <c r="D63" s="678"/>
      <c r="E63" s="679">
        <f t="shared" ref="E63:P63" si="67">E18</f>
        <v>0</v>
      </c>
      <c r="F63" s="679">
        <f t="shared" si="67"/>
        <v>0</v>
      </c>
      <c r="G63" s="679">
        <f t="shared" si="67"/>
        <v>0</v>
      </c>
      <c r="H63" s="679">
        <f t="shared" si="67"/>
        <v>0</v>
      </c>
      <c r="I63" s="679">
        <f t="shared" si="67"/>
        <v>0</v>
      </c>
      <c r="J63" s="679">
        <f t="shared" si="67"/>
        <v>0</v>
      </c>
      <c r="K63" s="679">
        <f t="shared" si="67"/>
        <v>0</v>
      </c>
      <c r="L63" s="679">
        <f t="shared" si="67"/>
        <v>0</v>
      </c>
      <c r="M63" s="679">
        <f t="shared" si="67"/>
        <v>0</v>
      </c>
      <c r="N63" s="680">
        <f t="shared" si="67"/>
        <v>0</v>
      </c>
      <c r="O63" s="679">
        <f t="shared" si="67"/>
        <v>0</v>
      </c>
      <c r="P63" s="681">
        <f t="shared" si="67"/>
        <v>0</v>
      </c>
      <c r="Q63" s="679"/>
      <c r="R63" s="679">
        <f t="shared" ref="R63:AC63" si="68">R18</f>
        <v>0</v>
      </c>
      <c r="S63" s="679">
        <f t="shared" si="68"/>
        <v>0</v>
      </c>
      <c r="T63" s="679">
        <f t="shared" si="68"/>
        <v>0</v>
      </c>
      <c r="U63" s="679">
        <f t="shared" si="68"/>
        <v>0</v>
      </c>
      <c r="V63" s="679">
        <f t="shared" si="68"/>
        <v>0</v>
      </c>
      <c r="W63" s="679">
        <f t="shared" si="68"/>
        <v>0</v>
      </c>
      <c r="X63" s="679">
        <f t="shared" si="68"/>
        <v>0</v>
      </c>
      <c r="Y63" s="679">
        <f t="shared" si="68"/>
        <v>0</v>
      </c>
      <c r="Z63" s="679">
        <f t="shared" si="68"/>
        <v>0</v>
      </c>
      <c r="AA63" s="680">
        <f t="shared" si="68"/>
        <v>0</v>
      </c>
      <c r="AB63" s="679">
        <f t="shared" si="68"/>
        <v>300</v>
      </c>
      <c r="AC63" s="681">
        <f t="shared" si="68"/>
        <v>300</v>
      </c>
      <c r="AD63" s="679"/>
      <c r="AE63" s="679">
        <f t="shared" ref="AE63:AP63" si="69">AE18</f>
        <v>210</v>
      </c>
      <c r="AF63" s="679">
        <f t="shared" si="69"/>
        <v>210</v>
      </c>
      <c r="AG63" s="679">
        <f t="shared" si="69"/>
        <v>210</v>
      </c>
      <c r="AH63" s="679">
        <f t="shared" si="69"/>
        <v>360</v>
      </c>
      <c r="AI63" s="679">
        <f t="shared" si="69"/>
        <v>360</v>
      </c>
      <c r="AJ63" s="679">
        <f t="shared" si="69"/>
        <v>360</v>
      </c>
      <c r="AK63" s="679">
        <f t="shared" si="69"/>
        <v>390</v>
      </c>
      <c r="AL63" s="679">
        <f t="shared" si="69"/>
        <v>390</v>
      </c>
      <c r="AM63" s="679">
        <f t="shared" si="69"/>
        <v>420</v>
      </c>
      <c r="AN63" s="680">
        <f t="shared" si="69"/>
        <v>420</v>
      </c>
      <c r="AO63" s="679">
        <f t="shared" si="69"/>
        <v>420</v>
      </c>
      <c r="AP63" s="682">
        <f t="shared" si="69"/>
        <v>420</v>
      </c>
      <c r="AQ63" s="654"/>
      <c r="AR63" s="655"/>
      <c r="AS63" s="655"/>
      <c r="AT63" s="354"/>
    </row>
    <row r="64" spans="1:46" ht="12.75" x14ac:dyDescent="0.2">
      <c r="A64" s="683"/>
      <c r="B64" s="684"/>
      <c r="C64" s="685"/>
      <c r="D64" s="685"/>
      <c r="E64" s="685"/>
      <c r="F64" s="685"/>
      <c r="G64" s="685"/>
      <c r="H64" s="685"/>
      <c r="I64" s="685"/>
      <c r="J64" s="685"/>
      <c r="K64" s="685"/>
      <c r="L64" s="685"/>
      <c r="M64" s="685"/>
      <c r="N64" s="686"/>
      <c r="O64" s="685"/>
      <c r="P64" s="685"/>
      <c r="Q64" s="685"/>
      <c r="R64" s="685"/>
      <c r="S64" s="685"/>
      <c r="T64" s="685"/>
      <c r="U64" s="685"/>
      <c r="V64" s="685"/>
      <c r="W64" s="685"/>
      <c r="X64" s="685"/>
      <c r="Y64" s="685"/>
      <c r="Z64" s="685"/>
      <c r="AA64" s="686"/>
      <c r="AB64" s="685"/>
      <c r="AC64" s="685"/>
      <c r="AD64" s="685"/>
      <c r="AE64" s="685"/>
      <c r="AF64" s="685"/>
      <c r="AG64" s="685"/>
      <c r="AH64" s="685"/>
      <c r="AI64" s="685"/>
      <c r="AJ64" s="685"/>
      <c r="AK64" s="685"/>
      <c r="AL64" s="685"/>
      <c r="AM64" s="685"/>
      <c r="AN64" s="686"/>
      <c r="AO64" s="685"/>
      <c r="AP64" s="685"/>
      <c r="AQ64" s="687"/>
      <c r="AR64" s="655"/>
      <c r="AS64" s="655"/>
      <c r="AT64" s="354"/>
    </row>
    <row r="65" spans="1:46" ht="18" x14ac:dyDescent="0.25">
      <c r="A65" s="509" t="s">
        <v>217</v>
      </c>
      <c r="B65" s="512"/>
      <c r="C65" s="688"/>
      <c r="D65" s="688"/>
      <c r="E65" s="688"/>
      <c r="F65" s="688"/>
      <c r="G65" s="688"/>
      <c r="H65" s="688"/>
      <c r="I65" s="688"/>
      <c r="J65" s="688"/>
      <c r="K65" s="688"/>
      <c r="L65" s="688"/>
      <c r="M65" s="688"/>
      <c r="N65" s="689"/>
      <c r="O65" s="688"/>
      <c r="P65" s="688"/>
      <c r="Q65" s="688"/>
      <c r="R65" s="688"/>
      <c r="S65" s="688"/>
      <c r="T65" s="688"/>
      <c r="U65" s="688"/>
      <c r="V65" s="688"/>
      <c r="W65" s="688"/>
      <c r="X65" s="688"/>
      <c r="Y65" s="688"/>
      <c r="Z65" s="688"/>
      <c r="AA65" s="689"/>
      <c r="AB65" s="688"/>
      <c r="AC65" s="688"/>
      <c r="AD65" s="688"/>
      <c r="AE65" s="688"/>
      <c r="AF65" s="688"/>
      <c r="AG65" s="688"/>
      <c r="AH65" s="688"/>
      <c r="AI65" s="688"/>
      <c r="AJ65" s="688"/>
      <c r="AK65" s="688"/>
      <c r="AL65" s="688"/>
      <c r="AM65" s="688"/>
      <c r="AN65" s="689"/>
      <c r="AO65" s="688"/>
      <c r="AP65" s="688"/>
      <c r="AQ65" s="687"/>
      <c r="AR65" s="655"/>
      <c r="AS65" s="655"/>
      <c r="AT65" s="354"/>
    </row>
    <row r="66" spans="1:46" ht="18" x14ac:dyDescent="0.25">
      <c r="A66" s="1409" t="s">
        <v>218</v>
      </c>
      <c r="B66" s="1346"/>
      <c r="C66" s="651" t="s">
        <v>168</v>
      </c>
      <c r="D66" s="650"/>
      <c r="E66" s="651">
        <f t="shared" ref="E66:P66" si="70">SUM(E67:E68)</f>
        <v>0</v>
      </c>
      <c r="F66" s="651">
        <f t="shared" si="70"/>
        <v>0</v>
      </c>
      <c r="G66" s="651">
        <f t="shared" si="70"/>
        <v>0</v>
      </c>
      <c r="H66" s="651">
        <f t="shared" si="70"/>
        <v>0</v>
      </c>
      <c r="I66" s="651">
        <f t="shared" si="70"/>
        <v>0</v>
      </c>
      <c r="J66" s="651">
        <f t="shared" si="70"/>
        <v>0</v>
      </c>
      <c r="K66" s="651">
        <f t="shared" si="70"/>
        <v>11</v>
      </c>
      <c r="L66" s="651">
        <f t="shared" si="70"/>
        <v>11</v>
      </c>
      <c r="M66" s="651">
        <f t="shared" si="70"/>
        <v>12</v>
      </c>
      <c r="N66" s="690">
        <f t="shared" si="70"/>
        <v>12</v>
      </c>
      <c r="O66" s="651">
        <f t="shared" si="70"/>
        <v>12</v>
      </c>
      <c r="P66" s="652">
        <f t="shared" si="70"/>
        <v>8</v>
      </c>
      <c r="Q66" s="651"/>
      <c r="R66" s="651">
        <f t="shared" ref="R66:AC66" si="71">SUM(R67:R68)</f>
        <v>8</v>
      </c>
      <c r="S66" s="651">
        <f t="shared" si="71"/>
        <v>8</v>
      </c>
      <c r="T66" s="651">
        <f t="shared" si="71"/>
        <v>12</v>
      </c>
      <c r="U66" s="651">
        <f t="shared" si="71"/>
        <v>12</v>
      </c>
      <c r="V66" s="651">
        <f t="shared" si="71"/>
        <v>12</v>
      </c>
      <c r="W66" s="651">
        <f t="shared" si="71"/>
        <v>12</v>
      </c>
      <c r="X66" s="651">
        <f t="shared" si="71"/>
        <v>12</v>
      </c>
      <c r="Y66" s="651">
        <f t="shared" si="71"/>
        <v>12</v>
      </c>
      <c r="Z66" s="651">
        <f t="shared" si="71"/>
        <v>12</v>
      </c>
      <c r="AA66" s="690">
        <f t="shared" si="71"/>
        <v>13</v>
      </c>
      <c r="AB66" s="651">
        <f t="shared" si="71"/>
        <v>13</v>
      </c>
      <c r="AC66" s="652">
        <f t="shared" si="71"/>
        <v>15</v>
      </c>
      <c r="AD66" s="651"/>
      <c r="AE66" s="651">
        <f t="shared" ref="AE66:AP66" si="72">SUM(AE67:AE68)</f>
        <v>14</v>
      </c>
      <c r="AF66" s="651">
        <f t="shared" si="72"/>
        <v>14</v>
      </c>
      <c r="AG66" s="651">
        <f t="shared" si="72"/>
        <v>20</v>
      </c>
      <c r="AH66" s="651">
        <f t="shared" si="72"/>
        <v>20</v>
      </c>
      <c r="AI66" s="651">
        <f t="shared" si="72"/>
        <v>20</v>
      </c>
      <c r="AJ66" s="651">
        <f t="shared" si="72"/>
        <v>19</v>
      </c>
      <c r="AK66" s="651">
        <f t="shared" si="72"/>
        <v>19</v>
      </c>
      <c r="AL66" s="651">
        <f t="shared" si="72"/>
        <v>19</v>
      </c>
      <c r="AM66" s="651">
        <f t="shared" si="72"/>
        <v>21</v>
      </c>
      <c r="AN66" s="690">
        <f t="shared" si="72"/>
        <v>23</v>
      </c>
      <c r="AO66" s="651">
        <f t="shared" si="72"/>
        <v>24</v>
      </c>
      <c r="AP66" s="653">
        <f t="shared" si="72"/>
        <v>0</v>
      </c>
      <c r="AQ66" s="654"/>
      <c r="AR66" s="655"/>
      <c r="AS66" s="655"/>
      <c r="AT66" s="354"/>
    </row>
    <row r="67" spans="1:46" ht="12.75" x14ac:dyDescent="0.2">
      <c r="A67" s="1407"/>
      <c r="B67" s="534" t="s">
        <v>123</v>
      </c>
      <c r="C67" s="691">
        <v>0.12</v>
      </c>
      <c r="D67" s="692"/>
      <c r="E67" s="271">
        <v>0</v>
      </c>
      <c r="F67" s="271">
        <v>0</v>
      </c>
      <c r="G67" s="271">
        <v>0</v>
      </c>
      <c r="H67" s="271">
        <v>0</v>
      </c>
      <c r="I67" s="271">
        <v>0</v>
      </c>
      <c r="J67" s="271">
        <v>0</v>
      </c>
      <c r="K67" s="271">
        <v>11</v>
      </c>
      <c r="L67" s="271">
        <v>11</v>
      </c>
      <c r="M67" s="271">
        <v>12</v>
      </c>
      <c r="N67" s="199">
        <v>12</v>
      </c>
      <c r="O67" s="271">
        <v>12</v>
      </c>
      <c r="P67" s="693">
        <v>8</v>
      </c>
      <c r="Q67" s="271"/>
      <c r="R67" s="271">
        <v>8</v>
      </c>
      <c r="S67" s="271">
        <v>8</v>
      </c>
      <c r="T67" s="271">
        <v>12</v>
      </c>
      <c r="U67" s="271">
        <v>12</v>
      </c>
      <c r="V67" s="271">
        <v>12</v>
      </c>
      <c r="W67" s="271">
        <v>12</v>
      </c>
      <c r="X67" s="271">
        <v>12</v>
      </c>
      <c r="Y67" s="271">
        <v>12</v>
      </c>
      <c r="Z67" s="271">
        <v>12</v>
      </c>
      <c r="AA67" s="199">
        <v>13</v>
      </c>
      <c r="AB67" s="271">
        <v>13</v>
      </c>
      <c r="AC67" s="693">
        <v>9</v>
      </c>
      <c r="AD67" s="271"/>
      <c r="AE67" s="271">
        <v>9</v>
      </c>
      <c r="AF67" s="271">
        <v>9</v>
      </c>
      <c r="AG67" s="271">
        <v>13</v>
      </c>
      <c r="AH67" s="271">
        <v>13</v>
      </c>
      <c r="AI67" s="271">
        <v>13</v>
      </c>
      <c r="AJ67" s="271">
        <v>12</v>
      </c>
      <c r="AK67" s="271">
        <v>12</v>
      </c>
      <c r="AL67" s="271">
        <v>12</v>
      </c>
      <c r="AM67" s="271">
        <v>14</v>
      </c>
      <c r="AN67" s="199">
        <v>15</v>
      </c>
      <c r="AO67" s="271">
        <v>16</v>
      </c>
      <c r="AP67" s="694">
        <v>0</v>
      </c>
      <c r="AQ67" s="654"/>
      <c r="AR67" s="655"/>
      <c r="AS67" s="655"/>
      <c r="AT67" s="354"/>
    </row>
    <row r="68" spans="1:46" ht="12.75" x14ac:dyDescent="0.2">
      <c r="A68" s="1408"/>
      <c r="B68" s="550" t="s">
        <v>124</v>
      </c>
      <c r="C68" s="695">
        <v>0.12</v>
      </c>
      <c r="D68" s="696"/>
      <c r="E68" s="697">
        <v>0</v>
      </c>
      <c r="F68" s="697">
        <v>0</v>
      </c>
      <c r="G68" s="697">
        <v>0</v>
      </c>
      <c r="H68" s="697">
        <v>0</v>
      </c>
      <c r="I68" s="697">
        <v>0</v>
      </c>
      <c r="J68" s="697">
        <v>0</v>
      </c>
      <c r="K68" s="697">
        <v>0</v>
      </c>
      <c r="L68" s="697">
        <v>0</v>
      </c>
      <c r="M68" s="697">
        <v>0</v>
      </c>
      <c r="N68" s="206">
        <v>0</v>
      </c>
      <c r="O68" s="697">
        <v>0</v>
      </c>
      <c r="P68" s="698">
        <v>0</v>
      </c>
      <c r="Q68" s="697"/>
      <c r="R68" s="697">
        <v>0</v>
      </c>
      <c r="S68" s="697">
        <v>0</v>
      </c>
      <c r="T68" s="697">
        <v>0</v>
      </c>
      <c r="U68" s="697">
        <v>0</v>
      </c>
      <c r="V68" s="697">
        <v>0</v>
      </c>
      <c r="W68" s="697">
        <v>0</v>
      </c>
      <c r="X68" s="697">
        <v>0</v>
      </c>
      <c r="Y68" s="697">
        <v>0</v>
      </c>
      <c r="Z68" s="697">
        <v>0</v>
      </c>
      <c r="AA68" s="206">
        <v>0</v>
      </c>
      <c r="AB68" s="697">
        <v>0</v>
      </c>
      <c r="AC68" s="698">
        <v>6</v>
      </c>
      <c r="AD68" s="697"/>
      <c r="AE68" s="697">
        <v>5</v>
      </c>
      <c r="AF68" s="697">
        <v>5</v>
      </c>
      <c r="AG68" s="697">
        <v>7</v>
      </c>
      <c r="AH68" s="697">
        <v>7</v>
      </c>
      <c r="AI68" s="697">
        <v>7</v>
      </c>
      <c r="AJ68" s="697">
        <v>7</v>
      </c>
      <c r="AK68" s="697">
        <v>7</v>
      </c>
      <c r="AL68" s="697">
        <v>7</v>
      </c>
      <c r="AM68" s="697">
        <v>7</v>
      </c>
      <c r="AN68" s="206">
        <v>8</v>
      </c>
      <c r="AO68" s="697">
        <v>8</v>
      </c>
      <c r="AP68" s="699">
        <v>0</v>
      </c>
      <c r="AQ68" s="654"/>
      <c r="AR68" s="655"/>
      <c r="AS68" s="655"/>
      <c r="AT68" s="354"/>
    </row>
    <row r="69" spans="1:46" ht="18" x14ac:dyDescent="0.25">
      <c r="A69" s="1409" t="s">
        <v>219</v>
      </c>
      <c r="B69" s="1346"/>
      <c r="C69" s="268" t="s">
        <v>168</v>
      </c>
      <c r="D69" s="700"/>
      <c r="E69" s="268">
        <f t="shared" ref="E69:P69" si="73">SUM(E70:E71)</f>
        <v>0</v>
      </c>
      <c r="F69" s="268">
        <f t="shared" si="73"/>
        <v>0</v>
      </c>
      <c r="G69" s="268">
        <f t="shared" si="73"/>
        <v>0</v>
      </c>
      <c r="H69" s="268">
        <f t="shared" si="73"/>
        <v>0</v>
      </c>
      <c r="I69" s="268">
        <f t="shared" si="73"/>
        <v>144</v>
      </c>
      <c r="J69" s="268">
        <f t="shared" si="73"/>
        <v>144</v>
      </c>
      <c r="K69" s="268">
        <f t="shared" si="73"/>
        <v>152</v>
      </c>
      <c r="L69" s="268">
        <f t="shared" si="73"/>
        <v>152</v>
      </c>
      <c r="M69" s="268">
        <f t="shared" si="73"/>
        <v>159</v>
      </c>
      <c r="N69" s="264">
        <f t="shared" si="73"/>
        <v>159</v>
      </c>
      <c r="O69" s="268">
        <f t="shared" si="73"/>
        <v>159</v>
      </c>
      <c r="P69" s="674">
        <f t="shared" si="73"/>
        <v>137</v>
      </c>
      <c r="Q69" s="268"/>
      <c r="R69" s="268">
        <f t="shared" ref="R69:AC69" si="74">SUM(R70:R71)</f>
        <v>137</v>
      </c>
      <c r="S69" s="268">
        <f t="shared" si="74"/>
        <v>137</v>
      </c>
      <c r="T69" s="268">
        <f t="shared" si="74"/>
        <v>166</v>
      </c>
      <c r="U69" s="268">
        <f t="shared" si="74"/>
        <v>166</v>
      </c>
      <c r="V69" s="268">
        <f t="shared" si="74"/>
        <v>166</v>
      </c>
      <c r="W69" s="268">
        <f t="shared" si="74"/>
        <v>173</v>
      </c>
      <c r="X69" s="268">
        <f t="shared" si="74"/>
        <v>173</v>
      </c>
      <c r="Y69" s="268">
        <f t="shared" si="74"/>
        <v>173</v>
      </c>
      <c r="Z69" s="268">
        <f t="shared" si="74"/>
        <v>180</v>
      </c>
      <c r="AA69" s="264">
        <f t="shared" si="74"/>
        <v>216</v>
      </c>
      <c r="AB69" s="268">
        <f t="shared" si="74"/>
        <v>216</v>
      </c>
      <c r="AC69" s="674">
        <f t="shared" si="74"/>
        <v>185</v>
      </c>
      <c r="AD69" s="268"/>
      <c r="AE69" s="268">
        <f t="shared" ref="AE69:AP69" si="75">SUM(AE70:AE71)</f>
        <v>185</v>
      </c>
      <c r="AF69" s="268">
        <f t="shared" si="75"/>
        <v>185</v>
      </c>
      <c r="AG69" s="268">
        <f t="shared" si="75"/>
        <v>217</v>
      </c>
      <c r="AH69" s="268">
        <f t="shared" si="75"/>
        <v>217</v>
      </c>
      <c r="AI69" s="268">
        <f t="shared" si="75"/>
        <v>217</v>
      </c>
      <c r="AJ69" s="268">
        <f t="shared" si="75"/>
        <v>227</v>
      </c>
      <c r="AK69" s="268">
        <f t="shared" si="75"/>
        <v>227</v>
      </c>
      <c r="AL69" s="268">
        <f t="shared" si="75"/>
        <v>231</v>
      </c>
      <c r="AM69" s="268">
        <f t="shared" si="75"/>
        <v>239</v>
      </c>
      <c r="AN69" s="264">
        <f t="shared" si="75"/>
        <v>239</v>
      </c>
      <c r="AO69" s="268">
        <f t="shared" si="75"/>
        <v>239</v>
      </c>
      <c r="AP69" s="675">
        <f t="shared" si="75"/>
        <v>0</v>
      </c>
      <c r="AQ69" s="654"/>
      <c r="AR69" s="655"/>
      <c r="AS69" s="655"/>
      <c r="AT69" s="399"/>
    </row>
    <row r="70" spans="1:46" ht="12.75" x14ac:dyDescent="0.2">
      <c r="A70" s="1407"/>
      <c r="B70" s="534" t="s">
        <v>123</v>
      </c>
      <c r="C70" s="691">
        <v>0.12</v>
      </c>
      <c r="D70" s="701"/>
      <c r="E70" s="271">
        <v>0</v>
      </c>
      <c r="F70" s="271">
        <v>0</v>
      </c>
      <c r="G70" s="271">
        <v>0</v>
      </c>
      <c r="H70" s="271">
        <v>0</v>
      </c>
      <c r="I70" s="271">
        <v>144</v>
      </c>
      <c r="J70" s="271">
        <v>144</v>
      </c>
      <c r="K70" s="271">
        <v>152</v>
      </c>
      <c r="L70" s="271">
        <v>152</v>
      </c>
      <c r="M70" s="271">
        <v>159</v>
      </c>
      <c r="N70" s="271">
        <v>159</v>
      </c>
      <c r="O70" s="271">
        <v>159</v>
      </c>
      <c r="P70" s="693">
        <v>137</v>
      </c>
      <c r="Q70" s="271"/>
      <c r="R70" s="271">
        <v>137</v>
      </c>
      <c r="S70" s="271">
        <v>137</v>
      </c>
      <c r="T70" s="271">
        <v>166</v>
      </c>
      <c r="U70" s="271">
        <v>166</v>
      </c>
      <c r="V70" s="271">
        <v>166</v>
      </c>
      <c r="W70" s="271">
        <v>173</v>
      </c>
      <c r="X70" s="271">
        <v>173</v>
      </c>
      <c r="Y70" s="271">
        <v>173</v>
      </c>
      <c r="Z70" s="271">
        <v>180</v>
      </c>
      <c r="AA70" s="272">
        <v>180</v>
      </c>
      <c r="AB70" s="271">
        <v>180</v>
      </c>
      <c r="AC70" s="693">
        <v>159</v>
      </c>
      <c r="AD70" s="271"/>
      <c r="AE70" s="271">
        <v>159</v>
      </c>
      <c r="AF70" s="271">
        <v>159</v>
      </c>
      <c r="AG70" s="271">
        <v>173</v>
      </c>
      <c r="AH70" s="271">
        <v>173</v>
      </c>
      <c r="AI70" s="271">
        <v>173</v>
      </c>
      <c r="AJ70" s="271">
        <v>180</v>
      </c>
      <c r="AK70" s="271">
        <v>180</v>
      </c>
      <c r="AL70" s="271">
        <v>180</v>
      </c>
      <c r="AM70" s="271">
        <v>188</v>
      </c>
      <c r="AN70" s="272">
        <v>188</v>
      </c>
      <c r="AO70" s="271">
        <v>188</v>
      </c>
      <c r="AP70" s="694">
        <v>0</v>
      </c>
      <c r="AQ70" s="654"/>
      <c r="AR70" s="655"/>
      <c r="AS70" s="655"/>
      <c r="AT70" s="399"/>
    </row>
    <row r="71" spans="1:46" ht="12.75" x14ac:dyDescent="0.2">
      <c r="A71" s="1408"/>
      <c r="B71" s="550" t="s">
        <v>124</v>
      </c>
      <c r="C71" s="695">
        <v>0.12</v>
      </c>
      <c r="D71" s="702"/>
      <c r="E71" s="697">
        <v>0</v>
      </c>
      <c r="F71" s="697">
        <v>0</v>
      </c>
      <c r="G71" s="697">
        <v>0</v>
      </c>
      <c r="H71" s="697">
        <v>0</v>
      </c>
      <c r="I71" s="697">
        <v>0</v>
      </c>
      <c r="J71" s="697">
        <v>0</v>
      </c>
      <c r="K71" s="697">
        <v>0</v>
      </c>
      <c r="L71" s="697">
        <v>0</v>
      </c>
      <c r="M71" s="697">
        <v>0</v>
      </c>
      <c r="N71" s="703">
        <v>0</v>
      </c>
      <c r="O71" s="697">
        <v>0</v>
      </c>
      <c r="P71" s="698">
        <v>0</v>
      </c>
      <c r="Q71" s="697"/>
      <c r="R71" s="697">
        <v>0</v>
      </c>
      <c r="S71" s="697">
        <v>0</v>
      </c>
      <c r="T71" s="697">
        <v>0</v>
      </c>
      <c r="U71" s="697">
        <v>0</v>
      </c>
      <c r="V71" s="697">
        <v>0</v>
      </c>
      <c r="W71" s="697">
        <v>0</v>
      </c>
      <c r="X71" s="697">
        <v>0</v>
      </c>
      <c r="Y71" s="697">
        <v>0</v>
      </c>
      <c r="Z71" s="697">
        <v>0</v>
      </c>
      <c r="AA71" s="703">
        <v>36</v>
      </c>
      <c r="AB71" s="697">
        <v>36</v>
      </c>
      <c r="AC71" s="698">
        <v>26</v>
      </c>
      <c r="AD71" s="697"/>
      <c r="AE71" s="697">
        <v>26</v>
      </c>
      <c r="AF71" s="697">
        <v>26</v>
      </c>
      <c r="AG71" s="697">
        <v>44</v>
      </c>
      <c r="AH71" s="697">
        <v>44</v>
      </c>
      <c r="AI71" s="697">
        <v>44</v>
      </c>
      <c r="AJ71" s="697">
        <v>47</v>
      </c>
      <c r="AK71" s="697">
        <v>47</v>
      </c>
      <c r="AL71" s="697">
        <v>51</v>
      </c>
      <c r="AM71" s="697">
        <v>51</v>
      </c>
      <c r="AN71" s="703">
        <v>51</v>
      </c>
      <c r="AO71" s="697">
        <v>51</v>
      </c>
      <c r="AP71" s="699">
        <v>0</v>
      </c>
      <c r="AQ71" s="654"/>
      <c r="AR71" s="655"/>
      <c r="AS71" s="655"/>
      <c r="AT71" s="399"/>
    </row>
    <row r="72" spans="1:46" ht="18" x14ac:dyDescent="0.25">
      <c r="A72" s="1409" t="s">
        <v>220</v>
      </c>
      <c r="B72" s="1346"/>
      <c r="C72" s="268">
        <f t="shared" ref="C72:C74" si="76">C100</f>
        <v>0</v>
      </c>
      <c r="D72" s="269"/>
      <c r="E72" s="268">
        <f t="shared" ref="E72:P72" si="77">E100</f>
        <v>0</v>
      </c>
      <c r="F72" s="704">
        <f t="shared" si="77"/>
        <v>0</v>
      </c>
      <c r="G72" s="704">
        <f t="shared" si="77"/>
        <v>0</v>
      </c>
      <c r="H72" s="704">
        <f t="shared" si="77"/>
        <v>0</v>
      </c>
      <c r="I72" s="704">
        <f t="shared" si="77"/>
        <v>274</v>
      </c>
      <c r="J72" s="704">
        <f t="shared" si="77"/>
        <v>0</v>
      </c>
      <c r="K72" s="704">
        <f t="shared" si="77"/>
        <v>19</v>
      </c>
      <c r="L72" s="704">
        <f t="shared" si="77"/>
        <v>0</v>
      </c>
      <c r="M72" s="704">
        <f t="shared" si="77"/>
        <v>8</v>
      </c>
      <c r="N72" s="704">
        <f t="shared" si="77"/>
        <v>0</v>
      </c>
      <c r="O72" s="704">
        <f t="shared" si="77"/>
        <v>0</v>
      </c>
      <c r="P72" s="705">
        <f t="shared" si="77"/>
        <v>-26</v>
      </c>
      <c r="Q72" s="706"/>
      <c r="R72" s="704">
        <f t="shared" ref="R72:AC72" si="78">R100</f>
        <v>0</v>
      </c>
      <c r="S72" s="704">
        <f t="shared" si="78"/>
        <v>0</v>
      </c>
      <c r="T72" s="704">
        <f t="shared" si="78"/>
        <v>33</v>
      </c>
      <c r="U72" s="704">
        <f t="shared" si="78"/>
        <v>0</v>
      </c>
      <c r="V72" s="704">
        <f t="shared" si="78"/>
        <v>0</v>
      </c>
      <c r="W72" s="704">
        <f t="shared" si="78"/>
        <v>7</v>
      </c>
      <c r="X72" s="704">
        <f t="shared" si="78"/>
        <v>0</v>
      </c>
      <c r="Y72" s="704">
        <f t="shared" si="78"/>
        <v>0</v>
      </c>
      <c r="Z72" s="704">
        <f t="shared" si="78"/>
        <v>7</v>
      </c>
      <c r="AA72" s="704">
        <f t="shared" si="78"/>
        <v>37</v>
      </c>
      <c r="AB72" s="704">
        <f t="shared" si="78"/>
        <v>70</v>
      </c>
      <c r="AC72" s="705">
        <f t="shared" si="78"/>
        <v>-29</v>
      </c>
      <c r="AD72" s="706"/>
      <c r="AE72" s="704">
        <f t="shared" ref="AE72:AP72" si="79">AE100</f>
        <v>0</v>
      </c>
      <c r="AF72" s="704">
        <f t="shared" si="79"/>
        <v>0</v>
      </c>
      <c r="AG72" s="704">
        <f t="shared" si="79"/>
        <v>38</v>
      </c>
      <c r="AH72" s="704">
        <f t="shared" si="79"/>
        <v>0</v>
      </c>
      <c r="AI72" s="704">
        <f t="shared" si="79"/>
        <v>0</v>
      </c>
      <c r="AJ72" s="704">
        <f t="shared" si="79"/>
        <v>9</v>
      </c>
      <c r="AK72" s="704">
        <f t="shared" si="79"/>
        <v>0</v>
      </c>
      <c r="AL72" s="704">
        <f t="shared" si="79"/>
        <v>4</v>
      </c>
      <c r="AM72" s="704">
        <f t="shared" si="79"/>
        <v>10</v>
      </c>
      <c r="AN72" s="704">
        <f t="shared" si="79"/>
        <v>2</v>
      </c>
      <c r="AO72" s="704">
        <f t="shared" si="79"/>
        <v>1</v>
      </c>
      <c r="AP72" s="707">
        <f t="shared" si="79"/>
        <v>-263</v>
      </c>
      <c r="AQ72" s="708"/>
      <c r="AR72" s="709"/>
      <c r="AS72" s="709"/>
      <c r="AT72" s="321"/>
    </row>
    <row r="73" spans="1:46" ht="12.75" x14ac:dyDescent="0.2">
      <c r="A73" s="1410" t="s">
        <v>215</v>
      </c>
      <c r="B73" s="194" t="s">
        <v>123</v>
      </c>
      <c r="C73" s="271">
        <f t="shared" si="76"/>
        <v>0</v>
      </c>
      <c r="D73" s="692"/>
      <c r="E73" s="271">
        <f t="shared" ref="E73:P73" si="80">E101</f>
        <v>0</v>
      </c>
      <c r="F73" s="271">
        <f t="shared" si="80"/>
        <v>0</v>
      </c>
      <c r="G73" s="271">
        <f t="shared" si="80"/>
        <v>0</v>
      </c>
      <c r="H73" s="271">
        <f t="shared" si="80"/>
        <v>0</v>
      </c>
      <c r="I73" s="271">
        <f t="shared" si="80"/>
        <v>274</v>
      </c>
      <c r="J73" s="271">
        <f t="shared" si="80"/>
        <v>0</v>
      </c>
      <c r="K73" s="271">
        <f t="shared" si="80"/>
        <v>19</v>
      </c>
      <c r="L73" s="271">
        <f t="shared" si="80"/>
        <v>0</v>
      </c>
      <c r="M73" s="271">
        <f t="shared" si="80"/>
        <v>8</v>
      </c>
      <c r="N73" s="271">
        <f t="shared" si="80"/>
        <v>0</v>
      </c>
      <c r="O73" s="271">
        <f t="shared" si="80"/>
        <v>0</v>
      </c>
      <c r="P73" s="693">
        <f t="shared" si="80"/>
        <v>-26</v>
      </c>
      <c r="Q73" s="271"/>
      <c r="R73" s="271">
        <f t="shared" ref="R73:AC73" si="81">R101</f>
        <v>0</v>
      </c>
      <c r="S73" s="271">
        <f t="shared" si="81"/>
        <v>0</v>
      </c>
      <c r="T73" s="271">
        <f t="shared" si="81"/>
        <v>33</v>
      </c>
      <c r="U73" s="271">
        <f t="shared" si="81"/>
        <v>0</v>
      </c>
      <c r="V73" s="271">
        <f t="shared" si="81"/>
        <v>0</v>
      </c>
      <c r="W73" s="271">
        <f t="shared" si="81"/>
        <v>7</v>
      </c>
      <c r="X73" s="271">
        <f t="shared" si="81"/>
        <v>0</v>
      </c>
      <c r="Y73" s="271">
        <f t="shared" si="81"/>
        <v>0</v>
      </c>
      <c r="Z73" s="271">
        <f t="shared" si="81"/>
        <v>7</v>
      </c>
      <c r="AA73" s="199">
        <f t="shared" si="81"/>
        <v>1</v>
      </c>
      <c r="AB73" s="271">
        <f t="shared" si="81"/>
        <v>0</v>
      </c>
      <c r="AC73" s="693">
        <f t="shared" si="81"/>
        <v>-25</v>
      </c>
      <c r="AD73" s="271"/>
      <c r="AE73" s="271">
        <f t="shared" ref="AE73:AP73" si="82">AE101</f>
        <v>0</v>
      </c>
      <c r="AF73" s="271">
        <f t="shared" si="82"/>
        <v>0</v>
      </c>
      <c r="AG73" s="271">
        <f t="shared" si="82"/>
        <v>18</v>
      </c>
      <c r="AH73" s="271">
        <f t="shared" si="82"/>
        <v>0</v>
      </c>
      <c r="AI73" s="271">
        <f t="shared" si="82"/>
        <v>0</v>
      </c>
      <c r="AJ73" s="271">
        <f t="shared" si="82"/>
        <v>6</v>
      </c>
      <c r="AK73" s="271">
        <f t="shared" si="82"/>
        <v>0</v>
      </c>
      <c r="AL73" s="271">
        <f t="shared" si="82"/>
        <v>0</v>
      </c>
      <c r="AM73" s="271">
        <f t="shared" si="82"/>
        <v>10</v>
      </c>
      <c r="AN73" s="199">
        <f t="shared" si="82"/>
        <v>1</v>
      </c>
      <c r="AO73" s="271">
        <f t="shared" si="82"/>
        <v>1</v>
      </c>
      <c r="AP73" s="694">
        <f t="shared" si="82"/>
        <v>-204</v>
      </c>
      <c r="AQ73" s="654"/>
      <c r="AR73" s="655"/>
      <c r="AS73" s="655"/>
      <c r="AT73" s="321"/>
    </row>
    <row r="74" spans="1:46" ht="12.75" x14ac:dyDescent="0.2">
      <c r="A74" s="1411"/>
      <c r="B74" s="710" t="s">
        <v>124</v>
      </c>
      <c r="C74" s="711">
        <f t="shared" si="76"/>
        <v>0</v>
      </c>
      <c r="D74" s="712"/>
      <c r="E74" s="711">
        <f t="shared" ref="E74:P74" si="83">E102</f>
        <v>0</v>
      </c>
      <c r="F74" s="711">
        <f t="shared" si="83"/>
        <v>0</v>
      </c>
      <c r="G74" s="711">
        <f t="shared" si="83"/>
        <v>0</v>
      </c>
      <c r="H74" s="711">
        <f t="shared" si="83"/>
        <v>0</v>
      </c>
      <c r="I74" s="711">
        <f t="shared" si="83"/>
        <v>0</v>
      </c>
      <c r="J74" s="711">
        <f t="shared" si="83"/>
        <v>0</v>
      </c>
      <c r="K74" s="711">
        <f t="shared" si="83"/>
        <v>0</v>
      </c>
      <c r="L74" s="711">
        <f t="shared" si="83"/>
        <v>0</v>
      </c>
      <c r="M74" s="711">
        <f t="shared" si="83"/>
        <v>0</v>
      </c>
      <c r="N74" s="711">
        <f t="shared" si="83"/>
        <v>0</v>
      </c>
      <c r="O74" s="711">
        <f t="shared" si="83"/>
        <v>0</v>
      </c>
      <c r="P74" s="713">
        <f t="shared" si="83"/>
        <v>0</v>
      </c>
      <c r="Q74" s="711"/>
      <c r="R74" s="711">
        <f t="shared" ref="R74:AC74" si="84">R102</f>
        <v>0</v>
      </c>
      <c r="S74" s="711">
        <f t="shared" si="84"/>
        <v>0</v>
      </c>
      <c r="T74" s="711">
        <f t="shared" si="84"/>
        <v>0</v>
      </c>
      <c r="U74" s="711">
        <f t="shared" si="84"/>
        <v>0</v>
      </c>
      <c r="V74" s="711">
        <f t="shared" si="84"/>
        <v>0</v>
      </c>
      <c r="W74" s="711">
        <f t="shared" si="84"/>
        <v>0</v>
      </c>
      <c r="X74" s="711">
        <f t="shared" si="84"/>
        <v>0</v>
      </c>
      <c r="Y74" s="711">
        <f t="shared" si="84"/>
        <v>0</v>
      </c>
      <c r="Z74" s="711">
        <f t="shared" si="84"/>
        <v>0</v>
      </c>
      <c r="AA74" s="714">
        <f t="shared" si="84"/>
        <v>36</v>
      </c>
      <c r="AB74" s="711">
        <f t="shared" si="84"/>
        <v>70</v>
      </c>
      <c r="AC74" s="713">
        <f t="shared" si="84"/>
        <v>-4</v>
      </c>
      <c r="AD74" s="711"/>
      <c r="AE74" s="711">
        <f t="shared" ref="AE74:AP74" si="85">AE102</f>
        <v>0</v>
      </c>
      <c r="AF74" s="711">
        <f t="shared" si="85"/>
        <v>0</v>
      </c>
      <c r="AG74" s="711">
        <f t="shared" si="85"/>
        <v>20</v>
      </c>
      <c r="AH74" s="711">
        <f t="shared" si="85"/>
        <v>0</v>
      </c>
      <c r="AI74" s="711">
        <f t="shared" si="85"/>
        <v>0</v>
      </c>
      <c r="AJ74" s="711">
        <f t="shared" si="85"/>
        <v>3</v>
      </c>
      <c r="AK74" s="711">
        <f t="shared" si="85"/>
        <v>0</v>
      </c>
      <c r="AL74" s="711">
        <f t="shared" si="85"/>
        <v>4</v>
      </c>
      <c r="AM74" s="711">
        <f t="shared" si="85"/>
        <v>0</v>
      </c>
      <c r="AN74" s="714">
        <f t="shared" si="85"/>
        <v>1</v>
      </c>
      <c r="AO74" s="711">
        <f t="shared" si="85"/>
        <v>0</v>
      </c>
      <c r="AP74" s="715">
        <f t="shared" si="85"/>
        <v>-59</v>
      </c>
      <c r="AQ74" s="654"/>
      <c r="AR74" s="655"/>
      <c r="AS74" s="655"/>
      <c r="AT74" s="321"/>
    </row>
    <row r="75" spans="1:46" ht="12.75" x14ac:dyDescent="0.2">
      <c r="A75" s="716"/>
      <c r="B75" s="717"/>
      <c r="C75" s="685"/>
      <c r="D75" s="685"/>
      <c r="E75" s="685"/>
      <c r="F75" s="685"/>
      <c r="G75" s="685"/>
      <c r="H75" s="685"/>
      <c r="I75" s="685"/>
      <c r="J75" s="685"/>
      <c r="K75" s="685"/>
      <c r="L75" s="685"/>
      <c r="M75" s="685"/>
      <c r="N75" s="685"/>
      <c r="O75" s="685"/>
      <c r="P75" s="685"/>
      <c r="Q75" s="685"/>
      <c r="R75" s="685"/>
      <c r="S75" s="685"/>
      <c r="T75" s="685"/>
      <c r="U75" s="685"/>
      <c r="V75" s="685"/>
      <c r="W75" s="685"/>
      <c r="X75" s="685"/>
      <c r="Y75" s="685"/>
      <c r="Z75" s="685"/>
      <c r="AA75" s="686"/>
      <c r="AB75" s="685"/>
      <c r="AC75" s="685"/>
      <c r="AD75" s="685"/>
      <c r="AE75" s="685"/>
      <c r="AF75" s="685"/>
      <c r="AG75" s="685"/>
      <c r="AH75" s="685"/>
      <c r="AI75" s="685"/>
      <c r="AJ75" s="685"/>
      <c r="AK75" s="685"/>
      <c r="AL75" s="685"/>
      <c r="AM75" s="685"/>
      <c r="AN75" s="686"/>
      <c r="AO75" s="685"/>
      <c r="AP75" s="685"/>
      <c r="AQ75" s="687"/>
      <c r="AR75" s="655"/>
      <c r="AS75" s="655"/>
      <c r="AT75" s="321"/>
    </row>
    <row r="76" spans="1:46" ht="18" x14ac:dyDescent="0.25">
      <c r="A76" s="509" t="s">
        <v>221</v>
      </c>
      <c r="B76" s="511"/>
      <c r="C76" s="688"/>
      <c r="D76" s="688"/>
      <c r="E76" s="688"/>
      <c r="F76" s="688"/>
      <c r="G76" s="688"/>
      <c r="H76" s="688"/>
      <c r="I76" s="688"/>
      <c r="J76" s="688"/>
      <c r="K76" s="688"/>
      <c r="L76" s="688"/>
      <c r="M76" s="688"/>
      <c r="N76" s="688"/>
      <c r="O76" s="688"/>
      <c r="P76" s="688"/>
      <c r="Q76" s="688"/>
      <c r="R76" s="688"/>
      <c r="S76" s="688"/>
      <c r="T76" s="688"/>
      <c r="U76" s="688"/>
      <c r="V76" s="688"/>
      <c r="W76" s="688"/>
      <c r="X76" s="688"/>
      <c r="Y76" s="688"/>
      <c r="Z76" s="688"/>
      <c r="AA76" s="689"/>
      <c r="AB76" s="688"/>
      <c r="AC76" s="688"/>
      <c r="AD76" s="688"/>
      <c r="AE76" s="688"/>
      <c r="AF76" s="688"/>
      <c r="AG76" s="688"/>
      <c r="AH76" s="688"/>
      <c r="AI76" s="688"/>
      <c r="AJ76" s="688"/>
      <c r="AK76" s="688"/>
      <c r="AL76" s="688"/>
      <c r="AM76" s="688"/>
      <c r="AN76" s="689"/>
      <c r="AO76" s="688"/>
      <c r="AP76" s="688"/>
      <c r="AQ76" s="687"/>
      <c r="AR76" s="655"/>
      <c r="AS76" s="655"/>
      <c r="AT76" s="321"/>
    </row>
    <row r="77" spans="1:46" ht="18" x14ac:dyDescent="0.25">
      <c r="A77" s="1412" t="s">
        <v>140</v>
      </c>
      <c r="B77" s="1413"/>
      <c r="C77" s="690"/>
      <c r="D77" s="718"/>
      <c r="E77" s="690">
        <f t="shared" ref="E77:P77" si="86">SUM(E78:E79)</f>
        <v>0</v>
      </c>
      <c r="F77" s="690">
        <f t="shared" si="86"/>
        <v>0</v>
      </c>
      <c r="G77" s="690">
        <f t="shared" si="86"/>
        <v>0</v>
      </c>
      <c r="H77" s="690">
        <f t="shared" si="86"/>
        <v>0</v>
      </c>
      <c r="I77" s="690">
        <f t="shared" si="86"/>
        <v>274</v>
      </c>
      <c r="J77" s="690">
        <f t="shared" si="86"/>
        <v>1200</v>
      </c>
      <c r="K77" s="690">
        <f t="shared" si="86"/>
        <v>1219</v>
      </c>
      <c r="L77" s="690">
        <f t="shared" si="86"/>
        <v>1350</v>
      </c>
      <c r="M77" s="690">
        <f t="shared" si="86"/>
        <v>1358</v>
      </c>
      <c r="N77" s="690">
        <f t="shared" si="86"/>
        <v>1415</v>
      </c>
      <c r="O77" s="690">
        <f t="shared" si="86"/>
        <v>1415</v>
      </c>
      <c r="P77" s="719">
        <f t="shared" si="86"/>
        <v>1389</v>
      </c>
      <c r="Q77" s="690"/>
      <c r="R77" s="690">
        <f t="shared" ref="R77:AC77" si="87">SUM(R78:R79)</f>
        <v>1204</v>
      </c>
      <c r="S77" s="690">
        <f t="shared" si="87"/>
        <v>1204</v>
      </c>
      <c r="T77" s="690">
        <f t="shared" si="87"/>
        <v>1237</v>
      </c>
      <c r="U77" s="690">
        <f t="shared" si="87"/>
        <v>1476</v>
      </c>
      <c r="V77" s="690">
        <f t="shared" si="87"/>
        <v>1476</v>
      </c>
      <c r="W77" s="690">
        <f t="shared" si="87"/>
        <v>1483</v>
      </c>
      <c r="X77" s="690">
        <f t="shared" si="87"/>
        <v>1532</v>
      </c>
      <c r="Y77" s="690">
        <f t="shared" si="87"/>
        <v>1532</v>
      </c>
      <c r="Z77" s="690">
        <f t="shared" si="87"/>
        <v>1539</v>
      </c>
      <c r="AA77" s="690">
        <f t="shared" si="87"/>
        <v>1634</v>
      </c>
      <c r="AB77" s="690">
        <f t="shared" si="87"/>
        <v>1972</v>
      </c>
      <c r="AC77" s="719">
        <f t="shared" si="87"/>
        <v>1878</v>
      </c>
      <c r="AD77" s="690"/>
      <c r="AE77" s="690">
        <f t="shared" ref="AE77:AP77" si="88">SUM(AE78:AE79)</f>
        <v>1651</v>
      </c>
      <c r="AF77" s="690">
        <f t="shared" si="88"/>
        <v>1641</v>
      </c>
      <c r="AG77" s="690">
        <f t="shared" si="88"/>
        <v>1679</v>
      </c>
      <c r="AH77" s="690">
        <f t="shared" si="88"/>
        <v>1962</v>
      </c>
      <c r="AI77" s="690">
        <f t="shared" si="88"/>
        <v>1962</v>
      </c>
      <c r="AJ77" s="690">
        <f t="shared" si="88"/>
        <v>1971</v>
      </c>
      <c r="AK77" s="690">
        <f t="shared" si="88"/>
        <v>2042</v>
      </c>
      <c r="AL77" s="690">
        <f t="shared" si="88"/>
        <v>2046</v>
      </c>
      <c r="AM77" s="690">
        <f t="shared" si="88"/>
        <v>2082</v>
      </c>
      <c r="AN77" s="690">
        <f t="shared" si="88"/>
        <v>2155</v>
      </c>
      <c r="AO77" s="690">
        <f t="shared" si="88"/>
        <v>2162</v>
      </c>
      <c r="AP77" s="720">
        <f t="shared" si="88"/>
        <v>1906</v>
      </c>
      <c r="AQ77" s="708"/>
      <c r="AR77" s="709"/>
      <c r="AS77" s="709"/>
      <c r="AT77" s="321"/>
    </row>
    <row r="78" spans="1:46" ht="12.75" x14ac:dyDescent="0.2">
      <c r="A78" s="1414"/>
      <c r="B78" s="194" t="s">
        <v>123</v>
      </c>
      <c r="C78" s="271"/>
      <c r="D78" s="692"/>
      <c r="E78" s="271">
        <f t="shared" ref="E78:P78" si="89">E59+E62+E73</f>
        <v>0</v>
      </c>
      <c r="F78" s="271">
        <f t="shared" si="89"/>
        <v>0</v>
      </c>
      <c r="G78" s="271">
        <f t="shared" si="89"/>
        <v>0</v>
      </c>
      <c r="H78" s="271">
        <f t="shared" si="89"/>
        <v>0</v>
      </c>
      <c r="I78" s="271">
        <f t="shared" si="89"/>
        <v>274</v>
      </c>
      <c r="J78" s="272">
        <f t="shared" si="89"/>
        <v>1200</v>
      </c>
      <c r="K78" s="272">
        <f t="shared" si="89"/>
        <v>1219</v>
      </c>
      <c r="L78" s="272">
        <f t="shared" si="89"/>
        <v>1350</v>
      </c>
      <c r="M78" s="272">
        <f t="shared" si="89"/>
        <v>1358</v>
      </c>
      <c r="N78" s="272">
        <f t="shared" si="89"/>
        <v>1415</v>
      </c>
      <c r="O78" s="272">
        <f t="shared" si="89"/>
        <v>1415</v>
      </c>
      <c r="P78" s="273">
        <f t="shared" si="89"/>
        <v>1389</v>
      </c>
      <c r="Q78" s="272"/>
      <c r="R78" s="272">
        <f t="shared" ref="R78:AC78" si="90">R59+R62+R73</f>
        <v>1204</v>
      </c>
      <c r="S78" s="272">
        <f t="shared" si="90"/>
        <v>1204</v>
      </c>
      <c r="T78" s="272">
        <f t="shared" si="90"/>
        <v>1237</v>
      </c>
      <c r="U78" s="272">
        <f t="shared" si="90"/>
        <v>1476</v>
      </c>
      <c r="V78" s="272">
        <f t="shared" si="90"/>
        <v>1476</v>
      </c>
      <c r="W78" s="272">
        <f t="shared" si="90"/>
        <v>1483</v>
      </c>
      <c r="X78" s="272">
        <f t="shared" si="90"/>
        <v>1532</v>
      </c>
      <c r="Y78" s="272">
        <f t="shared" si="90"/>
        <v>1532</v>
      </c>
      <c r="Z78" s="272">
        <f t="shared" si="90"/>
        <v>1539</v>
      </c>
      <c r="AA78" s="272">
        <f t="shared" si="90"/>
        <v>1598</v>
      </c>
      <c r="AB78" s="272">
        <f t="shared" si="90"/>
        <v>1602</v>
      </c>
      <c r="AC78" s="273">
        <f t="shared" si="90"/>
        <v>1582</v>
      </c>
      <c r="AD78" s="272"/>
      <c r="AE78" s="272">
        <f t="shared" ref="AE78:AP78" si="91">AE59+AE62+AE73</f>
        <v>1391</v>
      </c>
      <c r="AF78" s="272">
        <f t="shared" si="91"/>
        <v>1391</v>
      </c>
      <c r="AG78" s="272">
        <f t="shared" si="91"/>
        <v>1409</v>
      </c>
      <c r="AH78" s="272">
        <f t="shared" si="91"/>
        <v>1547</v>
      </c>
      <c r="AI78" s="272">
        <f t="shared" si="91"/>
        <v>1547</v>
      </c>
      <c r="AJ78" s="272">
        <f t="shared" si="91"/>
        <v>1553</v>
      </c>
      <c r="AK78" s="272">
        <f t="shared" si="91"/>
        <v>1598</v>
      </c>
      <c r="AL78" s="272">
        <f t="shared" si="91"/>
        <v>1598</v>
      </c>
      <c r="AM78" s="272">
        <f t="shared" si="91"/>
        <v>1608</v>
      </c>
      <c r="AN78" s="272">
        <f t="shared" si="91"/>
        <v>1677</v>
      </c>
      <c r="AO78" s="272">
        <f t="shared" si="91"/>
        <v>1682</v>
      </c>
      <c r="AP78" s="721">
        <f t="shared" si="91"/>
        <v>1482</v>
      </c>
      <c r="AQ78" s="708"/>
      <c r="AR78" s="709"/>
      <c r="AS78" s="709"/>
      <c r="AT78" s="321"/>
    </row>
    <row r="79" spans="1:46" ht="12.75" x14ac:dyDescent="0.2">
      <c r="A79" s="1411"/>
      <c r="B79" s="710" t="s">
        <v>124</v>
      </c>
      <c r="C79" s="711"/>
      <c r="D79" s="712"/>
      <c r="E79" s="711">
        <f t="shared" ref="E79:P79" si="92">E60+E63+E74</f>
        <v>0</v>
      </c>
      <c r="F79" s="711">
        <f t="shared" si="92"/>
        <v>0</v>
      </c>
      <c r="G79" s="711">
        <f t="shared" si="92"/>
        <v>0</v>
      </c>
      <c r="H79" s="711">
        <f t="shared" si="92"/>
        <v>0</v>
      </c>
      <c r="I79" s="711">
        <f t="shared" si="92"/>
        <v>0</v>
      </c>
      <c r="J79" s="722">
        <f t="shared" si="92"/>
        <v>0</v>
      </c>
      <c r="K79" s="722">
        <f t="shared" si="92"/>
        <v>0</v>
      </c>
      <c r="L79" s="722">
        <f t="shared" si="92"/>
        <v>0</v>
      </c>
      <c r="M79" s="722">
        <f t="shared" si="92"/>
        <v>0</v>
      </c>
      <c r="N79" s="722">
        <f t="shared" si="92"/>
        <v>0</v>
      </c>
      <c r="O79" s="722">
        <f t="shared" si="92"/>
        <v>0</v>
      </c>
      <c r="P79" s="723">
        <f t="shared" si="92"/>
        <v>0</v>
      </c>
      <c r="Q79" s="722"/>
      <c r="R79" s="722">
        <f t="shared" ref="R79:AC79" si="93">R60+R63+R74</f>
        <v>0</v>
      </c>
      <c r="S79" s="722">
        <f t="shared" si="93"/>
        <v>0</v>
      </c>
      <c r="T79" s="722">
        <f t="shared" si="93"/>
        <v>0</v>
      </c>
      <c r="U79" s="722">
        <f t="shared" si="93"/>
        <v>0</v>
      </c>
      <c r="V79" s="722">
        <f t="shared" si="93"/>
        <v>0</v>
      </c>
      <c r="W79" s="722">
        <f t="shared" si="93"/>
        <v>0</v>
      </c>
      <c r="X79" s="722">
        <f t="shared" si="93"/>
        <v>0</v>
      </c>
      <c r="Y79" s="722">
        <f t="shared" si="93"/>
        <v>0</v>
      </c>
      <c r="Z79" s="722">
        <f t="shared" si="93"/>
        <v>0</v>
      </c>
      <c r="AA79" s="722">
        <f t="shared" si="93"/>
        <v>36</v>
      </c>
      <c r="AB79" s="722">
        <f t="shared" si="93"/>
        <v>370</v>
      </c>
      <c r="AC79" s="723">
        <f t="shared" si="93"/>
        <v>296</v>
      </c>
      <c r="AD79" s="722"/>
      <c r="AE79" s="722">
        <f t="shared" ref="AE79:AP79" si="94">AE60+AE63+AE74</f>
        <v>260</v>
      </c>
      <c r="AF79" s="722">
        <f t="shared" si="94"/>
        <v>250</v>
      </c>
      <c r="AG79" s="722">
        <f t="shared" si="94"/>
        <v>270</v>
      </c>
      <c r="AH79" s="722">
        <f t="shared" si="94"/>
        <v>415</v>
      </c>
      <c r="AI79" s="722">
        <f t="shared" si="94"/>
        <v>415</v>
      </c>
      <c r="AJ79" s="722">
        <f t="shared" si="94"/>
        <v>418</v>
      </c>
      <c r="AK79" s="722">
        <f t="shared" si="94"/>
        <v>444</v>
      </c>
      <c r="AL79" s="722">
        <f t="shared" si="94"/>
        <v>448</v>
      </c>
      <c r="AM79" s="722">
        <f t="shared" si="94"/>
        <v>474</v>
      </c>
      <c r="AN79" s="722">
        <f t="shared" si="94"/>
        <v>478</v>
      </c>
      <c r="AO79" s="722">
        <f t="shared" si="94"/>
        <v>480</v>
      </c>
      <c r="AP79" s="724">
        <f t="shared" si="94"/>
        <v>424</v>
      </c>
      <c r="AQ79" s="708"/>
      <c r="AR79" s="709"/>
      <c r="AS79" s="709"/>
      <c r="AT79" s="321"/>
    </row>
    <row r="80" spans="1:46" ht="12.75" x14ac:dyDescent="0.2">
      <c r="A80" s="223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  <c r="AM80" s="224"/>
      <c r="AN80" s="224"/>
      <c r="AO80" s="224"/>
      <c r="AP80" s="224"/>
      <c r="AQ80" s="163"/>
      <c r="AR80" s="163"/>
      <c r="AS80" s="163"/>
      <c r="AT80" s="321"/>
    </row>
    <row r="81" spans="1:46" ht="12.75" x14ac:dyDescent="0.2">
      <c r="A81" s="231"/>
      <c r="B81" s="232"/>
      <c r="C81" s="725"/>
      <c r="D81" s="725"/>
      <c r="E81" s="725"/>
      <c r="F81" s="725"/>
      <c r="G81" s="725"/>
      <c r="H81" s="725"/>
      <c r="I81" s="725"/>
      <c r="J81" s="725"/>
      <c r="K81" s="725"/>
      <c r="L81" s="725"/>
      <c r="M81" s="725"/>
      <c r="N81" s="725"/>
      <c r="O81" s="725"/>
      <c r="P81" s="725"/>
      <c r="Q81" s="725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232"/>
      <c r="AN81" s="232"/>
      <c r="AO81" s="232"/>
      <c r="AP81" s="232"/>
      <c r="AQ81" s="163"/>
      <c r="AR81" s="163"/>
      <c r="AS81" s="163"/>
      <c r="AT81" s="321"/>
    </row>
    <row r="82" spans="1:46" ht="12.75" x14ac:dyDescent="0.2">
      <c r="A82" s="1379" t="s">
        <v>222</v>
      </c>
      <c r="B82" s="1380"/>
      <c r="C82" s="1380"/>
      <c r="D82" s="259"/>
      <c r="E82" s="1376">
        <v>2025</v>
      </c>
      <c r="F82" s="1367"/>
      <c r="G82" s="1367"/>
      <c r="H82" s="1367"/>
      <c r="I82" s="1367"/>
      <c r="J82" s="1367"/>
      <c r="K82" s="1367"/>
      <c r="L82" s="1367"/>
      <c r="M82" s="1367"/>
      <c r="N82" s="1367"/>
      <c r="O82" s="1367"/>
      <c r="P82" s="1368"/>
      <c r="Q82" s="166"/>
      <c r="R82" s="1377">
        <v>2026</v>
      </c>
      <c r="S82" s="1367"/>
      <c r="T82" s="1367"/>
      <c r="U82" s="1367"/>
      <c r="V82" s="1367"/>
      <c r="W82" s="1367"/>
      <c r="X82" s="1367"/>
      <c r="Y82" s="1367"/>
      <c r="Z82" s="1367"/>
      <c r="AA82" s="1367"/>
      <c r="AB82" s="1367"/>
      <c r="AC82" s="1368"/>
      <c r="AD82" s="167"/>
      <c r="AE82" s="1376">
        <v>2027</v>
      </c>
      <c r="AF82" s="1367"/>
      <c r="AG82" s="1367"/>
      <c r="AH82" s="1367"/>
      <c r="AI82" s="1367"/>
      <c r="AJ82" s="1367"/>
      <c r="AK82" s="1367"/>
      <c r="AL82" s="1367"/>
      <c r="AM82" s="1367"/>
      <c r="AN82" s="1367"/>
      <c r="AO82" s="1367"/>
      <c r="AP82" s="1368"/>
      <c r="AQ82" s="643"/>
      <c r="AR82" s="644"/>
      <c r="AS82" s="644"/>
      <c r="AT82" s="321"/>
    </row>
    <row r="83" spans="1:46" ht="12.75" x14ac:dyDescent="0.2">
      <c r="A83" s="1381"/>
      <c r="B83" s="1343"/>
      <c r="C83" s="1343"/>
      <c r="D83" s="259"/>
      <c r="E83" s="1378" t="s">
        <v>118</v>
      </c>
      <c r="F83" s="1367"/>
      <c r="G83" s="1368"/>
      <c r="H83" s="1371" t="s">
        <v>119</v>
      </c>
      <c r="I83" s="1367"/>
      <c r="J83" s="1368"/>
      <c r="K83" s="1371" t="s">
        <v>120</v>
      </c>
      <c r="L83" s="1367"/>
      <c r="M83" s="1368"/>
      <c r="N83" s="1371" t="s">
        <v>121</v>
      </c>
      <c r="O83" s="1367"/>
      <c r="P83" s="1368"/>
      <c r="Q83" s="174"/>
      <c r="R83" s="1378" t="s">
        <v>118</v>
      </c>
      <c r="S83" s="1367"/>
      <c r="T83" s="1368"/>
      <c r="U83" s="1371" t="s">
        <v>119</v>
      </c>
      <c r="V83" s="1367"/>
      <c r="W83" s="1368"/>
      <c r="X83" s="1371" t="s">
        <v>120</v>
      </c>
      <c r="Y83" s="1367"/>
      <c r="Z83" s="1368"/>
      <c r="AA83" s="1371" t="s">
        <v>121</v>
      </c>
      <c r="AB83" s="1367"/>
      <c r="AC83" s="1368"/>
      <c r="AD83" s="174"/>
      <c r="AE83" s="1378" t="s">
        <v>118</v>
      </c>
      <c r="AF83" s="1367"/>
      <c r="AG83" s="1368"/>
      <c r="AH83" s="1371" t="s">
        <v>119</v>
      </c>
      <c r="AI83" s="1367"/>
      <c r="AJ83" s="1368"/>
      <c r="AK83" s="1371" t="s">
        <v>120</v>
      </c>
      <c r="AL83" s="1367"/>
      <c r="AM83" s="1368"/>
      <c r="AN83" s="1371" t="s">
        <v>121</v>
      </c>
      <c r="AO83" s="1367"/>
      <c r="AP83" s="1368"/>
      <c r="AQ83" s="497"/>
      <c r="AR83" s="498"/>
      <c r="AS83" s="498"/>
      <c r="AT83" s="321"/>
    </row>
    <row r="84" spans="1:46" ht="18" x14ac:dyDescent="0.25">
      <c r="A84" s="1381"/>
      <c r="B84" s="1343"/>
      <c r="C84" s="1343"/>
      <c r="D84" s="726"/>
      <c r="E84" s="327">
        <v>1</v>
      </c>
      <c r="F84" s="499">
        <v>2</v>
      </c>
      <c r="G84" s="499">
        <v>3</v>
      </c>
      <c r="H84" s="499">
        <v>4</v>
      </c>
      <c r="I84" s="499">
        <v>5</v>
      </c>
      <c r="J84" s="499">
        <v>6</v>
      </c>
      <c r="K84" s="499">
        <v>7</v>
      </c>
      <c r="L84" s="499">
        <v>8</v>
      </c>
      <c r="M84" s="499">
        <v>9</v>
      </c>
      <c r="N84" s="499">
        <v>10</v>
      </c>
      <c r="O84" s="499">
        <v>11</v>
      </c>
      <c r="P84" s="499">
        <v>12</v>
      </c>
      <c r="Q84" s="499"/>
      <c r="R84" s="499">
        <v>1</v>
      </c>
      <c r="S84" s="499">
        <v>2</v>
      </c>
      <c r="T84" s="499">
        <v>3</v>
      </c>
      <c r="U84" s="499">
        <v>4</v>
      </c>
      <c r="V84" s="499">
        <v>5</v>
      </c>
      <c r="W84" s="499">
        <v>6</v>
      </c>
      <c r="X84" s="499">
        <v>7</v>
      </c>
      <c r="Y84" s="499">
        <v>8</v>
      </c>
      <c r="Z84" s="499">
        <v>9</v>
      </c>
      <c r="AA84" s="499">
        <v>10</v>
      </c>
      <c r="AB84" s="499">
        <v>11</v>
      </c>
      <c r="AC84" s="499">
        <v>12</v>
      </c>
      <c r="AD84" s="499"/>
      <c r="AE84" s="500">
        <v>1</v>
      </c>
      <c r="AF84" s="501">
        <v>2</v>
      </c>
      <c r="AG84" s="501">
        <v>3</v>
      </c>
      <c r="AH84" s="501">
        <v>4</v>
      </c>
      <c r="AI84" s="501">
        <v>5</v>
      </c>
      <c r="AJ84" s="501">
        <v>6</v>
      </c>
      <c r="AK84" s="501">
        <v>7</v>
      </c>
      <c r="AL84" s="501">
        <v>8</v>
      </c>
      <c r="AM84" s="501">
        <v>9</v>
      </c>
      <c r="AN84" s="501">
        <v>10</v>
      </c>
      <c r="AO84" s="501">
        <v>11</v>
      </c>
      <c r="AP84" s="502">
        <v>12</v>
      </c>
      <c r="AQ84" s="503"/>
      <c r="AR84" s="504"/>
      <c r="AS84" s="504"/>
      <c r="AT84" s="321"/>
    </row>
    <row r="85" spans="1:46" ht="18" x14ac:dyDescent="0.25">
      <c r="A85" s="1418" t="s">
        <v>26</v>
      </c>
      <c r="B85" s="1413"/>
      <c r="C85" s="727" t="s">
        <v>223</v>
      </c>
      <c r="D85" s="650"/>
      <c r="E85" s="651">
        <f t="shared" ref="E85:P85" si="95">SUM(E86:E87)</f>
        <v>0</v>
      </c>
      <c r="F85" s="651">
        <f t="shared" si="95"/>
        <v>0</v>
      </c>
      <c r="G85" s="651">
        <f t="shared" si="95"/>
        <v>0</v>
      </c>
      <c r="H85" s="651">
        <f t="shared" si="95"/>
        <v>0</v>
      </c>
      <c r="I85" s="651">
        <f t="shared" si="95"/>
        <v>274</v>
      </c>
      <c r="J85" s="651">
        <f t="shared" si="95"/>
        <v>274</v>
      </c>
      <c r="K85" s="651">
        <f t="shared" si="95"/>
        <v>293</v>
      </c>
      <c r="L85" s="651">
        <f t="shared" si="95"/>
        <v>293</v>
      </c>
      <c r="M85" s="651">
        <f t="shared" si="95"/>
        <v>301</v>
      </c>
      <c r="N85" s="651">
        <f t="shared" si="95"/>
        <v>301</v>
      </c>
      <c r="O85" s="651">
        <f t="shared" si="95"/>
        <v>301</v>
      </c>
      <c r="P85" s="719">
        <f t="shared" si="95"/>
        <v>275</v>
      </c>
      <c r="Q85" s="690"/>
      <c r="R85" s="651">
        <f t="shared" ref="R85:AC85" si="96">SUM(R86:R87)</f>
        <v>275</v>
      </c>
      <c r="S85" s="651">
        <f t="shared" si="96"/>
        <v>275</v>
      </c>
      <c r="T85" s="651">
        <f t="shared" si="96"/>
        <v>308</v>
      </c>
      <c r="U85" s="651">
        <f t="shared" si="96"/>
        <v>308</v>
      </c>
      <c r="V85" s="651">
        <f t="shared" si="96"/>
        <v>308</v>
      </c>
      <c r="W85" s="651">
        <f t="shared" si="96"/>
        <v>315</v>
      </c>
      <c r="X85" s="651">
        <f t="shared" si="96"/>
        <v>315</v>
      </c>
      <c r="Y85" s="651">
        <f t="shared" si="96"/>
        <v>315</v>
      </c>
      <c r="Z85" s="651">
        <f t="shared" si="96"/>
        <v>322</v>
      </c>
      <c r="AA85" s="651">
        <f t="shared" si="96"/>
        <v>359</v>
      </c>
      <c r="AB85" s="651">
        <f t="shared" si="96"/>
        <v>429</v>
      </c>
      <c r="AC85" s="719">
        <f t="shared" si="96"/>
        <v>400</v>
      </c>
      <c r="AD85" s="690"/>
      <c r="AE85" s="651">
        <f t="shared" ref="AE85:AP85" si="97">SUM(AE86:AE87)</f>
        <v>400</v>
      </c>
      <c r="AF85" s="651">
        <f t="shared" si="97"/>
        <v>400</v>
      </c>
      <c r="AG85" s="651">
        <f t="shared" si="97"/>
        <v>438</v>
      </c>
      <c r="AH85" s="651">
        <f t="shared" si="97"/>
        <v>438</v>
      </c>
      <c r="AI85" s="651">
        <f t="shared" si="97"/>
        <v>438</v>
      </c>
      <c r="AJ85" s="651">
        <f t="shared" si="97"/>
        <v>447</v>
      </c>
      <c r="AK85" s="651">
        <f t="shared" si="97"/>
        <v>447</v>
      </c>
      <c r="AL85" s="651">
        <f t="shared" si="97"/>
        <v>451</v>
      </c>
      <c r="AM85" s="651">
        <f t="shared" si="97"/>
        <v>461</v>
      </c>
      <c r="AN85" s="651">
        <f t="shared" si="97"/>
        <v>463</v>
      </c>
      <c r="AO85" s="651">
        <f t="shared" si="97"/>
        <v>464</v>
      </c>
      <c r="AP85" s="720">
        <f t="shared" si="97"/>
        <v>201</v>
      </c>
      <c r="AQ85" s="708"/>
      <c r="AR85" s="709"/>
      <c r="AS85" s="709"/>
      <c r="AT85" s="321"/>
    </row>
    <row r="86" spans="1:46" ht="12.75" x14ac:dyDescent="0.2">
      <c r="A86" s="1414"/>
      <c r="B86" s="194" t="s">
        <v>123</v>
      </c>
      <c r="C86" s="728">
        <f>ROUNDUP(Parameter!B70*(Parameter!B57+Parameter!B58),-1)</f>
        <v>130</v>
      </c>
      <c r="D86" s="729">
        <f t="shared" ref="D86:D87" si="98">C86</f>
        <v>130</v>
      </c>
      <c r="E86" s="730">
        <v>0</v>
      </c>
      <c r="F86" s="659">
        <v>0</v>
      </c>
      <c r="G86" s="659">
        <v>0</v>
      </c>
      <c r="H86" s="659">
        <v>0</v>
      </c>
      <c r="I86" s="659">
        <v>274</v>
      </c>
      <c r="J86" s="659">
        <v>274</v>
      </c>
      <c r="K86" s="659">
        <v>293</v>
      </c>
      <c r="L86" s="659">
        <v>293</v>
      </c>
      <c r="M86" s="659">
        <v>301</v>
      </c>
      <c r="N86" s="659">
        <v>301</v>
      </c>
      <c r="O86" s="659">
        <v>301</v>
      </c>
      <c r="P86" s="661">
        <v>275</v>
      </c>
      <c r="Q86" s="659"/>
      <c r="R86" s="659">
        <v>275</v>
      </c>
      <c r="S86" s="659">
        <v>275</v>
      </c>
      <c r="T86" s="659">
        <v>308</v>
      </c>
      <c r="U86" s="659">
        <v>308</v>
      </c>
      <c r="V86" s="659">
        <v>308</v>
      </c>
      <c r="W86" s="659">
        <v>315</v>
      </c>
      <c r="X86" s="659">
        <v>315</v>
      </c>
      <c r="Y86" s="659">
        <v>315</v>
      </c>
      <c r="Z86" s="659">
        <v>322</v>
      </c>
      <c r="AA86" s="731">
        <v>323</v>
      </c>
      <c r="AB86" s="659">
        <v>323</v>
      </c>
      <c r="AC86" s="661">
        <v>298</v>
      </c>
      <c r="AD86" s="659"/>
      <c r="AE86" s="659">
        <v>298</v>
      </c>
      <c r="AF86" s="659">
        <v>298</v>
      </c>
      <c r="AG86" s="659">
        <v>316</v>
      </c>
      <c r="AH86" s="659">
        <v>316</v>
      </c>
      <c r="AI86" s="659">
        <v>316</v>
      </c>
      <c r="AJ86" s="659">
        <v>322</v>
      </c>
      <c r="AK86" s="659">
        <v>322</v>
      </c>
      <c r="AL86" s="659">
        <v>322</v>
      </c>
      <c r="AM86" s="659">
        <v>332</v>
      </c>
      <c r="AN86" s="731">
        <v>333</v>
      </c>
      <c r="AO86" s="659">
        <v>334</v>
      </c>
      <c r="AP86" s="662">
        <v>130</v>
      </c>
      <c r="AQ86" s="654"/>
      <c r="AR86" s="655"/>
      <c r="AS86" s="655"/>
      <c r="AT86" s="321"/>
    </row>
    <row r="87" spans="1:46" ht="12.75" x14ac:dyDescent="0.2">
      <c r="A87" s="1408"/>
      <c r="B87" s="201" t="s">
        <v>124</v>
      </c>
      <c r="C87" s="732">
        <f>ROUNDUP(Parameter!B70*(Parameter!B59+Parameter!B60),-1)</f>
        <v>70</v>
      </c>
      <c r="D87" s="665">
        <f t="shared" si="98"/>
        <v>70</v>
      </c>
      <c r="E87" s="666">
        <v>0</v>
      </c>
      <c r="F87" s="666">
        <v>0</v>
      </c>
      <c r="G87" s="666">
        <v>0</v>
      </c>
      <c r="H87" s="666">
        <v>0</v>
      </c>
      <c r="I87" s="666">
        <v>0</v>
      </c>
      <c r="J87" s="666">
        <v>0</v>
      </c>
      <c r="K87" s="666">
        <v>0</v>
      </c>
      <c r="L87" s="666">
        <v>0</v>
      </c>
      <c r="M87" s="666">
        <v>0</v>
      </c>
      <c r="N87" s="666">
        <v>0</v>
      </c>
      <c r="O87" s="666">
        <v>0</v>
      </c>
      <c r="P87" s="668">
        <v>0</v>
      </c>
      <c r="Q87" s="666"/>
      <c r="R87" s="666">
        <v>0</v>
      </c>
      <c r="S87" s="666">
        <v>0</v>
      </c>
      <c r="T87" s="666">
        <v>0</v>
      </c>
      <c r="U87" s="666">
        <v>0</v>
      </c>
      <c r="V87" s="666">
        <v>0</v>
      </c>
      <c r="W87" s="666">
        <v>0</v>
      </c>
      <c r="X87" s="666">
        <v>0</v>
      </c>
      <c r="Y87" s="666">
        <v>0</v>
      </c>
      <c r="Z87" s="666">
        <v>0</v>
      </c>
      <c r="AA87" s="733">
        <v>36</v>
      </c>
      <c r="AB87" s="666">
        <v>106</v>
      </c>
      <c r="AC87" s="668">
        <v>102</v>
      </c>
      <c r="AD87" s="666"/>
      <c r="AE87" s="666">
        <v>102</v>
      </c>
      <c r="AF87" s="666">
        <v>102</v>
      </c>
      <c r="AG87" s="666">
        <v>122</v>
      </c>
      <c r="AH87" s="666">
        <v>122</v>
      </c>
      <c r="AI87" s="666">
        <v>122</v>
      </c>
      <c r="AJ87" s="666">
        <v>125</v>
      </c>
      <c r="AK87" s="666">
        <v>125</v>
      </c>
      <c r="AL87" s="666">
        <v>129</v>
      </c>
      <c r="AM87" s="666">
        <v>129</v>
      </c>
      <c r="AN87" s="733">
        <v>130</v>
      </c>
      <c r="AO87" s="666">
        <v>130</v>
      </c>
      <c r="AP87" s="669">
        <v>71</v>
      </c>
      <c r="AQ87" s="654"/>
      <c r="AR87" s="655"/>
      <c r="AS87" s="655"/>
      <c r="AT87" s="321"/>
    </row>
    <row r="88" spans="1:46" ht="18" x14ac:dyDescent="0.25">
      <c r="A88" s="734" t="s">
        <v>224</v>
      </c>
      <c r="B88" s="560"/>
      <c r="C88" s="735"/>
      <c r="D88" s="700"/>
      <c r="E88" s="736"/>
      <c r="F88" s="737"/>
      <c r="G88" s="737"/>
      <c r="H88" s="736"/>
      <c r="I88" s="736"/>
      <c r="J88" s="738"/>
      <c r="K88" s="738"/>
      <c r="L88" s="738"/>
      <c r="M88" s="738"/>
      <c r="N88" s="738"/>
      <c r="O88" s="738"/>
      <c r="P88" s="739"/>
      <c r="Q88" s="738"/>
      <c r="R88" s="738"/>
      <c r="S88" s="738"/>
      <c r="T88" s="738"/>
      <c r="U88" s="738"/>
      <c r="V88" s="738"/>
      <c r="W88" s="738"/>
      <c r="X88" s="738"/>
      <c r="Y88" s="738"/>
      <c r="Z88" s="738"/>
      <c r="AA88" s="738"/>
      <c r="AB88" s="738"/>
      <c r="AC88" s="739"/>
      <c r="AD88" s="738"/>
      <c r="AE88" s="738"/>
      <c r="AF88" s="738"/>
      <c r="AG88" s="738"/>
      <c r="AH88" s="738"/>
      <c r="AI88" s="738"/>
      <c r="AJ88" s="738"/>
      <c r="AK88" s="738"/>
      <c r="AL88" s="738"/>
      <c r="AM88" s="738"/>
      <c r="AN88" s="738"/>
      <c r="AO88" s="738"/>
      <c r="AP88" s="740"/>
      <c r="AQ88" s="741"/>
      <c r="AR88" s="742"/>
      <c r="AS88" s="742"/>
      <c r="AT88" s="399"/>
    </row>
    <row r="89" spans="1:46" ht="12.75" x14ac:dyDescent="0.2">
      <c r="A89" s="1414"/>
      <c r="B89" s="534" t="s">
        <v>123</v>
      </c>
      <c r="C89" s="743"/>
      <c r="D89" s="744"/>
      <c r="E89" s="745">
        <f t="shared" ref="E89:AP89" si="99">D89+E92</f>
        <v>-1</v>
      </c>
      <c r="F89" s="745">
        <f t="shared" si="99"/>
        <v>-1</v>
      </c>
      <c r="G89" s="745">
        <f t="shared" si="99"/>
        <v>-1</v>
      </c>
      <c r="H89" s="745">
        <f t="shared" si="99"/>
        <v>-1</v>
      </c>
      <c r="I89" s="745">
        <f t="shared" si="99"/>
        <v>0</v>
      </c>
      <c r="J89" s="745">
        <f t="shared" si="99"/>
        <v>0</v>
      </c>
      <c r="K89" s="745">
        <f t="shared" si="99"/>
        <v>0</v>
      </c>
      <c r="L89" s="745">
        <f t="shared" si="99"/>
        <v>0</v>
      </c>
      <c r="M89" s="745">
        <f t="shared" si="99"/>
        <v>0</v>
      </c>
      <c r="N89" s="745">
        <f t="shared" si="99"/>
        <v>0</v>
      </c>
      <c r="O89" s="745">
        <f t="shared" si="99"/>
        <v>0</v>
      </c>
      <c r="P89" s="746">
        <f t="shared" si="99"/>
        <v>0</v>
      </c>
      <c r="Q89" s="745">
        <f t="shared" si="99"/>
        <v>0</v>
      </c>
      <c r="R89" s="747">
        <f t="shared" si="99"/>
        <v>0</v>
      </c>
      <c r="S89" s="747">
        <f t="shared" si="99"/>
        <v>0</v>
      </c>
      <c r="T89" s="747">
        <f t="shared" si="99"/>
        <v>0</v>
      </c>
      <c r="U89" s="747">
        <f t="shared" si="99"/>
        <v>0</v>
      </c>
      <c r="V89" s="747">
        <f t="shared" si="99"/>
        <v>0</v>
      </c>
      <c r="W89" s="747">
        <f t="shared" si="99"/>
        <v>0</v>
      </c>
      <c r="X89" s="747">
        <f t="shared" si="99"/>
        <v>0</v>
      </c>
      <c r="Y89" s="747">
        <f t="shared" si="99"/>
        <v>0</v>
      </c>
      <c r="Z89" s="747">
        <f t="shared" si="99"/>
        <v>0</v>
      </c>
      <c r="AA89" s="747">
        <f t="shared" si="99"/>
        <v>0</v>
      </c>
      <c r="AB89" s="747">
        <f t="shared" si="99"/>
        <v>0</v>
      </c>
      <c r="AC89" s="748">
        <f t="shared" si="99"/>
        <v>0</v>
      </c>
      <c r="AD89" s="747">
        <f t="shared" si="99"/>
        <v>0</v>
      </c>
      <c r="AE89" s="749">
        <f t="shared" si="99"/>
        <v>0</v>
      </c>
      <c r="AF89" s="747">
        <f t="shared" si="99"/>
        <v>0</v>
      </c>
      <c r="AG89" s="747">
        <f t="shared" si="99"/>
        <v>0</v>
      </c>
      <c r="AH89" s="747">
        <f t="shared" si="99"/>
        <v>0</v>
      </c>
      <c r="AI89" s="747">
        <f t="shared" si="99"/>
        <v>0</v>
      </c>
      <c r="AJ89" s="747">
        <f t="shared" si="99"/>
        <v>0</v>
      </c>
      <c r="AK89" s="747">
        <f t="shared" si="99"/>
        <v>0</v>
      </c>
      <c r="AL89" s="747">
        <f t="shared" si="99"/>
        <v>0</v>
      </c>
      <c r="AM89" s="747">
        <f t="shared" si="99"/>
        <v>0</v>
      </c>
      <c r="AN89" s="747">
        <f t="shared" si="99"/>
        <v>0</v>
      </c>
      <c r="AO89" s="747">
        <f t="shared" si="99"/>
        <v>0</v>
      </c>
      <c r="AP89" s="750">
        <f t="shared" si="99"/>
        <v>0</v>
      </c>
      <c r="AQ89" s="751"/>
      <c r="AR89" s="752"/>
      <c r="AS89" s="752"/>
      <c r="AT89" s="399"/>
    </row>
    <row r="90" spans="1:46" ht="12.75" x14ac:dyDescent="0.2">
      <c r="A90" s="1419"/>
      <c r="B90" s="550" t="s">
        <v>124</v>
      </c>
      <c r="C90" s="753"/>
      <c r="D90" s="754"/>
      <c r="E90" s="755">
        <f t="shared" ref="E90:AP90" si="100">D90+E93</f>
        <v>-1</v>
      </c>
      <c r="F90" s="755">
        <f t="shared" si="100"/>
        <v>-1</v>
      </c>
      <c r="G90" s="755">
        <f t="shared" si="100"/>
        <v>-1</v>
      </c>
      <c r="H90" s="755">
        <f t="shared" si="100"/>
        <v>-1</v>
      </c>
      <c r="I90" s="755">
        <f t="shared" si="100"/>
        <v>-1</v>
      </c>
      <c r="J90" s="755">
        <f t="shared" si="100"/>
        <v>-1</v>
      </c>
      <c r="K90" s="755">
        <f t="shared" si="100"/>
        <v>-1</v>
      </c>
      <c r="L90" s="755">
        <f t="shared" si="100"/>
        <v>-1</v>
      </c>
      <c r="M90" s="755">
        <f t="shared" si="100"/>
        <v>-1</v>
      </c>
      <c r="N90" s="755">
        <f t="shared" si="100"/>
        <v>-1</v>
      </c>
      <c r="O90" s="755">
        <f t="shared" si="100"/>
        <v>-1</v>
      </c>
      <c r="P90" s="756">
        <f t="shared" si="100"/>
        <v>-1</v>
      </c>
      <c r="Q90" s="755">
        <f t="shared" si="100"/>
        <v>-1</v>
      </c>
      <c r="R90" s="757">
        <f t="shared" si="100"/>
        <v>-1</v>
      </c>
      <c r="S90" s="757">
        <f t="shared" si="100"/>
        <v>-1</v>
      </c>
      <c r="T90" s="757">
        <f t="shared" si="100"/>
        <v>-1</v>
      </c>
      <c r="U90" s="757">
        <f t="shared" si="100"/>
        <v>-1</v>
      </c>
      <c r="V90" s="757">
        <f t="shared" si="100"/>
        <v>-1</v>
      </c>
      <c r="W90" s="757">
        <f t="shared" si="100"/>
        <v>-1</v>
      </c>
      <c r="X90" s="757">
        <f t="shared" si="100"/>
        <v>-1</v>
      </c>
      <c r="Y90" s="757">
        <f t="shared" si="100"/>
        <v>-1</v>
      </c>
      <c r="Z90" s="757">
        <f t="shared" si="100"/>
        <v>-1</v>
      </c>
      <c r="AA90" s="757">
        <f t="shared" si="100"/>
        <v>-1</v>
      </c>
      <c r="AB90" s="757">
        <f t="shared" si="100"/>
        <v>0</v>
      </c>
      <c r="AC90" s="758">
        <f t="shared" si="100"/>
        <v>0</v>
      </c>
      <c r="AD90" s="757">
        <f t="shared" si="100"/>
        <v>0</v>
      </c>
      <c r="AE90" s="759">
        <f t="shared" si="100"/>
        <v>0</v>
      </c>
      <c r="AF90" s="757">
        <f t="shared" si="100"/>
        <v>0</v>
      </c>
      <c r="AG90" s="757">
        <f t="shared" si="100"/>
        <v>0</v>
      </c>
      <c r="AH90" s="757">
        <f t="shared" si="100"/>
        <v>0</v>
      </c>
      <c r="AI90" s="757">
        <f t="shared" si="100"/>
        <v>0</v>
      </c>
      <c r="AJ90" s="757">
        <f t="shared" si="100"/>
        <v>0</v>
      </c>
      <c r="AK90" s="757">
        <f t="shared" si="100"/>
        <v>0</v>
      </c>
      <c r="AL90" s="757">
        <f t="shared" si="100"/>
        <v>0</v>
      </c>
      <c r="AM90" s="757">
        <f t="shared" si="100"/>
        <v>0</v>
      </c>
      <c r="AN90" s="757">
        <f t="shared" si="100"/>
        <v>0</v>
      </c>
      <c r="AO90" s="757">
        <f t="shared" si="100"/>
        <v>0</v>
      </c>
      <c r="AP90" s="760">
        <f t="shared" si="100"/>
        <v>0</v>
      </c>
      <c r="AQ90" s="751"/>
      <c r="AR90" s="752"/>
      <c r="AS90" s="752"/>
      <c r="AT90" s="399"/>
    </row>
    <row r="91" spans="1:46" ht="18" x14ac:dyDescent="0.25">
      <c r="A91" s="734" t="s">
        <v>225</v>
      </c>
      <c r="B91" s="560"/>
      <c r="C91" s="735" t="str">
        <f t="shared" ref="C91:C93" si="101">C85</f>
        <v>Base Inv</v>
      </c>
      <c r="D91" s="700"/>
      <c r="E91" s="736"/>
      <c r="F91" s="736"/>
      <c r="G91" s="736"/>
      <c r="H91" s="736"/>
      <c r="I91" s="736"/>
      <c r="J91" s="736"/>
      <c r="K91" s="736"/>
      <c r="L91" s="736"/>
      <c r="M91" s="736"/>
      <c r="N91" s="738"/>
      <c r="O91" s="736"/>
      <c r="P91" s="761"/>
      <c r="Q91" s="736"/>
      <c r="R91" s="736"/>
      <c r="S91" s="736"/>
      <c r="T91" s="736"/>
      <c r="U91" s="736"/>
      <c r="V91" s="736"/>
      <c r="W91" s="736"/>
      <c r="X91" s="736"/>
      <c r="Y91" s="736"/>
      <c r="Z91" s="736"/>
      <c r="AA91" s="738"/>
      <c r="AB91" s="736"/>
      <c r="AC91" s="761"/>
      <c r="AD91" s="736"/>
      <c r="AE91" s="736"/>
      <c r="AF91" s="736"/>
      <c r="AG91" s="736"/>
      <c r="AH91" s="736"/>
      <c r="AI91" s="736"/>
      <c r="AJ91" s="736"/>
      <c r="AK91" s="736"/>
      <c r="AL91" s="736"/>
      <c r="AM91" s="736"/>
      <c r="AN91" s="738"/>
      <c r="AO91" s="736"/>
      <c r="AP91" s="762"/>
      <c r="AQ91" s="751"/>
      <c r="AR91" s="752"/>
      <c r="AS91" s="752"/>
      <c r="AT91" s="399"/>
    </row>
    <row r="92" spans="1:46" ht="12.75" x14ac:dyDescent="0.2">
      <c r="A92" s="1414"/>
      <c r="B92" s="534" t="s">
        <v>123</v>
      </c>
      <c r="C92" s="659">
        <f t="shared" si="101"/>
        <v>130</v>
      </c>
      <c r="D92" s="744"/>
      <c r="E92" s="745">
        <v>-1</v>
      </c>
      <c r="F92" s="745"/>
      <c r="G92" s="745"/>
      <c r="H92" s="745"/>
      <c r="I92" s="745">
        <v>1</v>
      </c>
      <c r="J92" s="745"/>
      <c r="K92" s="745"/>
      <c r="L92" s="745"/>
      <c r="M92" s="745"/>
      <c r="N92" s="745"/>
      <c r="O92" s="745"/>
      <c r="P92" s="746"/>
      <c r="Q92" s="745"/>
      <c r="R92" s="745"/>
      <c r="S92" s="745"/>
      <c r="T92" s="745"/>
      <c r="U92" s="745"/>
      <c r="V92" s="745"/>
      <c r="W92" s="745"/>
      <c r="X92" s="745"/>
      <c r="Y92" s="745"/>
      <c r="Z92" s="745"/>
      <c r="AA92" s="763"/>
      <c r="AB92" s="745"/>
      <c r="AC92" s="746"/>
      <c r="AD92" s="745"/>
      <c r="AE92" s="745"/>
      <c r="AF92" s="745"/>
      <c r="AG92" s="745"/>
      <c r="AH92" s="745"/>
      <c r="AI92" s="745"/>
      <c r="AJ92" s="745"/>
      <c r="AK92" s="745"/>
      <c r="AL92" s="745"/>
      <c r="AM92" s="745"/>
      <c r="AN92" s="763"/>
      <c r="AO92" s="745"/>
      <c r="AP92" s="764"/>
      <c r="AQ92" s="751"/>
      <c r="AR92" s="752"/>
      <c r="AS92" s="752"/>
      <c r="AT92" s="399"/>
    </row>
    <row r="93" spans="1:46" ht="12.75" x14ac:dyDescent="0.2">
      <c r="A93" s="1408"/>
      <c r="B93" s="550" t="s">
        <v>124</v>
      </c>
      <c r="C93" s="666">
        <f t="shared" si="101"/>
        <v>70</v>
      </c>
      <c r="D93" s="754"/>
      <c r="E93" s="755">
        <v>-1</v>
      </c>
      <c r="F93" s="755"/>
      <c r="G93" s="755"/>
      <c r="H93" s="755"/>
      <c r="I93" s="755"/>
      <c r="J93" s="755"/>
      <c r="K93" s="755"/>
      <c r="L93" s="755"/>
      <c r="M93" s="755"/>
      <c r="N93" s="765"/>
      <c r="O93" s="755"/>
      <c r="P93" s="756"/>
      <c r="Q93" s="755"/>
      <c r="R93" s="755"/>
      <c r="S93" s="755"/>
      <c r="T93" s="755"/>
      <c r="U93" s="755"/>
      <c r="V93" s="755"/>
      <c r="W93" s="755"/>
      <c r="X93" s="755"/>
      <c r="Y93" s="755"/>
      <c r="Z93" s="755"/>
      <c r="AA93" s="765"/>
      <c r="AB93" s="755">
        <v>1</v>
      </c>
      <c r="AC93" s="756"/>
      <c r="AD93" s="755"/>
      <c r="AE93" s="755"/>
      <c r="AF93" s="755"/>
      <c r="AG93" s="755"/>
      <c r="AH93" s="755"/>
      <c r="AI93" s="755"/>
      <c r="AJ93" s="755"/>
      <c r="AK93" s="755"/>
      <c r="AL93" s="755"/>
      <c r="AM93" s="755"/>
      <c r="AN93" s="765"/>
      <c r="AO93" s="755"/>
      <c r="AP93" s="766"/>
      <c r="AQ93" s="751"/>
      <c r="AR93" s="752"/>
      <c r="AS93" s="752"/>
      <c r="AT93" s="399"/>
    </row>
    <row r="94" spans="1:46" ht="18" x14ac:dyDescent="0.25">
      <c r="A94" s="1409" t="s">
        <v>218</v>
      </c>
      <c r="B94" s="1346"/>
      <c r="C94" s="736" t="str">
        <f t="shared" ref="C94:P94" si="102">C66</f>
        <v>%</v>
      </c>
      <c r="D94" s="269">
        <f t="shared" si="102"/>
        <v>0</v>
      </c>
      <c r="E94" s="268">
        <f t="shared" si="102"/>
        <v>0</v>
      </c>
      <c r="F94" s="268">
        <f t="shared" si="102"/>
        <v>0</v>
      </c>
      <c r="G94" s="268">
        <f t="shared" si="102"/>
        <v>0</v>
      </c>
      <c r="H94" s="268">
        <f t="shared" si="102"/>
        <v>0</v>
      </c>
      <c r="I94" s="268">
        <f t="shared" si="102"/>
        <v>0</v>
      </c>
      <c r="J94" s="268">
        <f t="shared" si="102"/>
        <v>0</v>
      </c>
      <c r="K94" s="268">
        <f t="shared" si="102"/>
        <v>11</v>
      </c>
      <c r="L94" s="268">
        <f t="shared" si="102"/>
        <v>11</v>
      </c>
      <c r="M94" s="268">
        <f t="shared" si="102"/>
        <v>12</v>
      </c>
      <c r="N94" s="264">
        <f t="shared" si="102"/>
        <v>12</v>
      </c>
      <c r="O94" s="268">
        <f t="shared" si="102"/>
        <v>12</v>
      </c>
      <c r="P94" s="674">
        <f t="shared" si="102"/>
        <v>8</v>
      </c>
      <c r="Q94" s="268"/>
      <c r="R94" s="268">
        <f t="shared" ref="R94:AC94" si="103">R66</f>
        <v>8</v>
      </c>
      <c r="S94" s="268">
        <f t="shared" si="103"/>
        <v>8</v>
      </c>
      <c r="T94" s="268">
        <f t="shared" si="103"/>
        <v>12</v>
      </c>
      <c r="U94" s="268">
        <f t="shared" si="103"/>
        <v>12</v>
      </c>
      <c r="V94" s="268">
        <f t="shared" si="103"/>
        <v>12</v>
      </c>
      <c r="W94" s="268">
        <f t="shared" si="103"/>
        <v>12</v>
      </c>
      <c r="X94" s="268">
        <f t="shared" si="103"/>
        <v>12</v>
      </c>
      <c r="Y94" s="268">
        <f t="shared" si="103"/>
        <v>12</v>
      </c>
      <c r="Z94" s="268">
        <f t="shared" si="103"/>
        <v>12</v>
      </c>
      <c r="AA94" s="264">
        <f t="shared" si="103"/>
        <v>13</v>
      </c>
      <c r="AB94" s="268">
        <f t="shared" si="103"/>
        <v>13</v>
      </c>
      <c r="AC94" s="674">
        <f t="shared" si="103"/>
        <v>15</v>
      </c>
      <c r="AD94" s="268"/>
      <c r="AE94" s="268">
        <f t="shared" ref="AE94:AP94" si="104">AE66</f>
        <v>14</v>
      </c>
      <c r="AF94" s="268">
        <f t="shared" si="104"/>
        <v>14</v>
      </c>
      <c r="AG94" s="268">
        <f t="shared" si="104"/>
        <v>20</v>
      </c>
      <c r="AH94" s="268">
        <f t="shared" si="104"/>
        <v>20</v>
      </c>
      <c r="AI94" s="268">
        <f t="shared" si="104"/>
        <v>20</v>
      </c>
      <c r="AJ94" s="268">
        <f t="shared" si="104"/>
        <v>19</v>
      </c>
      <c r="AK94" s="268">
        <f t="shared" si="104"/>
        <v>19</v>
      </c>
      <c r="AL94" s="268">
        <f t="shared" si="104"/>
        <v>19</v>
      </c>
      <c r="AM94" s="268">
        <f t="shared" si="104"/>
        <v>21</v>
      </c>
      <c r="AN94" s="264">
        <f t="shared" si="104"/>
        <v>23</v>
      </c>
      <c r="AO94" s="268">
        <f t="shared" si="104"/>
        <v>24</v>
      </c>
      <c r="AP94" s="675">
        <f t="shared" si="104"/>
        <v>0</v>
      </c>
      <c r="AQ94" s="654"/>
      <c r="AR94" s="655"/>
      <c r="AS94" s="655"/>
      <c r="AT94" s="399"/>
    </row>
    <row r="95" spans="1:46" ht="12.75" x14ac:dyDescent="0.2">
      <c r="A95" s="1415" t="s">
        <v>215</v>
      </c>
      <c r="B95" s="534" t="s">
        <v>123</v>
      </c>
      <c r="C95" s="745">
        <f t="shared" ref="C95:P95" si="105">C67</f>
        <v>0.12</v>
      </c>
      <c r="D95" s="658">
        <f t="shared" si="105"/>
        <v>0</v>
      </c>
      <c r="E95" s="659">
        <f t="shared" si="105"/>
        <v>0</v>
      </c>
      <c r="F95" s="659">
        <f t="shared" si="105"/>
        <v>0</v>
      </c>
      <c r="G95" s="659">
        <f t="shared" si="105"/>
        <v>0</v>
      </c>
      <c r="H95" s="659">
        <f t="shared" si="105"/>
        <v>0</v>
      </c>
      <c r="I95" s="659">
        <f t="shared" si="105"/>
        <v>0</v>
      </c>
      <c r="J95" s="659">
        <f t="shared" si="105"/>
        <v>0</v>
      </c>
      <c r="K95" s="659">
        <f t="shared" si="105"/>
        <v>11</v>
      </c>
      <c r="L95" s="659">
        <f t="shared" si="105"/>
        <v>11</v>
      </c>
      <c r="M95" s="659">
        <f t="shared" si="105"/>
        <v>12</v>
      </c>
      <c r="N95" s="659">
        <f t="shared" si="105"/>
        <v>12</v>
      </c>
      <c r="O95" s="659">
        <f t="shared" si="105"/>
        <v>12</v>
      </c>
      <c r="P95" s="661">
        <f t="shared" si="105"/>
        <v>8</v>
      </c>
      <c r="Q95" s="659"/>
      <c r="R95" s="659">
        <f t="shared" ref="R95:AC95" si="106">R67</f>
        <v>8</v>
      </c>
      <c r="S95" s="659">
        <f t="shared" si="106"/>
        <v>8</v>
      </c>
      <c r="T95" s="659">
        <f t="shared" si="106"/>
        <v>12</v>
      </c>
      <c r="U95" s="659">
        <f t="shared" si="106"/>
        <v>12</v>
      </c>
      <c r="V95" s="659">
        <f t="shared" si="106"/>
        <v>12</v>
      </c>
      <c r="W95" s="659">
        <f t="shared" si="106"/>
        <v>12</v>
      </c>
      <c r="X95" s="659">
        <f t="shared" si="106"/>
        <v>12</v>
      </c>
      <c r="Y95" s="659">
        <f t="shared" si="106"/>
        <v>12</v>
      </c>
      <c r="Z95" s="659">
        <f t="shared" si="106"/>
        <v>12</v>
      </c>
      <c r="AA95" s="767">
        <f t="shared" si="106"/>
        <v>13</v>
      </c>
      <c r="AB95" s="659">
        <f t="shared" si="106"/>
        <v>13</v>
      </c>
      <c r="AC95" s="661">
        <f t="shared" si="106"/>
        <v>9</v>
      </c>
      <c r="AD95" s="659"/>
      <c r="AE95" s="659">
        <f t="shared" ref="AE95:AP95" si="107">AE67</f>
        <v>9</v>
      </c>
      <c r="AF95" s="659">
        <f t="shared" si="107"/>
        <v>9</v>
      </c>
      <c r="AG95" s="659">
        <f t="shared" si="107"/>
        <v>13</v>
      </c>
      <c r="AH95" s="659">
        <f t="shared" si="107"/>
        <v>13</v>
      </c>
      <c r="AI95" s="659">
        <f t="shared" si="107"/>
        <v>13</v>
      </c>
      <c r="AJ95" s="659">
        <f t="shared" si="107"/>
        <v>12</v>
      </c>
      <c r="AK95" s="659">
        <f t="shared" si="107"/>
        <v>12</v>
      </c>
      <c r="AL95" s="659">
        <f t="shared" si="107"/>
        <v>12</v>
      </c>
      <c r="AM95" s="659">
        <f t="shared" si="107"/>
        <v>14</v>
      </c>
      <c r="AN95" s="767">
        <f t="shared" si="107"/>
        <v>15</v>
      </c>
      <c r="AO95" s="659">
        <f t="shared" si="107"/>
        <v>16</v>
      </c>
      <c r="AP95" s="662">
        <f t="shared" si="107"/>
        <v>0</v>
      </c>
      <c r="AQ95" s="654"/>
      <c r="AR95" s="655"/>
      <c r="AS95" s="655"/>
      <c r="AT95" s="399"/>
    </row>
    <row r="96" spans="1:46" ht="12.75" x14ac:dyDescent="0.2">
      <c r="A96" s="1408"/>
      <c r="B96" s="550" t="s">
        <v>124</v>
      </c>
      <c r="C96" s="755">
        <f t="shared" ref="C96:P96" si="108">C68</f>
        <v>0.12</v>
      </c>
      <c r="D96" s="665">
        <f t="shared" si="108"/>
        <v>0</v>
      </c>
      <c r="E96" s="666">
        <f t="shared" si="108"/>
        <v>0</v>
      </c>
      <c r="F96" s="666">
        <f t="shared" si="108"/>
        <v>0</v>
      </c>
      <c r="G96" s="666">
        <f t="shared" si="108"/>
        <v>0</v>
      </c>
      <c r="H96" s="666">
        <f t="shared" si="108"/>
        <v>0</v>
      </c>
      <c r="I96" s="666">
        <f t="shared" si="108"/>
        <v>0</v>
      </c>
      <c r="J96" s="666">
        <f t="shared" si="108"/>
        <v>0</v>
      </c>
      <c r="K96" s="666">
        <f t="shared" si="108"/>
        <v>0</v>
      </c>
      <c r="L96" s="666">
        <f t="shared" si="108"/>
        <v>0</v>
      </c>
      <c r="M96" s="666">
        <f t="shared" si="108"/>
        <v>0</v>
      </c>
      <c r="N96" s="768">
        <f t="shared" si="108"/>
        <v>0</v>
      </c>
      <c r="O96" s="666">
        <f t="shared" si="108"/>
        <v>0</v>
      </c>
      <c r="P96" s="668">
        <f t="shared" si="108"/>
        <v>0</v>
      </c>
      <c r="Q96" s="666"/>
      <c r="R96" s="666">
        <f t="shared" ref="R96:AC96" si="109">R68</f>
        <v>0</v>
      </c>
      <c r="S96" s="666">
        <f t="shared" si="109"/>
        <v>0</v>
      </c>
      <c r="T96" s="666">
        <f t="shared" si="109"/>
        <v>0</v>
      </c>
      <c r="U96" s="666">
        <f t="shared" si="109"/>
        <v>0</v>
      </c>
      <c r="V96" s="666">
        <f t="shared" si="109"/>
        <v>0</v>
      </c>
      <c r="W96" s="666">
        <f t="shared" si="109"/>
        <v>0</v>
      </c>
      <c r="X96" s="666">
        <f t="shared" si="109"/>
        <v>0</v>
      </c>
      <c r="Y96" s="666">
        <f t="shared" si="109"/>
        <v>0</v>
      </c>
      <c r="Z96" s="666">
        <f t="shared" si="109"/>
        <v>0</v>
      </c>
      <c r="AA96" s="768">
        <f t="shared" si="109"/>
        <v>0</v>
      </c>
      <c r="AB96" s="666">
        <f t="shared" si="109"/>
        <v>0</v>
      </c>
      <c r="AC96" s="668">
        <f t="shared" si="109"/>
        <v>6</v>
      </c>
      <c r="AD96" s="666"/>
      <c r="AE96" s="666">
        <f t="shared" ref="AE96:AP96" si="110">AE68</f>
        <v>5</v>
      </c>
      <c r="AF96" s="666">
        <f t="shared" si="110"/>
        <v>5</v>
      </c>
      <c r="AG96" s="666">
        <f t="shared" si="110"/>
        <v>7</v>
      </c>
      <c r="AH96" s="666">
        <f t="shared" si="110"/>
        <v>7</v>
      </c>
      <c r="AI96" s="666">
        <f t="shared" si="110"/>
        <v>7</v>
      </c>
      <c r="AJ96" s="666">
        <f t="shared" si="110"/>
        <v>7</v>
      </c>
      <c r="AK96" s="666">
        <f t="shared" si="110"/>
        <v>7</v>
      </c>
      <c r="AL96" s="666">
        <f t="shared" si="110"/>
        <v>7</v>
      </c>
      <c r="AM96" s="666">
        <f t="shared" si="110"/>
        <v>7</v>
      </c>
      <c r="AN96" s="768">
        <f t="shared" si="110"/>
        <v>8</v>
      </c>
      <c r="AO96" s="666">
        <f t="shared" si="110"/>
        <v>8</v>
      </c>
      <c r="AP96" s="669">
        <f t="shared" si="110"/>
        <v>0</v>
      </c>
      <c r="AQ96" s="654"/>
      <c r="AR96" s="655"/>
      <c r="AS96" s="655"/>
      <c r="AT96" s="399"/>
    </row>
    <row r="97" spans="1:46" ht="18" x14ac:dyDescent="0.25">
      <c r="A97" s="1409" t="s">
        <v>219</v>
      </c>
      <c r="B97" s="1346"/>
      <c r="C97" s="736" t="str">
        <f t="shared" ref="C97:P97" si="111">C69</f>
        <v>%</v>
      </c>
      <c r="D97" s="700">
        <f t="shared" si="111"/>
        <v>0</v>
      </c>
      <c r="E97" s="268">
        <f t="shared" si="111"/>
        <v>0</v>
      </c>
      <c r="F97" s="268">
        <f t="shared" si="111"/>
        <v>0</v>
      </c>
      <c r="G97" s="268">
        <f t="shared" si="111"/>
        <v>0</v>
      </c>
      <c r="H97" s="268">
        <f t="shared" si="111"/>
        <v>0</v>
      </c>
      <c r="I97" s="268">
        <f t="shared" si="111"/>
        <v>144</v>
      </c>
      <c r="J97" s="268">
        <f t="shared" si="111"/>
        <v>144</v>
      </c>
      <c r="K97" s="268">
        <f t="shared" si="111"/>
        <v>152</v>
      </c>
      <c r="L97" s="268">
        <f t="shared" si="111"/>
        <v>152</v>
      </c>
      <c r="M97" s="268">
        <f t="shared" si="111"/>
        <v>159</v>
      </c>
      <c r="N97" s="264">
        <f t="shared" si="111"/>
        <v>159</v>
      </c>
      <c r="O97" s="268">
        <f t="shared" si="111"/>
        <v>159</v>
      </c>
      <c r="P97" s="674">
        <f t="shared" si="111"/>
        <v>137</v>
      </c>
      <c r="Q97" s="268"/>
      <c r="R97" s="268">
        <f t="shared" ref="R97:AC97" si="112">R69</f>
        <v>137</v>
      </c>
      <c r="S97" s="268">
        <f t="shared" si="112"/>
        <v>137</v>
      </c>
      <c r="T97" s="268">
        <f t="shared" si="112"/>
        <v>166</v>
      </c>
      <c r="U97" s="268">
        <f t="shared" si="112"/>
        <v>166</v>
      </c>
      <c r="V97" s="268">
        <f t="shared" si="112"/>
        <v>166</v>
      </c>
      <c r="W97" s="268">
        <f t="shared" si="112"/>
        <v>173</v>
      </c>
      <c r="X97" s="268">
        <f t="shared" si="112"/>
        <v>173</v>
      </c>
      <c r="Y97" s="268">
        <f t="shared" si="112"/>
        <v>173</v>
      </c>
      <c r="Z97" s="268">
        <f t="shared" si="112"/>
        <v>180</v>
      </c>
      <c r="AA97" s="264">
        <f t="shared" si="112"/>
        <v>216</v>
      </c>
      <c r="AB97" s="268">
        <f t="shared" si="112"/>
        <v>216</v>
      </c>
      <c r="AC97" s="674">
        <f t="shared" si="112"/>
        <v>185</v>
      </c>
      <c r="AD97" s="268"/>
      <c r="AE97" s="268">
        <f t="shared" ref="AE97:AP97" si="113">AE69</f>
        <v>185</v>
      </c>
      <c r="AF97" s="268">
        <f t="shared" si="113"/>
        <v>185</v>
      </c>
      <c r="AG97" s="268">
        <f t="shared" si="113"/>
        <v>217</v>
      </c>
      <c r="AH97" s="268">
        <f t="shared" si="113"/>
        <v>217</v>
      </c>
      <c r="AI97" s="268">
        <f t="shared" si="113"/>
        <v>217</v>
      </c>
      <c r="AJ97" s="268">
        <f t="shared" si="113"/>
        <v>227</v>
      </c>
      <c r="AK97" s="268">
        <f t="shared" si="113"/>
        <v>227</v>
      </c>
      <c r="AL97" s="268">
        <f t="shared" si="113"/>
        <v>231</v>
      </c>
      <c r="AM97" s="268">
        <f t="shared" si="113"/>
        <v>239</v>
      </c>
      <c r="AN97" s="264">
        <f t="shared" si="113"/>
        <v>239</v>
      </c>
      <c r="AO97" s="268">
        <f t="shared" si="113"/>
        <v>239</v>
      </c>
      <c r="AP97" s="675">
        <f t="shared" si="113"/>
        <v>0</v>
      </c>
      <c r="AQ97" s="654"/>
      <c r="AR97" s="655"/>
      <c r="AS97" s="655"/>
      <c r="AT97" s="399"/>
    </row>
    <row r="98" spans="1:46" ht="12.75" x14ac:dyDescent="0.2">
      <c r="A98" s="1415" t="s">
        <v>215</v>
      </c>
      <c r="B98" s="534" t="s">
        <v>123</v>
      </c>
      <c r="C98" s="745">
        <f t="shared" ref="C98:P98" si="114">C70</f>
        <v>0.12</v>
      </c>
      <c r="D98" s="744">
        <f t="shared" si="114"/>
        <v>0</v>
      </c>
      <c r="E98" s="659">
        <f t="shared" si="114"/>
        <v>0</v>
      </c>
      <c r="F98" s="659">
        <f t="shared" si="114"/>
        <v>0</v>
      </c>
      <c r="G98" s="659">
        <f t="shared" si="114"/>
        <v>0</v>
      </c>
      <c r="H98" s="659">
        <f t="shared" si="114"/>
        <v>0</v>
      </c>
      <c r="I98" s="659">
        <f t="shared" si="114"/>
        <v>144</v>
      </c>
      <c r="J98" s="659">
        <f t="shared" si="114"/>
        <v>144</v>
      </c>
      <c r="K98" s="659">
        <f t="shared" si="114"/>
        <v>152</v>
      </c>
      <c r="L98" s="659">
        <f t="shared" si="114"/>
        <v>152</v>
      </c>
      <c r="M98" s="659">
        <f t="shared" si="114"/>
        <v>159</v>
      </c>
      <c r="N98" s="659">
        <f t="shared" si="114"/>
        <v>159</v>
      </c>
      <c r="O98" s="659">
        <f t="shared" si="114"/>
        <v>159</v>
      </c>
      <c r="P98" s="661">
        <f t="shared" si="114"/>
        <v>137</v>
      </c>
      <c r="Q98" s="659"/>
      <c r="R98" s="659">
        <f t="shared" ref="R98:AC98" si="115">R70</f>
        <v>137</v>
      </c>
      <c r="S98" s="659">
        <f t="shared" si="115"/>
        <v>137</v>
      </c>
      <c r="T98" s="659">
        <f t="shared" si="115"/>
        <v>166</v>
      </c>
      <c r="U98" s="659">
        <f t="shared" si="115"/>
        <v>166</v>
      </c>
      <c r="V98" s="659">
        <f t="shared" si="115"/>
        <v>166</v>
      </c>
      <c r="W98" s="659">
        <f t="shared" si="115"/>
        <v>173</v>
      </c>
      <c r="X98" s="659">
        <f t="shared" si="115"/>
        <v>173</v>
      </c>
      <c r="Y98" s="659">
        <f t="shared" si="115"/>
        <v>173</v>
      </c>
      <c r="Z98" s="659">
        <f t="shared" si="115"/>
        <v>180</v>
      </c>
      <c r="AA98" s="767">
        <f t="shared" si="115"/>
        <v>180</v>
      </c>
      <c r="AB98" s="659">
        <f t="shared" si="115"/>
        <v>180</v>
      </c>
      <c r="AC98" s="661">
        <f t="shared" si="115"/>
        <v>159</v>
      </c>
      <c r="AD98" s="659"/>
      <c r="AE98" s="659">
        <f t="shared" ref="AE98:AP98" si="116">AE70</f>
        <v>159</v>
      </c>
      <c r="AF98" s="659">
        <f t="shared" si="116"/>
        <v>159</v>
      </c>
      <c r="AG98" s="659">
        <f t="shared" si="116"/>
        <v>173</v>
      </c>
      <c r="AH98" s="659">
        <f t="shared" si="116"/>
        <v>173</v>
      </c>
      <c r="AI98" s="659">
        <f t="shared" si="116"/>
        <v>173</v>
      </c>
      <c r="AJ98" s="659">
        <f t="shared" si="116"/>
        <v>180</v>
      </c>
      <c r="AK98" s="659">
        <f t="shared" si="116"/>
        <v>180</v>
      </c>
      <c r="AL98" s="659">
        <f t="shared" si="116"/>
        <v>180</v>
      </c>
      <c r="AM98" s="659">
        <f t="shared" si="116"/>
        <v>188</v>
      </c>
      <c r="AN98" s="767">
        <f t="shared" si="116"/>
        <v>188</v>
      </c>
      <c r="AO98" s="659">
        <f t="shared" si="116"/>
        <v>188</v>
      </c>
      <c r="AP98" s="662">
        <f t="shared" si="116"/>
        <v>0</v>
      </c>
      <c r="AQ98" s="654"/>
      <c r="AR98" s="655"/>
      <c r="AS98" s="655"/>
      <c r="AT98" s="399"/>
    </row>
    <row r="99" spans="1:46" ht="12.75" x14ac:dyDescent="0.2">
      <c r="A99" s="1408"/>
      <c r="B99" s="550" t="s">
        <v>124</v>
      </c>
      <c r="C99" s="755">
        <f t="shared" ref="C99:P99" si="117">C71</f>
        <v>0.12</v>
      </c>
      <c r="D99" s="754">
        <f t="shared" si="117"/>
        <v>0</v>
      </c>
      <c r="E99" s="666">
        <f t="shared" si="117"/>
        <v>0</v>
      </c>
      <c r="F99" s="666">
        <f t="shared" si="117"/>
        <v>0</v>
      </c>
      <c r="G99" s="666">
        <f t="shared" si="117"/>
        <v>0</v>
      </c>
      <c r="H99" s="666">
        <f t="shared" si="117"/>
        <v>0</v>
      </c>
      <c r="I99" s="666">
        <f t="shared" si="117"/>
        <v>0</v>
      </c>
      <c r="J99" s="666">
        <f t="shared" si="117"/>
        <v>0</v>
      </c>
      <c r="K99" s="666">
        <f t="shared" si="117"/>
        <v>0</v>
      </c>
      <c r="L99" s="666">
        <f t="shared" si="117"/>
        <v>0</v>
      </c>
      <c r="M99" s="666">
        <f t="shared" si="117"/>
        <v>0</v>
      </c>
      <c r="N99" s="768">
        <f t="shared" si="117"/>
        <v>0</v>
      </c>
      <c r="O99" s="666">
        <f t="shared" si="117"/>
        <v>0</v>
      </c>
      <c r="P99" s="668">
        <f t="shared" si="117"/>
        <v>0</v>
      </c>
      <c r="Q99" s="666"/>
      <c r="R99" s="666">
        <f t="shared" ref="R99:AC99" si="118">R71</f>
        <v>0</v>
      </c>
      <c r="S99" s="666">
        <f t="shared" si="118"/>
        <v>0</v>
      </c>
      <c r="T99" s="666">
        <f t="shared" si="118"/>
        <v>0</v>
      </c>
      <c r="U99" s="666">
        <f t="shared" si="118"/>
        <v>0</v>
      </c>
      <c r="V99" s="666">
        <f t="shared" si="118"/>
        <v>0</v>
      </c>
      <c r="W99" s="666">
        <f t="shared" si="118"/>
        <v>0</v>
      </c>
      <c r="X99" s="666">
        <f t="shared" si="118"/>
        <v>0</v>
      </c>
      <c r="Y99" s="666">
        <f t="shared" si="118"/>
        <v>0</v>
      </c>
      <c r="Z99" s="666">
        <f t="shared" si="118"/>
        <v>0</v>
      </c>
      <c r="AA99" s="768">
        <f t="shared" si="118"/>
        <v>36</v>
      </c>
      <c r="AB99" s="666">
        <f t="shared" si="118"/>
        <v>36</v>
      </c>
      <c r="AC99" s="668">
        <f t="shared" si="118"/>
        <v>26</v>
      </c>
      <c r="AD99" s="666"/>
      <c r="AE99" s="666">
        <f t="shared" ref="AE99:AP99" si="119">AE71</f>
        <v>26</v>
      </c>
      <c r="AF99" s="666">
        <f t="shared" si="119"/>
        <v>26</v>
      </c>
      <c r="AG99" s="666">
        <f t="shared" si="119"/>
        <v>44</v>
      </c>
      <c r="AH99" s="666">
        <f t="shared" si="119"/>
        <v>44</v>
      </c>
      <c r="AI99" s="666">
        <f t="shared" si="119"/>
        <v>44</v>
      </c>
      <c r="AJ99" s="666">
        <f t="shared" si="119"/>
        <v>47</v>
      </c>
      <c r="AK99" s="666">
        <f t="shared" si="119"/>
        <v>47</v>
      </c>
      <c r="AL99" s="666">
        <f t="shared" si="119"/>
        <v>51</v>
      </c>
      <c r="AM99" s="666">
        <f t="shared" si="119"/>
        <v>51</v>
      </c>
      <c r="AN99" s="768">
        <f t="shared" si="119"/>
        <v>51</v>
      </c>
      <c r="AO99" s="666">
        <f t="shared" si="119"/>
        <v>51</v>
      </c>
      <c r="AP99" s="669">
        <f t="shared" si="119"/>
        <v>0</v>
      </c>
      <c r="AQ99" s="654"/>
      <c r="AR99" s="655"/>
      <c r="AS99" s="655"/>
      <c r="AT99" s="399"/>
    </row>
    <row r="100" spans="1:46" ht="18" x14ac:dyDescent="0.25">
      <c r="A100" s="1409" t="s">
        <v>220</v>
      </c>
      <c r="B100" s="1346"/>
      <c r="C100" s="706"/>
      <c r="D100" s="769"/>
      <c r="E100" s="706"/>
      <c r="F100" s="704">
        <f t="shared" ref="F100:P100" si="120">SUM(F101:F102)</f>
        <v>0</v>
      </c>
      <c r="G100" s="706">
        <f t="shared" si="120"/>
        <v>0</v>
      </c>
      <c r="H100" s="706">
        <f t="shared" si="120"/>
        <v>0</v>
      </c>
      <c r="I100" s="706">
        <f t="shared" si="120"/>
        <v>274</v>
      </c>
      <c r="J100" s="706">
        <f t="shared" si="120"/>
        <v>0</v>
      </c>
      <c r="K100" s="706">
        <f t="shared" si="120"/>
        <v>19</v>
      </c>
      <c r="L100" s="706">
        <f t="shared" si="120"/>
        <v>0</v>
      </c>
      <c r="M100" s="706">
        <f t="shared" si="120"/>
        <v>8</v>
      </c>
      <c r="N100" s="706">
        <f t="shared" si="120"/>
        <v>0</v>
      </c>
      <c r="O100" s="706">
        <f t="shared" si="120"/>
        <v>0</v>
      </c>
      <c r="P100" s="705">
        <f t="shared" si="120"/>
        <v>-26</v>
      </c>
      <c r="Q100" s="706"/>
      <c r="R100" s="706">
        <f t="shared" ref="R100:AC100" si="121">SUM(R101:R102)</f>
        <v>0</v>
      </c>
      <c r="S100" s="706">
        <f t="shared" si="121"/>
        <v>0</v>
      </c>
      <c r="T100" s="706">
        <f t="shared" si="121"/>
        <v>33</v>
      </c>
      <c r="U100" s="706">
        <f t="shared" si="121"/>
        <v>0</v>
      </c>
      <c r="V100" s="706">
        <f t="shared" si="121"/>
        <v>0</v>
      </c>
      <c r="W100" s="706">
        <f t="shared" si="121"/>
        <v>7</v>
      </c>
      <c r="X100" s="706">
        <f t="shared" si="121"/>
        <v>0</v>
      </c>
      <c r="Y100" s="706">
        <f t="shared" si="121"/>
        <v>0</v>
      </c>
      <c r="Z100" s="706">
        <f t="shared" si="121"/>
        <v>7</v>
      </c>
      <c r="AA100" s="706">
        <f t="shared" si="121"/>
        <v>37</v>
      </c>
      <c r="AB100" s="706">
        <f t="shared" si="121"/>
        <v>70</v>
      </c>
      <c r="AC100" s="705">
        <f t="shared" si="121"/>
        <v>-29</v>
      </c>
      <c r="AD100" s="706"/>
      <c r="AE100" s="706">
        <f t="shared" ref="AE100:AP100" si="122">SUM(AE101:AE102)</f>
        <v>0</v>
      </c>
      <c r="AF100" s="706">
        <f t="shared" si="122"/>
        <v>0</v>
      </c>
      <c r="AG100" s="706">
        <f t="shared" si="122"/>
        <v>38</v>
      </c>
      <c r="AH100" s="706">
        <f t="shared" si="122"/>
        <v>0</v>
      </c>
      <c r="AI100" s="706">
        <f t="shared" si="122"/>
        <v>0</v>
      </c>
      <c r="AJ100" s="706">
        <f t="shared" si="122"/>
        <v>9</v>
      </c>
      <c r="AK100" s="706">
        <f t="shared" si="122"/>
        <v>0</v>
      </c>
      <c r="AL100" s="706">
        <f t="shared" si="122"/>
        <v>4</v>
      </c>
      <c r="AM100" s="706">
        <f t="shared" si="122"/>
        <v>10</v>
      </c>
      <c r="AN100" s="706">
        <f t="shared" si="122"/>
        <v>2</v>
      </c>
      <c r="AO100" s="706">
        <f t="shared" si="122"/>
        <v>1</v>
      </c>
      <c r="AP100" s="707">
        <f t="shared" si="122"/>
        <v>-263</v>
      </c>
      <c r="AQ100" s="708"/>
      <c r="AR100" s="709"/>
      <c r="AS100" s="709"/>
      <c r="AT100" s="321"/>
    </row>
    <row r="101" spans="1:46" ht="12.75" x14ac:dyDescent="0.2">
      <c r="A101" s="1414"/>
      <c r="B101" s="194" t="s">
        <v>123</v>
      </c>
      <c r="C101" s="767"/>
      <c r="D101" s="770"/>
      <c r="E101" s="767"/>
      <c r="F101" s="767">
        <f t="shared" ref="F101:P101" si="123">F86-E86</f>
        <v>0</v>
      </c>
      <c r="G101" s="767">
        <f t="shared" si="123"/>
        <v>0</v>
      </c>
      <c r="H101" s="767">
        <f t="shared" si="123"/>
        <v>0</v>
      </c>
      <c r="I101" s="767">
        <f t="shared" si="123"/>
        <v>274</v>
      </c>
      <c r="J101" s="767">
        <f t="shared" si="123"/>
        <v>0</v>
      </c>
      <c r="K101" s="767">
        <f t="shared" si="123"/>
        <v>19</v>
      </c>
      <c r="L101" s="767">
        <f t="shared" si="123"/>
        <v>0</v>
      </c>
      <c r="M101" s="767">
        <f t="shared" si="123"/>
        <v>8</v>
      </c>
      <c r="N101" s="767">
        <f t="shared" si="123"/>
        <v>0</v>
      </c>
      <c r="O101" s="767">
        <f t="shared" si="123"/>
        <v>0</v>
      </c>
      <c r="P101" s="771">
        <f t="shared" si="123"/>
        <v>-26</v>
      </c>
      <c r="Q101" s="767"/>
      <c r="R101" s="767">
        <f t="shared" ref="R101:R102" si="124">R86-P86</f>
        <v>0</v>
      </c>
      <c r="S101" s="767">
        <f t="shared" ref="S101:AC101" si="125">S86-R86</f>
        <v>0</v>
      </c>
      <c r="T101" s="767">
        <f t="shared" si="125"/>
        <v>33</v>
      </c>
      <c r="U101" s="767">
        <f t="shared" si="125"/>
        <v>0</v>
      </c>
      <c r="V101" s="767">
        <f t="shared" si="125"/>
        <v>0</v>
      </c>
      <c r="W101" s="767">
        <f t="shared" si="125"/>
        <v>7</v>
      </c>
      <c r="X101" s="767">
        <f t="shared" si="125"/>
        <v>0</v>
      </c>
      <c r="Y101" s="767">
        <f t="shared" si="125"/>
        <v>0</v>
      </c>
      <c r="Z101" s="767">
        <f t="shared" si="125"/>
        <v>7</v>
      </c>
      <c r="AA101" s="767">
        <f t="shared" si="125"/>
        <v>1</v>
      </c>
      <c r="AB101" s="767">
        <f t="shared" si="125"/>
        <v>0</v>
      </c>
      <c r="AC101" s="771">
        <f t="shared" si="125"/>
        <v>-25</v>
      </c>
      <c r="AD101" s="767"/>
      <c r="AE101" s="767">
        <f t="shared" ref="AE101:AE102" si="126">AE86-AC86</f>
        <v>0</v>
      </c>
      <c r="AF101" s="767">
        <f t="shared" ref="AF101:AP101" si="127">AF86-AE86</f>
        <v>0</v>
      </c>
      <c r="AG101" s="767">
        <f t="shared" si="127"/>
        <v>18</v>
      </c>
      <c r="AH101" s="767">
        <f t="shared" si="127"/>
        <v>0</v>
      </c>
      <c r="AI101" s="767">
        <f t="shared" si="127"/>
        <v>0</v>
      </c>
      <c r="AJ101" s="767">
        <f t="shared" si="127"/>
        <v>6</v>
      </c>
      <c r="AK101" s="767">
        <f t="shared" si="127"/>
        <v>0</v>
      </c>
      <c r="AL101" s="767">
        <f t="shared" si="127"/>
        <v>0</v>
      </c>
      <c r="AM101" s="767">
        <f t="shared" si="127"/>
        <v>10</v>
      </c>
      <c r="AN101" s="767">
        <f t="shared" si="127"/>
        <v>1</v>
      </c>
      <c r="AO101" s="767">
        <f t="shared" si="127"/>
        <v>1</v>
      </c>
      <c r="AP101" s="772">
        <f t="shared" si="127"/>
        <v>-204</v>
      </c>
      <c r="AQ101" s="708"/>
      <c r="AR101" s="709"/>
      <c r="AS101" s="709"/>
      <c r="AT101" s="321"/>
    </row>
    <row r="102" spans="1:46" ht="12.75" x14ac:dyDescent="0.2">
      <c r="A102" s="1411"/>
      <c r="B102" s="710" t="s">
        <v>124</v>
      </c>
      <c r="C102" s="773"/>
      <c r="D102" s="774"/>
      <c r="E102" s="773"/>
      <c r="F102" s="773">
        <f t="shared" ref="F102:P102" si="128">F87-E87</f>
        <v>0</v>
      </c>
      <c r="G102" s="773">
        <f t="shared" si="128"/>
        <v>0</v>
      </c>
      <c r="H102" s="773">
        <f t="shared" si="128"/>
        <v>0</v>
      </c>
      <c r="I102" s="773">
        <f t="shared" si="128"/>
        <v>0</v>
      </c>
      <c r="J102" s="773">
        <f t="shared" si="128"/>
        <v>0</v>
      </c>
      <c r="K102" s="773">
        <f t="shared" si="128"/>
        <v>0</v>
      </c>
      <c r="L102" s="773">
        <f t="shared" si="128"/>
        <v>0</v>
      </c>
      <c r="M102" s="773">
        <f t="shared" si="128"/>
        <v>0</v>
      </c>
      <c r="N102" s="773">
        <f t="shared" si="128"/>
        <v>0</v>
      </c>
      <c r="O102" s="773">
        <f t="shared" si="128"/>
        <v>0</v>
      </c>
      <c r="P102" s="775">
        <f t="shared" si="128"/>
        <v>0</v>
      </c>
      <c r="Q102" s="773"/>
      <c r="R102" s="773">
        <f t="shared" si="124"/>
        <v>0</v>
      </c>
      <c r="S102" s="773">
        <f t="shared" ref="S102:AC102" si="129">S87-R87</f>
        <v>0</v>
      </c>
      <c r="T102" s="773">
        <f t="shared" si="129"/>
        <v>0</v>
      </c>
      <c r="U102" s="773">
        <f t="shared" si="129"/>
        <v>0</v>
      </c>
      <c r="V102" s="773">
        <f t="shared" si="129"/>
        <v>0</v>
      </c>
      <c r="W102" s="773">
        <f t="shared" si="129"/>
        <v>0</v>
      </c>
      <c r="X102" s="773">
        <f t="shared" si="129"/>
        <v>0</v>
      </c>
      <c r="Y102" s="773">
        <f t="shared" si="129"/>
        <v>0</v>
      </c>
      <c r="Z102" s="773">
        <f t="shared" si="129"/>
        <v>0</v>
      </c>
      <c r="AA102" s="773">
        <f t="shared" si="129"/>
        <v>36</v>
      </c>
      <c r="AB102" s="773">
        <f t="shared" si="129"/>
        <v>70</v>
      </c>
      <c r="AC102" s="775">
        <f t="shared" si="129"/>
        <v>-4</v>
      </c>
      <c r="AD102" s="773"/>
      <c r="AE102" s="773">
        <f t="shared" si="126"/>
        <v>0</v>
      </c>
      <c r="AF102" s="773">
        <f t="shared" ref="AF102:AP102" si="130">AF87-AE87</f>
        <v>0</v>
      </c>
      <c r="AG102" s="773">
        <f t="shared" si="130"/>
        <v>20</v>
      </c>
      <c r="AH102" s="773">
        <f t="shared" si="130"/>
        <v>0</v>
      </c>
      <c r="AI102" s="773">
        <f t="shared" si="130"/>
        <v>0</v>
      </c>
      <c r="AJ102" s="773">
        <f t="shared" si="130"/>
        <v>3</v>
      </c>
      <c r="AK102" s="773">
        <f t="shared" si="130"/>
        <v>0</v>
      </c>
      <c r="AL102" s="773">
        <f t="shared" si="130"/>
        <v>4</v>
      </c>
      <c r="AM102" s="773">
        <f t="shared" si="130"/>
        <v>0</v>
      </c>
      <c r="AN102" s="773">
        <f t="shared" si="130"/>
        <v>1</v>
      </c>
      <c r="AO102" s="773">
        <f t="shared" si="130"/>
        <v>0</v>
      </c>
      <c r="AP102" s="776">
        <f t="shared" si="130"/>
        <v>-59</v>
      </c>
      <c r="AQ102" s="708"/>
      <c r="AR102" s="709"/>
      <c r="AS102" s="709"/>
      <c r="AT102" s="321"/>
    </row>
    <row r="103" spans="1:46" ht="18" x14ac:dyDescent="0.25">
      <c r="A103" s="1409" t="s">
        <v>226</v>
      </c>
      <c r="B103" s="1346"/>
      <c r="C103" s="706"/>
      <c r="D103" s="769"/>
      <c r="E103" s="651">
        <f t="shared" ref="E103:AP103" si="131">SUM(E104:E105)</f>
        <v>0</v>
      </c>
      <c r="F103" s="704">
        <f t="shared" si="131"/>
        <v>0</v>
      </c>
      <c r="G103" s="706">
        <f t="shared" si="131"/>
        <v>0</v>
      </c>
      <c r="H103" s="706">
        <f t="shared" si="131"/>
        <v>0</v>
      </c>
      <c r="I103" s="706">
        <f t="shared" si="131"/>
        <v>274</v>
      </c>
      <c r="J103" s="706">
        <f t="shared" si="131"/>
        <v>0</v>
      </c>
      <c r="K103" s="706">
        <f t="shared" si="131"/>
        <v>19</v>
      </c>
      <c r="L103" s="706">
        <f t="shared" si="131"/>
        <v>0</v>
      </c>
      <c r="M103" s="706">
        <f t="shared" si="131"/>
        <v>8</v>
      </c>
      <c r="N103" s="706">
        <f t="shared" si="131"/>
        <v>0</v>
      </c>
      <c r="O103" s="706">
        <f t="shared" si="131"/>
        <v>0</v>
      </c>
      <c r="P103" s="705">
        <f t="shared" si="131"/>
        <v>0</v>
      </c>
      <c r="Q103" s="706">
        <f t="shared" si="131"/>
        <v>0</v>
      </c>
      <c r="R103" s="706">
        <f t="shared" si="131"/>
        <v>0</v>
      </c>
      <c r="S103" s="706">
        <f t="shared" si="131"/>
        <v>0</v>
      </c>
      <c r="T103" s="706">
        <f t="shared" si="131"/>
        <v>33</v>
      </c>
      <c r="U103" s="706">
        <f t="shared" si="131"/>
        <v>0</v>
      </c>
      <c r="V103" s="706">
        <f t="shared" si="131"/>
        <v>0</v>
      </c>
      <c r="W103" s="706">
        <f t="shared" si="131"/>
        <v>7</v>
      </c>
      <c r="X103" s="706">
        <f t="shared" si="131"/>
        <v>0</v>
      </c>
      <c r="Y103" s="706">
        <f t="shared" si="131"/>
        <v>0</v>
      </c>
      <c r="Z103" s="706">
        <f t="shared" si="131"/>
        <v>7</v>
      </c>
      <c r="AA103" s="706">
        <f t="shared" si="131"/>
        <v>37</v>
      </c>
      <c r="AB103" s="706">
        <f t="shared" si="131"/>
        <v>70</v>
      </c>
      <c r="AC103" s="705">
        <f t="shared" si="131"/>
        <v>0</v>
      </c>
      <c r="AD103" s="706">
        <f t="shared" si="131"/>
        <v>0</v>
      </c>
      <c r="AE103" s="706">
        <f t="shared" si="131"/>
        <v>0</v>
      </c>
      <c r="AF103" s="706">
        <f t="shared" si="131"/>
        <v>0</v>
      </c>
      <c r="AG103" s="706">
        <f t="shared" si="131"/>
        <v>38</v>
      </c>
      <c r="AH103" s="706">
        <f t="shared" si="131"/>
        <v>0</v>
      </c>
      <c r="AI103" s="706">
        <f t="shared" si="131"/>
        <v>0</v>
      </c>
      <c r="AJ103" s="706">
        <f t="shared" si="131"/>
        <v>9</v>
      </c>
      <c r="AK103" s="706">
        <f t="shared" si="131"/>
        <v>0</v>
      </c>
      <c r="AL103" s="706">
        <f t="shared" si="131"/>
        <v>4</v>
      </c>
      <c r="AM103" s="706">
        <f t="shared" si="131"/>
        <v>10</v>
      </c>
      <c r="AN103" s="706">
        <f t="shared" si="131"/>
        <v>2</v>
      </c>
      <c r="AO103" s="706">
        <f t="shared" si="131"/>
        <v>1</v>
      </c>
      <c r="AP103" s="707">
        <f t="shared" si="131"/>
        <v>0</v>
      </c>
      <c r="AQ103" s="708"/>
      <c r="AR103" s="709"/>
      <c r="AS103" s="709"/>
      <c r="AT103" s="321"/>
    </row>
    <row r="104" spans="1:46" ht="12.75" x14ac:dyDescent="0.2">
      <c r="A104" s="1414"/>
      <c r="B104" s="194" t="s">
        <v>123</v>
      </c>
      <c r="C104" s="767"/>
      <c r="D104" s="770"/>
      <c r="E104" s="767">
        <f t="shared" ref="E104:AP104" si="132">MAX(E101,0)</f>
        <v>0</v>
      </c>
      <c r="F104" s="767">
        <f t="shared" si="132"/>
        <v>0</v>
      </c>
      <c r="G104" s="767">
        <f t="shared" si="132"/>
        <v>0</v>
      </c>
      <c r="H104" s="767">
        <f t="shared" si="132"/>
        <v>0</v>
      </c>
      <c r="I104" s="767">
        <f t="shared" si="132"/>
        <v>274</v>
      </c>
      <c r="J104" s="767">
        <f t="shared" si="132"/>
        <v>0</v>
      </c>
      <c r="K104" s="767">
        <f t="shared" si="132"/>
        <v>19</v>
      </c>
      <c r="L104" s="767">
        <f t="shared" si="132"/>
        <v>0</v>
      </c>
      <c r="M104" s="767">
        <f t="shared" si="132"/>
        <v>8</v>
      </c>
      <c r="N104" s="767">
        <f t="shared" si="132"/>
        <v>0</v>
      </c>
      <c r="O104" s="767">
        <f t="shared" si="132"/>
        <v>0</v>
      </c>
      <c r="P104" s="771">
        <f t="shared" si="132"/>
        <v>0</v>
      </c>
      <c r="Q104" s="767">
        <f t="shared" si="132"/>
        <v>0</v>
      </c>
      <c r="R104" s="767">
        <f t="shared" si="132"/>
        <v>0</v>
      </c>
      <c r="S104" s="767">
        <f t="shared" si="132"/>
        <v>0</v>
      </c>
      <c r="T104" s="767">
        <f t="shared" si="132"/>
        <v>33</v>
      </c>
      <c r="U104" s="767">
        <f t="shared" si="132"/>
        <v>0</v>
      </c>
      <c r="V104" s="767">
        <f t="shared" si="132"/>
        <v>0</v>
      </c>
      <c r="W104" s="767">
        <f t="shared" si="132"/>
        <v>7</v>
      </c>
      <c r="X104" s="767">
        <f t="shared" si="132"/>
        <v>0</v>
      </c>
      <c r="Y104" s="767">
        <f t="shared" si="132"/>
        <v>0</v>
      </c>
      <c r="Z104" s="767">
        <f t="shared" si="132"/>
        <v>7</v>
      </c>
      <c r="AA104" s="767">
        <f t="shared" si="132"/>
        <v>1</v>
      </c>
      <c r="AB104" s="767">
        <f t="shared" si="132"/>
        <v>0</v>
      </c>
      <c r="AC104" s="771">
        <f t="shared" si="132"/>
        <v>0</v>
      </c>
      <c r="AD104" s="767">
        <f t="shared" si="132"/>
        <v>0</v>
      </c>
      <c r="AE104" s="767">
        <f t="shared" si="132"/>
        <v>0</v>
      </c>
      <c r="AF104" s="767">
        <f t="shared" si="132"/>
        <v>0</v>
      </c>
      <c r="AG104" s="767">
        <f t="shared" si="132"/>
        <v>18</v>
      </c>
      <c r="AH104" s="767">
        <f t="shared" si="132"/>
        <v>0</v>
      </c>
      <c r="AI104" s="767">
        <f t="shared" si="132"/>
        <v>0</v>
      </c>
      <c r="AJ104" s="767">
        <f t="shared" si="132"/>
        <v>6</v>
      </c>
      <c r="AK104" s="767">
        <f t="shared" si="132"/>
        <v>0</v>
      </c>
      <c r="AL104" s="767">
        <f t="shared" si="132"/>
        <v>0</v>
      </c>
      <c r="AM104" s="767">
        <f t="shared" si="132"/>
        <v>10</v>
      </c>
      <c r="AN104" s="767">
        <f t="shared" si="132"/>
        <v>1</v>
      </c>
      <c r="AO104" s="767">
        <f t="shared" si="132"/>
        <v>1</v>
      </c>
      <c r="AP104" s="772">
        <f t="shared" si="132"/>
        <v>0</v>
      </c>
      <c r="AQ104" s="708"/>
      <c r="AR104" s="709"/>
      <c r="AS104" s="709"/>
      <c r="AT104" s="321"/>
    </row>
    <row r="105" spans="1:46" ht="12.75" x14ac:dyDescent="0.2">
      <c r="A105" s="1411"/>
      <c r="B105" s="710" t="s">
        <v>124</v>
      </c>
      <c r="C105" s="773"/>
      <c r="D105" s="774"/>
      <c r="E105" s="773">
        <f t="shared" ref="E105:AP105" si="133">MAX(E102,0)</f>
        <v>0</v>
      </c>
      <c r="F105" s="773">
        <f t="shared" si="133"/>
        <v>0</v>
      </c>
      <c r="G105" s="773">
        <f t="shared" si="133"/>
        <v>0</v>
      </c>
      <c r="H105" s="773">
        <f t="shared" si="133"/>
        <v>0</v>
      </c>
      <c r="I105" s="773">
        <f t="shared" si="133"/>
        <v>0</v>
      </c>
      <c r="J105" s="773">
        <f t="shared" si="133"/>
        <v>0</v>
      </c>
      <c r="K105" s="773">
        <f t="shared" si="133"/>
        <v>0</v>
      </c>
      <c r="L105" s="773">
        <f t="shared" si="133"/>
        <v>0</v>
      </c>
      <c r="M105" s="773">
        <f t="shared" si="133"/>
        <v>0</v>
      </c>
      <c r="N105" s="773">
        <f t="shared" si="133"/>
        <v>0</v>
      </c>
      <c r="O105" s="773">
        <f t="shared" si="133"/>
        <v>0</v>
      </c>
      <c r="P105" s="775">
        <f t="shared" si="133"/>
        <v>0</v>
      </c>
      <c r="Q105" s="773">
        <f t="shared" si="133"/>
        <v>0</v>
      </c>
      <c r="R105" s="773">
        <f t="shared" si="133"/>
        <v>0</v>
      </c>
      <c r="S105" s="773">
        <f t="shared" si="133"/>
        <v>0</v>
      </c>
      <c r="T105" s="773">
        <f t="shared" si="133"/>
        <v>0</v>
      </c>
      <c r="U105" s="773">
        <f t="shared" si="133"/>
        <v>0</v>
      </c>
      <c r="V105" s="773">
        <f t="shared" si="133"/>
        <v>0</v>
      </c>
      <c r="W105" s="773">
        <f t="shared" si="133"/>
        <v>0</v>
      </c>
      <c r="X105" s="773">
        <f t="shared" si="133"/>
        <v>0</v>
      </c>
      <c r="Y105" s="773">
        <f t="shared" si="133"/>
        <v>0</v>
      </c>
      <c r="Z105" s="773">
        <f t="shared" si="133"/>
        <v>0</v>
      </c>
      <c r="AA105" s="773">
        <f t="shared" si="133"/>
        <v>36</v>
      </c>
      <c r="AB105" s="773">
        <f t="shared" si="133"/>
        <v>70</v>
      </c>
      <c r="AC105" s="775">
        <f t="shared" si="133"/>
        <v>0</v>
      </c>
      <c r="AD105" s="773">
        <f t="shared" si="133"/>
        <v>0</v>
      </c>
      <c r="AE105" s="773">
        <f t="shared" si="133"/>
        <v>0</v>
      </c>
      <c r="AF105" s="773">
        <f t="shared" si="133"/>
        <v>0</v>
      </c>
      <c r="AG105" s="773">
        <f t="shared" si="133"/>
        <v>20</v>
      </c>
      <c r="AH105" s="773">
        <f t="shared" si="133"/>
        <v>0</v>
      </c>
      <c r="AI105" s="773">
        <f t="shared" si="133"/>
        <v>0</v>
      </c>
      <c r="AJ105" s="773">
        <f t="shared" si="133"/>
        <v>3</v>
      </c>
      <c r="AK105" s="773">
        <f t="shared" si="133"/>
        <v>0</v>
      </c>
      <c r="AL105" s="773">
        <f t="shared" si="133"/>
        <v>4</v>
      </c>
      <c r="AM105" s="773">
        <f t="shared" si="133"/>
        <v>0</v>
      </c>
      <c r="AN105" s="773">
        <f t="shared" si="133"/>
        <v>1</v>
      </c>
      <c r="AO105" s="773">
        <f t="shared" si="133"/>
        <v>0</v>
      </c>
      <c r="AP105" s="776">
        <f t="shared" si="133"/>
        <v>0</v>
      </c>
      <c r="AQ105" s="708"/>
      <c r="AR105" s="709"/>
      <c r="AS105" s="709"/>
      <c r="AT105" s="321"/>
    </row>
    <row r="106" spans="1:46" ht="18" x14ac:dyDescent="0.25">
      <c r="A106" s="1409" t="s">
        <v>227</v>
      </c>
      <c r="B106" s="1346"/>
      <c r="C106" s="706"/>
      <c r="D106" s="769"/>
      <c r="E106" s="706">
        <f t="shared" ref="E106:AP106" si="134">SUM(E107:E108)</f>
        <v>0</v>
      </c>
      <c r="F106" s="704">
        <f t="shared" si="134"/>
        <v>0</v>
      </c>
      <c r="G106" s="706">
        <f t="shared" si="134"/>
        <v>0</v>
      </c>
      <c r="H106" s="706">
        <f t="shared" si="134"/>
        <v>0</v>
      </c>
      <c r="I106" s="706">
        <f t="shared" si="134"/>
        <v>0</v>
      </c>
      <c r="J106" s="706">
        <f t="shared" si="134"/>
        <v>0</v>
      </c>
      <c r="K106" s="706">
        <f t="shared" si="134"/>
        <v>0</v>
      </c>
      <c r="L106" s="706">
        <f t="shared" si="134"/>
        <v>0</v>
      </c>
      <c r="M106" s="706">
        <f t="shared" si="134"/>
        <v>0</v>
      </c>
      <c r="N106" s="706">
        <f t="shared" si="134"/>
        <v>0</v>
      </c>
      <c r="O106" s="706">
        <f t="shared" si="134"/>
        <v>0</v>
      </c>
      <c r="P106" s="705">
        <f t="shared" si="134"/>
        <v>-26</v>
      </c>
      <c r="Q106" s="706">
        <f t="shared" si="134"/>
        <v>0</v>
      </c>
      <c r="R106" s="706">
        <f t="shared" si="134"/>
        <v>0</v>
      </c>
      <c r="S106" s="706">
        <f t="shared" si="134"/>
        <v>0</v>
      </c>
      <c r="T106" s="706">
        <f t="shared" si="134"/>
        <v>0</v>
      </c>
      <c r="U106" s="706">
        <f t="shared" si="134"/>
        <v>0</v>
      </c>
      <c r="V106" s="706">
        <f t="shared" si="134"/>
        <v>0</v>
      </c>
      <c r="W106" s="706">
        <f t="shared" si="134"/>
        <v>0</v>
      </c>
      <c r="X106" s="706">
        <f t="shared" si="134"/>
        <v>0</v>
      </c>
      <c r="Y106" s="706">
        <f t="shared" si="134"/>
        <v>0</v>
      </c>
      <c r="Z106" s="706">
        <f t="shared" si="134"/>
        <v>0</v>
      </c>
      <c r="AA106" s="706">
        <f t="shared" si="134"/>
        <v>0</v>
      </c>
      <c r="AB106" s="706">
        <f t="shared" si="134"/>
        <v>0</v>
      </c>
      <c r="AC106" s="705">
        <f t="shared" si="134"/>
        <v>-29</v>
      </c>
      <c r="AD106" s="706">
        <f t="shared" si="134"/>
        <v>0</v>
      </c>
      <c r="AE106" s="706">
        <f t="shared" si="134"/>
        <v>0</v>
      </c>
      <c r="AF106" s="706">
        <f t="shared" si="134"/>
        <v>0</v>
      </c>
      <c r="AG106" s="706">
        <f t="shared" si="134"/>
        <v>0</v>
      </c>
      <c r="AH106" s="706">
        <f t="shared" si="134"/>
        <v>0</v>
      </c>
      <c r="AI106" s="706">
        <f t="shared" si="134"/>
        <v>0</v>
      </c>
      <c r="AJ106" s="706">
        <f t="shared" si="134"/>
        <v>0</v>
      </c>
      <c r="AK106" s="706">
        <f t="shared" si="134"/>
        <v>0</v>
      </c>
      <c r="AL106" s="706">
        <f t="shared" si="134"/>
        <v>0</v>
      </c>
      <c r="AM106" s="706">
        <f t="shared" si="134"/>
        <v>0</v>
      </c>
      <c r="AN106" s="706">
        <f t="shared" si="134"/>
        <v>0</v>
      </c>
      <c r="AO106" s="706">
        <f t="shared" si="134"/>
        <v>0</v>
      </c>
      <c r="AP106" s="707">
        <f t="shared" si="134"/>
        <v>-263</v>
      </c>
      <c r="AQ106" s="708"/>
      <c r="AR106" s="709"/>
      <c r="AS106" s="709"/>
      <c r="AT106" s="321"/>
    </row>
    <row r="107" spans="1:46" ht="12.75" x14ac:dyDescent="0.2">
      <c r="A107" s="1414"/>
      <c r="B107" s="194" t="s">
        <v>123</v>
      </c>
      <c r="C107" s="767"/>
      <c r="D107" s="770"/>
      <c r="E107" s="767">
        <f t="shared" ref="E107:AP107" si="135">MIN(E101,0)</f>
        <v>0</v>
      </c>
      <c r="F107" s="767">
        <f t="shared" si="135"/>
        <v>0</v>
      </c>
      <c r="G107" s="767">
        <f t="shared" si="135"/>
        <v>0</v>
      </c>
      <c r="H107" s="767">
        <f t="shared" si="135"/>
        <v>0</v>
      </c>
      <c r="I107" s="767">
        <f t="shared" si="135"/>
        <v>0</v>
      </c>
      <c r="J107" s="767">
        <f t="shared" si="135"/>
        <v>0</v>
      </c>
      <c r="K107" s="767">
        <f t="shared" si="135"/>
        <v>0</v>
      </c>
      <c r="L107" s="767">
        <f t="shared" si="135"/>
        <v>0</v>
      </c>
      <c r="M107" s="767">
        <f t="shared" si="135"/>
        <v>0</v>
      </c>
      <c r="N107" s="767">
        <f t="shared" si="135"/>
        <v>0</v>
      </c>
      <c r="O107" s="767">
        <f t="shared" si="135"/>
        <v>0</v>
      </c>
      <c r="P107" s="771">
        <f t="shared" si="135"/>
        <v>-26</v>
      </c>
      <c r="Q107" s="767">
        <f t="shared" si="135"/>
        <v>0</v>
      </c>
      <c r="R107" s="767">
        <f t="shared" si="135"/>
        <v>0</v>
      </c>
      <c r="S107" s="767">
        <f t="shared" si="135"/>
        <v>0</v>
      </c>
      <c r="T107" s="767">
        <f t="shared" si="135"/>
        <v>0</v>
      </c>
      <c r="U107" s="767">
        <f t="shared" si="135"/>
        <v>0</v>
      </c>
      <c r="V107" s="767">
        <f t="shared" si="135"/>
        <v>0</v>
      </c>
      <c r="W107" s="767">
        <f t="shared" si="135"/>
        <v>0</v>
      </c>
      <c r="X107" s="767">
        <f t="shared" si="135"/>
        <v>0</v>
      </c>
      <c r="Y107" s="767">
        <f t="shared" si="135"/>
        <v>0</v>
      </c>
      <c r="Z107" s="767">
        <f t="shared" si="135"/>
        <v>0</v>
      </c>
      <c r="AA107" s="767">
        <f t="shared" si="135"/>
        <v>0</v>
      </c>
      <c r="AB107" s="767">
        <f t="shared" si="135"/>
        <v>0</v>
      </c>
      <c r="AC107" s="771">
        <f t="shared" si="135"/>
        <v>-25</v>
      </c>
      <c r="AD107" s="767">
        <f t="shared" si="135"/>
        <v>0</v>
      </c>
      <c r="AE107" s="767">
        <f t="shared" si="135"/>
        <v>0</v>
      </c>
      <c r="AF107" s="767">
        <f t="shared" si="135"/>
        <v>0</v>
      </c>
      <c r="AG107" s="767">
        <f t="shared" si="135"/>
        <v>0</v>
      </c>
      <c r="AH107" s="767">
        <f t="shared" si="135"/>
        <v>0</v>
      </c>
      <c r="AI107" s="767">
        <f t="shared" si="135"/>
        <v>0</v>
      </c>
      <c r="AJ107" s="767">
        <f t="shared" si="135"/>
        <v>0</v>
      </c>
      <c r="AK107" s="767">
        <f t="shared" si="135"/>
        <v>0</v>
      </c>
      <c r="AL107" s="767">
        <f t="shared" si="135"/>
        <v>0</v>
      </c>
      <c r="AM107" s="767">
        <f t="shared" si="135"/>
        <v>0</v>
      </c>
      <c r="AN107" s="767">
        <f t="shared" si="135"/>
        <v>0</v>
      </c>
      <c r="AO107" s="767">
        <f t="shared" si="135"/>
        <v>0</v>
      </c>
      <c r="AP107" s="772">
        <f t="shared" si="135"/>
        <v>-204</v>
      </c>
      <c r="AQ107" s="708"/>
      <c r="AR107" s="709"/>
      <c r="AS107" s="709"/>
      <c r="AT107" s="321"/>
    </row>
    <row r="108" spans="1:46" ht="12.75" x14ac:dyDescent="0.2">
      <c r="A108" s="1411"/>
      <c r="B108" s="710" t="s">
        <v>124</v>
      </c>
      <c r="C108" s="773"/>
      <c r="D108" s="774"/>
      <c r="E108" s="773">
        <f t="shared" ref="E108:AP108" si="136">MIN(E102,0)</f>
        <v>0</v>
      </c>
      <c r="F108" s="773">
        <f t="shared" si="136"/>
        <v>0</v>
      </c>
      <c r="G108" s="773">
        <f t="shared" si="136"/>
        <v>0</v>
      </c>
      <c r="H108" s="773">
        <f t="shared" si="136"/>
        <v>0</v>
      </c>
      <c r="I108" s="773">
        <f t="shared" si="136"/>
        <v>0</v>
      </c>
      <c r="J108" s="773">
        <f t="shared" si="136"/>
        <v>0</v>
      </c>
      <c r="K108" s="773">
        <f t="shared" si="136"/>
        <v>0</v>
      </c>
      <c r="L108" s="773">
        <f t="shared" si="136"/>
        <v>0</v>
      </c>
      <c r="M108" s="773">
        <f t="shared" si="136"/>
        <v>0</v>
      </c>
      <c r="N108" s="773">
        <f t="shared" si="136"/>
        <v>0</v>
      </c>
      <c r="O108" s="773">
        <f t="shared" si="136"/>
        <v>0</v>
      </c>
      <c r="P108" s="775">
        <f t="shared" si="136"/>
        <v>0</v>
      </c>
      <c r="Q108" s="773">
        <f t="shared" si="136"/>
        <v>0</v>
      </c>
      <c r="R108" s="773">
        <f t="shared" si="136"/>
        <v>0</v>
      </c>
      <c r="S108" s="773">
        <f t="shared" si="136"/>
        <v>0</v>
      </c>
      <c r="T108" s="773">
        <f t="shared" si="136"/>
        <v>0</v>
      </c>
      <c r="U108" s="773">
        <f t="shared" si="136"/>
        <v>0</v>
      </c>
      <c r="V108" s="773">
        <f t="shared" si="136"/>
        <v>0</v>
      </c>
      <c r="W108" s="773">
        <f t="shared" si="136"/>
        <v>0</v>
      </c>
      <c r="X108" s="773">
        <f t="shared" si="136"/>
        <v>0</v>
      </c>
      <c r="Y108" s="773">
        <f t="shared" si="136"/>
        <v>0</v>
      </c>
      <c r="Z108" s="773">
        <f t="shared" si="136"/>
        <v>0</v>
      </c>
      <c r="AA108" s="773">
        <f t="shared" si="136"/>
        <v>0</v>
      </c>
      <c r="AB108" s="773">
        <f t="shared" si="136"/>
        <v>0</v>
      </c>
      <c r="AC108" s="775">
        <f t="shared" si="136"/>
        <v>-4</v>
      </c>
      <c r="AD108" s="773">
        <f t="shared" si="136"/>
        <v>0</v>
      </c>
      <c r="AE108" s="773">
        <f t="shared" si="136"/>
        <v>0</v>
      </c>
      <c r="AF108" s="773">
        <f t="shared" si="136"/>
        <v>0</v>
      </c>
      <c r="AG108" s="773">
        <f t="shared" si="136"/>
        <v>0</v>
      </c>
      <c r="AH108" s="773">
        <f t="shared" si="136"/>
        <v>0</v>
      </c>
      <c r="AI108" s="773">
        <f t="shared" si="136"/>
        <v>0</v>
      </c>
      <c r="AJ108" s="773">
        <f t="shared" si="136"/>
        <v>0</v>
      </c>
      <c r="AK108" s="773">
        <f t="shared" si="136"/>
        <v>0</v>
      </c>
      <c r="AL108" s="773">
        <f t="shared" si="136"/>
        <v>0</v>
      </c>
      <c r="AM108" s="773">
        <f t="shared" si="136"/>
        <v>0</v>
      </c>
      <c r="AN108" s="773">
        <f t="shared" si="136"/>
        <v>0</v>
      </c>
      <c r="AO108" s="773">
        <f t="shared" si="136"/>
        <v>0</v>
      </c>
      <c r="AP108" s="776">
        <f t="shared" si="136"/>
        <v>-59</v>
      </c>
      <c r="AQ108" s="708"/>
      <c r="AR108" s="709"/>
      <c r="AS108" s="709"/>
      <c r="AT108" s="321"/>
    </row>
    <row r="109" spans="1:46" ht="12.75" x14ac:dyDescent="0.2">
      <c r="A109" s="223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  <c r="AM109" s="224"/>
      <c r="AN109" s="224"/>
      <c r="AO109" s="224"/>
      <c r="AP109" s="224"/>
      <c r="AQ109" s="163"/>
      <c r="AR109" s="163"/>
      <c r="AS109" s="163"/>
      <c r="AT109" s="321"/>
    </row>
    <row r="110" spans="1:46" ht="12.75" x14ac:dyDescent="0.2">
      <c r="A110" s="227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  <c r="AB110" s="225"/>
      <c r="AC110" s="225"/>
      <c r="AD110" s="225"/>
      <c r="AE110" s="225"/>
      <c r="AF110" s="225"/>
      <c r="AG110" s="225"/>
      <c r="AH110" s="225"/>
      <c r="AI110" s="225"/>
      <c r="AJ110" s="225"/>
      <c r="AK110" s="225"/>
      <c r="AL110" s="225"/>
      <c r="AM110" s="225"/>
      <c r="AN110" s="225"/>
      <c r="AO110" s="225"/>
      <c r="AP110" s="225"/>
      <c r="AQ110" s="163"/>
      <c r="AR110" s="163"/>
      <c r="AS110" s="163"/>
      <c r="AT110" s="321"/>
    </row>
    <row r="111" spans="1:46" ht="12.75" x14ac:dyDescent="0.2">
      <c r="A111" s="227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  <c r="AB111" s="225"/>
      <c r="AC111" s="225"/>
      <c r="AD111" s="225"/>
      <c r="AE111" s="225"/>
      <c r="AF111" s="225"/>
      <c r="AG111" s="225"/>
      <c r="AH111" s="225"/>
      <c r="AI111" s="225"/>
      <c r="AJ111" s="225"/>
      <c r="AK111" s="225"/>
      <c r="AL111" s="225"/>
      <c r="AM111" s="225"/>
      <c r="AN111" s="225"/>
      <c r="AO111" s="225"/>
      <c r="AP111" s="225"/>
      <c r="AQ111" s="163"/>
      <c r="AR111" s="163"/>
      <c r="AS111" s="163"/>
      <c r="AT111" s="321"/>
    </row>
    <row r="112" spans="1:46" ht="12.75" x14ac:dyDescent="0.2">
      <c r="A112" s="227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  <c r="AC112" s="225"/>
      <c r="AD112" s="225"/>
      <c r="AE112" s="225"/>
      <c r="AF112" s="225"/>
      <c r="AG112" s="225"/>
      <c r="AH112" s="225"/>
      <c r="AI112" s="225"/>
      <c r="AJ112" s="225"/>
      <c r="AK112" s="225"/>
      <c r="AL112" s="225"/>
      <c r="AM112" s="225"/>
      <c r="AN112" s="225"/>
      <c r="AO112" s="225"/>
      <c r="AP112" s="225"/>
      <c r="AQ112" s="163"/>
      <c r="AR112" s="163"/>
      <c r="AS112" s="163"/>
      <c r="AT112" s="321"/>
    </row>
    <row r="113" spans="1:46" ht="12.75" x14ac:dyDescent="0.2">
      <c r="A113" s="227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  <c r="AB113" s="225"/>
      <c r="AC113" s="225"/>
      <c r="AD113" s="225"/>
      <c r="AE113" s="225"/>
      <c r="AF113" s="225"/>
      <c r="AG113" s="225"/>
      <c r="AH113" s="225"/>
      <c r="AI113" s="225"/>
      <c r="AJ113" s="225"/>
      <c r="AK113" s="225"/>
      <c r="AL113" s="225"/>
      <c r="AM113" s="225"/>
      <c r="AN113" s="225"/>
      <c r="AO113" s="225"/>
      <c r="AP113" s="225"/>
      <c r="AQ113" s="163"/>
      <c r="AR113" s="163"/>
      <c r="AS113" s="163"/>
      <c r="AT113" s="321"/>
    </row>
    <row r="114" spans="1:46" ht="12.75" x14ac:dyDescent="0.2">
      <c r="A114" s="231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32"/>
      <c r="AQ114" s="285"/>
      <c r="AR114" s="285"/>
      <c r="AS114" s="285"/>
      <c r="AT114" s="460"/>
    </row>
  </sheetData>
  <mergeCells count="78">
    <mergeCell ref="AK2:AM2"/>
    <mergeCell ref="A1:C3"/>
    <mergeCell ref="E1:P1"/>
    <mergeCell ref="R1:AC1"/>
    <mergeCell ref="AE1:AP1"/>
    <mergeCell ref="E2:G2"/>
    <mergeCell ref="H2:J2"/>
    <mergeCell ref="K2:M2"/>
    <mergeCell ref="AN2:AP2"/>
    <mergeCell ref="N2:P2"/>
    <mergeCell ref="R2:T2"/>
    <mergeCell ref="U2:W2"/>
    <mergeCell ref="X2:Z2"/>
    <mergeCell ref="AA2:AC2"/>
    <mergeCell ref="AE2:AG2"/>
    <mergeCell ref="AH2:AJ2"/>
    <mergeCell ref="AH54:AJ54"/>
    <mergeCell ref="R82:AC82"/>
    <mergeCell ref="AE82:AP82"/>
    <mergeCell ref="AN83:AP83"/>
    <mergeCell ref="A16:B16"/>
    <mergeCell ref="A17:A18"/>
    <mergeCell ref="A19:B19"/>
    <mergeCell ref="A20:A21"/>
    <mergeCell ref="A22:B22"/>
    <mergeCell ref="AK83:AM83"/>
    <mergeCell ref="K83:M83"/>
    <mergeCell ref="N83:P83"/>
    <mergeCell ref="R83:T83"/>
    <mergeCell ref="U83:W83"/>
    <mergeCell ref="X83:Z83"/>
    <mergeCell ref="AA83:AC83"/>
    <mergeCell ref="AE83:AG83"/>
    <mergeCell ref="AH83:AJ83"/>
    <mergeCell ref="A106:B106"/>
    <mergeCell ref="A107:A108"/>
    <mergeCell ref="A85:B85"/>
    <mergeCell ref="A86:A87"/>
    <mergeCell ref="A89:A90"/>
    <mergeCell ref="A92:A93"/>
    <mergeCell ref="A94:B94"/>
    <mergeCell ref="A95:A96"/>
    <mergeCell ref="A97:B97"/>
    <mergeCell ref="A98:A99"/>
    <mergeCell ref="A100:B100"/>
    <mergeCell ref="A101:A102"/>
    <mergeCell ref="A103:B103"/>
    <mergeCell ref="A104:A105"/>
    <mergeCell ref="AK54:AM54"/>
    <mergeCell ref="AN54:AP54"/>
    <mergeCell ref="A23:A24"/>
    <mergeCell ref="A53:C55"/>
    <mergeCell ref="E53:P53"/>
    <mergeCell ref="R53:AC53"/>
    <mergeCell ref="AE53:AP53"/>
    <mergeCell ref="E54:G54"/>
    <mergeCell ref="H54:J54"/>
    <mergeCell ref="X54:Z54"/>
    <mergeCell ref="AA54:AC54"/>
    <mergeCell ref="K54:M54"/>
    <mergeCell ref="N54:P54"/>
    <mergeCell ref="R54:T54"/>
    <mergeCell ref="U54:W54"/>
    <mergeCell ref="AE54:AG54"/>
    <mergeCell ref="A59:A60"/>
    <mergeCell ref="A62:A63"/>
    <mergeCell ref="A66:B66"/>
    <mergeCell ref="A67:A68"/>
    <mergeCell ref="A69:B69"/>
    <mergeCell ref="E83:G83"/>
    <mergeCell ref="H83:J83"/>
    <mergeCell ref="A70:A71"/>
    <mergeCell ref="A72:B72"/>
    <mergeCell ref="A73:A74"/>
    <mergeCell ref="A77:B77"/>
    <mergeCell ref="A78:A79"/>
    <mergeCell ref="A82:C84"/>
    <mergeCell ref="E82:P82"/>
  </mergeCells>
  <conditionalFormatting sqref="A66 A69 E94:E102 A94:D108 F94:AS108 E104:E108">
    <cfRule type="cellIs" dxfId="12" priority="2" operator="equal">
      <formula>0</formula>
    </cfRule>
  </conditionalFormatting>
  <conditionalFormatting sqref="E58:E65 F58:AS79 E67:E68 E70:E79">
    <cfRule type="cellIs" dxfId="11" priority="1" operator="equal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D9EEB"/>
    <outlinePr summaryBelow="0" summaryRight="0"/>
  </sheetPr>
  <dimension ref="A1:AT83"/>
  <sheetViews>
    <sheetView topLeftCell="A6" workbookViewId="0">
      <selection activeCell="J32" sqref="J32"/>
    </sheetView>
  </sheetViews>
  <sheetFormatPr defaultColWidth="12.5703125" defaultRowHeight="15.75" customHeight="1" x14ac:dyDescent="0.2"/>
  <cols>
    <col min="1" max="1" width="34.140625" customWidth="1"/>
    <col min="2" max="4" width="12.5703125" hidden="1"/>
    <col min="5" max="16" width="15.7109375" customWidth="1"/>
    <col min="17" max="17" width="15.7109375" hidden="1" customWidth="1"/>
    <col min="18" max="29" width="15.7109375" customWidth="1"/>
    <col min="30" max="30" width="15.7109375" hidden="1" customWidth="1"/>
    <col min="31" max="42" width="15.7109375" customWidth="1"/>
  </cols>
  <sheetData>
    <row r="1" spans="1:46" ht="12.75" x14ac:dyDescent="0.2">
      <c r="A1" s="1425" t="s">
        <v>228</v>
      </c>
      <c r="B1" s="777"/>
      <c r="C1" s="777"/>
      <c r="D1" s="777"/>
      <c r="E1" s="1376">
        <v>2025</v>
      </c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8"/>
      <c r="Q1" s="166"/>
      <c r="R1" s="1377">
        <v>2026</v>
      </c>
      <c r="S1" s="1367"/>
      <c r="T1" s="1367"/>
      <c r="U1" s="1367"/>
      <c r="V1" s="1367"/>
      <c r="W1" s="1367"/>
      <c r="X1" s="1367"/>
      <c r="Y1" s="1367"/>
      <c r="Z1" s="1367"/>
      <c r="AA1" s="1367"/>
      <c r="AB1" s="1367"/>
      <c r="AC1" s="1368"/>
      <c r="AD1" s="167"/>
      <c r="AE1" s="1376">
        <v>2027</v>
      </c>
      <c r="AF1" s="1367"/>
      <c r="AG1" s="1367"/>
      <c r="AH1" s="1367"/>
      <c r="AI1" s="1367"/>
      <c r="AJ1" s="1367"/>
      <c r="AK1" s="1367"/>
      <c r="AL1" s="1367"/>
      <c r="AM1" s="1367"/>
      <c r="AN1" s="1367"/>
      <c r="AO1" s="1367"/>
      <c r="AP1" s="1368"/>
      <c r="AQ1" s="223"/>
      <c r="AR1" s="224"/>
      <c r="AS1" s="224"/>
      <c r="AT1" s="224"/>
    </row>
    <row r="2" spans="1:46" ht="12.75" x14ac:dyDescent="0.2">
      <c r="A2" s="1426"/>
      <c r="B2" s="259"/>
      <c r="C2" s="259"/>
      <c r="D2" s="259"/>
      <c r="E2" s="1378" t="s">
        <v>118</v>
      </c>
      <c r="F2" s="1367"/>
      <c r="G2" s="1368"/>
      <c r="H2" s="1371" t="s">
        <v>119</v>
      </c>
      <c r="I2" s="1367"/>
      <c r="J2" s="1368"/>
      <c r="K2" s="1371" t="s">
        <v>120</v>
      </c>
      <c r="L2" s="1367"/>
      <c r="M2" s="1368"/>
      <c r="N2" s="1371" t="s">
        <v>121</v>
      </c>
      <c r="O2" s="1367"/>
      <c r="P2" s="1368"/>
      <c r="Q2" s="174"/>
      <c r="R2" s="1378" t="s">
        <v>118</v>
      </c>
      <c r="S2" s="1367"/>
      <c r="T2" s="1368"/>
      <c r="U2" s="1371" t="s">
        <v>119</v>
      </c>
      <c r="V2" s="1367"/>
      <c r="W2" s="1368"/>
      <c r="X2" s="1371" t="s">
        <v>120</v>
      </c>
      <c r="Y2" s="1367"/>
      <c r="Z2" s="1368"/>
      <c r="AA2" s="1371" t="s">
        <v>121</v>
      </c>
      <c r="AB2" s="1367"/>
      <c r="AC2" s="1368"/>
      <c r="AD2" s="174"/>
      <c r="AE2" s="1378" t="s">
        <v>118</v>
      </c>
      <c r="AF2" s="1367"/>
      <c r="AG2" s="1368"/>
      <c r="AH2" s="1371" t="s">
        <v>119</v>
      </c>
      <c r="AI2" s="1367"/>
      <c r="AJ2" s="1368"/>
      <c r="AK2" s="1371" t="s">
        <v>120</v>
      </c>
      <c r="AL2" s="1367"/>
      <c r="AM2" s="1368"/>
      <c r="AN2" s="1371" t="s">
        <v>121</v>
      </c>
      <c r="AO2" s="1367"/>
      <c r="AP2" s="1368"/>
      <c r="AQ2" s="227"/>
      <c r="AR2" s="225"/>
      <c r="AS2" s="225"/>
      <c r="AT2" s="225"/>
    </row>
    <row r="3" spans="1:46" ht="18" x14ac:dyDescent="0.25">
      <c r="A3" s="1427"/>
      <c r="B3" s="327" t="s">
        <v>213</v>
      </c>
      <c r="C3" s="327"/>
      <c r="D3" s="327"/>
      <c r="E3" s="327">
        <v>1</v>
      </c>
      <c r="F3" s="499">
        <v>2</v>
      </c>
      <c r="G3" s="499">
        <v>3</v>
      </c>
      <c r="H3" s="499">
        <v>4</v>
      </c>
      <c r="I3" s="499">
        <v>5</v>
      </c>
      <c r="J3" s="499">
        <v>6</v>
      </c>
      <c r="K3" s="499">
        <v>7</v>
      </c>
      <c r="L3" s="499">
        <v>8</v>
      </c>
      <c r="M3" s="499">
        <v>9</v>
      </c>
      <c r="N3" s="499">
        <v>10</v>
      </c>
      <c r="O3" s="499">
        <v>11</v>
      </c>
      <c r="P3" s="499">
        <v>12</v>
      </c>
      <c r="Q3" s="499"/>
      <c r="R3" s="499">
        <v>1</v>
      </c>
      <c r="S3" s="499">
        <v>2</v>
      </c>
      <c r="T3" s="499">
        <v>3</v>
      </c>
      <c r="U3" s="499">
        <v>4</v>
      </c>
      <c r="V3" s="499">
        <v>5</v>
      </c>
      <c r="W3" s="499">
        <v>6</v>
      </c>
      <c r="X3" s="499">
        <v>7</v>
      </c>
      <c r="Y3" s="499">
        <v>8</v>
      </c>
      <c r="Z3" s="499">
        <v>9</v>
      </c>
      <c r="AA3" s="499">
        <v>10</v>
      </c>
      <c r="AB3" s="499">
        <v>11</v>
      </c>
      <c r="AC3" s="499">
        <v>12</v>
      </c>
      <c r="AD3" s="499"/>
      <c r="AE3" s="500">
        <v>1</v>
      </c>
      <c r="AF3" s="501">
        <v>2</v>
      </c>
      <c r="AG3" s="501">
        <v>3</v>
      </c>
      <c r="AH3" s="501">
        <v>4</v>
      </c>
      <c r="AI3" s="501">
        <v>5</v>
      </c>
      <c r="AJ3" s="501">
        <v>6</v>
      </c>
      <c r="AK3" s="501">
        <v>7</v>
      </c>
      <c r="AL3" s="501">
        <v>8</v>
      </c>
      <c r="AM3" s="501">
        <v>9</v>
      </c>
      <c r="AN3" s="501">
        <v>10</v>
      </c>
      <c r="AO3" s="501">
        <v>11</v>
      </c>
      <c r="AP3" s="502">
        <v>12</v>
      </c>
      <c r="AQ3" s="778"/>
      <c r="AR3" s="779"/>
      <c r="AS3" s="779"/>
      <c r="AT3" s="779"/>
    </row>
    <row r="4" spans="1:46" ht="14.25" x14ac:dyDescent="0.2">
      <c r="A4" s="780" t="s">
        <v>229</v>
      </c>
      <c r="B4" s="259"/>
      <c r="C4" s="781"/>
      <c r="D4" s="781"/>
      <c r="E4" s="781"/>
      <c r="F4" s="781"/>
      <c r="G4" s="781"/>
      <c r="H4" s="781"/>
      <c r="I4" s="781"/>
      <c r="J4" s="781"/>
      <c r="K4" s="781"/>
      <c r="L4" s="781"/>
      <c r="M4" s="781"/>
      <c r="N4" s="781"/>
      <c r="O4" s="781"/>
      <c r="P4" s="782"/>
      <c r="Q4" s="781"/>
      <c r="R4" s="781"/>
      <c r="S4" s="781"/>
      <c r="T4" s="781"/>
      <c r="U4" s="781"/>
      <c r="V4" s="781"/>
      <c r="W4" s="781"/>
      <c r="X4" s="781"/>
      <c r="Y4" s="781"/>
      <c r="Z4" s="781"/>
      <c r="AA4" s="781"/>
      <c r="AB4" s="781"/>
      <c r="AC4" s="782"/>
      <c r="AD4" s="781"/>
      <c r="AE4" s="781"/>
      <c r="AF4" s="781"/>
      <c r="AG4" s="781"/>
      <c r="AH4" s="781"/>
      <c r="AI4" s="781"/>
      <c r="AJ4" s="781"/>
      <c r="AK4" s="781"/>
      <c r="AL4" s="781"/>
      <c r="AM4" s="781"/>
      <c r="AN4" s="781"/>
      <c r="AO4" s="781"/>
      <c r="AP4" s="628"/>
      <c r="AQ4" s="783"/>
      <c r="AR4" s="784"/>
      <c r="AS4" s="784"/>
      <c r="AT4" s="784"/>
    </row>
    <row r="5" spans="1:46" ht="14.25" x14ac:dyDescent="0.2">
      <c r="A5" s="785" t="s">
        <v>230</v>
      </c>
      <c r="B5" s="259"/>
      <c r="C5" s="781"/>
      <c r="D5" s="781"/>
      <c r="E5" s="781"/>
      <c r="F5" s="781"/>
      <c r="G5" s="781"/>
      <c r="H5" s="781"/>
      <c r="I5" s="781"/>
      <c r="J5" s="781"/>
      <c r="K5" s="781"/>
      <c r="L5" s="781"/>
      <c r="M5" s="781"/>
      <c r="N5" s="781"/>
      <c r="O5" s="781"/>
      <c r="P5" s="782"/>
      <c r="Q5" s="781"/>
      <c r="R5" s="781"/>
      <c r="S5" s="781"/>
      <c r="T5" s="781"/>
      <c r="U5" s="781"/>
      <c r="V5" s="781"/>
      <c r="W5" s="781"/>
      <c r="X5" s="781"/>
      <c r="Y5" s="781"/>
      <c r="Z5" s="781"/>
      <c r="AA5" s="781"/>
      <c r="AB5" s="781"/>
      <c r="AC5" s="782"/>
      <c r="AD5" s="781"/>
      <c r="AE5" s="781"/>
      <c r="AF5" s="781"/>
      <c r="AG5" s="781"/>
      <c r="AH5" s="781"/>
      <c r="AI5" s="781"/>
      <c r="AJ5" s="781"/>
      <c r="AK5" s="781"/>
      <c r="AL5" s="781"/>
      <c r="AM5" s="781"/>
      <c r="AN5" s="781"/>
      <c r="AO5" s="781"/>
      <c r="AP5" s="628"/>
      <c r="AQ5" s="783"/>
      <c r="AR5" s="784"/>
      <c r="AS5" s="784"/>
      <c r="AT5" s="784"/>
    </row>
    <row r="6" spans="1:46" ht="14.25" x14ac:dyDescent="0.2">
      <c r="A6" s="785" t="s">
        <v>231</v>
      </c>
      <c r="B6" s="259"/>
      <c r="C6" s="781"/>
      <c r="D6" s="781"/>
      <c r="E6" s="781">
        <f>Parameter!$B$65*('Operations plan'!E59+'Operations plan'!E62)</f>
        <v>0</v>
      </c>
      <c r="F6" s="781">
        <f>Parameter!$B$65*('Operations plan'!F59+'Operations plan'!F62)</f>
        <v>0</v>
      </c>
      <c r="G6" s="781">
        <f>Parameter!$B$65*('Operations plan'!G59+'Operations plan'!G62)</f>
        <v>0</v>
      </c>
      <c r="H6" s="781">
        <f>Parameter!$B$65*('Operations plan'!H59+'Operations plan'!H62)</f>
        <v>0</v>
      </c>
      <c r="I6" s="781">
        <f>Parameter!$B$65*('Operations plan'!I59+'Operations plan'!I62)</f>
        <v>0</v>
      </c>
      <c r="J6" s="781">
        <f>Parameter!$B$65*('Operations plan'!J59+'Operations plan'!J62)</f>
        <v>4020000000</v>
      </c>
      <c r="K6" s="781">
        <f>Parameter!$B$65*('Operations plan'!K59+'Operations plan'!K62)</f>
        <v>4020000000</v>
      </c>
      <c r="L6" s="781">
        <f>Parameter!$B$65*('Operations plan'!L59+'Operations plan'!L62)</f>
        <v>4522500000</v>
      </c>
      <c r="M6" s="781">
        <f>Parameter!$B$65*('Operations plan'!M59+'Operations plan'!M62)</f>
        <v>4522500000</v>
      </c>
      <c r="N6" s="781">
        <f>Parameter!$B$65*('Operations plan'!N59+'Operations plan'!N62)</f>
        <v>4740250000</v>
      </c>
      <c r="O6" s="781">
        <f>Parameter!$B$65*('Operations plan'!O59+'Operations plan'!O62)</f>
        <v>4740250000</v>
      </c>
      <c r="P6" s="782">
        <f>Parameter!$B$65*('Operations plan'!P59+'Operations plan'!P62)</f>
        <v>4740250000</v>
      </c>
      <c r="Q6" s="781"/>
      <c r="R6" s="781">
        <f>Parameter!$B$65*('Operations plan'!R59+'Operations plan'!R62)</f>
        <v>4033400000</v>
      </c>
      <c r="S6" s="781">
        <f>Parameter!$B$65*('Operations plan'!S59+'Operations plan'!S62)</f>
        <v>4033400000</v>
      </c>
      <c r="T6" s="781">
        <f>Parameter!$B$65*('Operations plan'!T59+'Operations plan'!T62)</f>
        <v>4033400000</v>
      </c>
      <c r="U6" s="781">
        <f>Parameter!$B$65*('Operations plan'!U59+'Operations plan'!U62)</f>
        <v>4944600000</v>
      </c>
      <c r="V6" s="781">
        <f>Parameter!$B$65*('Operations plan'!V59+'Operations plan'!V62)</f>
        <v>4944600000</v>
      </c>
      <c r="W6" s="781">
        <f>Parameter!$B$65*('Operations plan'!W59+'Operations plan'!W62)</f>
        <v>4944600000</v>
      </c>
      <c r="X6" s="781">
        <f>Parameter!$B$65*('Operations plan'!X59+'Operations plan'!X62)</f>
        <v>5132200000</v>
      </c>
      <c r="Y6" s="781">
        <f>Parameter!$B$65*('Operations plan'!Y59+'Operations plan'!Y62)</f>
        <v>5132200000</v>
      </c>
      <c r="Z6" s="781">
        <f>Parameter!$B$65*('Operations plan'!Z59+'Operations plan'!Z62)</f>
        <v>5132200000</v>
      </c>
      <c r="AA6" s="781">
        <f>Parameter!$B$65*('Operations plan'!AA59+'Operations plan'!AA62)</f>
        <v>5349950000</v>
      </c>
      <c r="AB6" s="781">
        <f>Parameter!$B$65*('Operations plan'!AB59+'Operations plan'!AB62)</f>
        <v>5366700000</v>
      </c>
      <c r="AC6" s="782">
        <f>Parameter!$B$65*('Operations plan'!AC59+'Operations plan'!AC62)</f>
        <v>5383450000</v>
      </c>
      <c r="AD6" s="781"/>
      <c r="AE6" s="781">
        <f>Parameter!$B$65*('Operations plan'!AE59+'Operations plan'!AE62)</f>
        <v>4659850000</v>
      </c>
      <c r="AF6" s="781">
        <f>Parameter!$B$65*('Operations plan'!AF59+'Operations plan'!AF62)</f>
        <v>4659850000</v>
      </c>
      <c r="AG6" s="781">
        <f>Parameter!$B$65*('Operations plan'!AG59+'Operations plan'!AG62)</f>
        <v>4659850000</v>
      </c>
      <c r="AH6" s="781">
        <f>Parameter!$B$65*('Operations plan'!AH59+'Operations plan'!AH62)</f>
        <v>5182450000</v>
      </c>
      <c r="AI6" s="781">
        <f>Parameter!$B$65*('Operations plan'!AI59+'Operations plan'!AI62)</f>
        <v>5182450000</v>
      </c>
      <c r="AJ6" s="781">
        <f>Parameter!$B$65*('Operations plan'!AJ59+'Operations plan'!AJ62)</f>
        <v>5182450000</v>
      </c>
      <c r="AK6" s="781">
        <f>Parameter!$B$65*('Operations plan'!AK59+'Operations plan'!AK62)</f>
        <v>5353300000</v>
      </c>
      <c r="AL6" s="781">
        <f>Parameter!$B$65*('Operations plan'!AL59+'Operations plan'!AL62)</f>
        <v>5353300000</v>
      </c>
      <c r="AM6" s="781">
        <f>Parameter!$B$65*('Operations plan'!AM59+'Operations plan'!AM62)</f>
        <v>5353300000</v>
      </c>
      <c r="AN6" s="781">
        <f>Parameter!$B$65*('Operations plan'!AN59+'Operations plan'!AN62)</f>
        <v>5614600000</v>
      </c>
      <c r="AO6" s="781">
        <f>Parameter!$B$65*('Operations plan'!AO59+'Operations plan'!AO62)</f>
        <v>5631350000</v>
      </c>
      <c r="AP6" s="628">
        <f>Parameter!$B$65*('Operations plan'!AP59+'Operations plan'!AP62)</f>
        <v>5648100000</v>
      </c>
      <c r="AQ6" s="783"/>
      <c r="AR6" s="784"/>
      <c r="AS6" s="784"/>
      <c r="AT6" s="784"/>
    </row>
    <row r="7" spans="1:46" ht="14.25" x14ac:dyDescent="0.2">
      <c r="A7" s="785" t="s">
        <v>232</v>
      </c>
      <c r="B7" s="259"/>
      <c r="C7" s="781"/>
      <c r="D7" s="781"/>
      <c r="E7" s="781">
        <f>Parameter!$B$66*('Operations plan'!E60+'Operations plan'!E63)</f>
        <v>0</v>
      </c>
      <c r="F7" s="781">
        <f>Parameter!$B$66*('Operations plan'!F60+'Operations plan'!F63)</f>
        <v>0</v>
      </c>
      <c r="G7" s="781">
        <f>Parameter!$B$66*('Operations plan'!G60+'Operations plan'!G63)</f>
        <v>0</v>
      </c>
      <c r="H7" s="781">
        <f>Parameter!$B$66*('Operations plan'!H60+'Operations plan'!H63)</f>
        <v>0</v>
      </c>
      <c r="I7" s="781">
        <f>Parameter!$B$66*('Operations plan'!I60+'Operations plan'!I63)</f>
        <v>0</v>
      </c>
      <c r="J7" s="781">
        <f>Parameter!$B$66*('Operations plan'!J60+'Operations plan'!J63)</f>
        <v>0</v>
      </c>
      <c r="K7" s="781">
        <f>Parameter!$B$66*('Operations plan'!K60+'Operations plan'!K63)</f>
        <v>0</v>
      </c>
      <c r="L7" s="781">
        <f>Parameter!$B$66*('Operations plan'!L60+'Operations plan'!L63)</f>
        <v>0</v>
      </c>
      <c r="M7" s="781">
        <f>Parameter!$B$66*('Operations plan'!M60+'Operations plan'!M63)</f>
        <v>0</v>
      </c>
      <c r="N7" s="781">
        <f>Parameter!$B$66*('Operations plan'!N60+'Operations plan'!N63)</f>
        <v>0</v>
      </c>
      <c r="O7" s="781">
        <f>Parameter!$B$66*('Operations plan'!O60+'Operations plan'!O63)</f>
        <v>0</v>
      </c>
      <c r="P7" s="782">
        <f>Parameter!$B$66*('Operations plan'!P60+'Operations plan'!P63)</f>
        <v>0</v>
      </c>
      <c r="Q7" s="781"/>
      <c r="R7" s="781">
        <f>Parameter!$B$66*('Operations plan'!R60+'Operations plan'!R63)</f>
        <v>0</v>
      </c>
      <c r="S7" s="781">
        <f>Parameter!$B$66*('Operations plan'!S60+'Operations plan'!S63)</f>
        <v>0</v>
      </c>
      <c r="T7" s="781">
        <f>Parameter!$B$66*('Operations plan'!T60+'Operations plan'!T63)</f>
        <v>0</v>
      </c>
      <c r="U7" s="781">
        <f>Parameter!$B$66*('Operations plan'!U60+'Operations plan'!U63)</f>
        <v>0</v>
      </c>
      <c r="V7" s="781">
        <f>Parameter!$B$66*('Operations plan'!V60+'Operations plan'!V63)</f>
        <v>0</v>
      </c>
      <c r="W7" s="781">
        <f>Parameter!$B$66*('Operations plan'!W60+'Operations plan'!W63)</f>
        <v>0</v>
      </c>
      <c r="X7" s="781">
        <f>Parameter!$B$66*('Operations plan'!X60+'Operations plan'!X63)</f>
        <v>0</v>
      </c>
      <c r="Y7" s="781">
        <f>Parameter!$B$66*('Operations plan'!Y60+'Operations plan'!Y63)</f>
        <v>0</v>
      </c>
      <c r="Z7" s="781">
        <f>Parameter!$B$66*('Operations plan'!Z60+'Operations plan'!Z63)</f>
        <v>0</v>
      </c>
      <c r="AA7" s="781">
        <f>Parameter!$B$66*('Operations plan'!AA60+'Operations plan'!AA63)</f>
        <v>0</v>
      </c>
      <c r="AB7" s="781">
        <f>Parameter!$B$66*('Operations plan'!AB60+'Operations plan'!AB63)</f>
        <v>3240000000</v>
      </c>
      <c r="AC7" s="782">
        <f>Parameter!$B$66*('Operations plan'!AC60+'Operations plan'!AC63)</f>
        <v>3240000000</v>
      </c>
      <c r="AD7" s="781"/>
      <c r="AE7" s="781">
        <f>Parameter!$B$66*('Operations plan'!AE60+'Operations plan'!AE63)</f>
        <v>2808000000</v>
      </c>
      <c r="AF7" s="781">
        <f>Parameter!$B$66*('Operations plan'!AF60+'Operations plan'!AF63)</f>
        <v>2700000000</v>
      </c>
      <c r="AG7" s="781">
        <f>Parameter!$B$66*('Operations plan'!AG60+'Operations plan'!AG63)</f>
        <v>2700000000</v>
      </c>
      <c r="AH7" s="781">
        <f>Parameter!$B$66*('Operations plan'!AH60+'Operations plan'!AH63)</f>
        <v>4482000000</v>
      </c>
      <c r="AI7" s="781">
        <f>Parameter!$B$66*('Operations plan'!AI60+'Operations plan'!AI63)</f>
        <v>4482000000</v>
      </c>
      <c r="AJ7" s="781">
        <f>Parameter!$B$66*('Operations plan'!AJ60+'Operations plan'!AJ63)</f>
        <v>4482000000</v>
      </c>
      <c r="AK7" s="781">
        <f>Parameter!$B$66*('Operations plan'!AK60+'Operations plan'!AK63)</f>
        <v>4795200000</v>
      </c>
      <c r="AL7" s="781">
        <f>Parameter!$B$66*('Operations plan'!AL60+'Operations plan'!AL63)</f>
        <v>4795200000</v>
      </c>
      <c r="AM7" s="781">
        <f>Parameter!$B$66*('Operations plan'!AM60+'Operations plan'!AM63)</f>
        <v>5119200000</v>
      </c>
      <c r="AN7" s="781">
        <f>Parameter!$B$66*('Operations plan'!AN60+'Operations plan'!AN63)</f>
        <v>5151600000</v>
      </c>
      <c r="AO7" s="781">
        <f>Parameter!$B$66*('Operations plan'!AO60+'Operations plan'!AO63)</f>
        <v>5184000000</v>
      </c>
      <c r="AP7" s="628">
        <f>Parameter!$B$66*('Operations plan'!AP60+'Operations plan'!AP63)</f>
        <v>5216400000</v>
      </c>
      <c r="AQ7" s="783"/>
      <c r="AR7" s="784"/>
      <c r="AS7" s="784"/>
      <c r="AT7" s="784"/>
    </row>
    <row r="8" spans="1:46" ht="14.25" x14ac:dyDescent="0.2">
      <c r="A8" s="785" t="s">
        <v>233</v>
      </c>
      <c r="B8" s="259"/>
      <c r="C8" s="781"/>
      <c r="D8" s="781"/>
      <c r="E8" s="781">
        <f>'Paycheck schedule'!J$6</f>
        <v>0</v>
      </c>
      <c r="F8" s="781">
        <f>'Paycheck schedule'!K$6</f>
        <v>4761904.7619047621</v>
      </c>
      <c r="G8" s="781">
        <f>'Paycheck schedule'!L$6</f>
        <v>351818181.81818181</v>
      </c>
      <c r="H8" s="781">
        <f>'Paycheck schedule'!M$6</f>
        <v>652347826.08695662</v>
      </c>
      <c r="I8" s="781">
        <f>'Paycheck schedule'!N$6</f>
        <v>803043478.26086962</v>
      </c>
      <c r="J8" s="781">
        <f>'Paycheck schedule'!O$6</f>
        <v>821571428.57142854</v>
      </c>
      <c r="K8" s="781">
        <f>'Paycheck schedule'!P$6</f>
        <v>909875000</v>
      </c>
      <c r="L8" s="781">
        <f>'Paycheck schedule'!Q$6</f>
        <v>958000000</v>
      </c>
      <c r="M8" s="781">
        <f>'Paycheck schedule'!R$6</f>
        <v>958000000</v>
      </c>
      <c r="N8" s="781">
        <f>'Paycheck schedule'!S$6</f>
        <v>958000000</v>
      </c>
      <c r="O8" s="781">
        <f>'Paycheck schedule'!T$6</f>
        <v>958000000</v>
      </c>
      <c r="P8" s="782">
        <f>'Paycheck schedule'!U$6</f>
        <v>968000000</v>
      </c>
      <c r="Q8" s="781"/>
      <c r="R8" s="781">
        <f>'Paycheck schedule'!W$6</f>
        <v>958000000</v>
      </c>
      <c r="S8" s="781">
        <f>'Paycheck schedule'!X$6</f>
        <v>988750000</v>
      </c>
      <c r="T8" s="781">
        <f>'Paycheck schedule'!Y$6</f>
        <v>1062000000</v>
      </c>
      <c r="U8" s="781">
        <f>'Paycheck schedule'!Z$6</f>
        <v>1062000000</v>
      </c>
      <c r="V8" s="781">
        <f>'Paycheck schedule'!AA$6</f>
        <v>1062000000</v>
      </c>
      <c r="W8" s="781">
        <f>'Paycheck schedule'!AB$6</f>
        <v>1062000000</v>
      </c>
      <c r="X8" s="781">
        <f>'Paycheck schedule'!AC$6</f>
        <v>1062000000</v>
      </c>
      <c r="Y8" s="781">
        <f>'Paycheck schedule'!AD$6</f>
        <v>1062000000</v>
      </c>
      <c r="Z8" s="781">
        <f>'Paycheck schedule'!AE$6</f>
        <v>1062000000</v>
      </c>
      <c r="AA8" s="781">
        <f>'Paycheck schedule'!AF$6</f>
        <v>1062000000</v>
      </c>
      <c r="AB8" s="781">
        <f>'Paycheck schedule'!AG$6</f>
        <v>1062000000</v>
      </c>
      <c r="AC8" s="782">
        <f>'Paycheck schedule'!AH$6</f>
        <v>1072000000</v>
      </c>
      <c r="AD8" s="781"/>
      <c r="AE8" s="781">
        <f>'Paycheck schedule'!AJ$6</f>
        <v>1062000000</v>
      </c>
      <c r="AF8" s="781">
        <f>'Paycheck schedule'!AK$6</f>
        <v>1062000000</v>
      </c>
      <c r="AG8" s="781">
        <f>'Paycheck schedule'!AL$6</f>
        <v>1062000000</v>
      </c>
      <c r="AH8" s="781">
        <f>'Paycheck schedule'!AM$6</f>
        <v>1062000000</v>
      </c>
      <c r="AI8" s="781">
        <f>'Paycheck schedule'!AN$6</f>
        <v>1062000000</v>
      </c>
      <c r="AJ8" s="781">
        <f>'Paycheck schedule'!AO$6</f>
        <v>1062000000</v>
      </c>
      <c r="AK8" s="781">
        <f>'Paycheck schedule'!AP$6</f>
        <v>1062000000</v>
      </c>
      <c r="AL8" s="781">
        <f>'Paycheck schedule'!AQ$6</f>
        <v>1062000000</v>
      </c>
      <c r="AM8" s="781">
        <f>'Paycheck schedule'!AR$6</f>
        <v>1062000000</v>
      </c>
      <c r="AN8" s="781">
        <f>'Paycheck schedule'!AS$6</f>
        <v>1062000000</v>
      </c>
      <c r="AO8" s="781">
        <f>'Paycheck schedule'!AT$6</f>
        <v>1062000000</v>
      </c>
      <c r="AP8" s="628">
        <f>'Paycheck schedule'!AU$6</f>
        <v>1062000000</v>
      </c>
      <c r="AQ8" s="783"/>
      <c r="AR8" s="784"/>
      <c r="AS8" s="784"/>
      <c r="AT8" s="784"/>
    </row>
    <row r="9" spans="1:46" ht="14.25" x14ac:dyDescent="0.2">
      <c r="A9" s="785" t="s">
        <v>234</v>
      </c>
      <c r="B9" s="259"/>
      <c r="C9" s="781"/>
      <c r="D9" s="781"/>
      <c r="E9" s="781">
        <v>240000000</v>
      </c>
      <c r="F9" s="781">
        <v>240000000</v>
      </c>
      <c r="G9" s="781">
        <v>240000000</v>
      </c>
      <c r="H9" s="781">
        <v>240000000</v>
      </c>
      <c r="I9" s="781">
        <v>240000000</v>
      </c>
      <c r="J9" s="781">
        <v>240000000</v>
      </c>
      <c r="K9" s="781">
        <v>240000000</v>
      </c>
      <c r="L9" s="781">
        <v>240000000</v>
      </c>
      <c r="M9" s="781">
        <v>240000000</v>
      </c>
      <c r="N9" s="781">
        <v>240000000</v>
      </c>
      <c r="O9" s="781">
        <v>240000000</v>
      </c>
      <c r="P9" s="782">
        <v>240000000</v>
      </c>
      <c r="Q9" s="781"/>
      <c r="R9" s="781">
        <v>240000000</v>
      </c>
      <c r="S9" s="781">
        <v>240000000</v>
      </c>
      <c r="T9" s="781">
        <v>240000000</v>
      </c>
      <c r="U9" s="781">
        <v>240000000</v>
      </c>
      <c r="V9" s="781">
        <v>240000000</v>
      </c>
      <c r="W9" s="781">
        <v>240000000</v>
      </c>
      <c r="X9" s="781">
        <v>240000000</v>
      </c>
      <c r="Y9" s="781">
        <v>240000000</v>
      </c>
      <c r="Z9" s="781">
        <v>240000000</v>
      </c>
      <c r="AA9" s="781">
        <v>240000000</v>
      </c>
      <c r="AB9" s="781">
        <v>240000000</v>
      </c>
      <c r="AC9" s="782">
        <v>240000000</v>
      </c>
      <c r="AD9" s="781"/>
      <c r="AE9" s="781">
        <v>240000000</v>
      </c>
      <c r="AF9" s="781">
        <v>240000000</v>
      </c>
      <c r="AG9" s="781">
        <v>240000000</v>
      </c>
      <c r="AH9" s="781">
        <v>240000000</v>
      </c>
      <c r="AI9" s="781">
        <v>240000000</v>
      </c>
      <c r="AJ9" s="781">
        <v>240000000</v>
      </c>
      <c r="AK9" s="781">
        <v>240000000</v>
      </c>
      <c r="AL9" s="781">
        <v>240000000</v>
      </c>
      <c r="AM9" s="781">
        <v>240000000</v>
      </c>
      <c r="AN9" s="781">
        <v>240000000</v>
      </c>
      <c r="AO9" s="781">
        <v>240000000</v>
      </c>
      <c r="AP9" s="628">
        <v>240000000</v>
      </c>
      <c r="AQ9" s="783"/>
      <c r="AR9" s="784"/>
      <c r="AS9" s="784"/>
      <c r="AT9" s="784"/>
    </row>
    <row r="10" spans="1:46" ht="14.25" x14ac:dyDescent="0.2">
      <c r="A10" s="785" t="s">
        <v>235</v>
      </c>
      <c r="B10" s="259"/>
      <c r="C10" s="781"/>
      <c r="D10" s="781"/>
      <c r="E10" s="781">
        <f ca="1">'Spending {supplement}'!F11</f>
        <v>0</v>
      </c>
      <c r="F10" s="781">
        <f ca="1">'Spending {supplement}'!G11</f>
        <v>220986301.36986303</v>
      </c>
      <c r="G10" s="781">
        <f ca="1">'Spending {supplement}'!H11</f>
        <v>265839138.9432486</v>
      </c>
      <c r="H10" s="781">
        <f ca="1">'Spending {supplement}'!I11</f>
        <v>262227005.87084147</v>
      </c>
      <c r="I10" s="781">
        <f ca="1">'Spending {supplement}'!J11</f>
        <v>270967906.06653619</v>
      </c>
      <c r="J10" s="781">
        <f ca="1">'Spending {supplement}'!K11</f>
        <v>585340508.80626237</v>
      </c>
      <c r="K10" s="781">
        <f ca="1">'Spending {supplement}'!L11</f>
        <v>623961448.14090014</v>
      </c>
      <c r="L10" s="781">
        <f ca="1">'Spending {supplement}'!M11</f>
        <v>623961448.14090037</v>
      </c>
      <c r="M10" s="781">
        <f ca="1">'Spending {supplement}'!N11</f>
        <v>603833659.49119365</v>
      </c>
      <c r="N10" s="781">
        <f ca="1">'Spending {supplement}'!O11</f>
        <v>623961448.14090014</v>
      </c>
      <c r="O10" s="781">
        <f ca="1">'Spending {supplement}'!P11</f>
        <v>603833659.49119413</v>
      </c>
      <c r="P10" s="782">
        <f ca="1">'Spending {supplement}'!Q11</f>
        <v>623961448.1408999</v>
      </c>
      <c r="Q10" s="781"/>
      <c r="R10" s="781">
        <f ca="1">'Spending {supplement}'!S11</f>
        <v>623961448.14090037</v>
      </c>
      <c r="S10" s="781">
        <f ca="1">'Spending {supplement}'!T11</f>
        <v>563578082.19178092</v>
      </c>
      <c r="T10" s="781">
        <f ca="1">'Spending {supplement}'!U11</f>
        <v>623961448.14090037</v>
      </c>
      <c r="U10" s="781">
        <f ca="1">'Spending {supplement}'!V11</f>
        <v>603833659.49119353</v>
      </c>
      <c r="V10" s="781">
        <f ca="1">'Spending {supplement}'!W11</f>
        <v>623961448.14090025</v>
      </c>
      <c r="W10" s="781">
        <f ca="1">'Spending {supplement}'!X11</f>
        <v>603833659.49119389</v>
      </c>
      <c r="X10" s="781">
        <f ca="1">'Spending {supplement}'!Y11</f>
        <v>623961448.1408999</v>
      </c>
      <c r="Y10" s="781">
        <f ca="1">'Spending {supplement}'!Z11</f>
        <v>623961448.14090037</v>
      </c>
      <c r="Z10" s="781">
        <f ca="1">'Spending {supplement}'!AA11</f>
        <v>603833659.49119365</v>
      </c>
      <c r="AA10" s="781">
        <f ca="1">'Spending {supplement}'!AB11</f>
        <v>623961448.14090037</v>
      </c>
      <c r="AB10" s="781">
        <f ca="1">'Spending {supplement}'!AC11</f>
        <v>603833659.49119353</v>
      </c>
      <c r="AC10" s="782">
        <f ca="1">'Spending {supplement}'!AD11</f>
        <v>623961448.14090049</v>
      </c>
      <c r="AD10" s="781"/>
      <c r="AE10" s="781">
        <f ca="1">'Spending {supplement}'!AF11</f>
        <v>623961448.14090037</v>
      </c>
      <c r="AF10" s="781">
        <f ca="1">'Spending {supplement}'!AG11</f>
        <v>563578082.19178128</v>
      </c>
      <c r="AG10" s="781">
        <f ca="1">'Spending {supplement}'!AH11</f>
        <v>623961448.14090037</v>
      </c>
      <c r="AH10" s="781">
        <f ca="1">'Spending {supplement}'!AI11</f>
        <v>603833659.49119353</v>
      </c>
      <c r="AI10" s="781">
        <f ca="1">'Spending {supplement}'!AJ11</f>
        <v>623961448.14090014</v>
      </c>
      <c r="AJ10" s="781">
        <f ca="1">'Spending {supplement}'!AK11</f>
        <v>603833659.49119401</v>
      </c>
      <c r="AK10" s="781">
        <f ca="1">'Spending {supplement}'!AL11</f>
        <v>623961448.14090037</v>
      </c>
      <c r="AL10" s="781">
        <f ca="1">'Spending {supplement}'!AM11</f>
        <v>623961448.14089966</v>
      </c>
      <c r="AM10" s="786">
        <f ca="1">'Spending {supplement}'!AN11</f>
        <v>603833659.49119437</v>
      </c>
      <c r="AN10" s="781">
        <f ca="1">'Spending {supplement}'!AO11</f>
        <v>623961448.14089942</v>
      </c>
      <c r="AO10" s="781">
        <f ca="1">'Spending {supplement}'!AP11</f>
        <v>603833659.49119473</v>
      </c>
      <c r="AP10" s="628">
        <f ca="1">'Spending {supplement}'!AQ11</f>
        <v>623961448.1408993</v>
      </c>
      <c r="AQ10" s="783"/>
      <c r="AR10" s="784"/>
      <c r="AS10" s="784"/>
      <c r="AT10" s="784"/>
    </row>
    <row r="11" spans="1:46" ht="14.25" x14ac:dyDescent="0.2">
      <c r="A11" s="785" t="s">
        <v>236</v>
      </c>
      <c r="B11" s="259"/>
      <c r="C11" s="781"/>
      <c r="D11" s="781"/>
      <c r="E11" s="781">
        <f>Parameter!$B$81*'Operations plan'!E77</f>
        <v>0</v>
      </c>
      <c r="F11" s="781">
        <f>Parameter!$B$81*'Operations plan'!F77</f>
        <v>0</v>
      </c>
      <c r="G11" s="781">
        <f>Parameter!$B$81*'Operations plan'!G77</f>
        <v>0</v>
      </c>
      <c r="H11" s="781">
        <f>Parameter!$B$81*'Operations plan'!H77</f>
        <v>0</v>
      </c>
      <c r="I11" s="781">
        <f>Parameter!$B$81*'Operations plan'!I77</f>
        <v>19180000</v>
      </c>
      <c r="J11" s="781">
        <f>Parameter!$B$81*'Operations plan'!J77</f>
        <v>84000000</v>
      </c>
      <c r="K11" s="781">
        <f>Parameter!$B$81*'Operations plan'!K77</f>
        <v>85330000</v>
      </c>
      <c r="L11" s="781">
        <f>Parameter!$B$81*'Operations plan'!L77</f>
        <v>94500000</v>
      </c>
      <c r="M11" s="781">
        <f>Parameter!$B$81*'Operations plan'!M77</f>
        <v>95060000</v>
      </c>
      <c r="N11" s="781">
        <f>Parameter!$B$81*'Operations plan'!N77</f>
        <v>99050000</v>
      </c>
      <c r="O11" s="781">
        <f>Parameter!$B$81*'Operations plan'!O77</f>
        <v>99050000</v>
      </c>
      <c r="P11" s="782">
        <f>Parameter!$B$81*'Operations plan'!P77</f>
        <v>97230000</v>
      </c>
      <c r="Q11" s="781"/>
      <c r="R11" s="781">
        <f>Parameter!$B$81*'Operations plan'!R77</f>
        <v>84280000</v>
      </c>
      <c r="S11" s="781">
        <f>Parameter!$B$81*'Operations plan'!S77</f>
        <v>84280000</v>
      </c>
      <c r="T11" s="781">
        <f>Parameter!$B$81*'Operations plan'!T77</f>
        <v>86590000</v>
      </c>
      <c r="U11" s="781">
        <f>Parameter!$B$81*'Operations plan'!U77</f>
        <v>103320000</v>
      </c>
      <c r="V11" s="781">
        <f>Parameter!$B$81*'Operations plan'!V77</f>
        <v>103320000</v>
      </c>
      <c r="W11" s="781">
        <f>Parameter!$B$81*'Operations plan'!W77</f>
        <v>103810000</v>
      </c>
      <c r="X11" s="781">
        <f>Parameter!$B$81*'Operations plan'!X77</f>
        <v>107240000</v>
      </c>
      <c r="Y11" s="781">
        <f>Parameter!$B$81*'Operations plan'!Y77</f>
        <v>107240000</v>
      </c>
      <c r="Z11" s="781">
        <f>Parameter!$B$81*'Operations plan'!Z77</f>
        <v>107730000</v>
      </c>
      <c r="AA11" s="781">
        <f>Parameter!$B$81*'Operations plan'!AA77</f>
        <v>114380000</v>
      </c>
      <c r="AB11" s="781">
        <f>Parameter!$B$81*'Operations plan'!AB77</f>
        <v>138040000</v>
      </c>
      <c r="AC11" s="782">
        <f>Parameter!$B$81*'Operations plan'!AC77</f>
        <v>131460000</v>
      </c>
      <c r="AD11" s="781"/>
      <c r="AE11" s="781">
        <f>Parameter!$B$81*'Operations plan'!AE77</f>
        <v>115570000</v>
      </c>
      <c r="AF11" s="781">
        <f>Parameter!$B$81*'Operations plan'!AF77</f>
        <v>114870000</v>
      </c>
      <c r="AG11" s="781">
        <f>Parameter!$B$81*'Operations plan'!AG77</f>
        <v>117530000</v>
      </c>
      <c r="AH11" s="781">
        <f>Parameter!$B$81*'Operations plan'!AH77</f>
        <v>137340000</v>
      </c>
      <c r="AI11" s="781">
        <f>Parameter!$B$81*'Operations plan'!AI77</f>
        <v>137340000</v>
      </c>
      <c r="AJ11" s="781">
        <f>Parameter!$B$81*'Operations plan'!AJ77</f>
        <v>137970000</v>
      </c>
      <c r="AK11" s="781">
        <f>Parameter!$B$81*'Operations plan'!AK77</f>
        <v>142940000</v>
      </c>
      <c r="AL11" s="781">
        <f>Parameter!$B$81*'Operations plan'!AL77</f>
        <v>143220000</v>
      </c>
      <c r="AM11" s="781">
        <f>Parameter!$B$81*'Operations plan'!AM77</f>
        <v>145740000</v>
      </c>
      <c r="AN11" s="781">
        <f>Parameter!$B$81*'Operations plan'!AN77</f>
        <v>150850000</v>
      </c>
      <c r="AO11" s="781">
        <f>Parameter!$B$81*'Operations plan'!AO77</f>
        <v>151340000</v>
      </c>
      <c r="AP11" s="628">
        <f>Parameter!$B$81*'Operations plan'!AP77</f>
        <v>133420000</v>
      </c>
      <c r="AQ11" s="783"/>
      <c r="AR11" s="784"/>
      <c r="AS11" s="784"/>
      <c r="AT11" s="784"/>
    </row>
    <row r="12" spans="1:46" ht="14.25" x14ac:dyDescent="0.2">
      <c r="A12" s="787" t="s">
        <v>237</v>
      </c>
      <c r="B12" s="788"/>
      <c r="C12" s="789"/>
      <c r="D12" s="789"/>
      <c r="E12" s="789">
        <f t="shared" ref="E12:P12" ca="1" si="0">SUM(E6:E11)</f>
        <v>240000000</v>
      </c>
      <c r="F12" s="789">
        <f t="shared" ca="1" si="0"/>
        <v>465748206.13176781</v>
      </c>
      <c r="G12" s="789">
        <f t="shared" ca="1" si="0"/>
        <v>857657320.76143038</v>
      </c>
      <c r="H12" s="789">
        <f t="shared" ca="1" si="0"/>
        <v>1154574831.957798</v>
      </c>
      <c r="I12" s="789">
        <f t="shared" ca="1" si="0"/>
        <v>1333191384.3274059</v>
      </c>
      <c r="J12" s="789">
        <f t="shared" ca="1" si="0"/>
        <v>5750911937.3776903</v>
      </c>
      <c r="K12" s="789">
        <f t="shared" ca="1" si="0"/>
        <v>5879166448.1408997</v>
      </c>
      <c r="L12" s="789">
        <f t="shared" ca="1" si="0"/>
        <v>6438961448.1409006</v>
      </c>
      <c r="M12" s="789">
        <f t="shared" ca="1" si="0"/>
        <v>6419393659.4911938</v>
      </c>
      <c r="N12" s="789">
        <f t="shared" ca="1" si="0"/>
        <v>6661261448.1408997</v>
      </c>
      <c r="O12" s="789">
        <f t="shared" ca="1" si="0"/>
        <v>6641133659.4911938</v>
      </c>
      <c r="P12" s="790">
        <f t="shared" ca="1" si="0"/>
        <v>6669441448.1408997</v>
      </c>
      <c r="Q12" s="789"/>
      <c r="R12" s="789">
        <f t="shared" ref="R12:AC12" ca="1" si="1">SUM(R6:R11)</f>
        <v>5939641448.1409006</v>
      </c>
      <c r="S12" s="789">
        <f t="shared" ca="1" si="1"/>
        <v>5910008082.191781</v>
      </c>
      <c r="T12" s="789">
        <f t="shared" ca="1" si="1"/>
        <v>6045951448.1409006</v>
      </c>
      <c r="U12" s="789">
        <f t="shared" ca="1" si="1"/>
        <v>6953753659.4911938</v>
      </c>
      <c r="V12" s="789">
        <f t="shared" ca="1" si="1"/>
        <v>6973881448.1409006</v>
      </c>
      <c r="W12" s="789">
        <f t="shared" ca="1" si="1"/>
        <v>6954243659.4911938</v>
      </c>
      <c r="X12" s="789">
        <f t="shared" ca="1" si="1"/>
        <v>7165401448.1408997</v>
      </c>
      <c r="Y12" s="789">
        <f t="shared" ca="1" si="1"/>
        <v>7165401448.1409006</v>
      </c>
      <c r="Z12" s="789">
        <f t="shared" ca="1" si="1"/>
        <v>7145763659.4911938</v>
      </c>
      <c r="AA12" s="789">
        <f t="shared" ca="1" si="1"/>
        <v>7390291448.1409006</v>
      </c>
      <c r="AB12" s="789">
        <f t="shared" ca="1" si="1"/>
        <v>10650573659.491194</v>
      </c>
      <c r="AC12" s="790">
        <f t="shared" ca="1" si="1"/>
        <v>10690871448.1409</v>
      </c>
      <c r="AD12" s="789"/>
      <c r="AE12" s="789">
        <f t="shared" ref="AE12:AP12" ca="1" si="2">SUM(AE6:AE11)</f>
        <v>9509381448.1408997</v>
      </c>
      <c r="AF12" s="789">
        <f t="shared" ca="1" si="2"/>
        <v>9340298082.191782</v>
      </c>
      <c r="AG12" s="789">
        <f t="shared" ca="1" si="2"/>
        <v>9403341448.1408997</v>
      </c>
      <c r="AH12" s="789">
        <f t="shared" ca="1" si="2"/>
        <v>11707623659.491194</v>
      </c>
      <c r="AI12" s="789">
        <f t="shared" ca="1" si="2"/>
        <v>11727751448.1409</v>
      </c>
      <c r="AJ12" s="789">
        <f t="shared" ca="1" si="2"/>
        <v>11708253659.491194</v>
      </c>
      <c r="AK12" s="789">
        <f t="shared" ca="1" si="2"/>
        <v>12217401448.1409</v>
      </c>
      <c r="AL12" s="789">
        <f t="shared" ca="1" si="2"/>
        <v>12217681448.1409</v>
      </c>
      <c r="AM12" s="789">
        <f t="shared" ca="1" si="2"/>
        <v>12524073659.491194</v>
      </c>
      <c r="AN12" s="789">
        <f t="shared" ca="1" si="2"/>
        <v>12843011448.1409</v>
      </c>
      <c r="AO12" s="789">
        <f t="shared" ca="1" si="2"/>
        <v>12872523659.491196</v>
      </c>
      <c r="AP12" s="791">
        <f t="shared" ca="1" si="2"/>
        <v>12923881448.1409</v>
      </c>
      <c r="AQ12" s="792"/>
      <c r="AR12" s="793"/>
      <c r="AS12" s="793"/>
      <c r="AT12" s="793"/>
    </row>
    <row r="13" spans="1:46" ht="12.75" x14ac:dyDescent="0.2">
      <c r="A13" s="794"/>
      <c r="B13" s="259"/>
      <c r="C13" s="781"/>
      <c r="D13" s="781"/>
      <c r="E13" s="781"/>
      <c r="F13" s="781"/>
      <c r="G13" s="781"/>
      <c r="H13" s="781"/>
      <c r="I13" s="781"/>
      <c r="J13" s="781"/>
      <c r="K13" s="781"/>
      <c r="L13" s="781"/>
      <c r="M13" s="781"/>
      <c r="N13" s="781"/>
      <c r="O13" s="781"/>
      <c r="P13" s="782"/>
      <c r="Q13" s="781"/>
      <c r="R13" s="781"/>
      <c r="S13" s="781"/>
      <c r="T13" s="781"/>
      <c r="U13" s="781"/>
      <c r="V13" s="781"/>
      <c r="W13" s="781"/>
      <c r="X13" s="781"/>
      <c r="Y13" s="781"/>
      <c r="Z13" s="781"/>
      <c r="AA13" s="781"/>
      <c r="AB13" s="781"/>
      <c r="AC13" s="782"/>
      <c r="AD13" s="781"/>
      <c r="AE13" s="781"/>
      <c r="AF13" s="781"/>
      <c r="AG13" s="781"/>
      <c r="AH13" s="781"/>
      <c r="AI13" s="781"/>
      <c r="AJ13" s="781"/>
      <c r="AK13" s="781"/>
      <c r="AL13" s="781"/>
      <c r="AM13" s="781"/>
      <c r="AN13" s="781"/>
      <c r="AO13" s="781"/>
      <c r="AP13" s="628"/>
      <c r="AQ13" s="783"/>
      <c r="AR13" s="784"/>
      <c r="AS13" s="784"/>
      <c r="AT13" s="784"/>
    </row>
    <row r="14" spans="1:46" ht="14.25" x14ac:dyDescent="0.2">
      <c r="A14" s="780" t="s">
        <v>238</v>
      </c>
      <c r="B14" s="259"/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  <c r="N14" s="781"/>
      <c r="O14" s="781"/>
      <c r="P14" s="782"/>
      <c r="Q14" s="781"/>
      <c r="R14" s="781"/>
      <c r="S14" s="781"/>
      <c r="T14" s="781"/>
      <c r="U14" s="781"/>
      <c r="V14" s="781"/>
      <c r="W14" s="781"/>
      <c r="X14" s="781"/>
      <c r="Y14" s="781"/>
      <c r="Z14" s="781"/>
      <c r="AA14" s="781"/>
      <c r="AB14" s="781"/>
      <c r="AC14" s="782"/>
      <c r="AD14" s="781"/>
      <c r="AE14" s="781"/>
      <c r="AF14" s="781"/>
      <c r="AG14" s="781"/>
      <c r="AH14" s="781"/>
      <c r="AI14" s="781"/>
      <c r="AJ14" s="781"/>
      <c r="AK14" s="781"/>
      <c r="AL14" s="781"/>
      <c r="AM14" s="781"/>
      <c r="AN14" s="781"/>
      <c r="AO14" s="781"/>
      <c r="AP14" s="628"/>
      <c r="AQ14" s="783"/>
      <c r="AR14" s="784"/>
      <c r="AS14" s="784"/>
      <c r="AT14" s="784"/>
    </row>
    <row r="15" spans="1:46" ht="14.25" hidden="1" x14ac:dyDescent="0.2">
      <c r="A15" s="785" t="s">
        <v>239</v>
      </c>
      <c r="B15" s="259"/>
      <c r="C15" s="781"/>
      <c r="D15" s="781"/>
      <c r="E15" s="781"/>
      <c r="F15" s="781"/>
      <c r="G15" s="781"/>
      <c r="H15" s="781"/>
      <c r="I15" s="781"/>
      <c r="J15" s="781"/>
      <c r="K15" s="781"/>
      <c r="L15" s="781"/>
      <c r="M15" s="781"/>
      <c r="N15" s="781"/>
      <c r="O15" s="781"/>
      <c r="P15" s="782"/>
      <c r="Q15" s="781"/>
      <c r="R15" s="781"/>
      <c r="S15" s="781"/>
      <c r="T15" s="781"/>
      <c r="U15" s="781"/>
      <c r="V15" s="781"/>
      <c r="W15" s="781"/>
      <c r="X15" s="781"/>
      <c r="Y15" s="781"/>
      <c r="Z15" s="781"/>
      <c r="AA15" s="781"/>
      <c r="AB15" s="781"/>
      <c r="AC15" s="782"/>
      <c r="AD15" s="781"/>
      <c r="AE15" s="781"/>
      <c r="AF15" s="781"/>
      <c r="AG15" s="781"/>
      <c r="AH15" s="781"/>
      <c r="AI15" s="781"/>
      <c r="AJ15" s="781"/>
      <c r="AK15" s="781"/>
      <c r="AL15" s="781"/>
      <c r="AM15" s="781"/>
      <c r="AN15" s="781"/>
      <c r="AO15" s="781"/>
      <c r="AP15" s="628"/>
      <c r="AQ15" s="783"/>
      <c r="AR15" s="784"/>
      <c r="AS15" s="784"/>
      <c r="AT15" s="784"/>
    </row>
    <row r="16" spans="1:46" ht="14.25" hidden="1" x14ac:dyDescent="0.2">
      <c r="A16" s="785" t="s">
        <v>240</v>
      </c>
      <c r="B16" s="259"/>
      <c r="C16" s="781"/>
      <c r="D16" s="781"/>
      <c r="E16" s="781"/>
      <c r="F16" s="781"/>
      <c r="G16" s="781"/>
      <c r="H16" s="781"/>
      <c r="I16" s="781"/>
      <c r="J16" s="781"/>
      <c r="K16" s="781"/>
      <c r="L16" s="781"/>
      <c r="M16" s="781"/>
      <c r="N16" s="781"/>
      <c r="O16" s="781"/>
      <c r="P16" s="782"/>
      <c r="Q16" s="781"/>
      <c r="R16" s="781"/>
      <c r="S16" s="781"/>
      <c r="T16" s="781"/>
      <c r="U16" s="781"/>
      <c r="V16" s="781"/>
      <c r="W16" s="781"/>
      <c r="X16" s="781"/>
      <c r="Y16" s="781"/>
      <c r="Z16" s="781"/>
      <c r="AA16" s="781"/>
      <c r="AB16" s="781"/>
      <c r="AC16" s="782"/>
      <c r="AD16" s="781"/>
      <c r="AE16" s="781"/>
      <c r="AF16" s="781"/>
      <c r="AG16" s="781"/>
      <c r="AH16" s="781"/>
      <c r="AI16" s="781"/>
      <c r="AJ16" s="781"/>
      <c r="AK16" s="781"/>
      <c r="AL16" s="781"/>
      <c r="AM16" s="781"/>
      <c r="AN16" s="781"/>
      <c r="AO16" s="781"/>
      <c r="AP16" s="628"/>
      <c r="AQ16" s="783"/>
      <c r="AR16" s="784"/>
      <c r="AS16" s="784"/>
      <c r="AT16" s="784"/>
    </row>
    <row r="17" spans="1:46" ht="14.25" hidden="1" x14ac:dyDescent="0.2">
      <c r="A17" s="785" t="s">
        <v>241</v>
      </c>
      <c r="B17" s="259"/>
      <c r="C17" s="781"/>
      <c r="D17" s="781"/>
      <c r="E17" s="781"/>
      <c r="F17" s="781"/>
      <c r="G17" s="781"/>
      <c r="H17" s="781"/>
      <c r="I17" s="781"/>
      <c r="J17" s="781"/>
      <c r="K17" s="781"/>
      <c r="L17" s="781"/>
      <c r="M17" s="781"/>
      <c r="N17" s="781"/>
      <c r="O17" s="781"/>
      <c r="P17" s="782"/>
      <c r="Q17" s="781"/>
      <c r="R17" s="781"/>
      <c r="S17" s="781"/>
      <c r="T17" s="781"/>
      <c r="U17" s="781"/>
      <c r="V17" s="781"/>
      <c r="W17" s="781"/>
      <c r="X17" s="781"/>
      <c r="Y17" s="781"/>
      <c r="Z17" s="781"/>
      <c r="AA17" s="781"/>
      <c r="AB17" s="781"/>
      <c r="AC17" s="782"/>
      <c r="AD17" s="781"/>
      <c r="AE17" s="781"/>
      <c r="AF17" s="781"/>
      <c r="AG17" s="781"/>
      <c r="AH17" s="781"/>
      <c r="AI17" s="781"/>
      <c r="AJ17" s="781"/>
      <c r="AK17" s="781"/>
      <c r="AL17" s="781"/>
      <c r="AM17" s="781"/>
      <c r="AN17" s="781"/>
      <c r="AO17" s="781"/>
      <c r="AP17" s="628"/>
      <c r="AQ17" s="783"/>
      <c r="AR17" s="784"/>
      <c r="AS17" s="784"/>
      <c r="AT17" s="784"/>
    </row>
    <row r="18" spans="1:46" ht="14.25" hidden="1" x14ac:dyDescent="0.2">
      <c r="A18" s="785" t="s">
        <v>242</v>
      </c>
      <c r="B18" s="259"/>
      <c r="C18" s="781"/>
      <c r="D18" s="781"/>
      <c r="E18" s="781"/>
      <c r="F18" s="781"/>
      <c r="G18" s="781"/>
      <c r="H18" s="781"/>
      <c r="I18" s="781"/>
      <c r="J18" s="781"/>
      <c r="K18" s="781"/>
      <c r="L18" s="781"/>
      <c r="M18" s="781"/>
      <c r="N18" s="781"/>
      <c r="O18" s="781"/>
      <c r="P18" s="782"/>
      <c r="Q18" s="781"/>
      <c r="R18" s="781"/>
      <c r="S18" s="781"/>
      <c r="T18" s="781"/>
      <c r="U18" s="781"/>
      <c r="V18" s="781"/>
      <c r="W18" s="781"/>
      <c r="X18" s="781"/>
      <c r="Y18" s="781"/>
      <c r="Z18" s="781"/>
      <c r="AA18" s="781"/>
      <c r="AB18" s="781"/>
      <c r="AC18" s="782"/>
      <c r="AD18" s="781"/>
      <c r="AE18" s="781"/>
      <c r="AF18" s="781"/>
      <c r="AG18" s="781"/>
      <c r="AH18" s="781"/>
      <c r="AI18" s="781"/>
      <c r="AJ18" s="781"/>
      <c r="AK18" s="781"/>
      <c r="AL18" s="781"/>
      <c r="AM18" s="781"/>
      <c r="AN18" s="781"/>
      <c r="AO18" s="781"/>
      <c r="AP18" s="628"/>
      <c r="AQ18" s="783"/>
      <c r="AR18" s="784"/>
      <c r="AS18" s="784"/>
      <c r="AT18" s="784"/>
    </row>
    <row r="19" spans="1:46" ht="14.25" hidden="1" x14ac:dyDescent="0.2">
      <c r="A19" s="785" t="s">
        <v>243</v>
      </c>
      <c r="B19" s="259"/>
      <c r="C19" s="781"/>
      <c r="D19" s="781"/>
      <c r="E19" s="781"/>
      <c r="F19" s="781"/>
      <c r="G19" s="781"/>
      <c r="H19" s="781"/>
      <c r="I19" s="781"/>
      <c r="J19" s="781"/>
      <c r="K19" s="781"/>
      <c r="L19" s="781"/>
      <c r="M19" s="781"/>
      <c r="N19" s="781"/>
      <c r="O19" s="781"/>
      <c r="P19" s="782"/>
      <c r="Q19" s="781"/>
      <c r="R19" s="781"/>
      <c r="S19" s="781"/>
      <c r="T19" s="781"/>
      <c r="U19" s="781"/>
      <c r="V19" s="781"/>
      <c r="W19" s="781"/>
      <c r="X19" s="781"/>
      <c r="Y19" s="781"/>
      <c r="Z19" s="781"/>
      <c r="AA19" s="781"/>
      <c r="AB19" s="781"/>
      <c r="AC19" s="782"/>
      <c r="AD19" s="781"/>
      <c r="AE19" s="781"/>
      <c r="AF19" s="781"/>
      <c r="AG19" s="781"/>
      <c r="AH19" s="781"/>
      <c r="AI19" s="781"/>
      <c r="AJ19" s="781"/>
      <c r="AK19" s="781"/>
      <c r="AL19" s="781"/>
      <c r="AM19" s="781"/>
      <c r="AN19" s="781"/>
      <c r="AO19" s="781"/>
      <c r="AP19" s="628"/>
      <c r="AQ19" s="783"/>
      <c r="AR19" s="784"/>
      <c r="AS19" s="784"/>
      <c r="AT19" s="784"/>
    </row>
    <row r="20" spans="1:46" ht="14.25" x14ac:dyDescent="0.2">
      <c r="A20" s="785" t="s">
        <v>98</v>
      </c>
      <c r="B20" s="259"/>
      <c r="C20" s="781"/>
      <c r="D20" s="781"/>
      <c r="E20" s="781">
        <f ca="1">IFERROR(__xludf.DUMMYFUNCTION("Parameter!$B$89*Parameter!$B$90*(COUNTIF('Paycheck schedule'!J7:J83, ""&gt;""&amp;0)-COUNT(FILTER('Paycheck schedule'!$A7:$A83, 'Paycheck schedule'!$A7:$A83 &lt;= 'Paycheck schedule'!J4, NETWORKDAYS('Paycheck schedule'!$A7:$A83,'Paycheck schedule'!J4) &lt; 15)))"),0)</f>
        <v>0</v>
      </c>
      <c r="F20" s="781">
        <f ca="1">IFERROR(__xludf.DUMMYFUNCTION("Parameter!$B$89*Parameter!$B$90*(COUNTIF('Paycheck schedule'!K7:K83, ""&gt;""&amp;0)-COUNT(FILTER('Paycheck schedule'!$A7:$A83, 'Paycheck schedule'!$A7:$A83 &lt;= 'Paycheck schedule'!K4, NETWORKDAYS('Paycheck schedule'!$A7:$A83,'Paycheck schedule'!K4) &lt; 15)))"),0)</f>
        <v>0</v>
      </c>
      <c r="G20" s="781">
        <f ca="1">IFERROR(__xludf.DUMMYFUNCTION("Parameter!$B$89*Parameter!$B$90*(COUNTIF('Paycheck schedule'!L7:L83, ""&gt;""&amp;0)-COUNT(FILTER('Paycheck schedule'!$A7:$A83, 'Paycheck schedule'!$A7:$A83 &lt;= 'Paycheck schedule'!L4, NETWORKDAYS('Paycheck schedule'!$A7:$A83,'Paycheck schedule'!L4) &lt; 15)))"),6656000)</f>
        <v>6656000</v>
      </c>
      <c r="H20" s="781">
        <f ca="1">IFERROR(__xludf.DUMMYFUNCTION("Parameter!$B$89*Parameter!$B$90*(COUNTIF('Paycheck schedule'!M7:M83, ""&gt;""&amp;0)-COUNT(FILTER('Paycheck schedule'!$A7:$A83, 'Paycheck schedule'!$A7:$A83 &lt;= 'Paycheck schedule'!M4, NETWORKDAYS('Paycheck schedule'!$A7:$A83,'Paycheck schedule'!M4) &lt; 15)))"),19968000)</f>
        <v>19968000</v>
      </c>
      <c r="I20" s="781">
        <f ca="1">IFERROR(__xludf.DUMMYFUNCTION("Parameter!$B$89*Parameter!$B$90*(COUNTIF('Paycheck schedule'!N7:N83, ""&gt;""&amp;0)-COUNT(FILTER('Paycheck schedule'!$A7:$A83, 'Paycheck schedule'!$A7:$A83 &lt;= 'Paycheck schedule'!N4, NETWORKDAYS('Paycheck schedule'!$A7:$A83,'Paycheck schedule'!N4) &lt; 15)))"),31616000)</f>
        <v>31616000</v>
      </c>
      <c r="J20" s="781">
        <f ca="1">IFERROR(__xludf.DUMMYFUNCTION("Parameter!$B$89*Parameter!$B$90*(COUNTIF('Paycheck schedule'!O7:O83, ""&gt;""&amp;0)-COUNT(FILTER('Paycheck schedule'!$A7:$A83, 'Paycheck schedule'!$A7:$A83 &lt;= 'Paycheck schedule'!O4, NETWORKDAYS('Paycheck schedule'!$A7:$A83,'Paycheck schedule'!O4) &lt; 15)))"),33280000)</f>
        <v>33280000</v>
      </c>
      <c r="K20" s="781">
        <f ca="1">IFERROR(__xludf.DUMMYFUNCTION("Parameter!$B$89*Parameter!$B$90*(COUNTIF('Paycheck schedule'!P7:P83, ""&gt;""&amp;0)-COUNT(FILTER('Paycheck schedule'!$A7:$A83, 'Paycheck schedule'!$A7:$A83 &lt;= 'Paycheck schedule'!P4, NETWORKDAYS('Paycheck schedule'!$A7:$A83,'Paycheck schedule'!P4) &lt; 15)))"),34944000)</f>
        <v>34944000</v>
      </c>
      <c r="L20" s="781">
        <f ca="1">IFERROR(__xludf.DUMMYFUNCTION("Parameter!$B$89*Parameter!$B$90*(COUNTIF('Paycheck schedule'!Q7:Q83, ""&gt;""&amp;0)-COUNT(FILTER('Paycheck schedule'!$A7:$A83, 'Paycheck schedule'!$A7:$A83 &lt;= 'Paycheck schedule'!Q4, NETWORKDAYS('Paycheck schedule'!$A7:$A83,'Paycheck schedule'!Q4) &lt; 15)))"),38272000)</f>
        <v>38272000</v>
      </c>
      <c r="M20" s="781">
        <f ca="1">IFERROR(__xludf.DUMMYFUNCTION("Parameter!$B$89*Parameter!$B$90*(COUNTIF('Paycheck schedule'!R7:R83, ""&gt;""&amp;0)-COUNT(FILTER('Paycheck schedule'!$A7:$A83, 'Paycheck schedule'!$A7:$A83 &lt;= 'Paycheck schedule'!R4, NETWORKDAYS('Paycheck schedule'!$A7:$A83,'Paycheck schedule'!R4) &lt; 15)))"),38272000)</f>
        <v>38272000</v>
      </c>
      <c r="N20" s="781">
        <f ca="1">IFERROR(__xludf.DUMMYFUNCTION("Parameter!$B$89*Parameter!$B$90*(COUNTIF('Paycheck schedule'!S7:S83, ""&gt;""&amp;0)-COUNT(FILTER('Paycheck schedule'!$A7:$A83, 'Paycheck schedule'!$A7:$A83 &lt;= 'Paycheck schedule'!S4, NETWORKDAYS('Paycheck schedule'!$A7:$A83,'Paycheck schedule'!S4) &lt; 15)))"),38272000)</f>
        <v>38272000</v>
      </c>
      <c r="O20" s="781">
        <f ca="1">IFERROR(__xludf.DUMMYFUNCTION("Parameter!$B$89*Parameter!$B$90*(COUNTIF('Paycheck schedule'!T7:T83, ""&gt;""&amp;0)-COUNT(FILTER('Paycheck schedule'!$A7:$A83, 'Paycheck schedule'!$A7:$A83 &lt;= 'Paycheck schedule'!T4, NETWORKDAYS('Paycheck schedule'!$A7:$A83,'Paycheck schedule'!T4) &lt; 15)))"),38272000)</f>
        <v>38272000</v>
      </c>
      <c r="P20" s="782">
        <f ca="1">IFERROR(__xludf.DUMMYFUNCTION("Parameter!$B$89*Parameter!$B$90*(COUNTIF('Paycheck schedule'!U7:U83, ""&gt;""&amp;0)-COUNT(FILTER('Paycheck schedule'!$A7:$A83, 'Paycheck schedule'!$A7:$A83 &lt;= 'Paycheck schedule'!U4, NETWORKDAYS('Paycheck schedule'!$A7:$A83,'Paycheck schedule'!U4) &lt; 15)))"),38272000)</f>
        <v>38272000</v>
      </c>
      <c r="Q20" s="781"/>
      <c r="R20" s="781">
        <f ca="1">IFERROR(__xludf.DUMMYFUNCTION("Parameter!$B$89*Parameter!$B$90*(COUNTIF('Paycheck schedule'!W7:W83, ""&gt;""&amp;0)-COUNT(FILTER('Paycheck schedule'!$A7:$A83, 'Paycheck schedule'!$A7:$A83 &lt;= 'Paycheck schedule'!W4, NETWORKDAYS('Paycheck schedule'!$A7:$A83,'Paycheck schedule'!W4) &lt; 15)))"),38272000)</f>
        <v>38272000</v>
      </c>
      <c r="S20" s="781">
        <f ca="1">IFERROR(__xludf.DUMMYFUNCTION("Parameter!$B$89*Parameter!$B$90*(COUNTIF('Paycheck schedule'!X7:X83, ""&gt;""&amp;0)-COUNT(FILTER('Paycheck schedule'!$A7:$A83, 'Paycheck schedule'!$A7:$A83 &lt;= 'Paycheck schedule'!X4, NETWORKDAYS('Paycheck schedule'!$A7:$A83,'Paycheck schedule'!X4) &lt; 15)))"),38272000)</f>
        <v>38272000</v>
      </c>
      <c r="T20" s="781">
        <f ca="1">IFERROR(__xludf.DUMMYFUNCTION("Parameter!$B$89*Parameter!$B$90*(COUNTIF('Paycheck schedule'!Y7:Y83, ""&gt;""&amp;0)-COUNT(FILTER('Paycheck schedule'!$A7:$A83, 'Paycheck schedule'!$A7:$A83 &lt;= 'Paycheck schedule'!Y4, NETWORKDAYS('Paycheck schedule'!$A7:$A83,'Paycheck schedule'!Y4) &lt; 15)))"),46592000)</f>
        <v>46592000</v>
      </c>
      <c r="U20" s="781">
        <f ca="1">IFERROR(__xludf.DUMMYFUNCTION("Parameter!$B$89*Parameter!$B$90*(COUNTIF('Paycheck schedule'!Z7:Z83, ""&gt;""&amp;0)-COUNT(FILTER('Paycheck schedule'!$A7:$A83, 'Paycheck schedule'!$A7:$A83 &lt;= 'Paycheck schedule'!Z4, NETWORKDAYS('Paycheck schedule'!$A7:$A83,'Paycheck schedule'!Z4) &lt; 15)))"),46592000)</f>
        <v>46592000</v>
      </c>
      <c r="V20" s="781">
        <f ca="1">IFERROR(__xludf.DUMMYFUNCTION("Parameter!$B$89*Parameter!$B$90*(COUNTIF('Paycheck schedule'!AA7:AA83, ""&gt;""&amp;0)-COUNT(FILTER('Paycheck schedule'!$A7:$A83, 'Paycheck schedule'!$A7:$A83 &lt;= 'Paycheck schedule'!AA4, NETWORKDAYS('Paycheck schedule'!$A7:$A83,'Paycheck schedule'!AA4) &lt; 15)))"),46592000)</f>
        <v>46592000</v>
      </c>
      <c r="W20" s="781">
        <f ca="1">IFERROR(__xludf.DUMMYFUNCTION("Parameter!$B$89*Parameter!$B$90*(COUNTIF('Paycheck schedule'!AB7:AB83, ""&gt;""&amp;0)-COUNT(FILTER('Paycheck schedule'!$A7:$A83, 'Paycheck schedule'!$A7:$A83 &lt;= 'Paycheck schedule'!AB4, NETWORKDAYS('Paycheck schedule'!$A7:$A83,'Paycheck schedule'!AB4) &lt; 15)))"),46592000)</f>
        <v>46592000</v>
      </c>
      <c r="X20" s="781">
        <f ca="1">IFERROR(__xludf.DUMMYFUNCTION("Parameter!$B$89*Parameter!$B$90*(COUNTIF('Paycheck schedule'!AC7:AC83, ""&gt;""&amp;0)-COUNT(FILTER('Paycheck schedule'!$A7:$A83, 'Paycheck schedule'!$A7:$A83 &lt;= 'Paycheck schedule'!AC4, NETWORKDAYS('Paycheck schedule'!$A7:$A83,'Paycheck schedule'!AC4) &lt; 15)))"),46592000)</f>
        <v>46592000</v>
      </c>
      <c r="Y20" s="781">
        <f ca="1">IFERROR(__xludf.DUMMYFUNCTION("Parameter!$B$89*Parameter!$B$90*(COUNTIF('Paycheck schedule'!AD7:AD83, ""&gt;""&amp;0)-COUNT(FILTER('Paycheck schedule'!$A7:$A83, 'Paycheck schedule'!$A7:$A83 &lt;= 'Paycheck schedule'!AD4, NETWORKDAYS('Paycheck schedule'!$A7:$A83,'Paycheck schedule'!AD4) &lt; 15)))"),46592000)</f>
        <v>46592000</v>
      </c>
      <c r="Z20" s="781">
        <f ca="1">IFERROR(__xludf.DUMMYFUNCTION("Parameter!$B$89*Parameter!$B$90*(COUNTIF('Paycheck schedule'!AE7:AE83, ""&gt;""&amp;0)-COUNT(FILTER('Paycheck schedule'!$A7:$A83, 'Paycheck schedule'!$A7:$A83 &lt;= 'Paycheck schedule'!AE4, NETWORKDAYS('Paycheck schedule'!$A7:$A83,'Paycheck schedule'!AE4) &lt; 15)))"),46592000)</f>
        <v>46592000</v>
      </c>
      <c r="AA20" s="781">
        <f ca="1">IFERROR(__xludf.DUMMYFUNCTION("Parameter!$B$89*Parameter!$B$90*(COUNTIF('Paycheck schedule'!AF7:AF83, ""&gt;""&amp;0)-COUNT(FILTER('Paycheck schedule'!$A7:$A83, 'Paycheck schedule'!$A7:$A83 &lt;= 'Paycheck schedule'!AF4, NETWORKDAYS('Paycheck schedule'!$A7:$A83,'Paycheck schedule'!AF4) &lt; 15)))"),46592000)</f>
        <v>46592000</v>
      </c>
      <c r="AB20" s="781">
        <f ca="1">IFERROR(__xludf.DUMMYFUNCTION("Parameter!$B$89*Parameter!$B$90*(COUNTIF('Paycheck schedule'!AG7:AG83, ""&gt;""&amp;0)-COUNT(FILTER('Paycheck schedule'!$A7:$A83, 'Paycheck schedule'!$A7:$A83 &lt;= 'Paycheck schedule'!AG4, NETWORKDAYS('Paycheck schedule'!$A7:$A83,'Paycheck schedule'!AG4) &lt; 15)))"),46592000)</f>
        <v>46592000</v>
      </c>
      <c r="AC20" s="782">
        <f ca="1">IFERROR(__xludf.DUMMYFUNCTION("Parameter!$B$89*Parameter!$B$90*(COUNTIF('Paycheck schedule'!AH7:AH83, ""&gt;""&amp;0)-COUNT(FILTER('Paycheck schedule'!$A7:$A83, 'Paycheck schedule'!$A7:$A83 &lt;= 'Paycheck schedule'!AH4, NETWORKDAYS('Paycheck schedule'!$A7:$A83,'Paycheck schedule'!AH4) &lt; 15)))"),46592000)</f>
        <v>46592000</v>
      </c>
      <c r="AD20" s="781"/>
      <c r="AE20" s="781">
        <f ca="1">IFERROR(__xludf.DUMMYFUNCTION("Parameter!$B$89*Parameter!$B$90*(COUNTIF('Paycheck schedule'!AJ7:AJ83, ""&gt;""&amp;0)-COUNT(FILTER('Paycheck schedule'!$A7:$A83, 'Paycheck schedule'!$A7:$A83 &lt;= 'Paycheck schedule'!AJ4, NETWORKDAYS('Paycheck schedule'!$A7:$A83,'Paycheck schedule'!AJ4) &lt; 15)))"),46592000)</f>
        <v>46592000</v>
      </c>
      <c r="AF20" s="781">
        <f ca="1">IFERROR(__xludf.DUMMYFUNCTION("Parameter!$B$89*Parameter!$B$90*(COUNTIF('Paycheck schedule'!AK7:AK83, ""&gt;""&amp;0)-COUNT(FILTER('Paycheck schedule'!$A7:$A83, 'Paycheck schedule'!$A7:$A83 &lt;= 'Paycheck schedule'!AK4, NETWORKDAYS('Paycheck schedule'!$A7:$A83,'Paycheck schedule'!AK4) &lt; 15)))"),46592000)</f>
        <v>46592000</v>
      </c>
      <c r="AG20" s="781">
        <f ca="1">IFERROR(__xludf.DUMMYFUNCTION("Parameter!$B$89*Parameter!$B$90*(COUNTIF('Paycheck schedule'!AL7:AL83, ""&gt;""&amp;0)-COUNT(FILTER('Paycheck schedule'!$A7:$A83, 'Paycheck schedule'!$A7:$A83 &lt;= 'Paycheck schedule'!AL4, NETWORKDAYS('Paycheck schedule'!$A7:$A83,'Paycheck schedule'!AL4) &lt; 15)))"),46592000)</f>
        <v>46592000</v>
      </c>
      <c r="AH20" s="781">
        <f ca="1">IFERROR(__xludf.DUMMYFUNCTION("Parameter!$B$89*Parameter!$B$90*(COUNTIF('Paycheck schedule'!AM7:AM83, ""&gt;""&amp;0)-COUNT(FILTER('Paycheck schedule'!$A7:$A83, 'Paycheck schedule'!$A7:$A83 &lt;= 'Paycheck schedule'!AM4, NETWORKDAYS('Paycheck schedule'!$A7:$A83,'Paycheck schedule'!AM4) &lt; 15)))"),46592000)</f>
        <v>46592000</v>
      </c>
      <c r="AI20" s="781">
        <f ca="1">IFERROR(__xludf.DUMMYFUNCTION("Parameter!$B$89*Parameter!$B$90*(COUNTIF('Paycheck schedule'!AN7:AN83, ""&gt;""&amp;0)-COUNT(FILTER('Paycheck schedule'!$A7:$A83, 'Paycheck schedule'!$A7:$A83 &lt;= 'Paycheck schedule'!AN4, NETWORKDAYS('Paycheck schedule'!$A7:$A83,'Paycheck schedule'!AN4) &lt; 15)))"),46592000)</f>
        <v>46592000</v>
      </c>
      <c r="AJ20" s="781">
        <f ca="1">IFERROR(__xludf.DUMMYFUNCTION("Parameter!$B$89*Parameter!$B$90*(COUNTIF('Paycheck schedule'!AO7:AO83, ""&gt;""&amp;0)-COUNT(FILTER('Paycheck schedule'!$A7:$A83, 'Paycheck schedule'!$A7:$A83 &lt;= 'Paycheck schedule'!AO4, NETWORKDAYS('Paycheck schedule'!$A7:$A83,'Paycheck schedule'!AO4) &lt; 15)))"),46592000)</f>
        <v>46592000</v>
      </c>
      <c r="AK20" s="781">
        <f ca="1">IFERROR(__xludf.DUMMYFUNCTION("Parameter!$B$89*Parameter!$B$90*(COUNTIF('Paycheck schedule'!AP7:AP83, ""&gt;""&amp;0)-COUNT(FILTER('Paycheck schedule'!$A7:$A83, 'Paycheck schedule'!$A7:$A83 &lt;= 'Paycheck schedule'!AP4, NETWORKDAYS('Paycheck schedule'!$A7:$A83,'Paycheck schedule'!AP4) &lt; 15)))"),46592000)</f>
        <v>46592000</v>
      </c>
      <c r="AL20" s="781">
        <f ca="1">IFERROR(__xludf.DUMMYFUNCTION("Parameter!$B$89*Parameter!$B$90*(COUNTIF('Paycheck schedule'!AQ7:AQ83, ""&gt;""&amp;0)-COUNT(FILTER('Paycheck schedule'!$A7:$A83, 'Paycheck schedule'!$A7:$A83 &lt;= 'Paycheck schedule'!AQ4, NETWORKDAYS('Paycheck schedule'!$A7:$A83,'Paycheck schedule'!AQ4) &lt; 15)))"),46592000)</f>
        <v>46592000</v>
      </c>
      <c r="AM20" s="781">
        <f ca="1">IFERROR(__xludf.DUMMYFUNCTION("Parameter!$B$89*Parameter!$B$90*(COUNTIF('Paycheck schedule'!AR7:AR83, ""&gt;""&amp;0)-COUNT(FILTER('Paycheck schedule'!$A7:$A83, 'Paycheck schedule'!$A7:$A83 &lt;= 'Paycheck schedule'!AR4, NETWORKDAYS('Paycheck schedule'!$A7:$A83,'Paycheck schedule'!AR4) &lt; 15)))"),46592000)</f>
        <v>46592000</v>
      </c>
      <c r="AN20" s="781">
        <f ca="1">IFERROR(__xludf.DUMMYFUNCTION("Parameter!$B$89*Parameter!$B$90*(COUNTIF('Paycheck schedule'!AS7:AS83, ""&gt;""&amp;0)-COUNT(FILTER('Paycheck schedule'!$A7:$A83, 'Paycheck schedule'!$A7:$A83 &lt;= 'Paycheck schedule'!AS4, NETWORKDAYS('Paycheck schedule'!$A7:$A83,'Paycheck schedule'!AS4) &lt; 15)))"),46592000)</f>
        <v>46592000</v>
      </c>
      <c r="AO20" s="781">
        <f ca="1">IFERROR(__xludf.DUMMYFUNCTION("Parameter!$B$89*Parameter!$B$90*(COUNTIF('Paycheck schedule'!AT7:AT83, ""&gt;""&amp;0)-COUNT(FILTER('Paycheck schedule'!$A7:$A83, 'Paycheck schedule'!$A7:$A83 &lt;= 'Paycheck schedule'!AT4, NETWORKDAYS('Paycheck schedule'!$A7:$A83,'Paycheck schedule'!AT4) &lt; 15)))"),46592000)</f>
        <v>46592000</v>
      </c>
      <c r="AP20" s="628">
        <f ca="1">IFERROR(__xludf.DUMMYFUNCTION("Parameter!$B$89*Parameter!$B$90*(COUNTIF('Paycheck schedule'!AU7:AU83, ""&gt;""&amp;0)-COUNT(FILTER('Paycheck schedule'!$A7:$A83, 'Paycheck schedule'!$A7:$A83 &lt;= 'Paycheck schedule'!AU4, NETWORKDAYS('Paycheck schedule'!$A7:$A83,'Paycheck schedule'!AU4) &lt; 15)))"),46592000)</f>
        <v>46592000</v>
      </c>
      <c r="AQ20" s="783"/>
      <c r="AR20" s="784"/>
      <c r="AS20" s="784"/>
      <c r="AT20" s="784"/>
    </row>
    <row r="21" spans="1:46" ht="14.25" x14ac:dyDescent="0.2">
      <c r="A21" s="785" t="s">
        <v>146</v>
      </c>
      <c r="B21" s="259"/>
      <c r="C21" s="781"/>
      <c r="D21" s="781"/>
      <c r="E21" s="781">
        <f>'Marketing plan'!E40</f>
        <v>61250000</v>
      </c>
      <c r="F21" s="781">
        <f>'Marketing plan'!F40</f>
        <v>61250000</v>
      </c>
      <c r="G21" s="781">
        <f>'Marketing plan'!G40</f>
        <v>61250000</v>
      </c>
      <c r="H21" s="781">
        <f>'Marketing plan'!H40</f>
        <v>58750000</v>
      </c>
      <c r="I21" s="781">
        <f>'Marketing plan'!I40</f>
        <v>69750000</v>
      </c>
      <c r="J21" s="781">
        <f>'Marketing plan'!J40</f>
        <v>323190000</v>
      </c>
      <c r="K21" s="781">
        <f>'Marketing plan'!K40</f>
        <v>311690000</v>
      </c>
      <c r="L21" s="781">
        <f>'Marketing plan'!L40</f>
        <v>160750000</v>
      </c>
      <c r="M21" s="781">
        <f>'Marketing plan'!M40</f>
        <v>71250000</v>
      </c>
      <c r="N21" s="781">
        <f>'Marketing plan'!N40</f>
        <v>245506000</v>
      </c>
      <c r="O21" s="781">
        <f>'Marketing plan'!O40</f>
        <v>674018000</v>
      </c>
      <c r="P21" s="782">
        <f>'Marketing plan'!P40</f>
        <v>675018000</v>
      </c>
      <c r="Q21" s="781"/>
      <c r="R21" s="781">
        <f>'Marketing plan'!R40</f>
        <v>150001600</v>
      </c>
      <c r="S21" s="781">
        <f>'Marketing plan'!S40</f>
        <v>382219600</v>
      </c>
      <c r="T21" s="781">
        <f>'Marketing plan'!T40</f>
        <v>151001600</v>
      </c>
      <c r="U21" s="781">
        <f>'Marketing plan'!U40</f>
        <v>57250000</v>
      </c>
      <c r="V21" s="781">
        <f>'Marketing plan'!V40</f>
        <v>285440800</v>
      </c>
      <c r="W21" s="781">
        <f>'Marketing plan'!W40</f>
        <v>359606000</v>
      </c>
      <c r="X21" s="781">
        <f>'Marketing plan'!X40</f>
        <v>484350800</v>
      </c>
      <c r="Y21" s="781">
        <f>'Marketing plan'!Y40</f>
        <v>192022800</v>
      </c>
      <c r="Z21" s="781">
        <f>'Marketing plan'!Z40</f>
        <v>192022800</v>
      </c>
      <c r="AA21" s="781">
        <f>'Marketing plan'!AA40</f>
        <v>466636300</v>
      </c>
      <c r="AB21" s="781">
        <f>'Marketing plan'!AB40</f>
        <v>1458411600</v>
      </c>
      <c r="AC21" s="782">
        <f>'Marketing plan'!AC40</f>
        <v>1112420000</v>
      </c>
      <c r="AD21" s="781"/>
      <c r="AE21" s="781">
        <f>'Marketing plan'!AE40</f>
        <v>635943900</v>
      </c>
      <c r="AF21" s="781">
        <f>'Marketing plan'!AF40</f>
        <v>608644900</v>
      </c>
      <c r="AG21" s="781">
        <f>'Marketing plan'!AG40</f>
        <v>227423900</v>
      </c>
      <c r="AH21" s="781">
        <f>'Marketing plan'!AH40</f>
        <v>173500000</v>
      </c>
      <c r="AI21" s="781">
        <f>'Marketing plan'!AI40</f>
        <v>893299200</v>
      </c>
      <c r="AJ21" s="781">
        <f>'Marketing plan'!AJ40</f>
        <v>661120000</v>
      </c>
      <c r="AK21" s="781">
        <f>'Marketing plan'!AK40</f>
        <v>533396300</v>
      </c>
      <c r="AL21" s="781">
        <f>'Marketing plan'!AL40</f>
        <v>276379800</v>
      </c>
      <c r="AM21" s="781">
        <f>'Marketing plan'!AM40</f>
        <v>280776800</v>
      </c>
      <c r="AN21" s="781">
        <f>'Marketing plan'!AN40</f>
        <v>735076700</v>
      </c>
      <c r="AO21" s="781">
        <f>'Marketing plan'!AO40</f>
        <v>1662375800</v>
      </c>
      <c r="AP21" s="628">
        <f>'Marketing plan'!AP40</f>
        <v>1263392000</v>
      </c>
      <c r="AQ21" s="783"/>
      <c r="AR21" s="784"/>
      <c r="AS21" s="784"/>
      <c r="AT21" s="784"/>
    </row>
    <row r="22" spans="1:46" ht="14.25" hidden="1" x14ac:dyDescent="0.2">
      <c r="A22" s="785" t="s">
        <v>244</v>
      </c>
      <c r="B22" s="259"/>
      <c r="C22" s="781"/>
      <c r="D22" s="781"/>
      <c r="E22" s="781"/>
      <c r="F22" s="781"/>
      <c r="G22" s="781"/>
      <c r="H22" s="781"/>
      <c r="I22" s="781"/>
      <c r="J22" s="781"/>
      <c r="K22" s="781"/>
      <c r="L22" s="781"/>
      <c r="M22" s="781"/>
      <c r="N22" s="781"/>
      <c r="O22" s="781"/>
      <c r="P22" s="782"/>
      <c r="Q22" s="781"/>
      <c r="R22" s="781"/>
      <c r="S22" s="781"/>
      <c r="T22" s="781"/>
      <c r="U22" s="781"/>
      <c r="V22" s="781"/>
      <c r="W22" s="781"/>
      <c r="X22" s="781"/>
      <c r="Y22" s="781"/>
      <c r="Z22" s="781"/>
      <c r="AA22" s="781"/>
      <c r="AB22" s="781"/>
      <c r="AC22" s="782"/>
      <c r="AD22" s="781"/>
      <c r="AE22" s="781"/>
      <c r="AF22" s="781"/>
      <c r="AG22" s="781"/>
      <c r="AH22" s="781"/>
      <c r="AI22" s="781"/>
      <c r="AJ22" s="781"/>
      <c r="AK22" s="781"/>
      <c r="AL22" s="781"/>
      <c r="AM22" s="781"/>
      <c r="AN22" s="781"/>
      <c r="AO22" s="781"/>
      <c r="AP22" s="628"/>
      <c r="AQ22" s="783"/>
      <c r="AR22" s="784"/>
      <c r="AS22" s="784"/>
      <c r="AT22" s="784"/>
    </row>
    <row r="23" spans="1:46" ht="14.25" hidden="1" x14ac:dyDescent="0.2">
      <c r="A23" s="785" t="s">
        <v>245</v>
      </c>
      <c r="B23" s="259"/>
      <c r="C23" s="781"/>
      <c r="D23" s="781"/>
      <c r="E23" s="781"/>
      <c r="F23" s="781"/>
      <c r="G23" s="781"/>
      <c r="H23" s="781"/>
      <c r="I23" s="781"/>
      <c r="J23" s="781"/>
      <c r="K23" s="781"/>
      <c r="L23" s="781"/>
      <c r="M23" s="781"/>
      <c r="N23" s="781"/>
      <c r="O23" s="781"/>
      <c r="P23" s="782"/>
      <c r="Q23" s="781"/>
      <c r="R23" s="781"/>
      <c r="S23" s="781"/>
      <c r="T23" s="781"/>
      <c r="U23" s="781"/>
      <c r="V23" s="781"/>
      <c r="W23" s="781"/>
      <c r="X23" s="781"/>
      <c r="Y23" s="781"/>
      <c r="Z23" s="781"/>
      <c r="AA23" s="781"/>
      <c r="AB23" s="781"/>
      <c r="AC23" s="782"/>
      <c r="AD23" s="781"/>
      <c r="AE23" s="781"/>
      <c r="AF23" s="781"/>
      <c r="AG23" s="781"/>
      <c r="AH23" s="781"/>
      <c r="AI23" s="781"/>
      <c r="AJ23" s="781"/>
      <c r="AK23" s="781"/>
      <c r="AL23" s="781"/>
      <c r="AM23" s="781"/>
      <c r="AN23" s="781"/>
      <c r="AO23" s="781"/>
      <c r="AP23" s="628"/>
      <c r="AQ23" s="783"/>
      <c r="AR23" s="784"/>
      <c r="AS23" s="784"/>
      <c r="AT23" s="784"/>
    </row>
    <row r="24" spans="1:46" ht="14.25" hidden="1" x14ac:dyDescent="0.2">
      <c r="A24" s="785" t="s">
        <v>246</v>
      </c>
      <c r="B24" s="259"/>
      <c r="C24" s="781"/>
      <c r="D24" s="781"/>
      <c r="E24" s="781"/>
      <c r="F24" s="781"/>
      <c r="G24" s="781"/>
      <c r="H24" s="781"/>
      <c r="I24" s="781"/>
      <c r="J24" s="781"/>
      <c r="K24" s="781"/>
      <c r="L24" s="781"/>
      <c r="M24" s="781"/>
      <c r="N24" s="781"/>
      <c r="O24" s="781"/>
      <c r="P24" s="782"/>
      <c r="Q24" s="781"/>
      <c r="R24" s="781"/>
      <c r="S24" s="781"/>
      <c r="T24" s="781"/>
      <c r="U24" s="781"/>
      <c r="V24" s="781"/>
      <c r="W24" s="781"/>
      <c r="X24" s="781"/>
      <c r="Y24" s="781"/>
      <c r="Z24" s="781"/>
      <c r="AA24" s="781"/>
      <c r="AB24" s="781"/>
      <c r="AC24" s="782"/>
      <c r="AD24" s="781"/>
      <c r="AE24" s="781"/>
      <c r="AF24" s="781"/>
      <c r="AG24" s="781"/>
      <c r="AH24" s="781"/>
      <c r="AI24" s="781"/>
      <c r="AJ24" s="781"/>
      <c r="AK24" s="781"/>
      <c r="AL24" s="781"/>
      <c r="AM24" s="781"/>
      <c r="AN24" s="781"/>
      <c r="AO24" s="781"/>
      <c r="AP24" s="628"/>
      <c r="AQ24" s="783"/>
      <c r="AR24" s="784"/>
      <c r="AS24" s="784"/>
      <c r="AT24" s="784"/>
    </row>
    <row r="25" spans="1:46" ht="14.25" hidden="1" x14ac:dyDescent="0.2">
      <c r="A25" s="785" t="s">
        <v>247</v>
      </c>
      <c r="B25" s="259"/>
      <c r="C25" s="781"/>
      <c r="D25" s="781"/>
      <c r="E25" s="781"/>
      <c r="F25" s="781"/>
      <c r="G25" s="781"/>
      <c r="H25" s="781"/>
      <c r="I25" s="781"/>
      <c r="J25" s="781"/>
      <c r="K25" s="781"/>
      <c r="L25" s="781"/>
      <c r="M25" s="781"/>
      <c r="N25" s="781"/>
      <c r="O25" s="781"/>
      <c r="P25" s="782"/>
      <c r="Q25" s="781"/>
      <c r="R25" s="781"/>
      <c r="S25" s="781"/>
      <c r="T25" s="781"/>
      <c r="U25" s="781"/>
      <c r="V25" s="781"/>
      <c r="W25" s="781"/>
      <c r="X25" s="781"/>
      <c r="Y25" s="781"/>
      <c r="Z25" s="781"/>
      <c r="AA25" s="781"/>
      <c r="AB25" s="781"/>
      <c r="AC25" s="782"/>
      <c r="AD25" s="781"/>
      <c r="AE25" s="781"/>
      <c r="AF25" s="781"/>
      <c r="AG25" s="781"/>
      <c r="AH25" s="781"/>
      <c r="AI25" s="781"/>
      <c r="AJ25" s="781"/>
      <c r="AK25" s="781"/>
      <c r="AL25" s="781"/>
      <c r="AM25" s="781"/>
      <c r="AN25" s="781"/>
      <c r="AO25" s="781"/>
      <c r="AP25" s="628"/>
      <c r="AQ25" s="783"/>
      <c r="AR25" s="784"/>
      <c r="AS25" s="784"/>
      <c r="AT25" s="784"/>
    </row>
    <row r="26" spans="1:46" ht="14.25" x14ac:dyDescent="0.2">
      <c r="A26" s="785" t="s">
        <v>248</v>
      </c>
      <c r="B26" s="259"/>
      <c r="C26" s="781"/>
      <c r="D26" s="781"/>
      <c r="E26" s="781">
        <v>0</v>
      </c>
      <c r="F26" s="781">
        <v>0</v>
      </c>
      <c r="G26" s="781">
        <v>3500000</v>
      </c>
      <c r="H26" s="781">
        <v>3500000</v>
      </c>
      <c r="I26" s="781">
        <v>3500000</v>
      </c>
      <c r="J26" s="781">
        <v>5000000</v>
      </c>
      <c r="K26" s="781">
        <v>5000000</v>
      </c>
      <c r="L26" s="781">
        <v>5000000</v>
      </c>
      <c r="M26" s="781">
        <v>5000000</v>
      </c>
      <c r="N26" s="781">
        <v>5000000</v>
      </c>
      <c r="O26" s="781">
        <v>5000000</v>
      </c>
      <c r="P26" s="782">
        <v>5000000</v>
      </c>
      <c r="Q26" s="781"/>
      <c r="R26" s="781">
        <v>5000000</v>
      </c>
      <c r="S26" s="781">
        <v>5000000</v>
      </c>
      <c r="T26" s="781">
        <v>5000000</v>
      </c>
      <c r="U26" s="781">
        <v>5000000</v>
      </c>
      <c r="V26" s="781">
        <v>5000000</v>
      </c>
      <c r="W26" s="781">
        <v>5000000</v>
      </c>
      <c r="X26" s="781">
        <v>5000000</v>
      </c>
      <c r="Y26" s="781">
        <v>5000000</v>
      </c>
      <c r="Z26" s="781">
        <v>5000000</v>
      </c>
      <c r="AA26" s="781">
        <v>5500000</v>
      </c>
      <c r="AB26" s="781">
        <v>5500000</v>
      </c>
      <c r="AC26" s="782">
        <v>5500000</v>
      </c>
      <c r="AD26" s="781"/>
      <c r="AE26" s="781">
        <v>5500000</v>
      </c>
      <c r="AF26" s="781">
        <v>5500000</v>
      </c>
      <c r="AG26" s="781">
        <v>5500000</v>
      </c>
      <c r="AH26" s="781">
        <v>5500000</v>
      </c>
      <c r="AI26" s="781">
        <v>5500000</v>
      </c>
      <c r="AJ26" s="781">
        <v>5500000</v>
      </c>
      <c r="AK26" s="781">
        <v>5500000</v>
      </c>
      <c r="AL26" s="781">
        <v>5500000</v>
      </c>
      <c r="AM26" s="781">
        <v>5500000</v>
      </c>
      <c r="AN26" s="781">
        <v>5500000</v>
      </c>
      <c r="AO26" s="781">
        <v>5500000</v>
      </c>
      <c r="AP26" s="628">
        <v>5500000</v>
      </c>
      <c r="AQ26" s="783"/>
      <c r="AR26" s="784"/>
      <c r="AS26" s="784"/>
      <c r="AT26" s="784"/>
    </row>
    <row r="27" spans="1:46" ht="14.25" hidden="1" x14ac:dyDescent="0.2">
      <c r="A27" s="785" t="s">
        <v>249</v>
      </c>
      <c r="B27" s="259"/>
      <c r="C27" s="781"/>
      <c r="D27" s="781"/>
      <c r="E27" s="781"/>
      <c r="F27" s="781"/>
      <c r="G27" s="781"/>
      <c r="H27" s="781"/>
      <c r="I27" s="781"/>
      <c r="J27" s="781"/>
      <c r="K27" s="781"/>
      <c r="L27" s="781"/>
      <c r="M27" s="781"/>
      <c r="N27" s="781"/>
      <c r="O27" s="781"/>
      <c r="P27" s="782"/>
      <c r="Q27" s="781"/>
      <c r="R27" s="781"/>
      <c r="S27" s="781"/>
      <c r="T27" s="781"/>
      <c r="U27" s="781"/>
      <c r="V27" s="781"/>
      <c r="W27" s="781"/>
      <c r="X27" s="781"/>
      <c r="Y27" s="781"/>
      <c r="Z27" s="781"/>
      <c r="AA27" s="781"/>
      <c r="AB27" s="781"/>
      <c r="AC27" s="782"/>
      <c r="AD27" s="781"/>
      <c r="AE27" s="781"/>
      <c r="AF27" s="781"/>
      <c r="AG27" s="781"/>
      <c r="AH27" s="781"/>
      <c r="AI27" s="781"/>
      <c r="AJ27" s="781"/>
      <c r="AK27" s="781"/>
      <c r="AL27" s="781"/>
      <c r="AM27" s="781"/>
      <c r="AN27" s="781"/>
      <c r="AO27" s="781"/>
      <c r="AP27" s="628"/>
      <c r="AQ27" s="783"/>
      <c r="AR27" s="784"/>
      <c r="AS27" s="784"/>
      <c r="AT27" s="784"/>
    </row>
    <row r="28" spans="1:46" ht="14.25" hidden="1" x14ac:dyDescent="0.2">
      <c r="A28" s="785" t="s">
        <v>250</v>
      </c>
      <c r="B28" s="259"/>
      <c r="C28" s="781"/>
      <c r="D28" s="781"/>
      <c r="E28" s="781"/>
      <c r="F28" s="781"/>
      <c r="G28" s="781"/>
      <c r="H28" s="781"/>
      <c r="I28" s="781"/>
      <c r="J28" s="781"/>
      <c r="K28" s="781"/>
      <c r="L28" s="781"/>
      <c r="M28" s="781"/>
      <c r="N28" s="781"/>
      <c r="O28" s="781"/>
      <c r="P28" s="782"/>
      <c r="Q28" s="781"/>
      <c r="R28" s="781"/>
      <c r="S28" s="781"/>
      <c r="T28" s="781"/>
      <c r="U28" s="781"/>
      <c r="V28" s="781"/>
      <c r="W28" s="781"/>
      <c r="X28" s="781"/>
      <c r="Y28" s="781"/>
      <c r="Z28" s="781"/>
      <c r="AA28" s="781"/>
      <c r="AB28" s="781"/>
      <c r="AC28" s="782"/>
      <c r="AD28" s="781"/>
      <c r="AE28" s="781"/>
      <c r="AF28" s="781"/>
      <c r="AG28" s="781"/>
      <c r="AH28" s="781"/>
      <c r="AI28" s="781"/>
      <c r="AJ28" s="781"/>
      <c r="AK28" s="781"/>
      <c r="AL28" s="781"/>
      <c r="AM28" s="781"/>
      <c r="AN28" s="781"/>
      <c r="AO28" s="781"/>
      <c r="AP28" s="628"/>
      <c r="AQ28" s="783"/>
      <c r="AR28" s="784"/>
      <c r="AS28" s="784"/>
      <c r="AT28" s="784"/>
    </row>
    <row r="29" spans="1:46" ht="14.25" hidden="1" x14ac:dyDescent="0.2">
      <c r="A29" s="785" t="s">
        <v>251</v>
      </c>
      <c r="B29" s="259"/>
      <c r="C29" s="781"/>
      <c r="D29" s="781"/>
      <c r="E29" s="781"/>
      <c r="F29" s="781"/>
      <c r="G29" s="781"/>
      <c r="H29" s="781"/>
      <c r="I29" s="781"/>
      <c r="J29" s="781"/>
      <c r="K29" s="781"/>
      <c r="L29" s="781"/>
      <c r="M29" s="781"/>
      <c r="N29" s="781"/>
      <c r="O29" s="781"/>
      <c r="P29" s="782"/>
      <c r="Q29" s="781"/>
      <c r="R29" s="781"/>
      <c r="S29" s="781"/>
      <c r="T29" s="781"/>
      <c r="U29" s="781"/>
      <c r="V29" s="781"/>
      <c r="W29" s="781"/>
      <c r="X29" s="781"/>
      <c r="Y29" s="781"/>
      <c r="Z29" s="781"/>
      <c r="AA29" s="781"/>
      <c r="AB29" s="781"/>
      <c r="AC29" s="782"/>
      <c r="AD29" s="781"/>
      <c r="AE29" s="781"/>
      <c r="AF29" s="781"/>
      <c r="AG29" s="781"/>
      <c r="AH29" s="781"/>
      <c r="AI29" s="781"/>
      <c r="AJ29" s="781"/>
      <c r="AK29" s="781"/>
      <c r="AL29" s="781"/>
      <c r="AM29" s="781"/>
      <c r="AN29" s="781"/>
      <c r="AO29" s="781"/>
      <c r="AP29" s="628"/>
      <c r="AQ29" s="783"/>
      <c r="AR29" s="784"/>
      <c r="AS29" s="784"/>
      <c r="AT29" s="784"/>
    </row>
    <row r="30" spans="1:46" ht="14.25" x14ac:dyDescent="0.2">
      <c r="A30" s="785" t="s">
        <v>252</v>
      </c>
      <c r="B30" s="259"/>
      <c r="C30" s="781"/>
      <c r="D30" s="781"/>
      <c r="E30" s="781">
        <f>'Spending {supplement}'!F8</f>
        <v>0</v>
      </c>
      <c r="F30" s="781">
        <f>'Spending {supplement}'!G8</f>
        <v>50000000</v>
      </c>
      <c r="G30" s="781">
        <f>'Spending {supplement}'!H8</f>
        <v>50000000</v>
      </c>
      <c r="H30" s="781">
        <f>'Spending {supplement}'!I8</f>
        <v>50000000</v>
      </c>
      <c r="I30" s="781">
        <f>'Spending {supplement}'!J8</f>
        <v>50000000</v>
      </c>
      <c r="J30" s="781">
        <f>'Spending {supplement}'!K8</f>
        <v>170000000</v>
      </c>
      <c r="K30" s="781">
        <f>'Spending {supplement}'!L8</f>
        <v>170000000</v>
      </c>
      <c r="L30" s="781">
        <f>'Spending {supplement}'!M8</f>
        <v>170000000</v>
      </c>
      <c r="M30" s="781">
        <f>'Spending {supplement}'!N8</f>
        <v>170000000</v>
      </c>
      <c r="N30" s="781">
        <f>'Spending {supplement}'!O8</f>
        <v>170000000</v>
      </c>
      <c r="O30" s="781">
        <f>'Spending {supplement}'!P8</f>
        <v>170000000</v>
      </c>
      <c r="P30" s="782">
        <f>'Spending {supplement}'!Q8</f>
        <v>170000000</v>
      </c>
      <c r="Q30" s="781"/>
      <c r="R30" s="781">
        <f>'Spending {supplement}'!S8</f>
        <v>170000000</v>
      </c>
      <c r="S30" s="781">
        <f>'Spending {supplement}'!T8</f>
        <v>170000000</v>
      </c>
      <c r="T30" s="781">
        <f>'Spending {supplement}'!U8</f>
        <v>170000000</v>
      </c>
      <c r="U30" s="781">
        <f>'Spending {supplement}'!V8</f>
        <v>170000000</v>
      </c>
      <c r="V30" s="781">
        <f>'Spending {supplement}'!W8</f>
        <v>170000000</v>
      </c>
      <c r="W30" s="781">
        <f>'Spending {supplement}'!X8</f>
        <v>170000000</v>
      </c>
      <c r="X30" s="781">
        <f>'Spending {supplement}'!Y8</f>
        <v>170000000</v>
      </c>
      <c r="Y30" s="781">
        <f>'Spending {supplement}'!Z8</f>
        <v>170000000</v>
      </c>
      <c r="Z30" s="781">
        <f>'Spending {supplement}'!AA8</f>
        <v>170000000</v>
      </c>
      <c r="AA30" s="781">
        <f>'Spending {supplement}'!AB8</f>
        <v>170000000</v>
      </c>
      <c r="AB30" s="781">
        <f>'Spending {supplement}'!AC8</f>
        <v>170000000</v>
      </c>
      <c r="AC30" s="782">
        <f>'Spending {supplement}'!AD8</f>
        <v>170000000</v>
      </c>
      <c r="AD30" s="781"/>
      <c r="AE30" s="781">
        <f>'Spending {supplement}'!AF8</f>
        <v>170000000</v>
      </c>
      <c r="AF30" s="781">
        <f>'Spending {supplement}'!AG8</f>
        <v>170000000</v>
      </c>
      <c r="AG30" s="781">
        <f>'Spending {supplement}'!AH8</f>
        <v>170000000</v>
      </c>
      <c r="AH30" s="781">
        <f>'Spending {supplement}'!AI8</f>
        <v>170000000</v>
      </c>
      <c r="AI30" s="781">
        <f>'Spending {supplement}'!AJ8</f>
        <v>170000000</v>
      </c>
      <c r="AJ30" s="781">
        <f>'Spending {supplement}'!AK8</f>
        <v>170000000</v>
      </c>
      <c r="AK30" s="781">
        <f>'Spending {supplement}'!AL8</f>
        <v>170000000</v>
      </c>
      <c r="AL30" s="781">
        <f>'Spending {supplement}'!AM8</f>
        <v>170000000</v>
      </c>
      <c r="AM30" s="781">
        <f>'Spending {supplement}'!AN8</f>
        <v>170000000</v>
      </c>
      <c r="AN30" s="781">
        <f>'Spending {supplement}'!AO8</f>
        <v>170000000</v>
      </c>
      <c r="AO30" s="781">
        <f>'Spending {supplement}'!AP8</f>
        <v>170000000</v>
      </c>
      <c r="AP30" s="628">
        <f>'Spending {supplement}'!AQ8</f>
        <v>170000000</v>
      </c>
      <c r="AQ30" s="783"/>
      <c r="AR30" s="784"/>
      <c r="AS30" s="784"/>
      <c r="AT30" s="784"/>
    </row>
    <row r="31" spans="1:46" ht="14.25" x14ac:dyDescent="0.2">
      <c r="A31" s="795" t="s">
        <v>253</v>
      </c>
      <c r="B31" s="781"/>
      <c r="C31" s="781"/>
      <c r="D31" s="781"/>
      <c r="E31" s="781">
        <f>'Paycheck schedule'!J$5</f>
        <v>0</v>
      </c>
      <c r="F31" s="781">
        <f>'Paycheck schedule'!K$5</f>
        <v>0</v>
      </c>
      <c r="G31" s="781">
        <f>'Paycheck schedule'!L$5</f>
        <v>0</v>
      </c>
      <c r="H31" s="781">
        <f>'Paycheck schedule'!M$5</f>
        <v>0</v>
      </c>
      <c r="I31" s="781">
        <f>'Paycheck schedule'!N$5</f>
        <v>0</v>
      </c>
      <c r="J31" s="781">
        <f>'Paycheck schedule'!O$5</f>
        <v>439992000</v>
      </c>
      <c r="K31" s="781">
        <f>'Paycheck schedule'!P$5</f>
        <v>439992000</v>
      </c>
      <c r="L31" s="781">
        <f>'Paycheck schedule'!Q$5</f>
        <v>498657600</v>
      </c>
      <c r="M31" s="781">
        <f>'Paycheck schedule'!R$5</f>
        <v>498657600</v>
      </c>
      <c r="N31" s="781">
        <f>'Paycheck schedule'!S$5</f>
        <v>522694200</v>
      </c>
      <c r="O31" s="781">
        <f>'Paycheck schedule'!T$5</f>
        <v>522694200</v>
      </c>
      <c r="P31" s="782">
        <f>'Paycheck schedule'!U$5</f>
        <v>522694200</v>
      </c>
      <c r="Q31" s="781"/>
      <c r="R31" s="781">
        <f>'Paycheck schedule'!W$5</f>
        <v>1053066000</v>
      </c>
      <c r="S31" s="781">
        <f>'Paycheck schedule'!X$5</f>
        <v>444066000</v>
      </c>
      <c r="T31" s="781">
        <f>'Paycheck schedule'!Y$5</f>
        <v>444066000</v>
      </c>
      <c r="U31" s="781">
        <f>'Paycheck schedule'!Z$5</f>
        <v>545101200</v>
      </c>
      <c r="V31" s="781">
        <f>'Paycheck schedule'!AA$5</f>
        <v>545101200</v>
      </c>
      <c r="W31" s="781">
        <f>'Paycheck schedule'!AB$5</f>
        <v>545101200</v>
      </c>
      <c r="X31" s="781">
        <f>'Paycheck schedule'!AC$5</f>
        <v>565471200</v>
      </c>
      <c r="Y31" s="781">
        <f>'Paycheck schedule'!AD$5</f>
        <v>565471200</v>
      </c>
      <c r="Z31" s="781">
        <f>'Paycheck schedule'!AE$5</f>
        <v>565471200</v>
      </c>
      <c r="AA31" s="781">
        <f>'Paycheck schedule'!AF$5</f>
        <v>589507800</v>
      </c>
      <c r="AB31" s="781">
        <f>'Paycheck schedule'!AG$5</f>
        <v>882982800</v>
      </c>
      <c r="AC31" s="782">
        <f>'Paycheck schedule'!AH$5</f>
        <v>885019800</v>
      </c>
      <c r="AD31" s="781"/>
      <c r="AE31" s="781">
        <f>'Paycheck schedule'!AJ$5</f>
        <v>1483893200</v>
      </c>
      <c r="AF31" s="781">
        <f>'Paycheck schedule'!AK$5</f>
        <v>760099200</v>
      </c>
      <c r="AG31" s="781">
        <f>'Paycheck schedule'!AL$5</f>
        <v>760099200</v>
      </c>
      <c r="AH31" s="781">
        <f>'Paycheck schedule'!AM$5</f>
        <v>980674800</v>
      </c>
      <c r="AI31" s="781">
        <f>'Paycheck schedule'!AN$5</f>
        <v>980674800</v>
      </c>
      <c r="AJ31" s="781">
        <f>'Paycheck schedule'!AO$5</f>
        <v>980674800</v>
      </c>
      <c r="AK31" s="781">
        <f>'Paycheck schedule'!AP$5</f>
        <v>1027072200</v>
      </c>
      <c r="AL31" s="781">
        <f>'Paycheck schedule'!AQ$5</f>
        <v>1027072200</v>
      </c>
      <c r="AM31" s="781">
        <f>'Paycheck schedule'!AR$5</f>
        <v>1056216000</v>
      </c>
      <c r="AN31" s="781">
        <f>'Paycheck schedule'!AS$5</f>
        <v>1088787000</v>
      </c>
      <c r="AO31" s="781">
        <f>'Paycheck schedule'!AT$5</f>
        <v>1094062200</v>
      </c>
      <c r="AP31" s="628">
        <f>'Paycheck schedule'!AU$5</f>
        <v>1099337400</v>
      </c>
      <c r="AQ31" s="783"/>
      <c r="AR31" s="784"/>
      <c r="AS31" s="784"/>
      <c r="AT31" s="784"/>
    </row>
    <row r="32" spans="1:46" ht="14.25" x14ac:dyDescent="0.2">
      <c r="A32" s="785" t="s">
        <v>254</v>
      </c>
      <c r="B32" s="259"/>
      <c r="C32" s="781"/>
      <c r="D32" s="781"/>
      <c r="E32" s="781">
        <v>350000000</v>
      </c>
      <c r="F32" s="781"/>
      <c r="G32" s="781">
        <v>80000000</v>
      </c>
      <c r="H32" s="781"/>
      <c r="I32" s="781"/>
      <c r="J32" s="781">
        <v>180000000</v>
      </c>
      <c r="K32" s="781"/>
      <c r="L32" s="781"/>
      <c r="M32" s="781"/>
      <c r="N32" s="781"/>
      <c r="O32" s="781"/>
      <c r="P32" s="782"/>
      <c r="Q32" s="781"/>
      <c r="R32" s="781"/>
      <c r="S32" s="781"/>
      <c r="T32" s="781"/>
      <c r="U32" s="781"/>
      <c r="V32" s="781"/>
      <c r="W32" s="781"/>
      <c r="X32" s="781"/>
      <c r="Y32" s="781"/>
      <c r="Z32" s="781"/>
      <c r="AA32" s="781"/>
      <c r="AB32" s="781"/>
      <c r="AC32" s="782"/>
      <c r="AD32" s="781"/>
      <c r="AE32" s="781"/>
      <c r="AF32" s="781"/>
      <c r="AG32" s="781"/>
      <c r="AH32" s="781"/>
      <c r="AI32" s="781"/>
      <c r="AJ32" s="781"/>
      <c r="AK32" s="781"/>
      <c r="AL32" s="781"/>
      <c r="AM32" s="781"/>
      <c r="AN32" s="781"/>
      <c r="AO32" s="781"/>
      <c r="AP32" s="628"/>
      <c r="AQ32" s="783"/>
      <c r="AR32" s="784"/>
      <c r="AS32" s="784"/>
      <c r="AT32" s="784"/>
    </row>
    <row r="33" spans="1:46" ht="14.25" hidden="1" x14ac:dyDescent="0.2">
      <c r="A33" s="785" t="s">
        <v>255</v>
      </c>
      <c r="B33" s="259"/>
      <c r="C33" s="781"/>
      <c r="D33" s="781"/>
      <c r="E33" s="781"/>
      <c r="F33" s="781"/>
      <c r="G33" s="781"/>
      <c r="H33" s="781"/>
      <c r="I33" s="781"/>
      <c r="J33" s="781"/>
      <c r="K33" s="781"/>
      <c r="L33" s="781"/>
      <c r="M33" s="781"/>
      <c r="N33" s="781"/>
      <c r="O33" s="781"/>
      <c r="P33" s="782"/>
      <c r="Q33" s="781"/>
      <c r="R33" s="781"/>
      <c r="S33" s="781"/>
      <c r="T33" s="781"/>
      <c r="U33" s="781"/>
      <c r="V33" s="781"/>
      <c r="W33" s="781"/>
      <c r="X33" s="781"/>
      <c r="Y33" s="781"/>
      <c r="Z33" s="781"/>
      <c r="AA33" s="781"/>
      <c r="AB33" s="781"/>
      <c r="AC33" s="782"/>
      <c r="AD33" s="781"/>
      <c r="AE33" s="781"/>
      <c r="AF33" s="781"/>
      <c r="AG33" s="781"/>
      <c r="AH33" s="781"/>
      <c r="AI33" s="781"/>
      <c r="AJ33" s="781"/>
      <c r="AK33" s="781"/>
      <c r="AL33" s="781"/>
      <c r="AM33" s="781"/>
      <c r="AN33" s="781"/>
      <c r="AO33" s="781"/>
      <c r="AP33" s="628"/>
      <c r="AQ33" s="783"/>
      <c r="AR33" s="784"/>
      <c r="AS33" s="784"/>
      <c r="AT33" s="784"/>
    </row>
    <row r="34" spans="1:46" ht="14.25" hidden="1" x14ac:dyDescent="0.2">
      <c r="A34" s="785" t="s">
        <v>256</v>
      </c>
      <c r="B34" s="259"/>
      <c r="C34" s="781"/>
      <c r="D34" s="781"/>
      <c r="E34" s="781"/>
      <c r="F34" s="781"/>
      <c r="G34" s="781"/>
      <c r="H34" s="781"/>
      <c r="I34" s="781"/>
      <c r="J34" s="781"/>
      <c r="K34" s="781"/>
      <c r="L34" s="781"/>
      <c r="M34" s="781"/>
      <c r="N34" s="781"/>
      <c r="O34" s="781"/>
      <c r="P34" s="782"/>
      <c r="Q34" s="781"/>
      <c r="R34" s="781"/>
      <c r="S34" s="781"/>
      <c r="T34" s="781"/>
      <c r="U34" s="781"/>
      <c r="V34" s="781"/>
      <c r="W34" s="781"/>
      <c r="X34" s="781"/>
      <c r="Y34" s="781"/>
      <c r="Z34" s="781"/>
      <c r="AA34" s="781"/>
      <c r="AB34" s="781"/>
      <c r="AC34" s="782"/>
      <c r="AD34" s="781"/>
      <c r="AE34" s="781"/>
      <c r="AF34" s="781"/>
      <c r="AG34" s="781"/>
      <c r="AH34" s="781"/>
      <c r="AI34" s="781"/>
      <c r="AJ34" s="781"/>
      <c r="AK34" s="781"/>
      <c r="AL34" s="781"/>
      <c r="AM34" s="781"/>
      <c r="AN34" s="781"/>
      <c r="AO34" s="781"/>
      <c r="AP34" s="628"/>
      <c r="AQ34" s="783"/>
      <c r="AR34" s="784"/>
      <c r="AS34" s="784"/>
      <c r="AT34" s="784"/>
    </row>
    <row r="35" spans="1:46" ht="14.25" x14ac:dyDescent="0.2">
      <c r="A35" s="785" t="s">
        <v>257</v>
      </c>
      <c r="B35" s="259"/>
      <c r="C35" s="781"/>
      <c r="D35" s="781"/>
      <c r="E35" s="781">
        <f>Parameter!$B$82+Parameter!$B$83</f>
        <v>11000000</v>
      </c>
      <c r="F35" s="781">
        <f>Parameter!$B$82+Parameter!$B$83</f>
        <v>11000000</v>
      </c>
      <c r="G35" s="781">
        <f>Parameter!$B$82+Parameter!$B$83</f>
        <v>11000000</v>
      </c>
      <c r="H35" s="781">
        <f>Parameter!$B$82+Parameter!$B$83</f>
        <v>11000000</v>
      </c>
      <c r="I35" s="781">
        <f>Parameter!$B$82+Parameter!$B$83</f>
        <v>11000000</v>
      </c>
      <c r="J35" s="781">
        <f>Parameter!$B$82+Parameter!$B$83</f>
        <v>11000000</v>
      </c>
      <c r="K35" s="781">
        <f>Parameter!$B$82+Parameter!$B$83</f>
        <v>11000000</v>
      </c>
      <c r="L35" s="781">
        <f>Parameter!$B$82+Parameter!$B$83</f>
        <v>11000000</v>
      </c>
      <c r="M35" s="781">
        <f>Parameter!$B$82+Parameter!$B$83</f>
        <v>11000000</v>
      </c>
      <c r="N35" s="781">
        <f>Parameter!$B$82+Parameter!$B$83</f>
        <v>11000000</v>
      </c>
      <c r="O35" s="781">
        <f>Parameter!$B$82+Parameter!$B$83</f>
        <v>11000000</v>
      </c>
      <c r="P35" s="782">
        <f>Parameter!$B$82+Parameter!$B$83</f>
        <v>11000000</v>
      </c>
      <c r="Q35" s="781"/>
      <c r="R35" s="781">
        <f>Parameter!$B$82+Parameter!$B$83</f>
        <v>11000000</v>
      </c>
      <c r="S35" s="781">
        <f>Parameter!$B$82+Parameter!$B$83</f>
        <v>11000000</v>
      </c>
      <c r="T35" s="781">
        <f>Parameter!$B$82+Parameter!$B$83</f>
        <v>11000000</v>
      </c>
      <c r="U35" s="781">
        <f>Parameter!$B$82+Parameter!$B$83</f>
        <v>11000000</v>
      </c>
      <c r="V35" s="781">
        <f>Parameter!$B$82+Parameter!$B$83</f>
        <v>11000000</v>
      </c>
      <c r="W35" s="781">
        <f>Parameter!$B$82+Parameter!$B$83</f>
        <v>11000000</v>
      </c>
      <c r="X35" s="781">
        <f>Parameter!$B$82+Parameter!$B$83</f>
        <v>11000000</v>
      </c>
      <c r="Y35" s="781">
        <f>Parameter!$B$82+Parameter!$B$83</f>
        <v>11000000</v>
      </c>
      <c r="Z35" s="781">
        <f>Parameter!$B$82+Parameter!$B$83</f>
        <v>11000000</v>
      </c>
      <c r="AA35" s="781">
        <f>Parameter!$B$82+Parameter!$B$83</f>
        <v>11000000</v>
      </c>
      <c r="AB35" s="781">
        <f>Parameter!$B$82+Parameter!$B$83</f>
        <v>11000000</v>
      </c>
      <c r="AC35" s="782">
        <f>Parameter!$B$82+Parameter!$B$83</f>
        <v>11000000</v>
      </c>
      <c r="AD35" s="781"/>
      <c r="AE35" s="781">
        <f>Parameter!$B$82+Parameter!$B$83</f>
        <v>11000000</v>
      </c>
      <c r="AF35" s="781">
        <f>Parameter!$B$82+Parameter!$B$83</f>
        <v>11000000</v>
      </c>
      <c r="AG35" s="781">
        <f>Parameter!$B$82+Parameter!$B$83</f>
        <v>11000000</v>
      </c>
      <c r="AH35" s="781">
        <f>Parameter!$B$82+Parameter!$B$83</f>
        <v>11000000</v>
      </c>
      <c r="AI35" s="781">
        <f>Parameter!$B$82+Parameter!$B$83</f>
        <v>11000000</v>
      </c>
      <c r="AJ35" s="781">
        <f>Parameter!$B$82+Parameter!$B$83</f>
        <v>11000000</v>
      </c>
      <c r="AK35" s="781">
        <f>Parameter!$B$82+Parameter!$B$83</f>
        <v>11000000</v>
      </c>
      <c r="AL35" s="781">
        <f>Parameter!$B$82+Parameter!$B$83</f>
        <v>11000000</v>
      </c>
      <c r="AM35" s="781">
        <f>Parameter!$B$82+Parameter!$B$83</f>
        <v>11000000</v>
      </c>
      <c r="AN35" s="781">
        <f>Parameter!$B$82+Parameter!$B$83</f>
        <v>11000000</v>
      </c>
      <c r="AO35" s="781">
        <f>Parameter!$B$82+Parameter!$B$83</f>
        <v>11000000</v>
      </c>
      <c r="AP35" s="628">
        <f>Parameter!$B$82+Parameter!$B$83</f>
        <v>11000000</v>
      </c>
      <c r="AQ35" s="783"/>
      <c r="AR35" s="784"/>
      <c r="AS35" s="784"/>
      <c r="AT35" s="784"/>
    </row>
    <row r="36" spans="1:46" ht="14.25" x14ac:dyDescent="0.2">
      <c r="A36" s="785" t="s">
        <v>258</v>
      </c>
      <c r="B36" s="259"/>
      <c r="C36" s="781"/>
      <c r="D36" s="781"/>
      <c r="E36" s="781">
        <v>10000000</v>
      </c>
      <c r="F36" s="781">
        <v>10000000</v>
      </c>
      <c r="G36" s="781">
        <v>10000000</v>
      </c>
      <c r="H36" s="781">
        <v>10000000</v>
      </c>
      <c r="I36" s="781">
        <v>10000000</v>
      </c>
      <c r="J36" s="781"/>
      <c r="K36" s="781"/>
      <c r="L36" s="781"/>
      <c r="M36" s="781"/>
      <c r="N36" s="781"/>
      <c r="O36" s="781"/>
      <c r="P36" s="782"/>
      <c r="Q36" s="781"/>
      <c r="R36" s="781"/>
      <c r="S36" s="781"/>
      <c r="T36" s="781"/>
      <c r="U36" s="781"/>
      <c r="V36" s="781"/>
      <c r="W36" s="781"/>
      <c r="X36" s="781"/>
      <c r="Y36" s="781"/>
      <c r="Z36" s="781"/>
      <c r="AA36" s="781"/>
      <c r="AB36" s="781"/>
      <c r="AC36" s="782"/>
      <c r="AD36" s="781"/>
      <c r="AE36" s="781"/>
      <c r="AF36" s="781"/>
      <c r="AG36" s="781"/>
      <c r="AH36" s="781"/>
      <c r="AI36" s="781"/>
      <c r="AJ36" s="781"/>
      <c r="AK36" s="781"/>
      <c r="AL36" s="781"/>
      <c r="AM36" s="781"/>
      <c r="AN36" s="781"/>
      <c r="AO36" s="781"/>
      <c r="AP36" s="628"/>
      <c r="AQ36" s="783"/>
      <c r="AR36" s="784"/>
      <c r="AS36" s="784"/>
      <c r="AT36" s="784"/>
    </row>
    <row r="37" spans="1:46" ht="14.25" x14ac:dyDescent="0.2">
      <c r="A37" s="785" t="s">
        <v>259</v>
      </c>
      <c r="B37" s="259"/>
      <c r="C37" s="781"/>
      <c r="D37" s="781"/>
      <c r="E37" s="781">
        <f>'Spending {supplement}'!F14</f>
        <v>0</v>
      </c>
      <c r="F37" s="781">
        <f>'Spending {supplement}'!G14</f>
        <v>0</v>
      </c>
      <c r="G37" s="781">
        <f>'Spending {supplement}'!H14</f>
        <v>8500000</v>
      </c>
      <c r="H37" s="781">
        <f>'Spending {supplement}'!I14</f>
        <v>19000000</v>
      </c>
      <c r="I37" s="781">
        <f>'Spending {supplement}'!J14</f>
        <v>7600000</v>
      </c>
      <c r="J37" s="781">
        <f>'Spending {supplement}'!K14</f>
        <v>0</v>
      </c>
      <c r="K37" s="781">
        <f>'Spending {supplement}'!L14</f>
        <v>10200000</v>
      </c>
      <c r="L37" s="781">
        <f>'Spending {supplement}'!M14</f>
        <v>0</v>
      </c>
      <c r="M37" s="781">
        <f>'Spending {supplement}'!N14</f>
        <v>0</v>
      </c>
      <c r="N37" s="781">
        <f>'Spending {supplement}'!O14</f>
        <v>0</v>
      </c>
      <c r="O37" s="781">
        <f>'Spending {supplement}'!P14</f>
        <v>0</v>
      </c>
      <c r="P37" s="782">
        <f>'Spending {supplement}'!Q14</f>
        <v>0</v>
      </c>
      <c r="Q37" s="781"/>
      <c r="R37" s="781">
        <f>'Spending {supplement}'!S14</f>
        <v>0</v>
      </c>
      <c r="S37" s="781">
        <f>'Spending {supplement}'!T14</f>
        <v>5500000</v>
      </c>
      <c r="T37" s="781">
        <f>'Spending {supplement}'!U14</f>
        <v>0</v>
      </c>
      <c r="U37" s="781">
        <f>'Spending {supplement}'!V14</f>
        <v>0</v>
      </c>
      <c r="V37" s="781">
        <f>'Spending {supplement}'!W14</f>
        <v>0</v>
      </c>
      <c r="W37" s="781">
        <f>'Spending {supplement}'!X14</f>
        <v>0</v>
      </c>
      <c r="X37" s="781">
        <f>'Spending {supplement}'!Y14</f>
        <v>0</v>
      </c>
      <c r="Y37" s="781">
        <f>'Spending {supplement}'!Z14</f>
        <v>0</v>
      </c>
      <c r="Z37" s="781">
        <f>'Spending {supplement}'!AA14</f>
        <v>0</v>
      </c>
      <c r="AA37" s="781">
        <f>'Spending {supplement}'!AB14</f>
        <v>0</v>
      </c>
      <c r="AB37" s="781">
        <f>'Spending {supplement}'!AC14</f>
        <v>0</v>
      </c>
      <c r="AC37" s="782">
        <f>'Spending {supplement}'!AD14</f>
        <v>4000000</v>
      </c>
      <c r="AD37" s="781"/>
      <c r="AE37" s="781">
        <f>'Spending {supplement}'!AF14</f>
        <v>0</v>
      </c>
      <c r="AF37" s="781">
        <f>'Spending {supplement}'!AG14</f>
        <v>0</v>
      </c>
      <c r="AG37" s="781">
        <f>'Spending {supplement}'!AH14</f>
        <v>0</v>
      </c>
      <c r="AH37" s="781">
        <f>'Spending {supplement}'!AI14</f>
        <v>0</v>
      </c>
      <c r="AI37" s="781">
        <f>'Spending {supplement}'!AJ14</f>
        <v>0</v>
      </c>
      <c r="AJ37" s="781">
        <f>'Spending {supplement}'!AK14</f>
        <v>0</v>
      </c>
      <c r="AK37" s="781">
        <f>'Spending {supplement}'!AL14</f>
        <v>0</v>
      </c>
      <c r="AL37" s="781">
        <f>'Spending {supplement}'!AM14</f>
        <v>0</v>
      </c>
      <c r="AM37" s="781">
        <f>'Spending {supplement}'!AN14</f>
        <v>0</v>
      </c>
      <c r="AN37" s="781">
        <f>'Spending {supplement}'!AO14</f>
        <v>0</v>
      </c>
      <c r="AO37" s="781">
        <f>'Spending {supplement}'!AP14</f>
        <v>0</v>
      </c>
      <c r="AP37" s="628">
        <f>'Spending {supplement}'!AQ14</f>
        <v>0</v>
      </c>
      <c r="AQ37" s="783"/>
      <c r="AR37" s="784"/>
      <c r="AS37" s="784"/>
      <c r="AT37" s="784"/>
    </row>
    <row r="38" spans="1:46" ht="14.25" x14ac:dyDescent="0.2">
      <c r="A38" s="796" t="s">
        <v>260</v>
      </c>
      <c r="B38" s="249"/>
      <c r="C38" s="250"/>
      <c r="D38" s="250"/>
      <c r="E38" s="250">
        <f t="shared" ref="E38:P38" ca="1" si="3">SUM(E15:E37)</f>
        <v>432250000</v>
      </c>
      <c r="F38" s="250">
        <f t="shared" ca="1" si="3"/>
        <v>132250000</v>
      </c>
      <c r="G38" s="250">
        <f t="shared" ca="1" si="3"/>
        <v>230906000</v>
      </c>
      <c r="H38" s="250">
        <f t="shared" ca="1" si="3"/>
        <v>172218000</v>
      </c>
      <c r="I38" s="250">
        <f t="shared" ca="1" si="3"/>
        <v>183466000</v>
      </c>
      <c r="J38" s="250">
        <f t="shared" ca="1" si="3"/>
        <v>1162462000</v>
      </c>
      <c r="K38" s="250">
        <f t="shared" ca="1" si="3"/>
        <v>982826000</v>
      </c>
      <c r="L38" s="250">
        <f t="shared" ca="1" si="3"/>
        <v>883679600</v>
      </c>
      <c r="M38" s="250">
        <f t="shared" ca="1" si="3"/>
        <v>794179600</v>
      </c>
      <c r="N38" s="250">
        <f t="shared" ca="1" si="3"/>
        <v>992472200</v>
      </c>
      <c r="O38" s="250">
        <f t="shared" ca="1" si="3"/>
        <v>1420984200</v>
      </c>
      <c r="P38" s="797">
        <f t="shared" ca="1" si="3"/>
        <v>1421984200</v>
      </c>
      <c r="Q38" s="250"/>
      <c r="R38" s="250">
        <f t="shared" ref="R38:AC38" ca="1" si="4">SUM(R15:R37)</f>
        <v>1427339600</v>
      </c>
      <c r="S38" s="250">
        <f t="shared" ca="1" si="4"/>
        <v>1056057600</v>
      </c>
      <c r="T38" s="250">
        <f t="shared" ca="1" si="4"/>
        <v>827659600</v>
      </c>
      <c r="U38" s="250">
        <f t="shared" ca="1" si="4"/>
        <v>834943200</v>
      </c>
      <c r="V38" s="250">
        <f t="shared" ca="1" si="4"/>
        <v>1063134000</v>
      </c>
      <c r="W38" s="250">
        <f t="shared" ca="1" si="4"/>
        <v>1137299200</v>
      </c>
      <c r="X38" s="250">
        <f t="shared" ca="1" si="4"/>
        <v>1282414000</v>
      </c>
      <c r="Y38" s="250">
        <f t="shared" ca="1" si="4"/>
        <v>990086000</v>
      </c>
      <c r="Z38" s="250">
        <f t="shared" ca="1" si="4"/>
        <v>990086000</v>
      </c>
      <c r="AA38" s="250">
        <f t="shared" ca="1" si="4"/>
        <v>1289236100</v>
      </c>
      <c r="AB38" s="250">
        <f t="shared" ca="1" si="4"/>
        <v>2574486400</v>
      </c>
      <c r="AC38" s="797">
        <f t="shared" ca="1" si="4"/>
        <v>2234531800</v>
      </c>
      <c r="AD38" s="250"/>
      <c r="AE38" s="250">
        <f t="shared" ref="AE38:AP38" ca="1" si="5">SUM(AE15:AE37)</f>
        <v>2352929100</v>
      </c>
      <c r="AF38" s="250">
        <f t="shared" ca="1" si="5"/>
        <v>1601836100</v>
      </c>
      <c r="AG38" s="250">
        <f t="shared" ca="1" si="5"/>
        <v>1220615100</v>
      </c>
      <c r="AH38" s="250">
        <f t="shared" ca="1" si="5"/>
        <v>1387266800</v>
      </c>
      <c r="AI38" s="250">
        <f t="shared" ca="1" si="5"/>
        <v>2107066000</v>
      </c>
      <c r="AJ38" s="250">
        <f t="shared" ca="1" si="5"/>
        <v>1874886800</v>
      </c>
      <c r="AK38" s="250">
        <f t="shared" ca="1" si="5"/>
        <v>1793560500</v>
      </c>
      <c r="AL38" s="250">
        <f t="shared" ca="1" si="5"/>
        <v>1536544000</v>
      </c>
      <c r="AM38" s="250">
        <f t="shared" ca="1" si="5"/>
        <v>1570084800</v>
      </c>
      <c r="AN38" s="250">
        <f t="shared" ca="1" si="5"/>
        <v>2056955700</v>
      </c>
      <c r="AO38" s="250">
        <f t="shared" ca="1" si="5"/>
        <v>2989530000</v>
      </c>
      <c r="AP38" s="301">
        <f t="shared" ca="1" si="5"/>
        <v>2595821400</v>
      </c>
      <c r="AQ38" s="792"/>
      <c r="AR38" s="793"/>
      <c r="AS38" s="793"/>
      <c r="AT38" s="793"/>
    </row>
    <row r="39" spans="1:46" ht="14.25" x14ac:dyDescent="0.2">
      <c r="A39" s="798"/>
      <c r="B39" s="281"/>
      <c r="C39" s="799"/>
      <c r="D39" s="799"/>
      <c r="E39" s="799"/>
      <c r="F39" s="799"/>
      <c r="G39" s="799"/>
      <c r="H39" s="799"/>
      <c r="I39" s="799"/>
      <c r="J39" s="799"/>
      <c r="K39" s="799"/>
      <c r="L39" s="799"/>
      <c r="M39" s="799"/>
      <c r="N39" s="799"/>
      <c r="O39" s="799"/>
      <c r="P39" s="799"/>
      <c r="Q39" s="799"/>
      <c r="R39" s="799"/>
      <c r="S39" s="799"/>
      <c r="T39" s="799"/>
      <c r="U39" s="799"/>
      <c r="V39" s="799"/>
      <c r="W39" s="799"/>
      <c r="X39" s="799"/>
      <c r="Y39" s="799"/>
      <c r="Z39" s="799"/>
      <c r="AA39" s="799"/>
      <c r="AB39" s="799"/>
      <c r="AC39" s="799"/>
      <c r="AD39" s="799"/>
      <c r="AE39" s="799"/>
      <c r="AF39" s="799"/>
      <c r="AG39" s="799"/>
      <c r="AH39" s="799"/>
      <c r="AI39" s="799"/>
      <c r="AJ39" s="799"/>
      <c r="AK39" s="799"/>
      <c r="AL39" s="799"/>
      <c r="AM39" s="799"/>
      <c r="AN39" s="799"/>
      <c r="AO39" s="799"/>
      <c r="AP39" s="799"/>
      <c r="AQ39" s="784"/>
      <c r="AR39" s="784"/>
      <c r="AS39" s="784"/>
      <c r="AT39" s="784"/>
    </row>
    <row r="40" spans="1:46" ht="14.25" x14ac:dyDescent="0.2">
      <c r="A40" s="800"/>
      <c r="B40" s="163"/>
      <c r="C40" s="784"/>
      <c r="D40" s="784"/>
      <c r="E40" s="784"/>
      <c r="F40" s="784"/>
      <c r="G40" s="784"/>
      <c r="H40" s="784"/>
      <c r="I40" s="784"/>
      <c r="J40" s="784"/>
      <c r="K40" s="784"/>
      <c r="L40" s="784"/>
      <c r="M40" s="784"/>
      <c r="N40" s="784"/>
      <c r="O40" s="784"/>
      <c r="P40" s="784"/>
      <c r="Q40" s="784"/>
      <c r="R40" s="784"/>
      <c r="S40" s="784"/>
      <c r="T40" s="784"/>
      <c r="U40" s="784"/>
      <c r="V40" s="784"/>
      <c r="W40" s="784"/>
      <c r="X40" s="784"/>
      <c r="Y40" s="784"/>
      <c r="Z40" s="784"/>
      <c r="AA40" s="784"/>
      <c r="AB40" s="784"/>
      <c r="AC40" s="784"/>
      <c r="AD40" s="784"/>
      <c r="AE40" s="784"/>
      <c r="AF40" s="784"/>
      <c r="AG40" s="784"/>
      <c r="AH40" s="784"/>
      <c r="AI40" s="784"/>
      <c r="AJ40" s="784"/>
      <c r="AK40" s="784"/>
      <c r="AL40" s="784"/>
      <c r="AM40" s="784"/>
      <c r="AN40" s="784"/>
      <c r="AO40" s="784"/>
      <c r="AP40" s="784"/>
      <c r="AQ40" s="784"/>
      <c r="AR40" s="784"/>
      <c r="AS40" s="784"/>
      <c r="AT40" s="784"/>
    </row>
    <row r="41" spans="1:46" ht="14.25" x14ac:dyDescent="0.2">
      <c r="A41" s="801"/>
      <c r="B41" s="232"/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  <c r="P41" s="802"/>
      <c r="Q41" s="802"/>
      <c r="R41" s="802"/>
      <c r="S41" s="802"/>
      <c r="T41" s="802"/>
      <c r="U41" s="802"/>
      <c r="V41" s="802"/>
      <c r="W41" s="802"/>
      <c r="X41" s="802"/>
      <c r="Y41" s="802"/>
      <c r="Z41" s="802"/>
      <c r="AA41" s="802"/>
      <c r="AB41" s="802"/>
      <c r="AC41" s="802"/>
      <c r="AD41" s="802"/>
      <c r="AE41" s="802"/>
      <c r="AF41" s="802"/>
      <c r="AG41" s="802"/>
      <c r="AH41" s="802"/>
      <c r="AI41" s="802"/>
      <c r="AJ41" s="802"/>
      <c r="AK41" s="802"/>
      <c r="AL41" s="802"/>
      <c r="AM41" s="802"/>
      <c r="AN41" s="802"/>
      <c r="AO41" s="802"/>
      <c r="AP41" s="802"/>
      <c r="AQ41" s="229"/>
      <c r="AR41" s="229"/>
      <c r="AS41" s="229"/>
      <c r="AT41" s="229"/>
    </row>
    <row r="42" spans="1:46" ht="12.75" x14ac:dyDescent="0.2">
      <c r="A42" s="1425" t="s">
        <v>261</v>
      </c>
      <c r="B42" s="777"/>
      <c r="C42" s="777"/>
      <c r="D42" s="777"/>
      <c r="E42" s="1376">
        <v>2025</v>
      </c>
      <c r="F42" s="1367"/>
      <c r="G42" s="1367"/>
      <c r="H42" s="1367"/>
      <c r="I42" s="1367"/>
      <c r="J42" s="1367"/>
      <c r="K42" s="1367"/>
      <c r="L42" s="1367"/>
      <c r="M42" s="1367"/>
      <c r="N42" s="1367"/>
      <c r="O42" s="1367"/>
      <c r="P42" s="1368"/>
      <c r="Q42" s="166"/>
      <c r="R42" s="1377">
        <v>2026</v>
      </c>
      <c r="S42" s="1367"/>
      <c r="T42" s="1367"/>
      <c r="U42" s="1367"/>
      <c r="V42" s="1367"/>
      <c r="W42" s="1367"/>
      <c r="X42" s="1367"/>
      <c r="Y42" s="1367"/>
      <c r="Z42" s="1367"/>
      <c r="AA42" s="1367"/>
      <c r="AB42" s="1367"/>
      <c r="AC42" s="1368"/>
      <c r="AD42" s="167"/>
      <c r="AE42" s="1376">
        <v>2027</v>
      </c>
      <c r="AF42" s="1367"/>
      <c r="AG42" s="1367"/>
      <c r="AH42" s="1367"/>
      <c r="AI42" s="1367"/>
      <c r="AJ42" s="1367"/>
      <c r="AK42" s="1367"/>
      <c r="AL42" s="1367"/>
      <c r="AM42" s="1367"/>
      <c r="AN42" s="1367"/>
      <c r="AO42" s="1367"/>
      <c r="AP42" s="1368"/>
      <c r="AQ42" s="240"/>
      <c r="AR42" s="229"/>
      <c r="AS42" s="229"/>
      <c r="AT42" s="229"/>
    </row>
    <row r="43" spans="1:46" ht="12.75" x14ac:dyDescent="0.2">
      <c r="A43" s="1426"/>
      <c r="B43" s="259"/>
      <c r="C43" s="259"/>
      <c r="D43" s="259"/>
      <c r="E43" s="1378" t="s">
        <v>118</v>
      </c>
      <c r="F43" s="1367"/>
      <c r="G43" s="1368"/>
      <c r="H43" s="1371" t="s">
        <v>119</v>
      </c>
      <c r="I43" s="1367"/>
      <c r="J43" s="1368"/>
      <c r="K43" s="1371" t="s">
        <v>120</v>
      </c>
      <c r="L43" s="1367"/>
      <c r="M43" s="1368"/>
      <c r="N43" s="1371" t="s">
        <v>121</v>
      </c>
      <c r="O43" s="1367"/>
      <c r="P43" s="1368"/>
      <c r="Q43" s="174"/>
      <c r="R43" s="1378" t="s">
        <v>118</v>
      </c>
      <c r="S43" s="1367"/>
      <c r="T43" s="1368"/>
      <c r="U43" s="1371" t="s">
        <v>119</v>
      </c>
      <c r="V43" s="1367"/>
      <c r="W43" s="1368"/>
      <c r="X43" s="1371" t="s">
        <v>120</v>
      </c>
      <c r="Y43" s="1367"/>
      <c r="Z43" s="1368"/>
      <c r="AA43" s="1371" t="s">
        <v>121</v>
      </c>
      <c r="AB43" s="1367"/>
      <c r="AC43" s="1368"/>
      <c r="AD43" s="174"/>
      <c r="AE43" s="1378" t="s">
        <v>118</v>
      </c>
      <c r="AF43" s="1367"/>
      <c r="AG43" s="1368"/>
      <c r="AH43" s="1371" t="s">
        <v>119</v>
      </c>
      <c r="AI43" s="1367"/>
      <c r="AJ43" s="1368"/>
      <c r="AK43" s="1371" t="s">
        <v>120</v>
      </c>
      <c r="AL43" s="1367"/>
      <c r="AM43" s="1368"/>
      <c r="AN43" s="1371" t="s">
        <v>121</v>
      </c>
      <c r="AO43" s="1367"/>
      <c r="AP43" s="1368"/>
      <c r="AQ43" s="240"/>
      <c r="AR43" s="229"/>
      <c r="AS43" s="229"/>
      <c r="AT43" s="229"/>
    </row>
    <row r="44" spans="1:46" ht="18" x14ac:dyDescent="0.25">
      <c r="A44" s="1427"/>
      <c r="B44" s="327" t="s">
        <v>213</v>
      </c>
      <c r="C44" s="327"/>
      <c r="D44" s="327"/>
      <c r="E44" s="327">
        <v>1</v>
      </c>
      <c r="F44" s="499">
        <v>2</v>
      </c>
      <c r="G44" s="499">
        <v>3</v>
      </c>
      <c r="H44" s="499">
        <v>4</v>
      </c>
      <c r="I44" s="499">
        <v>5</v>
      </c>
      <c r="J44" s="499">
        <v>6</v>
      </c>
      <c r="K44" s="499">
        <v>7</v>
      </c>
      <c r="L44" s="499">
        <v>8</v>
      </c>
      <c r="M44" s="499">
        <v>9</v>
      </c>
      <c r="N44" s="499">
        <v>10</v>
      </c>
      <c r="O44" s="499">
        <v>11</v>
      </c>
      <c r="P44" s="499">
        <v>12</v>
      </c>
      <c r="Q44" s="499"/>
      <c r="R44" s="499">
        <v>1</v>
      </c>
      <c r="S44" s="499">
        <v>2</v>
      </c>
      <c r="T44" s="499">
        <v>3</v>
      </c>
      <c r="U44" s="499">
        <v>4</v>
      </c>
      <c r="V44" s="499">
        <v>5</v>
      </c>
      <c r="W44" s="499">
        <v>6</v>
      </c>
      <c r="X44" s="499">
        <v>7</v>
      </c>
      <c r="Y44" s="499">
        <v>8</v>
      </c>
      <c r="Z44" s="499">
        <v>9</v>
      </c>
      <c r="AA44" s="499">
        <v>10</v>
      </c>
      <c r="AB44" s="499">
        <v>11</v>
      </c>
      <c r="AC44" s="499">
        <v>12</v>
      </c>
      <c r="AD44" s="499"/>
      <c r="AE44" s="500">
        <v>1</v>
      </c>
      <c r="AF44" s="501">
        <v>2</v>
      </c>
      <c r="AG44" s="501">
        <v>3</v>
      </c>
      <c r="AH44" s="501">
        <v>4</v>
      </c>
      <c r="AI44" s="501">
        <v>5</v>
      </c>
      <c r="AJ44" s="501">
        <v>6</v>
      </c>
      <c r="AK44" s="501">
        <v>7</v>
      </c>
      <c r="AL44" s="501">
        <v>8</v>
      </c>
      <c r="AM44" s="501">
        <v>9</v>
      </c>
      <c r="AN44" s="501">
        <v>10</v>
      </c>
      <c r="AO44" s="501">
        <v>11</v>
      </c>
      <c r="AP44" s="502">
        <v>12</v>
      </c>
      <c r="AQ44" s="240"/>
      <c r="AR44" s="229"/>
      <c r="AS44" s="229"/>
      <c r="AT44" s="229"/>
    </row>
    <row r="45" spans="1:46" ht="14.25" x14ac:dyDescent="0.2">
      <c r="A45" s="785" t="s">
        <v>234</v>
      </c>
      <c r="B45" s="259"/>
      <c r="C45" s="781"/>
      <c r="D45" s="781"/>
      <c r="E45" s="781">
        <f t="shared" ref="E45:AP45" si="6">E9</f>
        <v>240000000</v>
      </c>
      <c r="F45" s="781">
        <f t="shared" si="6"/>
        <v>240000000</v>
      </c>
      <c r="G45" s="781">
        <f t="shared" si="6"/>
        <v>240000000</v>
      </c>
      <c r="H45" s="781">
        <f t="shared" si="6"/>
        <v>240000000</v>
      </c>
      <c r="I45" s="781">
        <f t="shared" si="6"/>
        <v>240000000</v>
      </c>
      <c r="J45" s="781">
        <f t="shared" si="6"/>
        <v>240000000</v>
      </c>
      <c r="K45" s="781">
        <f t="shared" si="6"/>
        <v>240000000</v>
      </c>
      <c r="L45" s="781">
        <f t="shared" si="6"/>
        <v>240000000</v>
      </c>
      <c r="M45" s="781">
        <f t="shared" si="6"/>
        <v>240000000</v>
      </c>
      <c r="N45" s="781">
        <f t="shared" si="6"/>
        <v>240000000</v>
      </c>
      <c r="O45" s="781">
        <f t="shared" si="6"/>
        <v>240000000</v>
      </c>
      <c r="P45" s="782">
        <f t="shared" si="6"/>
        <v>240000000</v>
      </c>
      <c r="Q45" s="781">
        <f t="shared" si="6"/>
        <v>0</v>
      </c>
      <c r="R45" s="781">
        <f t="shared" si="6"/>
        <v>240000000</v>
      </c>
      <c r="S45" s="781">
        <f t="shared" si="6"/>
        <v>240000000</v>
      </c>
      <c r="T45" s="781">
        <f t="shared" si="6"/>
        <v>240000000</v>
      </c>
      <c r="U45" s="781">
        <f t="shared" si="6"/>
        <v>240000000</v>
      </c>
      <c r="V45" s="781">
        <f t="shared" si="6"/>
        <v>240000000</v>
      </c>
      <c r="W45" s="781">
        <f t="shared" si="6"/>
        <v>240000000</v>
      </c>
      <c r="X45" s="781">
        <f t="shared" si="6"/>
        <v>240000000</v>
      </c>
      <c r="Y45" s="781">
        <f t="shared" si="6"/>
        <v>240000000</v>
      </c>
      <c r="Z45" s="781">
        <f t="shared" si="6"/>
        <v>240000000</v>
      </c>
      <c r="AA45" s="781">
        <f t="shared" si="6"/>
        <v>240000000</v>
      </c>
      <c r="AB45" s="781">
        <f t="shared" si="6"/>
        <v>240000000</v>
      </c>
      <c r="AC45" s="782">
        <f t="shared" si="6"/>
        <v>240000000</v>
      </c>
      <c r="AD45" s="781">
        <f t="shared" si="6"/>
        <v>0</v>
      </c>
      <c r="AE45" s="781">
        <f t="shared" si="6"/>
        <v>240000000</v>
      </c>
      <c r="AF45" s="781">
        <f t="shared" si="6"/>
        <v>240000000</v>
      </c>
      <c r="AG45" s="781">
        <f t="shared" si="6"/>
        <v>240000000</v>
      </c>
      <c r="AH45" s="781">
        <f t="shared" si="6"/>
        <v>240000000</v>
      </c>
      <c r="AI45" s="781">
        <f t="shared" si="6"/>
        <v>240000000</v>
      </c>
      <c r="AJ45" s="781">
        <f t="shared" si="6"/>
        <v>240000000</v>
      </c>
      <c r="AK45" s="781">
        <f t="shared" si="6"/>
        <v>240000000</v>
      </c>
      <c r="AL45" s="781">
        <f t="shared" si="6"/>
        <v>240000000</v>
      </c>
      <c r="AM45" s="781">
        <f t="shared" si="6"/>
        <v>240000000</v>
      </c>
      <c r="AN45" s="781">
        <f t="shared" si="6"/>
        <v>240000000</v>
      </c>
      <c r="AO45" s="781">
        <f t="shared" si="6"/>
        <v>240000000</v>
      </c>
      <c r="AP45" s="628">
        <f t="shared" si="6"/>
        <v>240000000</v>
      </c>
      <c r="AQ45" s="240"/>
      <c r="AR45" s="229"/>
      <c r="AS45" s="229"/>
      <c r="AT45" s="229"/>
    </row>
    <row r="46" spans="1:46" ht="14.25" x14ac:dyDescent="0.2">
      <c r="A46" s="785" t="s">
        <v>98</v>
      </c>
      <c r="B46" s="259"/>
      <c r="C46" s="781"/>
      <c r="D46" s="781"/>
      <c r="E46" s="781">
        <f t="shared" ref="E46:AP46" ca="1" si="7">E20</f>
        <v>0</v>
      </c>
      <c r="F46" s="781">
        <f t="shared" ca="1" si="7"/>
        <v>0</v>
      </c>
      <c r="G46" s="781">
        <f t="shared" ca="1" si="7"/>
        <v>6656000</v>
      </c>
      <c r="H46" s="781">
        <f t="shared" ca="1" si="7"/>
        <v>19968000</v>
      </c>
      <c r="I46" s="781">
        <f t="shared" ca="1" si="7"/>
        <v>31616000</v>
      </c>
      <c r="J46" s="781">
        <f t="shared" ca="1" si="7"/>
        <v>33280000</v>
      </c>
      <c r="K46" s="781">
        <f t="shared" ca="1" si="7"/>
        <v>34944000</v>
      </c>
      <c r="L46" s="781">
        <f t="shared" ca="1" si="7"/>
        <v>38272000</v>
      </c>
      <c r="M46" s="781">
        <f t="shared" ca="1" si="7"/>
        <v>38272000</v>
      </c>
      <c r="N46" s="781">
        <f t="shared" ca="1" si="7"/>
        <v>38272000</v>
      </c>
      <c r="O46" s="781">
        <f t="shared" ca="1" si="7"/>
        <v>38272000</v>
      </c>
      <c r="P46" s="782">
        <f t="shared" ca="1" si="7"/>
        <v>38272000</v>
      </c>
      <c r="Q46" s="781">
        <f t="shared" si="7"/>
        <v>0</v>
      </c>
      <c r="R46" s="781">
        <f t="shared" ca="1" si="7"/>
        <v>38272000</v>
      </c>
      <c r="S46" s="781">
        <f t="shared" ca="1" si="7"/>
        <v>38272000</v>
      </c>
      <c r="T46" s="781">
        <f t="shared" ca="1" si="7"/>
        <v>46592000</v>
      </c>
      <c r="U46" s="781">
        <f t="shared" ca="1" si="7"/>
        <v>46592000</v>
      </c>
      <c r="V46" s="781">
        <f t="shared" ca="1" si="7"/>
        <v>46592000</v>
      </c>
      <c r="W46" s="781">
        <f t="shared" ca="1" si="7"/>
        <v>46592000</v>
      </c>
      <c r="X46" s="781">
        <f t="shared" ca="1" si="7"/>
        <v>46592000</v>
      </c>
      <c r="Y46" s="781">
        <f t="shared" ca="1" si="7"/>
        <v>46592000</v>
      </c>
      <c r="Z46" s="781">
        <f t="shared" ca="1" si="7"/>
        <v>46592000</v>
      </c>
      <c r="AA46" s="781">
        <f t="shared" ca="1" si="7"/>
        <v>46592000</v>
      </c>
      <c r="AB46" s="781">
        <f t="shared" ca="1" si="7"/>
        <v>46592000</v>
      </c>
      <c r="AC46" s="782">
        <f t="shared" ca="1" si="7"/>
        <v>46592000</v>
      </c>
      <c r="AD46" s="781">
        <f t="shared" si="7"/>
        <v>0</v>
      </c>
      <c r="AE46" s="781">
        <f t="shared" ca="1" si="7"/>
        <v>46592000</v>
      </c>
      <c r="AF46" s="781">
        <f t="shared" ca="1" si="7"/>
        <v>46592000</v>
      </c>
      <c r="AG46" s="781">
        <f t="shared" ca="1" si="7"/>
        <v>46592000</v>
      </c>
      <c r="AH46" s="781">
        <f t="shared" ca="1" si="7"/>
        <v>46592000</v>
      </c>
      <c r="AI46" s="781">
        <f t="shared" ca="1" si="7"/>
        <v>46592000</v>
      </c>
      <c r="AJ46" s="781">
        <f t="shared" ca="1" si="7"/>
        <v>46592000</v>
      </c>
      <c r="AK46" s="781">
        <f t="shared" ca="1" si="7"/>
        <v>46592000</v>
      </c>
      <c r="AL46" s="781">
        <f t="shared" ca="1" si="7"/>
        <v>46592000</v>
      </c>
      <c r="AM46" s="781">
        <f t="shared" ca="1" si="7"/>
        <v>46592000</v>
      </c>
      <c r="AN46" s="781">
        <f t="shared" ca="1" si="7"/>
        <v>46592000</v>
      </c>
      <c r="AO46" s="781">
        <f t="shared" ca="1" si="7"/>
        <v>46592000</v>
      </c>
      <c r="AP46" s="628">
        <f t="shared" ca="1" si="7"/>
        <v>46592000</v>
      </c>
      <c r="AQ46" s="240"/>
      <c r="AR46" s="229"/>
      <c r="AS46" s="229"/>
      <c r="AT46" s="229"/>
    </row>
    <row r="47" spans="1:46" ht="14.25" x14ac:dyDescent="0.2">
      <c r="A47" s="785" t="s">
        <v>146</v>
      </c>
      <c r="B47" s="259"/>
      <c r="C47" s="781"/>
      <c r="D47" s="781"/>
      <c r="E47" s="781">
        <f t="shared" ref="E47:AP47" si="8">E21</f>
        <v>61250000</v>
      </c>
      <c r="F47" s="781">
        <f t="shared" si="8"/>
        <v>61250000</v>
      </c>
      <c r="G47" s="781">
        <f t="shared" si="8"/>
        <v>61250000</v>
      </c>
      <c r="H47" s="781">
        <f t="shared" si="8"/>
        <v>58750000</v>
      </c>
      <c r="I47" s="781">
        <f t="shared" si="8"/>
        <v>69750000</v>
      </c>
      <c r="J47" s="781">
        <f t="shared" si="8"/>
        <v>323190000</v>
      </c>
      <c r="K47" s="781">
        <f t="shared" si="8"/>
        <v>311690000</v>
      </c>
      <c r="L47" s="781">
        <f t="shared" si="8"/>
        <v>160750000</v>
      </c>
      <c r="M47" s="781">
        <f t="shared" si="8"/>
        <v>71250000</v>
      </c>
      <c r="N47" s="781">
        <f t="shared" si="8"/>
        <v>245506000</v>
      </c>
      <c r="O47" s="781">
        <f t="shared" si="8"/>
        <v>674018000</v>
      </c>
      <c r="P47" s="782">
        <f t="shared" si="8"/>
        <v>675018000</v>
      </c>
      <c r="Q47" s="781">
        <f t="shared" si="8"/>
        <v>0</v>
      </c>
      <c r="R47" s="781">
        <f t="shared" si="8"/>
        <v>150001600</v>
      </c>
      <c r="S47" s="781">
        <f t="shared" si="8"/>
        <v>382219600</v>
      </c>
      <c r="T47" s="781">
        <f t="shared" si="8"/>
        <v>151001600</v>
      </c>
      <c r="U47" s="781">
        <f t="shared" si="8"/>
        <v>57250000</v>
      </c>
      <c r="V47" s="781">
        <f t="shared" si="8"/>
        <v>285440800</v>
      </c>
      <c r="W47" s="781">
        <f t="shared" si="8"/>
        <v>359606000</v>
      </c>
      <c r="X47" s="781">
        <f t="shared" si="8"/>
        <v>484350800</v>
      </c>
      <c r="Y47" s="781">
        <f t="shared" si="8"/>
        <v>192022800</v>
      </c>
      <c r="Z47" s="781">
        <f t="shared" si="8"/>
        <v>192022800</v>
      </c>
      <c r="AA47" s="781">
        <f t="shared" si="8"/>
        <v>466636300</v>
      </c>
      <c r="AB47" s="781">
        <f t="shared" si="8"/>
        <v>1458411600</v>
      </c>
      <c r="AC47" s="782">
        <f t="shared" si="8"/>
        <v>1112420000</v>
      </c>
      <c r="AD47" s="781">
        <f t="shared" si="8"/>
        <v>0</v>
      </c>
      <c r="AE47" s="781">
        <f t="shared" si="8"/>
        <v>635943900</v>
      </c>
      <c r="AF47" s="781">
        <f t="shared" si="8"/>
        <v>608644900</v>
      </c>
      <c r="AG47" s="781">
        <f t="shared" si="8"/>
        <v>227423900</v>
      </c>
      <c r="AH47" s="781">
        <f t="shared" si="8"/>
        <v>173500000</v>
      </c>
      <c r="AI47" s="781">
        <f t="shared" si="8"/>
        <v>893299200</v>
      </c>
      <c r="AJ47" s="781">
        <f t="shared" si="8"/>
        <v>661120000</v>
      </c>
      <c r="AK47" s="781">
        <f t="shared" si="8"/>
        <v>533396300</v>
      </c>
      <c r="AL47" s="781">
        <f t="shared" si="8"/>
        <v>276379800</v>
      </c>
      <c r="AM47" s="781">
        <f t="shared" si="8"/>
        <v>280776800</v>
      </c>
      <c r="AN47" s="781">
        <f t="shared" si="8"/>
        <v>735076700</v>
      </c>
      <c r="AO47" s="781">
        <f t="shared" si="8"/>
        <v>1662375800</v>
      </c>
      <c r="AP47" s="628">
        <f t="shared" si="8"/>
        <v>1263392000</v>
      </c>
      <c r="AQ47" s="240"/>
      <c r="AR47" s="229"/>
      <c r="AS47" s="229"/>
      <c r="AT47" s="229"/>
    </row>
    <row r="48" spans="1:46" ht="14.25" x14ac:dyDescent="0.2">
      <c r="A48" s="785" t="s">
        <v>248</v>
      </c>
      <c r="B48" s="259"/>
      <c r="C48" s="781"/>
      <c r="D48" s="781"/>
      <c r="E48" s="781">
        <f t="shared" ref="E48:AP48" si="9">E26</f>
        <v>0</v>
      </c>
      <c r="F48" s="781">
        <f t="shared" si="9"/>
        <v>0</v>
      </c>
      <c r="G48" s="781">
        <f t="shared" si="9"/>
        <v>3500000</v>
      </c>
      <c r="H48" s="781">
        <f t="shared" si="9"/>
        <v>3500000</v>
      </c>
      <c r="I48" s="781">
        <f t="shared" si="9"/>
        <v>3500000</v>
      </c>
      <c r="J48" s="781">
        <f t="shared" si="9"/>
        <v>5000000</v>
      </c>
      <c r="K48" s="781">
        <f t="shared" si="9"/>
        <v>5000000</v>
      </c>
      <c r="L48" s="781">
        <f t="shared" si="9"/>
        <v>5000000</v>
      </c>
      <c r="M48" s="781">
        <f t="shared" si="9"/>
        <v>5000000</v>
      </c>
      <c r="N48" s="781">
        <f t="shared" si="9"/>
        <v>5000000</v>
      </c>
      <c r="O48" s="781">
        <f t="shared" si="9"/>
        <v>5000000</v>
      </c>
      <c r="P48" s="782">
        <f t="shared" si="9"/>
        <v>5000000</v>
      </c>
      <c r="Q48" s="781">
        <f t="shared" si="9"/>
        <v>0</v>
      </c>
      <c r="R48" s="781">
        <f t="shared" si="9"/>
        <v>5000000</v>
      </c>
      <c r="S48" s="781">
        <f t="shared" si="9"/>
        <v>5000000</v>
      </c>
      <c r="T48" s="781">
        <f t="shared" si="9"/>
        <v>5000000</v>
      </c>
      <c r="U48" s="781">
        <f t="shared" si="9"/>
        <v>5000000</v>
      </c>
      <c r="V48" s="781">
        <f t="shared" si="9"/>
        <v>5000000</v>
      </c>
      <c r="W48" s="781">
        <f t="shared" si="9"/>
        <v>5000000</v>
      </c>
      <c r="X48" s="781">
        <f t="shared" si="9"/>
        <v>5000000</v>
      </c>
      <c r="Y48" s="781">
        <f t="shared" si="9"/>
        <v>5000000</v>
      </c>
      <c r="Z48" s="781">
        <f t="shared" si="9"/>
        <v>5000000</v>
      </c>
      <c r="AA48" s="781">
        <f t="shared" si="9"/>
        <v>5500000</v>
      </c>
      <c r="AB48" s="781">
        <f t="shared" si="9"/>
        <v>5500000</v>
      </c>
      <c r="AC48" s="782">
        <f t="shared" si="9"/>
        <v>5500000</v>
      </c>
      <c r="AD48" s="781">
        <f t="shared" si="9"/>
        <v>0</v>
      </c>
      <c r="AE48" s="781">
        <f t="shared" si="9"/>
        <v>5500000</v>
      </c>
      <c r="AF48" s="781">
        <f t="shared" si="9"/>
        <v>5500000</v>
      </c>
      <c r="AG48" s="781">
        <f t="shared" si="9"/>
        <v>5500000</v>
      </c>
      <c r="AH48" s="781">
        <f t="shared" si="9"/>
        <v>5500000</v>
      </c>
      <c r="AI48" s="781">
        <f t="shared" si="9"/>
        <v>5500000</v>
      </c>
      <c r="AJ48" s="781">
        <f t="shared" si="9"/>
        <v>5500000</v>
      </c>
      <c r="AK48" s="781">
        <f t="shared" si="9"/>
        <v>5500000</v>
      </c>
      <c r="AL48" s="781">
        <f t="shared" si="9"/>
        <v>5500000</v>
      </c>
      <c r="AM48" s="781">
        <f t="shared" si="9"/>
        <v>5500000</v>
      </c>
      <c r="AN48" s="781">
        <f t="shared" si="9"/>
        <v>5500000</v>
      </c>
      <c r="AO48" s="781">
        <f t="shared" si="9"/>
        <v>5500000</v>
      </c>
      <c r="AP48" s="628">
        <f t="shared" si="9"/>
        <v>5500000</v>
      </c>
      <c r="AQ48" s="240"/>
      <c r="AR48" s="229"/>
      <c r="AS48" s="229"/>
      <c r="AT48" s="229"/>
    </row>
    <row r="49" spans="1:46" ht="14.25" x14ac:dyDescent="0.2">
      <c r="A49" s="785" t="s">
        <v>252</v>
      </c>
      <c r="B49" s="259"/>
      <c r="C49" s="781"/>
      <c r="D49" s="781"/>
      <c r="E49" s="781">
        <f t="shared" ref="E49:AP49" si="10">E30</f>
        <v>0</v>
      </c>
      <c r="F49" s="781">
        <f t="shared" si="10"/>
        <v>50000000</v>
      </c>
      <c r="G49" s="781">
        <f t="shared" si="10"/>
        <v>50000000</v>
      </c>
      <c r="H49" s="781">
        <f t="shared" si="10"/>
        <v>50000000</v>
      </c>
      <c r="I49" s="781">
        <f t="shared" si="10"/>
        <v>50000000</v>
      </c>
      <c r="J49" s="781">
        <f t="shared" si="10"/>
        <v>170000000</v>
      </c>
      <c r="K49" s="781">
        <f t="shared" si="10"/>
        <v>170000000</v>
      </c>
      <c r="L49" s="781">
        <f t="shared" si="10"/>
        <v>170000000</v>
      </c>
      <c r="M49" s="781">
        <f t="shared" si="10"/>
        <v>170000000</v>
      </c>
      <c r="N49" s="781">
        <f t="shared" si="10"/>
        <v>170000000</v>
      </c>
      <c r="O49" s="781">
        <f t="shared" si="10"/>
        <v>170000000</v>
      </c>
      <c r="P49" s="782">
        <f t="shared" si="10"/>
        <v>170000000</v>
      </c>
      <c r="Q49" s="781">
        <f t="shared" si="10"/>
        <v>0</v>
      </c>
      <c r="R49" s="781">
        <f t="shared" si="10"/>
        <v>170000000</v>
      </c>
      <c r="S49" s="781">
        <f t="shared" si="10"/>
        <v>170000000</v>
      </c>
      <c r="T49" s="781">
        <f t="shared" si="10"/>
        <v>170000000</v>
      </c>
      <c r="U49" s="781">
        <f t="shared" si="10"/>
        <v>170000000</v>
      </c>
      <c r="V49" s="781">
        <f t="shared" si="10"/>
        <v>170000000</v>
      </c>
      <c r="W49" s="781">
        <f t="shared" si="10"/>
        <v>170000000</v>
      </c>
      <c r="X49" s="781">
        <f t="shared" si="10"/>
        <v>170000000</v>
      </c>
      <c r="Y49" s="781">
        <f t="shared" si="10"/>
        <v>170000000</v>
      </c>
      <c r="Z49" s="781">
        <f t="shared" si="10"/>
        <v>170000000</v>
      </c>
      <c r="AA49" s="781">
        <f t="shared" si="10"/>
        <v>170000000</v>
      </c>
      <c r="AB49" s="781">
        <f t="shared" si="10"/>
        <v>170000000</v>
      </c>
      <c r="AC49" s="782">
        <f t="shared" si="10"/>
        <v>170000000</v>
      </c>
      <c r="AD49" s="781">
        <f t="shared" si="10"/>
        <v>0</v>
      </c>
      <c r="AE49" s="781">
        <f t="shared" si="10"/>
        <v>170000000</v>
      </c>
      <c r="AF49" s="781">
        <f t="shared" si="10"/>
        <v>170000000</v>
      </c>
      <c r="AG49" s="781">
        <f t="shared" si="10"/>
        <v>170000000</v>
      </c>
      <c r="AH49" s="781">
        <f t="shared" si="10"/>
        <v>170000000</v>
      </c>
      <c r="AI49" s="781">
        <f t="shared" si="10"/>
        <v>170000000</v>
      </c>
      <c r="AJ49" s="781">
        <f t="shared" si="10"/>
        <v>170000000</v>
      </c>
      <c r="AK49" s="781">
        <f t="shared" si="10"/>
        <v>170000000</v>
      </c>
      <c r="AL49" s="781">
        <f t="shared" si="10"/>
        <v>170000000</v>
      </c>
      <c r="AM49" s="781">
        <f t="shared" si="10"/>
        <v>170000000</v>
      </c>
      <c r="AN49" s="781">
        <f t="shared" si="10"/>
        <v>170000000</v>
      </c>
      <c r="AO49" s="781">
        <f t="shared" si="10"/>
        <v>170000000</v>
      </c>
      <c r="AP49" s="628">
        <f t="shared" si="10"/>
        <v>170000000</v>
      </c>
      <c r="AQ49" s="240"/>
      <c r="AR49" s="229"/>
      <c r="AS49" s="229"/>
      <c r="AT49" s="229"/>
    </row>
    <row r="50" spans="1:46" ht="14.25" x14ac:dyDescent="0.2">
      <c r="A50" s="785" t="s">
        <v>233</v>
      </c>
      <c r="B50" s="259"/>
      <c r="C50" s="781"/>
      <c r="D50" s="781"/>
      <c r="E50" s="781">
        <f t="shared" ref="E50:AP50" si="11">E8</f>
        <v>0</v>
      </c>
      <c r="F50" s="781">
        <f t="shared" si="11"/>
        <v>4761904.7619047621</v>
      </c>
      <c r="G50" s="781">
        <f t="shared" si="11"/>
        <v>351818181.81818181</v>
      </c>
      <c r="H50" s="781">
        <f t="shared" si="11"/>
        <v>652347826.08695662</v>
      </c>
      <c r="I50" s="781">
        <f t="shared" si="11"/>
        <v>803043478.26086962</v>
      </c>
      <c r="J50" s="781">
        <f t="shared" si="11"/>
        <v>821571428.57142854</v>
      </c>
      <c r="K50" s="781">
        <f t="shared" si="11"/>
        <v>909875000</v>
      </c>
      <c r="L50" s="781">
        <f t="shared" si="11"/>
        <v>958000000</v>
      </c>
      <c r="M50" s="781">
        <f t="shared" si="11"/>
        <v>958000000</v>
      </c>
      <c r="N50" s="781">
        <f t="shared" si="11"/>
        <v>958000000</v>
      </c>
      <c r="O50" s="781">
        <f t="shared" si="11"/>
        <v>958000000</v>
      </c>
      <c r="P50" s="782">
        <f t="shared" si="11"/>
        <v>968000000</v>
      </c>
      <c r="Q50" s="781">
        <f t="shared" si="11"/>
        <v>0</v>
      </c>
      <c r="R50" s="781">
        <f t="shared" si="11"/>
        <v>958000000</v>
      </c>
      <c r="S50" s="781">
        <f t="shared" si="11"/>
        <v>988750000</v>
      </c>
      <c r="T50" s="781">
        <f t="shared" si="11"/>
        <v>1062000000</v>
      </c>
      <c r="U50" s="781">
        <f t="shared" si="11"/>
        <v>1062000000</v>
      </c>
      <c r="V50" s="781">
        <f t="shared" si="11"/>
        <v>1062000000</v>
      </c>
      <c r="W50" s="781">
        <f t="shared" si="11"/>
        <v>1062000000</v>
      </c>
      <c r="X50" s="781">
        <f t="shared" si="11"/>
        <v>1062000000</v>
      </c>
      <c r="Y50" s="781">
        <f t="shared" si="11"/>
        <v>1062000000</v>
      </c>
      <c r="Z50" s="781">
        <f t="shared" si="11"/>
        <v>1062000000</v>
      </c>
      <c r="AA50" s="781">
        <f t="shared" si="11"/>
        <v>1062000000</v>
      </c>
      <c r="AB50" s="781">
        <f t="shared" si="11"/>
        <v>1062000000</v>
      </c>
      <c r="AC50" s="782">
        <f t="shared" si="11"/>
        <v>1072000000</v>
      </c>
      <c r="AD50" s="781">
        <f t="shared" si="11"/>
        <v>0</v>
      </c>
      <c r="AE50" s="781">
        <f t="shared" si="11"/>
        <v>1062000000</v>
      </c>
      <c r="AF50" s="781">
        <f t="shared" si="11"/>
        <v>1062000000</v>
      </c>
      <c r="AG50" s="781">
        <f t="shared" si="11"/>
        <v>1062000000</v>
      </c>
      <c r="AH50" s="781">
        <f t="shared" si="11"/>
        <v>1062000000</v>
      </c>
      <c r="AI50" s="781">
        <f t="shared" si="11"/>
        <v>1062000000</v>
      </c>
      <c r="AJ50" s="781">
        <f t="shared" si="11"/>
        <v>1062000000</v>
      </c>
      <c r="AK50" s="781">
        <f t="shared" si="11"/>
        <v>1062000000</v>
      </c>
      <c r="AL50" s="781">
        <f t="shared" si="11"/>
        <v>1062000000</v>
      </c>
      <c r="AM50" s="781">
        <f t="shared" si="11"/>
        <v>1062000000</v>
      </c>
      <c r="AN50" s="781">
        <f t="shared" si="11"/>
        <v>1062000000</v>
      </c>
      <c r="AO50" s="781">
        <f t="shared" si="11"/>
        <v>1062000000</v>
      </c>
      <c r="AP50" s="628">
        <f t="shared" si="11"/>
        <v>1062000000</v>
      </c>
      <c r="AQ50" s="240"/>
      <c r="AR50" s="229"/>
      <c r="AS50" s="229"/>
      <c r="AT50" s="229"/>
    </row>
    <row r="51" spans="1:46" ht="14.25" x14ac:dyDescent="0.2">
      <c r="A51" s="795" t="s">
        <v>253</v>
      </c>
      <c r="B51" s="781"/>
      <c r="C51" s="781"/>
      <c r="D51" s="781"/>
      <c r="E51" s="781">
        <f t="shared" ref="E51:AP51" si="12">E31</f>
        <v>0</v>
      </c>
      <c r="F51" s="781">
        <f t="shared" si="12"/>
        <v>0</v>
      </c>
      <c r="G51" s="781">
        <f t="shared" si="12"/>
        <v>0</v>
      </c>
      <c r="H51" s="781">
        <f t="shared" si="12"/>
        <v>0</v>
      </c>
      <c r="I51" s="781">
        <f t="shared" si="12"/>
        <v>0</v>
      </c>
      <c r="J51" s="781">
        <f t="shared" si="12"/>
        <v>439992000</v>
      </c>
      <c r="K51" s="781">
        <f t="shared" si="12"/>
        <v>439992000</v>
      </c>
      <c r="L51" s="781">
        <f t="shared" si="12"/>
        <v>498657600</v>
      </c>
      <c r="M51" s="781">
        <f t="shared" si="12"/>
        <v>498657600</v>
      </c>
      <c r="N51" s="781">
        <f t="shared" si="12"/>
        <v>522694200</v>
      </c>
      <c r="O51" s="781">
        <f t="shared" si="12"/>
        <v>522694200</v>
      </c>
      <c r="P51" s="782">
        <f t="shared" si="12"/>
        <v>522694200</v>
      </c>
      <c r="Q51" s="781">
        <f t="shared" si="12"/>
        <v>0</v>
      </c>
      <c r="R51" s="781">
        <f t="shared" si="12"/>
        <v>1053066000</v>
      </c>
      <c r="S51" s="781">
        <f t="shared" si="12"/>
        <v>444066000</v>
      </c>
      <c r="T51" s="781">
        <f t="shared" si="12"/>
        <v>444066000</v>
      </c>
      <c r="U51" s="781">
        <f t="shared" si="12"/>
        <v>545101200</v>
      </c>
      <c r="V51" s="781">
        <f t="shared" si="12"/>
        <v>545101200</v>
      </c>
      <c r="W51" s="781">
        <f t="shared" si="12"/>
        <v>545101200</v>
      </c>
      <c r="X51" s="781">
        <f t="shared" si="12"/>
        <v>565471200</v>
      </c>
      <c r="Y51" s="781">
        <f t="shared" si="12"/>
        <v>565471200</v>
      </c>
      <c r="Z51" s="781">
        <f t="shared" si="12"/>
        <v>565471200</v>
      </c>
      <c r="AA51" s="781">
        <f t="shared" si="12"/>
        <v>589507800</v>
      </c>
      <c r="AB51" s="781">
        <f t="shared" si="12"/>
        <v>882982800</v>
      </c>
      <c r="AC51" s="782">
        <f t="shared" si="12"/>
        <v>885019800</v>
      </c>
      <c r="AD51" s="781">
        <f t="shared" si="12"/>
        <v>0</v>
      </c>
      <c r="AE51" s="781">
        <f t="shared" si="12"/>
        <v>1483893200</v>
      </c>
      <c r="AF51" s="781">
        <f t="shared" si="12"/>
        <v>760099200</v>
      </c>
      <c r="AG51" s="781">
        <f t="shared" si="12"/>
        <v>760099200</v>
      </c>
      <c r="AH51" s="781">
        <f t="shared" si="12"/>
        <v>980674800</v>
      </c>
      <c r="AI51" s="781">
        <f t="shared" si="12"/>
        <v>980674800</v>
      </c>
      <c r="AJ51" s="781">
        <f t="shared" si="12"/>
        <v>980674800</v>
      </c>
      <c r="AK51" s="781">
        <f t="shared" si="12"/>
        <v>1027072200</v>
      </c>
      <c r="AL51" s="781">
        <f t="shared" si="12"/>
        <v>1027072200</v>
      </c>
      <c r="AM51" s="781">
        <f t="shared" si="12"/>
        <v>1056216000</v>
      </c>
      <c r="AN51" s="781">
        <f t="shared" si="12"/>
        <v>1088787000</v>
      </c>
      <c r="AO51" s="781">
        <f t="shared" si="12"/>
        <v>1094062200</v>
      </c>
      <c r="AP51" s="628">
        <f t="shared" si="12"/>
        <v>1099337400</v>
      </c>
      <c r="AQ51" s="240"/>
      <c r="AR51" s="229"/>
      <c r="AS51" s="229"/>
      <c r="AT51" s="229"/>
    </row>
    <row r="52" spans="1:46" ht="14.25" x14ac:dyDescent="0.2">
      <c r="A52" s="785" t="s">
        <v>254</v>
      </c>
      <c r="B52" s="259"/>
      <c r="C52" s="781"/>
      <c r="D52" s="781"/>
      <c r="E52" s="781">
        <f t="shared" ref="E52:AP52" si="13">E32</f>
        <v>350000000</v>
      </c>
      <c r="F52" s="781">
        <f t="shared" si="13"/>
        <v>0</v>
      </c>
      <c r="G52" s="781">
        <f t="shared" si="13"/>
        <v>80000000</v>
      </c>
      <c r="H52" s="781">
        <f t="shared" si="13"/>
        <v>0</v>
      </c>
      <c r="I52" s="781">
        <f t="shared" si="13"/>
        <v>0</v>
      </c>
      <c r="J52" s="781">
        <f t="shared" si="13"/>
        <v>180000000</v>
      </c>
      <c r="K52" s="781">
        <f t="shared" si="13"/>
        <v>0</v>
      </c>
      <c r="L52" s="781">
        <f t="shared" si="13"/>
        <v>0</v>
      </c>
      <c r="M52" s="781">
        <f t="shared" si="13"/>
        <v>0</v>
      </c>
      <c r="N52" s="781">
        <f t="shared" si="13"/>
        <v>0</v>
      </c>
      <c r="O52" s="781">
        <f t="shared" si="13"/>
        <v>0</v>
      </c>
      <c r="P52" s="782">
        <f t="shared" si="13"/>
        <v>0</v>
      </c>
      <c r="Q52" s="781">
        <f t="shared" si="13"/>
        <v>0</v>
      </c>
      <c r="R52" s="781">
        <f t="shared" si="13"/>
        <v>0</v>
      </c>
      <c r="S52" s="781">
        <f t="shared" si="13"/>
        <v>0</v>
      </c>
      <c r="T52" s="781">
        <f t="shared" si="13"/>
        <v>0</v>
      </c>
      <c r="U52" s="781">
        <f t="shared" si="13"/>
        <v>0</v>
      </c>
      <c r="V52" s="781">
        <f t="shared" si="13"/>
        <v>0</v>
      </c>
      <c r="W52" s="781">
        <f t="shared" si="13"/>
        <v>0</v>
      </c>
      <c r="X52" s="781">
        <f t="shared" si="13"/>
        <v>0</v>
      </c>
      <c r="Y52" s="781">
        <f t="shared" si="13"/>
        <v>0</v>
      </c>
      <c r="Z52" s="781">
        <f t="shared" si="13"/>
        <v>0</v>
      </c>
      <c r="AA52" s="781">
        <f t="shared" si="13"/>
        <v>0</v>
      </c>
      <c r="AB52" s="781">
        <f t="shared" si="13"/>
        <v>0</v>
      </c>
      <c r="AC52" s="782">
        <f t="shared" si="13"/>
        <v>0</v>
      </c>
      <c r="AD52" s="781">
        <f t="shared" si="13"/>
        <v>0</v>
      </c>
      <c r="AE52" s="781">
        <f t="shared" si="13"/>
        <v>0</v>
      </c>
      <c r="AF52" s="781">
        <f t="shared" si="13"/>
        <v>0</v>
      </c>
      <c r="AG52" s="781">
        <f t="shared" si="13"/>
        <v>0</v>
      </c>
      <c r="AH52" s="781">
        <f t="shared" si="13"/>
        <v>0</v>
      </c>
      <c r="AI52" s="781">
        <f t="shared" si="13"/>
        <v>0</v>
      </c>
      <c r="AJ52" s="781">
        <f t="shared" si="13"/>
        <v>0</v>
      </c>
      <c r="AK52" s="781">
        <f t="shared" si="13"/>
        <v>0</v>
      </c>
      <c r="AL52" s="781">
        <f t="shared" si="13"/>
        <v>0</v>
      </c>
      <c r="AM52" s="781">
        <f t="shared" si="13"/>
        <v>0</v>
      </c>
      <c r="AN52" s="781">
        <f t="shared" si="13"/>
        <v>0</v>
      </c>
      <c r="AO52" s="781">
        <f t="shared" si="13"/>
        <v>0</v>
      </c>
      <c r="AP52" s="628">
        <f t="shared" si="13"/>
        <v>0</v>
      </c>
      <c r="AQ52" s="240"/>
      <c r="AR52" s="229"/>
      <c r="AS52" s="229"/>
      <c r="AT52" s="229"/>
    </row>
    <row r="53" spans="1:46" ht="14.25" x14ac:dyDescent="0.2">
      <c r="A53" s="785" t="s">
        <v>257</v>
      </c>
      <c r="B53" s="259"/>
      <c r="C53" s="781"/>
      <c r="D53" s="781"/>
      <c r="E53" s="781">
        <f t="shared" ref="E53:AP53" si="14">E35</f>
        <v>11000000</v>
      </c>
      <c r="F53" s="781">
        <f t="shared" si="14"/>
        <v>11000000</v>
      </c>
      <c r="G53" s="781">
        <f t="shared" si="14"/>
        <v>11000000</v>
      </c>
      <c r="H53" s="781">
        <f t="shared" si="14"/>
        <v>11000000</v>
      </c>
      <c r="I53" s="781">
        <f t="shared" si="14"/>
        <v>11000000</v>
      </c>
      <c r="J53" s="781">
        <f t="shared" si="14"/>
        <v>11000000</v>
      </c>
      <c r="K53" s="781">
        <f t="shared" si="14"/>
        <v>11000000</v>
      </c>
      <c r="L53" s="781">
        <f t="shared" si="14"/>
        <v>11000000</v>
      </c>
      <c r="M53" s="781">
        <f t="shared" si="14"/>
        <v>11000000</v>
      </c>
      <c r="N53" s="781">
        <f t="shared" si="14"/>
        <v>11000000</v>
      </c>
      <c r="O53" s="781">
        <f t="shared" si="14"/>
        <v>11000000</v>
      </c>
      <c r="P53" s="782">
        <f t="shared" si="14"/>
        <v>11000000</v>
      </c>
      <c r="Q53" s="781">
        <f t="shared" si="14"/>
        <v>0</v>
      </c>
      <c r="R53" s="781">
        <f t="shared" si="14"/>
        <v>11000000</v>
      </c>
      <c r="S53" s="781">
        <f t="shared" si="14"/>
        <v>11000000</v>
      </c>
      <c r="T53" s="781">
        <f t="shared" si="14"/>
        <v>11000000</v>
      </c>
      <c r="U53" s="781">
        <f t="shared" si="14"/>
        <v>11000000</v>
      </c>
      <c r="V53" s="781">
        <f t="shared" si="14"/>
        <v>11000000</v>
      </c>
      <c r="W53" s="781">
        <f t="shared" si="14"/>
        <v>11000000</v>
      </c>
      <c r="X53" s="781">
        <f t="shared" si="14"/>
        <v>11000000</v>
      </c>
      <c r="Y53" s="781">
        <f t="shared" si="14"/>
        <v>11000000</v>
      </c>
      <c r="Z53" s="781">
        <f t="shared" si="14"/>
        <v>11000000</v>
      </c>
      <c r="AA53" s="781">
        <f t="shared" si="14"/>
        <v>11000000</v>
      </c>
      <c r="AB53" s="781">
        <f t="shared" si="14"/>
        <v>11000000</v>
      </c>
      <c r="AC53" s="782">
        <f t="shared" si="14"/>
        <v>11000000</v>
      </c>
      <c r="AD53" s="781">
        <f t="shared" si="14"/>
        <v>0</v>
      </c>
      <c r="AE53" s="781">
        <f t="shared" si="14"/>
        <v>11000000</v>
      </c>
      <c r="AF53" s="781">
        <f t="shared" si="14"/>
        <v>11000000</v>
      </c>
      <c r="AG53" s="781">
        <f t="shared" si="14"/>
        <v>11000000</v>
      </c>
      <c r="AH53" s="781">
        <f t="shared" si="14"/>
        <v>11000000</v>
      </c>
      <c r="AI53" s="781">
        <f t="shared" si="14"/>
        <v>11000000</v>
      </c>
      <c r="AJ53" s="781">
        <f t="shared" si="14"/>
        <v>11000000</v>
      </c>
      <c r="AK53" s="781">
        <f t="shared" si="14"/>
        <v>11000000</v>
      </c>
      <c r="AL53" s="781">
        <f t="shared" si="14"/>
        <v>11000000</v>
      </c>
      <c r="AM53" s="781">
        <f t="shared" si="14"/>
        <v>11000000</v>
      </c>
      <c r="AN53" s="781">
        <f t="shared" si="14"/>
        <v>11000000</v>
      </c>
      <c r="AO53" s="781">
        <f t="shared" si="14"/>
        <v>11000000</v>
      </c>
      <c r="AP53" s="628">
        <f t="shared" si="14"/>
        <v>11000000</v>
      </c>
      <c r="AQ53" s="240"/>
      <c r="AR53" s="229"/>
      <c r="AS53" s="229"/>
      <c r="AT53" s="229"/>
    </row>
    <row r="54" spans="1:46" ht="14.25" x14ac:dyDescent="0.2">
      <c r="A54" s="785" t="s">
        <v>258</v>
      </c>
      <c r="B54" s="259"/>
      <c r="C54" s="781"/>
      <c r="D54" s="781"/>
      <c r="E54" s="781">
        <f t="shared" ref="E54:AP54" si="15">E36</f>
        <v>10000000</v>
      </c>
      <c r="F54" s="781">
        <f t="shared" si="15"/>
        <v>10000000</v>
      </c>
      <c r="G54" s="781">
        <f t="shared" si="15"/>
        <v>10000000</v>
      </c>
      <c r="H54" s="781">
        <f t="shared" si="15"/>
        <v>10000000</v>
      </c>
      <c r="I54" s="781">
        <f t="shared" si="15"/>
        <v>10000000</v>
      </c>
      <c r="J54" s="781">
        <f t="shared" si="15"/>
        <v>0</v>
      </c>
      <c r="K54" s="781">
        <f t="shared" si="15"/>
        <v>0</v>
      </c>
      <c r="L54" s="781">
        <f t="shared" si="15"/>
        <v>0</v>
      </c>
      <c r="M54" s="781">
        <f t="shared" si="15"/>
        <v>0</v>
      </c>
      <c r="N54" s="781">
        <f t="shared" si="15"/>
        <v>0</v>
      </c>
      <c r="O54" s="781">
        <f t="shared" si="15"/>
        <v>0</v>
      </c>
      <c r="P54" s="782">
        <f t="shared" si="15"/>
        <v>0</v>
      </c>
      <c r="Q54" s="781">
        <f t="shared" si="15"/>
        <v>0</v>
      </c>
      <c r="R54" s="781">
        <f t="shared" si="15"/>
        <v>0</v>
      </c>
      <c r="S54" s="781">
        <f t="shared" si="15"/>
        <v>0</v>
      </c>
      <c r="T54" s="781">
        <f t="shared" si="15"/>
        <v>0</v>
      </c>
      <c r="U54" s="781">
        <f t="shared" si="15"/>
        <v>0</v>
      </c>
      <c r="V54" s="781">
        <f t="shared" si="15"/>
        <v>0</v>
      </c>
      <c r="W54" s="781">
        <f t="shared" si="15"/>
        <v>0</v>
      </c>
      <c r="X54" s="781">
        <f t="shared" si="15"/>
        <v>0</v>
      </c>
      <c r="Y54" s="781">
        <f t="shared" si="15"/>
        <v>0</v>
      </c>
      <c r="Z54" s="781">
        <f t="shared" si="15"/>
        <v>0</v>
      </c>
      <c r="AA54" s="781">
        <f t="shared" si="15"/>
        <v>0</v>
      </c>
      <c r="AB54" s="781">
        <f t="shared" si="15"/>
        <v>0</v>
      </c>
      <c r="AC54" s="782">
        <f t="shared" si="15"/>
        <v>0</v>
      </c>
      <c r="AD54" s="781">
        <f t="shared" si="15"/>
        <v>0</v>
      </c>
      <c r="AE54" s="781">
        <f t="shared" si="15"/>
        <v>0</v>
      </c>
      <c r="AF54" s="781">
        <f t="shared" si="15"/>
        <v>0</v>
      </c>
      <c r="AG54" s="781">
        <f t="shared" si="15"/>
        <v>0</v>
      </c>
      <c r="AH54" s="781">
        <f t="shared" si="15"/>
        <v>0</v>
      </c>
      <c r="AI54" s="781">
        <f t="shared" si="15"/>
        <v>0</v>
      </c>
      <c r="AJ54" s="781">
        <f t="shared" si="15"/>
        <v>0</v>
      </c>
      <c r="AK54" s="781">
        <f t="shared" si="15"/>
        <v>0</v>
      </c>
      <c r="AL54" s="781">
        <f t="shared" si="15"/>
        <v>0</v>
      </c>
      <c r="AM54" s="781">
        <f t="shared" si="15"/>
        <v>0</v>
      </c>
      <c r="AN54" s="781">
        <f t="shared" si="15"/>
        <v>0</v>
      </c>
      <c r="AO54" s="781">
        <f t="shared" si="15"/>
        <v>0</v>
      </c>
      <c r="AP54" s="628">
        <f t="shared" si="15"/>
        <v>0</v>
      </c>
      <c r="AQ54" s="240"/>
      <c r="AR54" s="229"/>
      <c r="AS54" s="229"/>
      <c r="AT54" s="229"/>
    </row>
    <row r="55" spans="1:46" ht="14.25" x14ac:dyDescent="0.2">
      <c r="A55" s="785" t="s">
        <v>236</v>
      </c>
      <c r="B55" s="259"/>
      <c r="C55" s="781"/>
      <c r="D55" s="781"/>
      <c r="E55" s="781">
        <f t="shared" ref="E55:AP55" si="16">E11</f>
        <v>0</v>
      </c>
      <c r="F55" s="781">
        <f t="shared" si="16"/>
        <v>0</v>
      </c>
      <c r="G55" s="781">
        <f t="shared" si="16"/>
        <v>0</v>
      </c>
      <c r="H55" s="781">
        <f t="shared" si="16"/>
        <v>0</v>
      </c>
      <c r="I55" s="781">
        <f t="shared" si="16"/>
        <v>19180000</v>
      </c>
      <c r="J55" s="781">
        <f t="shared" si="16"/>
        <v>84000000</v>
      </c>
      <c r="K55" s="781">
        <f t="shared" si="16"/>
        <v>85330000</v>
      </c>
      <c r="L55" s="781">
        <f t="shared" si="16"/>
        <v>94500000</v>
      </c>
      <c r="M55" s="781">
        <f t="shared" si="16"/>
        <v>95060000</v>
      </c>
      <c r="N55" s="781">
        <f t="shared" si="16"/>
        <v>99050000</v>
      </c>
      <c r="O55" s="781">
        <f t="shared" si="16"/>
        <v>99050000</v>
      </c>
      <c r="P55" s="782">
        <f t="shared" si="16"/>
        <v>97230000</v>
      </c>
      <c r="Q55" s="781">
        <f t="shared" si="16"/>
        <v>0</v>
      </c>
      <c r="R55" s="781">
        <f t="shared" si="16"/>
        <v>84280000</v>
      </c>
      <c r="S55" s="781">
        <f t="shared" si="16"/>
        <v>84280000</v>
      </c>
      <c r="T55" s="781">
        <f t="shared" si="16"/>
        <v>86590000</v>
      </c>
      <c r="U55" s="781">
        <f t="shared" si="16"/>
        <v>103320000</v>
      </c>
      <c r="V55" s="781">
        <f t="shared" si="16"/>
        <v>103320000</v>
      </c>
      <c r="W55" s="781">
        <f t="shared" si="16"/>
        <v>103810000</v>
      </c>
      <c r="X55" s="781">
        <f t="shared" si="16"/>
        <v>107240000</v>
      </c>
      <c r="Y55" s="781">
        <f t="shared" si="16"/>
        <v>107240000</v>
      </c>
      <c r="Z55" s="781">
        <f t="shared" si="16"/>
        <v>107730000</v>
      </c>
      <c r="AA55" s="781">
        <f t="shared" si="16"/>
        <v>114380000</v>
      </c>
      <c r="AB55" s="781">
        <f t="shared" si="16"/>
        <v>138040000</v>
      </c>
      <c r="AC55" s="782">
        <f t="shared" si="16"/>
        <v>131460000</v>
      </c>
      <c r="AD55" s="781">
        <f t="shared" si="16"/>
        <v>0</v>
      </c>
      <c r="AE55" s="781">
        <f t="shared" si="16"/>
        <v>115570000</v>
      </c>
      <c r="AF55" s="781">
        <f t="shared" si="16"/>
        <v>114870000</v>
      </c>
      <c r="AG55" s="781">
        <f t="shared" si="16"/>
        <v>117530000</v>
      </c>
      <c r="AH55" s="781">
        <f t="shared" si="16"/>
        <v>137340000</v>
      </c>
      <c r="AI55" s="781">
        <f t="shared" si="16"/>
        <v>137340000</v>
      </c>
      <c r="AJ55" s="781">
        <f t="shared" si="16"/>
        <v>137970000</v>
      </c>
      <c r="AK55" s="781">
        <f t="shared" si="16"/>
        <v>142940000</v>
      </c>
      <c r="AL55" s="781">
        <f t="shared" si="16"/>
        <v>143220000</v>
      </c>
      <c r="AM55" s="781">
        <f t="shared" si="16"/>
        <v>145740000</v>
      </c>
      <c r="AN55" s="781">
        <f t="shared" si="16"/>
        <v>150850000</v>
      </c>
      <c r="AO55" s="781">
        <f t="shared" si="16"/>
        <v>151340000</v>
      </c>
      <c r="AP55" s="628">
        <f t="shared" si="16"/>
        <v>133420000</v>
      </c>
      <c r="AQ55" s="240"/>
      <c r="AR55" s="229"/>
      <c r="AS55" s="229"/>
      <c r="AT55" s="229"/>
    </row>
    <row r="56" spans="1:46" ht="14.25" x14ac:dyDescent="0.2">
      <c r="A56" s="785" t="s">
        <v>259</v>
      </c>
      <c r="B56" s="259"/>
      <c r="C56" s="781"/>
      <c r="D56" s="781"/>
      <c r="E56" s="781">
        <f t="shared" ref="E56:AP56" si="17">E37</f>
        <v>0</v>
      </c>
      <c r="F56" s="781">
        <f t="shared" si="17"/>
        <v>0</v>
      </c>
      <c r="G56" s="781">
        <f t="shared" si="17"/>
        <v>8500000</v>
      </c>
      <c r="H56" s="781">
        <f t="shared" si="17"/>
        <v>19000000</v>
      </c>
      <c r="I56" s="781">
        <f t="shared" si="17"/>
        <v>7600000</v>
      </c>
      <c r="J56" s="781">
        <f t="shared" si="17"/>
        <v>0</v>
      </c>
      <c r="K56" s="781">
        <f t="shared" si="17"/>
        <v>10200000</v>
      </c>
      <c r="L56" s="781">
        <f t="shared" si="17"/>
        <v>0</v>
      </c>
      <c r="M56" s="781">
        <f t="shared" si="17"/>
        <v>0</v>
      </c>
      <c r="N56" s="781">
        <f t="shared" si="17"/>
        <v>0</v>
      </c>
      <c r="O56" s="781">
        <f t="shared" si="17"/>
        <v>0</v>
      </c>
      <c r="P56" s="782">
        <f t="shared" si="17"/>
        <v>0</v>
      </c>
      <c r="Q56" s="781">
        <f t="shared" si="17"/>
        <v>0</v>
      </c>
      <c r="R56" s="781">
        <f t="shared" si="17"/>
        <v>0</v>
      </c>
      <c r="S56" s="781">
        <f t="shared" si="17"/>
        <v>5500000</v>
      </c>
      <c r="T56" s="781">
        <f t="shared" si="17"/>
        <v>0</v>
      </c>
      <c r="U56" s="781">
        <f t="shared" si="17"/>
        <v>0</v>
      </c>
      <c r="V56" s="781">
        <f t="shared" si="17"/>
        <v>0</v>
      </c>
      <c r="W56" s="781">
        <f t="shared" si="17"/>
        <v>0</v>
      </c>
      <c r="X56" s="781">
        <f t="shared" si="17"/>
        <v>0</v>
      </c>
      <c r="Y56" s="781">
        <f t="shared" si="17"/>
        <v>0</v>
      </c>
      <c r="Z56" s="781">
        <f t="shared" si="17"/>
        <v>0</v>
      </c>
      <c r="AA56" s="781">
        <f t="shared" si="17"/>
        <v>0</v>
      </c>
      <c r="AB56" s="781">
        <f t="shared" si="17"/>
        <v>0</v>
      </c>
      <c r="AC56" s="782">
        <f t="shared" si="17"/>
        <v>4000000</v>
      </c>
      <c r="AD56" s="781">
        <f t="shared" si="17"/>
        <v>0</v>
      </c>
      <c r="AE56" s="781">
        <f t="shared" si="17"/>
        <v>0</v>
      </c>
      <c r="AF56" s="781">
        <f t="shared" si="17"/>
        <v>0</v>
      </c>
      <c r="AG56" s="781">
        <f t="shared" si="17"/>
        <v>0</v>
      </c>
      <c r="AH56" s="781">
        <f t="shared" si="17"/>
        <v>0</v>
      </c>
      <c r="AI56" s="781">
        <f t="shared" si="17"/>
        <v>0</v>
      </c>
      <c r="AJ56" s="781">
        <f t="shared" si="17"/>
        <v>0</v>
      </c>
      <c r="AK56" s="781">
        <f t="shared" si="17"/>
        <v>0</v>
      </c>
      <c r="AL56" s="781">
        <f t="shared" si="17"/>
        <v>0</v>
      </c>
      <c r="AM56" s="781">
        <f t="shared" si="17"/>
        <v>0</v>
      </c>
      <c r="AN56" s="781">
        <f t="shared" si="17"/>
        <v>0</v>
      </c>
      <c r="AO56" s="781">
        <f t="shared" si="17"/>
        <v>0</v>
      </c>
      <c r="AP56" s="628">
        <f t="shared" si="17"/>
        <v>0</v>
      </c>
      <c r="AQ56" s="240"/>
      <c r="AR56" s="229"/>
      <c r="AS56" s="229"/>
      <c r="AT56" s="229"/>
    </row>
    <row r="57" spans="1:46" ht="14.25" x14ac:dyDescent="0.2">
      <c r="A57" s="796" t="s">
        <v>262</v>
      </c>
      <c r="B57" s="249"/>
      <c r="C57" s="250"/>
      <c r="D57" s="250"/>
      <c r="E57" s="250">
        <f t="shared" ref="E57:AP57" ca="1" si="18">SUM(E45:E56)</f>
        <v>672250000</v>
      </c>
      <c r="F57" s="250">
        <f t="shared" ca="1" si="18"/>
        <v>377011904.76190478</v>
      </c>
      <c r="G57" s="250">
        <f t="shared" ca="1" si="18"/>
        <v>822724181.81818175</v>
      </c>
      <c r="H57" s="250">
        <f t="shared" ca="1" si="18"/>
        <v>1064565826.0869566</v>
      </c>
      <c r="I57" s="250">
        <f t="shared" ca="1" si="18"/>
        <v>1245689478.2608695</v>
      </c>
      <c r="J57" s="250">
        <f t="shared" ca="1" si="18"/>
        <v>2308033428.5714283</v>
      </c>
      <c r="K57" s="250">
        <f t="shared" ca="1" si="18"/>
        <v>2218031000</v>
      </c>
      <c r="L57" s="250">
        <f t="shared" ca="1" si="18"/>
        <v>2176179600</v>
      </c>
      <c r="M57" s="250">
        <f t="shared" ca="1" si="18"/>
        <v>2087239600</v>
      </c>
      <c r="N57" s="250">
        <f t="shared" ca="1" si="18"/>
        <v>2289522200</v>
      </c>
      <c r="O57" s="250">
        <f t="shared" ca="1" si="18"/>
        <v>2718034200</v>
      </c>
      <c r="P57" s="797">
        <f t="shared" ca="1" si="18"/>
        <v>2727214200</v>
      </c>
      <c r="Q57" s="250">
        <f t="shared" si="18"/>
        <v>0</v>
      </c>
      <c r="R57" s="250">
        <f t="shared" ca="1" si="18"/>
        <v>2709619600</v>
      </c>
      <c r="S57" s="250">
        <f t="shared" ca="1" si="18"/>
        <v>2369087600</v>
      </c>
      <c r="T57" s="250">
        <f t="shared" ca="1" si="18"/>
        <v>2216249600</v>
      </c>
      <c r="U57" s="250">
        <f t="shared" ca="1" si="18"/>
        <v>2240263200</v>
      </c>
      <c r="V57" s="250">
        <f t="shared" ca="1" si="18"/>
        <v>2468454000</v>
      </c>
      <c r="W57" s="250">
        <f t="shared" ca="1" si="18"/>
        <v>2543109200</v>
      </c>
      <c r="X57" s="250">
        <f t="shared" ca="1" si="18"/>
        <v>2691654000</v>
      </c>
      <c r="Y57" s="250">
        <f t="shared" ca="1" si="18"/>
        <v>2399326000</v>
      </c>
      <c r="Z57" s="250">
        <f t="shared" ca="1" si="18"/>
        <v>2399816000</v>
      </c>
      <c r="AA57" s="250">
        <f t="shared" ca="1" si="18"/>
        <v>2705616100</v>
      </c>
      <c r="AB57" s="250">
        <f t="shared" ca="1" si="18"/>
        <v>4014526400</v>
      </c>
      <c r="AC57" s="797">
        <f t="shared" ca="1" si="18"/>
        <v>3677991800</v>
      </c>
      <c r="AD57" s="250">
        <f t="shared" si="18"/>
        <v>0</v>
      </c>
      <c r="AE57" s="250">
        <f t="shared" ca="1" si="18"/>
        <v>3770499100</v>
      </c>
      <c r="AF57" s="250">
        <f t="shared" ca="1" si="18"/>
        <v>3018706100</v>
      </c>
      <c r="AG57" s="250">
        <f t="shared" ca="1" si="18"/>
        <v>2640145100</v>
      </c>
      <c r="AH57" s="250">
        <f t="shared" ca="1" si="18"/>
        <v>2826606800</v>
      </c>
      <c r="AI57" s="250">
        <f t="shared" ca="1" si="18"/>
        <v>3546406000</v>
      </c>
      <c r="AJ57" s="250">
        <f t="shared" ca="1" si="18"/>
        <v>3314856800</v>
      </c>
      <c r="AK57" s="250">
        <f t="shared" ca="1" si="18"/>
        <v>3238500500</v>
      </c>
      <c r="AL57" s="250">
        <f t="shared" ca="1" si="18"/>
        <v>2981764000</v>
      </c>
      <c r="AM57" s="250">
        <f t="shared" ca="1" si="18"/>
        <v>3017824800</v>
      </c>
      <c r="AN57" s="250">
        <f t="shared" ca="1" si="18"/>
        <v>3509805700</v>
      </c>
      <c r="AO57" s="250">
        <f t="shared" ca="1" si="18"/>
        <v>4442870000</v>
      </c>
      <c r="AP57" s="301">
        <f t="shared" ca="1" si="18"/>
        <v>4031241400</v>
      </c>
      <c r="AQ57" s="240"/>
      <c r="AR57" s="229"/>
      <c r="AS57" s="229"/>
      <c r="AT57" s="229"/>
    </row>
    <row r="58" spans="1:46" ht="14.25" x14ac:dyDescent="0.2">
      <c r="A58" s="798"/>
      <c r="B58" s="281"/>
      <c r="C58" s="799"/>
      <c r="D58" s="799"/>
      <c r="E58" s="799"/>
      <c r="F58" s="799"/>
      <c r="G58" s="799"/>
      <c r="H58" s="799"/>
      <c r="I58" s="799"/>
      <c r="J58" s="799"/>
      <c r="K58" s="799"/>
      <c r="L58" s="799"/>
      <c r="M58" s="799"/>
      <c r="N58" s="799"/>
      <c r="O58" s="799"/>
      <c r="P58" s="799"/>
      <c r="Q58" s="799"/>
      <c r="R58" s="799"/>
      <c r="S58" s="799"/>
      <c r="T58" s="799"/>
      <c r="U58" s="799"/>
      <c r="V58" s="799"/>
      <c r="W58" s="799"/>
      <c r="X58" s="799"/>
      <c r="Y58" s="799"/>
      <c r="Z58" s="799"/>
      <c r="AA58" s="799"/>
      <c r="AB58" s="799"/>
      <c r="AC58" s="799"/>
      <c r="AD58" s="799"/>
      <c r="AE58" s="799"/>
      <c r="AF58" s="799"/>
      <c r="AG58" s="799"/>
      <c r="AH58" s="799"/>
      <c r="AI58" s="799"/>
      <c r="AJ58" s="799"/>
      <c r="AK58" s="799"/>
      <c r="AL58" s="799"/>
      <c r="AM58" s="799"/>
      <c r="AN58" s="799"/>
      <c r="AO58" s="799"/>
      <c r="AP58" s="799"/>
      <c r="AQ58" s="240"/>
      <c r="AR58" s="229"/>
      <c r="AS58" s="229"/>
      <c r="AT58" s="229"/>
    </row>
    <row r="59" spans="1:46" ht="14.25" x14ac:dyDescent="0.2">
      <c r="A59" s="800"/>
      <c r="B59" s="163"/>
      <c r="C59" s="784"/>
      <c r="D59" s="784"/>
      <c r="E59" s="784"/>
      <c r="F59" s="784"/>
      <c r="G59" s="784"/>
      <c r="H59" s="784"/>
      <c r="I59" s="784"/>
      <c r="J59" s="784"/>
      <c r="K59" s="784"/>
      <c r="L59" s="784"/>
      <c r="M59" s="784"/>
      <c r="N59" s="784"/>
      <c r="O59" s="784"/>
      <c r="P59" s="784"/>
      <c r="Q59" s="784"/>
      <c r="R59" s="784"/>
      <c r="S59" s="784"/>
      <c r="T59" s="784"/>
      <c r="U59" s="784"/>
      <c r="V59" s="784"/>
      <c r="W59" s="784"/>
      <c r="X59" s="784"/>
      <c r="Y59" s="784"/>
      <c r="Z59" s="784"/>
      <c r="AA59" s="784"/>
      <c r="AB59" s="784"/>
      <c r="AC59" s="784"/>
      <c r="AD59" s="784"/>
      <c r="AE59" s="784"/>
      <c r="AF59" s="784"/>
      <c r="AG59" s="784"/>
      <c r="AH59" s="784"/>
      <c r="AI59" s="784"/>
      <c r="AJ59" s="784"/>
      <c r="AK59" s="784"/>
      <c r="AL59" s="784"/>
      <c r="AM59" s="784"/>
      <c r="AN59" s="784"/>
      <c r="AO59" s="784"/>
      <c r="AP59" s="784"/>
      <c r="AQ59" s="240"/>
      <c r="AR59" s="229"/>
      <c r="AS59" s="229"/>
      <c r="AT59" s="229"/>
    </row>
    <row r="60" spans="1:46" ht="14.25" x14ac:dyDescent="0.2">
      <c r="A60" s="803"/>
      <c r="B60" s="225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229"/>
      <c r="AE60" s="229"/>
      <c r="AF60" s="229"/>
      <c r="AG60" s="229"/>
      <c r="AH60" s="229"/>
      <c r="AI60" s="229"/>
      <c r="AJ60" s="229"/>
      <c r="AK60" s="229"/>
      <c r="AL60" s="229"/>
      <c r="AM60" s="229"/>
      <c r="AN60" s="229"/>
      <c r="AO60" s="229"/>
      <c r="AP60" s="229"/>
      <c r="AQ60" s="240"/>
      <c r="AR60" s="229"/>
      <c r="AS60" s="229"/>
      <c r="AT60" s="229"/>
    </row>
    <row r="61" spans="1:46" ht="12.75" x14ac:dyDescent="0.2">
      <c r="A61" s="1379" t="s">
        <v>263</v>
      </c>
      <c r="B61" s="259"/>
      <c r="C61" s="259"/>
      <c r="D61" s="259"/>
      <c r="E61" s="804"/>
      <c r="F61" s="805"/>
      <c r="G61" s="805"/>
      <c r="H61" s="498"/>
      <c r="I61" s="644"/>
      <c r="J61" s="644"/>
      <c r="K61" s="644"/>
      <c r="L61" s="644"/>
      <c r="M61" s="644"/>
      <c r="N61" s="644"/>
      <c r="O61" s="644"/>
      <c r="P61" s="644"/>
      <c r="Q61" s="644"/>
      <c r="R61" s="644"/>
      <c r="S61" s="644"/>
      <c r="T61" s="644"/>
      <c r="U61" s="644"/>
      <c r="V61" s="644"/>
      <c r="W61" s="644"/>
      <c r="X61" s="644"/>
      <c r="Y61" s="644"/>
      <c r="Z61" s="644"/>
      <c r="AA61" s="644"/>
      <c r="AB61" s="644"/>
      <c r="AC61" s="644"/>
      <c r="AD61" s="644"/>
      <c r="AE61" s="644"/>
      <c r="AF61" s="644"/>
      <c r="AG61" s="644"/>
      <c r="AH61" s="644"/>
      <c r="AI61" s="644"/>
      <c r="AJ61" s="644"/>
      <c r="AK61" s="644"/>
      <c r="AL61" s="644"/>
      <c r="AM61" s="644"/>
      <c r="AN61" s="644"/>
      <c r="AO61" s="644"/>
      <c r="AP61" s="644"/>
      <c r="AQ61" s="240"/>
      <c r="AR61" s="229"/>
      <c r="AS61" s="229"/>
      <c r="AT61" s="229"/>
    </row>
    <row r="62" spans="1:46" ht="18" x14ac:dyDescent="0.25">
      <c r="A62" s="1381"/>
      <c r="B62" s="259"/>
      <c r="C62" s="259"/>
      <c r="D62" s="259"/>
      <c r="E62" s="806"/>
      <c r="F62" s="807"/>
      <c r="G62" s="808"/>
      <c r="H62" s="504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  <c r="AD62" s="498"/>
      <c r="AE62" s="498"/>
      <c r="AF62" s="498"/>
      <c r="AG62" s="498"/>
      <c r="AH62" s="498"/>
      <c r="AI62" s="498"/>
      <c r="AJ62" s="498"/>
      <c r="AK62" s="498"/>
      <c r="AL62" s="498"/>
      <c r="AM62" s="498"/>
      <c r="AN62" s="498"/>
      <c r="AO62" s="498"/>
      <c r="AP62" s="498"/>
      <c r="AQ62" s="240"/>
      <c r="AR62" s="229"/>
      <c r="AS62" s="229"/>
      <c r="AT62" s="229"/>
    </row>
    <row r="63" spans="1:46" ht="18" x14ac:dyDescent="0.25">
      <c r="A63" s="1416"/>
      <c r="B63" s="327" t="s">
        <v>213</v>
      </c>
      <c r="C63" s="327"/>
      <c r="D63" s="327"/>
      <c r="E63" s="327">
        <v>2025</v>
      </c>
      <c r="F63" s="499">
        <v>2026</v>
      </c>
      <c r="G63" s="809">
        <v>2027</v>
      </c>
      <c r="H63" s="503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  <c r="AO63" s="504"/>
      <c r="AP63" s="504"/>
      <c r="AQ63" s="240"/>
      <c r="AR63" s="229"/>
      <c r="AS63" s="229"/>
      <c r="AT63" s="229"/>
    </row>
    <row r="64" spans="1:46" ht="14.25" x14ac:dyDescent="0.2">
      <c r="A64" s="810" t="s">
        <v>234</v>
      </c>
      <c r="B64" s="259"/>
      <c r="C64" s="781"/>
      <c r="D64" s="781"/>
      <c r="E64" s="781">
        <f t="shared" ref="E64:E76" si="19">SUM(E45:P45)</f>
        <v>2880000000</v>
      </c>
      <c r="F64" s="781">
        <f t="shared" ref="F64:F76" si="20">SUM(R45:AC45)</f>
        <v>2880000000</v>
      </c>
      <c r="G64" s="628">
        <f t="shared" ref="G64:G76" si="21">SUM(AE45:AP45)</f>
        <v>2880000000</v>
      </c>
      <c r="H64" s="783"/>
      <c r="I64" s="784"/>
      <c r="J64" s="784"/>
      <c r="K64" s="784"/>
      <c r="L64" s="784"/>
      <c r="M64" s="784"/>
      <c r="N64" s="784"/>
      <c r="O64" s="784"/>
      <c r="P64" s="784"/>
      <c r="Q64" s="784"/>
      <c r="R64" s="784"/>
      <c r="S64" s="784"/>
      <c r="T64" s="784"/>
      <c r="U64" s="784"/>
      <c r="V64" s="784"/>
      <c r="W64" s="784"/>
      <c r="X64" s="784"/>
      <c r="Y64" s="784"/>
      <c r="Z64" s="784"/>
      <c r="AA64" s="784"/>
      <c r="AB64" s="784"/>
      <c r="AC64" s="784"/>
      <c r="AD64" s="784"/>
      <c r="AE64" s="784"/>
      <c r="AF64" s="784"/>
      <c r="AG64" s="784"/>
      <c r="AH64" s="784"/>
      <c r="AI64" s="784"/>
      <c r="AJ64" s="784"/>
      <c r="AK64" s="784"/>
      <c r="AL64" s="784"/>
      <c r="AM64" s="784"/>
      <c r="AN64" s="784"/>
      <c r="AO64" s="784"/>
      <c r="AP64" s="784"/>
      <c r="AQ64" s="240"/>
      <c r="AR64" s="229"/>
      <c r="AS64" s="229"/>
      <c r="AT64" s="229"/>
    </row>
    <row r="65" spans="1:46" ht="14.25" x14ac:dyDescent="0.2">
      <c r="A65" s="810" t="s">
        <v>98</v>
      </c>
      <c r="B65" s="259"/>
      <c r="C65" s="781"/>
      <c r="D65" s="781"/>
      <c r="E65" s="781">
        <f t="shared" ca="1" si="19"/>
        <v>317824000</v>
      </c>
      <c r="F65" s="781">
        <f t="shared" ca="1" si="20"/>
        <v>542464000</v>
      </c>
      <c r="G65" s="628">
        <f t="shared" ca="1" si="21"/>
        <v>559104000</v>
      </c>
      <c r="H65" s="783"/>
      <c r="I65" s="784"/>
      <c r="J65" s="784"/>
      <c r="K65" s="784"/>
      <c r="L65" s="784"/>
      <c r="M65" s="784"/>
      <c r="N65" s="784"/>
      <c r="O65" s="784"/>
      <c r="P65" s="784"/>
      <c r="Q65" s="784"/>
      <c r="R65" s="784"/>
      <c r="S65" s="784"/>
      <c r="T65" s="784"/>
      <c r="U65" s="784"/>
      <c r="V65" s="784"/>
      <c r="W65" s="784"/>
      <c r="X65" s="784"/>
      <c r="Y65" s="784"/>
      <c r="Z65" s="784"/>
      <c r="AA65" s="784"/>
      <c r="AB65" s="784"/>
      <c r="AC65" s="784"/>
      <c r="AD65" s="784"/>
      <c r="AE65" s="784"/>
      <c r="AF65" s="784"/>
      <c r="AG65" s="784"/>
      <c r="AH65" s="784"/>
      <c r="AI65" s="784"/>
      <c r="AJ65" s="784"/>
      <c r="AK65" s="784"/>
      <c r="AL65" s="784"/>
      <c r="AM65" s="784"/>
      <c r="AN65" s="784"/>
      <c r="AO65" s="784"/>
      <c r="AP65" s="784"/>
      <c r="AQ65" s="240"/>
      <c r="AR65" s="229"/>
      <c r="AS65" s="229"/>
      <c r="AT65" s="229"/>
    </row>
    <row r="66" spans="1:46" ht="14.25" x14ac:dyDescent="0.2">
      <c r="A66" s="810" t="s">
        <v>146</v>
      </c>
      <c r="B66" s="259"/>
      <c r="C66" s="781"/>
      <c r="D66" s="781"/>
      <c r="E66" s="781">
        <f t="shared" si="19"/>
        <v>2773672000</v>
      </c>
      <c r="F66" s="781">
        <f t="shared" si="20"/>
        <v>5291383900</v>
      </c>
      <c r="G66" s="628">
        <f t="shared" si="21"/>
        <v>7951329300</v>
      </c>
      <c r="H66" s="783"/>
      <c r="I66" s="784"/>
      <c r="J66" s="784"/>
      <c r="K66" s="784"/>
      <c r="L66" s="784"/>
      <c r="M66" s="784"/>
      <c r="N66" s="784"/>
      <c r="O66" s="784"/>
      <c r="P66" s="784"/>
      <c r="Q66" s="784"/>
      <c r="R66" s="784"/>
      <c r="S66" s="784"/>
      <c r="T66" s="784"/>
      <c r="U66" s="784"/>
      <c r="V66" s="784"/>
      <c r="W66" s="784"/>
      <c r="X66" s="784"/>
      <c r="Y66" s="784"/>
      <c r="Z66" s="784"/>
      <c r="AA66" s="784"/>
      <c r="AB66" s="784"/>
      <c r="AC66" s="784"/>
      <c r="AD66" s="784"/>
      <c r="AE66" s="784"/>
      <c r="AF66" s="784"/>
      <c r="AG66" s="784"/>
      <c r="AH66" s="784"/>
      <c r="AI66" s="784"/>
      <c r="AJ66" s="784"/>
      <c r="AK66" s="784"/>
      <c r="AL66" s="784"/>
      <c r="AM66" s="784"/>
      <c r="AN66" s="784"/>
      <c r="AO66" s="784"/>
      <c r="AP66" s="784"/>
      <c r="AQ66" s="240"/>
      <c r="AR66" s="229"/>
      <c r="AS66" s="229"/>
      <c r="AT66" s="229"/>
    </row>
    <row r="67" spans="1:46" ht="14.25" x14ac:dyDescent="0.2">
      <c r="A67" s="810" t="s">
        <v>248</v>
      </c>
      <c r="B67" s="259"/>
      <c r="C67" s="781"/>
      <c r="D67" s="781"/>
      <c r="E67" s="781">
        <f t="shared" si="19"/>
        <v>45500000</v>
      </c>
      <c r="F67" s="781">
        <f t="shared" si="20"/>
        <v>61500000</v>
      </c>
      <c r="G67" s="628">
        <f t="shared" si="21"/>
        <v>66000000</v>
      </c>
      <c r="H67" s="783"/>
      <c r="I67" s="784"/>
      <c r="J67" s="784"/>
      <c r="K67" s="784"/>
      <c r="L67" s="784"/>
      <c r="M67" s="784"/>
      <c r="N67" s="784"/>
      <c r="O67" s="784"/>
      <c r="P67" s="784"/>
      <c r="Q67" s="784"/>
      <c r="R67" s="784"/>
      <c r="S67" s="784"/>
      <c r="T67" s="784"/>
      <c r="U67" s="784"/>
      <c r="V67" s="784"/>
      <c r="W67" s="784"/>
      <c r="X67" s="784"/>
      <c r="Y67" s="784"/>
      <c r="Z67" s="784"/>
      <c r="AA67" s="784"/>
      <c r="AB67" s="784"/>
      <c r="AC67" s="784"/>
      <c r="AD67" s="784"/>
      <c r="AE67" s="784"/>
      <c r="AF67" s="784"/>
      <c r="AG67" s="784"/>
      <c r="AH67" s="784"/>
      <c r="AI67" s="784"/>
      <c r="AJ67" s="784"/>
      <c r="AK67" s="784"/>
      <c r="AL67" s="784"/>
      <c r="AM67" s="784"/>
      <c r="AN67" s="784"/>
      <c r="AO67" s="784"/>
      <c r="AP67" s="784"/>
      <c r="AQ67" s="240"/>
      <c r="AR67" s="229"/>
      <c r="AS67" s="229"/>
      <c r="AT67" s="229"/>
    </row>
    <row r="68" spans="1:46" ht="14.25" x14ac:dyDescent="0.2">
      <c r="A68" s="810" t="s">
        <v>252</v>
      </c>
      <c r="B68" s="259"/>
      <c r="C68" s="781"/>
      <c r="D68" s="781"/>
      <c r="E68" s="781">
        <f t="shared" si="19"/>
        <v>1390000000</v>
      </c>
      <c r="F68" s="781">
        <f t="shared" si="20"/>
        <v>2040000000</v>
      </c>
      <c r="G68" s="628">
        <f t="shared" si="21"/>
        <v>2040000000</v>
      </c>
      <c r="H68" s="783"/>
      <c r="I68" s="784"/>
      <c r="J68" s="784"/>
      <c r="K68" s="784"/>
      <c r="L68" s="784"/>
      <c r="M68" s="784"/>
      <c r="N68" s="784"/>
      <c r="O68" s="784"/>
      <c r="P68" s="784"/>
      <c r="Q68" s="784"/>
      <c r="R68" s="784"/>
      <c r="S68" s="784"/>
      <c r="T68" s="784"/>
      <c r="U68" s="784"/>
      <c r="V68" s="784"/>
      <c r="W68" s="784"/>
      <c r="X68" s="784"/>
      <c r="Y68" s="784"/>
      <c r="Z68" s="784"/>
      <c r="AA68" s="784"/>
      <c r="AB68" s="784"/>
      <c r="AC68" s="784"/>
      <c r="AD68" s="784"/>
      <c r="AE68" s="784"/>
      <c r="AF68" s="784"/>
      <c r="AG68" s="784"/>
      <c r="AH68" s="784"/>
      <c r="AI68" s="784"/>
      <c r="AJ68" s="784"/>
      <c r="AK68" s="784"/>
      <c r="AL68" s="784"/>
      <c r="AM68" s="784"/>
      <c r="AN68" s="784"/>
      <c r="AO68" s="784"/>
      <c r="AP68" s="784"/>
      <c r="AQ68" s="240"/>
      <c r="AR68" s="229"/>
      <c r="AS68" s="229"/>
      <c r="AT68" s="229"/>
    </row>
    <row r="69" spans="1:46" ht="14.25" x14ac:dyDescent="0.2">
      <c r="A69" s="810" t="s">
        <v>233</v>
      </c>
      <c r="B69" s="259"/>
      <c r="C69" s="781"/>
      <c r="D69" s="781"/>
      <c r="E69" s="781">
        <f t="shared" si="19"/>
        <v>8343417819.499341</v>
      </c>
      <c r="F69" s="781">
        <f t="shared" si="20"/>
        <v>12576750000</v>
      </c>
      <c r="G69" s="628">
        <f t="shared" si="21"/>
        <v>12744000000</v>
      </c>
      <c r="H69" s="783"/>
      <c r="I69" s="784"/>
      <c r="J69" s="784"/>
      <c r="K69" s="784"/>
      <c r="L69" s="784"/>
      <c r="M69" s="784"/>
      <c r="N69" s="784"/>
      <c r="O69" s="784"/>
      <c r="P69" s="784"/>
      <c r="Q69" s="784"/>
      <c r="R69" s="784"/>
      <c r="S69" s="784"/>
      <c r="T69" s="784"/>
      <c r="U69" s="784"/>
      <c r="V69" s="784"/>
      <c r="W69" s="784"/>
      <c r="X69" s="784"/>
      <c r="Y69" s="784"/>
      <c r="Z69" s="784"/>
      <c r="AA69" s="784"/>
      <c r="AB69" s="784"/>
      <c r="AC69" s="784"/>
      <c r="AD69" s="784"/>
      <c r="AE69" s="784"/>
      <c r="AF69" s="784"/>
      <c r="AG69" s="784"/>
      <c r="AH69" s="784"/>
      <c r="AI69" s="784"/>
      <c r="AJ69" s="784"/>
      <c r="AK69" s="784"/>
      <c r="AL69" s="784"/>
      <c r="AM69" s="784"/>
      <c r="AN69" s="784"/>
      <c r="AO69" s="784"/>
      <c r="AP69" s="784"/>
      <c r="AQ69" s="240"/>
      <c r="AR69" s="229"/>
      <c r="AS69" s="229"/>
      <c r="AT69" s="229"/>
    </row>
    <row r="70" spans="1:46" ht="14.25" x14ac:dyDescent="0.2">
      <c r="A70" s="811" t="s">
        <v>253</v>
      </c>
      <c r="B70" s="781"/>
      <c r="C70" s="781"/>
      <c r="D70" s="781"/>
      <c r="E70" s="781">
        <f t="shared" si="19"/>
        <v>3445381800</v>
      </c>
      <c r="F70" s="781">
        <f t="shared" si="20"/>
        <v>7630425600</v>
      </c>
      <c r="G70" s="628">
        <f t="shared" si="21"/>
        <v>12338663000</v>
      </c>
      <c r="H70" s="783"/>
      <c r="I70" s="784"/>
      <c r="J70" s="784"/>
      <c r="K70" s="784"/>
      <c r="L70" s="784"/>
      <c r="M70" s="784"/>
      <c r="N70" s="784"/>
      <c r="O70" s="784"/>
      <c r="P70" s="784"/>
      <c r="Q70" s="784"/>
      <c r="R70" s="784"/>
      <c r="S70" s="784"/>
      <c r="T70" s="784"/>
      <c r="U70" s="784"/>
      <c r="V70" s="784"/>
      <c r="W70" s="784"/>
      <c r="X70" s="784"/>
      <c r="Y70" s="784"/>
      <c r="Z70" s="784"/>
      <c r="AA70" s="784"/>
      <c r="AB70" s="784"/>
      <c r="AC70" s="784"/>
      <c r="AD70" s="784"/>
      <c r="AE70" s="784"/>
      <c r="AF70" s="784"/>
      <c r="AG70" s="784"/>
      <c r="AH70" s="784"/>
      <c r="AI70" s="784"/>
      <c r="AJ70" s="784"/>
      <c r="AK70" s="784"/>
      <c r="AL70" s="784"/>
      <c r="AM70" s="784"/>
      <c r="AN70" s="784"/>
      <c r="AO70" s="784"/>
      <c r="AP70" s="784"/>
      <c r="AQ70" s="240"/>
      <c r="AR70" s="229"/>
      <c r="AS70" s="229"/>
      <c r="AT70" s="229"/>
    </row>
    <row r="71" spans="1:46" ht="14.25" x14ac:dyDescent="0.2">
      <c r="A71" s="810" t="s">
        <v>254</v>
      </c>
      <c r="B71" s="259"/>
      <c r="C71" s="781"/>
      <c r="D71" s="781"/>
      <c r="E71" s="781">
        <f t="shared" si="19"/>
        <v>610000000</v>
      </c>
      <c r="F71" s="781">
        <f t="shared" si="20"/>
        <v>0</v>
      </c>
      <c r="G71" s="628">
        <f t="shared" si="21"/>
        <v>0</v>
      </c>
      <c r="H71" s="783"/>
      <c r="I71" s="784"/>
      <c r="J71" s="784"/>
      <c r="K71" s="784"/>
      <c r="L71" s="784"/>
      <c r="M71" s="784"/>
      <c r="N71" s="784"/>
      <c r="O71" s="784"/>
      <c r="P71" s="784"/>
      <c r="Q71" s="784"/>
      <c r="R71" s="784"/>
      <c r="S71" s="784"/>
      <c r="T71" s="784"/>
      <c r="U71" s="784"/>
      <c r="V71" s="784"/>
      <c r="W71" s="784"/>
      <c r="X71" s="784"/>
      <c r="Y71" s="784"/>
      <c r="Z71" s="784"/>
      <c r="AA71" s="784"/>
      <c r="AB71" s="784"/>
      <c r="AC71" s="784"/>
      <c r="AD71" s="784"/>
      <c r="AE71" s="784"/>
      <c r="AF71" s="784"/>
      <c r="AG71" s="784"/>
      <c r="AH71" s="784"/>
      <c r="AI71" s="784"/>
      <c r="AJ71" s="784"/>
      <c r="AK71" s="784"/>
      <c r="AL71" s="784"/>
      <c r="AM71" s="784"/>
      <c r="AN71" s="784"/>
      <c r="AO71" s="784"/>
      <c r="AP71" s="784"/>
      <c r="AQ71" s="240"/>
      <c r="AR71" s="229"/>
      <c r="AS71" s="229"/>
      <c r="AT71" s="229"/>
    </row>
    <row r="72" spans="1:46" ht="14.25" x14ac:dyDescent="0.2">
      <c r="A72" s="810" t="s">
        <v>257</v>
      </c>
      <c r="B72" s="259"/>
      <c r="C72" s="781"/>
      <c r="D72" s="781"/>
      <c r="E72" s="781">
        <f t="shared" si="19"/>
        <v>132000000</v>
      </c>
      <c r="F72" s="781">
        <f t="shared" si="20"/>
        <v>132000000</v>
      </c>
      <c r="G72" s="628">
        <f t="shared" si="21"/>
        <v>132000000</v>
      </c>
      <c r="H72" s="783"/>
      <c r="I72" s="784"/>
      <c r="J72" s="784"/>
      <c r="K72" s="784"/>
      <c r="L72" s="784"/>
      <c r="M72" s="784"/>
      <c r="N72" s="784"/>
      <c r="O72" s="784"/>
      <c r="P72" s="784"/>
      <c r="Q72" s="784"/>
      <c r="R72" s="784"/>
      <c r="S72" s="784"/>
      <c r="T72" s="784"/>
      <c r="U72" s="784"/>
      <c r="V72" s="784"/>
      <c r="W72" s="784"/>
      <c r="X72" s="784"/>
      <c r="Y72" s="784"/>
      <c r="Z72" s="784"/>
      <c r="AA72" s="784"/>
      <c r="AB72" s="784"/>
      <c r="AC72" s="784"/>
      <c r="AD72" s="784"/>
      <c r="AE72" s="784"/>
      <c r="AF72" s="784"/>
      <c r="AG72" s="784"/>
      <c r="AH72" s="784"/>
      <c r="AI72" s="784"/>
      <c r="AJ72" s="784"/>
      <c r="AK72" s="784"/>
      <c r="AL72" s="784"/>
      <c r="AM72" s="784"/>
      <c r="AN72" s="784"/>
      <c r="AO72" s="784"/>
      <c r="AP72" s="784"/>
      <c r="AQ72" s="240"/>
      <c r="AR72" s="229"/>
      <c r="AS72" s="229"/>
      <c r="AT72" s="229"/>
    </row>
    <row r="73" spans="1:46" ht="14.25" x14ac:dyDescent="0.2">
      <c r="A73" s="810" t="s">
        <v>258</v>
      </c>
      <c r="B73" s="259"/>
      <c r="C73" s="781"/>
      <c r="D73" s="781"/>
      <c r="E73" s="781">
        <f t="shared" si="19"/>
        <v>50000000</v>
      </c>
      <c r="F73" s="781">
        <f t="shared" si="20"/>
        <v>0</v>
      </c>
      <c r="G73" s="628">
        <f t="shared" si="21"/>
        <v>0</v>
      </c>
      <c r="H73" s="783"/>
      <c r="I73" s="784"/>
      <c r="J73" s="784"/>
      <c r="K73" s="784"/>
      <c r="L73" s="784"/>
      <c r="M73" s="784"/>
      <c r="N73" s="784"/>
      <c r="O73" s="784"/>
      <c r="P73" s="784"/>
      <c r="Q73" s="784"/>
      <c r="R73" s="784"/>
      <c r="S73" s="784"/>
      <c r="T73" s="784"/>
      <c r="U73" s="784"/>
      <c r="V73" s="784"/>
      <c r="W73" s="784"/>
      <c r="X73" s="784"/>
      <c r="Y73" s="784"/>
      <c r="Z73" s="784"/>
      <c r="AA73" s="784"/>
      <c r="AB73" s="784"/>
      <c r="AC73" s="784"/>
      <c r="AD73" s="784"/>
      <c r="AE73" s="784"/>
      <c r="AF73" s="784"/>
      <c r="AG73" s="784"/>
      <c r="AH73" s="784"/>
      <c r="AI73" s="784"/>
      <c r="AJ73" s="784"/>
      <c r="AK73" s="784"/>
      <c r="AL73" s="784"/>
      <c r="AM73" s="784"/>
      <c r="AN73" s="784"/>
      <c r="AO73" s="784"/>
      <c r="AP73" s="784"/>
      <c r="AQ73" s="240"/>
      <c r="AR73" s="229"/>
      <c r="AS73" s="229"/>
      <c r="AT73" s="229"/>
    </row>
    <row r="74" spans="1:46" ht="14.25" x14ac:dyDescent="0.2">
      <c r="A74" s="810" t="s">
        <v>236</v>
      </c>
      <c r="B74" s="259"/>
      <c r="C74" s="781"/>
      <c r="D74" s="781"/>
      <c r="E74" s="781">
        <f t="shared" si="19"/>
        <v>673400000</v>
      </c>
      <c r="F74" s="781">
        <f t="shared" si="20"/>
        <v>1271690000</v>
      </c>
      <c r="G74" s="628">
        <f t="shared" si="21"/>
        <v>1628130000</v>
      </c>
      <c r="H74" s="783"/>
      <c r="I74" s="784"/>
      <c r="J74" s="784"/>
      <c r="K74" s="784"/>
      <c r="L74" s="784"/>
      <c r="M74" s="784"/>
      <c r="N74" s="784"/>
      <c r="O74" s="784"/>
      <c r="P74" s="784"/>
      <c r="Q74" s="784"/>
      <c r="R74" s="784"/>
      <c r="S74" s="784"/>
      <c r="T74" s="784"/>
      <c r="U74" s="784"/>
      <c r="V74" s="784"/>
      <c r="W74" s="784"/>
      <c r="X74" s="784"/>
      <c r="Y74" s="784"/>
      <c r="Z74" s="784"/>
      <c r="AA74" s="784"/>
      <c r="AB74" s="784"/>
      <c r="AC74" s="784"/>
      <c r="AD74" s="784"/>
      <c r="AE74" s="784"/>
      <c r="AF74" s="784"/>
      <c r="AG74" s="784"/>
      <c r="AH74" s="784"/>
      <c r="AI74" s="784"/>
      <c r="AJ74" s="784"/>
      <c r="AK74" s="784"/>
      <c r="AL74" s="784"/>
      <c r="AM74" s="784"/>
      <c r="AN74" s="784"/>
      <c r="AO74" s="784"/>
      <c r="AP74" s="784"/>
      <c r="AQ74" s="240"/>
      <c r="AR74" s="229"/>
      <c r="AS74" s="229"/>
      <c r="AT74" s="229"/>
    </row>
    <row r="75" spans="1:46" ht="14.25" x14ac:dyDescent="0.2">
      <c r="A75" s="810" t="s">
        <v>259</v>
      </c>
      <c r="B75" s="259"/>
      <c r="C75" s="781"/>
      <c r="D75" s="781"/>
      <c r="E75" s="781">
        <f t="shared" si="19"/>
        <v>45300000</v>
      </c>
      <c r="F75" s="781">
        <f t="shared" si="20"/>
        <v>9500000</v>
      </c>
      <c r="G75" s="628">
        <f t="shared" si="21"/>
        <v>0</v>
      </c>
      <c r="H75" s="783"/>
      <c r="I75" s="784"/>
      <c r="J75" s="784"/>
      <c r="K75" s="784"/>
      <c r="L75" s="784"/>
      <c r="M75" s="784"/>
      <c r="N75" s="784"/>
      <c r="O75" s="784"/>
      <c r="P75" s="784"/>
      <c r="Q75" s="784"/>
      <c r="R75" s="784"/>
      <c r="S75" s="784"/>
      <c r="T75" s="784"/>
      <c r="U75" s="784"/>
      <c r="V75" s="784"/>
      <c r="W75" s="784"/>
      <c r="X75" s="784"/>
      <c r="Y75" s="784"/>
      <c r="Z75" s="784"/>
      <c r="AA75" s="784"/>
      <c r="AB75" s="784"/>
      <c r="AC75" s="784"/>
      <c r="AD75" s="784"/>
      <c r="AE75" s="784"/>
      <c r="AF75" s="784"/>
      <c r="AG75" s="784"/>
      <c r="AH75" s="784"/>
      <c r="AI75" s="784"/>
      <c r="AJ75" s="784"/>
      <c r="AK75" s="784"/>
      <c r="AL75" s="784"/>
      <c r="AM75" s="784"/>
      <c r="AN75" s="784"/>
      <c r="AO75" s="784"/>
      <c r="AP75" s="784"/>
      <c r="AQ75" s="240"/>
      <c r="AR75" s="229"/>
      <c r="AS75" s="229"/>
      <c r="AT75" s="229"/>
    </row>
    <row r="76" spans="1:46" ht="14.25" x14ac:dyDescent="0.2">
      <c r="A76" s="812" t="s">
        <v>262</v>
      </c>
      <c r="B76" s="788"/>
      <c r="C76" s="789"/>
      <c r="D76" s="789"/>
      <c r="E76" s="789">
        <f t="shared" ca="1" si="19"/>
        <v>20706495619.49934</v>
      </c>
      <c r="F76" s="789">
        <f t="shared" ca="1" si="20"/>
        <v>32435713500</v>
      </c>
      <c r="G76" s="791">
        <f t="shared" ca="1" si="21"/>
        <v>40339226300</v>
      </c>
      <c r="H76" s="792"/>
      <c r="I76" s="793"/>
      <c r="J76" s="793"/>
      <c r="K76" s="793"/>
      <c r="L76" s="793"/>
      <c r="M76" s="793"/>
      <c r="N76" s="793"/>
      <c r="O76" s="793"/>
      <c r="P76" s="793"/>
      <c r="Q76" s="793"/>
      <c r="R76" s="793"/>
      <c r="S76" s="793"/>
      <c r="T76" s="793"/>
      <c r="U76" s="793"/>
      <c r="V76" s="793"/>
      <c r="W76" s="793"/>
      <c r="X76" s="793"/>
      <c r="Y76" s="793"/>
      <c r="Z76" s="793"/>
      <c r="AA76" s="793"/>
      <c r="AB76" s="793"/>
      <c r="AC76" s="793"/>
      <c r="AD76" s="793"/>
      <c r="AE76" s="793"/>
      <c r="AF76" s="793"/>
      <c r="AG76" s="793"/>
      <c r="AH76" s="793"/>
      <c r="AI76" s="793"/>
      <c r="AJ76" s="793"/>
      <c r="AK76" s="793"/>
      <c r="AL76" s="793"/>
      <c r="AM76" s="793"/>
      <c r="AN76" s="793"/>
      <c r="AO76" s="793"/>
      <c r="AP76" s="793"/>
      <c r="AQ76" s="813"/>
      <c r="AR76" s="802"/>
      <c r="AS76" s="802"/>
      <c r="AT76" s="802"/>
    </row>
    <row r="77" spans="1:46" ht="14.25" x14ac:dyDescent="0.2">
      <c r="A77" s="814"/>
      <c r="B77" s="815"/>
      <c r="C77" s="816"/>
      <c r="D77" s="816"/>
      <c r="E77" s="816"/>
      <c r="F77" s="816"/>
      <c r="G77" s="816"/>
      <c r="H77" s="816"/>
      <c r="I77" s="816"/>
      <c r="J77" s="816"/>
      <c r="K77" s="816"/>
      <c r="L77" s="816"/>
      <c r="M77" s="816"/>
      <c r="N77" s="816"/>
      <c r="O77" s="816"/>
      <c r="P77" s="816"/>
      <c r="Q77" s="816"/>
      <c r="R77" s="816"/>
      <c r="S77" s="816"/>
      <c r="T77" s="816"/>
      <c r="U77" s="816"/>
      <c r="V77" s="816"/>
      <c r="W77" s="816"/>
      <c r="X77" s="816"/>
      <c r="Y77" s="816"/>
      <c r="Z77" s="816"/>
      <c r="AA77" s="816"/>
      <c r="AB77" s="816"/>
      <c r="AC77" s="816"/>
      <c r="AD77" s="816"/>
      <c r="AE77" s="816"/>
      <c r="AF77" s="816"/>
      <c r="AG77" s="816"/>
      <c r="AH77" s="816"/>
      <c r="AI77" s="816"/>
      <c r="AJ77" s="816"/>
      <c r="AK77" s="816"/>
      <c r="AL77" s="816"/>
      <c r="AM77" s="816"/>
      <c r="AN77" s="816"/>
      <c r="AO77" s="816"/>
      <c r="AP77" s="816"/>
      <c r="AQ77" s="799"/>
      <c r="AR77" s="799"/>
      <c r="AS77" s="799"/>
      <c r="AT77" s="817"/>
    </row>
    <row r="78" spans="1:46" ht="14.25" x14ac:dyDescent="0.2">
      <c r="A78" s="818"/>
      <c r="B78" s="819"/>
      <c r="C78" s="793"/>
      <c r="D78" s="793"/>
      <c r="E78" s="793"/>
      <c r="F78" s="793"/>
      <c r="G78" s="793"/>
      <c r="H78" s="793"/>
      <c r="I78" s="793"/>
      <c r="J78" s="793"/>
      <c r="K78" s="793"/>
      <c r="L78" s="793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793"/>
      <c r="Z78" s="793"/>
      <c r="AA78" s="793"/>
      <c r="AB78" s="793"/>
      <c r="AC78" s="793"/>
      <c r="AD78" s="793"/>
      <c r="AE78" s="793"/>
      <c r="AF78" s="793"/>
      <c r="AG78" s="793"/>
      <c r="AH78" s="793"/>
      <c r="AI78" s="793"/>
      <c r="AJ78" s="793"/>
      <c r="AK78" s="793"/>
      <c r="AL78" s="793"/>
      <c r="AM78" s="793"/>
      <c r="AN78" s="793"/>
      <c r="AO78" s="793"/>
      <c r="AP78" s="793"/>
      <c r="AQ78" s="784"/>
      <c r="AR78" s="784"/>
      <c r="AS78" s="784"/>
      <c r="AT78" s="820"/>
    </row>
    <row r="79" spans="1:46" ht="14.25" x14ac:dyDescent="0.2">
      <c r="A79" s="818"/>
      <c r="B79" s="819"/>
      <c r="C79" s="793"/>
      <c r="D79" s="793"/>
      <c r="E79" s="793"/>
      <c r="F79" s="793"/>
      <c r="G79" s="793"/>
      <c r="H79" s="793"/>
      <c r="I79" s="793"/>
      <c r="J79" s="793"/>
      <c r="K79" s="793"/>
      <c r="L79" s="793"/>
      <c r="M79" s="793"/>
      <c r="N79" s="793"/>
      <c r="O79" s="793"/>
      <c r="P79" s="793"/>
      <c r="Q79" s="793"/>
      <c r="R79" s="793"/>
      <c r="S79" s="793"/>
      <c r="T79" s="793"/>
      <c r="U79" s="793"/>
      <c r="V79" s="793"/>
      <c r="W79" s="793"/>
      <c r="X79" s="793"/>
      <c r="Y79" s="793"/>
      <c r="Z79" s="793"/>
      <c r="AA79" s="793"/>
      <c r="AB79" s="793"/>
      <c r="AC79" s="793"/>
      <c r="AD79" s="793"/>
      <c r="AE79" s="793"/>
      <c r="AF79" s="793"/>
      <c r="AG79" s="793"/>
      <c r="AH79" s="793"/>
      <c r="AI79" s="793"/>
      <c r="AJ79" s="793"/>
      <c r="AK79" s="793"/>
      <c r="AL79" s="793"/>
      <c r="AM79" s="793"/>
      <c r="AN79" s="793"/>
      <c r="AO79" s="793"/>
      <c r="AP79" s="793"/>
      <c r="AQ79" s="784"/>
      <c r="AR79" s="784"/>
      <c r="AS79" s="784"/>
      <c r="AT79" s="820"/>
    </row>
    <row r="80" spans="1:46" ht="14.25" x14ac:dyDescent="0.2">
      <c r="A80" s="818"/>
      <c r="B80" s="819"/>
      <c r="C80" s="793"/>
      <c r="D80" s="793"/>
      <c r="E80" s="793"/>
      <c r="F80" s="793"/>
      <c r="G80" s="793"/>
      <c r="H80" s="793"/>
      <c r="I80" s="793"/>
      <c r="J80" s="793"/>
      <c r="K80" s="793"/>
      <c r="L80" s="793"/>
      <c r="M80" s="793"/>
      <c r="N80" s="793"/>
      <c r="O80" s="793"/>
      <c r="P80" s="793"/>
      <c r="Q80" s="793"/>
      <c r="R80" s="793"/>
      <c r="S80" s="793"/>
      <c r="T80" s="793"/>
      <c r="U80" s="793"/>
      <c r="V80" s="793"/>
      <c r="W80" s="793"/>
      <c r="X80" s="793"/>
      <c r="Y80" s="793"/>
      <c r="Z80" s="793"/>
      <c r="AA80" s="793"/>
      <c r="AB80" s="793"/>
      <c r="AC80" s="793"/>
      <c r="AD80" s="793"/>
      <c r="AE80" s="793"/>
      <c r="AF80" s="793"/>
      <c r="AG80" s="793"/>
      <c r="AH80" s="793"/>
      <c r="AI80" s="793"/>
      <c r="AJ80" s="793"/>
      <c r="AK80" s="793"/>
      <c r="AL80" s="793"/>
      <c r="AM80" s="793"/>
      <c r="AN80" s="793"/>
      <c r="AO80" s="793"/>
      <c r="AP80" s="793"/>
      <c r="AQ80" s="784"/>
      <c r="AR80" s="784"/>
      <c r="AS80" s="784"/>
      <c r="AT80" s="820"/>
    </row>
    <row r="81" spans="1:46" ht="14.25" x14ac:dyDescent="0.2">
      <c r="A81" s="818"/>
      <c r="B81" s="819"/>
      <c r="C81" s="793"/>
      <c r="D81" s="793"/>
      <c r="E81" s="793"/>
      <c r="F81" s="793"/>
      <c r="G81" s="793"/>
      <c r="H81" s="793"/>
      <c r="I81" s="793"/>
      <c r="J81" s="793"/>
      <c r="K81" s="793"/>
      <c r="L81" s="793"/>
      <c r="M81" s="793"/>
      <c r="N81" s="793"/>
      <c r="O81" s="793"/>
      <c r="P81" s="793"/>
      <c r="Q81" s="793"/>
      <c r="R81" s="793"/>
      <c r="S81" s="793"/>
      <c r="T81" s="793"/>
      <c r="U81" s="793"/>
      <c r="V81" s="793"/>
      <c r="W81" s="793"/>
      <c r="X81" s="793"/>
      <c r="Y81" s="793"/>
      <c r="Z81" s="793"/>
      <c r="AA81" s="793"/>
      <c r="AB81" s="793"/>
      <c r="AC81" s="793"/>
      <c r="AD81" s="793"/>
      <c r="AE81" s="793"/>
      <c r="AF81" s="793"/>
      <c r="AG81" s="793"/>
      <c r="AH81" s="793"/>
      <c r="AI81" s="793"/>
      <c r="AJ81" s="793"/>
      <c r="AK81" s="793"/>
      <c r="AL81" s="793"/>
      <c r="AM81" s="793"/>
      <c r="AN81" s="793"/>
      <c r="AO81" s="793"/>
      <c r="AP81" s="793"/>
      <c r="AQ81" s="784"/>
      <c r="AR81" s="784"/>
      <c r="AS81" s="784"/>
      <c r="AT81" s="820"/>
    </row>
    <row r="82" spans="1:46" ht="14.25" x14ac:dyDescent="0.2">
      <c r="A82" s="818"/>
      <c r="B82" s="819"/>
      <c r="C82" s="793"/>
      <c r="D82" s="793"/>
      <c r="E82" s="793"/>
      <c r="F82" s="793"/>
      <c r="G82" s="793"/>
      <c r="H82" s="793"/>
      <c r="I82" s="793"/>
      <c r="J82" s="793"/>
      <c r="K82" s="793"/>
      <c r="L82" s="793"/>
      <c r="M82" s="793"/>
      <c r="N82" s="793"/>
      <c r="O82" s="793"/>
      <c r="P82" s="793"/>
      <c r="Q82" s="793"/>
      <c r="R82" s="793"/>
      <c r="S82" s="793"/>
      <c r="T82" s="793"/>
      <c r="U82" s="793"/>
      <c r="V82" s="793"/>
      <c r="W82" s="793"/>
      <c r="X82" s="793"/>
      <c r="Y82" s="793"/>
      <c r="Z82" s="793"/>
      <c r="AA82" s="793"/>
      <c r="AB82" s="793"/>
      <c r="AC82" s="793"/>
      <c r="AD82" s="793"/>
      <c r="AE82" s="793"/>
      <c r="AF82" s="793"/>
      <c r="AG82" s="793"/>
      <c r="AH82" s="793"/>
      <c r="AI82" s="793"/>
      <c r="AJ82" s="793"/>
      <c r="AK82" s="793"/>
      <c r="AL82" s="793"/>
      <c r="AM82" s="793"/>
      <c r="AN82" s="793"/>
      <c r="AO82" s="793"/>
      <c r="AP82" s="793"/>
      <c r="AQ82" s="784"/>
      <c r="AR82" s="784"/>
      <c r="AS82" s="784"/>
      <c r="AT82" s="820"/>
    </row>
    <row r="83" spans="1:46" ht="14.25" x14ac:dyDescent="0.2">
      <c r="A83" s="821"/>
      <c r="B83" s="822"/>
      <c r="C83" s="823"/>
      <c r="D83" s="823"/>
      <c r="E83" s="823"/>
      <c r="F83" s="823"/>
      <c r="G83" s="823"/>
      <c r="H83" s="823"/>
      <c r="I83" s="823"/>
      <c r="J83" s="823"/>
      <c r="K83" s="823"/>
      <c r="L83" s="823"/>
      <c r="M83" s="823"/>
      <c r="N83" s="823"/>
      <c r="O83" s="823"/>
      <c r="P83" s="823"/>
      <c r="Q83" s="823"/>
      <c r="R83" s="823"/>
      <c r="S83" s="823"/>
      <c r="T83" s="823"/>
      <c r="U83" s="823"/>
      <c r="V83" s="823"/>
      <c r="W83" s="823"/>
      <c r="X83" s="823"/>
      <c r="Y83" s="823"/>
      <c r="Z83" s="823"/>
      <c r="AA83" s="823"/>
      <c r="AB83" s="823"/>
      <c r="AC83" s="823"/>
      <c r="AD83" s="823"/>
      <c r="AE83" s="823"/>
      <c r="AF83" s="823"/>
      <c r="AG83" s="823"/>
      <c r="AH83" s="823"/>
      <c r="AI83" s="823"/>
      <c r="AJ83" s="823"/>
      <c r="AK83" s="823"/>
      <c r="AL83" s="823"/>
      <c r="AM83" s="823"/>
      <c r="AN83" s="823"/>
      <c r="AO83" s="823"/>
      <c r="AP83" s="823"/>
      <c r="AQ83" s="824"/>
      <c r="AR83" s="824"/>
      <c r="AS83" s="824"/>
      <c r="AT83" s="825"/>
    </row>
  </sheetData>
  <mergeCells count="33">
    <mergeCell ref="AH2:AJ2"/>
    <mergeCell ref="A61:A63"/>
    <mergeCell ref="R43:T43"/>
    <mergeCell ref="U43:W43"/>
    <mergeCell ref="AK2:AM2"/>
    <mergeCell ref="AE42:AP42"/>
    <mergeCell ref="A1:A3"/>
    <mergeCell ref="E1:P1"/>
    <mergeCell ref="R1:AC1"/>
    <mergeCell ref="AE1:AP1"/>
    <mergeCell ref="E2:G2"/>
    <mergeCell ref="H2:J2"/>
    <mergeCell ref="K2:M2"/>
    <mergeCell ref="AN2:AP2"/>
    <mergeCell ref="U2:W2"/>
    <mergeCell ref="X2:Z2"/>
    <mergeCell ref="AA2:AC2"/>
    <mergeCell ref="AN43:AP43"/>
    <mergeCell ref="N2:P2"/>
    <mergeCell ref="R2:T2"/>
    <mergeCell ref="A42:A44"/>
    <mergeCell ref="E42:P42"/>
    <mergeCell ref="R42:AC42"/>
    <mergeCell ref="E43:G43"/>
    <mergeCell ref="H43:J43"/>
    <mergeCell ref="X43:Z43"/>
    <mergeCell ref="AA43:AC43"/>
    <mergeCell ref="AE43:AG43"/>
    <mergeCell ref="AH43:AJ43"/>
    <mergeCell ref="AK43:AM43"/>
    <mergeCell ref="K43:M43"/>
    <mergeCell ref="N43:P43"/>
    <mergeCell ref="AE2:AG2"/>
  </mergeCells>
  <conditionalFormatting sqref="B1:D83 AQ1:AT83 A2:A83 E4:AP83">
    <cfRule type="cellIs" dxfId="10" priority="1" operator="equal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9EEB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2.5703125" customWidth="1"/>
    <col min="2" max="2" width="50.140625" customWidth="1"/>
    <col min="3" max="3" width="16.5703125" customWidth="1"/>
    <col min="4" max="4" width="50.140625" customWidth="1"/>
    <col min="5" max="5" width="16.5703125" customWidth="1"/>
    <col min="6" max="6" width="39" customWidth="1"/>
    <col min="7" max="9" width="12.5703125" customWidth="1"/>
  </cols>
  <sheetData>
    <row r="1" spans="1:26" ht="15.75" customHeight="1" x14ac:dyDescent="0.4">
      <c r="A1" s="1" t="s">
        <v>0</v>
      </c>
      <c r="C1" s="2"/>
      <c r="D1" s="826" t="s">
        <v>1</v>
      </c>
      <c r="E1" s="2"/>
    </row>
    <row r="2" spans="1:26" ht="15" x14ac:dyDescent="0.2">
      <c r="A2" s="4" t="s">
        <v>2</v>
      </c>
      <c r="B2" s="4" t="s">
        <v>3</v>
      </c>
      <c r="C2" s="5" t="s">
        <v>4</v>
      </c>
      <c r="D2" s="827" t="s">
        <v>5</v>
      </c>
      <c r="E2" s="5" t="s">
        <v>6</v>
      </c>
      <c r="F2" s="6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/>
      <c r="B3" s="4"/>
      <c r="C3" s="7">
        <f>COUNTIF(C4:C252,"No")</f>
        <v>3</v>
      </c>
      <c r="D3" s="827"/>
      <c r="E3" s="7">
        <f>COUNTIF(E4:E252,"Denied")</f>
        <v>1</v>
      </c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x14ac:dyDescent="0.2">
      <c r="A4" s="4">
        <v>1</v>
      </c>
      <c r="B4" s="4" t="s">
        <v>264</v>
      </c>
      <c r="C4" s="8" t="s">
        <v>11</v>
      </c>
      <c r="D4" s="827">
        <v>5500000</v>
      </c>
      <c r="E4" s="8" t="s">
        <v>265</v>
      </c>
      <c r="F4" s="4" t="s">
        <v>266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x14ac:dyDescent="0.2">
      <c r="A5" s="4">
        <v>2</v>
      </c>
      <c r="B5" s="4" t="s">
        <v>267</v>
      </c>
      <c r="C5" s="8" t="s">
        <v>11</v>
      </c>
      <c r="D5" s="827">
        <f>80000000</f>
        <v>80000000</v>
      </c>
      <c r="E5" s="8" t="s">
        <v>268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x14ac:dyDescent="0.2">
      <c r="A6" s="4">
        <v>3</v>
      </c>
      <c r="B6" s="4" t="s">
        <v>269</v>
      </c>
      <c r="C6" s="8" t="s">
        <v>11</v>
      </c>
      <c r="D6" s="827"/>
      <c r="E6" s="8" t="b"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x14ac:dyDescent="0.2">
      <c r="A7" s="4">
        <v>4</v>
      </c>
      <c r="B7" s="4"/>
      <c r="C7" s="8" t="b">
        <v>0</v>
      </c>
      <c r="D7" s="827" t="s">
        <v>270</v>
      </c>
      <c r="E7" s="8" t="b"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x14ac:dyDescent="0.2">
      <c r="A8" s="4">
        <v>6</v>
      </c>
      <c r="B8" s="4" t="s">
        <v>271</v>
      </c>
      <c r="C8" s="8" t="s">
        <v>9</v>
      </c>
      <c r="D8" s="827"/>
      <c r="E8" s="8" t="b"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x14ac:dyDescent="0.2">
      <c r="A9" s="4">
        <v>7</v>
      </c>
      <c r="B9" s="4" t="s">
        <v>272</v>
      </c>
      <c r="C9" s="8" t="s">
        <v>9</v>
      </c>
      <c r="D9" s="827"/>
      <c r="E9" s="8" t="b"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x14ac:dyDescent="0.2">
      <c r="A10" s="4">
        <v>8</v>
      </c>
      <c r="B10" s="4"/>
      <c r="C10" s="8" t="b">
        <v>0</v>
      </c>
      <c r="D10" s="827"/>
      <c r="E10" s="8" t="b"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x14ac:dyDescent="0.2">
      <c r="A11" s="4">
        <v>9</v>
      </c>
      <c r="B11" s="4"/>
      <c r="C11" s="8" t="b">
        <v>0</v>
      </c>
      <c r="D11" s="827"/>
      <c r="E11" s="8" t="b"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x14ac:dyDescent="0.2">
      <c r="A12" s="4">
        <v>10</v>
      </c>
      <c r="B12" s="4"/>
      <c r="C12" s="8" t="b">
        <v>0</v>
      </c>
      <c r="D12" s="827"/>
      <c r="E12" s="8" t="b"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x14ac:dyDescent="0.2">
      <c r="A13" s="4">
        <v>11</v>
      </c>
      <c r="B13" s="4"/>
      <c r="C13" s="8" t="b">
        <v>0</v>
      </c>
      <c r="D13" s="827"/>
      <c r="E13" s="8" t="b"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x14ac:dyDescent="0.2">
      <c r="A14" s="4">
        <v>12</v>
      </c>
      <c r="B14" s="4"/>
      <c r="C14" s="8" t="b">
        <v>0</v>
      </c>
      <c r="D14" s="827"/>
      <c r="E14" s="8" t="b"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x14ac:dyDescent="0.2">
      <c r="A15" s="4">
        <v>13</v>
      </c>
      <c r="B15" s="4"/>
      <c r="C15" s="8" t="b">
        <v>0</v>
      </c>
      <c r="D15" s="827"/>
      <c r="E15" s="8" t="b"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x14ac:dyDescent="0.2">
      <c r="A16" s="4">
        <v>14</v>
      </c>
      <c r="B16" s="4"/>
      <c r="C16" s="8" t="b">
        <v>0</v>
      </c>
      <c r="D16" s="827"/>
      <c r="E16" s="8" t="b"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x14ac:dyDescent="0.2">
      <c r="A17" s="4">
        <v>15</v>
      </c>
      <c r="B17" s="4"/>
      <c r="C17" s="8" t="b">
        <v>0</v>
      </c>
      <c r="D17" s="827"/>
      <c r="E17" s="8" t="b"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x14ac:dyDescent="0.2">
      <c r="A18" s="4">
        <v>16</v>
      </c>
      <c r="B18" s="4"/>
      <c r="C18" s="8" t="b">
        <v>0</v>
      </c>
      <c r="D18" s="827"/>
      <c r="E18" s="8" t="b"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x14ac:dyDescent="0.2">
      <c r="A19" s="4">
        <v>17</v>
      </c>
      <c r="B19" s="4"/>
      <c r="C19" s="8" t="b">
        <v>0</v>
      </c>
      <c r="D19" s="827"/>
      <c r="E19" s="8" t="b"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x14ac:dyDescent="0.2">
      <c r="A20" s="4">
        <v>18</v>
      </c>
      <c r="B20" s="4"/>
      <c r="C20" s="8" t="b">
        <v>0</v>
      </c>
      <c r="D20" s="827"/>
      <c r="E20" s="8" t="b"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x14ac:dyDescent="0.2">
      <c r="A21" s="4">
        <v>19</v>
      </c>
      <c r="B21" s="4"/>
      <c r="C21" s="8" t="b">
        <v>0</v>
      </c>
      <c r="D21" s="827"/>
      <c r="E21" s="8" t="b"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x14ac:dyDescent="0.2">
      <c r="A22" s="4">
        <v>20</v>
      </c>
      <c r="B22" s="4"/>
      <c r="C22" s="8" t="b">
        <v>0</v>
      </c>
      <c r="D22" s="827"/>
      <c r="E22" s="8" t="b"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x14ac:dyDescent="0.2">
      <c r="A23" s="4">
        <v>21</v>
      </c>
      <c r="B23" s="4"/>
      <c r="C23" s="8" t="b">
        <v>0</v>
      </c>
      <c r="D23" s="827"/>
      <c r="E23" s="8" t="b"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x14ac:dyDescent="0.2">
      <c r="A24" s="4">
        <v>22</v>
      </c>
      <c r="B24" s="4"/>
      <c r="C24" s="8" t="b">
        <v>0</v>
      </c>
      <c r="D24" s="827"/>
      <c r="E24" s="8" t="b"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x14ac:dyDescent="0.2">
      <c r="A25" s="4">
        <v>23</v>
      </c>
      <c r="B25" s="4"/>
      <c r="C25" s="8" t="b">
        <v>0</v>
      </c>
      <c r="D25" s="827"/>
      <c r="E25" s="8" t="b"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x14ac:dyDescent="0.2">
      <c r="A26" s="4">
        <v>24</v>
      </c>
      <c r="B26" s="4"/>
      <c r="C26" s="8" t="b">
        <v>0</v>
      </c>
      <c r="D26" s="827"/>
      <c r="E26" s="8" t="b"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x14ac:dyDescent="0.2">
      <c r="A27" s="4">
        <v>25</v>
      </c>
      <c r="B27" s="4"/>
      <c r="C27" s="8" t="b">
        <v>0</v>
      </c>
      <c r="D27" s="827"/>
      <c r="E27" s="8" t="b"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x14ac:dyDescent="0.2">
      <c r="A28" s="4">
        <v>26</v>
      </c>
      <c r="B28" s="4"/>
      <c r="C28" s="8" t="b">
        <v>0</v>
      </c>
      <c r="D28" s="827"/>
      <c r="E28" s="8" t="b"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x14ac:dyDescent="0.2">
      <c r="A29" s="4">
        <v>27</v>
      </c>
      <c r="B29" s="4"/>
      <c r="C29" s="8" t="b">
        <v>0</v>
      </c>
      <c r="D29" s="827"/>
      <c r="E29" s="8" t="b"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x14ac:dyDescent="0.2">
      <c r="A30" s="4">
        <v>28</v>
      </c>
      <c r="B30" s="4"/>
      <c r="C30" s="8" t="b">
        <v>0</v>
      </c>
      <c r="D30" s="827"/>
      <c r="E30" s="8" t="b"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x14ac:dyDescent="0.2">
      <c r="A31" s="4">
        <v>29</v>
      </c>
      <c r="B31" s="4"/>
      <c r="C31" s="8" t="b">
        <v>0</v>
      </c>
      <c r="D31" s="827"/>
      <c r="E31" s="8" t="b"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x14ac:dyDescent="0.2">
      <c r="A32" s="4">
        <v>30</v>
      </c>
      <c r="B32" s="4"/>
      <c r="C32" s="8" t="b">
        <v>0</v>
      </c>
      <c r="D32" s="827"/>
      <c r="E32" s="8" t="b"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x14ac:dyDescent="0.2">
      <c r="A33" s="4">
        <v>31</v>
      </c>
      <c r="B33" s="4"/>
      <c r="C33" s="8" t="b">
        <v>0</v>
      </c>
      <c r="D33" s="827"/>
      <c r="E33" s="8" t="b"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x14ac:dyDescent="0.2">
      <c r="A34" s="4">
        <v>32</v>
      </c>
      <c r="B34" s="4"/>
      <c r="C34" s="8" t="b">
        <v>0</v>
      </c>
      <c r="D34" s="827"/>
      <c r="E34" s="8" t="b"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x14ac:dyDescent="0.2">
      <c r="A35" s="4">
        <v>33</v>
      </c>
      <c r="B35" s="4"/>
      <c r="C35" s="8" t="b">
        <v>0</v>
      </c>
      <c r="D35" s="827"/>
      <c r="E35" s="8" t="b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x14ac:dyDescent="0.2">
      <c r="A36" s="4">
        <v>34</v>
      </c>
      <c r="B36" s="4"/>
      <c r="C36" s="8" t="b">
        <v>0</v>
      </c>
      <c r="D36" s="827"/>
      <c r="E36" s="8" t="b"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x14ac:dyDescent="0.2">
      <c r="A37" s="4">
        <v>35</v>
      </c>
      <c r="B37" s="4"/>
      <c r="C37" s="8" t="b">
        <v>0</v>
      </c>
      <c r="D37" s="827"/>
      <c r="E37" s="8" t="b"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x14ac:dyDescent="0.2">
      <c r="A38" s="4">
        <v>36</v>
      </c>
      <c r="B38" s="4"/>
      <c r="C38" s="8" t="b">
        <v>0</v>
      </c>
      <c r="D38" s="827"/>
      <c r="E38" s="8" t="b"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x14ac:dyDescent="0.2">
      <c r="A39" s="4">
        <v>37</v>
      </c>
      <c r="B39" s="4"/>
      <c r="C39" s="8" t="b">
        <v>0</v>
      </c>
      <c r="D39" s="827"/>
      <c r="E39" s="8" t="b"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x14ac:dyDescent="0.2">
      <c r="A40" s="4">
        <v>38</v>
      </c>
      <c r="B40" s="4"/>
      <c r="C40" s="8" t="b">
        <v>0</v>
      </c>
      <c r="D40" s="827"/>
      <c r="E40" s="8" t="b"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x14ac:dyDescent="0.2">
      <c r="A41" s="4">
        <v>39</v>
      </c>
      <c r="B41" s="4"/>
      <c r="C41" s="8" t="b">
        <v>0</v>
      </c>
      <c r="D41" s="827"/>
      <c r="E41" s="8" t="b">
        <v>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x14ac:dyDescent="0.2">
      <c r="A42" s="4">
        <v>40</v>
      </c>
      <c r="B42" s="4"/>
      <c r="C42" s="8" t="b">
        <v>0</v>
      </c>
      <c r="D42" s="827"/>
      <c r="E42" s="8" t="b">
        <v>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x14ac:dyDescent="0.2">
      <c r="A43" s="4">
        <v>41</v>
      </c>
      <c r="B43" s="4"/>
      <c r="C43" s="8" t="b">
        <v>0</v>
      </c>
      <c r="D43" s="827"/>
      <c r="E43" s="8" t="b">
        <v>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x14ac:dyDescent="0.2">
      <c r="A44" s="4">
        <v>42</v>
      </c>
      <c r="B44" s="4"/>
      <c r="C44" s="8" t="b">
        <v>0</v>
      </c>
      <c r="D44" s="827"/>
      <c r="E44" s="8" t="b">
        <v>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x14ac:dyDescent="0.2">
      <c r="A45" s="4">
        <v>43</v>
      </c>
      <c r="B45" s="4"/>
      <c r="C45" s="8" t="b">
        <v>0</v>
      </c>
      <c r="D45" s="827"/>
      <c r="E45" s="8" t="b"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x14ac:dyDescent="0.2">
      <c r="A46" s="4">
        <v>44</v>
      </c>
      <c r="B46" s="4"/>
      <c r="C46" s="8" t="b">
        <v>0</v>
      </c>
      <c r="D46" s="827"/>
      <c r="E46" s="8" t="b">
        <v>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x14ac:dyDescent="0.2">
      <c r="A47" s="4">
        <v>45</v>
      </c>
      <c r="B47" s="4"/>
      <c r="C47" s="8" t="b">
        <v>0</v>
      </c>
      <c r="D47" s="827"/>
      <c r="E47" s="8" t="b">
        <v>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2">
      <c r="A48" s="4">
        <v>46</v>
      </c>
      <c r="B48" s="4"/>
      <c r="C48" s="8" t="b">
        <v>0</v>
      </c>
      <c r="D48" s="827"/>
      <c r="E48" s="8" t="b">
        <v>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">
      <c r="A49" s="4">
        <v>47</v>
      </c>
      <c r="B49" s="4"/>
      <c r="C49" s="8" t="b">
        <v>0</v>
      </c>
      <c r="D49" s="827"/>
      <c r="E49" s="8" t="b">
        <v>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">
      <c r="A50" s="4">
        <v>48</v>
      </c>
      <c r="B50" s="4"/>
      <c r="C50" s="8" t="b">
        <v>0</v>
      </c>
      <c r="D50" s="827"/>
      <c r="E50" s="8" t="b"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">
      <c r="A51" s="4">
        <v>49</v>
      </c>
      <c r="B51" s="4"/>
      <c r="C51" s="8" t="b">
        <v>0</v>
      </c>
      <c r="D51" s="827"/>
      <c r="E51" s="8" t="b">
        <v>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">
      <c r="A52" s="4">
        <v>50</v>
      </c>
      <c r="B52" s="4"/>
      <c r="C52" s="8" t="b">
        <v>0</v>
      </c>
      <c r="D52" s="827"/>
      <c r="E52" s="8" t="b">
        <v>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">
      <c r="A53" s="4">
        <v>51</v>
      </c>
      <c r="B53" s="4"/>
      <c r="C53" s="8" t="b">
        <v>0</v>
      </c>
      <c r="D53" s="827"/>
      <c r="E53" s="8" t="b"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">
      <c r="A54" s="4">
        <v>52</v>
      </c>
      <c r="B54" s="4"/>
      <c r="C54" s="8" t="b">
        <v>0</v>
      </c>
      <c r="D54" s="827"/>
      <c r="E54" s="8" t="b">
        <v>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">
      <c r="A55" s="4">
        <v>53</v>
      </c>
      <c r="B55" s="4"/>
      <c r="C55" s="8" t="b">
        <v>0</v>
      </c>
      <c r="D55" s="827"/>
      <c r="E55" s="8" t="b"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">
      <c r="A56" s="4">
        <v>54</v>
      </c>
      <c r="B56" s="4"/>
      <c r="C56" s="8" t="b">
        <v>0</v>
      </c>
      <c r="D56" s="827"/>
      <c r="E56" s="8" t="b">
        <v>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">
      <c r="A57" s="4">
        <v>55</v>
      </c>
      <c r="B57" s="4"/>
      <c r="C57" s="8" t="b">
        <v>0</v>
      </c>
      <c r="D57" s="827"/>
      <c r="E57" s="8" t="b">
        <v>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">
      <c r="A58" s="4">
        <v>56</v>
      </c>
      <c r="B58" s="4"/>
      <c r="C58" s="8" t="b">
        <v>0</v>
      </c>
      <c r="D58" s="827"/>
      <c r="E58" s="8" t="b"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">
      <c r="A59" s="4">
        <v>57</v>
      </c>
      <c r="B59" s="4"/>
      <c r="C59" s="8" t="b">
        <v>0</v>
      </c>
      <c r="D59" s="827"/>
      <c r="E59" s="8" t="b">
        <v>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">
      <c r="A60" s="4">
        <v>58</v>
      </c>
      <c r="B60" s="4"/>
      <c r="C60" s="8" t="b">
        <v>0</v>
      </c>
      <c r="D60" s="827"/>
      <c r="E60" s="8" t="b"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">
      <c r="A61" s="4">
        <v>59</v>
      </c>
      <c r="B61" s="4"/>
      <c r="C61" s="8" t="b">
        <v>0</v>
      </c>
      <c r="D61" s="827"/>
      <c r="E61" s="8" t="b">
        <v>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">
      <c r="A62" s="4">
        <v>60</v>
      </c>
      <c r="B62" s="4"/>
      <c r="C62" s="8" t="b">
        <v>0</v>
      </c>
      <c r="D62" s="827"/>
      <c r="E62" s="8" t="b">
        <v>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">
      <c r="A63" s="4">
        <v>61</v>
      </c>
      <c r="B63" s="4"/>
      <c r="C63" s="8" t="b">
        <v>0</v>
      </c>
      <c r="D63" s="827"/>
      <c r="E63" s="8" t="b">
        <v>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">
      <c r="A64" s="4">
        <v>62</v>
      </c>
      <c r="B64" s="4"/>
      <c r="C64" s="8" t="b">
        <v>0</v>
      </c>
      <c r="D64" s="827"/>
      <c r="E64" s="8" t="b">
        <v>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">
      <c r="A65" s="4">
        <v>63</v>
      </c>
      <c r="B65" s="4"/>
      <c r="C65" s="8" t="b">
        <v>0</v>
      </c>
      <c r="D65" s="827"/>
      <c r="E65" s="8" t="b"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">
      <c r="A66" s="4">
        <v>64</v>
      </c>
      <c r="B66" s="4"/>
      <c r="C66" s="8" t="b">
        <v>0</v>
      </c>
      <c r="D66" s="827"/>
      <c r="E66" s="8" t="b">
        <v>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">
      <c r="A67" s="4">
        <v>65</v>
      </c>
      <c r="B67" s="4"/>
      <c r="C67" s="8" t="b">
        <v>0</v>
      </c>
      <c r="D67" s="827"/>
      <c r="E67" s="8" t="b">
        <v>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">
      <c r="A68" s="4">
        <v>66</v>
      </c>
      <c r="B68" s="4"/>
      <c r="C68" s="8" t="b">
        <v>0</v>
      </c>
      <c r="D68" s="827"/>
      <c r="E68" s="8" t="b">
        <v>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">
      <c r="A69" s="4">
        <v>67</v>
      </c>
      <c r="B69" s="4"/>
      <c r="C69" s="8" t="b">
        <v>0</v>
      </c>
      <c r="D69" s="827"/>
      <c r="E69" s="8" t="b">
        <v>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">
      <c r="A70" s="4">
        <v>68</v>
      </c>
      <c r="B70" s="4"/>
      <c r="C70" s="8" t="b">
        <v>0</v>
      </c>
      <c r="D70" s="827"/>
      <c r="E70" s="8" t="b"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2">
      <c r="A71" s="4">
        <v>69</v>
      </c>
      <c r="B71" s="4"/>
      <c r="C71" s="8" t="b">
        <v>0</v>
      </c>
      <c r="D71" s="827"/>
      <c r="E71" s="8" t="b">
        <v>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2">
      <c r="A72" s="4">
        <v>70</v>
      </c>
      <c r="B72" s="4"/>
      <c r="C72" s="8" t="b">
        <v>0</v>
      </c>
      <c r="D72" s="827"/>
      <c r="E72" s="8" t="b">
        <v>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2">
      <c r="A73" s="4">
        <v>71</v>
      </c>
      <c r="B73" s="4"/>
      <c r="C73" s="8" t="b">
        <v>0</v>
      </c>
      <c r="D73" s="827"/>
      <c r="E73" s="8" t="b">
        <v>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2">
      <c r="A74" s="4">
        <v>72</v>
      </c>
      <c r="B74" s="4"/>
      <c r="C74" s="8" t="b">
        <v>0</v>
      </c>
      <c r="D74" s="827"/>
      <c r="E74" s="8" t="b">
        <v>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2">
      <c r="A75" s="4">
        <v>73</v>
      </c>
      <c r="B75" s="4"/>
      <c r="C75" s="8" t="b">
        <v>0</v>
      </c>
      <c r="D75" s="827"/>
      <c r="E75" s="8" t="b"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2">
      <c r="A76" s="4">
        <v>74</v>
      </c>
      <c r="B76" s="4"/>
      <c r="C76" s="8" t="b">
        <v>0</v>
      </c>
      <c r="D76" s="827"/>
      <c r="E76" s="8" t="b">
        <v>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2">
      <c r="A77" s="4">
        <v>75</v>
      </c>
      <c r="B77" s="4"/>
      <c r="C77" s="8" t="b">
        <v>0</v>
      </c>
      <c r="D77" s="827"/>
      <c r="E77" s="8" t="b">
        <v>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2">
      <c r="A78" s="4">
        <v>76</v>
      </c>
      <c r="B78" s="4"/>
      <c r="C78" s="8" t="b">
        <v>0</v>
      </c>
      <c r="D78" s="827"/>
      <c r="E78" s="8" t="b">
        <v>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2">
      <c r="A79" s="4">
        <v>77</v>
      </c>
      <c r="B79" s="4"/>
      <c r="C79" s="8" t="b">
        <v>0</v>
      </c>
      <c r="D79" s="827"/>
      <c r="E79" s="8" t="b">
        <v>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2">
      <c r="A80" s="4">
        <v>78</v>
      </c>
      <c r="B80" s="4"/>
      <c r="C80" s="8" t="b">
        <v>0</v>
      </c>
      <c r="D80" s="827"/>
      <c r="E80" s="8" t="b"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x14ac:dyDescent="0.2">
      <c r="A81" s="4">
        <v>79</v>
      </c>
      <c r="B81" s="4"/>
      <c r="C81" s="8" t="b">
        <v>0</v>
      </c>
      <c r="D81" s="827"/>
      <c r="E81" s="8" t="b">
        <v>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x14ac:dyDescent="0.2">
      <c r="A82" s="4">
        <v>80</v>
      </c>
      <c r="B82" s="4"/>
      <c r="C82" s="8" t="b">
        <v>0</v>
      </c>
      <c r="D82" s="827"/>
      <c r="E82" s="8" t="b"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x14ac:dyDescent="0.2">
      <c r="A83" s="4">
        <v>81</v>
      </c>
      <c r="B83" s="4"/>
      <c r="C83" s="8" t="b">
        <v>0</v>
      </c>
      <c r="D83" s="827"/>
      <c r="E83" s="8" t="b">
        <v>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x14ac:dyDescent="0.2">
      <c r="A84" s="4">
        <v>82</v>
      </c>
      <c r="B84" s="4"/>
      <c r="C84" s="8" t="b">
        <v>0</v>
      </c>
      <c r="D84" s="827"/>
      <c r="E84" s="8" t="b"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x14ac:dyDescent="0.2">
      <c r="A85" s="4">
        <v>83</v>
      </c>
      <c r="B85" s="4"/>
      <c r="C85" s="8" t="b">
        <v>0</v>
      </c>
      <c r="D85" s="827"/>
      <c r="E85" s="8" t="b"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x14ac:dyDescent="0.2">
      <c r="A86" s="4">
        <v>84</v>
      </c>
      <c r="B86" s="4"/>
      <c r="C86" s="8" t="b">
        <v>0</v>
      </c>
      <c r="D86" s="827"/>
      <c r="E86" s="8" t="b">
        <v>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x14ac:dyDescent="0.2">
      <c r="A87" s="4">
        <v>85</v>
      </c>
      <c r="B87" s="4"/>
      <c r="C87" s="8" t="b">
        <v>0</v>
      </c>
      <c r="D87" s="827"/>
      <c r="E87" s="8" t="b"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x14ac:dyDescent="0.2">
      <c r="A88" s="4">
        <v>86</v>
      </c>
      <c r="B88" s="4"/>
      <c r="C88" s="8" t="b">
        <v>0</v>
      </c>
      <c r="D88" s="827"/>
      <c r="E88" s="8" t="b">
        <v>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x14ac:dyDescent="0.2">
      <c r="A89" s="4">
        <v>87</v>
      </c>
      <c r="B89" s="4"/>
      <c r="C89" s="8" t="b">
        <v>0</v>
      </c>
      <c r="D89" s="827"/>
      <c r="E89" s="8" t="b">
        <v>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x14ac:dyDescent="0.2">
      <c r="A90" s="4">
        <v>88</v>
      </c>
      <c r="B90" s="4"/>
      <c r="C90" s="8" t="b">
        <v>0</v>
      </c>
      <c r="D90" s="827"/>
      <c r="E90" s="8" t="b"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x14ac:dyDescent="0.2">
      <c r="A91" s="4">
        <v>89</v>
      </c>
      <c r="B91" s="4"/>
      <c r="C91" s="8" t="b">
        <v>0</v>
      </c>
      <c r="D91" s="827"/>
      <c r="E91" s="8" t="b">
        <v>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x14ac:dyDescent="0.2">
      <c r="A92" s="4">
        <v>90</v>
      </c>
      <c r="B92" s="4"/>
      <c r="C92" s="8" t="b">
        <v>0</v>
      </c>
      <c r="D92" s="827"/>
      <c r="E92" s="8" t="b">
        <v>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x14ac:dyDescent="0.2">
      <c r="A93" s="4">
        <v>91</v>
      </c>
      <c r="B93" s="4"/>
      <c r="C93" s="8" t="b">
        <v>0</v>
      </c>
      <c r="D93" s="827"/>
      <c r="E93" s="8" t="b">
        <v>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x14ac:dyDescent="0.2">
      <c r="A94" s="4">
        <v>92</v>
      </c>
      <c r="B94" s="4"/>
      <c r="C94" s="8" t="b">
        <v>0</v>
      </c>
      <c r="D94" s="827"/>
      <c r="E94" s="8" t="b">
        <v>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x14ac:dyDescent="0.2">
      <c r="A95" s="4">
        <v>93</v>
      </c>
      <c r="B95" s="4"/>
      <c r="C95" s="8" t="b">
        <v>0</v>
      </c>
      <c r="D95" s="827"/>
      <c r="E95" s="8" t="b"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x14ac:dyDescent="0.2">
      <c r="A96" s="4">
        <v>94</v>
      </c>
      <c r="B96" s="4"/>
      <c r="C96" s="8" t="b">
        <v>0</v>
      </c>
      <c r="D96" s="827"/>
      <c r="E96" s="8" t="b"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x14ac:dyDescent="0.2">
      <c r="A97" s="4">
        <v>95</v>
      </c>
      <c r="B97" s="4"/>
      <c r="C97" s="8" t="b">
        <v>0</v>
      </c>
      <c r="D97" s="827"/>
      <c r="E97" s="8" t="b">
        <v>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x14ac:dyDescent="0.2">
      <c r="A98" s="4">
        <v>96</v>
      </c>
      <c r="B98" s="4"/>
      <c r="C98" s="8" t="b">
        <v>0</v>
      </c>
      <c r="D98" s="827"/>
      <c r="E98" s="8" t="b"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x14ac:dyDescent="0.2">
      <c r="A99" s="4">
        <v>97</v>
      </c>
      <c r="B99" s="4"/>
      <c r="C99" s="8" t="b">
        <v>0</v>
      </c>
      <c r="D99" s="827"/>
      <c r="E99" s="8" t="b">
        <v>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x14ac:dyDescent="0.2">
      <c r="A100" s="4">
        <v>98</v>
      </c>
      <c r="B100" s="4"/>
      <c r="C100" s="8" t="b">
        <v>0</v>
      </c>
      <c r="D100" s="827"/>
      <c r="E100" s="8" t="b"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x14ac:dyDescent="0.2">
      <c r="A101" s="4">
        <v>99</v>
      </c>
      <c r="B101" s="4"/>
      <c r="C101" s="8" t="b">
        <v>0</v>
      </c>
      <c r="D101" s="827"/>
      <c r="E101" s="8" t="b"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x14ac:dyDescent="0.2">
      <c r="A102" s="4">
        <v>100</v>
      </c>
      <c r="B102" s="4"/>
      <c r="C102" s="8" t="b">
        <v>0</v>
      </c>
      <c r="D102" s="827"/>
      <c r="E102" s="8" t="b">
        <v>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x14ac:dyDescent="0.2">
      <c r="A103" s="4">
        <v>101</v>
      </c>
      <c r="B103" s="4"/>
      <c r="C103" s="8" t="b">
        <v>0</v>
      </c>
      <c r="D103" s="827"/>
      <c r="E103" s="8" t="b">
        <v>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x14ac:dyDescent="0.2">
      <c r="A104" s="4">
        <v>102</v>
      </c>
      <c r="B104" s="4"/>
      <c r="C104" s="8" t="b">
        <v>0</v>
      </c>
      <c r="D104" s="827"/>
      <c r="E104" s="8" t="b">
        <v>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x14ac:dyDescent="0.2">
      <c r="A105" s="4">
        <v>103</v>
      </c>
      <c r="B105" s="4"/>
      <c r="C105" s="8" t="b">
        <v>0</v>
      </c>
      <c r="D105" s="827"/>
      <c r="E105" s="8" t="b"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x14ac:dyDescent="0.2">
      <c r="A106" s="4">
        <v>104</v>
      </c>
      <c r="B106" s="4"/>
      <c r="C106" s="8" t="b">
        <v>0</v>
      </c>
      <c r="D106" s="827"/>
      <c r="E106" s="8" t="b">
        <v>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x14ac:dyDescent="0.2">
      <c r="A107" s="4">
        <v>105</v>
      </c>
      <c r="B107" s="4"/>
      <c r="C107" s="8" t="b">
        <v>0</v>
      </c>
      <c r="D107" s="827"/>
      <c r="E107" s="8" t="b">
        <v>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x14ac:dyDescent="0.2">
      <c r="A108" s="4">
        <v>106</v>
      </c>
      <c r="B108" s="4"/>
      <c r="C108" s="8" t="b">
        <v>0</v>
      </c>
      <c r="D108" s="827"/>
      <c r="E108" s="8" t="b">
        <v>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x14ac:dyDescent="0.2">
      <c r="A109" s="4">
        <v>107</v>
      </c>
      <c r="B109" s="4"/>
      <c r="C109" s="8" t="b">
        <v>0</v>
      </c>
      <c r="D109" s="827"/>
      <c r="E109" s="8" t="b">
        <v>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x14ac:dyDescent="0.2">
      <c r="A110" s="4">
        <v>108</v>
      </c>
      <c r="B110" s="4"/>
      <c r="C110" s="8" t="b">
        <v>0</v>
      </c>
      <c r="D110" s="827"/>
      <c r="E110" s="8" t="b"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x14ac:dyDescent="0.2">
      <c r="A111" s="4">
        <v>109</v>
      </c>
      <c r="B111" s="4"/>
      <c r="C111" s="8" t="b">
        <v>0</v>
      </c>
      <c r="D111" s="827"/>
      <c r="E111" s="8" t="b">
        <v>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x14ac:dyDescent="0.2">
      <c r="A112" s="4">
        <v>110</v>
      </c>
      <c r="B112" s="4"/>
      <c r="C112" s="8" t="b">
        <v>0</v>
      </c>
      <c r="D112" s="827"/>
      <c r="E112" s="8" t="b">
        <v>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x14ac:dyDescent="0.2">
      <c r="A113" s="4">
        <v>111</v>
      </c>
      <c r="B113" s="4"/>
      <c r="C113" s="8" t="b">
        <v>0</v>
      </c>
      <c r="D113" s="827"/>
      <c r="E113" s="8" t="b">
        <v>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x14ac:dyDescent="0.2">
      <c r="A114" s="4">
        <v>112</v>
      </c>
      <c r="B114" s="4"/>
      <c r="C114" s="8" t="b">
        <v>0</v>
      </c>
      <c r="D114" s="827"/>
      <c r="E114" s="8" t="b">
        <v>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x14ac:dyDescent="0.2">
      <c r="A115" s="4">
        <v>113</v>
      </c>
      <c r="B115" s="4"/>
      <c r="C115" s="8" t="b">
        <v>0</v>
      </c>
      <c r="D115" s="827"/>
      <c r="E115" s="8" t="b"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x14ac:dyDescent="0.2">
      <c r="A116" s="4">
        <v>114</v>
      </c>
      <c r="B116" s="4"/>
      <c r="C116" s="8" t="b">
        <v>0</v>
      </c>
      <c r="D116" s="827"/>
      <c r="E116" s="8" t="b">
        <v>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x14ac:dyDescent="0.2">
      <c r="A117" s="4">
        <v>115</v>
      </c>
      <c r="B117" s="4"/>
      <c r="C117" s="8" t="b">
        <v>0</v>
      </c>
      <c r="D117" s="827"/>
      <c r="E117" s="8" t="b">
        <v>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x14ac:dyDescent="0.2">
      <c r="A118" s="4">
        <v>116</v>
      </c>
      <c r="B118" s="4"/>
      <c r="C118" s="8" t="b">
        <v>0</v>
      </c>
      <c r="D118" s="827"/>
      <c r="E118" s="8" t="b">
        <v>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x14ac:dyDescent="0.2">
      <c r="A119" s="4">
        <v>117</v>
      </c>
      <c r="B119" s="4"/>
      <c r="C119" s="8" t="b">
        <v>0</v>
      </c>
      <c r="D119" s="827"/>
      <c r="E119" s="8" t="b">
        <v>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x14ac:dyDescent="0.2">
      <c r="A120" s="4">
        <v>118</v>
      </c>
      <c r="B120" s="4"/>
      <c r="C120" s="8" t="b">
        <v>0</v>
      </c>
      <c r="D120" s="827"/>
      <c r="E120" s="8" t="b"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x14ac:dyDescent="0.2">
      <c r="A121" s="4">
        <v>119</v>
      </c>
      <c r="B121" s="4"/>
      <c r="C121" s="8" t="b">
        <v>0</v>
      </c>
      <c r="D121" s="827"/>
      <c r="E121" s="8" t="b">
        <v>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x14ac:dyDescent="0.2">
      <c r="A122" s="4">
        <v>120</v>
      </c>
      <c r="B122" s="4"/>
      <c r="C122" s="8" t="b">
        <v>0</v>
      </c>
      <c r="D122" s="827"/>
      <c r="E122" s="8" t="b">
        <v>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x14ac:dyDescent="0.2">
      <c r="A123" s="4">
        <v>121</v>
      </c>
      <c r="B123" s="4"/>
      <c r="C123" s="8" t="b">
        <v>0</v>
      </c>
      <c r="D123" s="827"/>
      <c r="E123" s="8" t="b">
        <v>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x14ac:dyDescent="0.2">
      <c r="A124" s="4">
        <v>122</v>
      </c>
      <c r="B124" s="4"/>
      <c r="C124" s="8" t="b">
        <v>0</v>
      </c>
      <c r="D124" s="827"/>
      <c r="E124" s="8" t="b">
        <v>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x14ac:dyDescent="0.2">
      <c r="A125" s="4">
        <v>123</v>
      </c>
      <c r="B125" s="4"/>
      <c r="C125" s="8" t="b">
        <v>0</v>
      </c>
      <c r="D125" s="827"/>
      <c r="E125" s="8" t="b"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x14ac:dyDescent="0.2">
      <c r="A126" s="4">
        <v>124</v>
      </c>
      <c r="B126" s="4"/>
      <c r="C126" s="8" t="b">
        <v>0</v>
      </c>
      <c r="D126" s="827"/>
      <c r="E126" s="8" t="b">
        <v>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x14ac:dyDescent="0.2">
      <c r="A127" s="4">
        <v>125</v>
      </c>
      <c r="B127" s="4"/>
      <c r="C127" s="8" t="b">
        <v>0</v>
      </c>
      <c r="D127" s="827"/>
      <c r="E127" s="8" t="b">
        <v>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x14ac:dyDescent="0.2">
      <c r="A128" s="4">
        <v>126</v>
      </c>
      <c r="B128" s="4"/>
      <c r="C128" s="8" t="b">
        <v>0</v>
      </c>
      <c r="D128" s="827"/>
      <c r="E128" s="8" t="b">
        <v>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x14ac:dyDescent="0.2">
      <c r="A129" s="4">
        <v>127</v>
      </c>
      <c r="B129" s="4"/>
      <c r="C129" s="8" t="b">
        <v>0</v>
      </c>
      <c r="D129" s="827"/>
      <c r="E129" s="8" t="b">
        <v>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x14ac:dyDescent="0.2">
      <c r="A130" s="4">
        <v>128</v>
      </c>
      <c r="B130" s="4"/>
      <c r="C130" s="8" t="b">
        <v>0</v>
      </c>
      <c r="D130" s="827"/>
      <c r="E130" s="8" t="b"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x14ac:dyDescent="0.2">
      <c r="A131" s="4">
        <v>129</v>
      </c>
      <c r="B131" s="4"/>
      <c r="C131" s="8" t="b">
        <v>0</v>
      </c>
      <c r="D131" s="827"/>
      <c r="E131" s="8" t="b">
        <v>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x14ac:dyDescent="0.2">
      <c r="A132" s="4">
        <v>130</v>
      </c>
      <c r="B132" s="4"/>
      <c r="C132" s="8" t="b">
        <v>0</v>
      </c>
      <c r="D132" s="827"/>
      <c r="E132" s="8" t="b">
        <v>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x14ac:dyDescent="0.2">
      <c r="A133" s="4">
        <v>131</v>
      </c>
      <c r="B133" s="4"/>
      <c r="C133" s="8" t="b">
        <v>0</v>
      </c>
      <c r="D133" s="827"/>
      <c r="E133" s="8" t="b">
        <v>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x14ac:dyDescent="0.2">
      <c r="A134" s="4">
        <v>132</v>
      </c>
      <c r="B134" s="4"/>
      <c r="C134" s="8" t="b">
        <v>0</v>
      </c>
      <c r="D134" s="827"/>
      <c r="E134" s="8" t="b">
        <v>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x14ac:dyDescent="0.2">
      <c r="A135" s="4">
        <v>133</v>
      </c>
      <c r="B135" s="4"/>
      <c r="C135" s="8" t="b">
        <v>0</v>
      </c>
      <c r="D135" s="827"/>
      <c r="E135" s="8" t="b">
        <v>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x14ac:dyDescent="0.2">
      <c r="A136" s="4">
        <v>134</v>
      </c>
      <c r="B136" s="4"/>
      <c r="C136" s="8" t="b">
        <v>0</v>
      </c>
      <c r="D136" s="827"/>
      <c r="E136" s="8" t="b">
        <v>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x14ac:dyDescent="0.2">
      <c r="A137" s="4">
        <v>135</v>
      </c>
      <c r="B137" s="4"/>
      <c r="C137" s="8" t="b">
        <v>0</v>
      </c>
      <c r="D137" s="827"/>
      <c r="E137" s="8" t="b">
        <v>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x14ac:dyDescent="0.2">
      <c r="A138" s="4">
        <v>136</v>
      </c>
      <c r="B138" s="4"/>
      <c r="C138" s="8" t="b">
        <v>0</v>
      </c>
      <c r="D138" s="827"/>
      <c r="E138" s="8" t="b">
        <v>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x14ac:dyDescent="0.2">
      <c r="A139" s="4">
        <v>137</v>
      </c>
      <c r="B139" s="4"/>
      <c r="C139" s="8" t="b">
        <v>0</v>
      </c>
      <c r="D139" s="827"/>
      <c r="E139" s="8" t="b">
        <v>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x14ac:dyDescent="0.2">
      <c r="A140" s="4">
        <v>138</v>
      </c>
      <c r="B140" s="4"/>
      <c r="C140" s="8" t="b">
        <v>0</v>
      </c>
      <c r="D140" s="827"/>
      <c r="E140" s="8" t="b"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x14ac:dyDescent="0.2">
      <c r="A141" s="4">
        <v>139</v>
      </c>
      <c r="B141" s="4"/>
      <c r="C141" s="8" t="b">
        <v>0</v>
      </c>
      <c r="D141" s="827"/>
      <c r="E141" s="8" t="b">
        <v>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x14ac:dyDescent="0.2">
      <c r="A142" s="4">
        <v>140</v>
      </c>
      <c r="B142" s="4"/>
      <c r="C142" s="8" t="b">
        <v>0</v>
      </c>
      <c r="D142" s="827"/>
      <c r="E142" s="8" t="b">
        <v>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x14ac:dyDescent="0.2">
      <c r="A143" s="4">
        <v>141</v>
      </c>
      <c r="B143" s="4"/>
      <c r="C143" s="8" t="b">
        <v>0</v>
      </c>
      <c r="D143" s="827"/>
      <c r="E143" s="8" t="b">
        <v>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x14ac:dyDescent="0.2">
      <c r="A144" s="4">
        <v>142</v>
      </c>
      <c r="B144" s="4"/>
      <c r="C144" s="8" t="b">
        <v>0</v>
      </c>
      <c r="D144" s="827"/>
      <c r="E144" s="8" t="b">
        <v>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x14ac:dyDescent="0.2">
      <c r="A145" s="4">
        <v>143</v>
      </c>
      <c r="B145" s="4"/>
      <c r="C145" s="8" t="b">
        <v>0</v>
      </c>
      <c r="D145" s="827"/>
      <c r="E145" s="8" t="b"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x14ac:dyDescent="0.2">
      <c r="A146" s="4">
        <v>144</v>
      </c>
      <c r="B146" s="4"/>
      <c r="C146" s="8" t="b">
        <v>0</v>
      </c>
      <c r="D146" s="827"/>
      <c r="E146" s="8" t="b">
        <v>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x14ac:dyDescent="0.2">
      <c r="A147" s="4">
        <v>145</v>
      </c>
      <c r="B147" s="4"/>
      <c r="C147" s="8" t="b">
        <v>0</v>
      </c>
      <c r="D147" s="827"/>
      <c r="E147" s="8" t="b">
        <v>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x14ac:dyDescent="0.2">
      <c r="A148" s="4">
        <v>146</v>
      </c>
      <c r="B148" s="4"/>
      <c r="C148" s="8" t="b">
        <v>0</v>
      </c>
      <c r="D148" s="827"/>
      <c r="E148" s="8" t="b">
        <v>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x14ac:dyDescent="0.2">
      <c r="A149" s="4">
        <v>147</v>
      </c>
      <c r="B149" s="4"/>
      <c r="C149" s="8" t="b">
        <v>0</v>
      </c>
      <c r="D149" s="827"/>
      <c r="E149" s="8" t="b"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x14ac:dyDescent="0.2">
      <c r="A150" s="4">
        <v>148</v>
      </c>
      <c r="B150" s="4"/>
      <c r="C150" s="8" t="b">
        <v>0</v>
      </c>
      <c r="D150" s="827"/>
      <c r="E150" s="8" t="b"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x14ac:dyDescent="0.2">
      <c r="A151" s="4">
        <v>149</v>
      </c>
      <c r="B151" s="4"/>
      <c r="C151" s="8" t="b">
        <v>0</v>
      </c>
      <c r="D151" s="827"/>
      <c r="E151" s="8" t="b">
        <v>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x14ac:dyDescent="0.2">
      <c r="A152" s="4">
        <v>150</v>
      </c>
      <c r="B152" s="4"/>
      <c r="C152" s="8" t="b">
        <v>0</v>
      </c>
      <c r="D152" s="827"/>
      <c r="E152" s="8" t="b">
        <v>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x14ac:dyDescent="0.2">
      <c r="A153" s="4">
        <v>151</v>
      </c>
      <c r="B153" s="4"/>
      <c r="C153" s="8" t="b">
        <v>0</v>
      </c>
      <c r="D153" s="827"/>
      <c r="E153" s="8" t="b">
        <v>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x14ac:dyDescent="0.2">
      <c r="A154" s="4">
        <v>152</v>
      </c>
      <c r="B154" s="4"/>
      <c r="C154" s="8" t="b">
        <v>0</v>
      </c>
      <c r="D154" s="827"/>
      <c r="E154" s="8" t="b"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x14ac:dyDescent="0.2">
      <c r="A155" s="4">
        <v>153</v>
      </c>
      <c r="B155" s="4"/>
      <c r="C155" s="8" t="b">
        <v>0</v>
      </c>
      <c r="D155" s="827"/>
      <c r="E155" s="8" t="b"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x14ac:dyDescent="0.2">
      <c r="A156" s="4">
        <v>154</v>
      </c>
      <c r="B156" s="4"/>
      <c r="C156" s="8" t="b">
        <v>0</v>
      </c>
      <c r="D156" s="827"/>
      <c r="E156" s="8" t="b">
        <v>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x14ac:dyDescent="0.2">
      <c r="A157" s="4">
        <v>155</v>
      </c>
      <c r="B157" s="4"/>
      <c r="C157" s="8" t="b">
        <v>0</v>
      </c>
      <c r="D157" s="827"/>
      <c r="E157" s="8" t="b">
        <v>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x14ac:dyDescent="0.2">
      <c r="A158" s="4">
        <v>156</v>
      </c>
      <c r="B158" s="4"/>
      <c r="C158" s="8" t="b">
        <v>0</v>
      </c>
      <c r="D158" s="827"/>
      <c r="E158" s="8" t="b">
        <v>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x14ac:dyDescent="0.2">
      <c r="A159" s="4">
        <v>157</v>
      </c>
      <c r="B159" s="4"/>
      <c r="C159" s="8" t="b">
        <v>0</v>
      </c>
      <c r="D159" s="827"/>
      <c r="E159" s="8" t="b">
        <v>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x14ac:dyDescent="0.2">
      <c r="A160" s="4">
        <v>158</v>
      </c>
      <c r="B160" s="4"/>
      <c r="C160" s="8" t="b">
        <v>0</v>
      </c>
      <c r="D160" s="827"/>
      <c r="E160" s="8" t="b"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x14ac:dyDescent="0.2">
      <c r="A161" s="4">
        <v>159</v>
      </c>
      <c r="B161" s="4"/>
      <c r="C161" s="8" t="b">
        <v>0</v>
      </c>
      <c r="D161" s="827"/>
      <c r="E161" s="8" t="b">
        <v>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x14ac:dyDescent="0.2">
      <c r="A162" s="4">
        <v>160</v>
      </c>
      <c r="B162" s="4"/>
      <c r="C162" s="8" t="b">
        <v>0</v>
      </c>
      <c r="D162" s="827"/>
      <c r="E162" s="8" t="b">
        <v>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x14ac:dyDescent="0.2">
      <c r="A163" s="4">
        <v>161</v>
      </c>
      <c r="B163" s="4"/>
      <c r="C163" s="8" t="b">
        <v>0</v>
      </c>
      <c r="D163" s="827"/>
      <c r="E163" s="8" t="b">
        <v>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x14ac:dyDescent="0.2">
      <c r="A164" s="4">
        <v>162</v>
      </c>
      <c r="B164" s="4"/>
      <c r="C164" s="8" t="b">
        <v>0</v>
      </c>
      <c r="D164" s="827"/>
      <c r="E164" s="8" t="b">
        <v>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x14ac:dyDescent="0.2">
      <c r="A165" s="4">
        <v>163</v>
      </c>
      <c r="B165" s="4"/>
      <c r="C165" s="8" t="b">
        <v>0</v>
      </c>
      <c r="D165" s="827"/>
      <c r="E165" s="8" t="b"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x14ac:dyDescent="0.2">
      <c r="A166" s="4">
        <v>164</v>
      </c>
      <c r="B166" s="4"/>
      <c r="C166" s="8" t="b">
        <v>0</v>
      </c>
      <c r="D166" s="827"/>
      <c r="E166" s="8" t="b">
        <v>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x14ac:dyDescent="0.2">
      <c r="A167" s="4">
        <v>165</v>
      </c>
      <c r="B167" s="4"/>
      <c r="C167" s="8" t="b">
        <v>0</v>
      </c>
      <c r="D167" s="827"/>
      <c r="E167" s="8" t="b">
        <v>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x14ac:dyDescent="0.2">
      <c r="A168" s="4">
        <v>166</v>
      </c>
      <c r="B168" s="4"/>
      <c r="C168" s="8" t="b">
        <v>0</v>
      </c>
      <c r="D168" s="827"/>
      <c r="E168" s="8" t="b">
        <v>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x14ac:dyDescent="0.2">
      <c r="A169" s="4">
        <v>167</v>
      </c>
      <c r="B169" s="4"/>
      <c r="C169" s="8" t="b">
        <v>0</v>
      </c>
      <c r="D169" s="827"/>
      <c r="E169" s="8" t="b">
        <v>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x14ac:dyDescent="0.2">
      <c r="A170" s="4">
        <v>168</v>
      </c>
      <c r="B170" s="4"/>
      <c r="C170" s="8" t="b">
        <v>0</v>
      </c>
      <c r="D170" s="827"/>
      <c r="E170" s="8" t="b"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x14ac:dyDescent="0.2">
      <c r="A171" s="4">
        <v>169</v>
      </c>
      <c r="B171" s="4"/>
      <c r="C171" s="8" t="b">
        <v>0</v>
      </c>
      <c r="D171" s="827"/>
      <c r="E171" s="8" t="b">
        <v>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x14ac:dyDescent="0.2">
      <c r="A172" s="4">
        <v>170</v>
      </c>
      <c r="B172" s="4"/>
      <c r="C172" s="8" t="b">
        <v>0</v>
      </c>
      <c r="D172" s="827"/>
      <c r="E172" s="8" t="b">
        <v>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x14ac:dyDescent="0.2">
      <c r="A173" s="4">
        <v>171</v>
      </c>
      <c r="B173" s="4"/>
      <c r="C173" s="8" t="b">
        <v>0</v>
      </c>
      <c r="D173" s="827"/>
      <c r="E173" s="8" t="b">
        <v>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x14ac:dyDescent="0.2">
      <c r="A174" s="4">
        <v>172</v>
      </c>
      <c r="B174" s="4"/>
      <c r="C174" s="8" t="b">
        <v>0</v>
      </c>
      <c r="D174" s="827"/>
      <c r="E174" s="8" t="b">
        <v>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x14ac:dyDescent="0.2">
      <c r="A175" s="4">
        <v>173</v>
      </c>
      <c r="B175" s="4"/>
      <c r="C175" s="8" t="b">
        <v>0</v>
      </c>
      <c r="D175" s="827"/>
      <c r="E175" s="8" t="b"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x14ac:dyDescent="0.2">
      <c r="A176" s="4">
        <v>174</v>
      </c>
      <c r="B176" s="4"/>
      <c r="C176" s="8" t="b">
        <v>0</v>
      </c>
      <c r="D176" s="827"/>
      <c r="E176" s="8" t="b">
        <v>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x14ac:dyDescent="0.2">
      <c r="A177" s="4">
        <v>175</v>
      </c>
      <c r="B177" s="4"/>
      <c r="C177" s="8" t="b">
        <v>0</v>
      </c>
      <c r="D177" s="827"/>
      <c r="E177" s="8" t="b">
        <v>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x14ac:dyDescent="0.2">
      <c r="A178" s="4">
        <v>176</v>
      </c>
      <c r="B178" s="4"/>
      <c r="C178" s="8" t="b">
        <v>0</v>
      </c>
      <c r="D178" s="827"/>
      <c r="E178" s="8" t="b">
        <v>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x14ac:dyDescent="0.2">
      <c r="A179" s="4">
        <v>177</v>
      </c>
      <c r="B179" s="4"/>
      <c r="C179" s="8" t="b">
        <v>0</v>
      </c>
      <c r="D179" s="827"/>
      <c r="E179" s="8" t="b">
        <v>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x14ac:dyDescent="0.2">
      <c r="A180" s="4">
        <v>178</v>
      </c>
      <c r="B180" s="4"/>
      <c r="C180" s="8" t="b">
        <v>0</v>
      </c>
      <c r="D180" s="827"/>
      <c r="E180" s="8" t="b"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x14ac:dyDescent="0.2">
      <c r="A181" s="4">
        <v>179</v>
      </c>
      <c r="B181" s="4"/>
      <c r="C181" s="8" t="b">
        <v>0</v>
      </c>
      <c r="D181" s="827"/>
      <c r="E181" s="8" t="b"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x14ac:dyDescent="0.2">
      <c r="A182" s="4">
        <v>180</v>
      </c>
      <c r="B182" s="4"/>
      <c r="C182" s="8" t="b">
        <v>0</v>
      </c>
      <c r="D182" s="827"/>
      <c r="E182" s="8" t="b">
        <v>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x14ac:dyDescent="0.2">
      <c r="A183" s="4">
        <v>181</v>
      </c>
      <c r="B183" s="4"/>
      <c r="C183" s="8" t="b">
        <v>0</v>
      </c>
      <c r="D183" s="827"/>
      <c r="E183" s="8" t="b">
        <v>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x14ac:dyDescent="0.2">
      <c r="A184" s="4">
        <v>182</v>
      </c>
      <c r="B184" s="4"/>
      <c r="C184" s="8" t="b">
        <v>0</v>
      </c>
      <c r="D184" s="827"/>
      <c r="E184" s="8" t="b">
        <v>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x14ac:dyDescent="0.2">
      <c r="A185" s="4">
        <v>183</v>
      </c>
      <c r="B185" s="4"/>
      <c r="C185" s="8" t="b">
        <v>0</v>
      </c>
      <c r="D185" s="827"/>
      <c r="E185" s="8" t="b"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x14ac:dyDescent="0.2">
      <c r="A186" s="4">
        <v>184</v>
      </c>
      <c r="B186" s="4"/>
      <c r="C186" s="8" t="b">
        <v>0</v>
      </c>
      <c r="D186" s="827"/>
      <c r="E186" s="8" t="b">
        <v>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x14ac:dyDescent="0.2">
      <c r="A187" s="4">
        <v>185</v>
      </c>
      <c r="B187" s="4"/>
      <c r="C187" s="8" t="b">
        <v>0</v>
      </c>
      <c r="D187" s="827"/>
      <c r="E187" s="8" t="b">
        <v>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x14ac:dyDescent="0.2">
      <c r="A188" s="4">
        <v>186</v>
      </c>
      <c r="B188" s="4"/>
      <c r="C188" s="8" t="b">
        <v>0</v>
      </c>
      <c r="D188" s="827"/>
      <c r="E188" s="8" t="b">
        <v>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x14ac:dyDescent="0.2">
      <c r="A189" s="4">
        <v>187</v>
      </c>
      <c r="B189" s="4"/>
      <c r="C189" s="8" t="b">
        <v>0</v>
      </c>
      <c r="D189" s="827"/>
      <c r="E189" s="8" t="b">
        <v>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x14ac:dyDescent="0.2">
      <c r="A190" s="4">
        <v>188</v>
      </c>
      <c r="B190" s="4"/>
      <c r="C190" s="8" t="b">
        <v>0</v>
      </c>
      <c r="D190" s="827"/>
      <c r="E190" s="8" t="b"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x14ac:dyDescent="0.2">
      <c r="A191" s="4">
        <v>189</v>
      </c>
      <c r="B191" s="4"/>
      <c r="C191" s="8" t="b">
        <v>0</v>
      </c>
      <c r="D191" s="827"/>
      <c r="E191" s="8" t="b">
        <v>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x14ac:dyDescent="0.2">
      <c r="A192" s="4">
        <v>190</v>
      </c>
      <c r="B192" s="4"/>
      <c r="C192" s="8" t="b">
        <v>0</v>
      </c>
      <c r="D192" s="827"/>
      <c r="E192" s="8" t="b">
        <v>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x14ac:dyDescent="0.2">
      <c r="A193" s="4">
        <v>191</v>
      </c>
      <c r="B193" s="4"/>
      <c r="C193" s="8" t="b">
        <v>0</v>
      </c>
      <c r="D193" s="827"/>
      <c r="E193" s="8" t="b">
        <v>0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x14ac:dyDescent="0.2">
      <c r="A194" s="4">
        <v>192</v>
      </c>
      <c r="B194" s="4"/>
      <c r="C194" s="8" t="b">
        <v>0</v>
      </c>
      <c r="D194" s="827"/>
      <c r="E194" s="8" t="b">
        <v>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x14ac:dyDescent="0.2">
      <c r="A195" s="4">
        <v>193</v>
      </c>
      <c r="B195" s="4"/>
      <c r="C195" s="8" t="b">
        <v>0</v>
      </c>
      <c r="D195" s="827"/>
      <c r="E195" s="8" t="b"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x14ac:dyDescent="0.2">
      <c r="A196" s="4">
        <v>194</v>
      </c>
      <c r="B196" s="4"/>
      <c r="C196" s="8" t="b">
        <v>0</v>
      </c>
      <c r="D196" s="827"/>
      <c r="E196" s="8" t="b">
        <v>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x14ac:dyDescent="0.2">
      <c r="A197" s="4">
        <v>195</v>
      </c>
      <c r="B197" s="4"/>
      <c r="C197" s="8" t="b">
        <v>0</v>
      </c>
      <c r="D197" s="827"/>
      <c r="E197" s="8" t="b">
        <v>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x14ac:dyDescent="0.2">
      <c r="A198" s="4">
        <v>196</v>
      </c>
      <c r="B198" s="4"/>
      <c r="C198" s="8" t="b">
        <v>0</v>
      </c>
      <c r="D198" s="827"/>
      <c r="E198" s="8" t="b">
        <v>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x14ac:dyDescent="0.2">
      <c r="A199" s="4">
        <v>197</v>
      </c>
      <c r="B199" s="4"/>
      <c r="C199" s="8" t="b">
        <v>0</v>
      </c>
      <c r="D199" s="827"/>
      <c r="E199" s="8" t="b">
        <v>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x14ac:dyDescent="0.2">
      <c r="A200" s="4">
        <v>198</v>
      </c>
      <c r="B200" s="4"/>
      <c r="C200" s="8" t="b">
        <v>0</v>
      </c>
      <c r="D200" s="827"/>
      <c r="E200" s="8" t="b">
        <v>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x14ac:dyDescent="0.2">
      <c r="A201" s="4">
        <v>199</v>
      </c>
      <c r="B201" s="4"/>
      <c r="C201" s="8" t="b">
        <v>0</v>
      </c>
      <c r="D201" s="827"/>
      <c r="E201" s="8" t="b">
        <v>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x14ac:dyDescent="0.2">
      <c r="A202" s="4">
        <v>200</v>
      </c>
      <c r="B202" s="4"/>
      <c r="C202" s="8" t="b">
        <v>0</v>
      </c>
      <c r="D202" s="827"/>
      <c r="E202" s="8" t="b">
        <v>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C203" s="2"/>
      <c r="D203" s="828"/>
      <c r="E203" s="2"/>
    </row>
    <row r="204" spans="1:26" ht="12.75" x14ac:dyDescent="0.2">
      <c r="C204" s="2"/>
      <c r="D204" s="828"/>
      <c r="E204" s="2"/>
    </row>
    <row r="205" spans="1:26" ht="12.75" x14ac:dyDescent="0.2">
      <c r="C205" s="2"/>
      <c r="D205" s="828"/>
      <c r="E205" s="2"/>
    </row>
    <row r="206" spans="1:26" ht="12.75" x14ac:dyDescent="0.2">
      <c r="C206" s="2"/>
      <c r="D206" s="828"/>
      <c r="E206" s="2"/>
    </row>
    <row r="207" spans="1:26" ht="12.75" x14ac:dyDescent="0.2">
      <c r="C207" s="2"/>
      <c r="D207" s="828"/>
      <c r="E207" s="2"/>
    </row>
    <row r="208" spans="1:26" ht="12.75" x14ac:dyDescent="0.2">
      <c r="C208" s="2"/>
      <c r="D208" s="828"/>
      <c r="E208" s="2"/>
    </row>
    <row r="209" spans="3:5" ht="12.75" x14ac:dyDescent="0.2">
      <c r="C209" s="2"/>
      <c r="D209" s="828"/>
      <c r="E209" s="2"/>
    </row>
    <row r="210" spans="3:5" ht="12.75" x14ac:dyDescent="0.2">
      <c r="C210" s="2"/>
      <c r="D210" s="828"/>
      <c r="E210" s="2"/>
    </row>
    <row r="211" spans="3:5" ht="12.75" x14ac:dyDescent="0.2">
      <c r="C211" s="2"/>
      <c r="D211" s="828"/>
      <c r="E211" s="2"/>
    </row>
    <row r="212" spans="3:5" ht="12.75" x14ac:dyDescent="0.2">
      <c r="C212" s="2"/>
      <c r="D212" s="828"/>
      <c r="E212" s="2"/>
    </row>
    <row r="213" spans="3:5" ht="12.75" x14ac:dyDescent="0.2">
      <c r="C213" s="2"/>
      <c r="D213" s="828"/>
      <c r="E213" s="2"/>
    </row>
    <row r="214" spans="3:5" ht="12.75" x14ac:dyDescent="0.2">
      <c r="C214" s="2"/>
      <c r="D214" s="828"/>
      <c r="E214" s="2"/>
    </row>
    <row r="215" spans="3:5" ht="12.75" x14ac:dyDescent="0.2">
      <c r="C215" s="2"/>
      <c r="D215" s="828"/>
      <c r="E215" s="2"/>
    </row>
    <row r="216" spans="3:5" ht="12.75" x14ac:dyDescent="0.2">
      <c r="C216" s="2"/>
      <c r="D216" s="828"/>
      <c r="E216" s="2"/>
    </row>
    <row r="217" spans="3:5" ht="12.75" x14ac:dyDescent="0.2">
      <c r="C217" s="2"/>
      <c r="D217" s="828"/>
      <c r="E217" s="2"/>
    </row>
    <row r="218" spans="3:5" ht="12.75" x14ac:dyDescent="0.2">
      <c r="C218" s="2"/>
      <c r="D218" s="828"/>
      <c r="E218" s="2"/>
    </row>
    <row r="219" spans="3:5" ht="12.75" x14ac:dyDescent="0.2">
      <c r="C219" s="2"/>
      <c r="D219" s="828"/>
      <c r="E219" s="2"/>
    </row>
    <row r="220" spans="3:5" ht="12.75" x14ac:dyDescent="0.2">
      <c r="C220" s="2"/>
      <c r="D220" s="828"/>
      <c r="E220" s="2"/>
    </row>
    <row r="221" spans="3:5" ht="12.75" x14ac:dyDescent="0.2">
      <c r="C221" s="2"/>
      <c r="D221" s="828"/>
      <c r="E221" s="2"/>
    </row>
    <row r="222" spans="3:5" ht="12.75" x14ac:dyDescent="0.2">
      <c r="C222" s="2"/>
      <c r="D222" s="828"/>
      <c r="E222" s="2"/>
    </row>
    <row r="223" spans="3:5" ht="12.75" x14ac:dyDescent="0.2">
      <c r="C223" s="2"/>
      <c r="D223" s="828"/>
      <c r="E223" s="2"/>
    </row>
    <row r="224" spans="3:5" ht="12.75" x14ac:dyDescent="0.2">
      <c r="C224" s="2"/>
      <c r="D224" s="828"/>
      <c r="E224" s="2"/>
    </row>
    <row r="225" spans="3:5" ht="12.75" x14ac:dyDescent="0.2">
      <c r="C225" s="2"/>
      <c r="D225" s="828"/>
      <c r="E225" s="2"/>
    </row>
    <row r="226" spans="3:5" ht="12.75" x14ac:dyDescent="0.2">
      <c r="C226" s="2"/>
      <c r="D226" s="828"/>
      <c r="E226" s="2"/>
    </row>
    <row r="227" spans="3:5" ht="12.75" x14ac:dyDescent="0.2">
      <c r="C227" s="2"/>
      <c r="D227" s="828"/>
      <c r="E227" s="2"/>
    </row>
    <row r="228" spans="3:5" ht="12.75" x14ac:dyDescent="0.2">
      <c r="C228" s="2"/>
      <c r="D228" s="828"/>
      <c r="E228" s="2"/>
    </row>
    <row r="229" spans="3:5" ht="12.75" x14ac:dyDescent="0.2">
      <c r="C229" s="2"/>
      <c r="D229" s="828"/>
      <c r="E229" s="2"/>
    </row>
    <row r="230" spans="3:5" ht="12.75" x14ac:dyDescent="0.2">
      <c r="C230" s="2"/>
      <c r="D230" s="828"/>
      <c r="E230" s="2"/>
    </row>
    <row r="231" spans="3:5" ht="12.75" x14ac:dyDescent="0.2">
      <c r="C231" s="2"/>
      <c r="D231" s="828"/>
      <c r="E231" s="2"/>
    </row>
    <row r="232" spans="3:5" ht="12.75" x14ac:dyDescent="0.2">
      <c r="C232" s="2"/>
      <c r="D232" s="828"/>
      <c r="E232" s="2"/>
    </row>
    <row r="233" spans="3:5" ht="12.75" x14ac:dyDescent="0.2">
      <c r="C233" s="2"/>
      <c r="D233" s="828"/>
      <c r="E233" s="2"/>
    </row>
    <row r="234" spans="3:5" ht="12.75" x14ac:dyDescent="0.2">
      <c r="C234" s="2"/>
      <c r="D234" s="828"/>
      <c r="E234" s="2"/>
    </row>
    <row r="235" spans="3:5" ht="12.75" x14ac:dyDescent="0.2">
      <c r="C235" s="2"/>
      <c r="D235" s="828"/>
      <c r="E235" s="2"/>
    </row>
    <row r="236" spans="3:5" ht="12.75" x14ac:dyDescent="0.2">
      <c r="C236" s="2"/>
      <c r="D236" s="828"/>
      <c r="E236" s="2"/>
    </row>
    <row r="237" spans="3:5" ht="12.75" x14ac:dyDescent="0.2">
      <c r="C237" s="2"/>
      <c r="D237" s="828"/>
      <c r="E237" s="2"/>
    </row>
    <row r="238" spans="3:5" ht="12.75" x14ac:dyDescent="0.2">
      <c r="C238" s="2"/>
      <c r="D238" s="828"/>
      <c r="E238" s="2"/>
    </row>
    <row r="239" spans="3:5" ht="12.75" x14ac:dyDescent="0.2">
      <c r="C239" s="2"/>
      <c r="D239" s="828"/>
      <c r="E239" s="2"/>
    </row>
    <row r="240" spans="3:5" ht="12.75" x14ac:dyDescent="0.2">
      <c r="C240" s="2"/>
      <c r="D240" s="828"/>
      <c r="E240" s="2"/>
    </row>
    <row r="241" spans="3:5" ht="12.75" x14ac:dyDescent="0.2">
      <c r="C241" s="2"/>
      <c r="D241" s="828"/>
      <c r="E241" s="2"/>
    </row>
    <row r="242" spans="3:5" ht="12.75" x14ac:dyDescent="0.2">
      <c r="C242" s="2"/>
      <c r="D242" s="828"/>
      <c r="E242" s="2"/>
    </row>
    <row r="243" spans="3:5" ht="12.75" x14ac:dyDescent="0.2">
      <c r="C243" s="2"/>
      <c r="D243" s="828"/>
      <c r="E243" s="2"/>
    </row>
    <row r="244" spans="3:5" ht="12.75" x14ac:dyDescent="0.2">
      <c r="C244" s="2"/>
      <c r="D244" s="828"/>
      <c r="E244" s="2"/>
    </row>
    <row r="245" spans="3:5" ht="12.75" x14ac:dyDescent="0.2">
      <c r="C245" s="2"/>
      <c r="D245" s="828"/>
      <c r="E245" s="2"/>
    </row>
    <row r="246" spans="3:5" ht="12.75" x14ac:dyDescent="0.2">
      <c r="C246" s="2"/>
      <c r="D246" s="828"/>
      <c r="E246" s="2"/>
    </row>
    <row r="247" spans="3:5" ht="12.75" x14ac:dyDescent="0.2">
      <c r="C247" s="2"/>
      <c r="D247" s="828"/>
      <c r="E247" s="2"/>
    </row>
    <row r="248" spans="3:5" ht="12.75" x14ac:dyDescent="0.2">
      <c r="C248" s="2"/>
      <c r="D248" s="828"/>
      <c r="E248" s="2"/>
    </row>
    <row r="249" spans="3:5" ht="12.75" x14ac:dyDescent="0.2">
      <c r="C249" s="2"/>
      <c r="D249" s="828"/>
      <c r="E249" s="2"/>
    </row>
    <row r="250" spans="3:5" ht="12.75" x14ac:dyDescent="0.2">
      <c r="C250" s="2"/>
      <c r="D250" s="828"/>
      <c r="E250" s="2"/>
    </row>
    <row r="251" spans="3:5" ht="12.75" x14ac:dyDescent="0.2">
      <c r="C251" s="2"/>
      <c r="D251" s="828"/>
      <c r="E251" s="2"/>
    </row>
    <row r="252" spans="3:5" ht="12.75" x14ac:dyDescent="0.2">
      <c r="C252" s="2"/>
      <c r="D252" s="828"/>
      <c r="E252" s="2"/>
    </row>
    <row r="253" spans="3:5" ht="12.75" x14ac:dyDescent="0.2">
      <c r="C253" s="2"/>
      <c r="D253" s="828"/>
      <c r="E253" s="2"/>
    </row>
    <row r="254" spans="3:5" ht="12.75" x14ac:dyDescent="0.2">
      <c r="C254" s="2"/>
      <c r="D254" s="828"/>
      <c r="E254" s="2"/>
    </row>
    <row r="255" spans="3:5" ht="12.75" x14ac:dyDescent="0.2">
      <c r="C255" s="2"/>
      <c r="D255" s="828"/>
      <c r="E255" s="2"/>
    </row>
    <row r="256" spans="3:5" ht="12.75" x14ac:dyDescent="0.2">
      <c r="C256" s="2"/>
      <c r="D256" s="828"/>
      <c r="E256" s="2"/>
    </row>
    <row r="257" spans="3:5" ht="12.75" x14ac:dyDescent="0.2">
      <c r="C257" s="2"/>
      <c r="D257" s="828"/>
      <c r="E257" s="2"/>
    </row>
    <row r="258" spans="3:5" ht="12.75" x14ac:dyDescent="0.2">
      <c r="C258" s="2"/>
      <c r="D258" s="828"/>
      <c r="E258" s="2"/>
    </row>
    <row r="259" spans="3:5" ht="12.75" x14ac:dyDescent="0.2">
      <c r="C259" s="2"/>
      <c r="D259" s="828"/>
      <c r="E259" s="2"/>
    </row>
    <row r="260" spans="3:5" ht="12.75" x14ac:dyDescent="0.2">
      <c r="C260" s="2"/>
      <c r="D260" s="828"/>
      <c r="E260" s="2"/>
    </row>
    <row r="261" spans="3:5" ht="12.75" x14ac:dyDescent="0.2">
      <c r="C261" s="2"/>
      <c r="D261" s="828"/>
      <c r="E261" s="2"/>
    </row>
    <row r="262" spans="3:5" ht="12.75" x14ac:dyDescent="0.2">
      <c r="C262" s="2"/>
      <c r="D262" s="828"/>
      <c r="E262" s="2"/>
    </row>
    <row r="263" spans="3:5" ht="12.75" x14ac:dyDescent="0.2">
      <c r="C263" s="2"/>
      <c r="D263" s="828"/>
      <c r="E263" s="2"/>
    </row>
    <row r="264" spans="3:5" ht="12.75" x14ac:dyDescent="0.2">
      <c r="C264" s="2"/>
      <c r="D264" s="828"/>
      <c r="E264" s="2"/>
    </row>
    <row r="265" spans="3:5" ht="12.75" x14ac:dyDescent="0.2">
      <c r="C265" s="2"/>
      <c r="D265" s="828"/>
      <c r="E265" s="2"/>
    </row>
    <row r="266" spans="3:5" ht="12.75" x14ac:dyDescent="0.2">
      <c r="C266" s="2"/>
      <c r="D266" s="828"/>
      <c r="E266" s="2"/>
    </row>
    <row r="267" spans="3:5" ht="12.75" x14ac:dyDescent="0.2">
      <c r="C267" s="2"/>
      <c r="D267" s="828"/>
      <c r="E267" s="2"/>
    </row>
    <row r="268" spans="3:5" ht="12.75" x14ac:dyDescent="0.2">
      <c r="C268" s="2"/>
      <c r="D268" s="828"/>
      <c r="E268" s="2"/>
    </row>
    <row r="269" spans="3:5" ht="12.75" x14ac:dyDescent="0.2">
      <c r="C269" s="2"/>
      <c r="D269" s="828"/>
      <c r="E269" s="2"/>
    </row>
    <row r="270" spans="3:5" ht="12.75" x14ac:dyDescent="0.2">
      <c r="C270" s="2"/>
      <c r="D270" s="828"/>
      <c r="E270" s="2"/>
    </row>
    <row r="271" spans="3:5" ht="12.75" x14ac:dyDescent="0.2">
      <c r="C271" s="2"/>
      <c r="D271" s="828"/>
      <c r="E271" s="2"/>
    </row>
    <row r="272" spans="3:5" ht="12.75" x14ac:dyDescent="0.2">
      <c r="C272" s="2"/>
      <c r="D272" s="828"/>
      <c r="E272" s="2"/>
    </row>
    <row r="273" spans="3:5" ht="12.75" x14ac:dyDescent="0.2">
      <c r="C273" s="2"/>
      <c r="D273" s="828"/>
      <c r="E273" s="2"/>
    </row>
    <row r="274" spans="3:5" ht="12.75" x14ac:dyDescent="0.2">
      <c r="C274" s="2"/>
      <c r="D274" s="828"/>
      <c r="E274" s="2"/>
    </row>
    <row r="275" spans="3:5" ht="12.75" x14ac:dyDescent="0.2">
      <c r="C275" s="2"/>
      <c r="D275" s="828"/>
      <c r="E275" s="2"/>
    </row>
    <row r="276" spans="3:5" ht="12.75" x14ac:dyDescent="0.2">
      <c r="C276" s="2"/>
      <c r="D276" s="828"/>
      <c r="E276" s="2"/>
    </row>
    <row r="277" spans="3:5" ht="12.75" x14ac:dyDescent="0.2">
      <c r="C277" s="2"/>
      <c r="D277" s="828"/>
      <c r="E277" s="2"/>
    </row>
    <row r="278" spans="3:5" ht="12.75" x14ac:dyDescent="0.2">
      <c r="C278" s="2"/>
      <c r="D278" s="828"/>
      <c r="E278" s="2"/>
    </row>
    <row r="279" spans="3:5" ht="12.75" x14ac:dyDescent="0.2">
      <c r="C279" s="2"/>
      <c r="D279" s="828"/>
      <c r="E279" s="2"/>
    </row>
    <row r="280" spans="3:5" ht="12.75" x14ac:dyDescent="0.2">
      <c r="C280" s="2"/>
      <c r="D280" s="828"/>
      <c r="E280" s="2"/>
    </row>
    <row r="281" spans="3:5" ht="12.75" x14ac:dyDescent="0.2">
      <c r="C281" s="2"/>
      <c r="D281" s="828"/>
      <c r="E281" s="2"/>
    </row>
    <row r="282" spans="3:5" ht="12.75" x14ac:dyDescent="0.2">
      <c r="C282" s="2"/>
      <c r="D282" s="828"/>
      <c r="E282" s="2"/>
    </row>
    <row r="283" spans="3:5" ht="12.75" x14ac:dyDescent="0.2">
      <c r="C283" s="2"/>
      <c r="D283" s="828"/>
      <c r="E283" s="2"/>
    </row>
    <row r="284" spans="3:5" ht="12.75" x14ac:dyDescent="0.2">
      <c r="C284" s="2"/>
      <c r="D284" s="828"/>
      <c r="E284" s="2"/>
    </row>
    <row r="285" spans="3:5" ht="12.75" x14ac:dyDescent="0.2">
      <c r="C285" s="2"/>
      <c r="D285" s="828"/>
      <c r="E285" s="2"/>
    </row>
    <row r="286" spans="3:5" ht="12.75" x14ac:dyDescent="0.2">
      <c r="C286" s="2"/>
      <c r="D286" s="828"/>
      <c r="E286" s="2"/>
    </row>
    <row r="287" spans="3:5" ht="12.75" x14ac:dyDescent="0.2">
      <c r="C287" s="2"/>
      <c r="D287" s="828"/>
      <c r="E287" s="2"/>
    </row>
    <row r="288" spans="3:5" ht="12.75" x14ac:dyDescent="0.2">
      <c r="C288" s="2"/>
      <c r="D288" s="828"/>
      <c r="E288" s="2"/>
    </row>
    <row r="289" spans="3:5" ht="12.75" x14ac:dyDescent="0.2">
      <c r="C289" s="2"/>
      <c r="D289" s="828"/>
      <c r="E289" s="2"/>
    </row>
    <row r="290" spans="3:5" ht="12.75" x14ac:dyDescent="0.2">
      <c r="C290" s="2"/>
      <c r="D290" s="828"/>
      <c r="E290" s="2"/>
    </row>
    <row r="291" spans="3:5" ht="12.75" x14ac:dyDescent="0.2">
      <c r="C291" s="2"/>
      <c r="D291" s="828"/>
      <c r="E291" s="2"/>
    </row>
    <row r="292" spans="3:5" ht="12.75" x14ac:dyDescent="0.2">
      <c r="C292" s="2"/>
      <c r="D292" s="828"/>
      <c r="E292" s="2"/>
    </row>
    <row r="293" spans="3:5" ht="12.75" x14ac:dyDescent="0.2">
      <c r="C293" s="2"/>
      <c r="D293" s="828"/>
      <c r="E293" s="2"/>
    </row>
    <row r="294" spans="3:5" ht="12.75" x14ac:dyDescent="0.2">
      <c r="C294" s="2"/>
      <c r="D294" s="828"/>
      <c r="E294" s="2"/>
    </row>
    <row r="295" spans="3:5" ht="12.75" x14ac:dyDescent="0.2">
      <c r="C295" s="2"/>
      <c r="D295" s="828"/>
      <c r="E295" s="2"/>
    </row>
    <row r="296" spans="3:5" ht="12.75" x14ac:dyDescent="0.2">
      <c r="C296" s="2"/>
      <c r="D296" s="828"/>
      <c r="E296" s="2"/>
    </row>
    <row r="297" spans="3:5" ht="12.75" x14ac:dyDescent="0.2">
      <c r="C297" s="2"/>
      <c r="D297" s="828"/>
      <c r="E297" s="2"/>
    </row>
    <row r="298" spans="3:5" ht="12.75" x14ac:dyDescent="0.2">
      <c r="C298" s="2"/>
      <c r="D298" s="828"/>
      <c r="E298" s="2"/>
    </row>
    <row r="299" spans="3:5" ht="12.75" x14ac:dyDescent="0.2">
      <c r="C299" s="2"/>
      <c r="D299" s="828"/>
      <c r="E299" s="2"/>
    </row>
    <row r="300" spans="3:5" ht="12.75" x14ac:dyDescent="0.2">
      <c r="C300" s="2"/>
      <c r="D300" s="828"/>
      <c r="E300" s="2"/>
    </row>
    <row r="301" spans="3:5" ht="12.75" x14ac:dyDescent="0.2">
      <c r="C301" s="2"/>
      <c r="D301" s="828"/>
      <c r="E301" s="2"/>
    </row>
    <row r="302" spans="3:5" ht="12.75" x14ac:dyDescent="0.2">
      <c r="C302" s="2"/>
      <c r="D302" s="828"/>
      <c r="E302" s="2"/>
    </row>
    <row r="303" spans="3:5" ht="12.75" x14ac:dyDescent="0.2">
      <c r="C303" s="2"/>
      <c r="D303" s="828"/>
      <c r="E303" s="2"/>
    </row>
    <row r="304" spans="3:5" ht="12.75" x14ac:dyDescent="0.2">
      <c r="C304" s="2"/>
      <c r="D304" s="828"/>
      <c r="E304" s="2"/>
    </row>
    <row r="305" spans="3:5" ht="12.75" x14ac:dyDescent="0.2">
      <c r="C305" s="2"/>
      <c r="D305" s="828"/>
      <c r="E305" s="2"/>
    </row>
    <row r="306" spans="3:5" ht="12.75" x14ac:dyDescent="0.2">
      <c r="C306" s="2"/>
      <c r="D306" s="828"/>
      <c r="E306" s="2"/>
    </row>
    <row r="307" spans="3:5" ht="12.75" x14ac:dyDescent="0.2">
      <c r="C307" s="2"/>
      <c r="D307" s="828"/>
      <c r="E307" s="2"/>
    </row>
    <row r="308" spans="3:5" ht="12.75" x14ac:dyDescent="0.2">
      <c r="C308" s="2"/>
      <c r="D308" s="828"/>
      <c r="E308" s="2"/>
    </row>
    <row r="309" spans="3:5" ht="12.75" x14ac:dyDescent="0.2">
      <c r="C309" s="2"/>
      <c r="D309" s="828"/>
      <c r="E309" s="2"/>
    </row>
    <row r="310" spans="3:5" ht="12.75" x14ac:dyDescent="0.2">
      <c r="C310" s="2"/>
      <c r="D310" s="828"/>
      <c r="E310" s="2"/>
    </row>
    <row r="311" spans="3:5" ht="12.75" x14ac:dyDescent="0.2">
      <c r="C311" s="2"/>
      <c r="D311" s="828"/>
      <c r="E311" s="2"/>
    </row>
    <row r="312" spans="3:5" ht="12.75" x14ac:dyDescent="0.2">
      <c r="C312" s="2"/>
      <c r="D312" s="828"/>
      <c r="E312" s="2"/>
    </row>
    <row r="313" spans="3:5" ht="12.75" x14ac:dyDescent="0.2">
      <c r="C313" s="2"/>
      <c r="D313" s="828"/>
      <c r="E313" s="2"/>
    </row>
    <row r="314" spans="3:5" ht="12.75" x14ac:dyDescent="0.2">
      <c r="C314" s="2"/>
      <c r="D314" s="828"/>
      <c r="E314" s="2"/>
    </row>
    <row r="315" spans="3:5" ht="12.75" x14ac:dyDescent="0.2">
      <c r="C315" s="2"/>
      <c r="D315" s="828"/>
      <c r="E315" s="2"/>
    </row>
    <row r="316" spans="3:5" ht="12.75" x14ac:dyDescent="0.2">
      <c r="C316" s="2"/>
      <c r="D316" s="828"/>
      <c r="E316" s="2"/>
    </row>
    <row r="317" spans="3:5" ht="12.75" x14ac:dyDescent="0.2">
      <c r="C317" s="2"/>
      <c r="D317" s="828"/>
      <c r="E317" s="2"/>
    </row>
    <row r="318" spans="3:5" ht="12.75" x14ac:dyDescent="0.2">
      <c r="C318" s="2"/>
      <c r="D318" s="828"/>
      <c r="E318" s="2"/>
    </row>
    <row r="319" spans="3:5" ht="12.75" x14ac:dyDescent="0.2">
      <c r="C319" s="2"/>
      <c r="D319" s="828"/>
      <c r="E319" s="2"/>
    </row>
    <row r="320" spans="3:5" ht="12.75" x14ac:dyDescent="0.2">
      <c r="C320" s="2"/>
      <c r="D320" s="828"/>
      <c r="E320" s="2"/>
    </row>
    <row r="321" spans="3:5" ht="12.75" x14ac:dyDescent="0.2">
      <c r="C321" s="2"/>
      <c r="D321" s="828"/>
      <c r="E321" s="2"/>
    </row>
    <row r="322" spans="3:5" ht="12.75" x14ac:dyDescent="0.2">
      <c r="C322" s="2"/>
      <c r="D322" s="828"/>
      <c r="E322" s="2"/>
    </row>
    <row r="323" spans="3:5" ht="12.75" x14ac:dyDescent="0.2">
      <c r="C323" s="2"/>
      <c r="D323" s="828"/>
      <c r="E323" s="2"/>
    </row>
    <row r="324" spans="3:5" ht="12.75" x14ac:dyDescent="0.2">
      <c r="C324" s="2"/>
      <c r="D324" s="828"/>
      <c r="E324" s="2"/>
    </row>
    <row r="325" spans="3:5" ht="12.75" x14ac:dyDescent="0.2">
      <c r="C325" s="2"/>
      <c r="D325" s="828"/>
      <c r="E325" s="2"/>
    </row>
    <row r="326" spans="3:5" ht="12.75" x14ac:dyDescent="0.2">
      <c r="C326" s="2"/>
      <c r="D326" s="828"/>
      <c r="E326" s="2"/>
    </row>
    <row r="327" spans="3:5" ht="12.75" x14ac:dyDescent="0.2">
      <c r="C327" s="2"/>
      <c r="D327" s="828"/>
      <c r="E327" s="2"/>
    </row>
    <row r="328" spans="3:5" ht="12.75" x14ac:dyDescent="0.2">
      <c r="C328" s="2"/>
      <c r="D328" s="828"/>
      <c r="E328" s="2"/>
    </row>
    <row r="329" spans="3:5" ht="12.75" x14ac:dyDescent="0.2">
      <c r="C329" s="2"/>
      <c r="D329" s="828"/>
      <c r="E329" s="2"/>
    </row>
    <row r="330" spans="3:5" ht="12.75" x14ac:dyDescent="0.2">
      <c r="C330" s="2"/>
      <c r="D330" s="828"/>
      <c r="E330" s="2"/>
    </row>
    <row r="331" spans="3:5" ht="12.75" x14ac:dyDescent="0.2">
      <c r="C331" s="2"/>
      <c r="D331" s="828"/>
      <c r="E331" s="2"/>
    </row>
    <row r="332" spans="3:5" ht="12.75" x14ac:dyDescent="0.2">
      <c r="C332" s="2"/>
      <c r="D332" s="828"/>
      <c r="E332" s="2"/>
    </row>
    <row r="333" spans="3:5" ht="12.75" x14ac:dyDescent="0.2">
      <c r="C333" s="2"/>
      <c r="D333" s="828"/>
      <c r="E333" s="2"/>
    </row>
    <row r="334" spans="3:5" ht="12.75" x14ac:dyDescent="0.2">
      <c r="C334" s="2"/>
      <c r="D334" s="828"/>
      <c r="E334" s="2"/>
    </row>
    <row r="335" spans="3:5" ht="12.75" x14ac:dyDescent="0.2">
      <c r="C335" s="2"/>
      <c r="D335" s="828"/>
      <c r="E335" s="2"/>
    </row>
    <row r="336" spans="3:5" ht="12.75" x14ac:dyDescent="0.2">
      <c r="C336" s="2"/>
      <c r="D336" s="828"/>
      <c r="E336" s="2"/>
    </row>
    <row r="337" spans="3:5" ht="12.75" x14ac:dyDescent="0.2">
      <c r="C337" s="2"/>
      <c r="D337" s="828"/>
      <c r="E337" s="2"/>
    </row>
    <row r="338" spans="3:5" ht="12.75" x14ac:dyDescent="0.2">
      <c r="C338" s="2"/>
      <c r="D338" s="828"/>
      <c r="E338" s="2"/>
    </row>
    <row r="339" spans="3:5" ht="12.75" x14ac:dyDescent="0.2">
      <c r="C339" s="2"/>
      <c r="D339" s="828"/>
      <c r="E339" s="2"/>
    </row>
    <row r="340" spans="3:5" ht="12.75" x14ac:dyDescent="0.2">
      <c r="C340" s="2"/>
      <c r="D340" s="828"/>
      <c r="E340" s="2"/>
    </row>
    <row r="341" spans="3:5" ht="12.75" x14ac:dyDescent="0.2">
      <c r="C341" s="2"/>
      <c r="D341" s="828"/>
      <c r="E341" s="2"/>
    </row>
    <row r="342" spans="3:5" ht="12.75" x14ac:dyDescent="0.2">
      <c r="C342" s="2"/>
      <c r="D342" s="828"/>
      <c r="E342" s="2"/>
    </row>
    <row r="343" spans="3:5" ht="12.75" x14ac:dyDescent="0.2">
      <c r="C343" s="2"/>
      <c r="D343" s="828"/>
      <c r="E343" s="2"/>
    </row>
    <row r="344" spans="3:5" ht="12.75" x14ac:dyDescent="0.2">
      <c r="C344" s="2"/>
      <c r="D344" s="828"/>
      <c r="E344" s="2"/>
    </row>
    <row r="345" spans="3:5" ht="12.75" x14ac:dyDescent="0.2">
      <c r="C345" s="2"/>
      <c r="D345" s="828"/>
      <c r="E345" s="2"/>
    </row>
    <row r="346" spans="3:5" ht="12.75" x14ac:dyDescent="0.2">
      <c r="C346" s="2"/>
      <c r="D346" s="828"/>
      <c r="E346" s="2"/>
    </row>
    <row r="347" spans="3:5" ht="12.75" x14ac:dyDescent="0.2">
      <c r="C347" s="2"/>
      <c r="D347" s="828"/>
      <c r="E347" s="2"/>
    </row>
    <row r="348" spans="3:5" ht="12.75" x14ac:dyDescent="0.2">
      <c r="C348" s="2"/>
      <c r="D348" s="828"/>
      <c r="E348" s="2"/>
    </row>
    <row r="349" spans="3:5" ht="12.75" x14ac:dyDescent="0.2">
      <c r="C349" s="2"/>
      <c r="D349" s="828"/>
      <c r="E349" s="2"/>
    </row>
    <row r="350" spans="3:5" ht="12.75" x14ac:dyDescent="0.2">
      <c r="C350" s="2"/>
      <c r="D350" s="828"/>
      <c r="E350" s="2"/>
    </row>
    <row r="351" spans="3:5" ht="12.75" x14ac:dyDescent="0.2">
      <c r="C351" s="2"/>
      <c r="D351" s="828"/>
      <c r="E351" s="2"/>
    </row>
    <row r="352" spans="3:5" ht="12.75" x14ac:dyDescent="0.2">
      <c r="C352" s="2"/>
      <c r="D352" s="828"/>
      <c r="E352" s="2"/>
    </row>
    <row r="353" spans="3:5" ht="12.75" x14ac:dyDescent="0.2">
      <c r="C353" s="2"/>
      <c r="D353" s="828"/>
      <c r="E353" s="2"/>
    </row>
    <row r="354" spans="3:5" ht="12.75" x14ac:dyDescent="0.2">
      <c r="C354" s="2"/>
      <c r="D354" s="828"/>
      <c r="E354" s="2"/>
    </row>
    <row r="355" spans="3:5" ht="12.75" x14ac:dyDescent="0.2">
      <c r="C355" s="2"/>
      <c r="D355" s="828"/>
      <c r="E355" s="2"/>
    </row>
    <row r="356" spans="3:5" ht="12.75" x14ac:dyDescent="0.2">
      <c r="C356" s="2"/>
      <c r="D356" s="828"/>
      <c r="E356" s="2"/>
    </row>
    <row r="357" spans="3:5" ht="12.75" x14ac:dyDescent="0.2">
      <c r="C357" s="2"/>
      <c r="D357" s="828"/>
      <c r="E357" s="2"/>
    </row>
    <row r="358" spans="3:5" ht="12.75" x14ac:dyDescent="0.2">
      <c r="C358" s="2"/>
      <c r="D358" s="828"/>
      <c r="E358" s="2"/>
    </row>
    <row r="359" spans="3:5" ht="12.75" x14ac:dyDescent="0.2">
      <c r="C359" s="2"/>
      <c r="D359" s="828"/>
      <c r="E359" s="2"/>
    </row>
    <row r="360" spans="3:5" ht="12.75" x14ac:dyDescent="0.2">
      <c r="C360" s="2"/>
      <c r="D360" s="828"/>
      <c r="E360" s="2"/>
    </row>
    <row r="361" spans="3:5" ht="12.75" x14ac:dyDescent="0.2">
      <c r="C361" s="2"/>
      <c r="D361" s="828"/>
      <c r="E361" s="2"/>
    </row>
    <row r="362" spans="3:5" ht="12.75" x14ac:dyDescent="0.2">
      <c r="C362" s="2"/>
      <c r="D362" s="828"/>
      <c r="E362" s="2"/>
    </row>
    <row r="363" spans="3:5" ht="12.75" x14ac:dyDescent="0.2">
      <c r="C363" s="2"/>
      <c r="D363" s="828"/>
      <c r="E363" s="2"/>
    </row>
    <row r="364" spans="3:5" ht="12.75" x14ac:dyDescent="0.2">
      <c r="C364" s="2"/>
      <c r="D364" s="828"/>
      <c r="E364" s="2"/>
    </row>
    <row r="365" spans="3:5" ht="12.75" x14ac:dyDescent="0.2">
      <c r="C365" s="2"/>
      <c r="D365" s="828"/>
      <c r="E365" s="2"/>
    </row>
    <row r="366" spans="3:5" ht="12.75" x14ac:dyDescent="0.2">
      <c r="C366" s="2"/>
      <c r="D366" s="828"/>
      <c r="E366" s="2"/>
    </row>
    <row r="367" spans="3:5" ht="12.75" x14ac:dyDescent="0.2">
      <c r="C367" s="2"/>
      <c r="D367" s="828"/>
      <c r="E367" s="2"/>
    </row>
    <row r="368" spans="3:5" ht="12.75" x14ac:dyDescent="0.2">
      <c r="C368" s="2"/>
      <c r="D368" s="828"/>
      <c r="E368" s="2"/>
    </row>
    <row r="369" spans="3:5" ht="12.75" x14ac:dyDescent="0.2">
      <c r="C369" s="2"/>
      <c r="D369" s="828"/>
      <c r="E369" s="2"/>
    </row>
    <row r="370" spans="3:5" ht="12.75" x14ac:dyDescent="0.2">
      <c r="C370" s="2"/>
      <c r="D370" s="828"/>
      <c r="E370" s="2"/>
    </row>
    <row r="371" spans="3:5" ht="12.75" x14ac:dyDescent="0.2">
      <c r="C371" s="2"/>
      <c r="D371" s="828"/>
      <c r="E371" s="2"/>
    </row>
    <row r="372" spans="3:5" ht="12.75" x14ac:dyDescent="0.2">
      <c r="C372" s="2"/>
      <c r="D372" s="828"/>
      <c r="E372" s="2"/>
    </row>
    <row r="373" spans="3:5" ht="12.75" x14ac:dyDescent="0.2">
      <c r="C373" s="2"/>
      <c r="D373" s="828"/>
      <c r="E373" s="2"/>
    </row>
    <row r="374" spans="3:5" ht="12.75" x14ac:dyDescent="0.2">
      <c r="C374" s="2"/>
      <c r="D374" s="828"/>
      <c r="E374" s="2"/>
    </row>
    <row r="375" spans="3:5" ht="12.75" x14ac:dyDescent="0.2">
      <c r="C375" s="2"/>
      <c r="D375" s="828"/>
      <c r="E375" s="2"/>
    </row>
    <row r="376" spans="3:5" ht="12.75" x14ac:dyDescent="0.2">
      <c r="C376" s="2"/>
      <c r="D376" s="828"/>
      <c r="E376" s="2"/>
    </row>
    <row r="377" spans="3:5" ht="12.75" x14ac:dyDescent="0.2">
      <c r="C377" s="2"/>
      <c r="D377" s="828"/>
      <c r="E377" s="2"/>
    </row>
    <row r="378" spans="3:5" ht="12.75" x14ac:dyDescent="0.2">
      <c r="C378" s="2"/>
      <c r="D378" s="828"/>
      <c r="E378" s="2"/>
    </row>
    <row r="379" spans="3:5" ht="12.75" x14ac:dyDescent="0.2">
      <c r="C379" s="2"/>
      <c r="D379" s="828"/>
      <c r="E379" s="2"/>
    </row>
    <row r="380" spans="3:5" ht="12.75" x14ac:dyDescent="0.2">
      <c r="C380" s="2"/>
      <c r="D380" s="828"/>
      <c r="E380" s="2"/>
    </row>
    <row r="381" spans="3:5" ht="12.75" x14ac:dyDescent="0.2">
      <c r="C381" s="2"/>
      <c r="D381" s="828"/>
      <c r="E381" s="2"/>
    </row>
    <row r="382" spans="3:5" ht="12.75" x14ac:dyDescent="0.2">
      <c r="C382" s="2"/>
      <c r="D382" s="828"/>
      <c r="E382" s="2"/>
    </row>
    <row r="383" spans="3:5" ht="12.75" x14ac:dyDescent="0.2">
      <c r="C383" s="2"/>
      <c r="D383" s="828"/>
      <c r="E383" s="2"/>
    </row>
    <row r="384" spans="3:5" ht="12.75" x14ac:dyDescent="0.2">
      <c r="C384" s="2"/>
      <c r="D384" s="828"/>
      <c r="E384" s="2"/>
    </row>
    <row r="385" spans="3:5" ht="12.75" x14ac:dyDescent="0.2">
      <c r="C385" s="2"/>
      <c r="D385" s="828"/>
      <c r="E385" s="2"/>
    </row>
    <row r="386" spans="3:5" ht="12.75" x14ac:dyDescent="0.2">
      <c r="C386" s="2"/>
      <c r="D386" s="828"/>
      <c r="E386" s="2"/>
    </row>
    <row r="387" spans="3:5" ht="12.75" x14ac:dyDescent="0.2">
      <c r="C387" s="2"/>
      <c r="D387" s="828"/>
      <c r="E387" s="2"/>
    </row>
    <row r="388" spans="3:5" ht="12.75" x14ac:dyDescent="0.2">
      <c r="C388" s="2"/>
      <c r="D388" s="828"/>
      <c r="E388" s="2"/>
    </row>
    <row r="389" spans="3:5" ht="12.75" x14ac:dyDescent="0.2">
      <c r="C389" s="2"/>
      <c r="D389" s="828"/>
      <c r="E389" s="2"/>
    </row>
    <row r="390" spans="3:5" ht="12.75" x14ac:dyDescent="0.2">
      <c r="C390" s="2"/>
      <c r="D390" s="828"/>
      <c r="E390" s="2"/>
    </row>
    <row r="391" spans="3:5" ht="12.75" x14ac:dyDescent="0.2">
      <c r="C391" s="2"/>
      <c r="D391" s="828"/>
      <c r="E391" s="2"/>
    </row>
    <row r="392" spans="3:5" ht="12.75" x14ac:dyDescent="0.2">
      <c r="C392" s="2"/>
      <c r="D392" s="828"/>
      <c r="E392" s="2"/>
    </row>
    <row r="393" spans="3:5" ht="12.75" x14ac:dyDescent="0.2">
      <c r="C393" s="2"/>
      <c r="D393" s="828"/>
      <c r="E393" s="2"/>
    </row>
    <row r="394" spans="3:5" ht="12.75" x14ac:dyDescent="0.2">
      <c r="C394" s="2"/>
      <c r="D394" s="828"/>
      <c r="E394" s="2"/>
    </row>
    <row r="395" spans="3:5" ht="12.75" x14ac:dyDescent="0.2">
      <c r="C395" s="2"/>
      <c r="D395" s="828"/>
      <c r="E395" s="2"/>
    </row>
    <row r="396" spans="3:5" ht="12.75" x14ac:dyDescent="0.2">
      <c r="C396" s="2"/>
      <c r="D396" s="828"/>
      <c r="E396" s="2"/>
    </row>
    <row r="397" spans="3:5" ht="12.75" x14ac:dyDescent="0.2">
      <c r="C397" s="2"/>
      <c r="D397" s="828"/>
      <c r="E397" s="2"/>
    </row>
    <row r="398" spans="3:5" ht="12.75" x14ac:dyDescent="0.2">
      <c r="C398" s="2"/>
      <c r="D398" s="828"/>
      <c r="E398" s="2"/>
    </row>
    <row r="399" spans="3:5" ht="12.75" x14ac:dyDescent="0.2">
      <c r="C399" s="2"/>
      <c r="D399" s="828"/>
      <c r="E399" s="2"/>
    </row>
    <row r="400" spans="3:5" ht="12.75" x14ac:dyDescent="0.2">
      <c r="C400" s="2"/>
      <c r="D400" s="828"/>
      <c r="E400" s="2"/>
    </row>
    <row r="401" spans="3:5" ht="12.75" x14ac:dyDescent="0.2">
      <c r="C401" s="2"/>
      <c r="D401" s="828"/>
      <c r="E401" s="2"/>
    </row>
    <row r="402" spans="3:5" ht="12.75" x14ac:dyDescent="0.2">
      <c r="C402" s="2"/>
      <c r="D402" s="828"/>
      <c r="E402" s="2"/>
    </row>
    <row r="403" spans="3:5" ht="12.75" x14ac:dyDescent="0.2">
      <c r="C403" s="2"/>
      <c r="D403" s="828"/>
      <c r="E403" s="2"/>
    </row>
    <row r="404" spans="3:5" ht="12.75" x14ac:dyDescent="0.2">
      <c r="C404" s="2"/>
      <c r="D404" s="828"/>
      <c r="E404" s="2"/>
    </row>
    <row r="405" spans="3:5" ht="12.75" x14ac:dyDescent="0.2">
      <c r="C405" s="2"/>
      <c r="D405" s="828"/>
      <c r="E405" s="2"/>
    </row>
    <row r="406" spans="3:5" ht="12.75" x14ac:dyDescent="0.2">
      <c r="C406" s="2"/>
      <c r="D406" s="828"/>
      <c r="E406" s="2"/>
    </row>
    <row r="407" spans="3:5" ht="12.75" x14ac:dyDescent="0.2">
      <c r="C407" s="2"/>
      <c r="D407" s="828"/>
      <c r="E407" s="2"/>
    </row>
    <row r="408" spans="3:5" ht="12.75" x14ac:dyDescent="0.2">
      <c r="C408" s="2"/>
      <c r="D408" s="828"/>
      <c r="E408" s="2"/>
    </row>
    <row r="409" spans="3:5" ht="12.75" x14ac:dyDescent="0.2">
      <c r="C409" s="2"/>
      <c r="D409" s="828"/>
      <c r="E409" s="2"/>
    </row>
    <row r="410" spans="3:5" ht="12.75" x14ac:dyDescent="0.2">
      <c r="C410" s="2"/>
      <c r="D410" s="828"/>
      <c r="E410" s="2"/>
    </row>
    <row r="411" spans="3:5" ht="12.75" x14ac:dyDescent="0.2">
      <c r="C411" s="2"/>
      <c r="D411" s="828"/>
      <c r="E411" s="2"/>
    </row>
    <row r="412" spans="3:5" ht="12.75" x14ac:dyDescent="0.2">
      <c r="C412" s="2"/>
      <c r="D412" s="828"/>
      <c r="E412" s="2"/>
    </row>
    <row r="413" spans="3:5" ht="12.75" x14ac:dyDescent="0.2">
      <c r="C413" s="2"/>
      <c r="D413" s="828"/>
      <c r="E413" s="2"/>
    </row>
    <row r="414" spans="3:5" ht="12.75" x14ac:dyDescent="0.2">
      <c r="C414" s="2"/>
      <c r="D414" s="828"/>
      <c r="E414" s="2"/>
    </row>
    <row r="415" spans="3:5" ht="12.75" x14ac:dyDescent="0.2">
      <c r="C415" s="2"/>
      <c r="D415" s="828"/>
      <c r="E415" s="2"/>
    </row>
    <row r="416" spans="3:5" ht="12.75" x14ac:dyDescent="0.2">
      <c r="C416" s="2"/>
      <c r="D416" s="828"/>
      <c r="E416" s="2"/>
    </row>
    <row r="417" spans="3:5" ht="12.75" x14ac:dyDescent="0.2">
      <c r="C417" s="2"/>
      <c r="D417" s="828"/>
      <c r="E417" s="2"/>
    </row>
    <row r="418" spans="3:5" ht="12.75" x14ac:dyDescent="0.2">
      <c r="C418" s="2"/>
      <c r="D418" s="828"/>
      <c r="E418" s="2"/>
    </row>
    <row r="419" spans="3:5" ht="12.75" x14ac:dyDescent="0.2">
      <c r="C419" s="2"/>
      <c r="D419" s="828"/>
      <c r="E419" s="2"/>
    </row>
    <row r="420" spans="3:5" ht="12.75" x14ac:dyDescent="0.2">
      <c r="C420" s="2"/>
      <c r="D420" s="828"/>
      <c r="E420" s="2"/>
    </row>
    <row r="421" spans="3:5" ht="12.75" x14ac:dyDescent="0.2">
      <c r="C421" s="2"/>
      <c r="D421" s="828"/>
      <c r="E421" s="2"/>
    </row>
    <row r="422" spans="3:5" ht="12.75" x14ac:dyDescent="0.2">
      <c r="C422" s="2"/>
      <c r="D422" s="828"/>
      <c r="E422" s="2"/>
    </row>
    <row r="423" spans="3:5" ht="12.75" x14ac:dyDescent="0.2">
      <c r="C423" s="2"/>
      <c r="D423" s="828"/>
      <c r="E423" s="2"/>
    </row>
    <row r="424" spans="3:5" ht="12.75" x14ac:dyDescent="0.2">
      <c r="C424" s="2"/>
      <c r="D424" s="828"/>
      <c r="E424" s="2"/>
    </row>
    <row r="425" spans="3:5" ht="12.75" x14ac:dyDescent="0.2">
      <c r="C425" s="2"/>
      <c r="D425" s="828"/>
      <c r="E425" s="2"/>
    </row>
    <row r="426" spans="3:5" ht="12.75" x14ac:dyDescent="0.2">
      <c r="C426" s="2"/>
      <c r="D426" s="828"/>
      <c r="E426" s="2"/>
    </row>
    <row r="427" spans="3:5" ht="12.75" x14ac:dyDescent="0.2">
      <c r="C427" s="2"/>
      <c r="D427" s="828"/>
      <c r="E427" s="2"/>
    </row>
    <row r="428" spans="3:5" ht="12.75" x14ac:dyDescent="0.2">
      <c r="C428" s="2"/>
      <c r="D428" s="828"/>
      <c r="E428" s="2"/>
    </row>
    <row r="429" spans="3:5" ht="12.75" x14ac:dyDescent="0.2">
      <c r="C429" s="2"/>
      <c r="D429" s="828"/>
      <c r="E429" s="2"/>
    </row>
    <row r="430" spans="3:5" ht="12.75" x14ac:dyDescent="0.2">
      <c r="C430" s="2"/>
      <c r="D430" s="828"/>
      <c r="E430" s="2"/>
    </row>
    <row r="431" spans="3:5" ht="12.75" x14ac:dyDescent="0.2">
      <c r="C431" s="2"/>
      <c r="D431" s="828"/>
      <c r="E431" s="2"/>
    </row>
    <row r="432" spans="3:5" ht="12.75" x14ac:dyDescent="0.2">
      <c r="C432" s="2"/>
      <c r="D432" s="828"/>
      <c r="E432" s="2"/>
    </row>
    <row r="433" spans="3:5" ht="12.75" x14ac:dyDescent="0.2">
      <c r="C433" s="2"/>
      <c r="D433" s="828"/>
      <c r="E433" s="2"/>
    </row>
    <row r="434" spans="3:5" ht="12.75" x14ac:dyDescent="0.2">
      <c r="C434" s="2"/>
      <c r="D434" s="828"/>
      <c r="E434" s="2"/>
    </row>
    <row r="435" spans="3:5" ht="12.75" x14ac:dyDescent="0.2">
      <c r="C435" s="2"/>
      <c r="D435" s="828"/>
      <c r="E435" s="2"/>
    </row>
    <row r="436" spans="3:5" ht="12.75" x14ac:dyDescent="0.2">
      <c r="C436" s="2"/>
      <c r="D436" s="828"/>
      <c r="E436" s="2"/>
    </row>
    <row r="437" spans="3:5" ht="12.75" x14ac:dyDescent="0.2">
      <c r="C437" s="2"/>
      <c r="D437" s="828"/>
      <c r="E437" s="2"/>
    </row>
    <row r="438" spans="3:5" ht="12.75" x14ac:dyDescent="0.2">
      <c r="C438" s="2"/>
      <c r="D438" s="828"/>
      <c r="E438" s="2"/>
    </row>
    <row r="439" spans="3:5" ht="12.75" x14ac:dyDescent="0.2">
      <c r="C439" s="2"/>
      <c r="D439" s="828"/>
      <c r="E439" s="2"/>
    </row>
    <row r="440" spans="3:5" ht="12.75" x14ac:dyDescent="0.2">
      <c r="C440" s="2"/>
      <c r="D440" s="828"/>
      <c r="E440" s="2"/>
    </row>
    <row r="441" spans="3:5" ht="12.75" x14ac:dyDescent="0.2">
      <c r="C441" s="2"/>
      <c r="D441" s="828"/>
      <c r="E441" s="2"/>
    </row>
    <row r="442" spans="3:5" ht="12.75" x14ac:dyDescent="0.2">
      <c r="C442" s="2"/>
      <c r="D442" s="828"/>
      <c r="E442" s="2"/>
    </row>
    <row r="443" spans="3:5" ht="12.75" x14ac:dyDescent="0.2">
      <c r="C443" s="2"/>
      <c r="D443" s="828"/>
      <c r="E443" s="2"/>
    </row>
    <row r="444" spans="3:5" ht="12.75" x14ac:dyDescent="0.2">
      <c r="C444" s="2"/>
      <c r="D444" s="828"/>
      <c r="E444" s="2"/>
    </row>
    <row r="445" spans="3:5" ht="12.75" x14ac:dyDescent="0.2">
      <c r="C445" s="2"/>
      <c r="D445" s="828"/>
      <c r="E445" s="2"/>
    </row>
    <row r="446" spans="3:5" ht="12.75" x14ac:dyDescent="0.2">
      <c r="C446" s="2"/>
      <c r="D446" s="828"/>
      <c r="E446" s="2"/>
    </row>
    <row r="447" spans="3:5" ht="12.75" x14ac:dyDescent="0.2">
      <c r="C447" s="2"/>
      <c r="D447" s="828"/>
      <c r="E447" s="2"/>
    </row>
    <row r="448" spans="3:5" ht="12.75" x14ac:dyDescent="0.2">
      <c r="C448" s="2"/>
      <c r="D448" s="828"/>
      <c r="E448" s="2"/>
    </row>
    <row r="449" spans="3:5" ht="12.75" x14ac:dyDescent="0.2">
      <c r="C449" s="2"/>
      <c r="D449" s="828"/>
      <c r="E449" s="2"/>
    </row>
    <row r="450" spans="3:5" ht="12.75" x14ac:dyDescent="0.2">
      <c r="C450" s="2"/>
      <c r="D450" s="828"/>
      <c r="E450" s="2"/>
    </row>
    <row r="451" spans="3:5" ht="12.75" x14ac:dyDescent="0.2">
      <c r="C451" s="2"/>
      <c r="D451" s="828"/>
      <c r="E451" s="2"/>
    </row>
    <row r="452" spans="3:5" ht="12.75" x14ac:dyDescent="0.2">
      <c r="C452" s="2"/>
      <c r="D452" s="828"/>
      <c r="E452" s="2"/>
    </row>
    <row r="453" spans="3:5" ht="12.75" x14ac:dyDescent="0.2">
      <c r="C453" s="2"/>
      <c r="D453" s="828"/>
      <c r="E453" s="2"/>
    </row>
    <row r="454" spans="3:5" ht="12.75" x14ac:dyDescent="0.2">
      <c r="C454" s="2"/>
      <c r="D454" s="828"/>
      <c r="E454" s="2"/>
    </row>
    <row r="455" spans="3:5" ht="12.75" x14ac:dyDescent="0.2">
      <c r="C455" s="2"/>
      <c r="D455" s="828"/>
      <c r="E455" s="2"/>
    </row>
    <row r="456" spans="3:5" ht="12.75" x14ac:dyDescent="0.2">
      <c r="C456" s="2"/>
      <c r="D456" s="828"/>
      <c r="E456" s="2"/>
    </row>
    <row r="457" spans="3:5" ht="12.75" x14ac:dyDescent="0.2">
      <c r="C457" s="2"/>
      <c r="D457" s="828"/>
      <c r="E457" s="2"/>
    </row>
    <row r="458" spans="3:5" ht="12.75" x14ac:dyDescent="0.2">
      <c r="C458" s="2"/>
      <c r="D458" s="828"/>
      <c r="E458" s="2"/>
    </row>
    <row r="459" spans="3:5" ht="12.75" x14ac:dyDescent="0.2">
      <c r="C459" s="2"/>
      <c r="D459" s="828"/>
      <c r="E459" s="2"/>
    </row>
    <row r="460" spans="3:5" ht="12.75" x14ac:dyDescent="0.2">
      <c r="C460" s="2"/>
      <c r="D460" s="828"/>
      <c r="E460" s="2"/>
    </row>
    <row r="461" spans="3:5" ht="12.75" x14ac:dyDescent="0.2">
      <c r="C461" s="2"/>
      <c r="D461" s="828"/>
      <c r="E461" s="2"/>
    </row>
    <row r="462" spans="3:5" ht="12.75" x14ac:dyDescent="0.2">
      <c r="C462" s="2"/>
      <c r="D462" s="828"/>
      <c r="E462" s="2"/>
    </row>
    <row r="463" spans="3:5" ht="12.75" x14ac:dyDescent="0.2">
      <c r="C463" s="2"/>
      <c r="D463" s="828"/>
      <c r="E463" s="2"/>
    </row>
    <row r="464" spans="3:5" ht="12.75" x14ac:dyDescent="0.2">
      <c r="C464" s="2"/>
      <c r="D464" s="828"/>
      <c r="E464" s="2"/>
    </row>
    <row r="465" spans="3:5" ht="12.75" x14ac:dyDescent="0.2">
      <c r="C465" s="2"/>
      <c r="D465" s="828"/>
      <c r="E465" s="2"/>
    </row>
    <row r="466" spans="3:5" ht="12.75" x14ac:dyDescent="0.2">
      <c r="C466" s="2"/>
      <c r="D466" s="828"/>
      <c r="E466" s="2"/>
    </row>
    <row r="467" spans="3:5" ht="12.75" x14ac:dyDescent="0.2">
      <c r="C467" s="2"/>
      <c r="D467" s="828"/>
      <c r="E467" s="2"/>
    </row>
    <row r="468" spans="3:5" ht="12.75" x14ac:dyDescent="0.2">
      <c r="C468" s="2"/>
      <c r="D468" s="828"/>
      <c r="E468" s="2"/>
    </row>
    <row r="469" spans="3:5" ht="12.75" x14ac:dyDescent="0.2">
      <c r="C469" s="2"/>
      <c r="D469" s="828"/>
      <c r="E469" s="2"/>
    </row>
    <row r="470" spans="3:5" ht="12.75" x14ac:dyDescent="0.2">
      <c r="C470" s="2"/>
      <c r="D470" s="828"/>
      <c r="E470" s="2"/>
    </row>
    <row r="471" spans="3:5" ht="12.75" x14ac:dyDescent="0.2">
      <c r="C471" s="2"/>
      <c r="D471" s="828"/>
      <c r="E471" s="2"/>
    </row>
    <row r="472" spans="3:5" ht="12.75" x14ac:dyDescent="0.2">
      <c r="C472" s="2"/>
      <c r="D472" s="828"/>
      <c r="E472" s="2"/>
    </row>
    <row r="473" spans="3:5" ht="12.75" x14ac:dyDescent="0.2">
      <c r="C473" s="2"/>
      <c r="D473" s="828"/>
      <c r="E473" s="2"/>
    </row>
    <row r="474" spans="3:5" ht="12.75" x14ac:dyDescent="0.2">
      <c r="C474" s="2"/>
      <c r="D474" s="828"/>
      <c r="E474" s="2"/>
    </row>
    <row r="475" spans="3:5" ht="12.75" x14ac:dyDescent="0.2">
      <c r="C475" s="2"/>
      <c r="D475" s="828"/>
      <c r="E475" s="2"/>
    </row>
    <row r="476" spans="3:5" ht="12.75" x14ac:dyDescent="0.2">
      <c r="C476" s="2"/>
      <c r="D476" s="828"/>
      <c r="E476" s="2"/>
    </row>
    <row r="477" spans="3:5" ht="12.75" x14ac:dyDescent="0.2">
      <c r="C477" s="2"/>
      <c r="D477" s="828"/>
      <c r="E477" s="2"/>
    </row>
    <row r="478" spans="3:5" ht="12.75" x14ac:dyDescent="0.2">
      <c r="C478" s="2"/>
      <c r="D478" s="828"/>
      <c r="E478" s="2"/>
    </row>
    <row r="479" spans="3:5" ht="12.75" x14ac:dyDescent="0.2">
      <c r="C479" s="2"/>
      <c r="D479" s="828"/>
      <c r="E479" s="2"/>
    </row>
    <row r="480" spans="3:5" ht="12.75" x14ac:dyDescent="0.2">
      <c r="C480" s="2"/>
      <c r="D480" s="828"/>
      <c r="E480" s="2"/>
    </row>
    <row r="481" spans="3:5" ht="12.75" x14ac:dyDescent="0.2">
      <c r="C481" s="2"/>
      <c r="D481" s="828"/>
      <c r="E481" s="2"/>
    </row>
    <row r="482" spans="3:5" ht="12.75" x14ac:dyDescent="0.2">
      <c r="C482" s="2"/>
      <c r="D482" s="828"/>
      <c r="E482" s="2"/>
    </row>
    <row r="483" spans="3:5" ht="12.75" x14ac:dyDescent="0.2">
      <c r="C483" s="2"/>
      <c r="D483" s="828"/>
      <c r="E483" s="2"/>
    </row>
    <row r="484" spans="3:5" ht="12.75" x14ac:dyDescent="0.2">
      <c r="C484" s="2"/>
      <c r="D484" s="828"/>
      <c r="E484" s="2"/>
    </row>
    <row r="485" spans="3:5" ht="12.75" x14ac:dyDescent="0.2">
      <c r="C485" s="2"/>
      <c r="D485" s="828"/>
      <c r="E485" s="2"/>
    </row>
    <row r="486" spans="3:5" ht="12.75" x14ac:dyDescent="0.2">
      <c r="C486" s="2"/>
      <c r="D486" s="828"/>
      <c r="E486" s="2"/>
    </row>
    <row r="487" spans="3:5" ht="12.75" x14ac:dyDescent="0.2">
      <c r="C487" s="2"/>
      <c r="D487" s="828"/>
      <c r="E487" s="2"/>
    </row>
    <row r="488" spans="3:5" ht="12.75" x14ac:dyDescent="0.2">
      <c r="C488" s="2"/>
      <c r="D488" s="828"/>
      <c r="E488" s="2"/>
    </row>
    <row r="489" spans="3:5" ht="12.75" x14ac:dyDescent="0.2">
      <c r="C489" s="2"/>
      <c r="D489" s="828"/>
      <c r="E489" s="2"/>
    </row>
    <row r="490" spans="3:5" ht="12.75" x14ac:dyDescent="0.2">
      <c r="C490" s="2"/>
      <c r="D490" s="828"/>
      <c r="E490" s="2"/>
    </row>
    <row r="491" spans="3:5" ht="12.75" x14ac:dyDescent="0.2">
      <c r="C491" s="2"/>
      <c r="D491" s="828"/>
      <c r="E491" s="2"/>
    </row>
    <row r="492" spans="3:5" ht="12.75" x14ac:dyDescent="0.2">
      <c r="C492" s="2"/>
      <c r="D492" s="828"/>
      <c r="E492" s="2"/>
    </row>
    <row r="493" spans="3:5" ht="12.75" x14ac:dyDescent="0.2">
      <c r="C493" s="2"/>
      <c r="D493" s="828"/>
      <c r="E493" s="2"/>
    </row>
    <row r="494" spans="3:5" ht="12.75" x14ac:dyDescent="0.2">
      <c r="C494" s="2"/>
      <c r="D494" s="828"/>
      <c r="E494" s="2"/>
    </row>
    <row r="495" spans="3:5" ht="12.75" x14ac:dyDescent="0.2">
      <c r="C495" s="2"/>
      <c r="D495" s="828"/>
      <c r="E495" s="2"/>
    </row>
    <row r="496" spans="3:5" ht="12.75" x14ac:dyDescent="0.2">
      <c r="C496" s="2"/>
      <c r="D496" s="828"/>
      <c r="E496" s="2"/>
    </row>
    <row r="497" spans="3:5" ht="12.75" x14ac:dyDescent="0.2">
      <c r="C497" s="2"/>
      <c r="D497" s="828"/>
      <c r="E497" s="2"/>
    </row>
    <row r="498" spans="3:5" ht="12.75" x14ac:dyDescent="0.2">
      <c r="C498" s="2"/>
      <c r="D498" s="828"/>
      <c r="E498" s="2"/>
    </row>
    <row r="499" spans="3:5" ht="12.75" x14ac:dyDescent="0.2">
      <c r="C499" s="2"/>
      <c r="D499" s="828"/>
      <c r="E499" s="2"/>
    </row>
    <row r="500" spans="3:5" ht="12.75" x14ac:dyDescent="0.2">
      <c r="C500" s="2"/>
      <c r="D500" s="828"/>
      <c r="E500" s="2"/>
    </row>
    <row r="501" spans="3:5" ht="12.75" x14ac:dyDescent="0.2">
      <c r="C501" s="2"/>
      <c r="D501" s="828"/>
      <c r="E501" s="2"/>
    </row>
    <row r="502" spans="3:5" ht="12.75" x14ac:dyDescent="0.2">
      <c r="C502" s="2"/>
      <c r="D502" s="828"/>
      <c r="E502" s="2"/>
    </row>
    <row r="503" spans="3:5" ht="12.75" x14ac:dyDescent="0.2">
      <c r="C503" s="2"/>
      <c r="D503" s="828"/>
      <c r="E503" s="2"/>
    </row>
    <row r="504" spans="3:5" ht="12.75" x14ac:dyDescent="0.2">
      <c r="C504" s="2"/>
      <c r="D504" s="828"/>
      <c r="E504" s="2"/>
    </row>
    <row r="505" spans="3:5" ht="12.75" x14ac:dyDescent="0.2">
      <c r="C505" s="2"/>
      <c r="D505" s="828"/>
      <c r="E505" s="2"/>
    </row>
    <row r="506" spans="3:5" ht="12.75" x14ac:dyDescent="0.2">
      <c r="C506" s="2"/>
      <c r="D506" s="828"/>
      <c r="E506" s="2"/>
    </row>
    <row r="507" spans="3:5" ht="12.75" x14ac:dyDescent="0.2">
      <c r="C507" s="2"/>
      <c r="D507" s="828"/>
      <c r="E507" s="2"/>
    </row>
    <row r="508" spans="3:5" ht="12.75" x14ac:dyDescent="0.2">
      <c r="C508" s="2"/>
      <c r="D508" s="828"/>
      <c r="E508" s="2"/>
    </row>
    <row r="509" spans="3:5" ht="12.75" x14ac:dyDescent="0.2">
      <c r="C509" s="2"/>
      <c r="D509" s="828"/>
      <c r="E509" s="2"/>
    </row>
    <row r="510" spans="3:5" ht="12.75" x14ac:dyDescent="0.2">
      <c r="C510" s="2"/>
      <c r="D510" s="828"/>
      <c r="E510" s="2"/>
    </row>
    <row r="511" spans="3:5" ht="12.75" x14ac:dyDescent="0.2">
      <c r="C511" s="2"/>
      <c r="D511" s="828"/>
      <c r="E511" s="2"/>
    </row>
    <row r="512" spans="3:5" ht="12.75" x14ac:dyDescent="0.2">
      <c r="C512" s="2"/>
      <c r="D512" s="828"/>
      <c r="E512" s="2"/>
    </row>
    <row r="513" spans="3:5" ht="12.75" x14ac:dyDescent="0.2">
      <c r="C513" s="2"/>
      <c r="D513" s="828"/>
      <c r="E513" s="2"/>
    </row>
    <row r="514" spans="3:5" ht="12.75" x14ac:dyDescent="0.2">
      <c r="C514" s="2"/>
      <c r="D514" s="828"/>
      <c r="E514" s="2"/>
    </row>
    <row r="515" spans="3:5" ht="12.75" x14ac:dyDescent="0.2">
      <c r="C515" s="2"/>
      <c r="D515" s="828"/>
      <c r="E515" s="2"/>
    </row>
    <row r="516" spans="3:5" ht="12.75" x14ac:dyDescent="0.2">
      <c r="C516" s="2"/>
      <c r="D516" s="828"/>
      <c r="E516" s="2"/>
    </row>
    <row r="517" spans="3:5" ht="12.75" x14ac:dyDescent="0.2">
      <c r="C517" s="2"/>
      <c r="D517" s="828"/>
      <c r="E517" s="2"/>
    </row>
    <row r="518" spans="3:5" ht="12.75" x14ac:dyDescent="0.2">
      <c r="C518" s="2"/>
      <c r="D518" s="828"/>
      <c r="E518" s="2"/>
    </row>
    <row r="519" spans="3:5" ht="12.75" x14ac:dyDescent="0.2">
      <c r="C519" s="2"/>
      <c r="D519" s="828"/>
      <c r="E519" s="2"/>
    </row>
    <row r="520" spans="3:5" ht="12.75" x14ac:dyDescent="0.2">
      <c r="C520" s="2"/>
      <c r="D520" s="828"/>
      <c r="E520" s="2"/>
    </row>
    <row r="521" spans="3:5" ht="12.75" x14ac:dyDescent="0.2">
      <c r="C521" s="2"/>
      <c r="D521" s="828"/>
      <c r="E521" s="2"/>
    </row>
    <row r="522" spans="3:5" ht="12.75" x14ac:dyDescent="0.2">
      <c r="C522" s="2"/>
      <c r="D522" s="828"/>
      <c r="E522" s="2"/>
    </row>
    <row r="523" spans="3:5" ht="12.75" x14ac:dyDescent="0.2">
      <c r="C523" s="2"/>
      <c r="D523" s="828"/>
      <c r="E523" s="2"/>
    </row>
    <row r="524" spans="3:5" ht="12.75" x14ac:dyDescent="0.2">
      <c r="C524" s="2"/>
      <c r="D524" s="828"/>
      <c r="E524" s="2"/>
    </row>
    <row r="525" spans="3:5" ht="12.75" x14ac:dyDescent="0.2">
      <c r="C525" s="2"/>
      <c r="D525" s="828"/>
      <c r="E525" s="2"/>
    </row>
    <row r="526" spans="3:5" ht="12.75" x14ac:dyDescent="0.2">
      <c r="C526" s="2"/>
      <c r="D526" s="828"/>
      <c r="E526" s="2"/>
    </row>
    <row r="527" spans="3:5" ht="12.75" x14ac:dyDescent="0.2">
      <c r="C527" s="2"/>
      <c r="D527" s="828"/>
      <c r="E527" s="2"/>
    </row>
    <row r="528" spans="3:5" ht="12.75" x14ac:dyDescent="0.2">
      <c r="C528" s="2"/>
      <c r="D528" s="828"/>
      <c r="E528" s="2"/>
    </row>
    <row r="529" spans="3:5" ht="12.75" x14ac:dyDescent="0.2">
      <c r="C529" s="2"/>
      <c r="D529" s="828"/>
      <c r="E529" s="2"/>
    </row>
    <row r="530" spans="3:5" ht="12.75" x14ac:dyDescent="0.2">
      <c r="C530" s="2"/>
      <c r="D530" s="828"/>
      <c r="E530" s="2"/>
    </row>
    <row r="531" spans="3:5" ht="12.75" x14ac:dyDescent="0.2">
      <c r="C531" s="2"/>
      <c r="D531" s="828"/>
      <c r="E531" s="2"/>
    </row>
    <row r="532" spans="3:5" ht="12.75" x14ac:dyDescent="0.2">
      <c r="C532" s="2"/>
      <c r="D532" s="828"/>
      <c r="E532" s="2"/>
    </row>
    <row r="533" spans="3:5" ht="12.75" x14ac:dyDescent="0.2">
      <c r="C533" s="2"/>
      <c r="D533" s="828"/>
      <c r="E533" s="2"/>
    </row>
    <row r="534" spans="3:5" ht="12.75" x14ac:dyDescent="0.2">
      <c r="C534" s="2"/>
      <c r="D534" s="828"/>
      <c r="E534" s="2"/>
    </row>
    <row r="535" spans="3:5" ht="12.75" x14ac:dyDescent="0.2">
      <c r="C535" s="2"/>
      <c r="D535" s="828"/>
      <c r="E535" s="2"/>
    </row>
    <row r="536" spans="3:5" ht="12.75" x14ac:dyDescent="0.2">
      <c r="C536" s="2"/>
      <c r="D536" s="828"/>
      <c r="E536" s="2"/>
    </row>
    <row r="537" spans="3:5" ht="12.75" x14ac:dyDescent="0.2">
      <c r="C537" s="2"/>
      <c r="D537" s="828"/>
      <c r="E537" s="2"/>
    </row>
    <row r="538" spans="3:5" ht="12.75" x14ac:dyDescent="0.2">
      <c r="C538" s="2"/>
      <c r="D538" s="828"/>
      <c r="E538" s="2"/>
    </row>
    <row r="539" spans="3:5" ht="12.75" x14ac:dyDescent="0.2">
      <c r="C539" s="2"/>
      <c r="D539" s="828"/>
      <c r="E539" s="2"/>
    </row>
    <row r="540" spans="3:5" ht="12.75" x14ac:dyDescent="0.2">
      <c r="C540" s="2"/>
      <c r="D540" s="828"/>
      <c r="E540" s="2"/>
    </row>
    <row r="541" spans="3:5" ht="12.75" x14ac:dyDescent="0.2">
      <c r="C541" s="2"/>
      <c r="D541" s="828"/>
      <c r="E541" s="2"/>
    </row>
    <row r="542" spans="3:5" ht="12.75" x14ac:dyDescent="0.2">
      <c r="C542" s="2"/>
      <c r="D542" s="828"/>
      <c r="E542" s="2"/>
    </row>
    <row r="543" spans="3:5" ht="12.75" x14ac:dyDescent="0.2">
      <c r="C543" s="2"/>
      <c r="D543" s="828"/>
      <c r="E543" s="2"/>
    </row>
    <row r="544" spans="3:5" ht="12.75" x14ac:dyDescent="0.2">
      <c r="C544" s="2"/>
      <c r="D544" s="828"/>
      <c r="E544" s="2"/>
    </row>
    <row r="545" spans="3:5" ht="12.75" x14ac:dyDescent="0.2">
      <c r="C545" s="2"/>
      <c r="D545" s="828"/>
      <c r="E545" s="2"/>
    </row>
    <row r="546" spans="3:5" ht="12.75" x14ac:dyDescent="0.2">
      <c r="C546" s="2"/>
      <c r="D546" s="828"/>
      <c r="E546" s="2"/>
    </row>
    <row r="547" spans="3:5" ht="12.75" x14ac:dyDescent="0.2">
      <c r="C547" s="2"/>
      <c r="D547" s="828"/>
      <c r="E547" s="2"/>
    </row>
    <row r="548" spans="3:5" ht="12.75" x14ac:dyDescent="0.2">
      <c r="C548" s="2"/>
      <c r="D548" s="828"/>
      <c r="E548" s="2"/>
    </row>
    <row r="549" spans="3:5" ht="12.75" x14ac:dyDescent="0.2">
      <c r="C549" s="2"/>
      <c r="D549" s="828"/>
      <c r="E549" s="2"/>
    </row>
    <row r="550" spans="3:5" ht="12.75" x14ac:dyDescent="0.2">
      <c r="C550" s="2"/>
      <c r="D550" s="828"/>
      <c r="E550" s="2"/>
    </row>
    <row r="551" spans="3:5" ht="12.75" x14ac:dyDescent="0.2">
      <c r="C551" s="2"/>
      <c r="D551" s="828"/>
      <c r="E551" s="2"/>
    </row>
    <row r="552" spans="3:5" ht="12.75" x14ac:dyDescent="0.2">
      <c r="C552" s="2"/>
      <c r="D552" s="828"/>
      <c r="E552" s="2"/>
    </row>
    <row r="553" spans="3:5" ht="12.75" x14ac:dyDescent="0.2">
      <c r="C553" s="2"/>
      <c r="D553" s="828"/>
      <c r="E553" s="2"/>
    </row>
    <row r="554" spans="3:5" ht="12.75" x14ac:dyDescent="0.2">
      <c r="C554" s="2"/>
      <c r="D554" s="828"/>
      <c r="E554" s="2"/>
    </row>
    <row r="555" spans="3:5" ht="12.75" x14ac:dyDescent="0.2">
      <c r="C555" s="2"/>
      <c r="D555" s="828"/>
      <c r="E555" s="2"/>
    </row>
    <row r="556" spans="3:5" ht="12.75" x14ac:dyDescent="0.2">
      <c r="C556" s="2"/>
      <c r="D556" s="828"/>
      <c r="E556" s="2"/>
    </row>
    <row r="557" spans="3:5" ht="12.75" x14ac:dyDescent="0.2">
      <c r="C557" s="2"/>
      <c r="D557" s="828"/>
      <c r="E557" s="2"/>
    </row>
    <row r="558" spans="3:5" ht="12.75" x14ac:dyDescent="0.2">
      <c r="C558" s="2"/>
      <c r="D558" s="828"/>
      <c r="E558" s="2"/>
    </row>
    <row r="559" spans="3:5" ht="12.75" x14ac:dyDescent="0.2">
      <c r="C559" s="2"/>
      <c r="D559" s="828"/>
      <c r="E559" s="2"/>
    </row>
    <row r="560" spans="3:5" ht="12.75" x14ac:dyDescent="0.2">
      <c r="C560" s="2"/>
      <c r="D560" s="828"/>
      <c r="E560" s="2"/>
    </row>
    <row r="561" spans="3:5" ht="12.75" x14ac:dyDescent="0.2">
      <c r="C561" s="2"/>
      <c r="D561" s="828"/>
      <c r="E561" s="2"/>
    </row>
    <row r="562" spans="3:5" ht="12.75" x14ac:dyDescent="0.2">
      <c r="C562" s="2"/>
      <c r="D562" s="828"/>
      <c r="E562" s="2"/>
    </row>
    <row r="563" spans="3:5" ht="12.75" x14ac:dyDescent="0.2">
      <c r="C563" s="2"/>
      <c r="D563" s="828"/>
      <c r="E563" s="2"/>
    </row>
    <row r="564" spans="3:5" ht="12.75" x14ac:dyDescent="0.2">
      <c r="C564" s="2"/>
      <c r="D564" s="828"/>
      <c r="E564" s="2"/>
    </row>
    <row r="565" spans="3:5" ht="12.75" x14ac:dyDescent="0.2">
      <c r="C565" s="2"/>
      <c r="D565" s="828"/>
      <c r="E565" s="2"/>
    </row>
    <row r="566" spans="3:5" ht="12.75" x14ac:dyDescent="0.2">
      <c r="C566" s="2"/>
      <c r="D566" s="828"/>
      <c r="E566" s="2"/>
    </row>
    <row r="567" spans="3:5" ht="12.75" x14ac:dyDescent="0.2">
      <c r="C567" s="2"/>
      <c r="D567" s="828"/>
      <c r="E567" s="2"/>
    </row>
    <row r="568" spans="3:5" ht="12.75" x14ac:dyDescent="0.2">
      <c r="C568" s="2"/>
      <c r="D568" s="828"/>
      <c r="E568" s="2"/>
    </row>
    <row r="569" spans="3:5" ht="12.75" x14ac:dyDescent="0.2">
      <c r="C569" s="2"/>
      <c r="D569" s="828"/>
      <c r="E569" s="2"/>
    </row>
    <row r="570" spans="3:5" ht="12.75" x14ac:dyDescent="0.2">
      <c r="C570" s="2"/>
      <c r="D570" s="828"/>
      <c r="E570" s="2"/>
    </row>
    <row r="571" spans="3:5" ht="12.75" x14ac:dyDescent="0.2">
      <c r="C571" s="2"/>
      <c r="D571" s="828"/>
      <c r="E571" s="2"/>
    </row>
    <row r="572" spans="3:5" ht="12.75" x14ac:dyDescent="0.2">
      <c r="C572" s="2"/>
      <c r="D572" s="828"/>
      <c r="E572" s="2"/>
    </row>
    <row r="573" spans="3:5" ht="12.75" x14ac:dyDescent="0.2">
      <c r="C573" s="2"/>
      <c r="D573" s="828"/>
      <c r="E573" s="2"/>
    </row>
    <row r="574" spans="3:5" ht="12.75" x14ac:dyDescent="0.2">
      <c r="C574" s="2"/>
      <c r="D574" s="828"/>
      <c r="E574" s="2"/>
    </row>
    <row r="575" spans="3:5" ht="12.75" x14ac:dyDescent="0.2">
      <c r="C575" s="2"/>
      <c r="D575" s="828"/>
      <c r="E575" s="2"/>
    </row>
    <row r="576" spans="3:5" ht="12.75" x14ac:dyDescent="0.2">
      <c r="C576" s="2"/>
      <c r="D576" s="828"/>
      <c r="E576" s="2"/>
    </row>
    <row r="577" spans="3:5" ht="12.75" x14ac:dyDescent="0.2">
      <c r="C577" s="2"/>
      <c r="D577" s="828"/>
      <c r="E577" s="2"/>
    </row>
    <row r="578" spans="3:5" ht="12.75" x14ac:dyDescent="0.2">
      <c r="C578" s="2"/>
      <c r="D578" s="828"/>
      <c r="E578" s="2"/>
    </row>
    <row r="579" spans="3:5" ht="12.75" x14ac:dyDescent="0.2">
      <c r="C579" s="2"/>
      <c r="D579" s="828"/>
      <c r="E579" s="2"/>
    </row>
    <row r="580" spans="3:5" ht="12.75" x14ac:dyDescent="0.2">
      <c r="C580" s="2"/>
      <c r="D580" s="828"/>
      <c r="E580" s="2"/>
    </row>
    <row r="581" spans="3:5" ht="12.75" x14ac:dyDescent="0.2">
      <c r="C581" s="2"/>
      <c r="D581" s="828"/>
      <c r="E581" s="2"/>
    </row>
    <row r="582" spans="3:5" ht="12.75" x14ac:dyDescent="0.2">
      <c r="C582" s="2"/>
      <c r="D582" s="828"/>
      <c r="E582" s="2"/>
    </row>
    <row r="583" spans="3:5" ht="12.75" x14ac:dyDescent="0.2">
      <c r="C583" s="2"/>
      <c r="D583" s="828"/>
      <c r="E583" s="2"/>
    </row>
    <row r="584" spans="3:5" ht="12.75" x14ac:dyDescent="0.2">
      <c r="C584" s="2"/>
      <c r="D584" s="828"/>
      <c r="E584" s="2"/>
    </row>
    <row r="585" spans="3:5" ht="12.75" x14ac:dyDescent="0.2">
      <c r="C585" s="2"/>
      <c r="D585" s="828"/>
      <c r="E585" s="2"/>
    </row>
    <row r="586" spans="3:5" ht="12.75" x14ac:dyDescent="0.2">
      <c r="C586" s="2"/>
      <c r="D586" s="828"/>
      <c r="E586" s="2"/>
    </row>
    <row r="587" spans="3:5" ht="12.75" x14ac:dyDescent="0.2">
      <c r="C587" s="2"/>
      <c r="D587" s="828"/>
      <c r="E587" s="2"/>
    </row>
    <row r="588" spans="3:5" ht="12.75" x14ac:dyDescent="0.2">
      <c r="C588" s="2"/>
      <c r="D588" s="828"/>
      <c r="E588" s="2"/>
    </row>
    <row r="589" spans="3:5" ht="12.75" x14ac:dyDescent="0.2">
      <c r="C589" s="2"/>
      <c r="D589" s="828"/>
      <c r="E589" s="2"/>
    </row>
    <row r="590" spans="3:5" ht="12.75" x14ac:dyDescent="0.2">
      <c r="C590" s="2"/>
      <c r="D590" s="828"/>
      <c r="E590" s="2"/>
    </row>
    <row r="591" spans="3:5" ht="12.75" x14ac:dyDescent="0.2">
      <c r="C591" s="2"/>
      <c r="D591" s="828"/>
      <c r="E591" s="2"/>
    </row>
    <row r="592" spans="3:5" ht="12.75" x14ac:dyDescent="0.2">
      <c r="C592" s="2"/>
      <c r="D592" s="828"/>
      <c r="E592" s="2"/>
    </row>
    <row r="593" spans="3:5" ht="12.75" x14ac:dyDescent="0.2">
      <c r="C593" s="2"/>
      <c r="D593" s="828"/>
      <c r="E593" s="2"/>
    </row>
    <row r="594" spans="3:5" ht="12.75" x14ac:dyDescent="0.2">
      <c r="C594" s="2"/>
      <c r="D594" s="828"/>
      <c r="E594" s="2"/>
    </row>
    <row r="595" spans="3:5" ht="12.75" x14ac:dyDescent="0.2">
      <c r="C595" s="2"/>
      <c r="D595" s="828"/>
      <c r="E595" s="2"/>
    </row>
    <row r="596" spans="3:5" ht="12.75" x14ac:dyDescent="0.2">
      <c r="C596" s="2"/>
      <c r="D596" s="828"/>
      <c r="E596" s="2"/>
    </row>
    <row r="597" spans="3:5" ht="12.75" x14ac:dyDescent="0.2">
      <c r="C597" s="2"/>
      <c r="D597" s="828"/>
      <c r="E597" s="2"/>
    </row>
    <row r="598" spans="3:5" ht="12.75" x14ac:dyDescent="0.2">
      <c r="C598" s="2"/>
      <c r="D598" s="828"/>
      <c r="E598" s="2"/>
    </row>
    <row r="599" spans="3:5" ht="12.75" x14ac:dyDescent="0.2">
      <c r="C599" s="2"/>
      <c r="D599" s="828"/>
      <c r="E599" s="2"/>
    </row>
    <row r="600" spans="3:5" ht="12.75" x14ac:dyDescent="0.2">
      <c r="C600" s="2"/>
      <c r="D600" s="828"/>
      <c r="E600" s="2"/>
    </row>
    <row r="601" spans="3:5" ht="12.75" x14ac:dyDescent="0.2">
      <c r="C601" s="2"/>
      <c r="D601" s="828"/>
      <c r="E601" s="2"/>
    </row>
    <row r="602" spans="3:5" ht="12.75" x14ac:dyDescent="0.2">
      <c r="C602" s="2"/>
      <c r="D602" s="828"/>
      <c r="E602" s="2"/>
    </row>
    <row r="603" spans="3:5" ht="12.75" x14ac:dyDescent="0.2">
      <c r="C603" s="2"/>
      <c r="D603" s="828"/>
      <c r="E603" s="2"/>
    </row>
    <row r="604" spans="3:5" ht="12.75" x14ac:dyDescent="0.2">
      <c r="C604" s="2"/>
      <c r="D604" s="828"/>
      <c r="E604" s="2"/>
    </row>
    <row r="605" spans="3:5" ht="12.75" x14ac:dyDescent="0.2">
      <c r="C605" s="2"/>
      <c r="D605" s="828"/>
      <c r="E605" s="2"/>
    </row>
    <row r="606" spans="3:5" ht="12.75" x14ac:dyDescent="0.2">
      <c r="C606" s="2"/>
      <c r="D606" s="828"/>
      <c r="E606" s="2"/>
    </row>
    <row r="607" spans="3:5" ht="12.75" x14ac:dyDescent="0.2">
      <c r="C607" s="2"/>
      <c r="D607" s="828"/>
      <c r="E607" s="2"/>
    </row>
    <row r="608" spans="3:5" ht="12.75" x14ac:dyDescent="0.2">
      <c r="C608" s="2"/>
      <c r="D608" s="828"/>
      <c r="E608" s="2"/>
    </row>
    <row r="609" spans="3:5" ht="12.75" x14ac:dyDescent="0.2">
      <c r="C609" s="2"/>
      <c r="D609" s="828"/>
      <c r="E609" s="2"/>
    </row>
    <row r="610" spans="3:5" ht="12.75" x14ac:dyDescent="0.2">
      <c r="C610" s="2"/>
      <c r="D610" s="828"/>
      <c r="E610" s="2"/>
    </row>
    <row r="611" spans="3:5" ht="12.75" x14ac:dyDescent="0.2">
      <c r="C611" s="2"/>
      <c r="D611" s="828"/>
      <c r="E611" s="2"/>
    </row>
    <row r="612" spans="3:5" ht="12.75" x14ac:dyDescent="0.2">
      <c r="C612" s="2"/>
      <c r="D612" s="828"/>
      <c r="E612" s="2"/>
    </row>
    <row r="613" spans="3:5" ht="12.75" x14ac:dyDescent="0.2">
      <c r="C613" s="2"/>
      <c r="D613" s="828"/>
      <c r="E613" s="2"/>
    </row>
    <row r="614" spans="3:5" ht="12.75" x14ac:dyDescent="0.2">
      <c r="C614" s="2"/>
      <c r="D614" s="828"/>
      <c r="E614" s="2"/>
    </row>
    <row r="615" spans="3:5" ht="12.75" x14ac:dyDescent="0.2">
      <c r="C615" s="2"/>
      <c r="D615" s="828"/>
      <c r="E615" s="2"/>
    </row>
    <row r="616" spans="3:5" ht="12.75" x14ac:dyDescent="0.2">
      <c r="C616" s="2"/>
      <c r="D616" s="828"/>
      <c r="E616" s="2"/>
    </row>
    <row r="617" spans="3:5" ht="12.75" x14ac:dyDescent="0.2">
      <c r="C617" s="2"/>
      <c r="D617" s="828"/>
      <c r="E617" s="2"/>
    </row>
    <row r="618" spans="3:5" ht="12.75" x14ac:dyDescent="0.2">
      <c r="C618" s="2"/>
      <c r="D618" s="828"/>
      <c r="E618" s="2"/>
    </row>
    <row r="619" spans="3:5" ht="12.75" x14ac:dyDescent="0.2">
      <c r="C619" s="2"/>
      <c r="D619" s="828"/>
      <c r="E619" s="2"/>
    </row>
    <row r="620" spans="3:5" ht="12.75" x14ac:dyDescent="0.2">
      <c r="C620" s="2"/>
      <c r="D620" s="828"/>
      <c r="E620" s="2"/>
    </row>
    <row r="621" spans="3:5" ht="12.75" x14ac:dyDescent="0.2">
      <c r="C621" s="2"/>
      <c r="D621" s="828"/>
      <c r="E621" s="2"/>
    </row>
    <row r="622" spans="3:5" ht="12.75" x14ac:dyDescent="0.2">
      <c r="C622" s="2"/>
      <c r="D622" s="828"/>
      <c r="E622" s="2"/>
    </row>
    <row r="623" spans="3:5" ht="12.75" x14ac:dyDescent="0.2">
      <c r="C623" s="2"/>
      <c r="D623" s="828"/>
      <c r="E623" s="2"/>
    </row>
    <row r="624" spans="3:5" ht="12.75" x14ac:dyDescent="0.2">
      <c r="C624" s="2"/>
      <c r="D624" s="828"/>
      <c r="E624" s="2"/>
    </row>
    <row r="625" spans="3:5" ht="12.75" x14ac:dyDescent="0.2">
      <c r="C625" s="2"/>
      <c r="D625" s="828"/>
      <c r="E625" s="2"/>
    </row>
    <row r="626" spans="3:5" ht="12.75" x14ac:dyDescent="0.2">
      <c r="C626" s="2"/>
      <c r="D626" s="828"/>
      <c r="E626" s="2"/>
    </row>
    <row r="627" spans="3:5" ht="12.75" x14ac:dyDescent="0.2">
      <c r="C627" s="2"/>
      <c r="D627" s="828"/>
      <c r="E627" s="2"/>
    </row>
    <row r="628" spans="3:5" ht="12.75" x14ac:dyDescent="0.2">
      <c r="C628" s="2"/>
      <c r="D628" s="828"/>
      <c r="E628" s="2"/>
    </row>
    <row r="629" spans="3:5" ht="12.75" x14ac:dyDescent="0.2">
      <c r="C629" s="2"/>
      <c r="D629" s="828"/>
      <c r="E629" s="2"/>
    </row>
    <row r="630" spans="3:5" ht="12.75" x14ac:dyDescent="0.2">
      <c r="C630" s="2"/>
      <c r="D630" s="828"/>
      <c r="E630" s="2"/>
    </row>
    <row r="631" spans="3:5" ht="12.75" x14ac:dyDescent="0.2">
      <c r="C631" s="2"/>
      <c r="D631" s="828"/>
      <c r="E631" s="2"/>
    </row>
    <row r="632" spans="3:5" ht="12.75" x14ac:dyDescent="0.2">
      <c r="C632" s="2"/>
      <c r="D632" s="828"/>
      <c r="E632" s="2"/>
    </row>
    <row r="633" spans="3:5" ht="12.75" x14ac:dyDescent="0.2">
      <c r="C633" s="2"/>
      <c r="D633" s="828"/>
      <c r="E633" s="2"/>
    </row>
    <row r="634" spans="3:5" ht="12.75" x14ac:dyDescent="0.2">
      <c r="C634" s="2"/>
      <c r="D634" s="828"/>
      <c r="E634" s="2"/>
    </row>
    <row r="635" spans="3:5" ht="12.75" x14ac:dyDescent="0.2">
      <c r="C635" s="2"/>
      <c r="D635" s="828"/>
      <c r="E635" s="2"/>
    </row>
    <row r="636" spans="3:5" ht="12.75" x14ac:dyDescent="0.2">
      <c r="C636" s="2"/>
      <c r="D636" s="828"/>
      <c r="E636" s="2"/>
    </row>
    <row r="637" spans="3:5" ht="12.75" x14ac:dyDescent="0.2">
      <c r="C637" s="2"/>
      <c r="D637" s="828"/>
      <c r="E637" s="2"/>
    </row>
    <row r="638" spans="3:5" ht="12.75" x14ac:dyDescent="0.2">
      <c r="C638" s="2"/>
      <c r="D638" s="828"/>
      <c r="E638" s="2"/>
    </row>
    <row r="639" spans="3:5" ht="12.75" x14ac:dyDescent="0.2">
      <c r="C639" s="2"/>
      <c r="D639" s="828"/>
      <c r="E639" s="2"/>
    </row>
    <row r="640" spans="3:5" ht="12.75" x14ac:dyDescent="0.2">
      <c r="C640" s="2"/>
      <c r="D640" s="828"/>
      <c r="E640" s="2"/>
    </row>
    <row r="641" spans="3:5" ht="12.75" x14ac:dyDescent="0.2">
      <c r="C641" s="2"/>
      <c r="D641" s="828"/>
      <c r="E641" s="2"/>
    </row>
    <row r="642" spans="3:5" ht="12.75" x14ac:dyDescent="0.2">
      <c r="C642" s="2"/>
      <c r="D642" s="828"/>
      <c r="E642" s="2"/>
    </row>
    <row r="643" spans="3:5" ht="12.75" x14ac:dyDescent="0.2">
      <c r="C643" s="2"/>
      <c r="D643" s="828"/>
      <c r="E643" s="2"/>
    </row>
    <row r="644" spans="3:5" ht="12.75" x14ac:dyDescent="0.2">
      <c r="C644" s="2"/>
      <c r="D644" s="828"/>
      <c r="E644" s="2"/>
    </row>
    <row r="645" spans="3:5" ht="12.75" x14ac:dyDescent="0.2">
      <c r="C645" s="2"/>
      <c r="D645" s="828"/>
      <c r="E645" s="2"/>
    </row>
    <row r="646" spans="3:5" ht="12.75" x14ac:dyDescent="0.2">
      <c r="C646" s="2"/>
      <c r="D646" s="828"/>
      <c r="E646" s="2"/>
    </row>
    <row r="647" spans="3:5" ht="12.75" x14ac:dyDescent="0.2">
      <c r="C647" s="2"/>
      <c r="D647" s="828"/>
      <c r="E647" s="2"/>
    </row>
    <row r="648" spans="3:5" ht="12.75" x14ac:dyDescent="0.2">
      <c r="C648" s="2"/>
      <c r="D648" s="828"/>
      <c r="E648" s="2"/>
    </row>
    <row r="649" spans="3:5" ht="12.75" x14ac:dyDescent="0.2">
      <c r="C649" s="2"/>
      <c r="D649" s="828"/>
      <c r="E649" s="2"/>
    </row>
    <row r="650" spans="3:5" ht="12.75" x14ac:dyDescent="0.2">
      <c r="C650" s="2"/>
      <c r="D650" s="828"/>
      <c r="E650" s="2"/>
    </row>
    <row r="651" spans="3:5" ht="12.75" x14ac:dyDescent="0.2">
      <c r="C651" s="2"/>
      <c r="D651" s="828"/>
      <c r="E651" s="2"/>
    </row>
    <row r="652" spans="3:5" ht="12.75" x14ac:dyDescent="0.2">
      <c r="C652" s="2"/>
      <c r="D652" s="828"/>
      <c r="E652" s="2"/>
    </row>
    <row r="653" spans="3:5" ht="12.75" x14ac:dyDescent="0.2">
      <c r="C653" s="2"/>
      <c r="D653" s="828"/>
      <c r="E653" s="2"/>
    </row>
    <row r="654" spans="3:5" ht="12.75" x14ac:dyDescent="0.2">
      <c r="C654" s="2"/>
      <c r="D654" s="828"/>
      <c r="E654" s="2"/>
    </row>
    <row r="655" spans="3:5" ht="12.75" x14ac:dyDescent="0.2">
      <c r="C655" s="2"/>
      <c r="D655" s="828"/>
      <c r="E655" s="2"/>
    </row>
    <row r="656" spans="3:5" ht="12.75" x14ac:dyDescent="0.2">
      <c r="C656" s="2"/>
      <c r="D656" s="828"/>
      <c r="E656" s="2"/>
    </row>
    <row r="657" spans="3:5" ht="12.75" x14ac:dyDescent="0.2">
      <c r="C657" s="2"/>
      <c r="D657" s="828"/>
      <c r="E657" s="2"/>
    </row>
    <row r="658" spans="3:5" ht="12.75" x14ac:dyDescent="0.2">
      <c r="C658" s="2"/>
      <c r="D658" s="828"/>
      <c r="E658" s="2"/>
    </row>
    <row r="659" spans="3:5" ht="12.75" x14ac:dyDescent="0.2">
      <c r="C659" s="2"/>
      <c r="D659" s="828"/>
      <c r="E659" s="2"/>
    </row>
    <row r="660" spans="3:5" ht="12.75" x14ac:dyDescent="0.2">
      <c r="C660" s="2"/>
      <c r="D660" s="828"/>
      <c r="E660" s="2"/>
    </row>
    <row r="661" spans="3:5" ht="12.75" x14ac:dyDescent="0.2">
      <c r="C661" s="2"/>
      <c r="D661" s="828"/>
      <c r="E661" s="2"/>
    </row>
    <row r="662" spans="3:5" ht="12.75" x14ac:dyDescent="0.2">
      <c r="C662" s="2"/>
      <c r="D662" s="828"/>
      <c r="E662" s="2"/>
    </row>
    <row r="663" spans="3:5" ht="12.75" x14ac:dyDescent="0.2">
      <c r="C663" s="2"/>
      <c r="D663" s="828"/>
      <c r="E663" s="2"/>
    </row>
    <row r="664" spans="3:5" ht="12.75" x14ac:dyDescent="0.2">
      <c r="C664" s="2"/>
      <c r="D664" s="828"/>
      <c r="E664" s="2"/>
    </row>
    <row r="665" spans="3:5" ht="12.75" x14ac:dyDescent="0.2">
      <c r="C665" s="2"/>
      <c r="D665" s="828"/>
      <c r="E665" s="2"/>
    </row>
    <row r="666" spans="3:5" ht="12.75" x14ac:dyDescent="0.2">
      <c r="C666" s="2"/>
      <c r="D666" s="828"/>
      <c r="E666" s="2"/>
    </row>
    <row r="667" spans="3:5" ht="12.75" x14ac:dyDescent="0.2">
      <c r="C667" s="2"/>
      <c r="D667" s="828"/>
      <c r="E667" s="2"/>
    </row>
    <row r="668" spans="3:5" ht="12.75" x14ac:dyDescent="0.2">
      <c r="C668" s="2"/>
      <c r="D668" s="828"/>
      <c r="E668" s="2"/>
    </row>
    <row r="669" spans="3:5" ht="12.75" x14ac:dyDescent="0.2">
      <c r="C669" s="2"/>
      <c r="D669" s="828"/>
      <c r="E669" s="2"/>
    </row>
    <row r="670" spans="3:5" ht="12.75" x14ac:dyDescent="0.2">
      <c r="C670" s="2"/>
      <c r="D670" s="828"/>
      <c r="E670" s="2"/>
    </row>
    <row r="671" spans="3:5" ht="12.75" x14ac:dyDescent="0.2">
      <c r="C671" s="2"/>
      <c r="D671" s="828"/>
      <c r="E671" s="2"/>
    </row>
    <row r="672" spans="3:5" ht="12.75" x14ac:dyDescent="0.2">
      <c r="C672" s="2"/>
      <c r="D672" s="828"/>
      <c r="E672" s="2"/>
    </row>
    <row r="673" spans="3:5" ht="12.75" x14ac:dyDescent="0.2">
      <c r="C673" s="2"/>
      <c r="D673" s="828"/>
      <c r="E673" s="2"/>
    </row>
    <row r="674" spans="3:5" ht="12.75" x14ac:dyDescent="0.2">
      <c r="C674" s="2"/>
      <c r="D674" s="828"/>
      <c r="E674" s="2"/>
    </row>
    <row r="675" spans="3:5" ht="12.75" x14ac:dyDescent="0.2">
      <c r="C675" s="2"/>
      <c r="D675" s="828"/>
      <c r="E675" s="2"/>
    </row>
    <row r="676" spans="3:5" ht="12.75" x14ac:dyDescent="0.2">
      <c r="C676" s="2"/>
      <c r="D676" s="828"/>
      <c r="E676" s="2"/>
    </row>
    <row r="677" spans="3:5" ht="12.75" x14ac:dyDescent="0.2">
      <c r="C677" s="2"/>
      <c r="D677" s="828"/>
      <c r="E677" s="2"/>
    </row>
    <row r="678" spans="3:5" ht="12.75" x14ac:dyDescent="0.2">
      <c r="C678" s="2"/>
      <c r="D678" s="828"/>
      <c r="E678" s="2"/>
    </row>
    <row r="679" spans="3:5" ht="12.75" x14ac:dyDescent="0.2">
      <c r="C679" s="2"/>
      <c r="D679" s="828"/>
      <c r="E679" s="2"/>
    </row>
    <row r="680" spans="3:5" ht="12.75" x14ac:dyDescent="0.2">
      <c r="C680" s="2"/>
      <c r="D680" s="828"/>
      <c r="E680" s="2"/>
    </row>
    <row r="681" spans="3:5" ht="12.75" x14ac:dyDescent="0.2">
      <c r="C681" s="2"/>
      <c r="D681" s="828"/>
      <c r="E681" s="2"/>
    </row>
    <row r="682" spans="3:5" ht="12.75" x14ac:dyDescent="0.2">
      <c r="C682" s="2"/>
      <c r="D682" s="828"/>
      <c r="E682" s="2"/>
    </row>
    <row r="683" spans="3:5" ht="12.75" x14ac:dyDescent="0.2">
      <c r="C683" s="2"/>
      <c r="D683" s="828"/>
      <c r="E683" s="2"/>
    </row>
    <row r="684" spans="3:5" ht="12.75" x14ac:dyDescent="0.2">
      <c r="C684" s="2"/>
      <c r="D684" s="828"/>
      <c r="E684" s="2"/>
    </row>
    <row r="685" spans="3:5" ht="12.75" x14ac:dyDescent="0.2">
      <c r="C685" s="2"/>
      <c r="D685" s="828"/>
      <c r="E685" s="2"/>
    </row>
    <row r="686" spans="3:5" ht="12.75" x14ac:dyDescent="0.2">
      <c r="C686" s="2"/>
      <c r="D686" s="828"/>
      <c r="E686" s="2"/>
    </row>
    <row r="687" spans="3:5" ht="12.75" x14ac:dyDescent="0.2">
      <c r="C687" s="2"/>
      <c r="D687" s="828"/>
      <c r="E687" s="2"/>
    </row>
    <row r="688" spans="3:5" ht="12.75" x14ac:dyDescent="0.2">
      <c r="C688" s="2"/>
      <c r="D688" s="828"/>
      <c r="E688" s="2"/>
    </row>
    <row r="689" spans="3:5" ht="12.75" x14ac:dyDescent="0.2">
      <c r="C689" s="2"/>
      <c r="D689" s="828"/>
      <c r="E689" s="2"/>
    </row>
    <row r="690" spans="3:5" ht="12.75" x14ac:dyDescent="0.2">
      <c r="C690" s="2"/>
      <c r="D690" s="828"/>
      <c r="E690" s="2"/>
    </row>
    <row r="691" spans="3:5" ht="12.75" x14ac:dyDescent="0.2">
      <c r="C691" s="2"/>
      <c r="D691" s="828"/>
      <c r="E691" s="2"/>
    </row>
    <row r="692" spans="3:5" ht="12.75" x14ac:dyDescent="0.2">
      <c r="C692" s="2"/>
      <c r="D692" s="828"/>
      <c r="E692" s="2"/>
    </row>
    <row r="693" spans="3:5" ht="12.75" x14ac:dyDescent="0.2">
      <c r="C693" s="2"/>
      <c r="D693" s="828"/>
      <c r="E693" s="2"/>
    </row>
    <row r="694" spans="3:5" ht="12.75" x14ac:dyDescent="0.2">
      <c r="C694" s="2"/>
      <c r="D694" s="828"/>
      <c r="E694" s="2"/>
    </row>
    <row r="695" spans="3:5" ht="12.75" x14ac:dyDescent="0.2">
      <c r="C695" s="2"/>
      <c r="D695" s="828"/>
      <c r="E695" s="2"/>
    </row>
    <row r="696" spans="3:5" ht="12.75" x14ac:dyDescent="0.2">
      <c r="C696" s="2"/>
      <c r="D696" s="828"/>
      <c r="E696" s="2"/>
    </row>
    <row r="697" spans="3:5" ht="12.75" x14ac:dyDescent="0.2">
      <c r="C697" s="2"/>
      <c r="D697" s="828"/>
      <c r="E697" s="2"/>
    </row>
    <row r="698" spans="3:5" ht="12.75" x14ac:dyDescent="0.2">
      <c r="C698" s="2"/>
      <c r="D698" s="828"/>
      <c r="E698" s="2"/>
    </row>
    <row r="699" spans="3:5" ht="12.75" x14ac:dyDescent="0.2">
      <c r="C699" s="2"/>
      <c r="D699" s="828"/>
      <c r="E699" s="2"/>
    </row>
    <row r="700" spans="3:5" ht="12.75" x14ac:dyDescent="0.2">
      <c r="C700" s="2"/>
      <c r="D700" s="828"/>
      <c r="E700" s="2"/>
    </row>
    <row r="701" spans="3:5" ht="12.75" x14ac:dyDescent="0.2">
      <c r="C701" s="2"/>
      <c r="D701" s="828"/>
      <c r="E701" s="2"/>
    </row>
    <row r="702" spans="3:5" ht="12.75" x14ac:dyDescent="0.2">
      <c r="C702" s="2"/>
      <c r="D702" s="828"/>
      <c r="E702" s="2"/>
    </row>
    <row r="703" spans="3:5" ht="12.75" x14ac:dyDescent="0.2">
      <c r="C703" s="2"/>
      <c r="D703" s="828"/>
      <c r="E703" s="2"/>
    </row>
    <row r="704" spans="3:5" ht="12.75" x14ac:dyDescent="0.2">
      <c r="C704" s="2"/>
      <c r="D704" s="828"/>
      <c r="E704" s="2"/>
    </row>
    <row r="705" spans="3:5" ht="12.75" x14ac:dyDescent="0.2">
      <c r="C705" s="2"/>
      <c r="D705" s="828"/>
      <c r="E705" s="2"/>
    </row>
    <row r="706" spans="3:5" ht="12.75" x14ac:dyDescent="0.2">
      <c r="C706" s="2"/>
      <c r="D706" s="828"/>
      <c r="E706" s="2"/>
    </row>
    <row r="707" spans="3:5" ht="12.75" x14ac:dyDescent="0.2">
      <c r="C707" s="2"/>
      <c r="D707" s="828"/>
      <c r="E707" s="2"/>
    </row>
    <row r="708" spans="3:5" ht="12.75" x14ac:dyDescent="0.2">
      <c r="C708" s="2"/>
      <c r="D708" s="828"/>
      <c r="E708" s="2"/>
    </row>
    <row r="709" spans="3:5" ht="12.75" x14ac:dyDescent="0.2">
      <c r="C709" s="2"/>
      <c r="D709" s="828"/>
      <c r="E709" s="2"/>
    </row>
    <row r="710" spans="3:5" ht="12.75" x14ac:dyDescent="0.2">
      <c r="C710" s="2"/>
      <c r="D710" s="828"/>
      <c r="E710" s="2"/>
    </row>
    <row r="711" spans="3:5" ht="12.75" x14ac:dyDescent="0.2">
      <c r="C711" s="2"/>
      <c r="D711" s="828"/>
      <c r="E711" s="2"/>
    </row>
    <row r="712" spans="3:5" ht="12.75" x14ac:dyDescent="0.2">
      <c r="C712" s="2"/>
      <c r="D712" s="828"/>
      <c r="E712" s="2"/>
    </row>
    <row r="713" spans="3:5" ht="12.75" x14ac:dyDescent="0.2">
      <c r="C713" s="2"/>
      <c r="D713" s="828"/>
      <c r="E713" s="2"/>
    </row>
    <row r="714" spans="3:5" ht="12.75" x14ac:dyDescent="0.2">
      <c r="C714" s="2"/>
      <c r="D714" s="828"/>
      <c r="E714" s="2"/>
    </row>
    <row r="715" spans="3:5" ht="12.75" x14ac:dyDescent="0.2">
      <c r="C715" s="2"/>
      <c r="D715" s="828"/>
      <c r="E715" s="2"/>
    </row>
    <row r="716" spans="3:5" ht="12.75" x14ac:dyDescent="0.2">
      <c r="C716" s="2"/>
      <c r="D716" s="828"/>
      <c r="E716" s="2"/>
    </row>
    <row r="717" spans="3:5" ht="12.75" x14ac:dyDescent="0.2">
      <c r="C717" s="2"/>
      <c r="D717" s="828"/>
      <c r="E717" s="2"/>
    </row>
    <row r="718" spans="3:5" ht="12.75" x14ac:dyDescent="0.2">
      <c r="C718" s="2"/>
      <c r="D718" s="828"/>
      <c r="E718" s="2"/>
    </row>
    <row r="719" spans="3:5" ht="12.75" x14ac:dyDescent="0.2">
      <c r="C719" s="2"/>
      <c r="D719" s="828"/>
      <c r="E719" s="2"/>
    </row>
    <row r="720" spans="3:5" ht="12.75" x14ac:dyDescent="0.2">
      <c r="C720" s="2"/>
      <c r="D720" s="828"/>
      <c r="E720" s="2"/>
    </row>
    <row r="721" spans="3:5" ht="12.75" x14ac:dyDescent="0.2">
      <c r="C721" s="2"/>
      <c r="D721" s="828"/>
      <c r="E721" s="2"/>
    </row>
    <row r="722" spans="3:5" ht="12.75" x14ac:dyDescent="0.2">
      <c r="C722" s="2"/>
      <c r="D722" s="828"/>
      <c r="E722" s="2"/>
    </row>
    <row r="723" spans="3:5" ht="12.75" x14ac:dyDescent="0.2">
      <c r="C723" s="2"/>
      <c r="D723" s="828"/>
      <c r="E723" s="2"/>
    </row>
    <row r="724" spans="3:5" ht="12.75" x14ac:dyDescent="0.2">
      <c r="C724" s="2"/>
      <c r="D724" s="828"/>
      <c r="E724" s="2"/>
    </row>
    <row r="725" spans="3:5" ht="12.75" x14ac:dyDescent="0.2">
      <c r="C725" s="2"/>
      <c r="D725" s="828"/>
      <c r="E725" s="2"/>
    </row>
    <row r="726" spans="3:5" ht="12.75" x14ac:dyDescent="0.2">
      <c r="C726" s="2"/>
      <c r="D726" s="828"/>
      <c r="E726" s="2"/>
    </row>
    <row r="727" spans="3:5" ht="12.75" x14ac:dyDescent="0.2">
      <c r="C727" s="2"/>
      <c r="D727" s="828"/>
      <c r="E727" s="2"/>
    </row>
    <row r="728" spans="3:5" ht="12.75" x14ac:dyDescent="0.2">
      <c r="C728" s="2"/>
      <c r="D728" s="828"/>
      <c r="E728" s="2"/>
    </row>
    <row r="729" spans="3:5" ht="12.75" x14ac:dyDescent="0.2">
      <c r="C729" s="2"/>
      <c r="D729" s="828"/>
      <c r="E729" s="2"/>
    </row>
    <row r="730" spans="3:5" ht="12.75" x14ac:dyDescent="0.2">
      <c r="C730" s="2"/>
      <c r="D730" s="828"/>
      <c r="E730" s="2"/>
    </row>
    <row r="731" spans="3:5" ht="12.75" x14ac:dyDescent="0.2">
      <c r="C731" s="2"/>
      <c r="D731" s="828"/>
      <c r="E731" s="2"/>
    </row>
    <row r="732" spans="3:5" ht="12.75" x14ac:dyDescent="0.2">
      <c r="C732" s="2"/>
      <c r="D732" s="828"/>
      <c r="E732" s="2"/>
    </row>
    <row r="733" spans="3:5" ht="12.75" x14ac:dyDescent="0.2">
      <c r="C733" s="2"/>
      <c r="D733" s="828"/>
      <c r="E733" s="2"/>
    </row>
    <row r="734" spans="3:5" ht="12.75" x14ac:dyDescent="0.2">
      <c r="C734" s="2"/>
      <c r="D734" s="828"/>
      <c r="E734" s="2"/>
    </row>
    <row r="735" spans="3:5" ht="12.75" x14ac:dyDescent="0.2">
      <c r="C735" s="2"/>
      <c r="D735" s="828"/>
      <c r="E735" s="2"/>
    </row>
    <row r="736" spans="3:5" ht="12.75" x14ac:dyDescent="0.2">
      <c r="C736" s="2"/>
      <c r="D736" s="828"/>
      <c r="E736" s="2"/>
    </row>
    <row r="737" spans="3:5" ht="12.75" x14ac:dyDescent="0.2">
      <c r="C737" s="2"/>
      <c r="D737" s="828"/>
      <c r="E737" s="2"/>
    </row>
    <row r="738" spans="3:5" ht="12.75" x14ac:dyDescent="0.2">
      <c r="C738" s="2"/>
      <c r="D738" s="828"/>
      <c r="E738" s="2"/>
    </row>
    <row r="739" spans="3:5" ht="12.75" x14ac:dyDescent="0.2">
      <c r="C739" s="2"/>
      <c r="D739" s="828"/>
      <c r="E739" s="2"/>
    </row>
    <row r="740" spans="3:5" ht="12.75" x14ac:dyDescent="0.2">
      <c r="C740" s="2"/>
      <c r="D740" s="828"/>
      <c r="E740" s="2"/>
    </row>
    <row r="741" spans="3:5" ht="12.75" x14ac:dyDescent="0.2">
      <c r="C741" s="2"/>
      <c r="D741" s="828"/>
      <c r="E741" s="2"/>
    </row>
    <row r="742" spans="3:5" ht="12.75" x14ac:dyDescent="0.2">
      <c r="C742" s="2"/>
      <c r="D742" s="828"/>
      <c r="E742" s="2"/>
    </row>
    <row r="743" spans="3:5" ht="12.75" x14ac:dyDescent="0.2">
      <c r="C743" s="2"/>
      <c r="D743" s="828"/>
      <c r="E743" s="2"/>
    </row>
    <row r="744" spans="3:5" ht="12.75" x14ac:dyDescent="0.2">
      <c r="C744" s="2"/>
      <c r="D744" s="828"/>
      <c r="E744" s="2"/>
    </row>
    <row r="745" spans="3:5" ht="12.75" x14ac:dyDescent="0.2">
      <c r="C745" s="2"/>
      <c r="D745" s="828"/>
      <c r="E745" s="2"/>
    </row>
    <row r="746" spans="3:5" ht="12.75" x14ac:dyDescent="0.2">
      <c r="C746" s="2"/>
      <c r="D746" s="828"/>
      <c r="E746" s="2"/>
    </row>
    <row r="747" spans="3:5" ht="12.75" x14ac:dyDescent="0.2">
      <c r="C747" s="2"/>
      <c r="D747" s="828"/>
      <c r="E747" s="2"/>
    </row>
    <row r="748" spans="3:5" ht="12.75" x14ac:dyDescent="0.2">
      <c r="C748" s="2"/>
      <c r="D748" s="828"/>
      <c r="E748" s="2"/>
    </row>
    <row r="749" spans="3:5" ht="12.75" x14ac:dyDescent="0.2">
      <c r="C749" s="2"/>
      <c r="D749" s="828"/>
      <c r="E749" s="2"/>
    </row>
    <row r="750" spans="3:5" ht="12.75" x14ac:dyDescent="0.2">
      <c r="C750" s="2"/>
      <c r="D750" s="828"/>
      <c r="E750" s="2"/>
    </row>
    <row r="751" spans="3:5" ht="12.75" x14ac:dyDescent="0.2">
      <c r="C751" s="2"/>
      <c r="D751" s="828"/>
      <c r="E751" s="2"/>
    </row>
    <row r="752" spans="3:5" ht="12.75" x14ac:dyDescent="0.2">
      <c r="C752" s="2"/>
      <c r="D752" s="828"/>
      <c r="E752" s="2"/>
    </row>
    <row r="753" spans="3:5" ht="12.75" x14ac:dyDescent="0.2">
      <c r="C753" s="2"/>
      <c r="D753" s="828"/>
      <c r="E753" s="2"/>
    </row>
    <row r="754" spans="3:5" ht="12.75" x14ac:dyDescent="0.2">
      <c r="C754" s="2"/>
      <c r="D754" s="828"/>
      <c r="E754" s="2"/>
    </row>
    <row r="755" spans="3:5" ht="12.75" x14ac:dyDescent="0.2">
      <c r="C755" s="2"/>
      <c r="D755" s="828"/>
      <c r="E755" s="2"/>
    </row>
    <row r="756" spans="3:5" ht="12.75" x14ac:dyDescent="0.2">
      <c r="C756" s="2"/>
      <c r="D756" s="828"/>
      <c r="E756" s="2"/>
    </row>
    <row r="757" spans="3:5" ht="12.75" x14ac:dyDescent="0.2">
      <c r="C757" s="2"/>
      <c r="D757" s="828"/>
      <c r="E757" s="2"/>
    </row>
    <row r="758" spans="3:5" ht="12.75" x14ac:dyDescent="0.2">
      <c r="C758" s="2"/>
      <c r="D758" s="828"/>
      <c r="E758" s="2"/>
    </row>
    <row r="759" spans="3:5" ht="12.75" x14ac:dyDescent="0.2">
      <c r="C759" s="2"/>
      <c r="D759" s="828"/>
      <c r="E759" s="2"/>
    </row>
    <row r="760" spans="3:5" ht="12.75" x14ac:dyDescent="0.2">
      <c r="C760" s="2"/>
      <c r="D760" s="828"/>
      <c r="E760" s="2"/>
    </row>
    <row r="761" spans="3:5" ht="12.75" x14ac:dyDescent="0.2">
      <c r="C761" s="2"/>
      <c r="D761" s="828"/>
      <c r="E761" s="2"/>
    </row>
    <row r="762" spans="3:5" ht="12.75" x14ac:dyDescent="0.2">
      <c r="C762" s="2"/>
      <c r="D762" s="828"/>
      <c r="E762" s="2"/>
    </row>
    <row r="763" spans="3:5" ht="12.75" x14ac:dyDescent="0.2">
      <c r="C763" s="2"/>
      <c r="D763" s="828"/>
      <c r="E763" s="2"/>
    </row>
    <row r="764" spans="3:5" ht="12.75" x14ac:dyDescent="0.2">
      <c r="C764" s="2"/>
      <c r="D764" s="828"/>
      <c r="E764" s="2"/>
    </row>
    <row r="765" spans="3:5" ht="12.75" x14ac:dyDescent="0.2">
      <c r="C765" s="2"/>
      <c r="D765" s="828"/>
      <c r="E765" s="2"/>
    </row>
    <row r="766" spans="3:5" ht="12.75" x14ac:dyDescent="0.2">
      <c r="C766" s="2"/>
      <c r="D766" s="828"/>
      <c r="E766" s="2"/>
    </row>
    <row r="767" spans="3:5" ht="12.75" x14ac:dyDescent="0.2">
      <c r="C767" s="2"/>
      <c r="D767" s="828"/>
      <c r="E767" s="2"/>
    </row>
    <row r="768" spans="3:5" ht="12.75" x14ac:dyDescent="0.2">
      <c r="C768" s="2"/>
      <c r="D768" s="828"/>
      <c r="E768" s="2"/>
    </row>
    <row r="769" spans="3:5" ht="12.75" x14ac:dyDescent="0.2">
      <c r="C769" s="2"/>
      <c r="D769" s="828"/>
      <c r="E769" s="2"/>
    </row>
    <row r="770" spans="3:5" ht="12.75" x14ac:dyDescent="0.2">
      <c r="C770" s="2"/>
      <c r="D770" s="828"/>
      <c r="E770" s="2"/>
    </row>
    <row r="771" spans="3:5" ht="12.75" x14ac:dyDescent="0.2">
      <c r="C771" s="2"/>
      <c r="D771" s="828"/>
      <c r="E771" s="2"/>
    </row>
    <row r="772" spans="3:5" ht="12.75" x14ac:dyDescent="0.2">
      <c r="C772" s="2"/>
      <c r="D772" s="828"/>
      <c r="E772" s="2"/>
    </row>
    <row r="773" spans="3:5" ht="12.75" x14ac:dyDescent="0.2">
      <c r="C773" s="2"/>
      <c r="D773" s="828"/>
      <c r="E773" s="2"/>
    </row>
    <row r="774" spans="3:5" ht="12.75" x14ac:dyDescent="0.2">
      <c r="C774" s="2"/>
      <c r="D774" s="828"/>
      <c r="E774" s="2"/>
    </row>
    <row r="775" spans="3:5" ht="12.75" x14ac:dyDescent="0.2">
      <c r="C775" s="2"/>
      <c r="D775" s="828"/>
      <c r="E775" s="2"/>
    </row>
    <row r="776" spans="3:5" ht="12.75" x14ac:dyDescent="0.2">
      <c r="C776" s="2"/>
      <c r="D776" s="828"/>
      <c r="E776" s="2"/>
    </row>
    <row r="777" spans="3:5" ht="12.75" x14ac:dyDescent="0.2">
      <c r="C777" s="2"/>
      <c r="D777" s="828"/>
      <c r="E777" s="2"/>
    </row>
    <row r="778" spans="3:5" ht="12.75" x14ac:dyDescent="0.2">
      <c r="C778" s="2"/>
      <c r="D778" s="828"/>
      <c r="E778" s="2"/>
    </row>
    <row r="779" spans="3:5" ht="12.75" x14ac:dyDescent="0.2">
      <c r="C779" s="2"/>
      <c r="D779" s="828"/>
      <c r="E779" s="2"/>
    </row>
    <row r="780" spans="3:5" ht="12.75" x14ac:dyDescent="0.2">
      <c r="C780" s="2"/>
      <c r="D780" s="828"/>
      <c r="E780" s="2"/>
    </row>
    <row r="781" spans="3:5" ht="12.75" x14ac:dyDescent="0.2">
      <c r="C781" s="2"/>
      <c r="D781" s="828"/>
      <c r="E781" s="2"/>
    </row>
    <row r="782" spans="3:5" ht="12.75" x14ac:dyDescent="0.2">
      <c r="C782" s="2"/>
      <c r="D782" s="828"/>
      <c r="E782" s="2"/>
    </row>
    <row r="783" spans="3:5" ht="12.75" x14ac:dyDescent="0.2">
      <c r="C783" s="2"/>
      <c r="D783" s="828"/>
      <c r="E783" s="2"/>
    </row>
    <row r="784" spans="3:5" ht="12.75" x14ac:dyDescent="0.2">
      <c r="C784" s="2"/>
      <c r="D784" s="828"/>
      <c r="E784" s="2"/>
    </row>
    <row r="785" spans="3:5" ht="12.75" x14ac:dyDescent="0.2">
      <c r="C785" s="2"/>
      <c r="D785" s="828"/>
      <c r="E785" s="2"/>
    </row>
    <row r="786" spans="3:5" ht="12.75" x14ac:dyDescent="0.2">
      <c r="C786" s="2"/>
      <c r="D786" s="828"/>
      <c r="E786" s="2"/>
    </row>
    <row r="787" spans="3:5" ht="12.75" x14ac:dyDescent="0.2">
      <c r="C787" s="2"/>
      <c r="D787" s="828"/>
      <c r="E787" s="2"/>
    </row>
    <row r="788" spans="3:5" ht="12.75" x14ac:dyDescent="0.2">
      <c r="C788" s="2"/>
      <c r="D788" s="828"/>
      <c r="E788" s="2"/>
    </row>
    <row r="789" spans="3:5" ht="12.75" x14ac:dyDescent="0.2">
      <c r="C789" s="2"/>
      <c r="D789" s="828"/>
      <c r="E789" s="2"/>
    </row>
    <row r="790" spans="3:5" ht="12.75" x14ac:dyDescent="0.2">
      <c r="C790" s="2"/>
      <c r="D790" s="828"/>
      <c r="E790" s="2"/>
    </row>
    <row r="791" spans="3:5" ht="12.75" x14ac:dyDescent="0.2">
      <c r="C791" s="2"/>
      <c r="D791" s="828"/>
      <c r="E791" s="2"/>
    </row>
    <row r="792" spans="3:5" ht="12.75" x14ac:dyDescent="0.2">
      <c r="C792" s="2"/>
      <c r="D792" s="828"/>
      <c r="E792" s="2"/>
    </row>
    <row r="793" spans="3:5" ht="12.75" x14ac:dyDescent="0.2">
      <c r="C793" s="2"/>
      <c r="D793" s="828"/>
      <c r="E793" s="2"/>
    </row>
    <row r="794" spans="3:5" ht="12.75" x14ac:dyDescent="0.2">
      <c r="C794" s="2"/>
      <c r="D794" s="828"/>
      <c r="E794" s="2"/>
    </row>
    <row r="795" spans="3:5" ht="12.75" x14ac:dyDescent="0.2">
      <c r="C795" s="2"/>
      <c r="D795" s="828"/>
      <c r="E795" s="2"/>
    </row>
    <row r="796" spans="3:5" ht="12.75" x14ac:dyDescent="0.2">
      <c r="C796" s="2"/>
      <c r="D796" s="828"/>
      <c r="E796" s="2"/>
    </row>
    <row r="797" spans="3:5" ht="12.75" x14ac:dyDescent="0.2">
      <c r="C797" s="2"/>
      <c r="D797" s="828"/>
      <c r="E797" s="2"/>
    </row>
    <row r="798" spans="3:5" ht="12.75" x14ac:dyDescent="0.2">
      <c r="C798" s="2"/>
      <c r="D798" s="828"/>
      <c r="E798" s="2"/>
    </row>
    <row r="799" spans="3:5" ht="12.75" x14ac:dyDescent="0.2">
      <c r="C799" s="2"/>
      <c r="D799" s="828"/>
      <c r="E799" s="2"/>
    </row>
    <row r="800" spans="3:5" ht="12.75" x14ac:dyDescent="0.2">
      <c r="C800" s="2"/>
      <c r="D800" s="828"/>
      <c r="E800" s="2"/>
    </row>
    <row r="801" spans="3:5" ht="12.75" x14ac:dyDescent="0.2">
      <c r="C801" s="2"/>
      <c r="D801" s="828"/>
      <c r="E801" s="2"/>
    </row>
    <row r="802" spans="3:5" ht="12.75" x14ac:dyDescent="0.2">
      <c r="C802" s="2"/>
      <c r="D802" s="828"/>
      <c r="E802" s="2"/>
    </row>
    <row r="803" spans="3:5" ht="12.75" x14ac:dyDescent="0.2">
      <c r="C803" s="2"/>
      <c r="D803" s="828"/>
      <c r="E803" s="2"/>
    </row>
    <row r="804" spans="3:5" ht="12.75" x14ac:dyDescent="0.2">
      <c r="C804" s="2"/>
      <c r="D804" s="828"/>
      <c r="E804" s="2"/>
    </row>
    <row r="805" spans="3:5" ht="12.75" x14ac:dyDescent="0.2">
      <c r="C805" s="2"/>
      <c r="D805" s="828"/>
      <c r="E805" s="2"/>
    </row>
    <row r="806" spans="3:5" ht="12.75" x14ac:dyDescent="0.2">
      <c r="C806" s="2"/>
      <c r="D806" s="828"/>
      <c r="E806" s="2"/>
    </row>
    <row r="807" spans="3:5" ht="12.75" x14ac:dyDescent="0.2">
      <c r="C807" s="2"/>
      <c r="D807" s="828"/>
      <c r="E807" s="2"/>
    </row>
    <row r="808" spans="3:5" ht="12.75" x14ac:dyDescent="0.2">
      <c r="C808" s="2"/>
      <c r="D808" s="828"/>
      <c r="E808" s="2"/>
    </row>
    <row r="809" spans="3:5" ht="12.75" x14ac:dyDescent="0.2">
      <c r="C809" s="2"/>
      <c r="D809" s="828"/>
      <c r="E809" s="2"/>
    </row>
    <row r="810" spans="3:5" ht="12.75" x14ac:dyDescent="0.2">
      <c r="C810" s="2"/>
      <c r="D810" s="828"/>
      <c r="E810" s="2"/>
    </row>
    <row r="811" spans="3:5" ht="12.75" x14ac:dyDescent="0.2">
      <c r="C811" s="2"/>
      <c r="D811" s="828"/>
      <c r="E811" s="2"/>
    </row>
    <row r="812" spans="3:5" ht="12.75" x14ac:dyDescent="0.2">
      <c r="C812" s="2"/>
      <c r="D812" s="828"/>
      <c r="E812" s="2"/>
    </row>
    <row r="813" spans="3:5" ht="12.75" x14ac:dyDescent="0.2">
      <c r="C813" s="2"/>
      <c r="D813" s="828"/>
      <c r="E813" s="2"/>
    </row>
    <row r="814" spans="3:5" ht="12.75" x14ac:dyDescent="0.2">
      <c r="C814" s="2"/>
      <c r="D814" s="828"/>
      <c r="E814" s="2"/>
    </row>
    <row r="815" spans="3:5" ht="12.75" x14ac:dyDescent="0.2">
      <c r="C815" s="2"/>
      <c r="D815" s="828"/>
      <c r="E815" s="2"/>
    </row>
    <row r="816" spans="3:5" ht="12.75" x14ac:dyDescent="0.2">
      <c r="C816" s="2"/>
      <c r="D816" s="828"/>
      <c r="E816" s="2"/>
    </row>
    <row r="817" spans="3:5" ht="12.75" x14ac:dyDescent="0.2">
      <c r="C817" s="2"/>
      <c r="D817" s="828"/>
      <c r="E817" s="2"/>
    </row>
    <row r="818" spans="3:5" ht="12.75" x14ac:dyDescent="0.2">
      <c r="C818" s="2"/>
      <c r="D818" s="828"/>
      <c r="E818" s="2"/>
    </row>
    <row r="819" spans="3:5" ht="12.75" x14ac:dyDescent="0.2">
      <c r="C819" s="2"/>
      <c r="D819" s="828"/>
      <c r="E819" s="2"/>
    </row>
    <row r="820" spans="3:5" ht="12.75" x14ac:dyDescent="0.2">
      <c r="C820" s="2"/>
      <c r="D820" s="828"/>
      <c r="E820" s="2"/>
    </row>
    <row r="821" spans="3:5" ht="12.75" x14ac:dyDescent="0.2">
      <c r="C821" s="2"/>
      <c r="D821" s="828"/>
      <c r="E821" s="2"/>
    </row>
    <row r="822" spans="3:5" ht="12.75" x14ac:dyDescent="0.2">
      <c r="C822" s="2"/>
      <c r="D822" s="828"/>
      <c r="E822" s="2"/>
    </row>
    <row r="823" spans="3:5" ht="12.75" x14ac:dyDescent="0.2">
      <c r="C823" s="2"/>
      <c r="D823" s="828"/>
      <c r="E823" s="2"/>
    </row>
    <row r="824" spans="3:5" ht="12.75" x14ac:dyDescent="0.2">
      <c r="C824" s="2"/>
      <c r="D824" s="828"/>
      <c r="E824" s="2"/>
    </row>
    <row r="825" spans="3:5" ht="12.75" x14ac:dyDescent="0.2">
      <c r="C825" s="2"/>
      <c r="D825" s="828"/>
      <c r="E825" s="2"/>
    </row>
    <row r="826" spans="3:5" ht="12.75" x14ac:dyDescent="0.2">
      <c r="C826" s="2"/>
      <c r="D826" s="828"/>
      <c r="E826" s="2"/>
    </row>
    <row r="827" spans="3:5" ht="12.75" x14ac:dyDescent="0.2">
      <c r="C827" s="2"/>
      <c r="D827" s="828"/>
      <c r="E827" s="2"/>
    </row>
    <row r="828" spans="3:5" ht="12.75" x14ac:dyDescent="0.2">
      <c r="C828" s="2"/>
      <c r="D828" s="828"/>
      <c r="E828" s="2"/>
    </row>
    <row r="829" spans="3:5" ht="12.75" x14ac:dyDescent="0.2">
      <c r="C829" s="2"/>
      <c r="D829" s="828"/>
      <c r="E829" s="2"/>
    </row>
    <row r="830" spans="3:5" ht="12.75" x14ac:dyDescent="0.2">
      <c r="C830" s="2"/>
      <c r="D830" s="828"/>
      <c r="E830" s="2"/>
    </row>
    <row r="831" spans="3:5" ht="12.75" x14ac:dyDescent="0.2">
      <c r="C831" s="2"/>
      <c r="D831" s="828"/>
      <c r="E831" s="2"/>
    </row>
    <row r="832" spans="3:5" ht="12.75" x14ac:dyDescent="0.2">
      <c r="C832" s="2"/>
      <c r="D832" s="828"/>
      <c r="E832" s="2"/>
    </row>
    <row r="833" spans="3:5" ht="12.75" x14ac:dyDescent="0.2">
      <c r="C833" s="2"/>
      <c r="D833" s="828"/>
      <c r="E833" s="2"/>
    </row>
    <row r="834" spans="3:5" ht="12.75" x14ac:dyDescent="0.2">
      <c r="C834" s="2"/>
      <c r="D834" s="828"/>
      <c r="E834" s="2"/>
    </row>
    <row r="835" spans="3:5" ht="12.75" x14ac:dyDescent="0.2">
      <c r="C835" s="2"/>
      <c r="D835" s="828"/>
      <c r="E835" s="2"/>
    </row>
    <row r="836" spans="3:5" ht="12.75" x14ac:dyDescent="0.2">
      <c r="C836" s="2"/>
      <c r="D836" s="828"/>
      <c r="E836" s="2"/>
    </row>
    <row r="837" spans="3:5" ht="12.75" x14ac:dyDescent="0.2">
      <c r="C837" s="2"/>
      <c r="D837" s="828"/>
      <c r="E837" s="2"/>
    </row>
    <row r="838" spans="3:5" ht="12.75" x14ac:dyDescent="0.2">
      <c r="C838" s="2"/>
      <c r="D838" s="828"/>
      <c r="E838" s="2"/>
    </row>
    <row r="839" spans="3:5" ht="12.75" x14ac:dyDescent="0.2">
      <c r="C839" s="2"/>
      <c r="D839" s="828"/>
      <c r="E839" s="2"/>
    </row>
    <row r="840" spans="3:5" ht="12.75" x14ac:dyDescent="0.2">
      <c r="C840" s="2"/>
      <c r="D840" s="828"/>
      <c r="E840" s="2"/>
    </row>
    <row r="841" spans="3:5" ht="12.75" x14ac:dyDescent="0.2">
      <c r="C841" s="2"/>
      <c r="D841" s="828"/>
      <c r="E841" s="2"/>
    </row>
    <row r="842" spans="3:5" ht="12.75" x14ac:dyDescent="0.2">
      <c r="C842" s="2"/>
      <c r="D842" s="828"/>
      <c r="E842" s="2"/>
    </row>
    <row r="843" spans="3:5" ht="12.75" x14ac:dyDescent="0.2">
      <c r="C843" s="2"/>
      <c r="D843" s="828"/>
      <c r="E843" s="2"/>
    </row>
    <row r="844" spans="3:5" ht="12.75" x14ac:dyDescent="0.2">
      <c r="C844" s="2"/>
      <c r="D844" s="828"/>
      <c r="E844" s="2"/>
    </row>
    <row r="845" spans="3:5" ht="12.75" x14ac:dyDescent="0.2">
      <c r="C845" s="2"/>
      <c r="D845" s="828"/>
      <c r="E845" s="2"/>
    </row>
    <row r="846" spans="3:5" ht="12.75" x14ac:dyDescent="0.2">
      <c r="C846" s="2"/>
      <c r="D846" s="828"/>
      <c r="E846" s="2"/>
    </row>
    <row r="847" spans="3:5" ht="12.75" x14ac:dyDescent="0.2">
      <c r="C847" s="2"/>
      <c r="D847" s="828"/>
      <c r="E847" s="2"/>
    </row>
    <row r="848" spans="3:5" ht="12.75" x14ac:dyDescent="0.2">
      <c r="C848" s="2"/>
      <c r="D848" s="828"/>
      <c r="E848" s="2"/>
    </row>
    <row r="849" spans="3:5" ht="12.75" x14ac:dyDescent="0.2">
      <c r="C849" s="2"/>
      <c r="D849" s="828"/>
      <c r="E849" s="2"/>
    </row>
    <row r="850" spans="3:5" ht="12.75" x14ac:dyDescent="0.2">
      <c r="C850" s="2"/>
      <c r="D850" s="828"/>
      <c r="E850" s="2"/>
    </row>
    <row r="851" spans="3:5" ht="12.75" x14ac:dyDescent="0.2">
      <c r="C851" s="2"/>
      <c r="D851" s="828"/>
      <c r="E851" s="2"/>
    </row>
    <row r="852" spans="3:5" ht="12.75" x14ac:dyDescent="0.2">
      <c r="C852" s="2"/>
      <c r="D852" s="828"/>
      <c r="E852" s="2"/>
    </row>
    <row r="853" spans="3:5" ht="12.75" x14ac:dyDescent="0.2">
      <c r="C853" s="2"/>
      <c r="D853" s="828"/>
      <c r="E853" s="2"/>
    </row>
    <row r="854" spans="3:5" ht="12.75" x14ac:dyDescent="0.2">
      <c r="C854" s="2"/>
      <c r="D854" s="828"/>
      <c r="E854" s="2"/>
    </row>
    <row r="855" spans="3:5" ht="12.75" x14ac:dyDescent="0.2">
      <c r="C855" s="2"/>
      <c r="D855" s="828"/>
      <c r="E855" s="2"/>
    </row>
    <row r="856" spans="3:5" ht="12.75" x14ac:dyDescent="0.2">
      <c r="C856" s="2"/>
      <c r="D856" s="828"/>
      <c r="E856" s="2"/>
    </row>
    <row r="857" spans="3:5" ht="12.75" x14ac:dyDescent="0.2">
      <c r="C857" s="2"/>
      <c r="D857" s="828"/>
      <c r="E857" s="2"/>
    </row>
    <row r="858" spans="3:5" ht="12.75" x14ac:dyDescent="0.2">
      <c r="C858" s="2"/>
      <c r="D858" s="828"/>
      <c r="E858" s="2"/>
    </row>
    <row r="859" spans="3:5" ht="12.75" x14ac:dyDescent="0.2">
      <c r="C859" s="2"/>
      <c r="D859" s="828"/>
      <c r="E859" s="2"/>
    </row>
    <row r="860" spans="3:5" ht="12.75" x14ac:dyDescent="0.2">
      <c r="C860" s="2"/>
      <c r="D860" s="828"/>
      <c r="E860" s="2"/>
    </row>
    <row r="861" spans="3:5" ht="12.75" x14ac:dyDescent="0.2">
      <c r="C861" s="2"/>
      <c r="D861" s="828"/>
      <c r="E861" s="2"/>
    </row>
    <row r="862" spans="3:5" ht="12.75" x14ac:dyDescent="0.2">
      <c r="C862" s="2"/>
      <c r="D862" s="828"/>
      <c r="E862" s="2"/>
    </row>
    <row r="863" spans="3:5" ht="12.75" x14ac:dyDescent="0.2">
      <c r="C863" s="2"/>
      <c r="D863" s="828"/>
      <c r="E863" s="2"/>
    </row>
    <row r="864" spans="3:5" ht="12.75" x14ac:dyDescent="0.2">
      <c r="C864" s="2"/>
      <c r="D864" s="828"/>
      <c r="E864" s="2"/>
    </row>
    <row r="865" spans="3:5" ht="12.75" x14ac:dyDescent="0.2">
      <c r="C865" s="2"/>
      <c r="D865" s="828"/>
      <c r="E865" s="2"/>
    </row>
    <row r="866" spans="3:5" ht="12.75" x14ac:dyDescent="0.2">
      <c r="C866" s="2"/>
      <c r="D866" s="828"/>
      <c r="E866" s="2"/>
    </row>
    <row r="867" spans="3:5" ht="12.75" x14ac:dyDescent="0.2">
      <c r="C867" s="2"/>
      <c r="D867" s="828"/>
      <c r="E867" s="2"/>
    </row>
    <row r="868" spans="3:5" ht="12.75" x14ac:dyDescent="0.2">
      <c r="C868" s="2"/>
      <c r="D868" s="828"/>
      <c r="E868" s="2"/>
    </row>
    <row r="869" spans="3:5" ht="12.75" x14ac:dyDescent="0.2">
      <c r="C869" s="2"/>
      <c r="D869" s="828"/>
      <c r="E869" s="2"/>
    </row>
    <row r="870" spans="3:5" ht="12.75" x14ac:dyDescent="0.2">
      <c r="C870" s="2"/>
      <c r="D870" s="828"/>
      <c r="E870" s="2"/>
    </row>
    <row r="871" spans="3:5" ht="12.75" x14ac:dyDescent="0.2">
      <c r="C871" s="2"/>
      <c r="D871" s="828"/>
      <c r="E871" s="2"/>
    </row>
    <row r="872" spans="3:5" ht="12.75" x14ac:dyDescent="0.2">
      <c r="C872" s="2"/>
      <c r="D872" s="828"/>
      <c r="E872" s="2"/>
    </row>
    <row r="873" spans="3:5" ht="12.75" x14ac:dyDescent="0.2">
      <c r="C873" s="2"/>
      <c r="D873" s="828"/>
      <c r="E873" s="2"/>
    </row>
    <row r="874" spans="3:5" ht="12.75" x14ac:dyDescent="0.2">
      <c r="C874" s="2"/>
      <c r="D874" s="828"/>
      <c r="E874" s="2"/>
    </row>
    <row r="875" spans="3:5" ht="12.75" x14ac:dyDescent="0.2">
      <c r="C875" s="2"/>
      <c r="D875" s="828"/>
      <c r="E875" s="2"/>
    </row>
    <row r="876" spans="3:5" ht="12.75" x14ac:dyDescent="0.2">
      <c r="C876" s="2"/>
      <c r="D876" s="828"/>
      <c r="E876" s="2"/>
    </row>
    <row r="877" spans="3:5" ht="12.75" x14ac:dyDescent="0.2">
      <c r="C877" s="2"/>
      <c r="D877" s="828"/>
      <c r="E877" s="2"/>
    </row>
    <row r="878" spans="3:5" ht="12.75" x14ac:dyDescent="0.2">
      <c r="C878" s="2"/>
      <c r="D878" s="828"/>
      <c r="E878" s="2"/>
    </row>
    <row r="879" spans="3:5" ht="12.75" x14ac:dyDescent="0.2">
      <c r="C879" s="2"/>
      <c r="D879" s="828"/>
      <c r="E879" s="2"/>
    </row>
    <row r="880" spans="3:5" ht="12.75" x14ac:dyDescent="0.2">
      <c r="C880" s="2"/>
      <c r="D880" s="828"/>
      <c r="E880" s="2"/>
    </row>
    <row r="881" spans="3:5" ht="12.75" x14ac:dyDescent="0.2">
      <c r="C881" s="2"/>
      <c r="D881" s="828"/>
      <c r="E881" s="2"/>
    </row>
    <row r="882" spans="3:5" ht="12.75" x14ac:dyDescent="0.2">
      <c r="C882" s="2"/>
      <c r="D882" s="828"/>
      <c r="E882" s="2"/>
    </row>
    <row r="883" spans="3:5" ht="12.75" x14ac:dyDescent="0.2">
      <c r="C883" s="2"/>
      <c r="D883" s="828"/>
      <c r="E883" s="2"/>
    </row>
    <row r="884" spans="3:5" ht="12.75" x14ac:dyDescent="0.2">
      <c r="C884" s="2"/>
      <c r="D884" s="828"/>
      <c r="E884" s="2"/>
    </row>
    <row r="885" spans="3:5" ht="12.75" x14ac:dyDescent="0.2">
      <c r="C885" s="2"/>
      <c r="D885" s="828"/>
      <c r="E885" s="2"/>
    </row>
    <row r="886" spans="3:5" ht="12.75" x14ac:dyDescent="0.2">
      <c r="C886" s="2"/>
      <c r="D886" s="828"/>
      <c r="E886" s="2"/>
    </row>
    <row r="887" spans="3:5" ht="12.75" x14ac:dyDescent="0.2">
      <c r="C887" s="2"/>
      <c r="D887" s="828"/>
      <c r="E887" s="2"/>
    </row>
    <row r="888" spans="3:5" ht="12.75" x14ac:dyDescent="0.2">
      <c r="C888" s="2"/>
      <c r="D888" s="828"/>
      <c r="E888" s="2"/>
    </row>
    <row r="889" spans="3:5" ht="12.75" x14ac:dyDescent="0.2">
      <c r="C889" s="2"/>
      <c r="D889" s="828"/>
      <c r="E889" s="2"/>
    </row>
    <row r="890" spans="3:5" ht="12.75" x14ac:dyDescent="0.2">
      <c r="C890" s="2"/>
      <c r="D890" s="828"/>
      <c r="E890" s="2"/>
    </row>
    <row r="891" spans="3:5" ht="12.75" x14ac:dyDescent="0.2">
      <c r="C891" s="2"/>
      <c r="D891" s="828"/>
      <c r="E891" s="2"/>
    </row>
    <row r="892" spans="3:5" ht="12.75" x14ac:dyDescent="0.2">
      <c r="C892" s="2"/>
      <c r="D892" s="828"/>
      <c r="E892" s="2"/>
    </row>
    <row r="893" spans="3:5" ht="12.75" x14ac:dyDescent="0.2">
      <c r="C893" s="2"/>
      <c r="D893" s="828"/>
      <c r="E893" s="2"/>
    </row>
    <row r="894" spans="3:5" ht="12.75" x14ac:dyDescent="0.2">
      <c r="C894" s="2"/>
      <c r="D894" s="828"/>
      <c r="E894" s="2"/>
    </row>
    <row r="895" spans="3:5" ht="12.75" x14ac:dyDescent="0.2">
      <c r="C895" s="2"/>
      <c r="D895" s="828"/>
      <c r="E895" s="2"/>
    </row>
    <row r="896" spans="3:5" ht="12.75" x14ac:dyDescent="0.2">
      <c r="C896" s="2"/>
      <c r="D896" s="828"/>
      <c r="E896" s="2"/>
    </row>
    <row r="897" spans="3:5" ht="12.75" x14ac:dyDescent="0.2">
      <c r="C897" s="2"/>
      <c r="D897" s="828"/>
      <c r="E897" s="2"/>
    </row>
    <row r="898" spans="3:5" ht="12.75" x14ac:dyDescent="0.2">
      <c r="C898" s="2"/>
      <c r="D898" s="828"/>
      <c r="E898" s="2"/>
    </row>
    <row r="899" spans="3:5" ht="12.75" x14ac:dyDescent="0.2">
      <c r="C899" s="2"/>
      <c r="D899" s="828"/>
      <c r="E899" s="2"/>
    </row>
    <row r="900" spans="3:5" ht="12.75" x14ac:dyDescent="0.2">
      <c r="C900" s="2"/>
      <c r="D900" s="828"/>
      <c r="E900" s="2"/>
    </row>
    <row r="901" spans="3:5" ht="12.75" x14ac:dyDescent="0.2">
      <c r="C901" s="2"/>
      <c r="D901" s="828"/>
      <c r="E901" s="2"/>
    </row>
    <row r="902" spans="3:5" ht="12.75" x14ac:dyDescent="0.2">
      <c r="C902" s="2"/>
      <c r="D902" s="828"/>
      <c r="E902" s="2"/>
    </row>
    <row r="903" spans="3:5" ht="12.75" x14ac:dyDescent="0.2">
      <c r="C903" s="2"/>
      <c r="D903" s="828"/>
      <c r="E903" s="2"/>
    </row>
    <row r="904" spans="3:5" ht="12.75" x14ac:dyDescent="0.2">
      <c r="C904" s="2"/>
      <c r="D904" s="828"/>
      <c r="E904" s="2"/>
    </row>
    <row r="905" spans="3:5" ht="12.75" x14ac:dyDescent="0.2">
      <c r="C905" s="2"/>
      <c r="D905" s="828"/>
      <c r="E905" s="2"/>
    </row>
    <row r="906" spans="3:5" ht="12.75" x14ac:dyDescent="0.2">
      <c r="C906" s="2"/>
      <c r="D906" s="828"/>
      <c r="E906" s="2"/>
    </row>
    <row r="907" spans="3:5" ht="12.75" x14ac:dyDescent="0.2">
      <c r="C907" s="2"/>
      <c r="D907" s="828"/>
      <c r="E907" s="2"/>
    </row>
    <row r="908" spans="3:5" ht="12.75" x14ac:dyDescent="0.2">
      <c r="C908" s="2"/>
      <c r="D908" s="828"/>
      <c r="E908" s="2"/>
    </row>
    <row r="909" spans="3:5" ht="12.75" x14ac:dyDescent="0.2">
      <c r="C909" s="2"/>
      <c r="D909" s="828"/>
      <c r="E909" s="2"/>
    </row>
    <row r="910" spans="3:5" ht="12.75" x14ac:dyDescent="0.2">
      <c r="C910" s="2"/>
      <c r="D910" s="828"/>
      <c r="E910" s="2"/>
    </row>
    <row r="911" spans="3:5" ht="12.75" x14ac:dyDescent="0.2">
      <c r="C911" s="2"/>
      <c r="D911" s="828"/>
      <c r="E911" s="2"/>
    </row>
    <row r="912" spans="3:5" ht="12.75" x14ac:dyDescent="0.2">
      <c r="C912" s="2"/>
      <c r="D912" s="828"/>
      <c r="E912" s="2"/>
    </row>
    <row r="913" spans="3:5" ht="12.75" x14ac:dyDescent="0.2">
      <c r="C913" s="2"/>
      <c r="D913" s="828"/>
      <c r="E913" s="2"/>
    </row>
    <row r="914" spans="3:5" ht="12.75" x14ac:dyDescent="0.2">
      <c r="C914" s="2"/>
      <c r="D914" s="828"/>
      <c r="E914" s="2"/>
    </row>
    <row r="915" spans="3:5" ht="12.75" x14ac:dyDescent="0.2">
      <c r="C915" s="2"/>
      <c r="D915" s="828"/>
      <c r="E915" s="2"/>
    </row>
    <row r="916" spans="3:5" ht="12.75" x14ac:dyDescent="0.2">
      <c r="C916" s="2"/>
      <c r="D916" s="828"/>
      <c r="E916" s="2"/>
    </row>
    <row r="917" spans="3:5" ht="12.75" x14ac:dyDescent="0.2">
      <c r="C917" s="2"/>
      <c r="D917" s="828"/>
      <c r="E917" s="2"/>
    </row>
    <row r="918" spans="3:5" ht="12.75" x14ac:dyDescent="0.2">
      <c r="C918" s="2"/>
      <c r="D918" s="828"/>
      <c r="E918" s="2"/>
    </row>
    <row r="919" spans="3:5" ht="12.75" x14ac:dyDescent="0.2">
      <c r="C919" s="2"/>
      <c r="D919" s="828"/>
      <c r="E919" s="2"/>
    </row>
    <row r="920" spans="3:5" ht="12.75" x14ac:dyDescent="0.2">
      <c r="C920" s="2"/>
      <c r="D920" s="828"/>
      <c r="E920" s="2"/>
    </row>
    <row r="921" spans="3:5" ht="12.75" x14ac:dyDescent="0.2">
      <c r="C921" s="2"/>
      <c r="D921" s="828"/>
      <c r="E921" s="2"/>
    </row>
    <row r="922" spans="3:5" ht="12.75" x14ac:dyDescent="0.2">
      <c r="C922" s="2"/>
      <c r="D922" s="828"/>
      <c r="E922" s="2"/>
    </row>
    <row r="923" spans="3:5" ht="12.75" x14ac:dyDescent="0.2">
      <c r="C923" s="2"/>
      <c r="D923" s="828"/>
      <c r="E923" s="2"/>
    </row>
    <row r="924" spans="3:5" ht="12.75" x14ac:dyDescent="0.2">
      <c r="C924" s="2"/>
      <c r="D924" s="828"/>
      <c r="E924" s="2"/>
    </row>
    <row r="925" spans="3:5" ht="12.75" x14ac:dyDescent="0.2">
      <c r="C925" s="2"/>
      <c r="D925" s="828"/>
      <c r="E925" s="2"/>
    </row>
    <row r="926" spans="3:5" ht="12.75" x14ac:dyDescent="0.2">
      <c r="C926" s="2"/>
      <c r="D926" s="828"/>
      <c r="E926" s="2"/>
    </row>
    <row r="927" spans="3:5" ht="12.75" x14ac:dyDescent="0.2">
      <c r="C927" s="2"/>
      <c r="D927" s="828"/>
      <c r="E927" s="2"/>
    </row>
    <row r="928" spans="3:5" ht="12.75" x14ac:dyDescent="0.2">
      <c r="C928" s="2"/>
      <c r="D928" s="828"/>
      <c r="E928" s="2"/>
    </row>
    <row r="929" spans="3:5" ht="12.75" x14ac:dyDescent="0.2">
      <c r="C929" s="2"/>
      <c r="D929" s="828"/>
      <c r="E929" s="2"/>
    </row>
    <row r="930" spans="3:5" ht="12.75" x14ac:dyDescent="0.2">
      <c r="C930" s="2"/>
      <c r="D930" s="828"/>
      <c r="E930" s="2"/>
    </row>
    <row r="931" spans="3:5" ht="12.75" x14ac:dyDescent="0.2">
      <c r="C931" s="2"/>
      <c r="D931" s="828"/>
      <c r="E931" s="2"/>
    </row>
    <row r="932" spans="3:5" ht="12.75" x14ac:dyDescent="0.2">
      <c r="C932" s="2"/>
      <c r="D932" s="828"/>
      <c r="E932" s="2"/>
    </row>
    <row r="933" spans="3:5" ht="12.75" x14ac:dyDescent="0.2">
      <c r="C933" s="2"/>
      <c r="D933" s="828"/>
      <c r="E933" s="2"/>
    </row>
    <row r="934" spans="3:5" ht="12.75" x14ac:dyDescent="0.2">
      <c r="C934" s="2"/>
      <c r="D934" s="828"/>
      <c r="E934" s="2"/>
    </row>
    <row r="935" spans="3:5" ht="12.75" x14ac:dyDescent="0.2">
      <c r="C935" s="2"/>
      <c r="D935" s="828"/>
      <c r="E935" s="2"/>
    </row>
    <row r="936" spans="3:5" ht="12.75" x14ac:dyDescent="0.2">
      <c r="C936" s="2"/>
      <c r="D936" s="828"/>
      <c r="E936" s="2"/>
    </row>
    <row r="937" spans="3:5" ht="12.75" x14ac:dyDescent="0.2">
      <c r="C937" s="2"/>
      <c r="D937" s="828"/>
      <c r="E937" s="2"/>
    </row>
    <row r="938" spans="3:5" ht="12.75" x14ac:dyDescent="0.2">
      <c r="C938" s="2"/>
      <c r="D938" s="828"/>
      <c r="E938" s="2"/>
    </row>
    <row r="939" spans="3:5" ht="12.75" x14ac:dyDescent="0.2">
      <c r="C939" s="2"/>
      <c r="D939" s="828"/>
      <c r="E939" s="2"/>
    </row>
    <row r="940" spans="3:5" ht="12.75" x14ac:dyDescent="0.2">
      <c r="C940" s="2"/>
      <c r="D940" s="828"/>
      <c r="E940" s="2"/>
    </row>
    <row r="941" spans="3:5" ht="12.75" x14ac:dyDescent="0.2">
      <c r="C941" s="2"/>
      <c r="D941" s="828"/>
      <c r="E941" s="2"/>
    </row>
    <row r="942" spans="3:5" ht="12.75" x14ac:dyDescent="0.2">
      <c r="C942" s="2"/>
      <c r="D942" s="828"/>
      <c r="E942" s="2"/>
    </row>
    <row r="943" spans="3:5" ht="12.75" x14ac:dyDescent="0.2">
      <c r="C943" s="2"/>
      <c r="D943" s="828"/>
      <c r="E943" s="2"/>
    </row>
    <row r="944" spans="3:5" ht="12.75" x14ac:dyDescent="0.2">
      <c r="C944" s="2"/>
      <c r="D944" s="828"/>
      <c r="E944" s="2"/>
    </row>
    <row r="945" spans="3:5" ht="12.75" x14ac:dyDescent="0.2">
      <c r="C945" s="2"/>
      <c r="D945" s="828"/>
      <c r="E945" s="2"/>
    </row>
    <row r="946" spans="3:5" ht="12.75" x14ac:dyDescent="0.2">
      <c r="C946" s="2"/>
      <c r="D946" s="828"/>
      <c r="E946" s="2"/>
    </row>
    <row r="947" spans="3:5" ht="12.75" x14ac:dyDescent="0.2">
      <c r="C947" s="2"/>
      <c r="D947" s="828"/>
      <c r="E947" s="2"/>
    </row>
    <row r="948" spans="3:5" ht="12.75" x14ac:dyDescent="0.2">
      <c r="C948" s="2"/>
      <c r="D948" s="828"/>
      <c r="E948" s="2"/>
    </row>
    <row r="949" spans="3:5" ht="12.75" x14ac:dyDescent="0.2">
      <c r="C949" s="2"/>
      <c r="D949" s="828"/>
      <c r="E949" s="2"/>
    </row>
    <row r="950" spans="3:5" ht="12.75" x14ac:dyDescent="0.2">
      <c r="C950" s="2"/>
      <c r="D950" s="828"/>
      <c r="E950" s="2"/>
    </row>
    <row r="951" spans="3:5" ht="12.75" x14ac:dyDescent="0.2">
      <c r="C951" s="2"/>
      <c r="D951" s="828"/>
      <c r="E951" s="2"/>
    </row>
    <row r="952" spans="3:5" ht="12.75" x14ac:dyDescent="0.2">
      <c r="C952" s="2"/>
      <c r="D952" s="828"/>
      <c r="E952" s="2"/>
    </row>
    <row r="953" spans="3:5" ht="12.75" x14ac:dyDescent="0.2">
      <c r="C953" s="2"/>
      <c r="D953" s="828"/>
      <c r="E953" s="2"/>
    </row>
    <row r="954" spans="3:5" ht="12.75" x14ac:dyDescent="0.2">
      <c r="C954" s="2"/>
      <c r="D954" s="828"/>
      <c r="E954" s="2"/>
    </row>
    <row r="955" spans="3:5" ht="12.75" x14ac:dyDescent="0.2">
      <c r="C955" s="2"/>
      <c r="D955" s="828"/>
      <c r="E955" s="2"/>
    </row>
    <row r="956" spans="3:5" ht="12.75" x14ac:dyDescent="0.2">
      <c r="C956" s="2"/>
      <c r="D956" s="828"/>
      <c r="E956" s="2"/>
    </row>
    <row r="957" spans="3:5" ht="12.75" x14ac:dyDescent="0.2">
      <c r="C957" s="2"/>
      <c r="D957" s="828"/>
      <c r="E957" s="2"/>
    </row>
    <row r="958" spans="3:5" ht="12.75" x14ac:dyDescent="0.2">
      <c r="C958" s="2"/>
      <c r="D958" s="828"/>
      <c r="E958" s="2"/>
    </row>
    <row r="959" spans="3:5" ht="12.75" x14ac:dyDescent="0.2">
      <c r="C959" s="2"/>
      <c r="D959" s="828"/>
      <c r="E959" s="2"/>
    </row>
    <row r="960" spans="3:5" ht="12.75" x14ac:dyDescent="0.2">
      <c r="C960" s="2"/>
      <c r="D960" s="828"/>
      <c r="E960" s="2"/>
    </row>
    <row r="961" spans="3:5" ht="12.75" x14ac:dyDescent="0.2">
      <c r="C961" s="2"/>
      <c r="D961" s="828"/>
      <c r="E961" s="2"/>
    </row>
    <row r="962" spans="3:5" ht="12.75" x14ac:dyDescent="0.2">
      <c r="C962" s="2"/>
      <c r="D962" s="828"/>
      <c r="E962" s="2"/>
    </row>
    <row r="963" spans="3:5" ht="12.75" x14ac:dyDescent="0.2">
      <c r="C963" s="2"/>
      <c r="D963" s="828"/>
      <c r="E963" s="2"/>
    </row>
    <row r="964" spans="3:5" ht="12.75" x14ac:dyDescent="0.2">
      <c r="C964" s="2"/>
      <c r="D964" s="828"/>
      <c r="E964" s="2"/>
    </row>
    <row r="965" spans="3:5" ht="12.75" x14ac:dyDescent="0.2">
      <c r="C965" s="2"/>
      <c r="D965" s="828"/>
      <c r="E965" s="2"/>
    </row>
    <row r="966" spans="3:5" ht="12.75" x14ac:dyDescent="0.2">
      <c r="C966" s="2"/>
      <c r="D966" s="828"/>
      <c r="E966" s="2"/>
    </row>
    <row r="967" spans="3:5" ht="12.75" x14ac:dyDescent="0.2">
      <c r="C967" s="2"/>
      <c r="D967" s="828"/>
      <c r="E967" s="2"/>
    </row>
    <row r="968" spans="3:5" ht="12.75" x14ac:dyDescent="0.2">
      <c r="C968" s="2"/>
      <c r="D968" s="828"/>
      <c r="E968" s="2"/>
    </row>
    <row r="969" spans="3:5" ht="12.75" x14ac:dyDescent="0.2">
      <c r="C969" s="2"/>
      <c r="D969" s="828"/>
      <c r="E969" s="2"/>
    </row>
    <row r="970" spans="3:5" ht="12.75" x14ac:dyDescent="0.2">
      <c r="C970" s="2"/>
      <c r="D970" s="828"/>
      <c r="E970" s="2"/>
    </row>
    <row r="971" spans="3:5" ht="12.75" x14ac:dyDescent="0.2">
      <c r="C971" s="2"/>
      <c r="D971" s="828"/>
      <c r="E971" s="2"/>
    </row>
    <row r="972" spans="3:5" ht="12.75" x14ac:dyDescent="0.2">
      <c r="C972" s="2"/>
      <c r="D972" s="828"/>
      <c r="E972" s="2"/>
    </row>
    <row r="973" spans="3:5" ht="12.75" x14ac:dyDescent="0.2">
      <c r="C973" s="2"/>
      <c r="D973" s="828"/>
      <c r="E973" s="2"/>
    </row>
    <row r="974" spans="3:5" ht="12.75" x14ac:dyDescent="0.2">
      <c r="C974" s="2"/>
      <c r="D974" s="828"/>
      <c r="E974" s="2"/>
    </row>
    <row r="975" spans="3:5" ht="12.75" x14ac:dyDescent="0.2">
      <c r="C975" s="2"/>
      <c r="D975" s="828"/>
      <c r="E975" s="2"/>
    </row>
    <row r="976" spans="3:5" ht="12.75" x14ac:dyDescent="0.2">
      <c r="C976" s="2"/>
      <c r="D976" s="828"/>
      <c r="E976" s="2"/>
    </row>
    <row r="977" spans="3:5" ht="12.75" x14ac:dyDescent="0.2">
      <c r="C977" s="2"/>
      <c r="D977" s="828"/>
      <c r="E977" s="2"/>
    </row>
    <row r="978" spans="3:5" ht="12.75" x14ac:dyDescent="0.2">
      <c r="C978" s="2"/>
      <c r="D978" s="828"/>
      <c r="E978" s="2"/>
    </row>
    <row r="979" spans="3:5" ht="12.75" x14ac:dyDescent="0.2">
      <c r="C979" s="2"/>
      <c r="D979" s="828"/>
      <c r="E979" s="2"/>
    </row>
    <row r="980" spans="3:5" ht="12.75" x14ac:dyDescent="0.2">
      <c r="C980" s="2"/>
      <c r="D980" s="828"/>
      <c r="E980" s="2"/>
    </row>
    <row r="981" spans="3:5" ht="12.75" x14ac:dyDescent="0.2">
      <c r="C981" s="2"/>
      <c r="D981" s="828"/>
      <c r="E981" s="2"/>
    </row>
    <row r="982" spans="3:5" ht="12.75" x14ac:dyDescent="0.2">
      <c r="C982" s="2"/>
      <c r="D982" s="828"/>
      <c r="E982" s="2"/>
    </row>
    <row r="983" spans="3:5" ht="12.75" x14ac:dyDescent="0.2">
      <c r="C983" s="2"/>
      <c r="D983" s="828"/>
      <c r="E983" s="2"/>
    </row>
    <row r="984" spans="3:5" ht="12.75" x14ac:dyDescent="0.2">
      <c r="C984" s="2"/>
      <c r="D984" s="828"/>
      <c r="E984" s="2"/>
    </row>
    <row r="985" spans="3:5" ht="12.75" x14ac:dyDescent="0.2">
      <c r="C985" s="2"/>
      <c r="D985" s="828"/>
      <c r="E985" s="2"/>
    </row>
    <row r="986" spans="3:5" ht="12.75" x14ac:dyDescent="0.2">
      <c r="C986" s="2"/>
      <c r="D986" s="828"/>
      <c r="E986" s="2"/>
    </row>
    <row r="987" spans="3:5" ht="12.75" x14ac:dyDescent="0.2">
      <c r="C987" s="2"/>
      <c r="D987" s="828"/>
      <c r="E987" s="2"/>
    </row>
    <row r="988" spans="3:5" ht="12.75" x14ac:dyDescent="0.2">
      <c r="C988" s="2"/>
      <c r="D988" s="828"/>
      <c r="E988" s="2"/>
    </row>
    <row r="989" spans="3:5" ht="12.75" x14ac:dyDescent="0.2">
      <c r="C989" s="2"/>
      <c r="D989" s="828"/>
      <c r="E989" s="2"/>
    </row>
    <row r="990" spans="3:5" ht="12.75" x14ac:dyDescent="0.2">
      <c r="C990" s="2"/>
      <c r="D990" s="828"/>
      <c r="E990" s="2"/>
    </row>
    <row r="991" spans="3:5" ht="12.75" x14ac:dyDescent="0.2">
      <c r="C991" s="2"/>
      <c r="D991" s="828"/>
      <c r="E991" s="2"/>
    </row>
    <row r="992" spans="3:5" ht="12.75" x14ac:dyDescent="0.2">
      <c r="C992" s="2"/>
      <c r="D992" s="828"/>
      <c r="E992" s="2"/>
    </row>
    <row r="993" spans="3:5" ht="12.75" x14ac:dyDescent="0.2">
      <c r="C993" s="2"/>
      <c r="D993" s="828"/>
      <c r="E993" s="2"/>
    </row>
    <row r="994" spans="3:5" ht="12.75" x14ac:dyDescent="0.2">
      <c r="C994" s="2"/>
      <c r="D994" s="828"/>
      <c r="E994" s="2"/>
    </row>
    <row r="995" spans="3:5" ht="12.75" x14ac:dyDescent="0.2">
      <c r="C995" s="2"/>
      <c r="D995" s="828"/>
      <c r="E995" s="2"/>
    </row>
    <row r="996" spans="3:5" ht="12.75" x14ac:dyDescent="0.2">
      <c r="C996" s="2"/>
      <c r="D996" s="828"/>
      <c r="E996" s="2"/>
    </row>
    <row r="997" spans="3:5" ht="12.75" x14ac:dyDescent="0.2">
      <c r="C997" s="2"/>
      <c r="D997" s="828"/>
      <c r="E997" s="2"/>
    </row>
    <row r="998" spans="3:5" ht="12.75" x14ac:dyDescent="0.2">
      <c r="C998" s="2"/>
      <c r="D998" s="828"/>
      <c r="E998" s="2"/>
    </row>
    <row r="999" spans="3:5" ht="12.75" x14ac:dyDescent="0.2">
      <c r="C999" s="2"/>
      <c r="D999" s="828"/>
      <c r="E999" s="2"/>
    </row>
    <row r="1000" spans="3:5" ht="12.75" x14ac:dyDescent="0.2">
      <c r="C1000" s="2"/>
      <c r="D1000" s="828"/>
      <c r="E1000" s="2"/>
    </row>
  </sheetData>
  <dataValidations count="2">
    <dataValidation type="list" allowBlank="1" showErrorMessage="1" sqref="E4:E202" xr:uid="{00000000-0002-0000-0700-000000000000}">
      <formula1>"Approved,Denied"</formula1>
    </dataValidation>
    <dataValidation type="list" allowBlank="1" showErrorMessage="1" sqref="C4:C202" xr:uid="{00000000-0002-0000-0700-000001000000}">
      <formula1>"NO,YES"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D9EEB"/>
    <outlinePr summaryBelow="0" summaryRight="0"/>
  </sheetPr>
  <dimension ref="A1:AO1017"/>
  <sheetViews>
    <sheetView workbookViewId="0"/>
  </sheetViews>
  <sheetFormatPr defaultColWidth="12.5703125" defaultRowHeight="15.75" customHeight="1" x14ac:dyDescent="0.2"/>
  <cols>
    <col min="1" max="1" width="33.42578125" customWidth="1"/>
    <col min="4" max="4" width="12.5703125" hidden="1"/>
  </cols>
  <sheetData>
    <row r="1" spans="1:41" ht="12.75" x14ac:dyDescent="0.2">
      <c r="A1" s="829" t="s">
        <v>273</v>
      </c>
      <c r="B1" s="830" t="s">
        <v>274</v>
      </c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29"/>
      <c r="R1" s="829"/>
      <c r="S1" s="829"/>
      <c r="T1" s="829"/>
      <c r="U1" s="829"/>
      <c r="V1" s="829"/>
      <c r="W1" s="829"/>
      <c r="X1" s="829"/>
      <c r="Y1" s="829"/>
      <c r="Z1" s="829"/>
      <c r="AA1" s="829"/>
      <c r="AB1" s="829"/>
      <c r="AC1" s="829"/>
      <c r="AD1" s="829"/>
      <c r="AE1" s="829"/>
      <c r="AF1" s="829"/>
      <c r="AG1" s="829"/>
      <c r="AH1" s="829"/>
      <c r="AI1" s="829"/>
      <c r="AJ1" s="829"/>
      <c r="AK1" s="829"/>
      <c r="AL1" s="829"/>
      <c r="AM1" s="829"/>
      <c r="AN1" s="829"/>
    </row>
    <row r="2" spans="1:41" ht="15.75" customHeight="1" x14ac:dyDescent="0.3">
      <c r="A2" s="831" t="s">
        <v>275</v>
      </c>
      <c r="B2" s="832" t="s">
        <v>276</v>
      </c>
      <c r="C2" s="833"/>
      <c r="D2" s="833"/>
      <c r="E2" s="833"/>
      <c r="F2" s="833"/>
      <c r="G2" s="829"/>
      <c r="H2" s="829"/>
      <c r="I2" s="829"/>
      <c r="J2" s="829"/>
      <c r="K2" s="829"/>
      <c r="L2" s="829"/>
      <c r="M2" s="829"/>
      <c r="N2" s="829"/>
      <c r="O2" s="829"/>
      <c r="P2" s="829"/>
      <c r="Q2" s="829"/>
      <c r="R2" s="829"/>
      <c r="S2" s="829"/>
      <c r="T2" s="829"/>
      <c r="U2" s="829"/>
      <c r="V2" s="829"/>
      <c r="W2" s="829"/>
      <c r="X2" s="829"/>
      <c r="Y2" s="829"/>
      <c r="Z2" s="829"/>
      <c r="AA2" s="829"/>
      <c r="AB2" s="829"/>
      <c r="AC2" s="829"/>
      <c r="AD2" s="829"/>
      <c r="AE2" s="829"/>
      <c r="AF2" s="829"/>
      <c r="AG2" s="829"/>
      <c r="AH2" s="829"/>
      <c r="AI2" s="829"/>
      <c r="AJ2" s="829"/>
      <c r="AK2" s="829"/>
      <c r="AL2" s="829"/>
      <c r="AM2" s="829"/>
      <c r="AN2" s="829"/>
    </row>
    <row r="3" spans="1:41" ht="15.75" customHeight="1" x14ac:dyDescent="0.3">
      <c r="A3" s="831"/>
      <c r="B3" s="833"/>
      <c r="C3" s="833"/>
      <c r="D3" s="833"/>
      <c r="E3" s="1428">
        <v>2025</v>
      </c>
      <c r="F3" s="1343"/>
      <c r="G3" s="1343"/>
      <c r="H3" s="1343"/>
      <c r="I3" s="1343"/>
      <c r="J3" s="1343"/>
      <c r="K3" s="1343"/>
      <c r="L3" s="1343"/>
      <c r="M3" s="1343"/>
      <c r="N3" s="1343"/>
      <c r="O3" s="1343"/>
      <c r="P3" s="1343"/>
      <c r="Q3" s="1429">
        <v>2026</v>
      </c>
      <c r="R3" s="1343"/>
      <c r="S3" s="1343"/>
      <c r="T3" s="1343"/>
      <c r="U3" s="1343"/>
      <c r="V3" s="1343"/>
      <c r="W3" s="1343"/>
      <c r="X3" s="1343"/>
      <c r="Y3" s="1343"/>
      <c r="Z3" s="1343"/>
      <c r="AA3" s="1343"/>
      <c r="AB3" s="1343"/>
      <c r="AC3" s="1429">
        <v>2027</v>
      </c>
      <c r="AD3" s="1343"/>
      <c r="AE3" s="1343"/>
      <c r="AF3" s="1343"/>
      <c r="AG3" s="1343"/>
      <c r="AH3" s="1343"/>
      <c r="AI3" s="1343"/>
      <c r="AJ3" s="1343"/>
      <c r="AK3" s="1343"/>
      <c r="AL3" s="1343"/>
      <c r="AM3" s="1343"/>
      <c r="AN3" s="1343"/>
    </row>
    <row r="4" spans="1:41" ht="15.75" customHeight="1" x14ac:dyDescent="0.3">
      <c r="A4" s="831"/>
      <c r="B4" s="833"/>
      <c r="C4" s="833"/>
      <c r="D4" s="833"/>
      <c r="E4" s="1428" t="s">
        <v>118</v>
      </c>
      <c r="F4" s="1343"/>
      <c r="G4" s="1343"/>
      <c r="H4" s="1429" t="s">
        <v>119</v>
      </c>
      <c r="I4" s="1343"/>
      <c r="J4" s="1343"/>
      <c r="K4" s="1429" t="s">
        <v>120</v>
      </c>
      <c r="L4" s="1343"/>
      <c r="M4" s="1343"/>
      <c r="N4" s="1429" t="s">
        <v>121</v>
      </c>
      <c r="O4" s="1343"/>
      <c r="P4" s="1343"/>
      <c r="Q4" s="1428" t="s">
        <v>118</v>
      </c>
      <c r="R4" s="1343"/>
      <c r="S4" s="1343"/>
      <c r="T4" s="1429" t="s">
        <v>119</v>
      </c>
      <c r="U4" s="1343"/>
      <c r="V4" s="1343"/>
      <c r="W4" s="1429" t="s">
        <v>120</v>
      </c>
      <c r="X4" s="1343"/>
      <c r="Y4" s="1343"/>
      <c r="Z4" s="1429" t="s">
        <v>121</v>
      </c>
      <c r="AA4" s="1343"/>
      <c r="AB4" s="1343"/>
      <c r="AC4" s="1428" t="s">
        <v>118</v>
      </c>
      <c r="AD4" s="1343"/>
      <c r="AE4" s="1343"/>
      <c r="AF4" s="1429" t="s">
        <v>119</v>
      </c>
      <c r="AG4" s="1343"/>
      <c r="AH4" s="1343"/>
      <c r="AI4" s="1429" t="s">
        <v>120</v>
      </c>
      <c r="AJ4" s="1343"/>
      <c r="AK4" s="1343"/>
      <c r="AL4" s="1429" t="s">
        <v>121</v>
      </c>
      <c r="AM4" s="1343"/>
      <c r="AN4" s="1343"/>
    </row>
    <row r="5" spans="1:41" ht="15.75" customHeight="1" x14ac:dyDescent="0.3">
      <c r="A5" s="834" t="s">
        <v>216</v>
      </c>
      <c r="B5" s="835"/>
      <c r="C5" s="836"/>
      <c r="D5" s="837"/>
      <c r="E5" s="836">
        <v>1</v>
      </c>
      <c r="F5" s="836">
        <v>2</v>
      </c>
      <c r="G5" s="836">
        <v>3</v>
      </c>
      <c r="H5" s="836">
        <v>4</v>
      </c>
      <c r="I5" s="836">
        <v>5</v>
      </c>
      <c r="J5" s="836">
        <v>6</v>
      </c>
      <c r="K5" s="836">
        <v>7</v>
      </c>
      <c r="L5" s="836">
        <v>8</v>
      </c>
      <c r="M5" s="836">
        <v>9</v>
      </c>
      <c r="N5" s="836">
        <v>10</v>
      </c>
      <c r="O5" s="836">
        <v>11</v>
      </c>
      <c r="P5" s="838">
        <v>12</v>
      </c>
      <c r="Q5" s="836">
        <v>1</v>
      </c>
      <c r="R5" s="836">
        <v>2</v>
      </c>
      <c r="S5" s="836">
        <v>3</v>
      </c>
      <c r="T5" s="836">
        <v>4</v>
      </c>
      <c r="U5" s="836">
        <v>5</v>
      </c>
      <c r="V5" s="836">
        <v>6</v>
      </c>
      <c r="W5" s="836">
        <v>7</v>
      </c>
      <c r="X5" s="836">
        <v>8</v>
      </c>
      <c r="Y5" s="836">
        <v>9</v>
      </c>
      <c r="Z5" s="836">
        <v>10</v>
      </c>
      <c r="AA5" s="836">
        <v>11</v>
      </c>
      <c r="AB5" s="838">
        <v>12</v>
      </c>
      <c r="AC5" s="836">
        <v>1</v>
      </c>
      <c r="AD5" s="836">
        <v>2</v>
      </c>
      <c r="AE5" s="836">
        <v>3</v>
      </c>
      <c r="AF5" s="836">
        <v>4</v>
      </c>
      <c r="AG5" s="836">
        <v>5</v>
      </c>
      <c r="AH5" s="836">
        <v>6</v>
      </c>
      <c r="AI5" s="836">
        <v>7</v>
      </c>
      <c r="AJ5" s="836">
        <v>8</v>
      </c>
      <c r="AK5" s="836">
        <v>9</v>
      </c>
      <c r="AL5" s="836">
        <v>10</v>
      </c>
      <c r="AM5" s="836">
        <v>11</v>
      </c>
      <c r="AN5" s="838">
        <v>12</v>
      </c>
    </row>
    <row r="6" spans="1:41" ht="15.75" customHeight="1" x14ac:dyDescent="0.3">
      <c r="A6" s="839" t="s">
        <v>193</v>
      </c>
      <c r="B6" s="840"/>
      <c r="C6" s="841">
        <f>SUM(C7:C8)</f>
        <v>0</v>
      </c>
      <c r="D6" s="842"/>
      <c r="E6" s="841">
        <f t="shared" ref="E6:AN6" si="0">SUM(E7:E8)</f>
        <v>0</v>
      </c>
      <c r="F6" s="841">
        <f t="shared" si="0"/>
        <v>0</v>
      </c>
      <c r="G6" s="841">
        <f t="shared" si="0"/>
        <v>0</v>
      </c>
      <c r="H6" s="841">
        <f t="shared" si="0"/>
        <v>0</v>
      </c>
      <c r="I6" s="841">
        <f t="shared" si="0"/>
        <v>0</v>
      </c>
      <c r="J6" s="841">
        <f t="shared" si="0"/>
        <v>0</v>
      </c>
      <c r="K6" s="841">
        <f t="shared" si="0"/>
        <v>0</v>
      </c>
      <c r="L6" s="841">
        <f t="shared" si="0"/>
        <v>0</v>
      </c>
      <c r="M6" s="841">
        <f t="shared" si="0"/>
        <v>0</v>
      </c>
      <c r="N6" s="841">
        <f t="shared" si="0"/>
        <v>0</v>
      </c>
      <c r="O6" s="841">
        <f t="shared" si="0"/>
        <v>0</v>
      </c>
      <c r="P6" s="843">
        <f t="shared" si="0"/>
        <v>0</v>
      </c>
      <c r="Q6" s="841">
        <f t="shared" si="0"/>
        <v>0</v>
      </c>
      <c r="R6" s="841">
        <f t="shared" si="0"/>
        <v>0</v>
      </c>
      <c r="S6" s="841">
        <f t="shared" si="0"/>
        <v>0</v>
      </c>
      <c r="T6" s="841">
        <f t="shared" si="0"/>
        <v>0</v>
      </c>
      <c r="U6" s="841">
        <f t="shared" si="0"/>
        <v>0</v>
      </c>
      <c r="V6" s="841">
        <f t="shared" si="0"/>
        <v>0</v>
      </c>
      <c r="W6" s="841">
        <f t="shared" si="0"/>
        <v>0</v>
      </c>
      <c r="X6" s="841">
        <f t="shared" si="0"/>
        <v>0</v>
      </c>
      <c r="Y6" s="841">
        <f t="shared" si="0"/>
        <v>0</v>
      </c>
      <c r="Z6" s="841">
        <f t="shared" si="0"/>
        <v>0</v>
      </c>
      <c r="AA6" s="841">
        <f t="shared" si="0"/>
        <v>0</v>
      </c>
      <c r="AB6" s="843">
        <f t="shared" si="0"/>
        <v>0</v>
      </c>
      <c r="AC6" s="841">
        <f t="shared" si="0"/>
        <v>0</v>
      </c>
      <c r="AD6" s="841">
        <f t="shared" si="0"/>
        <v>0</v>
      </c>
      <c r="AE6" s="841">
        <f t="shared" si="0"/>
        <v>0</v>
      </c>
      <c r="AF6" s="841">
        <f t="shared" si="0"/>
        <v>0</v>
      </c>
      <c r="AG6" s="841">
        <f t="shared" si="0"/>
        <v>0</v>
      </c>
      <c r="AH6" s="841">
        <f t="shared" si="0"/>
        <v>0</v>
      </c>
      <c r="AI6" s="841">
        <f t="shared" si="0"/>
        <v>0</v>
      </c>
      <c r="AJ6" s="841">
        <f t="shared" si="0"/>
        <v>0</v>
      </c>
      <c r="AK6" s="841">
        <f t="shared" si="0"/>
        <v>0</v>
      </c>
      <c r="AL6" s="841">
        <f t="shared" si="0"/>
        <v>0</v>
      </c>
      <c r="AM6" s="841">
        <f t="shared" si="0"/>
        <v>0</v>
      </c>
      <c r="AN6" s="843">
        <f t="shared" si="0"/>
        <v>0</v>
      </c>
    </row>
    <row r="7" spans="1:41" ht="13.5" x14ac:dyDescent="0.2">
      <c r="A7" s="844" t="s">
        <v>277</v>
      </c>
      <c r="B7" s="845" t="s">
        <v>123</v>
      </c>
      <c r="C7" s="846"/>
      <c r="D7" s="842">
        <f t="shared" ref="D7:D8" si="1">C7</f>
        <v>0</v>
      </c>
      <c r="E7" s="841">
        <v>0</v>
      </c>
      <c r="F7" s="841">
        <v>0</v>
      </c>
      <c r="G7" s="841">
        <v>0</v>
      </c>
      <c r="H7" s="841">
        <v>0</v>
      </c>
      <c r="I7" s="841">
        <v>0</v>
      </c>
      <c r="J7" s="841">
        <v>0</v>
      </c>
      <c r="K7" s="841">
        <v>0</v>
      </c>
      <c r="L7" s="841">
        <v>0</v>
      </c>
      <c r="M7" s="841">
        <v>0</v>
      </c>
      <c r="N7" s="847">
        <v>0</v>
      </c>
      <c r="O7" s="841">
        <v>0</v>
      </c>
      <c r="P7" s="848">
        <v>0</v>
      </c>
      <c r="Q7" s="841">
        <v>0</v>
      </c>
      <c r="R7" s="841">
        <v>0</v>
      </c>
      <c r="S7" s="841">
        <v>0</v>
      </c>
      <c r="T7" s="841">
        <v>0</v>
      </c>
      <c r="U7" s="841">
        <v>0</v>
      </c>
      <c r="V7" s="841">
        <v>0</v>
      </c>
      <c r="W7" s="841">
        <v>0</v>
      </c>
      <c r="X7" s="841">
        <v>0</v>
      </c>
      <c r="Y7" s="841">
        <v>0</v>
      </c>
      <c r="Z7" s="847">
        <v>0</v>
      </c>
      <c r="AA7" s="841">
        <v>0</v>
      </c>
      <c r="AB7" s="848">
        <v>0</v>
      </c>
      <c r="AC7" s="841">
        <v>0</v>
      </c>
      <c r="AD7" s="841">
        <v>0</v>
      </c>
      <c r="AE7" s="841">
        <v>0</v>
      </c>
      <c r="AF7" s="841">
        <v>0</v>
      </c>
      <c r="AG7" s="841">
        <v>0</v>
      </c>
      <c r="AH7" s="841">
        <v>0</v>
      </c>
      <c r="AI7" s="841">
        <v>0</v>
      </c>
      <c r="AJ7" s="841">
        <v>0</v>
      </c>
      <c r="AK7" s="841">
        <v>0</v>
      </c>
      <c r="AL7" s="847">
        <v>0</v>
      </c>
      <c r="AM7" s="841">
        <v>0</v>
      </c>
      <c r="AN7" s="848">
        <v>0</v>
      </c>
    </row>
    <row r="8" spans="1:41" ht="13.5" x14ac:dyDescent="0.2">
      <c r="A8" s="849"/>
      <c r="B8" s="850" t="s">
        <v>124</v>
      </c>
      <c r="C8" s="851">
        <v>0</v>
      </c>
      <c r="D8" s="852">
        <f t="shared" si="1"/>
        <v>0</v>
      </c>
      <c r="E8" s="853">
        <v>0</v>
      </c>
      <c r="F8" s="853">
        <v>0</v>
      </c>
      <c r="G8" s="853">
        <v>0</v>
      </c>
      <c r="H8" s="853">
        <v>0</v>
      </c>
      <c r="I8" s="853">
        <v>0</v>
      </c>
      <c r="J8" s="853">
        <v>0</v>
      </c>
      <c r="K8" s="853">
        <v>0</v>
      </c>
      <c r="L8" s="853">
        <v>0</v>
      </c>
      <c r="M8" s="853">
        <v>0</v>
      </c>
      <c r="N8" s="854">
        <v>0</v>
      </c>
      <c r="O8" s="853">
        <v>0</v>
      </c>
      <c r="P8" s="855">
        <v>0</v>
      </c>
      <c r="Q8" s="853">
        <v>0</v>
      </c>
      <c r="R8" s="853">
        <v>0</v>
      </c>
      <c r="S8" s="853">
        <v>0</v>
      </c>
      <c r="T8" s="853">
        <v>0</v>
      </c>
      <c r="U8" s="853">
        <v>0</v>
      </c>
      <c r="V8" s="853">
        <v>0</v>
      </c>
      <c r="W8" s="853">
        <v>0</v>
      </c>
      <c r="X8" s="853">
        <v>0</v>
      </c>
      <c r="Y8" s="853">
        <v>0</v>
      </c>
      <c r="Z8" s="854">
        <v>0</v>
      </c>
      <c r="AA8" s="853">
        <v>0</v>
      </c>
      <c r="AB8" s="855">
        <v>0</v>
      </c>
      <c r="AC8" s="853">
        <v>0</v>
      </c>
      <c r="AD8" s="853">
        <v>0</v>
      </c>
      <c r="AE8" s="853">
        <v>0</v>
      </c>
      <c r="AF8" s="853">
        <v>0</v>
      </c>
      <c r="AG8" s="853">
        <v>0</v>
      </c>
      <c r="AH8" s="853">
        <v>0</v>
      </c>
      <c r="AI8" s="853">
        <v>0</v>
      </c>
      <c r="AJ8" s="853">
        <v>0</v>
      </c>
      <c r="AK8" s="853">
        <v>0</v>
      </c>
      <c r="AL8" s="854">
        <v>0</v>
      </c>
      <c r="AM8" s="853">
        <v>0</v>
      </c>
      <c r="AN8" s="855">
        <v>0</v>
      </c>
    </row>
    <row r="9" spans="1:41" ht="15.75" customHeight="1" x14ac:dyDescent="0.3">
      <c r="A9" s="839" t="s">
        <v>194</v>
      </c>
      <c r="B9" s="840"/>
      <c r="C9" s="856"/>
      <c r="D9" s="857"/>
      <c r="E9" s="856"/>
      <c r="F9" s="856"/>
      <c r="G9" s="856"/>
      <c r="H9" s="856"/>
      <c r="I9" s="856"/>
      <c r="J9" s="856"/>
      <c r="K9" s="856"/>
      <c r="L9" s="856"/>
      <c r="M9" s="856"/>
      <c r="N9" s="856"/>
      <c r="O9" s="856"/>
      <c r="P9" s="858"/>
      <c r="Q9" s="859"/>
      <c r="R9" s="859"/>
      <c r="S9" s="859"/>
      <c r="T9" s="859"/>
      <c r="U9" s="859"/>
      <c r="V9" s="859"/>
      <c r="W9" s="859"/>
      <c r="X9" s="859"/>
      <c r="Y9" s="859"/>
      <c r="Z9" s="859"/>
      <c r="AA9" s="859"/>
      <c r="AB9" s="860"/>
      <c r="AC9" s="861"/>
      <c r="AD9" s="859"/>
      <c r="AE9" s="859"/>
      <c r="AF9" s="859"/>
      <c r="AG9" s="859"/>
      <c r="AH9" s="859"/>
      <c r="AI9" s="859"/>
      <c r="AJ9" s="859"/>
      <c r="AK9" s="859"/>
      <c r="AL9" s="859"/>
      <c r="AM9" s="859"/>
      <c r="AN9" s="860"/>
      <c r="AO9" s="862"/>
    </row>
    <row r="10" spans="1:41" ht="12.75" x14ac:dyDescent="0.2">
      <c r="A10" s="863" t="s">
        <v>195</v>
      </c>
      <c r="B10" s="864" t="s">
        <v>123</v>
      </c>
      <c r="C10" s="856"/>
      <c r="D10" s="857"/>
      <c r="E10" s="856">
        <f t="shared" ref="E10:AN10" si="2">D10+E13</f>
        <v>-1</v>
      </c>
      <c r="F10" s="856">
        <f t="shared" si="2"/>
        <v>-1</v>
      </c>
      <c r="G10" s="856">
        <f t="shared" si="2"/>
        <v>-1</v>
      </c>
      <c r="H10" s="856">
        <f t="shared" si="2"/>
        <v>-1</v>
      </c>
      <c r="I10" s="856">
        <f t="shared" si="2"/>
        <v>-1</v>
      </c>
      <c r="J10" s="856">
        <f t="shared" si="2"/>
        <v>-1</v>
      </c>
      <c r="K10" s="856">
        <f t="shared" si="2"/>
        <v>-1</v>
      </c>
      <c r="L10" s="856">
        <f t="shared" si="2"/>
        <v>-1</v>
      </c>
      <c r="M10" s="856">
        <f t="shared" si="2"/>
        <v>-1</v>
      </c>
      <c r="N10" s="856">
        <f t="shared" si="2"/>
        <v>-1</v>
      </c>
      <c r="O10" s="856">
        <f t="shared" si="2"/>
        <v>-1</v>
      </c>
      <c r="P10" s="858">
        <f t="shared" si="2"/>
        <v>-1</v>
      </c>
      <c r="Q10" s="859">
        <f t="shared" si="2"/>
        <v>-1</v>
      </c>
      <c r="R10" s="859">
        <f t="shared" si="2"/>
        <v>-1</v>
      </c>
      <c r="S10" s="859">
        <f t="shared" si="2"/>
        <v>-1</v>
      </c>
      <c r="T10" s="859">
        <f t="shared" si="2"/>
        <v>-1</v>
      </c>
      <c r="U10" s="859">
        <f t="shared" si="2"/>
        <v>-1</v>
      </c>
      <c r="V10" s="859">
        <f t="shared" si="2"/>
        <v>-1</v>
      </c>
      <c r="W10" s="859">
        <f t="shared" si="2"/>
        <v>-1</v>
      </c>
      <c r="X10" s="859">
        <f t="shared" si="2"/>
        <v>-1</v>
      </c>
      <c r="Y10" s="859">
        <f t="shared" si="2"/>
        <v>-1</v>
      </c>
      <c r="Z10" s="859">
        <f t="shared" si="2"/>
        <v>-1</v>
      </c>
      <c r="AA10" s="859">
        <f t="shared" si="2"/>
        <v>-1</v>
      </c>
      <c r="AB10" s="860">
        <f t="shared" si="2"/>
        <v>-1</v>
      </c>
      <c r="AC10" s="861">
        <f t="shared" si="2"/>
        <v>-1</v>
      </c>
      <c r="AD10" s="859">
        <f t="shared" si="2"/>
        <v>-1</v>
      </c>
      <c r="AE10" s="859">
        <f t="shared" si="2"/>
        <v>-1</v>
      </c>
      <c r="AF10" s="859">
        <f t="shared" si="2"/>
        <v>-1</v>
      </c>
      <c r="AG10" s="859">
        <f t="shared" si="2"/>
        <v>-1</v>
      </c>
      <c r="AH10" s="859">
        <f t="shared" si="2"/>
        <v>-1</v>
      </c>
      <c r="AI10" s="859">
        <f t="shared" si="2"/>
        <v>-1</v>
      </c>
      <c r="AJ10" s="859">
        <f t="shared" si="2"/>
        <v>-1</v>
      </c>
      <c r="AK10" s="859">
        <f t="shared" si="2"/>
        <v>-1</v>
      </c>
      <c r="AL10" s="859">
        <f t="shared" si="2"/>
        <v>-1</v>
      </c>
      <c r="AM10" s="859">
        <f t="shared" si="2"/>
        <v>-1</v>
      </c>
      <c r="AN10" s="860">
        <f t="shared" si="2"/>
        <v>-1</v>
      </c>
      <c r="AO10" s="862"/>
    </row>
    <row r="11" spans="1:41" ht="12.75" x14ac:dyDescent="0.2">
      <c r="A11" s="865"/>
      <c r="B11" s="866" t="s">
        <v>124</v>
      </c>
      <c r="C11" s="867"/>
      <c r="D11" s="868"/>
      <c r="E11" s="867">
        <f t="shared" ref="E11:AN11" si="3">D11+E14</f>
        <v>-1</v>
      </c>
      <c r="F11" s="867">
        <f t="shared" si="3"/>
        <v>-1</v>
      </c>
      <c r="G11" s="867">
        <f t="shared" si="3"/>
        <v>-1</v>
      </c>
      <c r="H11" s="867">
        <f t="shared" si="3"/>
        <v>-1</v>
      </c>
      <c r="I11" s="867">
        <f t="shared" si="3"/>
        <v>-1</v>
      </c>
      <c r="J11" s="867">
        <f t="shared" si="3"/>
        <v>-1</v>
      </c>
      <c r="K11" s="867">
        <f t="shared" si="3"/>
        <v>-1</v>
      </c>
      <c r="L11" s="867">
        <f t="shared" si="3"/>
        <v>-1</v>
      </c>
      <c r="M11" s="867">
        <f t="shared" si="3"/>
        <v>-1</v>
      </c>
      <c r="N11" s="867">
        <f t="shared" si="3"/>
        <v>-1</v>
      </c>
      <c r="O11" s="867">
        <f t="shared" si="3"/>
        <v>-1</v>
      </c>
      <c r="P11" s="869">
        <f t="shared" si="3"/>
        <v>-1</v>
      </c>
      <c r="Q11" s="870">
        <f t="shared" si="3"/>
        <v>-1</v>
      </c>
      <c r="R11" s="870">
        <f t="shared" si="3"/>
        <v>-1</v>
      </c>
      <c r="S11" s="870">
        <f t="shared" si="3"/>
        <v>-1</v>
      </c>
      <c r="T11" s="870">
        <f t="shared" si="3"/>
        <v>-1</v>
      </c>
      <c r="U11" s="870">
        <f t="shared" si="3"/>
        <v>-1</v>
      </c>
      <c r="V11" s="870">
        <f t="shared" si="3"/>
        <v>-1</v>
      </c>
      <c r="W11" s="870">
        <f t="shared" si="3"/>
        <v>-1</v>
      </c>
      <c r="X11" s="870">
        <f t="shared" si="3"/>
        <v>-1</v>
      </c>
      <c r="Y11" s="870">
        <f t="shared" si="3"/>
        <v>-1</v>
      </c>
      <c r="Z11" s="870">
        <f t="shared" si="3"/>
        <v>-1</v>
      </c>
      <c r="AA11" s="870">
        <f t="shared" si="3"/>
        <v>-1</v>
      </c>
      <c r="AB11" s="871">
        <f t="shared" si="3"/>
        <v>-1</v>
      </c>
      <c r="AC11" s="872">
        <f t="shared" si="3"/>
        <v>-1</v>
      </c>
      <c r="AD11" s="870">
        <f t="shared" si="3"/>
        <v>-1</v>
      </c>
      <c r="AE11" s="870">
        <f t="shared" si="3"/>
        <v>-1</v>
      </c>
      <c r="AF11" s="870">
        <f t="shared" si="3"/>
        <v>-1</v>
      </c>
      <c r="AG11" s="870">
        <f t="shared" si="3"/>
        <v>-1</v>
      </c>
      <c r="AH11" s="870">
        <f t="shared" si="3"/>
        <v>-1</v>
      </c>
      <c r="AI11" s="870">
        <f t="shared" si="3"/>
        <v>-1</v>
      </c>
      <c r="AJ11" s="870">
        <f t="shared" si="3"/>
        <v>-1</v>
      </c>
      <c r="AK11" s="870">
        <f t="shared" si="3"/>
        <v>-1</v>
      </c>
      <c r="AL11" s="870">
        <f t="shared" si="3"/>
        <v>-1</v>
      </c>
      <c r="AM11" s="870">
        <f t="shared" si="3"/>
        <v>-1</v>
      </c>
      <c r="AN11" s="871">
        <f t="shared" si="3"/>
        <v>-1</v>
      </c>
      <c r="AO11" s="873"/>
    </row>
    <row r="12" spans="1:41" ht="15.75" customHeight="1" x14ac:dyDescent="0.35">
      <c r="A12" s="874" t="s">
        <v>196</v>
      </c>
      <c r="B12" s="875"/>
      <c r="C12" s="856"/>
      <c r="D12" s="857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8"/>
      <c r="Q12" s="859"/>
      <c r="R12" s="859"/>
      <c r="S12" s="859"/>
      <c r="T12" s="859"/>
      <c r="U12" s="859"/>
      <c r="V12" s="859"/>
      <c r="W12" s="859"/>
      <c r="X12" s="859"/>
      <c r="Y12" s="859"/>
      <c r="Z12" s="859"/>
      <c r="AA12" s="859"/>
      <c r="AB12" s="860"/>
      <c r="AC12" s="861"/>
      <c r="AD12" s="859"/>
      <c r="AE12" s="859"/>
      <c r="AF12" s="859"/>
      <c r="AG12" s="859"/>
      <c r="AH12" s="859"/>
      <c r="AI12" s="859"/>
      <c r="AJ12" s="859"/>
      <c r="AK12" s="859"/>
      <c r="AL12" s="859"/>
      <c r="AM12" s="859"/>
      <c r="AN12" s="860"/>
      <c r="AO12" s="862"/>
    </row>
    <row r="13" spans="1:41" ht="12.75" x14ac:dyDescent="0.2">
      <c r="A13" s="876" t="s">
        <v>197</v>
      </c>
      <c r="B13" s="864" t="s">
        <v>123</v>
      </c>
      <c r="C13" s="856"/>
      <c r="D13" s="857"/>
      <c r="E13" s="856">
        <v>-1</v>
      </c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8"/>
      <c r="Q13" s="859"/>
      <c r="R13" s="859"/>
      <c r="S13" s="859"/>
      <c r="T13" s="859"/>
      <c r="U13" s="859"/>
      <c r="V13" s="859"/>
      <c r="W13" s="859"/>
      <c r="X13" s="859"/>
      <c r="Y13" s="859"/>
      <c r="Z13" s="859"/>
      <c r="AA13" s="859"/>
      <c r="AB13" s="860"/>
      <c r="AC13" s="861"/>
      <c r="AD13" s="859"/>
      <c r="AE13" s="859"/>
      <c r="AF13" s="859"/>
      <c r="AG13" s="859"/>
      <c r="AH13" s="859"/>
      <c r="AI13" s="859"/>
      <c r="AJ13" s="859"/>
      <c r="AK13" s="859"/>
      <c r="AL13" s="859"/>
      <c r="AM13" s="859"/>
      <c r="AN13" s="860"/>
      <c r="AO13" s="862"/>
    </row>
    <row r="14" spans="1:41" ht="12.75" x14ac:dyDescent="0.2">
      <c r="A14" s="865"/>
      <c r="B14" s="864" t="s">
        <v>124</v>
      </c>
      <c r="C14" s="856"/>
      <c r="D14" s="857"/>
      <c r="E14" s="856">
        <v>-1</v>
      </c>
      <c r="F14" s="856"/>
      <c r="G14" s="856"/>
      <c r="H14" s="856"/>
      <c r="I14" s="856"/>
      <c r="J14" s="856"/>
      <c r="K14" s="856"/>
      <c r="L14" s="856"/>
      <c r="M14" s="856"/>
      <c r="N14" s="856"/>
      <c r="O14" s="856"/>
      <c r="P14" s="858"/>
      <c r="Q14" s="859"/>
      <c r="R14" s="859"/>
      <c r="S14" s="859"/>
      <c r="T14" s="859"/>
      <c r="U14" s="859"/>
      <c r="V14" s="859"/>
      <c r="W14" s="859"/>
      <c r="X14" s="859"/>
      <c r="Y14" s="859"/>
      <c r="Z14" s="859"/>
      <c r="AA14" s="859"/>
      <c r="AB14" s="860"/>
      <c r="AC14" s="861"/>
      <c r="AD14" s="859"/>
      <c r="AE14" s="859"/>
      <c r="AF14" s="859"/>
      <c r="AG14" s="859"/>
      <c r="AH14" s="859"/>
      <c r="AI14" s="859"/>
      <c r="AJ14" s="859"/>
      <c r="AK14" s="859"/>
      <c r="AL14" s="859"/>
      <c r="AM14" s="859"/>
      <c r="AN14" s="860"/>
      <c r="AO14" s="862"/>
    </row>
    <row r="15" spans="1:41" ht="15.75" customHeight="1" x14ac:dyDescent="0.3">
      <c r="A15" s="877" t="s">
        <v>122</v>
      </c>
      <c r="B15" s="878" t="s">
        <v>216</v>
      </c>
      <c r="C15" s="879">
        <f>SUM(C16:C17)</f>
        <v>0</v>
      </c>
      <c r="D15" s="880"/>
      <c r="E15" s="879">
        <f t="shared" ref="E15:AN15" si="4">SUM(E16:E17)</f>
        <v>0</v>
      </c>
      <c r="F15" s="881">
        <f t="shared" si="4"/>
        <v>0</v>
      </c>
      <c r="G15" s="881">
        <f t="shared" si="4"/>
        <v>0</v>
      </c>
      <c r="H15" s="879">
        <f t="shared" si="4"/>
        <v>0</v>
      </c>
      <c r="I15" s="879">
        <f t="shared" si="4"/>
        <v>0</v>
      </c>
      <c r="J15" s="882">
        <f t="shared" si="4"/>
        <v>0</v>
      </c>
      <c r="K15" s="882">
        <f t="shared" si="4"/>
        <v>0</v>
      </c>
      <c r="L15" s="882">
        <f t="shared" si="4"/>
        <v>0</v>
      </c>
      <c r="M15" s="882">
        <f t="shared" si="4"/>
        <v>0</v>
      </c>
      <c r="N15" s="882">
        <f t="shared" si="4"/>
        <v>0</v>
      </c>
      <c r="O15" s="882">
        <f t="shared" si="4"/>
        <v>0</v>
      </c>
      <c r="P15" s="883">
        <f t="shared" si="4"/>
        <v>0</v>
      </c>
      <c r="Q15" s="882">
        <f t="shared" si="4"/>
        <v>0</v>
      </c>
      <c r="R15" s="882">
        <f t="shared" si="4"/>
        <v>0</v>
      </c>
      <c r="S15" s="882">
        <f t="shared" si="4"/>
        <v>0</v>
      </c>
      <c r="T15" s="882">
        <f t="shared" si="4"/>
        <v>0</v>
      </c>
      <c r="U15" s="882">
        <f t="shared" si="4"/>
        <v>0</v>
      </c>
      <c r="V15" s="882">
        <f t="shared" si="4"/>
        <v>0</v>
      </c>
      <c r="W15" s="882">
        <f t="shared" si="4"/>
        <v>0</v>
      </c>
      <c r="X15" s="882">
        <f t="shared" si="4"/>
        <v>0</v>
      </c>
      <c r="Y15" s="882">
        <f t="shared" si="4"/>
        <v>0</v>
      </c>
      <c r="Z15" s="882">
        <f t="shared" si="4"/>
        <v>0</v>
      </c>
      <c r="AA15" s="882">
        <f t="shared" si="4"/>
        <v>0</v>
      </c>
      <c r="AB15" s="883">
        <f t="shared" si="4"/>
        <v>0</v>
      </c>
      <c r="AC15" s="882">
        <f t="shared" si="4"/>
        <v>0</v>
      </c>
      <c r="AD15" s="882">
        <f t="shared" si="4"/>
        <v>0</v>
      </c>
      <c r="AE15" s="882">
        <f t="shared" si="4"/>
        <v>0</v>
      </c>
      <c r="AF15" s="882">
        <f t="shared" si="4"/>
        <v>0</v>
      </c>
      <c r="AG15" s="882">
        <f t="shared" si="4"/>
        <v>0</v>
      </c>
      <c r="AH15" s="882">
        <f t="shared" si="4"/>
        <v>0</v>
      </c>
      <c r="AI15" s="882">
        <f t="shared" si="4"/>
        <v>0</v>
      </c>
      <c r="AJ15" s="882">
        <f t="shared" si="4"/>
        <v>0</v>
      </c>
      <c r="AK15" s="882">
        <f t="shared" si="4"/>
        <v>0</v>
      </c>
      <c r="AL15" s="882">
        <f t="shared" si="4"/>
        <v>0</v>
      </c>
      <c r="AM15" s="882">
        <f t="shared" si="4"/>
        <v>0</v>
      </c>
      <c r="AN15" s="883">
        <f t="shared" si="4"/>
        <v>0</v>
      </c>
    </row>
    <row r="16" spans="1:41" ht="13.5" x14ac:dyDescent="0.2">
      <c r="A16" s="884"/>
      <c r="B16" s="833" t="s">
        <v>123</v>
      </c>
      <c r="C16" s="846"/>
      <c r="D16" s="885">
        <f t="shared" ref="D16:D17" si="5">C16</f>
        <v>0</v>
      </c>
      <c r="E16" s="886">
        <v>0</v>
      </c>
      <c r="F16" s="886">
        <v>0</v>
      </c>
      <c r="G16" s="886">
        <v>0</v>
      </c>
      <c r="H16" s="841">
        <v>0</v>
      </c>
      <c r="I16" s="841">
        <v>0</v>
      </c>
      <c r="J16" s="887">
        <v>0</v>
      </c>
      <c r="K16" s="887">
        <v>0</v>
      </c>
      <c r="L16" s="887">
        <v>0</v>
      </c>
      <c r="M16" s="887">
        <v>0</v>
      </c>
      <c r="N16" s="887">
        <v>0</v>
      </c>
      <c r="O16" s="887">
        <v>0</v>
      </c>
      <c r="P16" s="843">
        <v>0</v>
      </c>
      <c r="Q16" s="887">
        <v>0</v>
      </c>
      <c r="R16" s="887">
        <v>0</v>
      </c>
      <c r="S16" s="887">
        <v>0</v>
      </c>
      <c r="T16" s="887">
        <v>0</v>
      </c>
      <c r="U16" s="887">
        <v>0</v>
      </c>
      <c r="V16" s="887">
        <v>0</v>
      </c>
      <c r="W16" s="887">
        <v>0</v>
      </c>
      <c r="X16" s="887">
        <v>0</v>
      </c>
      <c r="Y16" s="887">
        <v>0</v>
      </c>
      <c r="Z16" s="887">
        <v>0</v>
      </c>
      <c r="AA16" s="887">
        <v>0</v>
      </c>
      <c r="AB16" s="843">
        <v>0</v>
      </c>
      <c r="AC16" s="887">
        <v>0</v>
      </c>
      <c r="AD16" s="887">
        <v>0</v>
      </c>
      <c r="AE16" s="887">
        <v>0</v>
      </c>
      <c r="AF16" s="887">
        <v>0</v>
      </c>
      <c r="AG16" s="887">
        <v>0</v>
      </c>
      <c r="AH16" s="887">
        <v>0</v>
      </c>
      <c r="AI16" s="887">
        <v>0</v>
      </c>
      <c r="AJ16" s="887">
        <v>0</v>
      </c>
      <c r="AK16" s="887">
        <v>0</v>
      </c>
      <c r="AL16" s="887">
        <v>0</v>
      </c>
      <c r="AM16" s="887">
        <v>0</v>
      </c>
      <c r="AN16" s="843">
        <v>0</v>
      </c>
    </row>
    <row r="17" spans="1:41" ht="13.5" x14ac:dyDescent="0.2">
      <c r="A17" s="888"/>
      <c r="B17" s="889" t="s">
        <v>124</v>
      </c>
      <c r="C17" s="851">
        <v>0</v>
      </c>
      <c r="D17" s="890">
        <f t="shared" si="5"/>
        <v>0</v>
      </c>
      <c r="E17" s="891">
        <v>0</v>
      </c>
      <c r="F17" s="891">
        <v>0</v>
      </c>
      <c r="G17" s="891">
        <v>0</v>
      </c>
      <c r="H17" s="853">
        <v>0</v>
      </c>
      <c r="I17" s="853">
        <v>0</v>
      </c>
      <c r="J17" s="892">
        <v>0</v>
      </c>
      <c r="K17" s="892">
        <v>0</v>
      </c>
      <c r="L17" s="892">
        <v>0</v>
      </c>
      <c r="M17" s="892">
        <v>0</v>
      </c>
      <c r="N17" s="892">
        <v>0</v>
      </c>
      <c r="O17" s="892">
        <v>0</v>
      </c>
      <c r="P17" s="893">
        <v>0</v>
      </c>
      <c r="Q17" s="892">
        <v>0</v>
      </c>
      <c r="R17" s="892">
        <v>0</v>
      </c>
      <c r="S17" s="892">
        <v>0</v>
      </c>
      <c r="T17" s="892">
        <v>0</v>
      </c>
      <c r="U17" s="892">
        <v>0</v>
      </c>
      <c r="V17" s="892">
        <v>0</v>
      </c>
      <c r="W17" s="892">
        <v>0</v>
      </c>
      <c r="X17" s="892">
        <v>0</v>
      </c>
      <c r="Y17" s="892">
        <v>0</v>
      </c>
      <c r="Z17" s="892">
        <v>0</v>
      </c>
      <c r="AA17" s="892">
        <v>0</v>
      </c>
      <c r="AB17" s="893">
        <v>0</v>
      </c>
      <c r="AC17" s="892">
        <v>0</v>
      </c>
      <c r="AD17" s="892">
        <v>0</v>
      </c>
      <c r="AE17" s="892">
        <v>0</v>
      </c>
      <c r="AF17" s="892">
        <v>0</v>
      </c>
      <c r="AG17" s="892">
        <v>0</v>
      </c>
      <c r="AH17" s="892">
        <v>0</v>
      </c>
      <c r="AI17" s="892">
        <v>0</v>
      </c>
      <c r="AJ17" s="892">
        <v>0</v>
      </c>
      <c r="AK17" s="892">
        <v>0</v>
      </c>
      <c r="AL17" s="892">
        <v>0</v>
      </c>
      <c r="AM17" s="892">
        <v>0</v>
      </c>
      <c r="AN17" s="893">
        <v>0</v>
      </c>
    </row>
    <row r="18" spans="1:41" ht="15.75" customHeight="1" x14ac:dyDescent="0.3">
      <c r="A18" s="839" t="s">
        <v>198</v>
      </c>
      <c r="B18" s="840"/>
      <c r="C18" s="856"/>
      <c r="D18" s="857"/>
      <c r="E18" s="856"/>
      <c r="F18" s="859"/>
      <c r="G18" s="859"/>
      <c r="H18" s="856"/>
      <c r="I18" s="856"/>
      <c r="J18" s="894"/>
      <c r="K18" s="894"/>
      <c r="L18" s="894"/>
      <c r="M18" s="894"/>
      <c r="N18" s="894"/>
      <c r="O18" s="894"/>
      <c r="P18" s="895"/>
      <c r="Q18" s="894"/>
      <c r="R18" s="894"/>
      <c r="S18" s="894"/>
      <c r="T18" s="894"/>
      <c r="U18" s="894"/>
      <c r="V18" s="894"/>
      <c r="W18" s="894"/>
      <c r="X18" s="894"/>
      <c r="Y18" s="894"/>
      <c r="Z18" s="894"/>
      <c r="AA18" s="894"/>
      <c r="AB18" s="895"/>
      <c r="AC18" s="894"/>
      <c r="AD18" s="894"/>
      <c r="AE18" s="894"/>
      <c r="AF18" s="894"/>
      <c r="AG18" s="894"/>
      <c r="AH18" s="894"/>
      <c r="AI18" s="894"/>
      <c r="AJ18" s="894"/>
      <c r="AK18" s="894"/>
      <c r="AL18" s="894"/>
      <c r="AM18" s="894"/>
      <c r="AN18" s="895"/>
      <c r="AO18" s="862"/>
    </row>
    <row r="19" spans="1:41" ht="12.75" x14ac:dyDescent="0.2">
      <c r="A19" s="863" t="s">
        <v>195</v>
      </c>
      <c r="B19" s="864" t="s">
        <v>123</v>
      </c>
      <c r="C19" s="856"/>
      <c r="D19" s="857"/>
      <c r="E19" s="856">
        <f t="shared" ref="E19:AN19" si="6">D19+E22</f>
        <v>-1</v>
      </c>
      <c r="F19" s="856">
        <f t="shared" si="6"/>
        <v>-1</v>
      </c>
      <c r="G19" s="856">
        <f t="shared" si="6"/>
        <v>-1</v>
      </c>
      <c r="H19" s="856">
        <f t="shared" si="6"/>
        <v>-1</v>
      </c>
      <c r="I19" s="856">
        <f t="shared" si="6"/>
        <v>-1</v>
      </c>
      <c r="J19" s="856">
        <f t="shared" si="6"/>
        <v>-1</v>
      </c>
      <c r="K19" s="856">
        <f t="shared" si="6"/>
        <v>-1</v>
      </c>
      <c r="L19" s="856">
        <f t="shared" si="6"/>
        <v>-1</v>
      </c>
      <c r="M19" s="856">
        <f t="shared" si="6"/>
        <v>-1</v>
      </c>
      <c r="N19" s="856">
        <f t="shared" si="6"/>
        <v>-1</v>
      </c>
      <c r="O19" s="856">
        <f t="shared" si="6"/>
        <v>-1</v>
      </c>
      <c r="P19" s="858">
        <f t="shared" si="6"/>
        <v>-1</v>
      </c>
      <c r="Q19" s="859">
        <f t="shared" si="6"/>
        <v>-1</v>
      </c>
      <c r="R19" s="859">
        <f t="shared" si="6"/>
        <v>-1</v>
      </c>
      <c r="S19" s="859">
        <f t="shared" si="6"/>
        <v>-1</v>
      </c>
      <c r="T19" s="859">
        <f t="shared" si="6"/>
        <v>-1</v>
      </c>
      <c r="U19" s="859">
        <f t="shared" si="6"/>
        <v>-1</v>
      </c>
      <c r="V19" s="859">
        <f t="shared" si="6"/>
        <v>-1</v>
      </c>
      <c r="W19" s="859">
        <f t="shared" si="6"/>
        <v>-1</v>
      </c>
      <c r="X19" s="859">
        <f t="shared" si="6"/>
        <v>-1</v>
      </c>
      <c r="Y19" s="859">
        <f t="shared" si="6"/>
        <v>-1</v>
      </c>
      <c r="Z19" s="859">
        <f t="shared" si="6"/>
        <v>-1</v>
      </c>
      <c r="AA19" s="859">
        <f t="shared" si="6"/>
        <v>-1</v>
      </c>
      <c r="AB19" s="860">
        <f t="shared" si="6"/>
        <v>-1</v>
      </c>
      <c r="AC19" s="861">
        <f t="shared" si="6"/>
        <v>-1</v>
      </c>
      <c r="AD19" s="859">
        <f t="shared" si="6"/>
        <v>-1</v>
      </c>
      <c r="AE19" s="859">
        <f t="shared" si="6"/>
        <v>-1</v>
      </c>
      <c r="AF19" s="859">
        <f t="shared" si="6"/>
        <v>-1</v>
      </c>
      <c r="AG19" s="859">
        <f t="shared" si="6"/>
        <v>-1</v>
      </c>
      <c r="AH19" s="859">
        <f t="shared" si="6"/>
        <v>-1</v>
      </c>
      <c r="AI19" s="859">
        <f t="shared" si="6"/>
        <v>-1</v>
      </c>
      <c r="AJ19" s="859">
        <f t="shared" si="6"/>
        <v>-1</v>
      </c>
      <c r="AK19" s="859">
        <f t="shared" si="6"/>
        <v>-1</v>
      </c>
      <c r="AL19" s="859">
        <f t="shared" si="6"/>
        <v>-1</v>
      </c>
      <c r="AM19" s="859">
        <f t="shared" si="6"/>
        <v>-1</v>
      </c>
      <c r="AN19" s="860">
        <f t="shared" si="6"/>
        <v>-1</v>
      </c>
      <c r="AO19" s="862"/>
    </row>
    <row r="20" spans="1:41" ht="12.75" x14ac:dyDescent="0.2">
      <c r="A20" s="865"/>
      <c r="B20" s="866" t="s">
        <v>124</v>
      </c>
      <c r="C20" s="867"/>
      <c r="D20" s="868"/>
      <c r="E20" s="867">
        <f t="shared" ref="E20:AN20" si="7">D20+E23</f>
        <v>-1</v>
      </c>
      <c r="F20" s="867">
        <f t="shared" si="7"/>
        <v>-1</v>
      </c>
      <c r="G20" s="867">
        <f t="shared" si="7"/>
        <v>-1</v>
      </c>
      <c r="H20" s="867">
        <f t="shared" si="7"/>
        <v>-1</v>
      </c>
      <c r="I20" s="867">
        <f t="shared" si="7"/>
        <v>-1</v>
      </c>
      <c r="J20" s="867">
        <f t="shared" si="7"/>
        <v>-1</v>
      </c>
      <c r="K20" s="867">
        <f t="shared" si="7"/>
        <v>-1</v>
      </c>
      <c r="L20" s="867">
        <f t="shared" si="7"/>
        <v>-1</v>
      </c>
      <c r="M20" s="867">
        <f t="shared" si="7"/>
        <v>-1</v>
      </c>
      <c r="N20" s="867">
        <f t="shared" si="7"/>
        <v>-1</v>
      </c>
      <c r="O20" s="867">
        <f t="shared" si="7"/>
        <v>-1</v>
      </c>
      <c r="P20" s="869">
        <f t="shared" si="7"/>
        <v>-1</v>
      </c>
      <c r="Q20" s="870">
        <f t="shared" si="7"/>
        <v>-1</v>
      </c>
      <c r="R20" s="870">
        <f t="shared" si="7"/>
        <v>-1</v>
      </c>
      <c r="S20" s="870">
        <f t="shared" si="7"/>
        <v>-1</v>
      </c>
      <c r="T20" s="870">
        <f t="shared" si="7"/>
        <v>-1</v>
      </c>
      <c r="U20" s="870">
        <f t="shared" si="7"/>
        <v>-1</v>
      </c>
      <c r="V20" s="870">
        <f t="shared" si="7"/>
        <v>-1</v>
      </c>
      <c r="W20" s="870">
        <f t="shared" si="7"/>
        <v>-1</v>
      </c>
      <c r="X20" s="870">
        <f t="shared" si="7"/>
        <v>-1</v>
      </c>
      <c r="Y20" s="870">
        <f t="shared" si="7"/>
        <v>-1</v>
      </c>
      <c r="Z20" s="870">
        <f t="shared" si="7"/>
        <v>-1</v>
      </c>
      <c r="AA20" s="870">
        <f t="shared" si="7"/>
        <v>-1</v>
      </c>
      <c r="AB20" s="871">
        <f t="shared" si="7"/>
        <v>-1</v>
      </c>
      <c r="AC20" s="872">
        <f t="shared" si="7"/>
        <v>-1</v>
      </c>
      <c r="AD20" s="870">
        <f t="shared" si="7"/>
        <v>-1</v>
      </c>
      <c r="AE20" s="870">
        <f t="shared" si="7"/>
        <v>-1</v>
      </c>
      <c r="AF20" s="870">
        <f t="shared" si="7"/>
        <v>-1</v>
      </c>
      <c r="AG20" s="870">
        <f t="shared" si="7"/>
        <v>-1</v>
      </c>
      <c r="AH20" s="870">
        <f t="shared" si="7"/>
        <v>-1</v>
      </c>
      <c r="AI20" s="870">
        <f t="shared" si="7"/>
        <v>-1</v>
      </c>
      <c r="AJ20" s="870">
        <f t="shared" si="7"/>
        <v>-1</v>
      </c>
      <c r="AK20" s="870">
        <f t="shared" si="7"/>
        <v>-1</v>
      </c>
      <c r="AL20" s="870">
        <f t="shared" si="7"/>
        <v>-1</v>
      </c>
      <c r="AM20" s="870">
        <f t="shared" si="7"/>
        <v>-1</v>
      </c>
      <c r="AN20" s="871">
        <f t="shared" si="7"/>
        <v>-1</v>
      </c>
      <c r="AO20" s="873"/>
    </row>
    <row r="21" spans="1:41" ht="15.75" customHeight="1" x14ac:dyDescent="0.35">
      <c r="A21" s="874" t="s">
        <v>199</v>
      </c>
      <c r="B21" s="875"/>
      <c r="C21" s="856"/>
      <c r="D21" s="857"/>
      <c r="E21" s="856"/>
      <c r="F21" s="859"/>
      <c r="G21" s="859"/>
      <c r="H21" s="856"/>
      <c r="I21" s="856"/>
      <c r="J21" s="894"/>
      <c r="K21" s="894"/>
      <c r="L21" s="894"/>
      <c r="M21" s="894"/>
      <c r="N21" s="894"/>
      <c r="O21" s="894"/>
      <c r="P21" s="895"/>
      <c r="Q21" s="894"/>
      <c r="R21" s="894"/>
      <c r="S21" s="894"/>
      <c r="T21" s="894"/>
      <c r="U21" s="894"/>
      <c r="V21" s="894"/>
      <c r="W21" s="894"/>
      <c r="X21" s="894"/>
      <c r="Y21" s="894"/>
      <c r="Z21" s="894"/>
      <c r="AA21" s="894"/>
      <c r="AB21" s="895"/>
      <c r="AC21" s="894"/>
      <c r="AD21" s="894"/>
      <c r="AE21" s="894"/>
      <c r="AF21" s="894"/>
      <c r="AG21" s="894"/>
      <c r="AH21" s="894"/>
      <c r="AI21" s="894"/>
      <c r="AJ21" s="894"/>
      <c r="AK21" s="894"/>
      <c r="AL21" s="894"/>
      <c r="AM21" s="894"/>
      <c r="AN21" s="895"/>
      <c r="AO21" s="862"/>
    </row>
    <row r="22" spans="1:41" ht="12.75" x14ac:dyDescent="0.2">
      <c r="A22" s="876" t="s">
        <v>200</v>
      </c>
      <c r="B22" s="864" t="s">
        <v>123</v>
      </c>
      <c r="C22" s="856"/>
      <c r="D22" s="857"/>
      <c r="E22" s="856">
        <v>-1</v>
      </c>
      <c r="F22" s="856"/>
      <c r="G22" s="856"/>
      <c r="H22" s="856"/>
      <c r="I22" s="856"/>
      <c r="J22" s="894"/>
      <c r="K22" s="894"/>
      <c r="L22" s="894"/>
      <c r="M22" s="894"/>
      <c r="N22" s="894"/>
      <c r="O22" s="894"/>
      <c r="P22" s="895"/>
      <c r="Q22" s="894"/>
      <c r="R22" s="894"/>
      <c r="S22" s="894"/>
      <c r="T22" s="894"/>
      <c r="U22" s="894"/>
      <c r="V22" s="894"/>
      <c r="W22" s="894"/>
      <c r="X22" s="894"/>
      <c r="Y22" s="894"/>
      <c r="Z22" s="894"/>
      <c r="AA22" s="894"/>
      <c r="AB22" s="895"/>
      <c r="AC22" s="894"/>
      <c r="AD22" s="894"/>
      <c r="AE22" s="894"/>
      <c r="AF22" s="894"/>
      <c r="AG22" s="894"/>
      <c r="AH22" s="894"/>
      <c r="AI22" s="894"/>
      <c r="AJ22" s="894"/>
      <c r="AK22" s="894"/>
      <c r="AL22" s="894"/>
      <c r="AM22" s="894"/>
      <c r="AN22" s="895"/>
      <c r="AO22" s="862"/>
    </row>
    <row r="23" spans="1:41" ht="12.75" x14ac:dyDescent="0.2">
      <c r="A23" s="865"/>
      <c r="B23" s="866" t="s">
        <v>124</v>
      </c>
      <c r="C23" s="867"/>
      <c r="D23" s="868"/>
      <c r="E23" s="867">
        <v>-1</v>
      </c>
      <c r="F23" s="867"/>
      <c r="G23" s="867"/>
      <c r="H23" s="867"/>
      <c r="I23" s="867"/>
      <c r="J23" s="896"/>
      <c r="K23" s="896"/>
      <c r="L23" s="896"/>
      <c r="M23" s="896"/>
      <c r="N23" s="896"/>
      <c r="O23" s="896"/>
      <c r="P23" s="897"/>
      <c r="Q23" s="896"/>
      <c r="R23" s="896"/>
      <c r="S23" s="896"/>
      <c r="T23" s="896"/>
      <c r="U23" s="896"/>
      <c r="V23" s="896"/>
      <c r="W23" s="896"/>
      <c r="X23" s="896"/>
      <c r="Y23" s="896"/>
      <c r="Z23" s="896"/>
      <c r="AA23" s="896"/>
      <c r="AB23" s="897"/>
      <c r="AC23" s="867"/>
      <c r="AD23" s="896"/>
      <c r="AE23" s="896"/>
      <c r="AF23" s="896"/>
      <c r="AG23" s="896"/>
      <c r="AH23" s="896"/>
      <c r="AI23" s="896"/>
      <c r="AJ23" s="896"/>
      <c r="AK23" s="896"/>
      <c r="AL23" s="896"/>
      <c r="AM23" s="896"/>
      <c r="AN23" s="897"/>
      <c r="AO23" s="862"/>
    </row>
    <row r="24" spans="1:41" ht="18.75" x14ac:dyDescent="0.3">
      <c r="A24" s="898" t="s">
        <v>202</v>
      </c>
      <c r="B24" s="899"/>
      <c r="C24" s="879" t="s">
        <v>203</v>
      </c>
      <c r="D24" s="880">
        <f t="shared" ref="D24:AN24" si="8">SUMPRODUCT(D25:D26,D7:D8)</f>
        <v>0</v>
      </c>
      <c r="E24" s="879">
        <f t="shared" si="8"/>
        <v>0</v>
      </c>
      <c r="F24" s="900">
        <f t="shared" si="8"/>
        <v>0</v>
      </c>
      <c r="G24" s="900">
        <f t="shared" si="8"/>
        <v>0</v>
      </c>
      <c r="H24" s="879">
        <f t="shared" si="8"/>
        <v>0</v>
      </c>
      <c r="I24" s="879">
        <f t="shared" si="8"/>
        <v>0</v>
      </c>
      <c r="J24" s="882">
        <f t="shared" si="8"/>
        <v>0</v>
      </c>
      <c r="K24" s="882">
        <f t="shared" si="8"/>
        <v>0</v>
      </c>
      <c r="L24" s="882">
        <f t="shared" si="8"/>
        <v>0</v>
      </c>
      <c r="M24" s="882">
        <f t="shared" si="8"/>
        <v>0</v>
      </c>
      <c r="N24" s="882">
        <f t="shared" si="8"/>
        <v>0</v>
      </c>
      <c r="O24" s="882">
        <f t="shared" si="8"/>
        <v>0</v>
      </c>
      <c r="P24" s="883">
        <f t="shared" si="8"/>
        <v>0</v>
      </c>
      <c r="Q24" s="882">
        <f t="shared" si="8"/>
        <v>0</v>
      </c>
      <c r="R24" s="882">
        <f t="shared" si="8"/>
        <v>0</v>
      </c>
      <c r="S24" s="882">
        <f t="shared" si="8"/>
        <v>0</v>
      </c>
      <c r="T24" s="882">
        <f t="shared" si="8"/>
        <v>0</v>
      </c>
      <c r="U24" s="882">
        <f t="shared" si="8"/>
        <v>0</v>
      </c>
      <c r="V24" s="882">
        <f t="shared" si="8"/>
        <v>0</v>
      </c>
      <c r="W24" s="882">
        <f t="shared" si="8"/>
        <v>0</v>
      </c>
      <c r="X24" s="882">
        <f t="shared" si="8"/>
        <v>0</v>
      </c>
      <c r="Y24" s="882">
        <f t="shared" si="8"/>
        <v>0</v>
      </c>
      <c r="Z24" s="882">
        <f t="shared" si="8"/>
        <v>0</v>
      </c>
      <c r="AA24" s="882">
        <f t="shared" si="8"/>
        <v>0</v>
      </c>
      <c r="AB24" s="883">
        <f t="shared" si="8"/>
        <v>0</v>
      </c>
      <c r="AC24" s="882">
        <f t="shared" si="8"/>
        <v>0</v>
      </c>
      <c r="AD24" s="882">
        <f t="shared" si="8"/>
        <v>0</v>
      </c>
      <c r="AE24" s="882">
        <f t="shared" si="8"/>
        <v>0</v>
      </c>
      <c r="AF24" s="882">
        <f t="shared" si="8"/>
        <v>0</v>
      </c>
      <c r="AG24" s="882">
        <f t="shared" si="8"/>
        <v>0</v>
      </c>
      <c r="AH24" s="882">
        <f t="shared" si="8"/>
        <v>0</v>
      </c>
      <c r="AI24" s="882">
        <f t="shared" si="8"/>
        <v>0</v>
      </c>
      <c r="AJ24" s="882">
        <f t="shared" si="8"/>
        <v>0</v>
      </c>
      <c r="AK24" s="882">
        <f t="shared" si="8"/>
        <v>0</v>
      </c>
      <c r="AL24" s="882">
        <f t="shared" si="8"/>
        <v>0</v>
      </c>
      <c r="AM24" s="882">
        <f t="shared" si="8"/>
        <v>0</v>
      </c>
      <c r="AN24" s="883">
        <f t="shared" si="8"/>
        <v>0</v>
      </c>
    </row>
    <row r="25" spans="1:41" ht="12.75" x14ac:dyDescent="0.2">
      <c r="A25" s="901"/>
      <c r="B25" s="902" t="s">
        <v>123</v>
      </c>
      <c r="C25" s="846"/>
      <c r="D25" s="885">
        <f t="shared" ref="D25:D26" si="9">C25</f>
        <v>0</v>
      </c>
      <c r="E25" s="903">
        <f t="shared" ref="E25:AN25" si="10">$C25*(E31)+D25</f>
        <v>0</v>
      </c>
      <c r="F25" s="903">
        <f t="shared" si="10"/>
        <v>0</v>
      </c>
      <c r="G25" s="903">
        <f t="shared" si="10"/>
        <v>0</v>
      </c>
      <c r="H25" s="841">
        <f t="shared" si="10"/>
        <v>0</v>
      </c>
      <c r="I25" s="841">
        <f t="shared" si="10"/>
        <v>0</v>
      </c>
      <c r="J25" s="887">
        <f t="shared" si="10"/>
        <v>0</v>
      </c>
      <c r="K25" s="887">
        <f t="shared" si="10"/>
        <v>0</v>
      </c>
      <c r="L25" s="887">
        <f t="shared" si="10"/>
        <v>0</v>
      </c>
      <c r="M25" s="887">
        <f t="shared" si="10"/>
        <v>0</v>
      </c>
      <c r="N25" s="887">
        <f t="shared" si="10"/>
        <v>0</v>
      </c>
      <c r="O25" s="887">
        <f t="shared" si="10"/>
        <v>0</v>
      </c>
      <c r="P25" s="843">
        <f t="shared" si="10"/>
        <v>0</v>
      </c>
      <c r="Q25" s="887">
        <f t="shared" si="10"/>
        <v>0</v>
      </c>
      <c r="R25" s="887">
        <f t="shared" si="10"/>
        <v>0</v>
      </c>
      <c r="S25" s="887">
        <f t="shared" si="10"/>
        <v>0</v>
      </c>
      <c r="T25" s="887">
        <f t="shared" si="10"/>
        <v>0</v>
      </c>
      <c r="U25" s="887">
        <f t="shared" si="10"/>
        <v>0</v>
      </c>
      <c r="V25" s="887">
        <f t="shared" si="10"/>
        <v>0</v>
      </c>
      <c r="W25" s="887">
        <f t="shared" si="10"/>
        <v>0</v>
      </c>
      <c r="X25" s="887">
        <f t="shared" si="10"/>
        <v>0</v>
      </c>
      <c r="Y25" s="887">
        <f t="shared" si="10"/>
        <v>0</v>
      </c>
      <c r="Z25" s="887">
        <f t="shared" si="10"/>
        <v>0</v>
      </c>
      <c r="AA25" s="887">
        <f t="shared" si="10"/>
        <v>0</v>
      </c>
      <c r="AB25" s="843">
        <f t="shared" si="10"/>
        <v>0</v>
      </c>
      <c r="AC25" s="887">
        <f t="shared" si="10"/>
        <v>0</v>
      </c>
      <c r="AD25" s="887">
        <f t="shared" si="10"/>
        <v>0</v>
      </c>
      <c r="AE25" s="887">
        <f t="shared" si="10"/>
        <v>0</v>
      </c>
      <c r="AF25" s="887">
        <f t="shared" si="10"/>
        <v>0</v>
      </c>
      <c r="AG25" s="887">
        <f t="shared" si="10"/>
        <v>0</v>
      </c>
      <c r="AH25" s="887">
        <f t="shared" si="10"/>
        <v>0</v>
      </c>
      <c r="AI25" s="887">
        <f t="shared" si="10"/>
        <v>0</v>
      </c>
      <c r="AJ25" s="887">
        <f t="shared" si="10"/>
        <v>0</v>
      </c>
      <c r="AK25" s="887">
        <f t="shared" si="10"/>
        <v>0</v>
      </c>
      <c r="AL25" s="887">
        <f t="shared" si="10"/>
        <v>0</v>
      </c>
      <c r="AM25" s="887">
        <f t="shared" si="10"/>
        <v>0</v>
      </c>
      <c r="AN25" s="843">
        <f t="shared" si="10"/>
        <v>0</v>
      </c>
    </row>
    <row r="26" spans="1:41" ht="12.75" x14ac:dyDescent="0.2">
      <c r="A26" s="904"/>
      <c r="B26" s="905" t="s">
        <v>124</v>
      </c>
      <c r="C26" s="851">
        <v>0</v>
      </c>
      <c r="D26" s="890">
        <f t="shared" si="9"/>
        <v>0</v>
      </c>
      <c r="E26" s="906">
        <f t="shared" ref="E26:AN26" si="11">$C26*(E32)+D26</f>
        <v>0</v>
      </c>
      <c r="F26" s="906">
        <f t="shared" si="11"/>
        <v>0</v>
      </c>
      <c r="G26" s="906">
        <f t="shared" si="11"/>
        <v>0</v>
      </c>
      <c r="H26" s="853">
        <f t="shared" si="11"/>
        <v>0</v>
      </c>
      <c r="I26" s="853">
        <f t="shared" si="11"/>
        <v>0</v>
      </c>
      <c r="J26" s="892">
        <f t="shared" si="11"/>
        <v>0</v>
      </c>
      <c r="K26" s="892">
        <f t="shared" si="11"/>
        <v>0</v>
      </c>
      <c r="L26" s="892">
        <f t="shared" si="11"/>
        <v>0</v>
      </c>
      <c r="M26" s="892">
        <f t="shared" si="11"/>
        <v>0</v>
      </c>
      <c r="N26" s="892">
        <f t="shared" si="11"/>
        <v>0</v>
      </c>
      <c r="O26" s="892">
        <f t="shared" si="11"/>
        <v>0</v>
      </c>
      <c r="P26" s="893">
        <f t="shared" si="11"/>
        <v>0</v>
      </c>
      <c r="Q26" s="892">
        <f t="shared" si="11"/>
        <v>0</v>
      </c>
      <c r="R26" s="892">
        <f t="shared" si="11"/>
        <v>0</v>
      </c>
      <c r="S26" s="892">
        <f t="shared" si="11"/>
        <v>0</v>
      </c>
      <c r="T26" s="892">
        <f t="shared" si="11"/>
        <v>0</v>
      </c>
      <c r="U26" s="892">
        <f t="shared" si="11"/>
        <v>0</v>
      </c>
      <c r="V26" s="892">
        <f t="shared" si="11"/>
        <v>0</v>
      </c>
      <c r="W26" s="892">
        <f t="shared" si="11"/>
        <v>0</v>
      </c>
      <c r="X26" s="892">
        <f t="shared" si="11"/>
        <v>0</v>
      </c>
      <c r="Y26" s="892">
        <f t="shared" si="11"/>
        <v>0</v>
      </c>
      <c r="Z26" s="892">
        <f t="shared" si="11"/>
        <v>0</v>
      </c>
      <c r="AA26" s="892">
        <f t="shared" si="11"/>
        <v>0</v>
      </c>
      <c r="AB26" s="893">
        <f t="shared" si="11"/>
        <v>0</v>
      </c>
      <c r="AC26" s="892">
        <f t="shared" si="11"/>
        <v>0</v>
      </c>
      <c r="AD26" s="892">
        <f t="shared" si="11"/>
        <v>0</v>
      </c>
      <c r="AE26" s="892">
        <f t="shared" si="11"/>
        <v>0</v>
      </c>
      <c r="AF26" s="892">
        <f t="shared" si="11"/>
        <v>0</v>
      </c>
      <c r="AG26" s="892">
        <f t="shared" si="11"/>
        <v>0</v>
      </c>
      <c r="AH26" s="892">
        <f t="shared" si="11"/>
        <v>0</v>
      </c>
      <c r="AI26" s="892">
        <f t="shared" si="11"/>
        <v>0</v>
      </c>
      <c r="AJ26" s="892">
        <f t="shared" si="11"/>
        <v>0</v>
      </c>
      <c r="AK26" s="892">
        <f t="shared" si="11"/>
        <v>0</v>
      </c>
      <c r="AL26" s="892">
        <f t="shared" si="11"/>
        <v>0</v>
      </c>
      <c r="AM26" s="892">
        <f t="shared" si="11"/>
        <v>0</v>
      </c>
      <c r="AN26" s="893">
        <f t="shared" si="11"/>
        <v>0</v>
      </c>
    </row>
    <row r="27" spans="1:41" ht="18.75" x14ac:dyDescent="0.3">
      <c r="A27" s="898" t="s">
        <v>204</v>
      </c>
      <c r="B27" s="899"/>
      <c r="C27" s="841"/>
      <c r="D27" s="885"/>
      <c r="E27" s="903"/>
      <c r="F27" s="903"/>
      <c r="G27" s="903"/>
      <c r="H27" s="841"/>
      <c r="I27" s="841"/>
      <c r="J27" s="887"/>
      <c r="K27" s="887"/>
      <c r="L27" s="887"/>
      <c r="M27" s="887"/>
      <c r="N27" s="887"/>
      <c r="O27" s="887"/>
      <c r="P27" s="843"/>
      <c r="Q27" s="887"/>
      <c r="R27" s="887"/>
      <c r="S27" s="887"/>
      <c r="T27" s="887"/>
      <c r="U27" s="887"/>
      <c r="V27" s="887"/>
      <c r="W27" s="887"/>
      <c r="X27" s="887"/>
      <c r="Y27" s="887"/>
      <c r="Z27" s="887"/>
      <c r="AA27" s="887"/>
      <c r="AB27" s="843"/>
      <c r="AC27" s="887"/>
      <c r="AD27" s="887"/>
      <c r="AE27" s="887"/>
      <c r="AF27" s="887"/>
      <c r="AG27" s="887"/>
      <c r="AH27" s="887"/>
      <c r="AI27" s="887"/>
      <c r="AJ27" s="887"/>
      <c r="AK27" s="887"/>
      <c r="AL27" s="887"/>
      <c r="AM27" s="887"/>
      <c r="AN27" s="843"/>
    </row>
    <row r="28" spans="1:41" ht="12.75" x14ac:dyDescent="0.2">
      <c r="A28" s="863" t="s">
        <v>195</v>
      </c>
      <c r="B28" s="902" t="s">
        <v>123</v>
      </c>
      <c r="C28" s="841"/>
      <c r="D28" s="885"/>
      <c r="E28" s="856">
        <f t="shared" ref="E28:AM28" si="12">D28+E31</f>
        <v>0</v>
      </c>
      <c r="F28" s="856">
        <f t="shared" si="12"/>
        <v>0</v>
      </c>
      <c r="G28" s="856">
        <f t="shared" si="12"/>
        <v>0</v>
      </c>
      <c r="H28" s="856">
        <f t="shared" si="12"/>
        <v>0</v>
      </c>
      <c r="I28" s="856">
        <f t="shared" si="12"/>
        <v>0</v>
      </c>
      <c r="J28" s="856">
        <f t="shared" si="12"/>
        <v>0</v>
      </c>
      <c r="K28" s="856">
        <f t="shared" si="12"/>
        <v>0</v>
      </c>
      <c r="L28" s="856">
        <f t="shared" si="12"/>
        <v>0</v>
      </c>
      <c r="M28" s="856">
        <f t="shared" si="12"/>
        <v>0</v>
      </c>
      <c r="N28" s="856">
        <f t="shared" si="12"/>
        <v>0</v>
      </c>
      <c r="O28" s="856">
        <f t="shared" si="12"/>
        <v>0</v>
      </c>
      <c r="P28" s="858">
        <f t="shared" si="12"/>
        <v>0</v>
      </c>
      <c r="Q28" s="859">
        <f t="shared" si="12"/>
        <v>0</v>
      </c>
      <c r="R28" s="859">
        <f t="shared" si="12"/>
        <v>0</v>
      </c>
      <c r="S28" s="859">
        <f t="shared" si="12"/>
        <v>0</v>
      </c>
      <c r="T28" s="859">
        <f t="shared" si="12"/>
        <v>0</v>
      </c>
      <c r="U28" s="859">
        <f t="shared" si="12"/>
        <v>0</v>
      </c>
      <c r="V28" s="859">
        <f t="shared" si="12"/>
        <v>0</v>
      </c>
      <c r="W28" s="859">
        <f t="shared" si="12"/>
        <v>0</v>
      </c>
      <c r="X28" s="859">
        <f t="shared" si="12"/>
        <v>0</v>
      </c>
      <c r="Y28" s="859">
        <f t="shared" si="12"/>
        <v>0</v>
      </c>
      <c r="Z28" s="859">
        <f t="shared" si="12"/>
        <v>0</v>
      </c>
      <c r="AA28" s="859">
        <f t="shared" si="12"/>
        <v>0</v>
      </c>
      <c r="AB28" s="860">
        <f t="shared" si="12"/>
        <v>0</v>
      </c>
      <c r="AC28" s="861">
        <f t="shared" si="12"/>
        <v>0</v>
      </c>
      <c r="AD28" s="859">
        <f t="shared" si="12"/>
        <v>0</v>
      </c>
      <c r="AE28" s="859">
        <f t="shared" si="12"/>
        <v>0</v>
      </c>
      <c r="AF28" s="859">
        <f t="shared" si="12"/>
        <v>0</v>
      </c>
      <c r="AG28" s="859">
        <f t="shared" si="12"/>
        <v>0</v>
      </c>
      <c r="AH28" s="859">
        <f t="shared" si="12"/>
        <v>0</v>
      </c>
      <c r="AI28" s="859">
        <f t="shared" si="12"/>
        <v>0</v>
      </c>
      <c r="AJ28" s="859">
        <f t="shared" si="12"/>
        <v>0</v>
      </c>
      <c r="AK28" s="859">
        <f t="shared" si="12"/>
        <v>0</v>
      </c>
      <c r="AL28" s="859">
        <f t="shared" si="12"/>
        <v>0</v>
      </c>
      <c r="AM28" s="859">
        <f t="shared" si="12"/>
        <v>0</v>
      </c>
      <c r="AN28" s="843"/>
    </row>
    <row r="29" spans="1:41" ht="12.75" x14ac:dyDescent="0.2">
      <c r="A29" s="904"/>
      <c r="B29" s="905" t="s">
        <v>124</v>
      </c>
      <c r="C29" s="853"/>
      <c r="D29" s="890"/>
      <c r="E29" s="867">
        <f t="shared" ref="E29:AM29" si="13">D29+E32</f>
        <v>0</v>
      </c>
      <c r="F29" s="867">
        <f t="shared" si="13"/>
        <v>0</v>
      </c>
      <c r="G29" s="867">
        <f t="shared" si="13"/>
        <v>0</v>
      </c>
      <c r="H29" s="867">
        <f t="shared" si="13"/>
        <v>0</v>
      </c>
      <c r="I29" s="867">
        <f t="shared" si="13"/>
        <v>0</v>
      </c>
      <c r="J29" s="867">
        <f t="shared" si="13"/>
        <v>0</v>
      </c>
      <c r="K29" s="867">
        <f t="shared" si="13"/>
        <v>0</v>
      </c>
      <c r="L29" s="867">
        <f t="shared" si="13"/>
        <v>0</v>
      </c>
      <c r="M29" s="867">
        <f t="shared" si="13"/>
        <v>0</v>
      </c>
      <c r="N29" s="867">
        <f t="shared" si="13"/>
        <v>0</v>
      </c>
      <c r="O29" s="867">
        <f t="shared" si="13"/>
        <v>0</v>
      </c>
      <c r="P29" s="869">
        <f t="shared" si="13"/>
        <v>0</v>
      </c>
      <c r="Q29" s="870">
        <f t="shared" si="13"/>
        <v>0</v>
      </c>
      <c r="R29" s="870">
        <f t="shared" si="13"/>
        <v>0</v>
      </c>
      <c r="S29" s="870">
        <f t="shared" si="13"/>
        <v>0</v>
      </c>
      <c r="T29" s="870">
        <f t="shared" si="13"/>
        <v>0</v>
      </c>
      <c r="U29" s="870">
        <f t="shared" si="13"/>
        <v>0</v>
      </c>
      <c r="V29" s="870">
        <f t="shared" si="13"/>
        <v>0</v>
      </c>
      <c r="W29" s="870">
        <f t="shared" si="13"/>
        <v>0</v>
      </c>
      <c r="X29" s="870">
        <f t="shared" si="13"/>
        <v>0</v>
      </c>
      <c r="Y29" s="870">
        <f t="shared" si="13"/>
        <v>0</v>
      </c>
      <c r="Z29" s="870">
        <f t="shared" si="13"/>
        <v>0</v>
      </c>
      <c r="AA29" s="870">
        <f t="shared" si="13"/>
        <v>0</v>
      </c>
      <c r="AB29" s="871">
        <f t="shared" si="13"/>
        <v>0</v>
      </c>
      <c r="AC29" s="872">
        <f t="shared" si="13"/>
        <v>0</v>
      </c>
      <c r="AD29" s="870">
        <f t="shared" si="13"/>
        <v>0</v>
      </c>
      <c r="AE29" s="870">
        <f t="shared" si="13"/>
        <v>0</v>
      </c>
      <c r="AF29" s="870">
        <f t="shared" si="13"/>
        <v>0</v>
      </c>
      <c r="AG29" s="870">
        <f t="shared" si="13"/>
        <v>0</v>
      </c>
      <c r="AH29" s="870">
        <f t="shared" si="13"/>
        <v>0</v>
      </c>
      <c r="AI29" s="870">
        <f t="shared" si="13"/>
        <v>0</v>
      </c>
      <c r="AJ29" s="870">
        <f t="shared" si="13"/>
        <v>0</v>
      </c>
      <c r="AK29" s="870">
        <f t="shared" si="13"/>
        <v>0</v>
      </c>
      <c r="AL29" s="870">
        <f t="shared" si="13"/>
        <v>0</v>
      </c>
      <c r="AM29" s="870">
        <f t="shared" si="13"/>
        <v>0</v>
      </c>
      <c r="AN29" s="893"/>
      <c r="AO29" s="907"/>
    </row>
    <row r="30" spans="1:41" ht="19.5" x14ac:dyDescent="0.35">
      <c r="A30" s="874" t="s">
        <v>205</v>
      </c>
      <c r="B30" s="875"/>
      <c r="C30" s="908"/>
      <c r="D30" s="909"/>
      <c r="E30" s="910"/>
      <c r="F30" s="910"/>
      <c r="G30" s="910"/>
      <c r="H30" s="911"/>
      <c r="I30" s="910"/>
      <c r="J30" s="910"/>
      <c r="K30" s="910"/>
      <c r="L30" s="910"/>
      <c r="M30" s="910"/>
      <c r="N30" s="910"/>
      <c r="O30" s="910"/>
      <c r="P30" s="912"/>
      <c r="Q30" s="910"/>
      <c r="R30" s="910"/>
      <c r="S30" s="910"/>
      <c r="T30" s="910"/>
      <c r="U30" s="910"/>
      <c r="V30" s="910"/>
      <c r="W30" s="910"/>
      <c r="X30" s="910"/>
      <c r="Y30" s="910"/>
      <c r="Z30" s="910"/>
      <c r="AA30" s="910"/>
      <c r="AB30" s="912"/>
      <c r="AC30" s="910"/>
      <c r="AD30" s="910"/>
      <c r="AE30" s="910"/>
      <c r="AF30" s="910"/>
      <c r="AG30" s="911"/>
      <c r="AH30" s="910"/>
      <c r="AI30" s="910"/>
      <c r="AJ30" s="910"/>
      <c r="AK30" s="910"/>
      <c r="AL30" s="910"/>
      <c r="AM30" s="910"/>
      <c r="AN30" s="912"/>
      <c r="AO30" s="862"/>
    </row>
    <row r="31" spans="1:41" ht="12.75" x14ac:dyDescent="0.2">
      <c r="A31" s="876" t="s">
        <v>206</v>
      </c>
      <c r="B31" s="864" t="s">
        <v>123</v>
      </c>
      <c r="C31" s="913"/>
      <c r="D31" s="909"/>
      <c r="E31" s="913"/>
      <c r="F31" s="913"/>
      <c r="G31" s="913"/>
      <c r="H31" s="914"/>
      <c r="I31" s="913"/>
      <c r="J31" s="913"/>
      <c r="K31" s="913"/>
      <c r="L31" s="913"/>
      <c r="M31" s="913"/>
      <c r="N31" s="913"/>
      <c r="O31" s="913"/>
      <c r="P31" s="915"/>
      <c r="Q31" s="913"/>
      <c r="R31" s="913"/>
      <c r="S31" s="913"/>
      <c r="T31" s="913"/>
      <c r="U31" s="913"/>
      <c r="V31" s="913"/>
      <c r="W31" s="913"/>
      <c r="X31" s="913"/>
      <c r="Y31" s="913"/>
      <c r="Z31" s="913"/>
      <c r="AA31" s="913"/>
      <c r="AB31" s="915"/>
      <c r="AC31" s="913"/>
      <c r="AD31" s="913"/>
      <c r="AE31" s="913"/>
      <c r="AF31" s="913"/>
      <c r="AG31" s="914"/>
      <c r="AH31" s="913"/>
      <c r="AI31" s="913"/>
      <c r="AJ31" s="913"/>
      <c r="AK31" s="913"/>
      <c r="AL31" s="913"/>
      <c r="AM31" s="913"/>
      <c r="AN31" s="915"/>
      <c r="AO31" s="862"/>
    </row>
    <row r="32" spans="1:41" ht="12.75" x14ac:dyDescent="0.2">
      <c r="A32" s="865"/>
      <c r="B32" s="866" t="s">
        <v>124</v>
      </c>
      <c r="C32" s="913"/>
      <c r="D32" s="909"/>
      <c r="E32" s="913"/>
      <c r="F32" s="913"/>
      <c r="G32" s="913"/>
      <c r="H32" s="914"/>
      <c r="I32" s="913"/>
      <c r="J32" s="913"/>
      <c r="K32" s="913"/>
      <c r="L32" s="913"/>
      <c r="M32" s="913"/>
      <c r="N32" s="913"/>
      <c r="O32" s="913"/>
      <c r="P32" s="915"/>
      <c r="Q32" s="913"/>
      <c r="R32" s="913"/>
      <c r="S32" s="913"/>
      <c r="T32" s="913"/>
      <c r="U32" s="913"/>
      <c r="V32" s="913"/>
      <c r="W32" s="913"/>
      <c r="X32" s="913"/>
      <c r="Y32" s="913"/>
      <c r="Z32" s="913"/>
      <c r="AA32" s="913"/>
      <c r="AB32" s="915"/>
      <c r="AC32" s="913"/>
      <c r="AD32" s="913"/>
      <c r="AE32" s="913"/>
      <c r="AF32" s="913"/>
      <c r="AG32" s="914"/>
      <c r="AH32" s="913"/>
      <c r="AI32" s="913"/>
      <c r="AJ32" s="913"/>
      <c r="AK32" s="913"/>
      <c r="AL32" s="913"/>
      <c r="AM32" s="913"/>
      <c r="AN32" s="915"/>
      <c r="AO32" s="862"/>
    </row>
    <row r="33" spans="1:41" ht="18.75" x14ac:dyDescent="0.3">
      <c r="A33" s="898" t="s">
        <v>125</v>
      </c>
      <c r="B33" s="899"/>
      <c r="C33" s="879" t="s">
        <v>203</v>
      </c>
      <c r="D33" s="880">
        <f t="shared" ref="D33:AN33" si="14">SUMPRODUCT(D34:D35,D16:D17)</f>
        <v>0</v>
      </c>
      <c r="E33" s="879">
        <f t="shared" si="14"/>
        <v>0</v>
      </c>
      <c r="F33" s="900">
        <f t="shared" si="14"/>
        <v>0</v>
      </c>
      <c r="G33" s="900">
        <f t="shared" si="14"/>
        <v>0</v>
      </c>
      <c r="H33" s="879">
        <f t="shared" si="14"/>
        <v>0</v>
      </c>
      <c r="I33" s="879">
        <f t="shared" si="14"/>
        <v>0</v>
      </c>
      <c r="J33" s="882">
        <f t="shared" si="14"/>
        <v>0</v>
      </c>
      <c r="K33" s="882">
        <f t="shared" si="14"/>
        <v>0</v>
      </c>
      <c r="L33" s="882">
        <f t="shared" si="14"/>
        <v>0</v>
      </c>
      <c r="M33" s="882">
        <f t="shared" si="14"/>
        <v>0</v>
      </c>
      <c r="N33" s="882">
        <f t="shared" si="14"/>
        <v>0</v>
      </c>
      <c r="O33" s="882">
        <f t="shared" si="14"/>
        <v>0</v>
      </c>
      <c r="P33" s="883">
        <f t="shared" si="14"/>
        <v>0</v>
      </c>
      <c r="Q33" s="882">
        <f t="shared" si="14"/>
        <v>0</v>
      </c>
      <c r="R33" s="882">
        <f t="shared" si="14"/>
        <v>0</v>
      </c>
      <c r="S33" s="882">
        <f t="shared" si="14"/>
        <v>0</v>
      </c>
      <c r="T33" s="882">
        <f t="shared" si="14"/>
        <v>0</v>
      </c>
      <c r="U33" s="882">
        <f t="shared" si="14"/>
        <v>0</v>
      </c>
      <c r="V33" s="882">
        <f t="shared" si="14"/>
        <v>0</v>
      </c>
      <c r="W33" s="882">
        <f t="shared" si="14"/>
        <v>0</v>
      </c>
      <c r="X33" s="882">
        <f t="shared" si="14"/>
        <v>0</v>
      </c>
      <c r="Y33" s="916">
        <f t="shared" si="14"/>
        <v>0</v>
      </c>
      <c r="Z33" s="882">
        <f t="shared" si="14"/>
        <v>0</v>
      </c>
      <c r="AA33" s="882">
        <f t="shared" si="14"/>
        <v>0</v>
      </c>
      <c r="AB33" s="883">
        <f t="shared" si="14"/>
        <v>0</v>
      </c>
      <c r="AC33" s="882">
        <f t="shared" si="14"/>
        <v>0</v>
      </c>
      <c r="AD33" s="882">
        <f t="shared" si="14"/>
        <v>0</v>
      </c>
      <c r="AE33" s="882">
        <f t="shared" si="14"/>
        <v>0</v>
      </c>
      <c r="AF33" s="882">
        <f t="shared" si="14"/>
        <v>0</v>
      </c>
      <c r="AG33" s="882">
        <f t="shared" si="14"/>
        <v>0</v>
      </c>
      <c r="AH33" s="882">
        <f t="shared" si="14"/>
        <v>0</v>
      </c>
      <c r="AI33" s="882">
        <f t="shared" si="14"/>
        <v>0</v>
      </c>
      <c r="AJ33" s="882">
        <f t="shared" si="14"/>
        <v>0</v>
      </c>
      <c r="AK33" s="882">
        <f t="shared" si="14"/>
        <v>0</v>
      </c>
      <c r="AL33" s="882">
        <f t="shared" si="14"/>
        <v>0</v>
      </c>
      <c r="AM33" s="882">
        <f t="shared" si="14"/>
        <v>0</v>
      </c>
      <c r="AN33" s="883">
        <f t="shared" si="14"/>
        <v>0</v>
      </c>
    </row>
    <row r="34" spans="1:41" ht="12.75" x14ac:dyDescent="0.2">
      <c r="A34" s="901"/>
      <c r="B34" s="902" t="s">
        <v>123</v>
      </c>
      <c r="C34" s="846"/>
      <c r="D34" s="885">
        <f t="shared" ref="D34:D35" si="15">C34</f>
        <v>0</v>
      </c>
      <c r="E34" s="903">
        <f t="shared" ref="E34:AN34" si="16">$C34*(E40)+D34</f>
        <v>0</v>
      </c>
      <c r="F34" s="903">
        <f t="shared" si="16"/>
        <v>0</v>
      </c>
      <c r="G34" s="903">
        <f t="shared" si="16"/>
        <v>0</v>
      </c>
      <c r="H34" s="841">
        <f t="shared" si="16"/>
        <v>0</v>
      </c>
      <c r="I34" s="841">
        <f t="shared" si="16"/>
        <v>0</v>
      </c>
      <c r="J34" s="887">
        <f t="shared" si="16"/>
        <v>0</v>
      </c>
      <c r="K34" s="887">
        <f t="shared" si="16"/>
        <v>0</v>
      </c>
      <c r="L34" s="887">
        <f t="shared" si="16"/>
        <v>0</v>
      </c>
      <c r="M34" s="887">
        <f t="shared" si="16"/>
        <v>0</v>
      </c>
      <c r="N34" s="887">
        <f t="shared" si="16"/>
        <v>0</v>
      </c>
      <c r="O34" s="887">
        <f t="shared" si="16"/>
        <v>0</v>
      </c>
      <c r="P34" s="843">
        <f t="shared" si="16"/>
        <v>0</v>
      </c>
      <c r="Q34" s="887">
        <f t="shared" si="16"/>
        <v>0</v>
      </c>
      <c r="R34" s="887">
        <f t="shared" si="16"/>
        <v>0</v>
      </c>
      <c r="S34" s="887">
        <f t="shared" si="16"/>
        <v>0</v>
      </c>
      <c r="T34" s="887">
        <f t="shared" si="16"/>
        <v>0</v>
      </c>
      <c r="U34" s="887">
        <f t="shared" si="16"/>
        <v>0</v>
      </c>
      <c r="V34" s="887">
        <f t="shared" si="16"/>
        <v>0</v>
      </c>
      <c r="W34" s="887">
        <f t="shared" si="16"/>
        <v>0</v>
      </c>
      <c r="X34" s="887">
        <f t="shared" si="16"/>
        <v>0</v>
      </c>
      <c r="Y34" s="887">
        <f t="shared" si="16"/>
        <v>0</v>
      </c>
      <c r="Z34" s="887">
        <f t="shared" si="16"/>
        <v>0</v>
      </c>
      <c r="AA34" s="887">
        <f t="shared" si="16"/>
        <v>0</v>
      </c>
      <c r="AB34" s="843">
        <f t="shared" si="16"/>
        <v>0</v>
      </c>
      <c r="AC34" s="887">
        <f t="shared" si="16"/>
        <v>0</v>
      </c>
      <c r="AD34" s="887">
        <f t="shared" si="16"/>
        <v>0</v>
      </c>
      <c r="AE34" s="887">
        <f t="shared" si="16"/>
        <v>0</v>
      </c>
      <c r="AF34" s="887">
        <f t="shared" si="16"/>
        <v>0</v>
      </c>
      <c r="AG34" s="887">
        <f t="shared" si="16"/>
        <v>0</v>
      </c>
      <c r="AH34" s="887">
        <f t="shared" si="16"/>
        <v>0</v>
      </c>
      <c r="AI34" s="887">
        <f t="shared" si="16"/>
        <v>0</v>
      </c>
      <c r="AJ34" s="887">
        <f t="shared" si="16"/>
        <v>0</v>
      </c>
      <c r="AK34" s="887">
        <f t="shared" si="16"/>
        <v>0</v>
      </c>
      <c r="AL34" s="887">
        <f t="shared" si="16"/>
        <v>0</v>
      </c>
      <c r="AM34" s="887">
        <f t="shared" si="16"/>
        <v>0</v>
      </c>
      <c r="AN34" s="843">
        <f t="shared" si="16"/>
        <v>0</v>
      </c>
    </row>
    <row r="35" spans="1:41" ht="12.75" x14ac:dyDescent="0.2">
      <c r="A35" s="904"/>
      <c r="B35" s="905" t="s">
        <v>124</v>
      </c>
      <c r="C35" s="851">
        <v>0</v>
      </c>
      <c r="D35" s="890">
        <f t="shared" si="15"/>
        <v>0</v>
      </c>
      <c r="E35" s="906">
        <f t="shared" ref="E35:AN35" si="17">$C35*(E41)+D35</f>
        <v>0</v>
      </c>
      <c r="F35" s="906">
        <f t="shared" si="17"/>
        <v>0</v>
      </c>
      <c r="G35" s="906">
        <f t="shared" si="17"/>
        <v>0</v>
      </c>
      <c r="H35" s="853">
        <f t="shared" si="17"/>
        <v>0</v>
      </c>
      <c r="I35" s="853">
        <f t="shared" si="17"/>
        <v>0</v>
      </c>
      <c r="J35" s="892">
        <f t="shared" si="17"/>
        <v>0</v>
      </c>
      <c r="K35" s="892">
        <f t="shared" si="17"/>
        <v>0</v>
      </c>
      <c r="L35" s="892">
        <f t="shared" si="17"/>
        <v>0</v>
      </c>
      <c r="M35" s="892">
        <f t="shared" si="17"/>
        <v>0</v>
      </c>
      <c r="N35" s="892">
        <f t="shared" si="17"/>
        <v>0</v>
      </c>
      <c r="O35" s="892">
        <f t="shared" si="17"/>
        <v>0</v>
      </c>
      <c r="P35" s="893">
        <f t="shared" si="17"/>
        <v>0</v>
      </c>
      <c r="Q35" s="892">
        <f t="shared" si="17"/>
        <v>0</v>
      </c>
      <c r="R35" s="892">
        <f t="shared" si="17"/>
        <v>0</v>
      </c>
      <c r="S35" s="892">
        <f t="shared" si="17"/>
        <v>0</v>
      </c>
      <c r="T35" s="892">
        <f t="shared" si="17"/>
        <v>0</v>
      </c>
      <c r="U35" s="892">
        <f t="shared" si="17"/>
        <v>0</v>
      </c>
      <c r="V35" s="892">
        <f t="shared" si="17"/>
        <v>0</v>
      </c>
      <c r="W35" s="892">
        <f t="shared" si="17"/>
        <v>0</v>
      </c>
      <c r="X35" s="892">
        <f t="shared" si="17"/>
        <v>0</v>
      </c>
      <c r="Y35" s="892">
        <f t="shared" si="17"/>
        <v>0</v>
      </c>
      <c r="Z35" s="892">
        <f t="shared" si="17"/>
        <v>0</v>
      </c>
      <c r="AA35" s="892">
        <f t="shared" si="17"/>
        <v>0</v>
      </c>
      <c r="AB35" s="893">
        <f t="shared" si="17"/>
        <v>0</v>
      </c>
      <c r="AC35" s="892">
        <f t="shared" si="17"/>
        <v>0</v>
      </c>
      <c r="AD35" s="892">
        <f t="shared" si="17"/>
        <v>0</v>
      </c>
      <c r="AE35" s="892">
        <f t="shared" si="17"/>
        <v>0</v>
      </c>
      <c r="AF35" s="892">
        <f t="shared" si="17"/>
        <v>0</v>
      </c>
      <c r="AG35" s="892">
        <f t="shared" si="17"/>
        <v>0</v>
      </c>
      <c r="AH35" s="892">
        <f t="shared" si="17"/>
        <v>0</v>
      </c>
      <c r="AI35" s="892">
        <f t="shared" si="17"/>
        <v>0</v>
      </c>
      <c r="AJ35" s="892">
        <f t="shared" si="17"/>
        <v>0</v>
      </c>
      <c r="AK35" s="892">
        <f t="shared" si="17"/>
        <v>0</v>
      </c>
      <c r="AL35" s="892">
        <f t="shared" si="17"/>
        <v>0</v>
      </c>
      <c r="AM35" s="892">
        <f t="shared" si="17"/>
        <v>0</v>
      </c>
      <c r="AN35" s="893">
        <f t="shared" si="17"/>
        <v>0</v>
      </c>
    </row>
    <row r="36" spans="1:41" ht="18.75" x14ac:dyDescent="0.3">
      <c r="A36" s="898" t="s">
        <v>207</v>
      </c>
      <c r="B36" s="899"/>
      <c r="C36" s="841"/>
      <c r="D36" s="885"/>
      <c r="E36" s="903"/>
      <c r="F36" s="903"/>
      <c r="G36" s="903"/>
      <c r="H36" s="841"/>
      <c r="I36" s="841"/>
      <c r="J36" s="887"/>
      <c r="K36" s="887"/>
      <c r="L36" s="887"/>
      <c r="M36" s="887"/>
      <c r="N36" s="887"/>
      <c r="O36" s="887"/>
      <c r="P36" s="843"/>
      <c r="Q36" s="887"/>
      <c r="R36" s="887"/>
      <c r="S36" s="887"/>
      <c r="T36" s="887"/>
      <c r="U36" s="887"/>
      <c r="V36" s="887"/>
      <c r="W36" s="887"/>
      <c r="X36" s="887"/>
      <c r="Y36" s="887"/>
      <c r="Z36" s="887"/>
      <c r="AA36" s="887"/>
      <c r="AB36" s="843"/>
      <c r="AC36" s="887"/>
      <c r="AD36" s="887"/>
      <c r="AE36" s="887"/>
      <c r="AF36" s="887"/>
      <c r="AG36" s="887"/>
      <c r="AH36" s="887"/>
      <c r="AI36" s="887"/>
      <c r="AJ36" s="887"/>
      <c r="AK36" s="887"/>
      <c r="AL36" s="887"/>
      <c r="AM36" s="887"/>
      <c r="AN36" s="843"/>
    </row>
    <row r="37" spans="1:41" ht="12.75" x14ac:dyDescent="0.2">
      <c r="A37" s="863" t="s">
        <v>195</v>
      </c>
      <c r="B37" s="902" t="s">
        <v>123</v>
      </c>
      <c r="C37" s="841"/>
      <c r="D37" s="885"/>
      <c r="E37" s="856">
        <f t="shared" ref="E37:AM37" si="18">D37+E40</f>
        <v>0</v>
      </c>
      <c r="F37" s="856">
        <f t="shared" si="18"/>
        <v>0</v>
      </c>
      <c r="G37" s="856">
        <f t="shared" si="18"/>
        <v>0</v>
      </c>
      <c r="H37" s="856">
        <f t="shared" si="18"/>
        <v>0</v>
      </c>
      <c r="I37" s="856">
        <f t="shared" si="18"/>
        <v>0</v>
      </c>
      <c r="J37" s="856">
        <f t="shared" si="18"/>
        <v>0</v>
      </c>
      <c r="K37" s="856">
        <f t="shared" si="18"/>
        <v>0</v>
      </c>
      <c r="L37" s="856">
        <f t="shared" si="18"/>
        <v>0</v>
      </c>
      <c r="M37" s="856">
        <f t="shared" si="18"/>
        <v>0</v>
      </c>
      <c r="N37" s="856">
        <f t="shared" si="18"/>
        <v>0</v>
      </c>
      <c r="O37" s="856">
        <f t="shared" si="18"/>
        <v>0</v>
      </c>
      <c r="P37" s="858">
        <f t="shared" si="18"/>
        <v>0</v>
      </c>
      <c r="Q37" s="859">
        <f t="shared" si="18"/>
        <v>0</v>
      </c>
      <c r="R37" s="859">
        <f t="shared" si="18"/>
        <v>0</v>
      </c>
      <c r="S37" s="859">
        <f t="shared" si="18"/>
        <v>0</v>
      </c>
      <c r="T37" s="859">
        <f t="shared" si="18"/>
        <v>0</v>
      </c>
      <c r="U37" s="859">
        <f t="shared" si="18"/>
        <v>0</v>
      </c>
      <c r="V37" s="859">
        <f t="shared" si="18"/>
        <v>0</v>
      </c>
      <c r="W37" s="859">
        <f t="shared" si="18"/>
        <v>0</v>
      </c>
      <c r="X37" s="859">
        <f t="shared" si="18"/>
        <v>0</v>
      </c>
      <c r="Y37" s="859">
        <f t="shared" si="18"/>
        <v>0</v>
      </c>
      <c r="Z37" s="859">
        <f t="shared" si="18"/>
        <v>0</v>
      </c>
      <c r="AA37" s="859">
        <f t="shared" si="18"/>
        <v>0</v>
      </c>
      <c r="AB37" s="860">
        <f t="shared" si="18"/>
        <v>0</v>
      </c>
      <c r="AC37" s="861">
        <f t="shared" si="18"/>
        <v>0</v>
      </c>
      <c r="AD37" s="859">
        <f t="shared" si="18"/>
        <v>0</v>
      </c>
      <c r="AE37" s="859">
        <f t="shared" si="18"/>
        <v>0</v>
      </c>
      <c r="AF37" s="859">
        <f t="shared" si="18"/>
        <v>0</v>
      </c>
      <c r="AG37" s="859">
        <f t="shared" si="18"/>
        <v>0</v>
      </c>
      <c r="AH37" s="859">
        <f t="shared" si="18"/>
        <v>0</v>
      </c>
      <c r="AI37" s="859">
        <f t="shared" si="18"/>
        <v>0</v>
      </c>
      <c r="AJ37" s="859">
        <f t="shared" si="18"/>
        <v>0</v>
      </c>
      <c r="AK37" s="859">
        <f t="shared" si="18"/>
        <v>0</v>
      </c>
      <c r="AL37" s="859">
        <f t="shared" si="18"/>
        <v>0</v>
      </c>
      <c r="AM37" s="859">
        <f t="shared" si="18"/>
        <v>0</v>
      </c>
      <c r="AN37" s="843"/>
    </row>
    <row r="38" spans="1:41" ht="12.75" x14ac:dyDescent="0.2">
      <c r="A38" s="904"/>
      <c r="B38" s="905" t="s">
        <v>124</v>
      </c>
      <c r="C38" s="841"/>
      <c r="D38" s="885"/>
      <c r="E38" s="867">
        <f t="shared" ref="E38:AM38" si="19">D38+E41</f>
        <v>0</v>
      </c>
      <c r="F38" s="867">
        <f t="shared" si="19"/>
        <v>0</v>
      </c>
      <c r="G38" s="867">
        <f t="shared" si="19"/>
        <v>0</v>
      </c>
      <c r="H38" s="867">
        <f t="shared" si="19"/>
        <v>0</v>
      </c>
      <c r="I38" s="867">
        <f t="shared" si="19"/>
        <v>0</v>
      </c>
      <c r="J38" s="867">
        <f t="shared" si="19"/>
        <v>0</v>
      </c>
      <c r="K38" s="867">
        <f t="shared" si="19"/>
        <v>0</v>
      </c>
      <c r="L38" s="867">
        <f t="shared" si="19"/>
        <v>0</v>
      </c>
      <c r="M38" s="867">
        <f t="shared" si="19"/>
        <v>0</v>
      </c>
      <c r="N38" s="867">
        <f t="shared" si="19"/>
        <v>0</v>
      </c>
      <c r="O38" s="867">
        <f t="shared" si="19"/>
        <v>0</v>
      </c>
      <c r="P38" s="869">
        <f t="shared" si="19"/>
        <v>0</v>
      </c>
      <c r="Q38" s="870">
        <f t="shared" si="19"/>
        <v>0</v>
      </c>
      <c r="R38" s="870">
        <f t="shared" si="19"/>
        <v>0</v>
      </c>
      <c r="S38" s="870">
        <f t="shared" si="19"/>
        <v>0</v>
      </c>
      <c r="T38" s="870">
        <f t="shared" si="19"/>
        <v>0</v>
      </c>
      <c r="U38" s="870">
        <f t="shared" si="19"/>
        <v>0</v>
      </c>
      <c r="V38" s="870">
        <f t="shared" si="19"/>
        <v>0</v>
      </c>
      <c r="W38" s="870">
        <f t="shared" si="19"/>
        <v>0</v>
      </c>
      <c r="X38" s="870">
        <f t="shared" si="19"/>
        <v>0</v>
      </c>
      <c r="Y38" s="870">
        <f t="shared" si="19"/>
        <v>0</v>
      </c>
      <c r="Z38" s="870">
        <f t="shared" si="19"/>
        <v>0</v>
      </c>
      <c r="AA38" s="870">
        <f t="shared" si="19"/>
        <v>0</v>
      </c>
      <c r="AB38" s="871">
        <f t="shared" si="19"/>
        <v>0</v>
      </c>
      <c r="AC38" s="872">
        <f t="shared" si="19"/>
        <v>0</v>
      </c>
      <c r="AD38" s="870">
        <f t="shared" si="19"/>
        <v>0</v>
      </c>
      <c r="AE38" s="870">
        <f t="shared" si="19"/>
        <v>0</v>
      </c>
      <c r="AF38" s="870">
        <f t="shared" si="19"/>
        <v>0</v>
      </c>
      <c r="AG38" s="870">
        <f t="shared" si="19"/>
        <v>0</v>
      </c>
      <c r="AH38" s="870">
        <f t="shared" si="19"/>
        <v>0</v>
      </c>
      <c r="AI38" s="870">
        <f t="shared" si="19"/>
        <v>0</v>
      </c>
      <c r="AJ38" s="870">
        <f t="shared" si="19"/>
        <v>0</v>
      </c>
      <c r="AK38" s="870">
        <f t="shared" si="19"/>
        <v>0</v>
      </c>
      <c r="AL38" s="870">
        <f t="shared" si="19"/>
        <v>0</v>
      </c>
      <c r="AM38" s="870">
        <f t="shared" si="19"/>
        <v>0</v>
      </c>
      <c r="AN38" s="843"/>
    </row>
    <row r="39" spans="1:41" ht="19.5" x14ac:dyDescent="0.35">
      <c r="A39" s="874" t="s">
        <v>208</v>
      </c>
      <c r="B39" s="875"/>
      <c r="C39" s="910"/>
      <c r="D39" s="917"/>
      <c r="E39" s="910"/>
      <c r="F39" s="911"/>
      <c r="G39" s="911"/>
      <c r="H39" s="911"/>
      <c r="I39" s="911"/>
      <c r="J39" s="911"/>
      <c r="K39" s="911"/>
      <c r="L39" s="911"/>
      <c r="M39" s="911"/>
      <c r="N39" s="911"/>
      <c r="O39" s="911"/>
      <c r="P39" s="912"/>
      <c r="Q39" s="911"/>
      <c r="R39" s="911"/>
      <c r="S39" s="911"/>
      <c r="T39" s="911"/>
      <c r="U39" s="911"/>
      <c r="V39" s="911"/>
      <c r="W39" s="911"/>
      <c r="X39" s="911"/>
      <c r="Y39" s="911"/>
      <c r="Z39" s="911"/>
      <c r="AA39" s="911"/>
      <c r="AB39" s="912"/>
      <c r="AC39" s="911"/>
      <c r="AD39" s="911"/>
      <c r="AE39" s="911"/>
      <c r="AF39" s="911"/>
      <c r="AG39" s="911"/>
      <c r="AH39" s="911"/>
      <c r="AI39" s="911"/>
      <c r="AJ39" s="911"/>
      <c r="AK39" s="911"/>
      <c r="AL39" s="911"/>
      <c r="AM39" s="911"/>
      <c r="AN39" s="912"/>
      <c r="AO39" s="862"/>
    </row>
    <row r="40" spans="1:41" ht="12.75" x14ac:dyDescent="0.2">
      <c r="A40" s="876" t="s">
        <v>209</v>
      </c>
      <c r="B40" s="864" t="s">
        <v>123</v>
      </c>
      <c r="C40" s="913"/>
      <c r="D40" s="909"/>
      <c r="E40" s="913"/>
      <c r="F40" s="914"/>
      <c r="G40" s="914"/>
      <c r="H40" s="914"/>
      <c r="I40" s="914"/>
      <c r="J40" s="914"/>
      <c r="K40" s="914"/>
      <c r="L40" s="914"/>
      <c r="M40" s="914"/>
      <c r="N40" s="914"/>
      <c r="O40" s="914"/>
      <c r="P40" s="915"/>
      <c r="Q40" s="914"/>
      <c r="R40" s="914"/>
      <c r="S40" s="914"/>
      <c r="T40" s="914"/>
      <c r="U40" s="914"/>
      <c r="V40" s="914"/>
      <c r="W40" s="914"/>
      <c r="X40" s="914"/>
      <c r="Y40" s="914"/>
      <c r="Z40" s="914"/>
      <c r="AA40" s="914"/>
      <c r="AB40" s="915"/>
      <c r="AC40" s="914"/>
      <c r="AD40" s="914"/>
      <c r="AE40" s="914"/>
      <c r="AF40" s="914"/>
      <c r="AG40" s="914"/>
      <c r="AH40" s="914"/>
      <c r="AI40" s="914"/>
      <c r="AJ40" s="914"/>
      <c r="AK40" s="914"/>
      <c r="AL40" s="914"/>
      <c r="AM40" s="914"/>
      <c r="AN40" s="915"/>
      <c r="AO40" s="862"/>
    </row>
    <row r="41" spans="1:41" ht="12.75" x14ac:dyDescent="0.2">
      <c r="A41" s="865"/>
      <c r="B41" s="866" t="s">
        <v>124</v>
      </c>
      <c r="C41" s="918"/>
      <c r="D41" s="919"/>
      <c r="E41" s="918"/>
      <c r="F41" s="920"/>
      <c r="G41" s="920"/>
      <c r="H41" s="920"/>
      <c r="I41" s="920"/>
      <c r="J41" s="920"/>
      <c r="K41" s="920"/>
      <c r="L41" s="920"/>
      <c r="M41" s="920"/>
      <c r="N41" s="920"/>
      <c r="O41" s="920"/>
      <c r="P41" s="921"/>
      <c r="Q41" s="920"/>
      <c r="R41" s="920"/>
      <c r="S41" s="920"/>
      <c r="T41" s="920"/>
      <c r="U41" s="920"/>
      <c r="V41" s="920"/>
      <c r="W41" s="920"/>
      <c r="X41" s="920"/>
      <c r="Y41" s="920"/>
      <c r="Z41" s="920"/>
      <c r="AA41" s="920"/>
      <c r="AB41" s="921"/>
      <c r="AC41" s="920"/>
      <c r="AD41" s="920"/>
      <c r="AE41" s="920"/>
      <c r="AF41" s="920"/>
      <c r="AG41" s="920"/>
      <c r="AH41" s="920"/>
      <c r="AI41" s="920"/>
      <c r="AJ41" s="920"/>
      <c r="AK41" s="920"/>
      <c r="AL41" s="920"/>
      <c r="AM41" s="920"/>
      <c r="AN41" s="921"/>
      <c r="AO41" s="862"/>
    </row>
    <row r="42" spans="1:41" ht="18.75" x14ac:dyDescent="0.3">
      <c r="A42" s="877" t="s">
        <v>211</v>
      </c>
      <c r="B42" s="878"/>
      <c r="C42" s="922"/>
      <c r="D42" s="923"/>
      <c r="E42" s="922">
        <f t="shared" ref="E42:AN42" si="20">IF(NOT(SUM(E43:E44)=SUM(E33,E24)), "Error", SUM(E33,E24))</f>
        <v>0</v>
      </c>
      <c r="F42" s="924">
        <f t="shared" si="20"/>
        <v>0</v>
      </c>
      <c r="G42" s="924">
        <f t="shared" si="20"/>
        <v>0</v>
      </c>
      <c r="H42" s="924">
        <f t="shared" si="20"/>
        <v>0</v>
      </c>
      <c r="I42" s="924">
        <f t="shared" si="20"/>
        <v>0</v>
      </c>
      <c r="J42" s="924">
        <f t="shared" si="20"/>
        <v>0</v>
      </c>
      <c r="K42" s="924">
        <f t="shared" si="20"/>
        <v>0</v>
      </c>
      <c r="L42" s="924">
        <f t="shared" si="20"/>
        <v>0</v>
      </c>
      <c r="M42" s="924">
        <f t="shared" si="20"/>
        <v>0</v>
      </c>
      <c r="N42" s="924">
        <f t="shared" si="20"/>
        <v>0</v>
      </c>
      <c r="O42" s="924">
        <f t="shared" si="20"/>
        <v>0</v>
      </c>
      <c r="P42" s="925">
        <f t="shared" si="20"/>
        <v>0</v>
      </c>
      <c r="Q42" s="924">
        <f t="shared" si="20"/>
        <v>0</v>
      </c>
      <c r="R42" s="924">
        <f t="shared" si="20"/>
        <v>0</v>
      </c>
      <c r="S42" s="924">
        <f t="shared" si="20"/>
        <v>0</v>
      </c>
      <c r="T42" s="924">
        <f t="shared" si="20"/>
        <v>0</v>
      </c>
      <c r="U42" s="924">
        <f t="shared" si="20"/>
        <v>0</v>
      </c>
      <c r="V42" s="924">
        <f t="shared" si="20"/>
        <v>0</v>
      </c>
      <c r="W42" s="924">
        <f t="shared" si="20"/>
        <v>0</v>
      </c>
      <c r="X42" s="924">
        <f t="shared" si="20"/>
        <v>0</v>
      </c>
      <c r="Y42" s="924">
        <f t="shared" si="20"/>
        <v>0</v>
      </c>
      <c r="Z42" s="924">
        <f t="shared" si="20"/>
        <v>0</v>
      </c>
      <c r="AA42" s="924">
        <f t="shared" si="20"/>
        <v>0</v>
      </c>
      <c r="AB42" s="925">
        <f t="shared" si="20"/>
        <v>0</v>
      </c>
      <c r="AC42" s="924">
        <f t="shared" si="20"/>
        <v>0</v>
      </c>
      <c r="AD42" s="924">
        <f t="shared" si="20"/>
        <v>0</v>
      </c>
      <c r="AE42" s="924">
        <f t="shared" si="20"/>
        <v>0</v>
      </c>
      <c r="AF42" s="924">
        <f t="shared" si="20"/>
        <v>0</v>
      </c>
      <c r="AG42" s="924">
        <f t="shared" si="20"/>
        <v>0</v>
      </c>
      <c r="AH42" s="924">
        <f t="shared" si="20"/>
        <v>0</v>
      </c>
      <c r="AI42" s="924">
        <f t="shared" si="20"/>
        <v>0</v>
      </c>
      <c r="AJ42" s="924">
        <f t="shared" si="20"/>
        <v>0</v>
      </c>
      <c r="AK42" s="924">
        <f t="shared" si="20"/>
        <v>0</v>
      </c>
      <c r="AL42" s="924">
        <f t="shared" si="20"/>
        <v>0</v>
      </c>
      <c r="AM42" s="924">
        <f t="shared" si="20"/>
        <v>0</v>
      </c>
      <c r="AN42" s="925">
        <f t="shared" si="20"/>
        <v>0</v>
      </c>
    </row>
    <row r="43" spans="1:41" ht="12.75" x14ac:dyDescent="0.2">
      <c r="A43" s="901"/>
      <c r="B43" s="902" t="s">
        <v>123</v>
      </c>
      <c r="C43" s="926"/>
      <c r="D43" s="927"/>
      <c r="E43" s="926">
        <f t="shared" ref="E43:AN43" si="21">E7*E25+E16*E34</f>
        <v>0</v>
      </c>
      <c r="F43" s="928">
        <f t="shared" si="21"/>
        <v>0</v>
      </c>
      <c r="G43" s="928">
        <f t="shared" si="21"/>
        <v>0</v>
      </c>
      <c r="H43" s="928">
        <f t="shared" si="21"/>
        <v>0</v>
      </c>
      <c r="I43" s="928">
        <f t="shared" si="21"/>
        <v>0</v>
      </c>
      <c r="J43" s="928">
        <f t="shared" si="21"/>
        <v>0</v>
      </c>
      <c r="K43" s="928">
        <f t="shared" si="21"/>
        <v>0</v>
      </c>
      <c r="L43" s="928">
        <f t="shared" si="21"/>
        <v>0</v>
      </c>
      <c r="M43" s="928">
        <f t="shared" si="21"/>
        <v>0</v>
      </c>
      <c r="N43" s="928">
        <f t="shared" si="21"/>
        <v>0</v>
      </c>
      <c r="O43" s="928">
        <f t="shared" si="21"/>
        <v>0</v>
      </c>
      <c r="P43" s="929">
        <f t="shared" si="21"/>
        <v>0</v>
      </c>
      <c r="Q43" s="928">
        <f t="shared" si="21"/>
        <v>0</v>
      </c>
      <c r="R43" s="928">
        <f t="shared" si="21"/>
        <v>0</v>
      </c>
      <c r="S43" s="928">
        <f t="shared" si="21"/>
        <v>0</v>
      </c>
      <c r="T43" s="928">
        <f t="shared" si="21"/>
        <v>0</v>
      </c>
      <c r="U43" s="928">
        <f t="shared" si="21"/>
        <v>0</v>
      </c>
      <c r="V43" s="928">
        <f t="shared" si="21"/>
        <v>0</v>
      </c>
      <c r="W43" s="928">
        <f t="shared" si="21"/>
        <v>0</v>
      </c>
      <c r="X43" s="928">
        <f t="shared" si="21"/>
        <v>0</v>
      </c>
      <c r="Y43" s="928">
        <f t="shared" si="21"/>
        <v>0</v>
      </c>
      <c r="Z43" s="928">
        <f t="shared" si="21"/>
        <v>0</v>
      </c>
      <c r="AA43" s="928">
        <f t="shared" si="21"/>
        <v>0</v>
      </c>
      <c r="AB43" s="929">
        <f t="shared" si="21"/>
        <v>0</v>
      </c>
      <c r="AC43" s="928">
        <f t="shared" si="21"/>
        <v>0</v>
      </c>
      <c r="AD43" s="928">
        <f t="shared" si="21"/>
        <v>0</v>
      </c>
      <c r="AE43" s="928">
        <f t="shared" si="21"/>
        <v>0</v>
      </c>
      <c r="AF43" s="928">
        <f t="shared" si="21"/>
        <v>0</v>
      </c>
      <c r="AG43" s="928">
        <f t="shared" si="21"/>
        <v>0</v>
      </c>
      <c r="AH43" s="928">
        <f t="shared" si="21"/>
        <v>0</v>
      </c>
      <c r="AI43" s="928">
        <f t="shared" si="21"/>
        <v>0</v>
      </c>
      <c r="AJ43" s="928">
        <f t="shared" si="21"/>
        <v>0</v>
      </c>
      <c r="AK43" s="928">
        <f t="shared" si="21"/>
        <v>0</v>
      </c>
      <c r="AL43" s="928">
        <f t="shared" si="21"/>
        <v>0</v>
      </c>
      <c r="AM43" s="928">
        <f t="shared" si="21"/>
        <v>0</v>
      </c>
      <c r="AN43" s="929">
        <f t="shared" si="21"/>
        <v>0</v>
      </c>
    </row>
    <row r="44" spans="1:41" ht="12.75" x14ac:dyDescent="0.2">
      <c r="A44" s="930"/>
      <c r="B44" s="931" t="s">
        <v>124</v>
      </c>
      <c r="C44" s="932"/>
      <c r="D44" s="933"/>
      <c r="E44" s="932">
        <f t="shared" ref="E44:AN44" si="22">E8*E26+E17*E35</f>
        <v>0</v>
      </c>
      <c r="F44" s="934">
        <f t="shared" si="22"/>
        <v>0</v>
      </c>
      <c r="G44" s="934">
        <f t="shared" si="22"/>
        <v>0</v>
      </c>
      <c r="H44" s="934">
        <f t="shared" si="22"/>
        <v>0</v>
      </c>
      <c r="I44" s="934">
        <f t="shared" si="22"/>
        <v>0</v>
      </c>
      <c r="J44" s="934">
        <f t="shared" si="22"/>
        <v>0</v>
      </c>
      <c r="K44" s="934">
        <f t="shared" si="22"/>
        <v>0</v>
      </c>
      <c r="L44" s="934">
        <f t="shared" si="22"/>
        <v>0</v>
      </c>
      <c r="M44" s="934">
        <f t="shared" si="22"/>
        <v>0</v>
      </c>
      <c r="N44" s="934">
        <f t="shared" si="22"/>
        <v>0</v>
      </c>
      <c r="O44" s="934">
        <f t="shared" si="22"/>
        <v>0</v>
      </c>
      <c r="P44" s="935">
        <f t="shared" si="22"/>
        <v>0</v>
      </c>
      <c r="Q44" s="934">
        <f t="shared" si="22"/>
        <v>0</v>
      </c>
      <c r="R44" s="934">
        <f t="shared" si="22"/>
        <v>0</v>
      </c>
      <c r="S44" s="934">
        <f t="shared" si="22"/>
        <v>0</v>
      </c>
      <c r="T44" s="934">
        <f t="shared" si="22"/>
        <v>0</v>
      </c>
      <c r="U44" s="934">
        <f t="shared" si="22"/>
        <v>0</v>
      </c>
      <c r="V44" s="934">
        <f t="shared" si="22"/>
        <v>0</v>
      </c>
      <c r="W44" s="934">
        <f t="shared" si="22"/>
        <v>0</v>
      </c>
      <c r="X44" s="934">
        <f t="shared" si="22"/>
        <v>0</v>
      </c>
      <c r="Y44" s="934">
        <f t="shared" si="22"/>
        <v>0</v>
      </c>
      <c r="Z44" s="934">
        <f t="shared" si="22"/>
        <v>0</v>
      </c>
      <c r="AA44" s="934">
        <f t="shared" si="22"/>
        <v>0</v>
      </c>
      <c r="AB44" s="935">
        <f t="shared" si="22"/>
        <v>0</v>
      </c>
      <c r="AC44" s="934">
        <f t="shared" si="22"/>
        <v>0</v>
      </c>
      <c r="AD44" s="934">
        <f t="shared" si="22"/>
        <v>0</v>
      </c>
      <c r="AE44" s="934">
        <f t="shared" si="22"/>
        <v>0</v>
      </c>
      <c r="AF44" s="934">
        <f t="shared" si="22"/>
        <v>0</v>
      </c>
      <c r="AG44" s="934">
        <f t="shared" si="22"/>
        <v>0</v>
      </c>
      <c r="AH44" s="934">
        <f t="shared" si="22"/>
        <v>0</v>
      </c>
      <c r="AI44" s="934">
        <f t="shared" si="22"/>
        <v>0</v>
      </c>
      <c r="AJ44" s="934">
        <f t="shared" si="22"/>
        <v>0</v>
      </c>
      <c r="AK44" s="934">
        <f t="shared" si="22"/>
        <v>0</v>
      </c>
      <c r="AL44" s="934">
        <f t="shared" si="22"/>
        <v>0</v>
      </c>
      <c r="AM44" s="934">
        <f t="shared" si="22"/>
        <v>0</v>
      </c>
      <c r="AN44" s="935">
        <f t="shared" si="22"/>
        <v>0</v>
      </c>
    </row>
    <row r="45" spans="1:41" ht="12.75" x14ac:dyDescent="0.2">
      <c r="A45" s="833"/>
      <c r="B45" s="833"/>
      <c r="C45" s="936"/>
      <c r="D45" s="936"/>
      <c r="E45" s="936"/>
      <c r="F45" s="928"/>
      <c r="G45" s="928"/>
      <c r="H45" s="928"/>
      <c r="I45" s="928"/>
      <c r="J45" s="928"/>
      <c r="K45" s="928"/>
      <c r="L45" s="928"/>
      <c r="M45" s="928"/>
      <c r="N45" s="928"/>
      <c r="O45" s="928"/>
      <c r="P45" s="928"/>
      <c r="Q45" s="928"/>
      <c r="R45" s="928"/>
      <c r="S45" s="928"/>
      <c r="T45" s="928"/>
      <c r="U45" s="928"/>
      <c r="V45" s="928"/>
      <c r="W45" s="928"/>
      <c r="X45" s="928"/>
      <c r="Y45" s="928"/>
      <c r="Z45" s="928"/>
      <c r="AA45" s="928"/>
      <c r="AB45" s="928"/>
      <c r="AC45" s="928"/>
      <c r="AD45" s="928"/>
      <c r="AE45" s="928"/>
      <c r="AF45" s="928"/>
      <c r="AG45" s="928"/>
      <c r="AH45" s="928"/>
      <c r="AI45" s="928"/>
      <c r="AJ45" s="928"/>
      <c r="AK45" s="928"/>
      <c r="AL45" s="928"/>
      <c r="AM45" s="928"/>
      <c r="AN45" s="928"/>
    </row>
    <row r="46" spans="1:41" ht="12.75" x14ac:dyDescent="0.2">
      <c r="A46" s="833"/>
      <c r="B46" s="833"/>
      <c r="C46" s="936"/>
      <c r="D46" s="936"/>
      <c r="E46" s="936"/>
      <c r="F46" s="928"/>
      <c r="G46" s="928"/>
      <c r="H46" s="928"/>
      <c r="I46" s="928"/>
      <c r="J46" s="928"/>
      <c r="K46" s="928"/>
      <c r="L46" s="928"/>
      <c r="M46" s="928"/>
      <c r="N46" s="928"/>
      <c r="O46" s="928"/>
      <c r="P46" s="928"/>
      <c r="Q46" s="928"/>
      <c r="R46" s="928"/>
      <c r="S46" s="928"/>
      <c r="T46" s="928"/>
      <c r="U46" s="928"/>
      <c r="V46" s="928"/>
      <c r="W46" s="928"/>
      <c r="X46" s="928"/>
      <c r="Y46" s="928"/>
      <c r="Z46" s="928"/>
      <c r="AA46" s="928"/>
      <c r="AB46" s="928"/>
      <c r="AC46" s="928"/>
      <c r="AD46" s="928"/>
      <c r="AE46" s="928"/>
      <c r="AF46" s="928"/>
      <c r="AG46" s="928"/>
      <c r="AH46" s="928"/>
      <c r="AI46" s="928"/>
      <c r="AJ46" s="928"/>
      <c r="AK46" s="928"/>
      <c r="AL46" s="928"/>
      <c r="AM46" s="928"/>
      <c r="AN46" s="928"/>
    </row>
    <row r="47" spans="1:41" ht="18.75" x14ac:dyDescent="0.3">
      <c r="A47" s="831" t="s">
        <v>278</v>
      </c>
      <c r="C47" s="833"/>
      <c r="D47" s="833"/>
      <c r="E47" s="833"/>
      <c r="F47" s="833"/>
      <c r="G47" s="829"/>
      <c r="H47" s="829"/>
      <c r="I47" s="829"/>
      <c r="J47" s="829"/>
      <c r="K47" s="829"/>
      <c r="L47" s="829"/>
      <c r="M47" s="829"/>
      <c r="N47" s="829"/>
      <c r="O47" s="829"/>
      <c r="P47" s="829"/>
      <c r="Q47" s="829"/>
      <c r="R47" s="829"/>
      <c r="S47" s="829"/>
      <c r="T47" s="829"/>
      <c r="U47" s="829"/>
      <c r="V47" s="829"/>
      <c r="W47" s="829"/>
      <c r="X47" s="829"/>
      <c r="Y47" s="829"/>
      <c r="Z47" s="829"/>
      <c r="AA47" s="829"/>
      <c r="AB47" s="829"/>
      <c r="AC47" s="829"/>
      <c r="AD47" s="829"/>
      <c r="AE47" s="829"/>
      <c r="AF47" s="829"/>
      <c r="AG47" s="829"/>
      <c r="AH47" s="829"/>
      <c r="AI47" s="829"/>
      <c r="AJ47" s="829"/>
      <c r="AK47" s="829"/>
      <c r="AL47" s="829"/>
      <c r="AM47" s="829"/>
      <c r="AN47" s="829"/>
    </row>
    <row r="48" spans="1:41" ht="18.75" x14ac:dyDescent="0.3">
      <c r="A48" s="831"/>
      <c r="B48" s="833"/>
      <c r="C48" s="833"/>
      <c r="D48" s="833"/>
      <c r="E48" s="1428">
        <v>2025</v>
      </c>
      <c r="F48" s="1343"/>
      <c r="G48" s="1343"/>
      <c r="H48" s="1343"/>
      <c r="I48" s="1343"/>
      <c r="J48" s="1343"/>
      <c r="K48" s="1343"/>
      <c r="L48" s="1343"/>
      <c r="M48" s="1343"/>
      <c r="N48" s="1343"/>
      <c r="O48" s="1343"/>
      <c r="P48" s="1343"/>
      <c r="Q48" s="1429">
        <v>2026</v>
      </c>
      <c r="R48" s="1343"/>
      <c r="S48" s="1343"/>
      <c r="T48" s="1343"/>
      <c r="U48" s="1343"/>
      <c r="V48" s="1343"/>
      <c r="W48" s="1343"/>
      <c r="X48" s="1343"/>
      <c r="Y48" s="1343"/>
      <c r="Z48" s="1343"/>
      <c r="AA48" s="1343"/>
      <c r="AB48" s="1343"/>
      <c r="AC48" s="1429">
        <v>2027</v>
      </c>
      <c r="AD48" s="1343"/>
      <c r="AE48" s="1343"/>
      <c r="AF48" s="1343"/>
      <c r="AG48" s="1343"/>
      <c r="AH48" s="1343"/>
      <c r="AI48" s="1343"/>
      <c r="AJ48" s="1343"/>
      <c r="AK48" s="1343"/>
      <c r="AL48" s="1343"/>
      <c r="AM48" s="1343"/>
      <c r="AN48" s="1343"/>
    </row>
    <row r="49" spans="1:41" ht="18.75" x14ac:dyDescent="0.3">
      <c r="A49" s="831"/>
      <c r="B49" s="833"/>
      <c r="C49" s="833"/>
      <c r="D49" s="833"/>
      <c r="E49" s="1428" t="s">
        <v>118</v>
      </c>
      <c r="F49" s="1343"/>
      <c r="G49" s="1343"/>
      <c r="H49" s="1429" t="s">
        <v>119</v>
      </c>
      <c r="I49" s="1343"/>
      <c r="J49" s="1343"/>
      <c r="K49" s="1429" t="s">
        <v>120</v>
      </c>
      <c r="L49" s="1343"/>
      <c r="M49" s="1343"/>
      <c r="N49" s="1429" t="s">
        <v>121</v>
      </c>
      <c r="O49" s="1343"/>
      <c r="P49" s="1343"/>
      <c r="Q49" s="1428" t="s">
        <v>118</v>
      </c>
      <c r="R49" s="1343"/>
      <c r="S49" s="1343"/>
      <c r="T49" s="1429" t="s">
        <v>119</v>
      </c>
      <c r="U49" s="1343"/>
      <c r="V49" s="1343"/>
      <c r="W49" s="1429" t="s">
        <v>120</v>
      </c>
      <c r="X49" s="1343"/>
      <c r="Y49" s="1343"/>
      <c r="Z49" s="1429" t="s">
        <v>121</v>
      </c>
      <c r="AA49" s="1343"/>
      <c r="AB49" s="1343"/>
      <c r="AC49" s="1428" t="s">
        <v>118</v>
      </c>
      <c r="AD49" s="1343"/>
      <c r="AE49" s="1343"/>
      <c r="AF49" s="1429" t="s">
        <v>119</v>
      </c>
      <c r="AG49" s="1343"/>
      <c r="AH49" s="1343"/>
      <c r="AI49" s="1429" t="s">
        <v>120</v>
      </c>
      <c r="AJ49" s="1343"/>
      <c r="AK49" s="1343"/>
      <c r="AL49" s="1429" t="s">
        <v>121</v>
      </c>
      <c r="AM49" s="1343"/>
      <c r="AN49" s="1343"/>
    </row>
    <row r="50" spans="1:41" ht="18.75" x14ac:dyDescent="0.3">
      <c r="A50" s="834"/>
      <c r="B50" s="835"/>
      <c r="C50" s="836" t="s">
        <v>279</v>
      </c>
      <c r="D50" s="837" t="s">
        <v>213</v>
      </c>
      <c r="E50" s="836">
        <v>1</v>
      </c>
      <c r="F50" s="836">
        <v>2</v>
      </c>
      <c r="G50" s="836">
        <v>3</v>
      </c>
      <c r="H50" s="836">
        <v>4</v>
      </c>
      <c r="I50" s="836">
        <v>5</v>
      </c>
      <c r="J50" s="836">
        <v>6</v>
      </c>
      <c r="K50" s="836">
        <v>7</v>
      </c>
      <c r="L50" s="836">
        <v>8</v>
      </c>
      <c r="M50" s="836">
        <v>9</v>
      </c>
      <c r="N50" s="836">
        <v>10</v>
      </c>
      <c r="O50" s="836">
        <v>11</v>
      </c>
      <c r="P50" s="838">
        <v>12</v>
      </c>
      <c r="Q50" s="836">
        <v>1</v>
      </c>
      <c r="R50" s="836">
        <v>2</v>
      </c>
      <c r="S50" s="836">
        <v>3</v>
      </c>
      <c r="T50" s="836">
        <v>4</v>
      </c>
      <c r="U50" s="836">
        <v>5</v>
      </c>
      <c r="V50" s="836">
        <v>6</v>
      </c>
      <c r="W50" s="836">
        <v>7</v>
      </c>
      <c r="X50" s="836">
        <v>8</v>
      </c>
      <c r="Y50" s="836">
        <v>9</v>
      </c>
      <c r="Z50" s="836">
        <v>10</v>
      </c>
      <c r="AA50" s="836">
        <v>11</v>
      </c>
      <c r="AB50" s="838">
        <v>12</v>
      </c>
      <c r="AC50" s="836">
        <v>1</v>
      </c>
      <c r="AD50" s="836">
        <v>2</v>
      </c>
      <c r="AE50" s="836">
        <v>3</v>
      </c>
      <c r="AF50" s="836">
        <v>4</v>
      </c>
      <c r="AG50" s="836">
        <v>5</v>
      </c>
      <c r="AH50" s="836">
        <v>6</v>
      </c>
      <c r="AI50" s="836">
        <v>7</v>
      </c>
      <c r="AJ50" s="836">
        <v>8</v>
      </c>
      <c r="AK50" s="836">
        <v>9</v>
      </c>
      <c r="AL50" s="836">
        <v>10</v>
      </c>
      <c r="AM50" s="836">
        <v>11</v>
      </c>
      <c r="AN50" s="838">
        <v>12</v>
      </c>
    </row>
    <row r="51" spans="1:41" ht="18.75" x14ac:dyDescent="0.3">
      <c r="A51" s="937" t="s">
        <v>193</v>
      </c>
      <c r="B51" s="938"/>
      <c r="C51" s="841">
        <f t="shared" ref="C51:C53" si="23">C6</f>
        <v>0</v>
      </c>
      <c r="D51" s="842"/>
      <c r="E51" s="841">
        <f t="shared" ref="E51:AN51" si="24">E6</f>
        <v>0</v>
      </c>
      <c r="F51" s="841">
        <f t="shared" si="24"/>
        <v>0</v>
      </c>
      <c r="G51" s="841">
        <f t="shared" si="24"/>
        <v>0</v>
      </c>
      <c r="H51" s="841">
        <f t="shared" si="24"/>
        <v>0</v>
      </c>
      <c r="I51" s="841">
        <f t="shared" si="24"/>
        <v>0</v>
      </c>
      <c r="J51" s="841">
        <f t="shared" si="24"/>
        <v>0</v>
      </c>
      <c r="K51" s="841">
        <f t="shared" si="24"/>
        <v>0</v>
      </c>
      <c r="L51" s="841">
        <f t="shared" si="24"/>
        <v>0</v>
      </c>
      <c r="M51" s="841">
        <f t="shared" si="24"/>
        <v>0</v>
      </c>
      <c r="N51" s="847">
        <f t="shared" si="24"/>
        <v>0</v>
      </c>
      <c r="O51" s="841">
        <f t="shared" si="24"/>
        <v>0</v>
      </c>
      <c r="P51" s="848">
        <f t="shared" si="24"/>
        <v>0</v>
      </c>
      <c r="Q51" s="841">
        <f t="shared" si="24"/>
        <v>0</v>
      </c>
      <c r="R51" s="841">
        <f t="shared" si="24"/>
        <v>0</v>
      </c>
      <c r="S51" s="841">
        <f t="shared" si="24"/>
        <v>0</v>
      </c>
      <c r="T51" s="841">
        <f t="shared" si="24"/>
        <v>0</v>
      </c>
      <c r="U51" s="841">
        <f t="shared" si="24"/>
        <v>0</v>
      </c>
      <c r="V51" s="841">
        <f t="shared" si="24"/>
        <v>0</v>
      </c>
      <c r="W51" s="841">
        <f t="shared" si="24"/>
        <v>0</v>
      </c>
      <c r="X51" s="841">
        <f t="shared" si="24"/>
        <v>0</v>
      </c>
      <c r="Y51" s="841">
        <f t="shared" si="24"/>
        <v>0</v>
      </c>
      <c r="Z51" s="847">
        <f t="shared" si="24"/>
        <v>0</v>
      </c>
      <c r="AA51" s="841">
        <f t="shared" si="24"/>
        <v>0</v>
      </c>
      <c r="AB51" s="848">
        <f t="shared" si="24"/>
        <v>0</v>
      </c>
      <c r="AC51" s="841">
        <f t="shared" si="24"/>
        <v>0</v>
      </c>
      <c r="AD51" s="841">
        <f t="shared" si="24"/>
        <v>0</v>
      </c>
      <c r="AE51" s="841">
        <f t="shared" si="24"/>
        <v>0</v>
      </c>
      <c r="AF51" s="841">
        <f t="shared" si="24"/>
        <v>0</v>
      </c>
      <c r="AG51" s="841">
        <f t="shared" si="24"/>
        <v>0</v>
      </c>
      <c r="AH51" s="841">
        <f t="shared" si="24"/>
        <v>0</v>
      </c>
      <c r="AI51" s="841">
        <f t="shared" si="24"/>
        <v>0</v>
      </c>
      <c r="AJ51" s="841">
        <f t="shared" si="24"/>
        <v>0</v>
      </c>
      <c r="AK51" s="841">
        <f t="shared" si="24"/>
        <v>0</v>
      </c>
      <c r="AL51" s="847">
        <f t="shared" si="24"/>
        <v>0</v>
      </c>
      <c r="AM51" s="841">
        <f t="shared" si="24"/>
        <v>0</v>
      </c>
      <c r="AN51" s="848">
        <f t="shared" si="24"/>
        <v>0</v>
      </c>
      <c r="AO51" s="939"/>
    </row>
    <row r="52" spans="1:41" ht="12.75" x14ac:dyDescent="0.2">
      <c r="A52" s="940" t="s">
        <v>280</v>
      </c>
      <c r="B52" s="941" t="s">
        <v>123</v>
      </c>
      <c r="C52" s="841">
        <f t="shared" si="23"/>
        <v>0</v>
      </c>
      <c r="D52" s="842"/>
      <c r="E52" s="841">
        <f t="shared" ref="E52:AN52" si="25">E7</f>
        <v>0</v>
      </c>
      <c r="F52" s="841">
        <f t="shared" si="25"/>
        <v>0</v>
      </c>
      <c r="G52" s="841">
        <f t="shared" si="25"/>
        <v>0</v>
      </c>
      <c r="H52" s="841">
        <f t="shared" si="25"/>
        <v>0</v>
      </c>
      <c r="I52" s="841">
        <f t="shared" si="25"/>
        <v>0</v>
      </c>
      <c r="J52" s="841">
        <f t="shared" si="25"/>
        <v>0</v>
      </c>
      <c r="K52" s="841">
        <f t="shared" si="25"/>
        <v>0</v>
      </c>
      <c r="L52" s="841">
        <f t="shared" si="25"/>
        <v>0</v>
      </c>
      <c r="M52" s="841">
        <f t="shared" si="25"/>
        <v>0</v>
      </c>
      <c r="N52" s="847">
        <f t="shared" si="25"/>
        <v>0</v>
      </c>
      <c r="O52" s="841">
        <f t="shared" si="25"/>
        <v>0</v>
      </c>
      <c r="P52" s="848">
        <f t="shared" si="25"/>
        <v>0</v>
      </c>
      <c r="Q52" s="841">
        <f t="shared" si="25"/>
        <v>0</v>
      </c>
      <c r="R52" s="841">
        <f t="shared" si="25"/>
        <v>0</v>
      </c>
      <c r="S52" s="841">
        <f t="shared" si="25"/>
        <v>0</v>
      </c>
      <c r="T52" s="841">
        <f t="shared" si="25"/>
        <v>0</v>
      </c>
      <c r="U52" s="841">
        <f t="shared" si="25"/>
        <v>0</v>
      </c>
      <c r="V52" s="841">
        <f t="shared" si="25"/>
        <v>0</v>
      </c>
      <c r="W52" s="841">
        <f t="shared" si="25"/>
        <v>0</v>
      </c>
      <c r="X52" s="841">
        <f t="shared" si="25"/>
        <v>0</v>
      </c>
      <c r="Y52" s="841">
        <f t="shared" si="25"/>
        <v>0</v>
      </c>
      <c r="Z52" s="847">
        <f t="shared" si="25"/>
        <v>0</v>
      </c>
      <c r="AA52" s="841">
        <f t="shared" si="25"/>
        <v>0</v>
      </c>
      <c r="AB52" s="848">
        <f t="shared" si="25"/>
        <v>0</v>
      </c>
      <c r="AC52" s="841">
        <f t="shared" si="25"/>
        <v>0</v>
      </c>
      <c r="AD52" s="841">
        <f t="shared" si="25"/>
        <v>0</v>
      </c>
      <c r="AE52" s="841">
        <f t="shared" si="25"/>
        <v>0</v>
      </c>
      <c r="AF52" s="841">
        <f t="shared" si="25"/>
        <v>0</v>
      </c>
      <c r="AG52" s="841">
        <f t="shared" si="25"/>
        <v>0</v>
      </c>
      <c r="AH52" s="841">
        <f t="shared" si="25"/>
        <v>0</v>
      </c>
      <c r="AI52" s="841">
        <f t="shared" si="25"/>
        <v>0</v>
      </c>
      <c r="AJ52" s="841">
        <f t="shared" si="25"/>
        <v>0</v>
      </c>
      <c r="AK52" s="841">
        <f t="shared" si="25"/>
        <v>0</v>
      </c>
      <c r="AL52" s="847">
        <f t="shared" si="25"/>
        <v>0</v>
      </c>
      <c r="AM52" s="841">
        <f t="shared" si="25"/>
        <v>0</v>
      </c>
      <c r="AN52" s="848">
        <f t="shared" si="25"/>
        <v>0</v>
      </c>
      <c r="AO52" s="939"/>
    </row>
    <row r="53" spans="1:41" ht="12.75" x14ac:dyDescent="0.2">
      <c r="A53" s="942"/>
      <c r="B53" s="943" t="s">
        <v>124</v>
      </c>
      <c r="C53" s="853">
        <f t="shared" si="23"/>
        <v>0</v>
      </c>
      <c r="D53" s="852"/>
      <c r="E53" s="853">
        <f t="shared" ref="E53:AN53" si="26">E8</f>
        <v>0</v>
      </c>
      <c r="F53" s="853">
        <f t="shared" si="26"/>
        <v>0</v>
      </c>
      <c r="G53" s="853">
        <f t="shared" si="26"/>
        <v>0</v>
      </c>
      <c r="H53" s="853">
        <f t="shared" si="26"/>
        <v>0</v>
      </c>
      <c r="I53" s="853">
        <f t="shared" si="26"/>
        <v>0</v>
      </c>
      <c r="J53" s="853">
        <f t="shared" si="26"/>
        <v>0</v>
      </c>
      <c r="K53" s="853">
        <f t="shared" si="26"/>
        <v>0</v>
      </c>
      <c r="L53" s="853">
        <f t="shared" si="26"/>
        <v>0</v>
      </c>
      <c r="M53" s="853">
        <f t="shared" si="26"/>
        <v>0</v>
      </c>
      <c r="N53" s="854">
        <f t="shared" si="26"/>
        <v>0</v>
      </c>
      <c r="O53" s="853">
        <f t="shared" si="26"/>
        <v>0</v>
      </c>
      <c r="P53" s="855">
        <f t="shared" si="26"/>
        <v>0</v>
      </c>
      <c r="Q53" s="853">
        <f t="shared" si="26"/>
        <v>0</v>
      </c>
      <c r="R53" s="853">
        <f t="shared" si="26"/>
        <v>0</v>
      </c>
      <c r="S53" s="853">
        <f t="shared" si="26"/>
        <v>0</v>
      </c>
      <c r="T53" s="853">
        <f t="shared" si="26"/>
        <v>0</v>
      </c>
      <c r="U53" s="853">
        <f t="shared" si="26"/>
        <v>0</v>
      </c>
      <c r="V53" s="853">
        <f t="shared" si="26"/>
        <v>0</v>
      </c>
      <c r="W53" s="853">
        <f t="shared" si="26"/>
        <v>0</v>
      </c>
      <c r="X53" s="853">
        <f t="shared" si="26"/>
        <v>0</v>
      </c>
      <c r="Y53" s="853">
        <f t="shared" si="26"/>
        <v>0</v>
      </c>
      <c r="Z53" s="854">
        <f t="shared" si="26"/>
        <v>0</v>
      </c>
      <c r="AA53" s="853">
        <f t="shared" si="26"/>
        <v>0</v>
      </c>
      <c r="AB53" s="855">
        <f t="shared" si="26"/>
        <v>0</v>
      </c>
      <c r="AC53" s="853">
        <f t="shared" si="26"/>
        <v>0</v>
      </c>
      <c r="AD53" s="853">
        <f t="shared" si="26"/>
        <v>0</v>
      </c>
      <c r="AE53" s="853">
        <f t="shared" si="26"/>
        <v>0</v>
      </c>
      <c r="AF53" s="853">
        <f t="shared" si="26"/>
        <v>0</v>
      </c>
      <c r="AG53" s="853">
        <f t="shared" si="26"/>
        <v>0</v>
      </c>
      <c r="AH53" s="853">
        <f t="shared" si="26"/>
        <v>0</v>
      </c>
      <c r="AI53" s="853">
        <f t="shared" si="26"/>
        <v>0</v>
      </c>
      <c r="AJ53" s="853">
        <f t="shared" si="26"/>
        <v>0</v>
      </c>
      <c r="AK53" s="853">
        <f t="shared" si="26"/>
        <v>0</v>
      </c>
      <c r="AL53" s="854">
        <f t="shared" si="26"/>
        <v>0</v>
      </c>
      <c r="AM53" s="853">
        <f t="shared" si="26"/>
        <v>0</v>
      </c>
      <c r="AN53" s="855">
        <f t="shared" si="26"/>
        <v>0</v>
      </c>
      <c r="AO53" s="939"/>
    </row>
    <row r="54" spans="1:41" ht="18.75" x14ac:dyDescent="0.3">
      <c r="A54" s="944" t="s">
        <v>122</v>
      </c>
      <c r="B54" s="945" t="s">
        <v>216</v>
      </c>
      <c r="C54" s="841">
        <f t="shared" ref="C54:C56" si="27">C15</f>
        <v>0</v>
      </c>
      <c r="D54" s="842"/>
      <c r="E54" s="841">
        <f t="shared" ref="E54:AN54" si="28">E15</f>
        <v>0</v>
      </c>
      <c r="F54" s="841">
        <f t="shared" si="28"/>
        <v>0</v>
      </c>
      <c r="G54" s="841">
        <f t="shared" si="28"/>
        <v>0</v>
      </c>
      <c r="H54" s="841">
        <f t="shared" si="28"/>
        <v>0</v>
      </c>
      <c r="I54" s="841">
        <f t="shared" si="28"/>
        <v>0</v>
      </c>
      <c r="J54" s="841">
        <f t="shared" si="28"/>
        <v>0</v>
      </c>
      <c r="K54" s="841">
        <f t="shared" si="28"/>
        <v>0</v>
      </c>
      <c r="L54" s="841">
        <f t="shared" si="28"/>
        <v>0</v>
      </c>
      <c r="M54" s="841">
        <f t="shared" si="28"/>
        <v>0</v>
      </c>
      <c r="N54" s="847">
        <f t="shared" si="28"/>
        <v>0</v>
      </c>
      <c r="O54" s="841">
        <f t="shared" si="28"/>
        <v>0</v>
      </c>
      <c r="P54" s="848">
        <f t="shared" si="28"/>
        <v>0</v>
      </c>
      <c r="Q54" s="841">
        <f t="shared" si="28"/>
        <v>0</v>
      </c>
      <c r="R54" s="841">
        <f t="shared" si="28"/>
        <v>0</v>
      </c>
      <c r="S54" s="841">
        <f t="shared" si="28"/>
        <v>0</v>
      </c>
      <c r="T54" s="841">
        <f t="shared" si="28"/>
        <v>0</v>
      </c>
      <c r="U54" s="841">
        <f t="shared" si="28"/>
        <v>0</v>
      </c>
      <c r="V54" s="841">
        <f t="shared" si="28"/>
        <v>0</v>
      </c>
      <c r="W54" s="841">
        <f t="shared" si="28"/>
        <v>0</v>
      </c>
      <c r="X54" s="841">
        <f t="shared" si="28"/>
        <v>0</v>
      </c>
      <c r="Y54" s="841">
        <f t="shared" si="28"/>
        <v>0</v>
      </c>
      <c r="Z54" s="847">
        <f t="shared" si="28"/>
        <v>0</v>
      </c>
      <c r="AA54" s="841">
        <f t="shared" si="28"/>
        <v>0</v>
      </c>
      <c r="AB54" s="848">
        <f t="shared" si="28"/>
        <v>0</v>
      </c>
      <c r="AC54" s="841">
        <f t="shared" si="28"/>
        <v>0</v>
      </c>
      <c r="AD54" s="841">
        <f t="shared" si="28"/>
        <v>0</v>
      </c>
      <c r="AE54" s="841">
        <f t="shared" si="28"/>
        <v>0</v>
      </c>
      <c r="AF54" s="841">
        <f t="shared" si="28"/>
        <v>0</v>
      </c>
      <c r="AG54" s="841">
        <f t="shared" si="28"/>
        <v>0</v>
      </c>
      <c r="AH54" s="841">
        <f t="shared" si="28"/>
        <v>0</v>
      </c>
      <c r="AI54" s="841">
        <f t="shared" si="28"/>
        <v>0</v>
      </c>
      <c r="AJ54" s="841">
        <f t="shared" si="28"/>
        <v>0</v>
      </c>
      <c r="AK54" s="841">
        <f t="shared" si="28"/>
        <v>0</v>
      </c>
      <c r="AL54" s="847">
        <f t="shared" si="28"/>
        <v>0</v>
      </c>
      <c r="AM54" s="841">
        <f t="shared" si="28"/>
        <v>0</v>
      </c>
      <c r="AN54" s="848">
        <f t="shared" si="28"/>
        <v>0</v>
      </c>
      <c r="AO54" s="939"/>
    </row>
    <row r="55" spans="1:41" ht="12.75" x14ac:dyDescent="0.2">
      <c r="A55" s="940" t="s">
        <v>280</v>
      </c>
      <c r="B55" s="946" t="s">
        <v>123</v>
      </c>
      <c r="C55" s="841">
        <f t="shared" si="27"/>
        <v>0</v>
      </c>
      <c r="D55" s="842"/>
      <c r="E55" s="841">
        <f t="shared" ref="E55:AN55" si="29">E16</f>
        <v>0</v>
      </c>
      <c r="F55" s="841">
        <f t="shared" si="29"/>
        <v>0</v>
      </c>
      <c r="G55" s="841">
        <f t="shared" si="29"/>
        <v>0</v>
      </c>
      <c r="H55" s="841">
        <f t="shared" si="29"/>
        <v>0</v>
      </c>
      <c r="I55" s="841">
        <f t="shared" si="29"/>
        <v>0</v>
      </c>
      <c r="J55" s="841">
        <f t="shared" si="29"/>
        <v>0</v>
      </c>
      <c r="K55" s="841">
        <f t="shared" si="29"/>
        <v>0</v>
      </c>
      <c r="L55" s="841">
        <f t="shared" si="29"/>
        <v>0</v>
      </c>
      <c r="M55" s="841">
        <f t="shared" si="29"/>
        <v>0</v>
      </c>
      <c r="N55" s="847">
        <f t="shared" si="29"/>
        <v>0</v>
      </c>
      <c r="O55" s="841">
        <f t="shared" si="29"/>
        <v>0</v>
      </c>
      <c r="P55" s="848">
        <f t="shared" si="29"/>
        <v>0</v>
      </c>
      <c r="Q55" s="841">
        <f t="shared" si="29"/>
        <v>0</v>
      </c>
      <c r="R55" s="841">
        <f t="shared" si="29"/>
        <v>0</v>
      </c>
      <c r="S55" s="841">
        <f t="shared" si="29"/>
        <v>0</v>
      </c>
      <c r="T55" s="841">
        <f t="shared" si="29"/>
        <v>0</v>
      </c>
      <c r="U55" s="841">
        <f t="shared" si="29"/>
        <v>0</v>
      </c>
      <c r="V55" s="841">
        <f t="shared" si="29"/>
        <v>0</v>
      </c>
      <c r="W55" s="841">
        <f t="shared" si="29"/>
        <v>0</v>
      </c>
      <c r="X55" s="841">
        <f t="shared" si="29"/>
        <v>0</v>
      </c>
      <c r="Y55" s="841">
        <f t="shared" si="29"/>
        <v>0</v>
      </c>
      <c r="Z55" s="847">
        <f t="shared" si="29"/>
        <v>0</v>
      </c>
      <c r="AA55" s="841">
        <f t="shared" si="29"/>
        <v>0</v>
      </c>
      <c r="AB55" s="848">
        <f t="shared" si="29"/>
        <v>0</v>
      </c>
      <c r="AC55" s="841">
        <f t="shared" si="29"/>
        <v>0</v>
      </c>
      <c r="AD55" s="841">
        <f t="shared" si="29"/>
        <v>0</v>
      </c>
      <c r="AE55" s="841">
        <f t="shared" si="29"/>
        <v>0</v>
      </c>
      <c r="AF55" s="841">
        <f t="shared" si="29"/>
        <v>0</v>
      </c>
      <c r="AG55" s="841">
        <f t="shared" si="29"/>
        <v>0</v>
      </c>
      <c r="AH55" s="841">
        <f t="shared" si="29"/>
        <v>0</v>
      </c>
      <c r="AI55" s="841">
        <f t="shared" si="29"/>
        <v>0</v>
      </c>
      <c r="AJ55" s="841">
        <f t="shared" si="29"/>
        <v>0</v>
      </c>
      <c r="AK55" s="841">
        <f t="shared" si="29"/>
        <v>0</v>
      </c>
      <c r="AL55" s="847">
        <f t="shared" si="29"/>
        <v>0</v>
      </c>
      <c r="AM55" s="841">
        <f t="shared" si="29"/>
        <v>0</v>
      </c>
      <c r="AN55" s="848">
        <f t="shared" si="29"/>
        <v>0</v>
      </c>
      <c r="AO55" s="939"/>
    </row>
    <row r="56" spans="1:41" ht="12.75" x14ac:dyDescent="0.2">
      <c r="A56" s="942"/>
      <c r="B56" s="947" t="s">
        <v>124</v>
      </c>
      <c r="C56" s="853">
        <f t="shared" si="27"/>
        <v>0</v>
      </c>
      <c r="D56" s="852"/>
      <c r="E56" s="853">
        <f t="shared" ref="E56:AN56" si="30">E17</f>
        <v>0</v>
      </c>
      <c r="F56" s="853">
        <f t="shared" si="30"/>
        <v>0</v>
      </c>
      <c r="G56" s="853">
        <f t="shared" si="30"/>
        <v>0</v>
      </c>
      <c r="H56" s="853">
        <f t="shared" si="30"/>
        <v>0</v>
      </c>
      <c r="I56" s="853">
        <f t="shared" si="30"/>
        <v>0</v>
      </c>
      <c r="J56" s="853">
        <f t="shared" si="30"/>
        <v>0</v>
      </c>
      <c r="K56" s="853">
        <f t="shared" si="30"/>
        <v>0</v>
      </c>
      <c r="L56" s="853">
        <f t="shared" si="30"/>
        <v>0</v>
      </c>
      <c r="M56" s="853">
        <f t="shared" si="30"/>
        <v>0</v>
      </c>
      <c r="N56" s="854">
        <f t="shared" si="30"/>
        <v>0</v>
      </c>
      <c r="O56" s="853">
        <f t="shared" si="30"/>
        <v>0</v>
      </c>
      <c r="P56" s="855">
        <f t="shared" si="30"/>
        <v>0</v>
      </c>
      <c r="Q56" s="853">
        <f t="shared" si="30"/>
        <v>0</v>
      </c>
      <c r="R56" s="853">
        <f t="shared" si="30"/>
        <v>0</v>
      </c>
      <c r="S56" s="853">
        <f t="shared" si="30"/>
        <v>0</v>
      </c>
      <c r="T56" s="853">
        <f t="shared" si="30"/>
        <v>0</v>
      </c>
      <c r="U56" s="853">
        <f t="shared" si="30"/>
        <v>0</v>
      </c>
      <c r="V56" s="853">
        <f t="shared" si="30"/>
        <v>0</v>
      </c>
      <c r="W56" s="853">
        <f t="shared" si="30"/>
        <v>0</v>
      </c>
      <c r="X56" s="853">
        <f t="shared" si="30"/>
        <v>0</v>
      </c>
      <c r="Y56" s="853">
        <f t="shared" si="30"/>
        <v>0</v>
      </c>
      <c r="Z56" s="854">
        <f t="shared" si="30"/>
        <v>0</v>
      </c>
      <c r="AA56" s="853">
        <f t="shared" si="30"/>
        <v>0</v>
      </c>
      <c r="AB56" s="855">
        <f t="shared" si="30"/>
        <v>0</v>
      </c>
      <c r="AC56" s="853">
        <f t="shared" si="30"/>
        <v>0</v>
      </c>
      <c r="AD56" s="853">
        <f t="shared" si="30"/>
        <v>0</v>
      </c>
      <c r="AE56" s="853">
        <f t="shared" si="30"/>
        <v>0</v>
      </c>
      <c r="AF56" s="853">
        <f t="shared" si="30"/>
        <v>0</v>
      </c>
      <c r="AG56" s="853">
        <f t="shared" si="30"/>
        <v>0</v>
      </c>
      <c r="AH56" s="853">
        <f t="shared" si="30"/>
        <v>0</v>
      </c>
      <c r="AI56" s="853">
        <f t="shared" si="30"/>
        <v>0</v>
      </c>
      <c r="AJ56" s="853">
        <f t="shared" si="30"/>
        <v>0</v>
      </c>
      <c r="AK56" s="853">
        <f t="shared" si="30"/>
        <v>0</v>
      </c>
      <c r="AL56" s="854">
        <f t="shared" si="30"/>
        <v>0</v>
      </c>
      <c r="AM56" s="853">
        <f t="shared" si="30"/>
        <v>0</v>
      </c>
      <c r="AN56" s="855">
        <f t="shared" si="30"/>
        <v>0</v>
      </c>
      <c r="AO56" s="939"/>
    </row>
    <row r="57" spans="1:41" ht="18.75" x14ac:dyDescent="0.3">
      <c r="A57" s="948" t="s">
        <v>218</v>
      </c>
      <c r="B57" s="949"/>
      <c r="C57" s="841" t="s">
        <v>168</v>
      </c>
      <c r="D57" s="842"/>
      <c r="E57" s="841">
        <f t="shared" ref="E57:AN57" si="31">SUM(E58:E59)</f>
        <v>0</v>
      </c>
      <c r="F57" s="841">
        <f t="shared" si="31"/>
        <v>0</v>
      </c>
      <c r="G57" s="841">
        <f t="shared" si="31"/>
        <v>0</v>
      </c>
      <c r="H57" s="841">
        <f t="shared" si="31"/>
        <v>0</v>
      </c>
      <c r="I57" s="841">
        <f t="shared" si="31"/>
        <v>0</v>
      </c>
      <c r="J57" s="841">
        <f t="shared" si="31"/>
        <v>0</v>
      </c>
      <c r="K57" s="841">
        <f t="shared" si="31"/>
        <v>0</v>
      </c>
      <c r="L57" s="841">
        <f t="shared" si="31"/>
        <v>0</v>
      </c>
      <c r="M57" s="841">
        <f t="shared" si="31"/>
        <v>0</v>
      </c>
      <c r="N57" s="887">
        <f t="shared" si="31"/>
        <v>0</v>
      </c>
      <c r="O57" s="841">
        <f t="shared" si="31"/>
        <v>0</v>
      </c>
      <c r="P57" s="848">
        <f t="shared" si="31"/>
        <v>0</v>
      </c>
      <c r="Q57" s="841">
        <f t="shared" si="31"/>
        <v>0</v>
      </c>
      <c r="R57" s="841">
        <f t="shared" si="31"/>
        <v>0</v>
      </c>
      <c r="S57" s="841">
        <f t="shared" si="31"/>
        <v>0</v>
      </c>
      <c r="T57" s="841">
        <f t="shared" si="31"/>
        <v>0</v>
      </c>
      <c r="U57" s="841">
        <f t="shared" si="31"/>
        <v>0</v>
      </c>
      <c r="V57" s="841">
        <f t="shared" si="31"/>
        <v>0</v>
      </c>
      <c r="W57" s="841">
        <f t="shared" si="31"/>
        <v>0</v>
      </c>
      <c r="X57" s="841">
        <f t="shared" si="31"/>
        <v>0</v>
      </c>
      <c r="Y57" s="841">
        <f t="shared" si="31"/>
        <v>0</v>
      </c>
      <c r="Z57" s="887">
        <f t="shared" si="31"/>
        <v>0</v>
      </c>
      <c r="AA57" s="841">
        <f t="shared" si="31"/>
        <v>0</v>
      </c>
      <c r="AB57" s="848">
        <f t="shared" si="31"/>
        <v>0</v>
      </c>
      <c r="AC57" s="841">
        <f t="shared" si="31"/>
        <v>0</v>
      </c>
      <c r="AD57" s="841">
        <f t="shared" si="31"/>
        <v>0</v>
      </c>
      <c r="AE57" s="841">
        <f t="shared" si="31"/>
        <v>0</v>
      </c>
      <c r="AF57" s="841">
        <f t="shared" si="31"/>
        <v>0</v>
      </c>
      <c r="AG57" s="841">
        <f t="shared" si="31"/>
        <v>0</v>
      </c>
      <c r="AH57" s="841">
        <f t="shared" si="31"/>
        <v>0</v>
      </c>
      <c r="AI57" s="841">
        <f t="shared" si="31"/>
        <v>0</v>
      </c>
      <c r="AJ57" s="841">
        <f t="shared" si="31"/>
        <v>0</v>
      </c>
      <c r="AK57" s="841">
        <f t="shared" si="31"/>
        <v>0</v>
      </c>
      <c r="AL57" s="887">
        <f t="shared" si="31"/>
        <v>0</v>
      </c>
      <c r="AM57" s="841">
        <f t="shared" si="31"/>
        <v>0</v>
      </c>
      <c r="AN57" s="848">
        <f t="shared" si="31"/>
        <v>0</v>
      </c>
      <c r="AO57" s="939"/>
    </row>
    <row r="58" spans="1:41" ht="12.75" x14ac:dyDescent="0.2">
      <c r="A58" s="876"/>
      <c r="B58" s="864" t="s">
        <v>123</v>
      </c>
      <c r="C58" s="950"/>
      <c r="D58" s="842"/>
      <c r="E58" s="841">
        <v>0</v>
      </c>
      <c r="F58" s="841">
        <v>0</v>
      </c>
      <c r="G58" s="841">
        <v>0</v>
      </c>
      <c r="H58" s="841">
        <v>0</v>
      </c>
      <c r="I58" s="841">
        <v>0</v>
      </c>
      <c r="J58" s="841">
        <v>0</v>
      </c>
      <c r="K58" s="841">
        <v>0</v>
      </c>
      <c r="L58" s="841">
        <v>0</v>
      </c>
      <c r="M58" s="841">
        <v>0</v>
      </c>
      <c r="N58" s="847">
        <v>0</v>
      </c>
      <c r="O58" s="841">
        <v>0</v>
      </c>
      <c r="P58" s="848">
        <v>0</v>
      </c>
      <c r="Q58" s="841">
        <v>0</v>
      </c>
      <c r="R58" s="841">
        <v>0</v>
      </c>
      <c r="S58" s="841">
        <v>0</v>
      </c>
      <c r="T58" s="841">
        <v>0</v>
      </c>
      <c r="U58" s="841">
        <v>0</v>
      </c>
      <c r="V58" s="841">
        <v>0</v>
      </c>
      <c r="W58" s="841">
        <v>0</v>
      </c>
      <c r="X58" s="841">
        <v>0</v>
      </c>
      <c r="Y58" s="841">
        <v>0</v>
      </c>
      <c r="Z58" s="847">
        <v>0</v>
      </c>
      <c r="AA58" s="841">
        <v>0</v>
      </c>
      <c r="AB58" s="848">
        <v>0</v>
      </c>
      <c r="AC58" s="841">
        <v>0</v>
      </c>
      <c r="AD58" s="841">
        <v>0</v>
      </c>
      <c r="AE58" s="841">
        <v>0</v>
      </c>
      <c r="AF58" s="841">
        <v>0</v>
      </c>
      <c r="AG58" s="841">
        <v>0</v>
      </c>
      <c r="AH58" s="841">
        <v>0</v>
      </c>
      <c r="AI58" s="841">
        <v>0</v>
      </c>
      <c r="AJ58" s="841">
        <v>0</v>
      </c>
      <c r="AK58" s="841">
        <v>0</v>
      </c>
      <c r="AL58" s="847">
        <v>0</v>
      </c>
      <c r="AM58" s="841">
        <v>0</v>
      </c>
      <c r="AN58" s="848">
        <v>0</v>
      </c>
      <c r="AO58" s="939"/>
    </row>
    <row r="59" spans="1:41" ht="12.75" x14ac:dyDescent="0.2">
      <c r="A59" s="865"/>
      <c r="B59" s="866" t="s">
        <v>124</v>
      </c>
      <c r="C59" s="951">
        <v>0</v>
      </c>
      <c r="D59" s="852"/>
      <c r="E59" s="853">
        <v>0</v>
      </c>
      <c r="F59" s="853">
        <v>0</v>
      </c>
      <c r="G59" s="853">
        <v>0</v>
      </c>
      <c r="H59" s="853">
        <v>0</v>
      </c>
      <c r="I59" s="853">
        <v>0</v>
      </c>
      <c r="J59" s="853">
        <v>0</v>
      </c>
      <c r="K59" s="853">
        <v>0</v>
      </c>
      <c r="L59" s="853">
        <v>0</v>
      </c>
      <c r="M59" s="853">
        <v>0</v>
      </c>
      <c r="N59" s="854">
        <v>0</v>
      </c>
      <c r="O59" s="853">
        <v>0</v>
      </c>
      <c r="P59" s="855">
        <v>0</v>
      </c>
      <c r="Q59" s="853">
        <v>0</v>
      </c>
      <c r="R59" s="853">
        <v>0</v>
      </c>
      <c r="S59" s="853">
        <v>0</v>
      </c>
      <c r="T59" s="853">
        <v>0</v>
      </c>
      <c r="U59" s="853">
        <v>0</v>
      </c>
      <c r="V59" s="853">
        <v>0</v>
      </c>
      <c r="W59" s="853">
        <v>0</v>
      </c>
      <c r="X59" s="853">
        <v>0</v>
      </c>
      <c r="Y59" s="853">
        <v>0</v>
      </c>
      <c r="Z59" s="854">
        <v>0</v>
      </c>
      <c r="AA59" s="853">
        <v>0</v>
      </c>
      <c r="AB59" s="855">
        <v>0</v>
      </c>
      <c r="AC59" s="853">
        <v>0</v>
      </c>
      <c r="AD59" s="853">
        <v>0</v>
      </c>
      <c r="AE59" s="853">
        <v>0</v>
      </c>
      <c r="AF59" s="853">
        <v>0</v>
      </c>
      <c r="AG59" s="853">
        <v>0</v>
      </c>
      <c r="AH59" s="853">
        <v>0</v>
      </c>
      <c r="AI59" s="853">
        <v>0</v>
      </c>
      <c r="AJ59" s="853">
        <v>0</v>
      </c>
      <c r="AK59" s="853">
        <v>0</v>
      </c>
      <c r="AL59" s="854">
        <v>0</v>
      </c>
      <c r="AM59" s="853">
        <v>0</v>
      </c>
      <c r="AN59" s="855">
        <v>0</v>
      </c>
      <c r="AO59" s="939"/>
    </row>
    <row r="60" spans="1:41" ht="18.75" x14ac:dyDescent="0.3">
      <c r="A60" s="948" t="s">
        <v>219</v>
      </c>
      <c r="B60" s="949"/>
      <c r="C60" s="841" t="s">
        <v>168</v>
      </c>
      <c r="D60" s="857"/>
      <c r="E60" s="841">
        <f t="shared" ref="E60:AN60" si="32">SUM(E61:E62)</f>
        <v>0</v>
      </c>
      <c r="F60" s="841">
        <f t="shared" si="32"/>
        <v>0</v>
      </c>
      <c r="G60" s="841">
        <f t="shared" si="32"/>
        <v>0</v>
      </c>
      <c r="H60" s="841">
        <f t="shared" si="32"/>
        <v>0</v>
      </c>
      <c r="I60" s="841">
        <f t="shared" si="32"/>
        <v>0</v>
      </c>
      <c r="J60" s="841">
        <f t="shared" si="32"/>
        <v>0</v>
      </c>
      <c r="K60" s="841">
        <f t="shared" si="32"/>
        <v>0</v>
      </c>
      <c r="L60" s="841">
        <f t="shared" si="32"/>
        <v>0</v>
      </c>
      <c r="M60" s="841">
        <f t="shared" si="32"/>
        <v>0</v>
      </c>
      <c r="N60" s="887">
        <f t="shared" si="32"/>
        <v>0</v>
      </c>
      <c r="O60" s="841">
        <f t="shared" si="32"/>
        <v>0</v>
      </c>
      <c r="P60" s="848">
        <f t="shared" si="32"/>
        <v>0</v>
      </c>
      <c r="Q60" s="841">
        <f t="shared" si="32"/>
        <v>0</v>
      </c>
      <c r="R60" s="841">
        <f t="shared" si="32"/>
        <v>0</v>
      </c>
      <c r="S60" s="841">
        <f t="shared" si="32"/>
        <v>0</v>
      </c>
      <c r="T60" s="841">
        <f t="shared" si="32"/>
        <v>0</v>
      </c>
      <c r="U60" s="841">
        <f t="shared" si="32"/>
        <v>0</v>
      </c>
      <c r="V60" s="841">
        <f t="shared" si="32"/>
        <v>0</v>
      </c>
      <c r="W60" s="841">
        <f t="shared" si="32"/>
        <v>0</v>
      </c>
      <c r="X60" s="841">
        <f t="shared" si="32"/>
        <v>0</v>
      </c>
      <c r="Y60" s="841">
        <f t="shared" si="32"/>
        <v>0</v>
      </c>
      <c r="Z60" s="887">
        <f t="shared" si="32"/>
        <v>0</v>
      </c>
      <c r="AA60" s="841">
        <f t="shared" si="32"/>
        <v>0</v>
      </c>
      <c r="AB60" s="848">
        <f t="shared" si="32"/>
        <v>0</v>
      </c>
      <c r="AC60" s="841">
        <f t="shared" si="32"/>
        <v>0</v>
      </c>
      <c r="AD60" s="841">
        <f t="shared" si="32"/>
        <v>0</v>
      </c>
      <c r="AE60" s="841">
        <f t="shared" si="32"/>
        <v>0</v>
      </c>
      <c r="AF60" s="841">
        <f t="shared" si="32"/>
        <v>0</v>
      </c>
      <c r="AG60" s="841">
        <f t="shared" si="32"/>
        <v>0</v>
      </c>
      <c r="AH60" s="841">
        <f t="shared" si="32"/>
        <v>0</v>
      </c>
      <c r="AI60" s="841">
        <f t="shared" si="32"/>
        <v>0</v>
      </c>
      <c r="AJ60" s="841">
        <f t="shared" si="32"/>
        <v>0</v>
      </c>
      <c r="AK60" s="841">
        <f t="shared" si="32"/>
        <v>0</v>
      </c>
      <c r="AL60" s="887">
        <f t="shared" si="32"/>
        <v>0</v>
      </c>
      <c r="AM60" s="841">
        <f t="shared" si="32"/>
        <v>0</v>
      </c>
      <c r="AN60" s="848">
        <f t="shared" si="32"/>
        <v>0</v>
      </c>
      <c r="AO60" s="862"/>
    </row>
    <row r="61" spans="1:41" ht="12.75" x14ac:dyDescent="0.2">
      <c r="A61" s="876"/>
      <c r="B61" s="864" t="s">
        <v>123</v>
      </c>
      <c r="C61" s="950"/>
      <c r="D61" s="857"/>
      <c r="E61" s="841">
        <v>0</v>
      </c>
      <c r="F61" s="841">
        <v>0</v>
      </c>
      <c r="G61" s="841">
        <v>0</v>
      </c>
      <c r="H61" s="841">
        <v>0</v>
      </c>
      <c r="I61" s="841">
        <v>0</v>
      </c>
      <c r="J61" s="841">
        <v>0</v>
      </c>
      <c r="K61" s="841">
        <v>0</v>
      </c>
      <c r="L61" s="841">
        <v>0</v>
      </c>
      <c r="M61" s="841">
        <v>0</v>
      </c>
      <c r="N61" s="841">
        <v>0</v>
      </c>
      <c r="O61" s="841">
        <v>0</v>
      </c>
      <c r="P61" s="848">
        <v>0</v>
      </c>
      <c r="Q61" s="841">
        <v>0</v>
      </c>
      <c r="R61" s="841">
        <v>0</v>
      </c>
      <c r="S61" s="841">
        <v>0</v>
      </c>
      <c r="T61" s="841">
        <v>0</v>
      </c>
      <c r="U61" s="841">
        <v>0</v>
      </c>
      <c r="V61" s="841">
        <v>0</v>
      </c>
      <c r="W61" s="841">
        <v>0</v>
      </c>
      <c r="X61" s="841">
        <v>0</v>
      </c>
      <c r="Y61" s="841">
        <v>0</v>
      </c>
      <c r="Z61" s="887">
        <v>0</v>
      </c>
      <c r="AA61" s="841">
        <v>0</v>
      </c>
      <c r="AB61" s="848">
        <v>0</v>
      </c>
      <c r="AC61" s="841">
        <v>0</v>
      </c>
      <c r="AD61" s="841">
        <v>0</v>
      </c>
      <c r="AE61" s="841">
        <v>0</v>
      </c>
      <c r="AF61" s="841">
        <v>0</v>
      </c>
      <c r="AG61" s="841">
        <v>0</v>
      </c>
      <c r="AH61" s="841">
        <v>0</v>
      </c>
      <c r="AI61" s="841">
        <v>0</v>
      </c>
      <c r="AJ61" s="841">
        <v>0</v>
      </c>
      <c r="AK61" s="841">
        <v>0</v>
      </c>
      <c r="AL61" s="887">
        <v>0</v>
      </c>
      <c r="AM61" s="841">
        <v>0</v>
      </c>
      <c r="AN61" s="848">
        <v>0</v>
      </c>
      <c r="AO61" s="862"/>
    </row>
    <row r="62" spans="1:41" ht="12.75" x14ac:dyDescent="0.2">
      <c r="A62" s="865"/>
      <c r="B62" s="866" t="s">
        <v>124</v>
      </c>
      <c r="C62" s="951">
        <v>0</v>
      </c>
      <c r="D62" s="868"/>
      <c r="E62" s="853">
        <v>0</v>
      </c>
      <c r="F62" s="853">
        <v>0</v>
      </c>
      <c r="G62" s="853">
        <v>0</v>
      </c>
      <c r="H62" s="853">
        <v>0</v>
      </c>
      <c r="I62" s="853">
        <v>0</v>
      </c>
      <c r="J62" s="853">
        <v>0</v>
      </c>
      <c r="K62" s="853">
        <v>0</v>
      </c>
      <c r="L62" s="853">
        <v>0</v>
      </c>
      <c r="M62" s="853">
        <v>0</v>
      </c>
      <c r="N62" s="892">
        <v>0</v>
      </c>
      <c r="O62" s="853">
        <v>0</v>
      </c>
      <c r="P62" s="855">
        <v>0</v>
      </c>
      <c r="Q62" s="853">
        <v>0</v>
      </c>
      <c r="R62" s="853">
        <v>0</v>
      </c>
      <c r="S62" s="853">
        <v>0</v>
      </c>
      <c r="T62" s="853">
        <v>0</v>
      </c>
      <c r="U62" s="853">
        <v>0</v>
      </c>
      <c r="V62" s="853">
        <v>0</v>
      </c>
      <c r="W62" s="853">
        <v>0</v>
      </c>
      <c r="X62" s="853">
        <v>0</v>
      </c>
      <c r="Y62" s="853">
        <v>0</v>
      </c>
      <c r="Z62" s="892">
        <v>0</v>
      </c>
      <c r="AA62" s="853">
        <v>0</v>
      </c>
      <c r="AB62" s="855">
        <v>0</v>
      </c>
      <c r="AC62" s="853">
        <v>0</v>
      </c>
      <c r="AD62" s="853">
        <v>0</v>
      </c>
      <c r="AE62" s="853">
        <v>0</v>
      </c>
      <c r="AF62" s="853">
        <v>0</v>
      </c>
      <c r="AG62" s="853">
        <v>0</v>
      </c>
      <c r="AH62" s="853">
        <v>0</v>
      </c>
      <c r="AI62" s="853">
        <v>0</v>
      </c>
      <c r="AJ62" s="853">
        <v>0</v>
      </c>
      <c r="AK62" s="853">
        <v>0</v>
      </c>
      <c r="AL62" s="892">
        <v>0</v>
      </c>
      <c r="AM62" s="853">
        <v>0</v>
      </c>
      <c r="AN62" s="855">
        <v>0</v>
      </c>
      <c r="AO62" s="862"/>
    </row>
    <row r="63" spans="1:41" ht="18.75" x14ac:dyDescent="0.3">
      <c r="A63" s="952" t="s">
        <v>220</v>
      </c>
      <c r="B63" s="953"/>
      <c r="C63" s="841">
        <f t="shared" ref="C63:C65" si="33">C90</f>
        <v>0</v>
      </c>
      <c r="D63" s="842"/>
      <c r="E63" s="841">
        <f t="shared" ref="E63:AN63" si="34">E90</f>
        <v>0</v>
      </c>
      <c r="F63" s="879">
        <f t="shared" si="34"/>
        <v>0</v>
      </c>
      <c r="G63" s="879">
        <f t="shared" si="34"/>
        <v>0</v>
      </c>
      <c r="H63" s="879">
        <f t="shared" si="34"/>
        <v>0</v>
      </c>
      <c r="I63" s="879">
        <f t="shared" si="34"/>
        <v>0</v>
      </c>
      <c r="J63" s="879">
        <f t="shared" si="34"/>
        <v>0</v>
      </c>
      <c r="K63" s="879">
        <f t="shared" si="34"/>
        <v>0</v>
      </c>
      <c r="L63" s="879">
        <f t="shared" si="34"/>
        <v>0</v>
      </c>
      <c r="M63" s="879">
        <f t="shared" si="34"/>
        <v>0</v>
      </c>
      <c r="N63" s="879">
        <f t="shared" si="34"/>
        <v>0</v>
      </c>
      <c r="O63" s="879">
        <f t="shared" si="34"/>
        <v>0</v>
      </c>
      <c r="P63" s="883">
        <f t="shared" si="34"/>
        <v>0</v>
      </c>
      <c r="Q63" s="879">
        <f t="shared" si="34"/>
        <v>0</v>
      </c>
      <c r="R63" s="879">
        <f t="shared" si="34"/>
        <v>0</v>
      </c>
      <c r="S63" s="879">
        <f t="shared" si="34"/>
        <v>0</v>
      </c>
      <c r="T63" s="879">
        <f t="shared" si="34"/>
        <v>0</v>
      </c>
      <c r="U63" s="879">
        <f t="shared" si="34"/>
        <v>0</v>
      </c>
      <c r="V63" s="879">
        <f t="shared" si="34"/>
        <v>0</v>
      </c>
      <c r="W63" s="879">
        <f t="shared" si="34"/>
        <v>0</v>
      </c>
      <c r="X63" s="879">
        <f t="shared" si="34"/>
        <v>0</v>
      </c>
      <c r="Y63" s="879">
        <f t="shared" si="34"/>
        <v>0</v>
      </c>
      <c r="Z63" s="879">
        <f t="shared" si="34"/>
        <v>0</v>
      </c>
      <c r="AA63" s="879">
        <f t="shared" si="34"/>
        <v>0</v>
      </c>
      <c r="AB63" s="883">
        <f t="shared" si="34"/>
        <v>0</v>
      </c>
      <c r="AC63" s="879">
        <f t="shared" si="34"/>
        <v>0</v>
      </c>
      <c r="AD63" s="879">
        <f t="shared" si="34"/>
        <v>0</v>
      </c>
      <c r="AE63" s="879">
        <f t="shared" si="34"/>
        <v>0</v>
      </c>
      <c r="AF63" s="879">
        <f t="shared" si="34"/>
        <v>0</v>
      </c>
      <c r="AG63" s="879">
        <f t="shared" si="34"/>
        <v>0</v>
      </c>
      <c r="AH63" s="879">
        <f t="shared" si="34"/>
        <v>0</v>
      </c>
      <c r="AI63" s="879">
        <f t="shared" si="34"/>
        <v>0</v>
      </c>
      <c r="AJ63" s="879">
        <f t="shared" si="34"/>
        <v>0</v>
      </c>
      <c r="AK63" s="879">
        <f t="shared" si="34"/>
        <v>0</v>
      </c>
      <c r="AL63" s="879">
        <f t="shared" si="34"/>
        <v>0</v>
      </c>
      <c r="AM63" s="879">
        <f t="shared" si="34"/>
        <v>0</v>
      </c>
      <c r="AN63" s="883">
        <f t="shared" si="34"/>
        <v>0</v>
      </c>
    </row>
    <row r="64" spans="1:41" ht="13.5" x14ac:dyDescent="0.2">
      <c r="A64" s="954"/>
      <c r="B64" s="902" t="s">
        <v>123</v>
      </c>
      <c r="C64" s="841">
        <f t="shared" si="33"/>
        <v>0</v>
      </c>
      <c r="D64" s="842"/>
      <c r="E64" s="841">
        <f t="shared" ref="E64:AN64" si="35">E91</f>
        <v>0</v>
      </c>
      <c r="F64" s="841">
        <f t="shared" si="35"/>
        <v>0</v>
      </c>
      <c r="G64" s="841">
        <f t="shared" si="35"/>
        <v>0</v>
      </c>
      <c r="H64" s="841">
        <f t="shared" si="35"/>
        <v>0</v>
      </c>
      <c r="I64" s="841">
        <f t="shared" si="35"/>
        <v>0</v>
      </c>
      <c r="J64" s="841">
        <f t="shared" si="35"/>
        <v>0</v>
      </c>
      <c r="K64" s="841">
        <f t="shared" si="35"/>
        <v>0</v>
      </c>
      <c r="L64" s="841">
        <f t="shared" si="35"/>
        <v>0</v>
      </c>
      <c r="M64" s="841">
        <f t="shared" si="35"/>
        <v>0</v>
      </c>
      <c r="N64" s="841">
        <f t="shared" si="35"/>
        <v>0</v>
      </c>
      <c r="O64" s="841">
        <f t="shared" si="35"/>
        <v>0</v>
      </c>
      <c r="P64" s="848">
        <f t="shared" si="35"/>
        <v>0</v>
      </c>
      <c r="Q64" s="841">
        <f t="shared" si="35"/>
        <v>0</v>
      </c>
      <c r="R64" s="841">
        <f t="shared" si="35"/>
        <v>0</v>
      </c>
      <c r="S64" s="841">
        <f t="shared" si="35"/>
        <v>0</v>
      </c>
      <c r="T64" s="841">
        <f t="shared" si="35"/>
        <v>0</v>
      </c>
      <c r="U64" s="841">
        <f t="shared" si="35"/>
        <v>0</v>
      </c>
      <c r="V64" s="841">
        <f t="shared" si="35"/>
        <v>0</v>
      </c>
      <c r="W64" s="841">
        <f t="shared" si="35"/>
        <v>0</v>
      </c>
      <c r="X64" s="841">
        <f t="shared" si="35"/>
        <v>0</v>
      </c>
      <c r="Y64" s="841">
        <f t="shared" si="35"/>
        <v>0</v>
      </c>
      <c r="Z64" s="847">
        <f t="shared" si="35"/>
        <v>0</v>
      </c>
      <c r="AA64" s="841">
        <f t="shared" si="35"/>
        <v>0</v>
      </c>
      <c r="AB64" s="848">
        <f t="shared" si="35"/>
        <v>0</v>
      </c>
      <c r="AC64" s="841">
        <f t="shared" si="35"/>
        <v>0</v>
      </c>
      <c r="AD64" s="841">
        <f t="shared" si="35"/>
        <v>0</v>
      </c>
      <c r="AE64" s="841">
        <f t="shared" si="35"/>
        <v>0</v>
      </c>
      <c r="AF64" s="841">
        <f t="shared" si="35"/>
        <v>0</v>
      </c>
      <c r="AG64" s="841">
        <f t="shared" si="35"/>
        <v>0</v>
      </c>
      <c r="AH64" s="841">
        <f t="shared" si="35"/>
        <v>0</v>
      </c>
      <c r="AI64" s="841">
        <f t="shared" si="35"/>
        <v>0</v>
      </c>
      <c r="AJ64" s="841">
        <f t="shared" si="35"/>
        <v>0</v>
      </c>
      <c r="AK64" s="841">
        <f t="shared" si="35"/>
        <v>0</v>
      </c>
      <c r="AL64" s="847">
        <f t="shared" si="35"/>
        <v>0</v>
      </c>
      <c r="AM64" s="841">
        <f t="shared" si="35"/>
        <v>0</v>
      </c>
      <c r="AN64" s="848">
        <f t="shared" si="35"/>
        <v>0</v>
      </c>
    </row>
    <row r="65" spans="1:41" ht="13.5" x14ac:dyDescent="0.2">
      <c r="A65" s="955"/>
      <c r="B65" s="905" t="s">
        <v>124</v>
      </c>
      <c r="C65" s="853">
        <f t="shared" si="33"/>
        <v>0</v>
      </c>
      <c r="D65" s="852"/>
      <c r="E65" s="853">
        <f t="shared" ref="E65:AN65" si="36">E92</f>
        <v>0</v>
      </c>
      <c r="F65" s="853">
        <f t="shared" si="36"/>
        <v>0</v>
      </c>
      <c r="G65" s="853">
        <f t="shared" si="36"/>
        <v>0</v>
      </c>
      <c r="H65" s="853">
        <f t="shared" si="36"/>
        <v>0</v>
      </c>
      <c r="I65" s="853">
        <f t="shared" si="36"/>
        <v>0</v>
      </c>
      <c r="J65" s="853">
        <f t="shared" si="36"/>
        <v>0</v>
      </c>
      <c r="K65" s="853">
        <f t="shared" si="36"/>
        <v>0</v>
      </c>
      <c r="L65" s="853">
        <f t="shared" si="36"/>
        <v>0</v>
      </c>
      <c r="M65" s="853">
        <f t="shared" si="36"/>
        <v>0</v>
      </c>
      <c r="N65" s="853">
        <f t="shared" si="36"/>
        <v>0</v>
      </c>
      <c r="O65" s="853">
        <f t="shared" si="36"/>
        <v>0</v>
      </c>
      <c r="P65" s="855">
        <f t="shared" si="36"/>
        <v>0</v>
      </c>
      <c r="Q65" s="853">
        <f t="shared" si="36"/>
        <v>0</v>
      </c>
      <c r="R65" s="853">
        <f t="shared" si="36"/>
        <v>0</v>
      </c>
      <c r="S65" s="853">
        <f t="shared" si="36"/>
        <v>0</v>
      </c>
      <c r="T65" s="853">
        <f t="shared" si="36"/>
        <v>0</v>
      </c>
      <c r="U65" s="853">
        <f t="shared" si="36"/>
        <v>0</v>
      </c>
      <c r="V65" s="853">
        <f t="shared" si="36"/>
        <v>0</v>
      </c>
      <c r="W65" s="853">
        <f t="shared" si="36"/>
        <v>0</v>
      </c>
      <c r="X65" s="853">
        <f t="shared" si="36"/>
        <v>0</v>
      </c>
      <c r="Y65" s="853">
        <f t="shared" si="36"/>
        <v>0</v>
      </c>
      <c r="Z65" s="854">
        <f t="shared" si="36"/>
        <v>0</v>
      </c>
      <c r="AA65" s="853">
        <f t="shared" si="36"/>
        <v>0</v>
      </c>
      <c r="AB65" s="855">
        <f t="shared" si="36"/>
        <v>0</v>
      </c>
      <c r="AC65" s="853">
        <f t="shared" si="36"/>
        <v>0</v>
      </c>
      <c r="AD65" s="853">
        <f t="shared" si="36"/>
        <v>0</v>
      </c>
      <c r="AE65" s="853">
        <f t="shared" si="36"/>
        <v>0</v>
      </c>
      <c r="AF65" s="853">
        <f t="shared" si="36"/>
        <v>0</v>
      </c>
      <c r="AG65" s="853">
        <f t="shared" si="36"/>
        <v>0</v>
      </c>
      <c r="AH65" s="853">
        <f t="shared" si="36"/>
        <v>0</v>
      </c>
      <c r="AI65" s="853">
        <f t="shared" si="36"/>
        <v>0</v>
      </c>
      <c r="AJ65" s="853">
        <f t="shared" si="36"/>
        <v>0</v>
      </c>
      <c r="AK65" s="853">
        <f t="shared" si="36"/>
        <v>0</v>
      </c>
      <c r="AL65" s="854">
        <f t="shared" si="36"/>
        <v>0</v>
      </c>
      <c r="AM65" s="853">
        <f t="shared" si="36"/>
        <v>0</v>
      </c>
      <c r="AN65" s="855">
        <f t="shared" si="36"/>
        <v>0</v>
      </c>
    </row>
    <row r="66" spans="1:41" ht="18.75" x14ac:dyDescent="0.3">
      <c r="A66" s="948" t="s">
        <v>140</v>
      </c>
      <c r="B66" s="949"/>
      <c r="C66" s="887"/>
      <c r="D66" s="956"/>
      <c r="E66" s="887">
        <f t="shared" ref="E66:AN66" si="37">SUM(E67:E68)</f>
        <v>0</v>
      </c>
      <c r="F66" s="887">
        <f t="shared" si="37"/>
        <v>0</v>
      </c>
      <c r="G66" s="887">
        <f t="shared" si="37"/>
        <v>0</v>
      </c>
      <c r="H66" s="887">
        <f t="shared" si="37"/>
        <v>0</v>
      </c>
      <c r="I66" s="887">
        <f t="shared" si="37"/>
        <v>0</v>
      </c>
      <c r="J66" s="887">
        <f t="shared" si="37"/>
        <v>0</v>
      </c>
      <c r="K66" s="887">
        <f t="shared" si="37"/>
        <v>0</v>
      </c>
      <c r="L66" s="887">
        <f t="shared" si="37"/>
        <v>0</v>
      </c>
      <c r="M66" s="887">
        <f t="shared" si="37"/>
        <v>0</v>
      </c>
      <c r="N66" s="887">
        <f t="shared" si="37"/>
        <v>0</v>
      </c>
      <c r="O66" s="887">
        <f t="shared" si="37"/>
        <v>0</v>
      </c>
      <c r="P66" s="843">
        <f t="shared" si="37"/>
        <v>0</v>
      </c>
      <c r="Q66" s="887">
        <f t="shared" si="37"/>
        <v>0</v>
      </c>
      <c r="R66" s="887">
        <f t="shared" si="37"/>
        <v>0</v>
      </c>
      <c r="S66" s="887">
        <f t="shared" si="37"/>
        <v>0</v>
      </c>
      <c r="T66" s="887">
        <f t="shared" si="37"/>
        <v>0</v>
      </c>
      <c r="U66" s="887">
        <f t="shared" si="37"/>
        <v>0</v>
      </c>
      <c r="V66" s="887">
        <f t="shared" si="37"/>
        <v>0</v>
      </c>
      <c r="W66" s="887">
        <f t="shared" si="37"/>
        <v>0</v>
      </c>
      <c r="X66" s="887">
        <f t="shared" si="37"/>
        <v>0</v>
      </c>
      <c r="Y66" s="887">
        <f t="shared" si="37"/>
        <v>0</v>
      </c>
      <c r="Z66" s="887">
        <f t="shared" si="37"/>
        <v>0</v>
      </c>
      <c r="AA66" s="887">
        <f t="shared" si="37"/>
        <v>0</v>
      </c>
      <c r="AB66" s="843">
        <f t="shared" si="37"/>
        <v>0</v>
      </c>
      <c r="AC66" s="887">
        <f t="shared" si="37"/>
        <v>0</v>
      </c>
      <c r="AD66" s="887">
        <f t="shared" si="37"/>
        <v>0</v>
      </c>
      <c r="AE66" s="887">
        <f t="shared" si="37"/>
        <v>0</v>
      </c>
      <c r="AF66" s="887">
        <f t="shared" si="37"/>
        <v>0</v>
      </c>
      <c r="AG66" s="887">
        <f t="shared" si="37"/>
        <v>0</v>
      </c>
      <c r="AH66" s="887">
        <f t="shared" si="37"/>
        <v>0</v>
      </c>
      <c r="AI66" s="887">
        <f t="shared" si="37"/>
        <v>0</v>
      </c>
      <c r="AJ66" s="887">
        <f t="shared" si="37"/>
        <v>0</v>
      </c>
      <c r="AK66" s="887">
        <f t="shared" si="37"/>
        <v>0</v>
      </c>
      <c r="AL66" s="887">
        <f t="shared" si="37"/>
        <v>0</v>
      </c>
      <c r="AM66" s="887">
        <f t="shared" si="37"/>
        <v>0</v>
      </c>
      <c r="AN66" s="843">
        <f t="shared" si="37"/>
        <v>0</v>
      </c>
    </row>
    <row r="67" spans="1:41" ht="12.75" x14ac:dyDescent="0.2">
      <c r="A67" s="863"/>
      <c r="B67" s="902" t="s">
        <v>123</v>
      </c>
      <c r="C67" s="841"/>
      <c r="D67" s="842"/>
      <c r="E67" s="841">
        <f t="shared" ref="E67:AN67" si="38">E52+E55+E64</f>
        <v>0</v>
      </c>
      <c r="F67" s="841">
        <f t="shared" si="38"/>
        <v>0</v>
      </c>
      <c r="G67" s="841">
        <f t="shared" si="38"/>
        <v>0</v>
      </c>
      <c r="H67" s="841">
        <f t="shared" si="38"/>
        <v>0</v>
      </c>
      <c r="I67" s="841">
        <f t="shared" si="38"/>
        <v>0</v>
      </c>
      <c r="J67" s="887">
        <f t="shared" si="38"/>
        <v>0</v>
      </c>
      <c r="K67" s="887">
        <f t="shared" si="38"/>
        <v>0</v>
      </c>
      <c r="L67" s="887">
        <f t="shared" si="38"/>
        <v>0</v>
      </c>
      <c r="M67" s="887">
        <f t="shared" si="38"/>
        <v>0</v>
      </c>
      <c r="N67" s="887">
        <f t="shared" si="38"/>
        <v>0</v>
      </c>
      <c r="O67" s="887">
        <f t="shared" si="38"/>
        <v>0</v>
      </c>
      <c r="P67" s="843">
        <f t="shared" si="38"/>
        <v>0</v>
      </c>
      <c r="Q67" s="887">
        <f t="shared" si="38"/>
        <v>0</v>
      </c>
      <c r="R67" s="887">
        <f t="shared" si="38"/>
        <v>0</v>
      </c>
      <c r="S67" s="887">
        <f t="shared" si="38"/>
        <v>0</v>
      </c>
      <c r="T67" s="887">
        <f t="shared" si="38"/>
        <v>0</v>
      </c>
      <c r="U67" s="887">
        <f t="shared" si="38"/>
        <v>0</v>
      </c>
      <c r="V67" s="887">
        <f t="shared" si="38"/>
        <v>0</v>
      </c>
      <c r="W67" s="887">
        <f t="shared" si="38"/>
        <v>0</v>
      </c>
      <c r="X67" s="887">
        <f t="shared" si="38"/>
        <v>0</v>
      </c>
      <c r="Y67" s="887">
        <f t="shared" si="38"/>
        <v>0</v>
      </c>
      <c r="Z67" s="887">
        <f t="shared" si="38"/>
        <v>0</v>
      </c>
      <c r="AA67" s="887">
        <f t="shared" si="38"/>
        <v>0</v>
      </c>
      <c r="AB67" s="843">
        <f t="shared" si="38"/>
        <v>0</v>
      </c>
      <c r="AC67" s="887">
        <f t="shared" si="38"/>
        <v>0</v>
      </c>
      <c r="AD67" s="887">
        <f t="shared" si="38"/>
        <v>0</v>
      </c>
      <c r="AE67" s="887">
        <f t="shared" si="38"/>
        <v>0</v>
      </c>
      <c r="AF67" s="887">
        <f t="shared" si="38"/>
        <v>0</v>
      </c>
      <c r="AG67" s="887">
        <f t="shared" si="38"/>
        <v>0</v>
      </c>
      <c r="AH67" s="887">
        <f t="shared" si="38"/>
        <v>0</v>
      </c>
      <c r="AI67" s="887">
        <f t="shared" si="38"/>
        <v>0</v>
      </c>
      <c r="AJ67" s="887">
        <f t="shared" si="38"/>
        <v>0</v>
      </c>
      <c r="AK67" s="887">
        <f t="shared" si="38"/>
        <v>0</v>
      </c>
      <c r="AL67" s="887">
        <f t="shared" si="38"/>
        <v>0</v>
      </c>
      <c r="AM67" s="887">
        <f t="shared" si="38"/>
        <v>0</v>
      </c>
      <c r="AN67" s="843">
        <f t="shared" si="38"/>
        <v>0</v>
      </c>
    </row>
    <row r="68" spans="1:41" ht="12.75" x14ac:dyDescent="0.2">
      <c r="A68" s="957"/>
      <c r="B68" s="931" t="s">
        <v>124</v>
      </c>
      <c r="C68" s="958"/>
      <c r="D68" s="959"/>
      <c r="E68" s="958">
        <f t="shared" ref="E68:AN68" si="39">E53+E56+E65</f>
        <v>0</v>
      </c>
      <c r="F68" s="958">
        <f t="shared" si="39"/>
        <v>0</v>
      </c>
      <c r="G68" s="958">
        <f t="shared" si="39"/>
        <v>0</v>
      </c>
      <c r="H68" s="958">
        <f t="shared" si="39"/>
        <v>0</v>
      </c>
      <c r="I68" s="958">
        <f t="shared" si="39"/>
        <v>0</v>
      </c>
      <c r="J68" s="960">
        <f t="shared" si="39"/>
        <v>0</v>
      </c>
      <c r="K68" s="960">
        <f t="shared" si="39"/>
        <v>0</v>
      </c>
      <c r="L68" s="960">
        <f t="shared" si="39"/>
        <v>0</v>
      </c>
      <c r="M68" s="960">
        <f t="shared" si="39"/>
        <v>0</v>
      </c>
      <c r="N68" s="960">
        <f t="shared" si="39"/>
        <v>0</v>
      </c>
      <c r="O68" s="960">
        <f t="shared" si="39"/>
        <v>0</v>
      </c>
      <c r="P68" s="961">
        <f t="shared" si="39"/>
        <v>0</v>
      </c>
      <c r="Q68" s="960">
        <f t="shared" si="39"/>
        <v>0</v>
      </c>
      <c r="R68" s="960">
        <f t="shared" si="39"/>
        <v>0</v>
      </c>
      <c r="S68" s="960">
        <f t="shared" si="39"/>
        <v>0</v>
      </c>
      <c r="T68" s="960">
        <f t="shared" si="39"/>
        <v>0</v>
      </c>
      <c r="U68" s="960">
        <f t="shared" si="39"/>
        <v>0</v>
      </c>
      <c r="V68" s="960">
        <f t="shared" si="39"/>
        <v>0</v>
      </c>
      <c r="W68" s="960">
        <f t="shared" si="39"/>
        <v>0</v>
      </c>
      <c r="X68" s="960">
        <f t="shared" si="39"/>
        <v>0</v>
      </c>
      <c r="Y68" s="960">
        <f t="shared" si="39"/>
        <v>0</v>
      </c>
      <c r="Z68" s="960">
        <f t="shared" si="39"/>
        <v>0</v>
      </c>
      <c r="AA68" s="960">
        <f t="shared" si="39"/>
        <v>0</v>
      </c>
      <c r="AB68" s="961">
        <f t="shared" si="39"/>
        <v>0</v>
      </c>
      <c r="AC68" s="960">
        <f t="shared" si="39"/>
        <v>0</v>
      </c>
      <c r="AD68" s="960">
        <f t="shared" si="39"/>
        <v>0</v>
      </c>
      <c r="AE68" s="960">
        <f t="shared" si="39"/>
        <v>0</v>
      </c>
      <c r="AF68" s="960">
        <f t="shared" si="39"/>
        <v>0</v>
      </c>
      <c r="AG68" s="960">
        <f t="shared" si="39"/>
        <v>0</v>
      </c>
      <c r="AH68" s="960">
        <f t="shared" si="39"/>
        <v>0</v>
      </c>
      <c r="AI68" s="960">
        <f t="shared" si="39"/>
        <v>0</v>
      </c>
      <c r="AJ68" s="960">
        <f t="shared" si="39"/>
        <v>0</v>
      </c>
      <c r="AK68" s="960">
        <f t="shared" si="39"/>
        <v>0</v>
      </c>
      <c r="AL68" s="960">
        <f t="shared" si="39"/>
        <v>0</v>
      </c>
      <c r="AM68" s="960">
        <f t="shared" si="39"/>
        <v>0</v>
      </c>
      <c r="AN68" s="961">
        <f t="shared" si="39"/>
        <v>0</v>
      </c>
    </row>
    <row r="69" spans="1:41" ht="12.75" x14ac:dyDescent="0.2">
      <c r="A69" s="829"/>
      <c r="B69" s="829"/>
      <c r="C69" s="829"/>
      <c r="D69" s="829"/>
      <c r="E69" s="829"/>
      <c r="F69" s="829"/>
      <c r="G69" s="829"/>
      <c r="H69" s="829"/>
      <c r="I69" s="829"/>
      <c r="J69" s="829"/>
      <c r="K69" s="829"/>
      <c r="L69" s="829"/>
      <c r="M69" s="829"/>
      <c r="N69" s="829"/>
      <c r="O69" s="829"/>
      <c r="P69" s="829"/>
      <c r="Q69" s="829"/>
      <c r="R69" s="829"/>
      <c r="S69" s="829"/>
      <c r="T69" s="829"/>
      <c r="U69" s="829"/>
      <c r="V69" s="829"/>
      <c r="W69" s="829"/>
      <c r="X69" s="829"/>
      <c r="Y69" s="829"/>
      <c r="Z69" s="829"/>
      <c r="AA69" s="829"/>
      <c r="AB69" s="829"/>
      <c r="AC69" s="829"/>
      <c r="AD69" s="829"/>
      <c r="AE69" s="829"/>
      <c r="AF69" s="829"/>
      <c r="AG69" s="829"/>
      <c r="AH69" s="829"/>
      <c r="AI69" s="829"/>
      <c r="AJ69" s="829"/>
      <c r="AK69" s="829"/>
      <c r="AL69" s="829"/>
      <c r="AM69" s="829"/>
      <c r="AN69" s="829"/>
    </row>
    <row r="70" spans="1:41" ht="12.75" x14ac:dyDescent="0.2">
      <c r="A70" s="829"/>
      <c r="B70" s="829"/>
      <c r="C70" s="962"/>
      <c r="D70" s="962"/>
      <c r="E70" s="962"/>
      <c r="F70" s="962"/>
      <c r="G70" s="962"/>
      <c r="H70" s="962"/>
      <c r="I70" s="962"/>
      <c r="J70" s="962"/>
      <c r="K70" s="962"/>
      <c r="L70" s="962"/>
      <c r="M70" s="962"/>
      <c r="N70" s="962"/>
      <c r="O70" s="962"/>
      <c r="P70" s="962"/>
      <c r="Q70" s="829"/>
      <c r="R70" s="829"/>
      <c r="S70" s="829"/>
      <c r="T70" s="829"/>
      <c r="U70" s="829"/>
      <c r="V70" s="829"/>
      <c r="W70" s="829"/>
      <c r="X70" s="829"/>
      <c r="Y70" s="829"/>
      <c r="Z70" s="829"/>
      <c r="AA70" s="829"/>
      <c r="AB70" s="829"/>
      <c r="AC70" s="829"/>
      <c r="AD70" s="829"/>
      <c r="AE70" s="829"/>
      <c r="AF70" s="829"/>
      <c r="AG70" s="829"/>
      <c r="AH70" s="829"/>
      <c r="AI70" s="829"/>
      <c r="AJ70" s="829"/>
      <c r="AK70" s="829"/>
      <c r="AL70" s="829"/>
      <c r="AM70" s="829"/>
      <c r="AN70" s="829"/>
    </row>
    <row r="71" spans="1:41" ht="18.75" x14ac:dyDescent="0.3">
      <c r="A71" s="831" t="s">
        <v>281</v>
      </c>
      <c r="B71" s="833"/>
      <c r="C71" s="833"/>
      <c r="D71" s="833"/>
      <c r="E71" s="833"/>
      <c r="F71" s="833"/>
      <c r="G71" s="829"/>
      <c r="H71" s="829"/>
      <c r="I71" s="829"/>
      <c r="J71" s="829"/>
      <c r="K71" s="829"/>
      <c r="L71" s="829"/>
      <c r="M71" s="829"/>
      <c r="N71" s="829"/>
      <c r="O71" s="829"/>
      <c r="P71" s="829"/>
      <c r="Q71" s="829"/>
      <c r="R71" s="829"/>
      <c r="S71" s="829"/>
      <c r="T71" s="829"/>
      <c r="U71" s="829"/>
      <c r="V71" s="829"/>
      <c r="W71" s="829"/>
      <c r="X71" s="829"/>
      <c r="Y71" s="829"/>
      <c r="Z71" s="829"/>
      <c r="AA71" s="829"/>
      <c r="AB71" s="829"/>
      <c r="AC71" s="829"/>
      <c r="AD71" s="829"/>
      <c r="AE71" s="829"/>
      <c r="AF71" s="829"/>
      <c r="AG71" s="829"/>
      <c r="AH71" s="829"/>
      <c r="AI71" s="829"/>
      <c r="AJ71" s="829"/>
      <c r="AK71" s="829"/>
      <c r="AL71" s="829"/>
      <c r="AM71" s="829"/>
      <c r="AN71" s="829"/>
    </row>
    <row r="72" spans="1:41" ht="18.75" x14ac:dyDescent="0.3">
      <c r="A72" s="831"/>
      <c r="B72" s="833"/>
      <c r="C72" s="833"/>
      <c r="D72" s="833"/>
      <c r="E72" s="1428">
        <v>2025</v>
      </c>
      <c r="F72" s="1343"/>
      <c r="G72" s="1343"/>
      <c r="H72" s="1343"/>
      <c r="I72" s="1343"/>
      <c r="J72" s="1343"/>
      <c r="K72" s="1343"/>
      <c r="L72" s="1343"/>
      <c r="M72" s="1343"/>
      <c r="N72" s="1343"/>
      <c r="O72" s="1343"/>
      <c r="P72" s="1343"/>
      <c r="Q72" s="1429">
        <v>2026</v>
      </c>
      <c r="R72" s="1343"/>
      <c r="S72" s="1343"/>
      <c r="T72" s="1343"/>
      <c r="U72" s="1343"/>
      <c r="V72" s="1343"/>
      <c r="W72" s="1343"/>
      <c r="X72" s="1343"/>
      <c r="Y72" s="1343"/>
      <c r="Z72" s="1343"/>
      <c r="AA72" s="1343"/>
      <c r="AB72" s="1343"/>
      <c r="AC72" s="1429">
        <v>2027</v>
      </c>
      <c r="AD72" s="1343"/>
      <c r="AE72" s="1343"/>
      <c r="AF72" s="1343"/>
      <c r="AG72" s="1343"/>
      <c r="AH72" s="1343"/>
      <c r="AI72" s="1343"/>
      <c r="AJ72" s="1343"/>
      <c r="AK72" s="1343"/>
      <c r="AL72" s="1343"/>
      <c r="AM72" s="1343"/>
      <c r="AN72" s="1343"/>
    </row>
    <row r="73" spans="1:41" ht="18.75" x14ac:dyDescent="0.3">
      <c r="A73" s="831"/>
      <c r="B73" s="833"/>
      <c r="C73" s="833"/>
      <c r="D73" s="833"/>
      <c r="E73" s="1428" t="s">
        <v>118</v>
      </c>
      <c r="F73" s="1343"/>
      <c r="G73" s="1343"/>
      <c r="H73" s="1429" t="s">
        <v>119</v>
      </c>
      <c r="I73" s="1343"/>
      <c r="J73" s="1343"/>
      <c r="K73" s="1429" t="s">
        <v>120</v>
      </c>
      <c r="L73" s="1343"/>
      <c r="M73" s="1343"/>
      <c r="N73" s="1429" t="s">
        <v>121</v>
      </c>
      <c r="O73" s="1343"/>
      <c r="P73" s="1343"/>
      <c r="Q73" s="1428" t="s">
        <v>118</v>
      </c>
      <c r="R73" s="1343"/>
      <c r="S73" s="1343"/>
      <c r="T73" s="1429" t="s">
        <v>119</v>
      </c>
      <c r="U73" s="1343"/>
      <c r="V73" s="1343"/>
      <c r="W73" s="1429" t="s">
        <v>120</v>
      </c>
      <c r="X73" s="1343"/>
      <c r="Y73" s="1343"/>
      <c r="Z73" s="1429" t="s">
        <v>121</v>
      </c>
      <c r="AA73" s="1343"/>
      <c r="AB73" s="1343"/>
      <c r="AC73" s="1428" t="s">
        <v>118</v>
      </c>
      <c r="AD73" s="1343"/>
      <c r="AE73" s="1343"/>
      <c r="AF73" s="1429" t="s">
        <v>119</v>
      </c>
      <c r="AG73" s="1343"/>
      <c r="AH73" s="1343"/>
      <c r="AI73" s="1429" t="s">
        <v>120</v>
      </c>
      <c r="AJ73" s="1343"/>
      <c r="AK73" s="1343"/>
      <c r="AL73" s="1429" t="s">
        <v>121</v>
      </c>
      <c r="AM73" s="1343"/>
      <c r="AN73" s="1343"/>
    </row>
    <row r="74" spans="1:41" ht="18.75" x14ac:dyDescent="0.3">
      <c r="A74" s="834"/>
      <c r="B74" s="835"/>
      <c r="C74" s="836"/>
      <c r="D74" s="837"/>
      <c r="E74" s="836">
        <v>1</v>
      </c>
      <c r="F74" s="836">
        <v>2</v>
      </c>
      <c r="G74" s="836">
        <v>3</v>
      </c>
      <c r="H74" s="836">
        <v>4</v>
      </c>
      <c r="I74" s="836">
        <v>5</v>
      </c>
      <c r="J74" s="836">
        <v>6</v>
      </c>
      <c r="K74" s="836">
        <v>7</v>
      </c>
      <c r="L74" s="836">
        <v>8</v>
      </c>
      <c r="M74" s="836">
        <v>9</v>
      </c>
      <c r="N74" s="836">
        <v>10</v>
      </c>
      <c r="O74" s="836">
        <v>11</v>
      </c>
      <c r="P74" s="838">
        <v>12</v>
      </c>
      <c r="Q74" s="836">
        <v>1</v>
      </c>
      <c r="R74" s="836">
        <v>2</v>
      </c>
      <c r="S74" s="836">
        <v>3</v>
      </c>
      <c r="T74" s="836">
        <v>4</v>
      </c>
      <c r="U74" s="836">
        <v>5</v>
      </c>
      <c r="V74" s="836">
        <v>6</v>
      </c>
      <c r="W74" s="836">
        <v>7</v>
      </c>
      <c r="X74" s="836">
        <v>8</v>
      </c>
      <c r="Y74" s="836">
        <v>9</v>
      </c>
      <c r="Z74" s="836">
        <v>10</v>
      </c>
      <c r="AA74" s="836">
        <v>11</v>
      </c>
      <c r="AB74" s="838">
        <v>12</v>
      </c>
      <c r="AC74" s="836">
        <v>1</v>
      </c>
      <c r="AD74" s="836">
        <v>2</v>
      </c>
      <c r="AE74" s="836">
        <v>3</v>
      </c>
      <c r="AF74" s="836">
        <v>4</v>
      </c>
      <c r="AG74" s="836">
        <v>5</v>
      </c>
      <c r="AH74" s="836">
        <v>6</v>
      </c>
      <c r="AI74" s="836">
        <v>7</v>
      </c>
      <c r="AJ74" s="836">
        <v>8</v>
      </c>
      <c r="AK74" s="836">
        <v>9</v>
      </c>
      <c r="AL74" s="836">
        <v>10</v>
      </c>
      <c r="AM74" s="836">
        <v>11</v>
      </c>
      <c r="AN74" s="838">
        <v>12</v>
      </c>
    </row>
    <row r="75" spans="1:41" ht="18.75" x14ac:dyDescent="0.3">
      <c r="A75" s="952" t="s">
        <v>26</v>
      </c>
      <c r="B75" s="953"/>
      <c r="C75" s="963" t="s">
        <v>223</v>
      </c>
      <c r="D75" s="880"/>
      <c r="E75" s="879">
        <f t="shared" ref="E75:AN75" si="40">SUM(E76:E77)</f>
        <v>0</v>
      </c>
      <c r="F75" s="879">
        <f t="shared" si="40"/>
        <v>0</v>
      </c>
      <c r="G75" s="879">
        <f t="shared" si="40"/>
        <v>0</v>
      </c>
      <c r="H75" s="879">
        <f t="shared" si="40"/>
        <v>0</v>
      </c>
      <c r="I75" s="879">
        <f t="shared" si="40"/>
        <v>0</v>
      </c>
      <c r="J75" s="879">
        <f t="shared" si="40"/>
        <v>0</v>
      </c>
      <c r="K75" s="879">
        <f t="shared" si="40"/>
        <v>0</v>
      </c>
      <c r="L75" s="879">
        <f t="shared" si="40"/>
        <v>0</v>
      </c>
      <c r="M75" s="879">
        <f t="shared" si="40"/>
        <v>0</v>
      </c>
      <c r="N75" s="879">
        <f t="shared" si="40"/>
        <v>0</v>
      </c>
      <c r="O75" s="879">
        <f t="shared" si="40"/>
        <v>0</v>
      </c>
      <c r="P75" s="883">
        <f t="shared" si="40"/>
        <v>0</v>
      </c>
      <c r="Q75" s="879">
        <f t="shared" si="40"/>
        <v>0</v>
      </c>
      <c r="R75" s="879">
        <f t="shared" si="40"/>
        <v>0</v>
      </c>
      <c r="S75" s="879">
        <f t="shared" si="40"/>
        <v>0</v>
      </c>
      <c r="T75" s="879">
        <f t="shared" si="40"/>
        <v>0</v>
      </c>
      <c r="U75" s="879">
        <f t="shared" si="40"/>
        <v>0</v>
      </c>
      <c r="V75" s="879">
        <f t="shared" si="40"/>
        <v>0</v>
      </c>
      <c r="W75" s="879">
        <f t="shared" si="40"/>
        <v>0</v>
      </c>
      <c r="X75" s="879">
        <f t="shared" si="40"/>
        <v>0</v>
      </c>
      <c r="Y75" s="879">
        <f t="shared" si="40"/>
        <v>0</v>
      </c>
      <c r="Z75" s="879">
        <f t="shared" si="40"/>
        <v>0</v>
      </c>
      <c r="AA75" s="879">
        <f t="shared" si="40"/>
        <v>0</v>
      </c>
      <c r="AB75" s="883">
        <f t="shared" si="40"/>
        <v>0</v>
      </c>
      <c r="AC75" s="879">
        <f t="shared" si="40"/>
        <v>0</v>
      </c>
      <c r="AD75" s="879">
        <f t="shared" si="40"/>
        <v>0</v>
      </c>
      <c r="AE75" s="879">
        <f t="shared" si="40"/>
        <v>0</v>
      </c>
      <c r="AF75" s="879">
        <f t="shared" si="40"/>
        <v>0</v>
      </c>
      <c r="AG75" s="879">
        <f t="shared" si="40"/>
        <v>0</v>
      </c>
      <c r="AH75" s="879">
        <f t="shared" si="40"/>
        <v>0</v>
      </c>
      <c r="AI75" s="879">
        <f t="shared" si="40"/>
        <v>0</v>
      </c>
      <c r="AJ75" s="879">
        <f t="shared" si="40"/>
        <v>0</v>
      </c>
      <c r="AK75" s="879">
        <f t="shared" si="40"/>
        <v>0</v>
      </c>
      <c r="AL75" s="879">
        <f t="shared" si="40"/>
        <v>0</v>
      </c>
      <c r="AM75" s="879">
        <f t="shared" si="40"/>
        <v>0</v>
      </c>
      <c r="AN75" s="883">
        <f t="shared" si="40"/>
        <v>0</v>
      </c>
    </row>
    <row r="76" spans="1:41" ht="12.75" x14ac:dyDescent="0.2">
      <c r="A76" s="863"/>
      <c r="B76" s="902" t="s">
        <v>123</v>
      </c>
      <c r="C76" s="846"/>
      <c r="D76" s="885">
        <f t="shared" ref="D76:D77" si="41">C76</f>
        <v>0</v>
      </c>
      <c r="E76" s="903">
        <v>0</v>
      </c>
      <c r="F76" s="841">
        <v>0</v>
      </c>
      <c r="G76" s="841">
        <v>0</v>
      </c>
      <c r="H76" s="841">
        <v>0</v>
      </c>
      <c r="I76" s="841">
        <v>0</v>
      </c>
      <c r="J76" s="841">
        <v>0</v>
      </c>
      <c r="K76" s="841">
        <v>0</v>
      </c>
      <c r="L76" s="841">
        <v>0</v>
      </c>
      <c r="M76" s="841">
        <v>0</v>
      </c>
      <c r="N76" s="841">
        <v>0</v>
      </c>
      <c r="O76" s="841">
        <v>0</v>
      </c>
      <c r="P76" s="848">
        <v>0</v>
      </c>
      <c r="Q76" s="841">
        <v>0</v>
      </c>
      <c r="R76" s="841">
        <v>0</v>
      </c>
      <c r="S76" s="841">
        <v>0</v>
      </c>
      <c r="T76" s="841">
        <v>0</v>
      </c>
      <c r="U76" s="841">
        <v>0</v>
      </c>
      <c r="V76" s="841">
        <v>0</v>
      </c>
      <c r="W76" s="841">
        <v>0</v>
      </c>
      <c r="X76" s="841">
        <v>0</v>
      </c>
      <c r="Y76" s="841">
        <v>0</v>
      </c>
      <c r="Z76" s="928">
        <v>0</v>
      </c>
      <c r="AA76" s="841">
        <v>0</v>
      </c>
      <c r="AB76" s="848">
        <v>0</v>
      </c>
      <c r="AC76" s="841">
        <v>0</v>
      </c>
      <c r="AD76" s="841">
        <v>0</v>
      </c>
      <c r="AE76" s="841">
        <v>0</v>
      </c>
      <c r="AF76" s="841">
        <v>0</v>
      </c>
      <c r="AG76" s="841">
        <v>0</v>
      </c>
      <c r="AH76" s="841">
        <v>0</v>
      </c>
      <c r="AI76" s="841">
        <v>0</v>
      </c>
      <c r="AJ76" s="841">
        <v>0</v>
      </c>
      <c r="AK76" s="841">
        <v>0</v>
      </c>
      <c r="AL76" s="928">
        <v>0</v>
      </c>
      <c r="AM76" s="841">
        <v>0</v>
      </c>
      <c r="AN76" s="848">
        <v>0</v>
      </c>
    </row>
    <row r="77" spans="1:41" ht="12.75" x14ac:dyDescent="0.2">
      <c r="A77" s="964"/>
      <c r="B77" s="905" t="s">
        <v>124</v>
      </c>
      <c r="C77" s="851"/>
      <c r="D77" s="852">
        <f t="shared" si="41"/>
        <v>0</v>
      </c>
      <c r="E77" s="853">
        <v>0</v>
      </c>
      <c r="F77" s="853">
        <v>0</v>
      </c>
      <c r="G77" s="853">
        <v>0</v>
      </c>
      <c r="H77" s="853">
        <v>0</v>
      </c>
      <c r="I77" s="853">
        <v>0</v>
      </c>
      <c r="J77" s="853">
        <v>0</v>
      </c>
      <c r="K77" s="853">
        <v>0</v>
      </c>
      <c r="L77" s="853">
        <v>0</v>
      </c>
      <c r="M77" s="853">
        <v>0</v>
      </c>
      <c r="N77" s="853">
        <v>0</v>
      </c>
      <c r="O77" s="853">
        <v>0</v>
      </c>
      <c r="P77" s="855">
        <v>0</v>
      </c>
      <c r="Q77" s="853">
        <v>0</v>
      </c>
      <c r="R77" s="853">
        <v>0</v>
      </c>
      <c r="S77" s="853">
        <v>0</v>
      </c>
      <c r="T77" s="853">
        <v>0</v>
      </c>
      <c r="U77" s="853">
        <v>0</v>
      </c>
      <c r="V77" s="853">
        <v>0</v>
      </c>
      <c r="W77" s="853">
        <v>0</v>
      </c>
      <c r="X77" s="853">
        <v>0</v>
      </c>
      <c r="Y77" s="853">
        <v>0</v>
      </c>
      <c r="Z77" s="965">
        <v>0</v>
      </c>
      <c r="AA77" s="853">
        <v>0</v>
      </c>
      <c r="AB77" s="855">
        <v>0</v>
      </c>
      <c r="AC77" s="853">
        <v>0</v>
      </c>
      <c r="AD77" s="853">
        <v>0</v>
      </c>
      <c r="AE77" s="853">
        <v>0</v>
      </c>
      <c r="AF77" s="853">
        <v>0</v>
      </c>
      <c r="AG77" s="853">
        <v>0</v>
      </c>
      <c r="AH77" s="853">
        <v>0</v>
      </c>
      <c r="AI77" s="853">
        <v>0</v>
      </c>
      <c r="AJ77" s="853">
        <v>0</v>
      </c>
      <c r="AK77" s="853">
        <v>0</v>
      </c>
      <c r="AL77" s="965">
        <v>0</v>
      </c>
      <c r="AM77" s="853">
        <v>0</v>
      </c>
      <c r="AN77" s="855">
        <v>0</v>
      </c>
    </row>
    <row r="78" spans="1:41" ht="19.5" x14ac:dyDescent="0.35">
      <c r="A78" s="966" t="s">
        <v>224</v>
      </c>
      <c r="B78" s="875"/>
      <c r="C78" s="963"/>
      <c r="D78" s="857"/>
      <c r="E78" s="856"/>
      <c r="F78" s="859"/>
      <c r="G78" s="859"/>
      <c r="H78" s="856"/>
      <c r="I78" s="856"/>
      <c r="J78" s="894"/>
      <c r="K78" s="894"/>
      <c r="L78" s="894"/>
      <c r="M78" s="894"/>
      <c r="N78" s="894"/>
      <c r="O78" s="894"/>
      <c r="P78" s="895"/>
      <c r="Q78" s="894"/>
      <c r="R78" s="894"/>
      <c r="S78" s="894"/>
      <c r="T78" s="894"/>
      <c r="U78" s="894"/>
      <c r="V78" s="894"/>
      <c r="W78" s="894"/>
      <c r="X78" s="894"/>
      <c r="Y78" s="894"/>
      <c r="Z78" s="894"/>
      <c r="AA78" s="894"/>
      <c r="AB78" s="895"/>
      <c r="AC78" s="894"/>
      <c r="AD78" s="894"/>
      <c r="AE78" s="894"/>
      <c r="AF78" s="894"/>
      <c r="AG78" s="894"/>
      <c r="AH78" s="894"/>
      <c r="AI78" s="894"/>
      <c r="AJ78" s="894"/>
      <c r="AK78" s="894"/>
      <c r="AL78" s="894"/>
      <c r="AM78" s="894"/>
      <c r="AN78" s="895"/>
      <c r="AO78" s="862"/>
    </row>
    <row r="79" spans="1:41" ht="12.75" x14ac:dyDescent="0.2">
      <c r="A79" s="1430" t="s">
        <v>195</v>
      </c>
      <c r="B79" s="864" t="s">
        <v>123</v>
      </c>
      <c r="C79" s="963"/>
      <c r="D79" s="857"/>
      <c r="E79" s="856">
        <f t="shared" ref="E79:AN79" si="42">D79+E82</f>
        <v>-1</v>
      </c>
      <c r="F79" s="856">
        <f t="shared" si="42"/>
        <v>-0.9</v>
      </c>
      <c r="G79" s="856">
        <f t="shared" si="42"/>
        <v>-0.8</v>
      </c>
      <c r="H79" s="856">
        <f t="shared" si="42"/>
        <v>-0.70000000000000007</v>
      </c>
      <c r="I79" s="856">
        <f t="shared" si="42"/>
        <v>-0.60000000000000009</v>
      </c>
      <c r="J79" s="856">
        <f t="shared" si="42"/>
        <v>0.39999999999999991</v>
      </c>
      <c r="K79" s="856">
        <f t="shared" si="42"/>
        <v>0.49999999999999989</v>
      </c>
      <c r="L79" s="856">
        <f t="shared" si="42"/>
        <v>0</v>
      </c>
      <c r="M79" s="856">
        <f t="shared" si="42"/>
        <v>0.1</v>
      </c>
      <c r="N79" s="856">
        <f t="shared" si="42"/>
        <v>0.2</v>
      </c>
      <c r="O79" s="856">
        <f t="shared" si="42"/>
        <v>0.30000000000000004</v>
      </c>
      <c r="P79" s="858">
        <f t="shared" si="42"/>
        <v>0.4</v>
      </c>
      <c r="Q79" s="859">
        <f t="shared" si="42"/>
        <v>0.5</v>
      </c>
      <c r="R79" s="859">
        <f t="shared" si="42"/>
        <v>0.6</v>
      </c>
      <c r="S79" s="859">
        <f t="shared" si="42"/>
        <v>0.7</v>
      </c>
      <c r="T79" s="859">
        <f t="shared" si="42"/>
        <v>0.79999999999999993</v>
      </c>
      <c r="U79" s="859">
        <f t="shared" si="42"/>
        <v>0.89999999999999991</v>
      </c>
      <c r="V79" s="859">
        <f t="shared" si="42"/>
        <v>0.99999999999999989</v>
      </c>
      <c r="W79" s="859">
        <f t="shared" si="42"/>
        <v>1.0999999999999999</v>
      </c>
      <c r="X79" s="859">
        <f t="shared" si="42"/>
        <v>1.2</v>
      </c>
      <c r="Y79" s="859">
        <f t="shared" si="42"/>
        <v>1.3</v>
      </c>
      <c r="Z79" s="859">
        <f t="shared" si="42"/>
        <v>1.4000000000000001</v>
      </c>
      <c r="AA79" s="859">
        <f t="shared" si="42"/>
        <v>1.5000000000000002</v>
      </c>
      <c r="AB79" s="860">
        <f t="shared" si="42"/>
        <v>1.6000000000000003</v>
      </c>
      <c r="AC79" s="861">
        <f t="shared" si="42"/>
        <v>1.7000000000000004</v>
      </c>
      <c r="AD79" s="859">
        <f t="shared" si="42"/>
        <v>1.8000000000000005</v>
      </c>
      <c r="AE79" s="859">
        <f t="shared" si="42"/>
        <v>1.9000000000000006</v>
      </c>
      <c r="AF79" s="859">
        <f t="shared" si="42"/>
        <v>2.0000000000000004</v>
      </c>
      <c r="AG79" s="859">
        <f t="shared" si="42"/>
        <v>2.1000000000000005</v>
      </c>
      <c r="AH79" s="859">
        <f t="shared" si="42"/>
        <v>2.2000000000000006</v>
      </c>
      <c r="AI79" s="859">
        <f t="shared" si="42"/>
        <v>2.3000000000000007</v>
      </c>
      <c r="AJ79" s="859">
        <f t="shared" si="42"/>
        <v>2.4000000000000008</v>
      </c>
      <c r="AK79" s="859">
        <f t="shared" si="42"/>
        <v>2.5000000000000009</v>
      </c>
      <c r="AL79" s="859">
        <f t="shared" si="42"/>
        <v>2.600000000000001</v>
      </c>
      <c r="AM79" s="859">
        <f t="shared" si="42"/>
        <v>2.7000000000000011</v>
      </c>
      <c r="AN79" s="860">
        <f t="shared" si="42"/>
        <v>2.8000000000000012</v>
      </c>
      <c r="AO79" s="862"/>
    </row>
    <row r="80" spans="1:41" ht="12.75" x14ac:dyDescent="0.2">
      <c r="A80" s="1431"/>
      <c r="B80" s="866" t="s">
        <v>124</v>
      </c>
      <c r="C80" s="967"/>
      <c r="D80" s="868"/>
      <c r="E80" s="867">
        <f t="shared" ref="E80:AN80" si="43">D80+E83</f>
        <v>-1</v>
      </c>
      <c r="F80" s="867">
        <f t="shared" si="43"/>
        <v>-1</v>
      </c>
      <c r="G80" s="867">
        <f t="shared" si="43"/>
        <v>-1</v>
      </c>
      <c r="H80" s="867">
        <f t="shared" si="43"/>
        <v>-1</v>
      </c>
      <c r="I80" s="867">
        <f t="shared" si="43"/>
        <v>-1</v>
      </c>
      <c r="J80" s="867">
        <f t="shared" si="43"/>
        <v>0</v>
      </c>
      <c r="K80" s="867">
        <f t="shared" si="43"/>
        <v>0</v>
      </c>
      <c r="L80" s="867">
        <f t="shared" si="43"/>
        <v>-0.5</v>
      </c>
      <c r="M80" s="867">
        <f t="shared" si="43"/>
        <v>-0.5</v>
      </c>
      <c r="N80" s="867">
        <f t="shared" si="43"/>
        <v>-0.5</v>
      </c>
      <c r="O80" s="867">
        <f t="shared" si="43"/>
        <v>-0.5</v>
      </c>
      <c r="P80" s="869">
        <f t="shared" si="43"/>
        <v>-0.5</v>
      </c>
      <c r="Q80" s="870">
        <f t="shared" si="43"/>
        <v>-0.5</v>
      </c>
      <c r="R80" s="870">
        <f t="shared" si="43"/>
        <v>-0.5</v>
      </c>
      <c r="S80" s="870">
        <f t="shared" si="43"/>
        <v>-0.5</v>
      </c>
      <c r="T80" s="870">
        <f t="shared" si="43"/>
        <v>-0.5</v>
      </c>
      <c r="U80" s="870">
        <f t="shared" si="43"/>
        <v>-0.5</v>
      </c>
      <c r="V80" s="870">
        <f t="shared" si="43"/>
        <v>-0.5</v>
      </c>
      <c r="W80" s="870">
        <f t="shared" si="43"/>
        <v>-0.5</v>
      </c>
      <c r="X80" s="870">
        <f t="shared" si="43"/>
        <v>-0.5</v>
      </c>
      <c r="Y80" s="870">
        <f t="shared" si="43"/>
        <v>-0.5</v>
      </c>
      <c r="Z80" s="870">
        <f t="shared" si="43"/>
        <v>-0.5</v>
      </c>
      <c r="AA80" s="870">
        <f t="shared" si="43"/>
        <v>-0.5</v>
      </c>
      <c r="AB80" s="871">
        <f t="shared" si="43"/>
        <v>-0.5</v>
      </c>
      <c r="AC80" s="872">
        <f t="shared" si="43"/>
        <v>0.5</v>
      </c>
      <c r="AD80" s="870">
        <f t="shared" si="43"/>
        <v>0.5</v>
      </c>
      <c r="AE80" s="870">
        <f t="shared" si="43"/>
        <v>0.5</v>
      </c>
      <c r="AF80" s="870">
        <f t="shared" si="43"/>
        <v>0.5</v>
      </c>
      <c r="AG80" s="870">
        <f t="shared" si="43"/>
        <v>0.5</v>
      </c>
      <c r="AH80" s="870">
        <f t="shared" si="43"/>
        <v>0.5</v>
      </c>
      <c r="AI80" s="870">
        <f t="shared" si="43"/>
        <v>0.5</v>
      </c>
      <c r="AJ80" s="870">
        <f t="shared" si="43"/>
        <v>0.5</v>
      </c>
      <c r="AK80" s="870">
        <f t="shared" si="43"/>
        <v>0.5</v>
      </c>
      <c r="AL80" s="870">
        <f t="shared" si="43"/>
        <v>0.6</v>
      </c>
      <c r="AM80" s="870">
        <f t="shared" si="43"/>
        <v>0.7</v>
      </c>
      <c r="AN80" s="871">
        <f t="shared" si="43"/>
        <v>0.79999999999999993</v>
      </c>
      <c r="AO80" s="968"/>
    </row>
    <row r="81" spans="1:41" ht="19.5" x14ac:dyDescent="0.35">
      <c r="A81" s="966" t="s">
        <v>225</v>
      </c>
      <c r="B81" s="875"/>
      <c r="C81" s="963" t="str">
        <f t="shared" ref="C81:C83" si="44">C75</f>
        <v>Base Inv</v>
      </c>
      <c r="D81" s="857"/>
      <c r="E81" s="856"/>
      <c r="F81" s="856"/>
      <c r="G81" s="856"/>
      <c r="H81" s="856"/>
      <c r="I81" s="856"/>
      <c r="J81" s="856"/>
      <c r="K81" s="856"/>
      <c r="L81" s="856"/>
      <c r="M81" s="856"/>
      <c r="N81" s="894"/>
      <c r="O81" s="856"/>
      <c r="P81" s="858"/>
      <c r="Q81" s="856"/>
      <c r="R81" s="856"/>
      <c r="S81" s="856"/>
      <c r="T81" s="856"/>
      <c r="U81" s="856"/>
      <c r="V81" s="856"/>
      <c r="W81" s="856"/>
      <c r="X81" s="856"/>
      <c r="Y81" s="856"/>
      <c r="Z81" s="894"/>
      <c r="AA81" s="856"/>
      <c r="AB81" s="858"/>
      <c r="AC81" s="856"/>
      <c r="AD81" s="856"/>
      <c r="AE81" s="856"/>
      <c r="AF81" s="856"/>
      <c r="AG81" s="856"/>
      <c r="AH81" s="856"/>
      <c r="AI81" s="856"/>
      <c r="AJ81" s="856"/>
      <c r="AK81" s="856"/>
      <c r="AL81" s="894"/>
      <c r="AM81" s="856"/>
      <c r="AN81" s="858"/>
      <c r="AO81" s="862"/>
    </row>
    <row r="82" spans="1:41" ht="12.75" x14ac:dyDescent="0.2">
      <c r="A82" s="1430" t="s">
        <v>282</v>
      </c>
      <c r="B82" s="864" t="s">
        <v>123</v>
      </c>
      <c r="C82" s="841">
        <f t="shared" si="44"/>
        <v>0</v>
      </c>
      <c r="D82" s="857"/>
      <c r="E82" s="856">
        <v>-1</v>
      </c>
      <c r="F82" s="856">
        <v>0.1</v>
      </c>
      <c r="G82" s="856">
        <v>0.1</v>
      </c>
      <c r="H82" s="856">
        <v>0.1</v>
      </c>
      <c r="I82" s="856">
        <v>0.1</v>
      </c>
      <c r="J82" s="856">
        <v>1</v>
      </c>
      <c r="K82" s="856">
        <v>0.1</v>
      </c>
      <c r="L82" s="856">
        <v>-0.5</v>
      </c>
      <c r="M82" s="856">
        <v>0.1</v>
      </c>
      <c r="N82" s="856">
        <v>0.1</v>
      </c>
      <c r="O82" s="856">
        <v>0.1</v>
      </c>
      <c r="P82" s="858">
        <v>0.1</v>
      </c>
      <c r="Q82" s="856">
        <v>0.1</v>
      </c>
      <c r="R82" s="856">
        <v>0.1</v>
      </c>
      <c r="S82" s="856">
        <v>0.1</v>
      </c>
      <c r="T82" s="856">
        <v>0.1</v>
      </c>
      <c r="U82" s="856">
        <v>0.1</v>
      </c>
      <c r="V82" s="856">
        <v>0.1</v>
      </c>
      <c r="W82" s="856">
        <v>0.1</v>
      </c>
      <c r="X82" s="856">
        <v>0.1</v>
      </c>
      <c r="Y82" s="856">
        <v>0.1</v>
      </c>
      <c r="Z82" s="894">
        <v>0.1</v>
      </c>
      <c r="AA82" s="856">
        <v>0.1</v>
      </c>
      <c r="AB82" s="858">
        <v>0.1</v>
      </c>
      <c r="AC82" s="856">
        <v>0.1</v>
      </c>
      <c r="AD82" s="856">
        <v>0.1</v>
      </c>
      <c r="AE82" s="856">
        <v>0.1</v>
      </c>
      <c r="AF82" s="856">
        <v>0.1</v>
      </c>
      <c r="AG82" s="856">
        <v>0.1</v>
      </c>
      <c r="AH82" s="856">
        <v>0.1</v>
      </c>
      <c r="AI82" s="856">
        <v>0.1</v>
      </c>
      <c r="AJ82" s="856">
        <v>0.1</v>
      </c>
      <c r="AK82" s="856">
        <v>0.1</v>
      </c>
      <c r="AL82" s="894">
        <v>0.1</v>
      </c>
      <c r="AM82" s="856">
        <v>0.1</v>
      </c>
      <c r="AN82" s="858">
        <v>0.1</v>
      </c>
      <c r="AO82" s="862"/>
    </row>
    <row r="83" spans="1:41" ht="12.75" x14ac:dyDescent="0.2">
      <c r="A83" s="1386"/>
      <c r="B83" s="866" t="s">
        <v>124</v>
      </c>
      <c r="C83" s="853">
        <f t="shared" si="44"/>
        <v>0</v>
      </c>
      <c r="D83" s="868"/>
      <c r="E83" s="867">
        <v>-1</v>
      </c>
      <c r="F83" s="867"/>
      <c r="G83" s="867"/>
      <c r="H83" s="867"/>
      <c r="I83" s="867"/>
      <c r="J83" s="867">
        <v>1</v>
      </c>
      <c r="K83" s="867"/>
      <c r="L83" s="867">
        <v>-0.5</v>
      </c>
      <c r="M83" s="867"/>
      <c r="N83" s="896"/>
      <c r="O83" s="867"/>
      <c r="P83" s="869"/>
      <c r="Q83" s="867"/>
      <c r="R83" s="867"/>
      <c r="S83" s="867"/>
      <c r="T83" s="867"/>
      <c r="U83" s="867"/>
      <c r="V83" s="867"/>
      <c r="W83" s="867"/>
      <c r="X83" s="867"/>
      <c r="Y83" s="867"/>
      <c r="Z83" s="896"/>
      <c r="AA83" s="867"/>
      <c r="AB83" s="869"/>
      <c r="AC83" s="867">
        <v>1</v>
      </c>
      <c r="AD83" s="867"/>
      <c r="AE83" s="867"/>
      <c r="AF83" s="867"/>
      <c r="AG83" s="867"/>
      <c r="AH83" s="867"/>
      <c r="AI83" s="867"/>
      <c r="AJ83" s="867"/>
      <c r="AK83" s="867"/>
      <c r="AL83" s="896">
        <v>0.1</v>
      </c>
      <c r="AM83" s="867">
        <v>0.1</v>
      </c>
      <c r="AN83" s="869">
        <v>0.1</v>
      </c>
      <c r="AO83" s="862"/>
    </row>
    <row r="84" spans="1:41" ht="18.75" x14ac:dyDescent="0.3">
      <c r="A84" s="948" t="s">
        <v>218</v>
      </c>
      <c r="B84" s="949"/>
      <c r="C84" s="856" t="str">
        <f t="shared" ref="C84:AN84" si="45">C57</f>
        <v>%</v>
      </c>
      <c r="D84" s="842">
        <f t="shared" si="45"/>
        <v>0</v>
      </c>
      <c r="E84" s="841">
        <f t="shared" si="45"/>
        <v>0</v>
      </c>
      <c r="F84" s="841">
        <f t="shared" si="45"/>
        <v>0</v>
      </c>
      <c r="G84" s="841">
        <f t="shared" si="45"/>
        <v>0</v>
      </c>
      <c r="H84" s="841">
        <f t="shared" si="45"/>
        <v>0</v>
      </c>
      <c r="I84" s="841">
        <f t="shared" si="45"/>
        <v>0</v>
      </c>
      <c r="J84" s="841">
        <f t="shared" si="45"/>
        <v>0</v>
      </c>
      <c r="K84" s="841">
        <f t="shared" si="45"/>
        <v>0</v>
      </c>
      <c r="L84" s="841">
        <f t="shared" si="45"/>
        <v>0</v>
      </c>
      <c r="M84" s="841">
        <f t="shared" si="45"/>
        <v>0</v>
      </c>
      <c r="N84" s="887">
        <f t="shared" si="45"/>
        <v>0</v>
      </c>
      <c r="O84" s="841">
        <f t="shared" si="45"/>
        <v>0</v>
      </c>
      <c r="P84" s="848">
        <f t="shared" si="45"/>
        <v>0</v>
      </c>
      <c r="Q84" s="841">
        <f t="shared" si="45"/>
        <v>0</v>
      </c>
      <c r="R84" s="841">
        <f t="shared" si="45"/>
        <v>0</v>
      </c>
      <c r="S84" s="841">
        <f t="shared" si="45"/>
        <v>0</v>
      </c>
      <c r="T84" s="841">
        <f t="shared" si="45"/>
        <v>0</v>
      </c>
      <c r="U84" s="841">
        <f t="shared" si="45"/>
        <v>0</v>
      </c>
      <c r="V84" s="841">
        <f t="shared" si="45"/>
        <v>0</v>
      </c>
      <c r="W84" s="841">
        <f t="shared" si="45"/>
        <v>0</v>
      </c>
      <c r="X84" s="841">
        <f t="shared" si="45"/>
        <v>0</v>
      </c>
      <c r="Y84" s="841">
        <f t="shared" si="45"/>
        <v>0</v>
      </c>
      <c r="Z84" s="887">
        <f t="shared" si="45"/>
        <v>0</v>
      </c>
      <c r="AA84" s="841">
        <f t="shared" si="45"/>
        <v>0</v>
      </c>
      <c r="AB84" s="848">
        <f t="shared" si="45"/>
        <v>0</v>
      </c>
      <c r="AC84" s="841">
        <f t="shared" si="45"/>
        <v>0</v>
      </c>
      <c r="AD84" s="841">
        <f t="shared" si="45"/>
        <v>0</v>
      </c>
      <c r="AE84" s="841">
        <f t="shared" si="45"/>
        <v>0</v>
      </c>
      <c r="AF84" s="841">
        <f t="shared" si="45"/>
        <v>0</v>
      </c>
      <c r="AG84" s="841">
        <f t="shared" si="45"/>
        <v>0</v>
      </c>
      <c r="AH84" s="841">
        <f t="shared" si="45"/>
        <v>0</v>
      </c>
      <c r="AI84" s="841">
        <f t="shared" si="45"/>
        <v>0</v>
      </c>
      <c r="AJ84" s="841">
        <f t="shared" si="45"/>
        <v>0</v>
      </c>
      <c r="AK84" s="841">
        <f t="shared" si="45"/>
        <v>0</v>
      </c>
      <c r="AL84" s="887">
        <f t="shared" si="45"/>
        <v>0</v>
      </c>
      <c r="AM84" s="841">
        <f t="shared" si="45"/>
        <v>0</v>
      </c>
      <c r="AN84" s="848">
        <f t="shared" si="45"/>
        <v>0</v>
      </c>
      <c r="AO84" s="862"/>
    </row>
    <row r="85" spans="1:41" ht="12.75" x14ac:dyDescent="0.2">
      <c r="A85" s="940" t="s">
        <v>280</v>
      </c>
      <c r="B85" s="864" t="s">
        <v>123</v>
      </c>
      <c r="C85" s="856">
        <f t="shared" ref="C85:AN85" si="46">C58</f>
        <v>0</v>
      </c>
      <c r="D85" s="842">
        <f t="shared" si="46"/>
        <v>0</v>
      </c>
      <c r="E85" s="841">
        <f t="shared" si="46"/>
        <v>0</v>
      </c>
      <c r="F85" s="841">
        <f t="shared" si="46"/>
        <v>0</v>
      </c>
      <c r="G85" s="841">
        <f t="shared" si="46"/>
        <v>0</v>
      </c>
      <c r="H85" s="841">
        <f t="shared" si="46"/>
        <v>0</v>
      </c>
      <c r="I85" s="841">
        <f t="shared" si="46"/>
        <v>0</v>
      </c>
      <c r="J85" s="841">
        <f t="shared" si="46"/>
        <v>0</v>
      </c>
      <c r="K85" s="841">
        <f t="shared" si="46"/>
        <v>0</v>
      </c>
      <c r="L85" s="841">
        <f t="shared" si="46"/>
        <v>0</v>
      </c>
      <c r="M85" s="841">
        <f t="shared" si="46"/>
        <v>0</v>
      </c>
      <c r="N85" s="841">
        <f t="shared" si="46"/>
        <v>0</v>
      </c>
      <c r="O85" s="841">
        <f t="shared" si="46"/>
        <v>0</v>
      </c>
      <c r="P85" s="848">
        <f t="shared" si="46"/>
        <v>0</v>
      </c>
      <c r="Q85" s="841">
        <f t="shared" si="46"/>
        <v>0</v>
      </c>
      <c r="R85" s="841">
        <f t="shared" si="46"/>
        <v>0</v>
      </c>
      <c r="S85" s="841">
        <f t="shared" si="46"/>
        <v>0</v>
      </c>
      <c r="T85" s="841">
        <f t="shared" si="46"/>
        <v>0</v>
      </c>
      <c r="U85" s="841">
        <f t="shared" si="46"/>
        <v>0</v>
      </c>
      <c r="V85" s="841">
        <f t="shared" si="46"/>
        <v>0</v>
      </c>
      <c r="W85" s="841">
        <f t="shared" si="46"/>
        <v>0</v>
      </c>
      <c r="X85" s="841">
        <f t="shared" si="46"/>
        <v>0</v>
      </c>
      <c r="Y85" s="841">
        <f t="shared" si="46"/>
        <v>0</v>
      </c>
      <c r="Z85" s="887">
        <f t="shared" si="46"/>
        <v>0</v>
      </c>
      <c r="AA85" s="841">
        <f t="shared" si="46"/>
        <v>0</v>
      </c>
      <c r="AB85" s="848">
        <f t="shared" si="46"/>
        <v>0</v>
      </c>
      <c r="AC85" s="841">
        <f t="shared" si="46"/>
        <v>0</v>
      </c>
      <c r="AD85" s="841">
        <f t="shared" si="46"/>
        <v>0</v>
      </c>
      <c r="AE85" s="841">
        <f t="shared" si="46"/>
        <v>0</v>
      </c>
      <c r="AF85" s="841">
        <f t="shared" si="46"/>
        <v>0</v>
      </c>
      <c r="AG85" s="841">
        <f t="shared" si="46"/>
        <v>0</v>
      </c>
      <c r="AH85" s="841">
        <f t="shared" si="46"/>
        <v>0</v>
      </c>
      <c r="AI85" s="841">
        <f t="shared" si="46"/>
        <v>0</v>
      </c>
      <c r="AJ85" s="841">
        <f t="shared" si="46"/>
        <v>0</v>
      </c>
      <c r="AK85" s="841">
        <f t="shared" si="46"/>
        <v>0</v>
      </c>
      <c r="AL85" s="887">
        <f t="shared" si="46"/>
        <v>0</v>
      </c>
      <c r="AM85" s="841">
        <f t="shared" si="46"/>
        <v>0</v>
      </c>
      <c r="AN85" s="848">
        <f t="shared" si="46"/>
        <v>0</v>
      </c>
      <c r="AO85" s="862"/>
    </row>
    <row r="86" spans="1:41" ht="12.75" x14ac:dyDescent="0.2">
      <c r="A86" s="942"/>
      <c r="B86" s="866" t="s">
        <v>124</v>
      </c>
      <c r="C86" s="867">
        <f t="shared" ref="C86:AN86" si="47">C59</f>
        <v>0</v>
      </c>
      <c r="D86" s="852">
        <f t="shared" si="47"/>
        <v>0</v>
      </c>
      <c r="E86" s="853">
        <f t="shared" si="47"/>
        <v>0</v>
      </c>
      <c r="F86" s="853">
        <f t="shared" si="47"/>
        <v>0</v>
      </c>
      <c r="G86" s="853">
        <f t="shared" si="47"/>
        <v>0</v>
      </c>
      <c r="H86" s="853">
        <f t="shared" si="47"/>
        <v>0</v>
      </c>
      <c r="I86" s="853">
        <f t="shared" si="47"/>
        <v>0</v>
      </c>
      <c r="J86" s="853">
        <f t="shared" si="47"/>
        <v>0</v>
      </c>
      <c r="K86" s="853">
        <f t="shared" si="47"/>
        <v>0</v>
      </c>
      <c r="L86" s="853">
        <f t="shared" si="47"/>
        <v>0</v>
      </c>
      <c r="M86" s="853">
        <f t="shared" si="47"/>
        <v>0</v>
      </c>
      <c r="N86" s="892">
        <f t="shared" si="47"/>
        <v>0</v>
      </c>
      <c r="O86" s="853">
        <f t="shared" si="47"/>
        <v>0</v>
      </c>
      <c r="P86" s="855">
        <f t="shared" si="47"/>
        <v>0</v>
      </c>
      <c r="Q86" s="853">
        <f t="shared" si="47"/>
        <v>0</v>
      </c>
      <c r="R86" s="853">
        <f t="shared" si="47"/>
        <v>0</v>
      </c>
      <c r="S86" s="853">
        <f t="shared" si="47"/>
        <v>0</v>
      </c>
      <c r="T86" s="853">
        <f t="shared" si="47"/>
        <v>0</v>
      </c>
      <c r="U86" s="853">
        <f t="shared" si="47"/>
        <v>0</v>
      </c>
      <c r="V86" s="853">
        <f t="shared" si="47"/>
        <v>0</v>
      </c>
      <c r="W86" s="853">
        <f t="shared" si="47"/>
        <v>0</v>
      </c>
      <c r="X86" s="853">
        <f t="shared" si="47"/>
        <v>0</v>
      </c>
      <c r="Y86" s="853">
        <f t="shared" si="47"/>
        <v>0</v>
      </c>
      <c r="Z86" s="892">
        <f t="shared" si="47"/>
        <v>0</v>
      </c>
      <c r="AA86" s="853">
        <f t="shared" si="47"/>
        <v>0</v>
      </c>
      <c r="AB86" s="855">
        <f t="shared" si="47"/>
        <v>0</v>
      </c>
      <c r="AC86" s="853">
        <f t="shared" si="47"/>
        <v>0</v>
      </c>
      <c r="AD86" s="853">
        <f t="shared" si="47"/>
        <v>0</v>
      </c>
      <c r="AE86" s="853">
        <f t="shared" si="47"/>
        <v>0</v>
      </c>
      <c r="AF86" s="853">
        <f t="shared" si="47"/>
        <v>0</v>
      </c>
      <c r="AG86" s="853">
        <f t="shared" si="47"/>
        <v>0</v>
      </c>
      <c r="AH86" s="853">
        <f t="shared" si="47"/>
        <v>0</v>
      </c>
      <c r="AI86" s="853">
        <f t="shared" si="47"/>
        <v>0</v>
      </c>
      <c r="AJ86" s="853">
        <f t="shared" si="47"/>
        <v>0</v>
      </c>
      <c r="AK86" s="853">
        <f t="shared" si="47"/>
        <v>0</v>
      </c>
      <c r="AL86" s="892">
        <f t="shared" si="47"/>
        <v>0</v>
      </c>
      <c r="AM86" s="853">
        <f t="shared" si="47"/>
        <v>0</v>
      </c>
      <c r="AN86" s="855">
        <f t="shared" si="47"/>
        <v>0</v>
      </c>
      <c r="AO86" s="862"/>
    </row>
    <row r="87" spans="1:41" ht="18.75" x14ac:dyDescent="0.3">
      <c r="A87" s="948" t="s">
        <v>219</v>
      </c>
      <c r="B87" s="949"/>
      <c r="C87" s="856" t="str">
        <f t="shared" ref="C87:AN87" si="48">C60</f>
        <v>%</v>
      </c>
      <c r="D87" s="857">
        <f t="shared" si="48"/>
        <v>0</v>
      </c>
      <c r="E87" s="841">
        <f t="shared" si="48"/>
        <v>0</v>
      </c>
      <c r="F87" s="841">
        <f t="shared" si="48"/>
        <v>0</v>
      </c>
      <c r="G87" s="841">
        <f t="shared" si="48"/>
        <v>0</v>
      </c>
      <c r="H87" s="841">
        <f t="shared" si="48"/>
        <v>0</v>
      </c>
      <c r="I87" s="841">
        <f t="shared" si="48"/>
        <v>0</v>
      </c>
      <c r="J87" s="841">
        <f t="shared" si="48"/>
        <v>0</v>
      </c>
      <c r="K87" s="841">
        <f t="shared" si="48"/>
        <v>0</v>
      </c>
      <c r="L87" s="841">
        <f t="shared" si="48"/>
        <v>0</v>
      </c>
      <c r="M87" s="841">
        <f t="shared" si="48"/>
        <v>0</v>
      </c>
      <c r="N87" s="887">
        <f t="shared" si="48"/>
        <v>0</v>
      </c>
      <c r="O87" s="841">
        <f t="shared" si="48"/>
        <v>0</v>
      </c>
      <c r="P87" s="848">
        <f t="shared" si="48"/>
        <v>0</v>
      </c>
      <c r="Q87" s="841">
        <f t="shared" si="48"/>
        <v>0</v>
      </c>
      <c r="R87" s="841">
        <f t="shared" si="48"/>
        <v>0</v>
      </c>
      <c r="S87" s="841">
        <f t="shared" si="48"/>
        <v>0</v>
      </c>
      <c r="T87" s="841">
        <f t="shared" si="48"/>
        <v>0</v>
      </c>
      <c r="U87" s="841">
        <f t="shared" si="48"/>
        <v>0</v>
      </c>
      <c r="V87" s="841">
        <f t="shared" si="48"/>
        <v>0</v>
      </c>
      <c r="W87" s="841">
        <f t="shared" si="48"/>
        <v>0</v>
      </c>
      <c r="X87" s="841">
        <f t="shared" si="48"/>
        <v>0</v>
      </c>
      <c r="Y87" s="841">
        <f t="shared" si="48"/>
        <v>0</v>
      </c>
      <c r="Z87" s="887">
        <f t="shared" si="48"/>
        <v>0</v>
      </c>
      <c r="AA87" s="841">
        <f t="shared" si="48"/>
        <v>0</v>
      </c>
      <c r="AB87" s="848">
        <f t="shared" si="48"/>
        <v>0</v>
      </c>
      <c r="AC87" s="841">
        <f t="shared" si="48"/>
        <v>0</v>
      </c>
      <c r="AD87" s="841">
        <f t="shared" si="48"/>
        <v>0</v>
      </c>
      <c r="AE87" s="841">
        <f t="shared" si="48"/>
        <v>0</v>
      </c>
      <c r="AF87" s="841">
        <f t="shared" si="48"/>
        <v>0</v>
      </c>
      <c r="AG87" s="841">
        <f t="shared" si="48"/>
        <v>0</v>
      </c>
      <c r="AH87" s="841">
        <f t="shared" si="48"/>
        <v>0</v>
      </c>
      <c r="AI87" s="841">
        <f t="shared" si="48"/>
        <v>0</v>
      </c>
      <c r="AJ87" s="841">
        <f t="shared" si="48"/>
        <v>0</v>
      </c>
      <c r="AK87" s="841">
        <f t="shared" si="48"/>
        <v>0</v>
      </c>
      <c r="AL87" s="887">
        <f t="shared" si="48"/>
        <v>0</v>
      </c>
      <c r="AM87" s="841">
        <f t="shared" si="48"/>
        <v>0</v>
      </c>
      <c r="AN87" s="848">
        <f t="shared" si="48"/>
        <v>0</v>
      </c>
      <c r="AO87" s="862"/>
    </row>
    <row r="88" spans="1:41" ht="12.75" x14ac:dyDescent="0.2">
      <c r="A88" s="940" t="s">
        <v>280</v>
      </c>
      <c r="B88" s="864" t="s">
        <v>123</v>
      </c>
      <c r="C88" s="856">
        <f t="shared" ref="C88:AN88" si="49">C61</f>
        <v>0</v>
      </c>
      <c r="D88" s="857">
        <f t="shared" si="49"/>
        <v>0</v>
      </c>
      <c r="E88" s="841">
        <f t="shared" si="49"/>
        <v>0</v>
      </c>
      <c r="F88" s="841">
        <f t="shared" si="49"/>
        <v>0</v>
      </c>
      <c r="G88" s="841">
        <f t="shared" si="49"/>
        <v>0</v>
      </c>
      <c r="H88" s="841">
        <f t="shared" si="49"/>
        <v>0</v>
      </c>
      <c r="I88" s="841">
        <f t="shared" si="49"/>
        <v>0</v>
      </c>
      <c r="J88" s="841">
        <f t="shared" si="49"/>
        <v>0</v>
      </c>
      <c r="K88" s="841">
        <f t="shared" si="49"/>
        <v>0</v>
      </c>
      <c r="L88" s="841">
        <f t="shared" si="49"/>
        <v>0</v>
      </c>
      <c r="M88" s="841">
        <f t="shared" si="49"/>
        <v>0</v>
      </c>
      <c r="N88" s="841">
        <f t="shared" si="49"/>
        <v>0</v>
      </c>
      <c r="O88" s="841">
        <f t="shared" si="49"/>
        <v>0</v>
      </c>
      <c r="P88" s="848">
        <f t="shared" si="49"/>
        <v>0</v>
      </c>
      <c r="Q88" s="841">
        <f t="shared" si="49"/>
        <v>0</v>
      </c>
      <c r="R88" s="841">
        <f t="shared" si="49"/>
        <v>0</v>
      </c>
      <c r="S88" s="841">
        <f t="shared" si="49"/>
        <v>0</v>
      </c>
      <c r="T88" s="841">
        <f t="shared" si="49"/>
        <v>0</v>
      </c>
      <c r="U88" s="841">
        <f t="shared" si="49"/>
        <v>0</v>
      </c>
      <c r="V88" s="841">
        <f t="shared" si="49"/>
        <v>0</v>
      </c>
      <c r="W88" s="841">
        <f t="shared" si="49"/>
        <v>0</v>
      </c>
      <c r="X88" s="841">
        <f t="shared" si="49"/>
        <v>0</v>
      </c>
      <c r="Y88" s="841">
        <f t="shared" si="49"/>
        <v>0</v>
      </c>
      <c r="Z88" s="887">
        <f t="shared" si="49"/>
        <v>0</v>
      </c>
      <c r="AA88" s="841">
        <f t="shared" si="49"/>
        <v>0</v>
      </c>
      <c r="AB88" s="848">
        <f t="shared" si="49"/>
        <v>0</v>
      </c>
      <c r="AC88" s="841">
        <f t="shared" si="49"/>
        <v>0</v>
      </c>
      <c r="AD88" s="841">
        <f t="shared" si="49"/>
        <v>0</v>
      </c>
      <c r="AE88" s="841">
        <f t="shared" si="49"/>
        <v>0</v>
      </c>
      <c r="AF88" s="841">
        <f t="shared" si="49"/>
        <v>0</v>
      </c>
      <c r="AG88" s="841">
        <f t="shared" si="49"/>
        <v>0</v>
      </c>
      <c r="AH88" s="841">
        <f t="shared" si="49"/>
        <v>0</v>
      </c>
      <c r="AI88" s="841">
        <f t="shared" si="49"/>
        <v>0</v>
      </c>
      <c r="AJ88" s="841">
        <f t="shared" si="49"/>
        <v>0</v>
      </c>
      <c r="AK88" s="841">
        <f t="shared" si="49"/>
        <v>0</v>
      </c>
      <c r="AL88" s="887">
        <f t="shared" si="49"/>
        <v>0</v>
      </c>
      <c r="AM88" s="841">
        <f t="shared" si="49"/>
        <v>0</v>
      </c>
      <c r="AN88" s="848">
        <f t="shared" si="49"/>
        <v>0</v>
      </c>
      <c r="AO88" s="862"/>
    </row>
    <row r="89" spans="1:41" ht="12.75" x14ac:dyDescent="0.2">
      <c r="A89" s="942"/>
      <c r="B89" s="866" t="s">
        <v>124</v>
      </c>
      <c r="C89" s="867">
        <f t="shared" ref="C89:AN89" si="50">C62</f>
        <v>0</v>
      </c>
      <c r="D89" s="868">
        <f t="shared" si="50"/>
        <v>0</v>
      </c>
      <c r="E89" s="853">
        <f t="shared" si="50"/>
        <v>0</v>
      </c>
      <c r="F89" s="853">
        <f t="shared" si="50"/>
        <v>0</v>
      </c>
      <c r="G89" s="853">
        <f t="shared" si="50"/>
        <v>0</v>
      </c>
      <c r="H89" s="853">
        <f t="shared" si="50"/>
        <v>0</v>
      </c>
      <c r="I89" s="853">
        <f t="shared" si="50"/>
        <v>0</v>
      </c>
      <c r="J89" s="853">
        <f t="shared" si="50"/>
        <v>0</v>
      </c>
      <c r="K89" s="853">
        <f t="shared" si="50"/>
        <v>0</v>
      </c>
      <c r="L89" s="853">
        <f t="shared" si="50"/>
        <v>0</v>
      </c>
      <c r="M89" s="853">
        <f t="shared" si="50"/>
        <v>0</v>
      </c>
      <c r="N89" s="892">
        <f t="shared" si="50"/>
        <v>0</v>
      </c>
      <c r="O89" s="853">
        <f t="shared" si="50"/>
        <v>0</v>
      </c>
      <c r="P89" s="855">
        <f t="shared" si="50"/>
        <v>0</v>
      </c>
      <c r="Q89" s="853">
        <f t="shared" si="50"/>
        <v>0</v>
      </c>
      <c r="R89" s="853">
        <f t="shared" si="50"/>
        <v>0</v>
      </c>
      <c r="S89" s="853">
        <f t="shared" si="50"/>
        <v>0</v>
      </c>
      <c r="T89" s="853">
        <f t="shared" si="50"/>
        <v>0</v>
      </c>
      <c r="U89" s="853">
        <f t="shared" si="50"/>
        <v>0</v>
      </c>
      <c r="V89" s="853">
        <f t="shared" si="50"/>
        <v>0</v>
      </c>
      <c r="W89" s="853">
        <f t="shared" si="50"/>
        <v>0</v>
      </c>
      <c r="X89" s="853">
        <f t="shared" si="50"/>
        <v>0</v>
      </c>
      <c r="Y89" s="853">
        <f t="shared" si="50"/>
        <v>0</v>
      </c>
      <c r="Z89" s="892">
        <f t="shared" si="50"/>
        <v>0</v>
      </c>
      <c r="AA89" s="853">
        <f t="shared" si="50"/>
        <v>0</v>
      </c>
      <c r="AB89" s="855">
        <f t="shared" si="50"/>
        <v>0</v>
      </c>
      <c r="AC89" s="853">
        <f t="shared" si="50"/>
        <v>0</v>
      </c>
      <c r="AD89" s="853">
        <f t="shared" si="50"/>
        <v>0</v>
      </c>
      <c r="AE89" s="853">
        <f t="shared" si="50"/>
        <v>0</v>
      </c>
      <c r="AF89" s="853">
        <f t="shared" si="50"/>
        <v>0</v>
      </c>
      <c r="AG89" s="853">
        <f t="shared" si="50"/>
        <v>0</v>
      </c>
      <c r="AH89" s="853">
        <f t="shared" si="50"/>
        <v>0</v>
      </c>
      <c r="AI89" s="853">
        <f t="shared" si="50"/>
        <v>0</v>
      </c>
      <c r="AJ89" s="853">
        <f t="shared" si="50"/>
        <v>0</v>
      </c>
      <c r="AK89" s="853">
        <f t="shared" si="50"/>
        <v>0</v>
      </c>
      <c r="AL89" s="892">
        <f t="shared" si="50"/>
        <v>0</v>
      </c>
      <c r="AM89" s="853">
        <f t="shared" si="50"/>
        <v>0</v>
      </c>
      <c r="AN89" s="855">
        <f t="shared" si="50"/>
        <v>0</v>
      </c>
      <c r="AO89" s="862"/>
    </row>
    <row r="90" spans="1:41" ht="18.75" x14ac:dyDescent="0.3">
      <c r="A90" s="952" t="s">
        <v>220</v>
      </c>
      <c r="B90" s="953"/>
      <c r="C90" s="882"/>
      <c r="D90" s="969"/>
      <c r="E90" s="882"/>
      <c r="F90" s="879">
        <f t="shared" ref="F90:AN90" si="51">SUM(F91:F92)</f>
        <v>0</v>
      </c>
      <c r="G90" s="882">
        <f t="shared" si="51"/>
        <v>0</v>
      </c>
      <c r="H90" s="882">
        <f t="shared" si="51"/>
        <v>0</v>
      </c>
      <c r="I90" s="882">
        <f t="shared" si="51"/>
        <v>0</v>
      </c>
      <c r="J90" s="882">
        <f t="shared" si="51"/>
        <v>0</v>
      </c>
      <c r="K90" s="882">
        <f t="shared" si="51"/>
        <v>0</v>
      </c>
      <c r="L90" s="882">
        <f t="shared" si="51"/>
        <v>0</v>
      </c>
      <c r="M90" s="882">
        <f t="shared" si="51"/>
        <v>0</v>
      </c>
      <c r="N90" s="882">
        <f t="shared" si="51"/>
        <v>0</v>
      </c>
      <c r="O90" s="882">
        <f t="shared" si="51"/>
        <v>0</v>
      </c>
      <c r="P90" s="883">
        <f t="shared" si="51"/>
        <v>0</v>
      </c>
      <c r="Q90" s="882">
        <f t="shared" si="51"/>
        <v>0</v>
      </c>
      <c r="R90" s="882">
        <f t="shared" si="51"/>
        <v>0</v>
      </c>
      <c r="S90" s="882">
        <f t="shared" si="51"/>
        <v>0</v>
      </c>
      <c r="T90" s="882">
        <f t="shared" si="51"/>
        <v>0</v>
      </c>
      <c r="U90" s="882">
        <f t="shared" si="51"/>
        <v>0</v>
      </c>
      <c r="V90" s="882">
        <f t="shared" si="51"/>
        <v>0</v>
      </c>
      <c r="W90" s="882">
        <f t="shared" si="51"/>
        <v>0</v>
      </c>
      <c r="X90" s="882">
        <f t="shared" si="51"/>
        <v>0</v>
      </c>
      <c r="Y90" s="882">
        <f t="shared" si="51"/>
        <v>0</v>
      </c>
      <c r="Z90" s="882">
        <f t="shared" si="51"/>
        <v>0</v>
      </c>
      <c r="AA90" s="882">
        <f t="shared" si="51"/>
        <v>0</v>
      </c>
      <c r="AB90" s="883">
        <f t="shared" si="51"/>
        <v>0</v>
      </c>
      <c r="AC90" s="882">
        <f t="shared" si="51"/>
        <v>0</v>
      </c>
      <c r="AD90" s="882">
        <f t="shared" si="51"/>
        <v>0</v>
      </c>
      <c r="AE90" s="882">
        <f t="shared" si="51"/>
        <v>0</v>
      </c>
      <c r="AF90" s="882">
        <f t="shared" si="51"/>
        <v>0</v>
      </c>
      <c r="AG90" s="882">
        <f t="shared" si="51"/>
        <v>0</v>
      </c>
      <c r="AH90" s="882">
        <f t="shared" si="51"/>
        <v>0</v>
      </c>
      <c r="AI90" s="882">
        <f t="shared" si="51"/>
        <v>0</v>
      </c>
      <c r="AJ90" s="882">
        <f t="shared" si="51"/>
        <v>0</v>
      </c>
      <c r="AK90" s="882">
        <f t="shared" si="51"/>
        <v>0</v>
      </c>
      <c r="AL90" s="882">
        <f t="shared" si="51"/>
        <v>0</v>
      </c>
      <c r="AM90" s="882">
        <f t="shared" si="51"/>
        <v>0</v>
      </c>
      <c r="AN90" s="883">
        <f t="shared" si="51"/>
        <v>0</v>
      </c>
    </row>
    <row r="91" spans="1:41" ht="12.75" x14ac:dyDescent="0.2">
      <c r="A91" s="863" t="s">
        <v>283</v>
      </c>
      <c r="B91" s="902" t="s">
        <v>123</v>
      </c>
      <c r="C91" s="887"/>
      <c r="D91" s="956"/>
      <c r="E91" s="887"/>
      <c r="F91" s="887">
        <f t="shared" ref="F91:AN91" si="52">F76-E76</f>
        <v>0</v>
      </c>
      <c r="G91" s="887">
        <f t="shared" si="52"/>
        <v>0</v>
      </c>
      <c r="H91" s="887">
        <f t="shared" si="52"/>
        <v>0</v>
      </c>
      <c r="I91" s="887">
        <f t="shared" si="52"/>
        <v>0</v>
      </c>
      <c r="J91" s="887">
        <f t="shared" si="52"/>
        <v>0</v>
      </c>
      <c r="K91" s="887">
        <f t="shared" si="52"/>
        <v>0</v>
      </c>
      <c r="L91" s="887">
        <f t="shared" si="52"/>
        <v>0</v>
      </c>
      <c r="M91" s="887">
        <f t="shared" si="52"/>
        <v>0</v>
      </c>
      <c r="N91" s="887">
        <f t="shared" si="52"/>
        <v>0</v>
      </c>
      <c r="O91" s="887">
        <f t="shared" si="52"/>
        <v>0</v>
      </c>
      <c r="P91" s="843">
        <f t="shared" si="52"/>
        <v>0</v>
      </c>
      <c r="Q91" s="887">
        <f t="shared" si="52"/>
        <v>0</v>
      </c>
      <c r="R91" s="887">
        <f t="shared" si="52"/>
        <v>0</v>
      </c>
      <c r="S91" s="887">
        <f t="shared" si="52"/>
        <v>0</v>
      </c>
      <c r="T91" s="887">
        <f t="shared" si="52"/>
        <v>0</v>
      </c>
      <c r="U91" s="887">
        <f t="shared" si="52"/>
        <v>0</v>
      </c>
      <c r="V91" s="887">
        <f t="shared" si="52"/>
        <v>0</v>
      </c>
      <c r="W91" s="887">
        <f t="shared" si="52"/>
        <v>0</v>
      </c>
      <c r="X91" s="887">
        <f t="shared" si="52"/>
        <v>0</v>
      </c>
      <c r="Y91" s="887">
        <f t="shared" si="52"/>
        <v>0</v>
      </c>
      <c r="Z91" s="887">
        <f t="shared" si="52"/>
        <v>0</v>
      </c>
      <c r="AA91" s="887">
        <f t="shared" si="52"/>
        <v>0</v>
      </c>
      <c r="AB91" s="843">
        <f t="shared" si="52"/>
        <v>0</v>
      </c>
      <c r="AC91" s="887">
        <f t="shared" si="52"/>
        <v>0</v>
      </c>
      <c r="AD91" s="887">
        <f t="shared" si="52"/>
        <v>0</v>
      </c>
      <c r="AE91" s="887">
        <f t="shared" si="52"/>
        <v>0</v>
      </c>
      <c r="AF91" s="887">
        <f t="shared" si="52"/>
        <v>0</v>
      </c>
      <c r="AG91" s="887">
        <f t="shared" si="52"/>
        <v>0</v>
      </c>
      <c r="AH91" s="887">
        <f t="shared" si="52"/>
        <v>0</v>
      </c>
      <c r="AI91" s="887">
        <f t="shared" si="52"/>
        <v>0</v>
      </c>
      <c r="AJ91" s="887">
        <f t="shared" si="52"/>
        <v>0</v>
      </c>
      <c r="AK91" s="887">
        <f t="shared" si="52"/>
        <v>0</v>
      </c>
      <c r="AL91" s="887">
        <f t="shared" si="52"/>
        <v>0</v>
      </c>
      <c r="AM91" s="887">
        <f t="shared" si="52"/>
        <v>0</v>
      </c>
      <c r="AN91" s="843">
        <f t="shared" si="52"/>
        <v>0</v>
      </c>
    </row>
    <row r="92" spans="1:41" ht="12.75" x14ac:dyDescent="0.2">
      <c r="A92" s="957"/>
      <c r="B92" s="931" t="s">
        <v>124</v>
      </c>
      <c r="C92" s="960"/>
      <c r="D92" s="970"/>
      <c r="E92" s="960"/>
      <c r="F92" s="960">
        <f t="shared" ref="F92:AN92" si="53">F77-E77</f>
        <v>0</v>
      </c>
      <c r="G92" s="960">
        <f t="shared" si="53"/>
        <v>0</v>
      </c>
      <c r="H92" s="960">
        <f t="shared" si="53"/>
        <v>0</v>
      </c>
      <c r="I92" s="960">
        <f t="shared" si="53"/>
        <v>0</v>
      </c>
      <c r="J92" s="960">
        <f t="shared" si="53"/>
        <v>0</v>
      </c>
      <c r="K92" s="960">
        <f t="shared" si="53"/>
        <v>0</v>
      </c>
      <c r="L92" s="960">
        <f t="shared" si="53"/>
        <v>0</v>
      </c>
      <c r="M92" s="960">
        <f t="shared" si="53"/>
        <v>0</v>
      </c>
      <c r="N92" s="960">
        <f t="shared" si="53"/>
        <v>0</v>
      </c>
      <c r="O92" s="960">
        <f t="shared" si="53"/>
        <v>0</v>
      </c>
      <c r="P92" s="961">
        <f t="shared" si="53"/>
        <v>0</v>
      </c>
      <c r="Q92" s="960">
        <f t="shared" si="53"/>
        <v>0</v>
      </c>
      <c r="R92" s="960">
        <f t="shared" si="53"/>
        <v>0</v>
      </c>
      <c r="S92" s="960">
        <f t="shared" si="53"/>
        <v>0</v>
      </c>
      <c r="T92" s="960">
        <f t="shared" si="53"/>
        <v>0</v>
      </c>
      <c r="U92" s="960">
        <f t="shared" si="53"/>
        <v>0</v>
      </c>
      <c r="V92" s="960">
        <f t="shared" si="53"/>
        <v>0</v>
      </c>
      <c r="W92" s="960">
        <f t="shared" si="53"/>
        <v>0</v>
      </c>
      <c r="X92" s="960">
        <f t="shared" si="53"/>
        <v>0</v>
      </c>
      <c r="Y92" s="960">
        <f t="shared" si="53"/>
        <v>0</v>
      </c>
      <c r="Z92" s="960">
        <f t="shared" si="53"/>
        <v>0</v>
      </c>
      <c r="AA92" s="960">
        <f t="shared" si="53"/>
        <v>0</v>
      </c>
      <c r="AB92" s="961">
        <f t="shared" si="53"/>
        <v>0</v>
      </c>
      <c r="AC92" s="960">
        <f t="shared" si="53"/>
        <v>0</v>
      </c>
      <c r="AD92" s="960">
        <f t="shared" si="53"/>
        <v>0</v>
      </c>
      <c r="AE92" s="960">
        <f t="shared" si="53"/>
        <v>0</v>
      </c>
      <c r="AF92" s="960">
        <f t="shared" si="53"/>
        <v>0</v>
      </c>
      <c r="AG92" s="960">
        <f t="shared" si="53"/>
        <v>0</v>
      </c>
      <c r="AH92" s="960">
        <f t="shared" si="53"/>
        <v>0</v>
      </c>
      <c r="AI92" s="960">
        <f t="shared" si="53"/>
        <v>0</v>
      </c>
      <c r="AJ92" s="960">
        <f t="shared" si="53"/>
        <v>0</v>
      </c>
      <c r="AK92" s="960">
        <f t="shared" si="53"/>
        <v>0</v>
      </c>
      <c r="AL92" s="960">
        <f t="shared" si="53"/>
        <v>0</v>
      </c>
      <c r="AM92" s="960">
        <f t="shared" si="53"/>
        <v>0</v>
      </c>
      <c r="AN92" s="961">
        <f t="shared" si="53"/>
        <v>0</v>
      </c>
    </row>
    <row r="93" spans="1:41" ht="12.75" x14ac:dyDescent="0.2">
      <c r="A93" s="829"/>
      <c r="B93" s="829"/>
      <c r="C93" s="829"/>
      <c r="D93" s="829"/>
      <c r="E93" s="829"/>
      <c r="F93" s="829"/>
      <c r="G93" s="829"/>
      <c r="H93" s="829"/>
      <c r="I93" s="829"/>
      <c r="J93" s="829"/>
      <c r="K93" s="829"/>
      <c r="L93" s="829"/>
      <c r="M93" s="829"/>
      <c r="N93" s="829"/>
      <c r="O93" s="829"/>
      <c r="P93" s="829"/>
      <c r="Q93" s="829"/>
      <c r="R93" s="829"/>
      <c r="S93" s="829"/>
      <c r="T93" s="829"/>
      <c r="U93" s="829"/>
      <c r="V93" s="829"/>
      <c r="W93" s="829"/>
      <c r="X93" s="829"/>
      <c r="Y93" s="829"/>
      <c r="Z93" s="829"/>
      <c r="AA93" s="829"/>
      <c r="AB93" s="829"/>
      <c r="AC93" s="829"/>
      <c r="AD93" s="829"/>
      <c r="AE93" s="829"/>
      <c r="AF93" s="829"/>
      <c r="AG93" s="829"/>
      <c r="AH93" s="829"/>
      <c r="AI93" s="829"/>
      <c r="AJ93" s="829"/>
      <c r="AK93" s="829"/>
      <c r="AL93" s="829"/>
      <c r="AM93" s="829"/>
      <c r="AN93" s="829"/>
    </row>
    <row r="94" spans="1:41" ht="12.75" x14ac:dyDescent="0.2">
      <c r="A94" s="829"/>
      <c r="B94" s="829"/>
      <c r="C94" s="829"/>
      <c r="D94" s="829"/>
      <c r="E94" s="829"/>
      <c r="F94" s="829"/>
      <c r="G94" s="829"/>
      <c r="H94" s="829"/>
      <c r="I94" s="829"/>
      <c r="J94" s="829"/>
      <c r="K94" s="829"/>
      <c r="L94" s="829"/>
      <c r="M94" s="829"/>
      <c r="N94" s="829"/>
      <c r="O94" s="829"/>
      <c r="P94" s="829"/>
      <c r="Q94" s="829"/>
      <c r="R94" s="829"/>
      <c r="S94" s="829"/>
      <c r="T94" s="829"/>
      <c r="U94" s="829"/>
      <c r="V94" s="829"/>
      <c r="W94" s="829"/>
      <c r="X94" s="829"/>
      <c r="Y94" s="829"/>
      <c r="Z94" s="829"/>
      <c r="AA94" s="829"/>
      <c r="AB94" s="829"/>
      <c r="AC94" s="829"/>
      <c r="AD94" s="829"/>
      <c r="AE94" s="829"/>
      <c r="AF94" s="829"/>
      <c r="AG94" s="829"/>
      <c r="AH94" s="829"/>
      <c r="AI94" s="829"/>
      <c r="AJ94" s="829"/>
      <c r="AK94" s="829"/>
      <c r="AL94" s="829"/>
      <c r="AM94" s="829"/>
      <c r="AN94" s="829"/>
    </row>
    <row r="95" spans="1:41" ht="12.75" x14ac:dyDescent="0.2">
      <c r="A95" s="829"/>
      <c r="B95" s="829"/>
      <c r="C95" s="829"/>
      <c r="D95" s="829"/>
      <c r="E95" s="829"/>
      <c r="F95" s="829"/>
      <c r="G95" s="829"/>
      <c r="H95" s="829"/>
      <c r="J95" s="829"/>
      <c r="K95" s="829"/>
      <c r="L95" s="829"/>
      <c r="M95" s="829"/>
      <c r="N95" s="829"/>
      <c r="O95" s="829"/>
      <c r="P95" s="829"/>
      <c r="Q95" s="829"/>
      <c r="R95" s="829"/>
      <c r="S95" s="829"/>
      <c r="T95" s="829"/>
      <c r="U95" s="829"/>
      <c r="V95" s="829"/>
      <c r="W95" s="829"/>
      <c r="X95" s="829"/>
      <c r="Y95" s="829"/>
      <c r="Z95" s="829"/>
      <c r="AA95" s="829"/>
      <c r="AB95" s="829"/>
      <c r="AC95" s="829"/>
      <c r="AD95" s="829"/>
      <c r="AE95" s="829"/>
      <c r="AF95" s="829"/>
      <c r="AG95" s="829"/>
      <c r="AH95" s="829"/>
      <c r="AI95" s="829"/>
      <c r="AJ95" s="829"/>
      <c r="AK95" s="829"/>
      <c r="AL95" s="829"/>
      <c r="AM95" s="829"/>
      <c r="AN95" s="829"/>
    </row>
    <row r="96" spans="1:41" ht="12.75" x14ac:dyDescent="0.2">
      <c r="A96" s="829"/>
      <c r="B96" s="829"/>
      <c r="C96" s="829"/>
      <c r="D96" s="829"/>
      <c r="E96" s="829"/>
      <c r="F96" s="829"/>
      <c r="G96" s="829"/>
      <c r="H96" s="829"/>
      <c r="I96" s="829"/>
      <c r="J96" s="829"/>
      <c r="K96" s="829"/>
      <c r="L96" s="829"/>
      <c r="M96" s="829"/>
      <c r="N96" s="829"/>
      <c r="O96" s="829"/>
      <c r="P96" s="829"/>
      <c r="Q96" s="829"/>
      <c r="R96" s="829"/>
      <c r="S96" s="829"/>
      <c r="T96" s="829"/>
      <c r="U96" s="829"/>
      <c r="V96" s="829"/>
      <c r="W96" s="829"/>
      <c r="X96" s="829"/>
      <c r="Y96" s="829"/>
      <c r="Z96" s="829"/>
      <c r="AA96" s="829"/>
      <c r="AB96" s="829"/>
      <c r="AC96" s="829"/>
      <c r="AD96" s="829"/>
      <c r="AE96" s="829"/>
      <c r="AF96" s="829"/>
      <c r="AG96" s="829"/>
      <c r="AH96" s="829"/>
      <c r="AI96" s="829"/>
      <c r="AJ96" s="829"/>
      <c r="AK96" s="829"/>
      <c r="AL96" s="829"/>
      <c r="AM96" s="829"/>
      <c r="AN96" s="829"/>
    </row>
    <row r="97" spans="1:40" ht="12.75" x14ac:dyDescent="0.2">
      <c r="A97" s="829"/>
      <c r="B97" s="829"/>
      <c r="C97" s="971"/>
      <c r="D97" s="829"/>
      <c r="E97" s="829"/>
      <c r="F97" s="829"/>
      <c r="G97" s="829"/>
      <c r="H97" s="829"/>
      <c r="I97" s="829"/>
      <c r="J97" s="829"/>
      <c r="K97" s="829"/>
      <c r="L97" s="829"/>
      <c r="M97" s="829"/>
      <c r="N97" s="829"/>
      <c r="O97" s="829"/>
      <c r="P97" s="829"/>
      <c r="Q97" s="829"/>
      <c r="R97" s="829"/>
      <c r="S97" s="829"/>
      <c r="T97" s="829"/>
      <c r="U97" s="829"/>
      <c r="V97" s="829"/>
      <c r="W97" s="829"/>
      <c r="X97" s="829"/>
      <c r="Y97" s="829"/>
      <c r="Z97" s="829"/>
      <c r="AA97" s="829"/>
      <c r="AB97" s="829"/>
      <c r="AC97" s="829"/>
      <c r="AD97" s="829"/>
      <c r="AE97" s="829"/>
      <c r="AF97" s="829"/>
      <c r="AG97" s="829"/>
      <c r="AH97" s="829"/>
      <c r="AI97" s="829"/>
      <c r="AJ97" s="829"/>
      <c r="AK97" s="829"/>
      <c r="AL97" s="829"/>
      <c r="AM97" s="829"/>
      <c r="AN97" s="829"/>
    </row>
    <row r="98" spans="1:40" ht="12.75" x14ac:dyDescent="0.2">
      <c r="A98" s="829"/>
      <c r="B98" s="829"/>
      <c r="C98" s="829"/>
      <c r="D98" s="829"/>
      <c r="E98" s="829"/>
      <c r="F98" s="829"/>
      <c r="G98" s="829"/>
      <c r="H98" s="829"/>
      <c r="I98" s="829"/>
      <c r="J98" s="829"/>
      <c r="K98" s="829"/>
      <c r="L98" s="829"/>
      <c r="M98" s="829"/>
      <c r="N98" s="829"/>
      <c r="O98" s="829"/>
      <c r="P98" s="829"/>
      <c r="Q98" s="829"/>
      <c r="R98" s="829"/>
      <c r="S98" s="829"/>
      <c r="T98" s="829"/>
      <c r="U98" s="829"/>
      <c r="V98" s="829"/>
      <c r="W98" s="829"/>
      <c r="X98" s="829"/>
      <c r="Y98" s="829"/>
      <c r="Z98" s="829"/>
      <c r="AA98" s="829"/>
      <c r="AB98" s="829"/>
      <c r="AC98" s="829"/>
      <c r="AD98" s="829"/>
      <c r="AE98" s="829"/>
      <c r="AF98" s="829"/>
      <c r="AG98" s="829"/>
      <c r="AH98" s="829"/>
      <c r="AI98" s="829"/>
      <c r="AJ98" s="829"/>
      <c r="AK98" s="829"/>
      <c r="AL98" s="829"/>
      <c r="AM98" s="829"/>
      <c r="AN98" s="829"/>
    </row>
    <row r="99" spans="1:40" ht="12.75" x14ac:dyDescent="0.2">
      <c r="A99" s="829"/>
      <c r="B99" s="829"/>
      <c r="C99" s="829"/>
      <c r="D99" s="829"/>
      <c r="E99" s="829"/>
      <c r="F99" s="829"/>
      <c r="G99" s="829"/>
      <c r="H99" s="829"/>
      <c r="I99" s="829"/>
      <c r="J99" s="829"/>
      <c r="K99" s="829"/>
      <c r="L99" s="829"/>
      <c r="M99" s="829"/>
      <c r="N99" s="829"/>
      <c r="O99" s="829"/>
      <c r="P99" s="829"/>
      <c r="Q99" s="829"/>
      <c r="R99" s="829"/>
      <c r="S99" s="829"/>
      <c r="T99" s="829"/>
      <c r="U99" s="829"/>
      <c r="V99" s="829"/>
      <c r="W99" s="829"/>
      <c r="X99" s="829"/>
      <c r="Y99" s="829"/>
      <c r="Z99" s="829"/>
      <c r="AA99" s="829"/>
      <c r="AB99" s="829"/>
      <c r="AC99" s="829"/>
      <c r="AD99" s="829"/>
      <c r="AE99" s="829"/>
      <c r="AF99" s="829"/>
      <c r="AG99" s="829"/>
      <c r="AH99" s="829"/>
      <c r="AI99" s="829"/>
      <c r="AJ99" s="829"/>
      <c r="AK99" s="829"/>
      <c r="AL99" s="829"/>
      <c r="AM99" s="829"/>
      <c r="AN99" s="829"/>
    </row>
    <row r="100" spans="1:40" ht="12.75" x14ac:dyDescent="0.2">
      <c r="A100" s="829"/>
      <c r="B100" s="829"/>
      <c r="C100" s="829"/>
      <c r="D100" s="829"/>
      <c r="E100" s="829"/>
      <c r="F100" s="829"/>
      <c r="G100" s="829"/>
      <c r="H100" s="829"/>
      <c r="I100" s="829"/>
      <c r="J100" s="829"/>
      <c r="K100" s="829"/>
      <c r="L100" s="829"/>
      <c r="M100" s="829"/>
      <c r="N100" s="829"/>
      <c r="O100" s="829"/>
      <c r="P100" s="829"/>
      <c r="Q100" s="829"/>
      <c r="R100" s="829"/>
      <c r="S100" s="829"/>
      <c r="T100" s="829"/>
      <c r="U100" s="829"/>
      <c r="V100" s="829"/>
      <c r="W100" s="829"/>
      <c r="X100" s="829"/>
      <c r="Y100" s="829"/>
      <c r="Z100" s="829"/>
      <c r="AA100" s="829"/>
      <c r="AB100" s="829"/>
      <c r="AC100" s="829"/>
      <c r="AD100" s="829"/>
      <c r="AE100" s="829"/>
      <c r="AF100" s="829"/>
      <c r="AG100" s="829"/>
      <c r="AH100" s="829"/>
      <c r="AI100" s="829"/>
      <c r="AJ100" s="829"/>
      <c r="AK100" s="829"/>
      <c r="AL100" s="829"/>
      <c r="AM100" s="829"/>
      <c r="AN100" s="829"/>
    </row>
    <row r="101" spans="1:40" ht="12.75" x14ac:dyDescent="0.2">
      <c r="A101" s="829"/>
      <c r="B101" s="829"/>
      <c r="C101" s="829"/>
      <c r="D101" s="829"/>
      <c r="E101" s="829"/>
      <c r="F101" s="829"/>
      <c r="G101" s="829"/>
      <c r="H101" s="829"/>
      <c r="I101" s="829"/>
      <c r="J101" s="829"/>
      <c r="K101" s="829"/>
      <c r="L101" s="829"/>
      <c r="M101" s="829"/>
      <c r="N101" s="829"/>
      <c r="O101" s="829"/>
      <c r="P101" s="829"/>
      <c r="Q101" s="829"/>
      <c r="R101" s="829"/>
      <c r="S101" s="829"/>
      <c r="T101" s="829"/>
      <c r="U101" s="829"/>
      <c r="V101" s="829"/>
      <c r="W101" s="829"/>
      <c r="X101" s="829"/>
      <c r="Y101" s="829"/>
      <c r="Z101" s="829"/>
      <c r="AA101" s="829"/>
      <c r="AB101" s="829"/>
      <c r="AC101" s="829"/>
      <c r="AD101" s="829"/>
      <c r="AE101" s="829"/>
      <c r="AF101" s="829"/>
      <c r="AG101" s="829"/>
      <c r="AH101" s="829"/>
      <c r="AI101" s="829"/>
      <c r="AJ101" s="829"/>
      <c r="AK101" s="829"/>
      <c r="AL101" s="829"/>
      <c r="AM101" s="829"/>
      <c r="AN101" s="829"/>
    </row>
    <row r="102" spans="1:40" ht="12.75" x14ac:dyDescent="0.2">
      <c r="A102" s="829"/>
      <c r="B102" s="829"/>
      <c r="C102" s="829"/>
      <c r="D102" s="829"/>
      <c r="E102" s="829"/>
      <c r="F102" s="829"/>
      <c r="G102" s="829"/>
      <c r="H102" s="829"/>
      <c r="I102" s="829"/>
      <c r="J102" s="829"/>
      <c r="K102" s="829"/>
      <c r="L102" s="829"/>
      <c r="M102" s="829"/>
      <c r="N102" s="829"/>
      <c r="O102" s="829"/>
      <c r="P102" s="829"/>
      <c r="Q102" s="829"/>
      <c r="R102" s="829"/>
      <c r="S102" s="829"/>
      <c r="T102" s="829"/>
      <c r="U102" s="829"/>
      <c r="V102" s="829"/>
      <c r="W102" s="829"/>
      <c r="X102" s="829"/>
      <c r="Y102" s="829"/>
      <c r="Z102" s="829"/>
      <c r="AA102" s="829"/>
      <c r="AB102" s="829"/>
      <c r="AC102" s="829"/>
      <c r="AD102" s="829"/>
      <c r="AE102" s="829"/>
      <c r="AF102" s="829"/>
      <c r="AG102" s="829"/>
      <c r="AH102" s="829"/>
      <c r="AI102" s="829"/>
      <c r="AJ102" s="829"/>
      <c r="AK102" s="829"/>
      <c r="AL102" s="829"/>
      <c r="AM102" s="829"/>
      <c r="AN102" s="829"/>
    </row>
    <row r="103" spans="1:40" ht="12.75" x14ac:dyDescent="0.2">
      <c r="A103" s="829"/>
      <c r="B103" s="829"/>
      <c r="C103" s="829"/>
      <c r="D103" s="829"/>
      <c r="E103" s="829"/>
      <c r="F103" s="829"/>
      <c r="G103" s="829"/>
      <c r="H103" s="829"/>
      <c r="I103" s="829"/>
      <c r="J103" s="829"/>
      <c r="K103" s="829"/>
      <c r="L103" s="829"/>
      <c r="M103" s="829"/>
      <c r="N103" s="829"/>
      <c r="O103" s="829"/>
      <c r="P103" s="829"/>
      <c r="Q103" s="829"/>
      <c r="R103" s="829"/>
      <c r="S103" s="829"/>
      <c r="T103" s="829"/>
      <c r="U103" s="829"/>
      <c r="V103" s="829"/>
      <c r="W103" s="829"/>
      <c r="X103" s="829"/>
      <c r="Y103" s="829"/>
      <c r="Z103" s="829"/>
      <c r="AA103" s="829"/>
      <c r="AB103" s="829"/>
      <c r="AC103" s="829"/>
      <c r="AD103" s="829"/>
      <c r="AE103" s="829"/>
      <c r="AF103" s="829"/>
      <c r="AG103" s="829"/>
      <c r="AH103" s="829"/>
      <c r="AI103" s="829"/>
      <c r="AJ103" s="829"/>
      <c r="AK103" s="829"/>
      <c r="AL103" s="829"/>
      <c r="AM103" s="829"/>
      <c r="AN103" s="829"/>
    </row>
    <row r="104" spans="1:40" ht="12.75" x14ac:dyDescent="0.2">
      <c r="A104" s="829"/>
      <c r="B104" s="829"/>
      <c r="C104" s="829"/>
      <c r="D104" s="829"/>
      <c r="E104" s="829"/>
      <c r="F104" s="829"/>
      <c r="G104" s="829"/>
      <c r="H104" s="829"/>
      <c r="I104" s="829"/>
      <c r="J104" s="829"/>
      <c r="K104" s="829"/>
      <c r="L104" s="829"/>
      <c r="M104" s="829"/>
      <c r="N104" s="829"/>
      <c r="O104" s="829"/>
      <c r="P104" s="829"/>
      <c r="Q104" s="829"/>
      <c r="R104" s="829"/>
      <c r="S104" s="829"/>
      <c r="T104" s="829"/>
      <c r="U104" s="829"/>
      <c r="V104" s="829"/>
      <c r="W104" s="829"/>
      <c r="X104" s="829"/>
      <c r="Y104" s="829"/>
      <c r="Z104" s="829"/>
      <c r="AA104" s="829"/>
      <c r="AB104" s="829"/>
      <c r="AC104" s="829"/>
      <c r="AD104" s="829"/>
      <c r="AE104" s="829"/>
      <c r="AF104" s="829"/>
      <c r="AG104" s="829"/>
      <c r="AH104" s="829"/>
      <c r="AI104" s="829"/>
      <c r="AJ104" s="829"/>
      <c r="AK104" s="829"/>
      <c r="AL104" s="829"/>
      <c r="AM104" s="829"/>
      <c r="AN104" s="829"/>
    </row>
    <row r="105" spans="1:40" ht="12.75" x14ac:dyDescent="0.2">
      <c r="A105" s="829"/>
      <c r="B105" s="829"/>
      <c r="C105" s="829"/>
      <c r="D105" s="829"/>
      <c r="E105" s="829"/>
      <c r="F105" s="829"/>
      <c r="G105" s="829"/>
      <c r="H105" s="829"/>
      <c r="I105" s="829"/>
      <c r="J105" s="829"/>
      <c r="K105" s="829"/>
      <c r="L105" s="829"/>
      <c r="M105" s="829"/>
      <c r="N105" s="829"/>
      <c r="O105" s="829"/>
      <c r="P105" s="829"/>
      <c r="Q105" s="829"/>
      <c r="R105" s="829"/>
      <c r="S105" s="829"/>
      <c r="T105" s="829"/>
      <c r="U105" s="829"/>
      <c r="V105" s="829"/>
      <c r="W105" s="829"/>
      <c r="X105" s="829"/>
      <c r="Y105" s="829"/>
      <c r="Z105" s="829"/>
      <c r="AA105" s="829"/>
      <c r="AB105" s="829"/>
      <c r="AC105" s="829"/>
      <c r="AD105" s="829"/>
      <c r="AE105" s="829"/>
      <c r="AF105" s="829"/>
      <c r="AG105" s="829"/>
      <c r="AH105" s="829"/>
      <c r="AI105" s="829"/>
      <c r="AJ105" s="829"/>
      <c r="AK105" s="829"/>
      <c r="AL105" s="829"/>
      <c r="AM105" s="829"/>
      <c r="AN105" s="829"/>
    </row>
    <row r="106" spans="1:40" ht="12.75" x14ac:dyDescent="0.2">
      <c r="A106" s="829"/>
      <c r="B106" s="829"/>
      <c r="C106" s="829"/>
      <c r="D106" s="829"/>
      <c r="E106" s="829"/>
      <c r="F106" s="829"/>
      <c r="G106" s="829"/>
      <c r="H106" s="829"/>
      <c r="I106" s="829"/>
      <c r="J106" s="829"/>
      <c r="K106" s="829"/>
      <c r="L106" s="829"/>
      <c r="M106" s="829"/>
      <c r="N106" s="829"/>
      <c r="O106" s="829"/>
      <c r="P106" s="829"/>
      <c r="Q106" s="829"/>
      <c r="R106" s="829"/>
      <c r="S106" s="829"/>
      <c r="T106" s="829"/>
      <c r="U106" s="829"/>
      <c r="V106" s="829"/>
      <c r="W106" s="829"/>
      <c r="X106" s="829"/>
      <c r="Y106" s="829"/>
      <c r="Z106" s="829"/>
      <c r="AA106" s="829"/>
      <c r="AB106" s="829"/>
      <c r="AC106" s="829"/>
      <c r="AD106" s="829"/>
      <c r="AE106" s="829"/>
      <c r="AF106" s="829"/>
      <c r="AG106" s="829"/>
      <c r="AH106" s="829"/>
      <c r="AI106" s="829"/>
      <c r="AJ106" s="829"/>
      <c r="AK106" s="829"/>
      <c r="AL106" s="829"/>
      <c r="AM106" s="829"/>
      <c r="AN106" s="829"/>
    </row>
    <row r="107" spans="1:40" ht="12.75" x14ac:dyDescent="0.2">
      <c r="A107" s="829"/>
      <c r="B107" s="829"/>
      <c r="C107" s="829"/>
      <c r="D107" s="829"/>
      <c r="E107" s="829"/>
      <c r="F107" s="829"/>
      <c r="G107" s="829"/>
      <c r="H107" s="829"/>
      <c r="I107" s="829"/>
      <c r="J107" s="829"/>
      <c r="K107" s="829"/>
      <c r="L107" s="829"/>
      <c r="M107" s="829"/>
      <c r="N107" s="829"/>
      <c r="O107" s="829"/>
      <c r="P107" s="829"/>
      <c r="Q107" s="829"/>
      <c r="R107" s="829"/>
      <c r="S107" s="829"/>
      <c r="T107" s="829"/>
      <c r="U107" s="829"/>
      <c r="V107" s="829"/>
      <c r="W107" s="829"/>
      <c r="X107" s="829"/>
      <c r="Y107" s="829"/>
      <c r="Z107" s="829"/>
      <c r="AA107" s="829"/>
      <c r="AB107" s="829"/>
      <c r="AC107" s="829"/>
      <c r="AD107" s="829"/>
      <c r="AE107" s="829"/>
      <c r="AF107" s="829"/>
      <c r="AG107" s="829"/>
      <c r="AH107" s="829"/>
      <c r="AI107" s="829"/>
      <c r="AJ107" s="829"/>
      <c r="AK107" s="829"/>
      <c r="AL107" s="829"/>
      <c r="AM107" s="829"/>
      <c r="AN107" s="829"/>
    </row>
    <row r="108" spans="1:40" ht="12.75" x14ac:dyDescent="0.2">
      <c r="A108" s="829"/>
      <c r="B108" s="829"/>
      <c r="C108" s="829"/>
      <c r="D108" s="829"/>
      <c r="E108" s="829"/>
      <c r="F108" s="829"/>
      <c r="G108" s="829"/>
      <c r="H108" s="829"/>
      <c r="I108" s="829"/>
      <c r="J108" s="829"/>
      <c r="K108" s="829"/>
      <c r="L108" s="829"/>
      <c r="M108" s="829"/>
      <c r="N108" s="829"/>
      <c r="O108" s="829"/>
      <c r="P108" s="829"/>
      <c r="Q108" s="829"/>
      <c r="R108" s="829"/>
      <c r="S108" s="829"/>
      <c r="T108" s="829"/>
      <c r="U108" s="829"/>
      <c r="V108" s="829"/>
      <c r="W108" s="829"/>
      <c r="X108" s="829"/>
      <c r="Y108" s="829"/>
      <c r="Z108" s="829"/>
      <c r="AA108" s="829"/>
      <c r="AB108" s="829"/>
      <c r="AC108" s="829"/>
      <c r="AD108" s="829"/>
      <c r="AE108" s="829"/>
      <c r="AF108" s="829"/>
      <c r="AG108" s="829"/>
      <c r="AH108" s="829"/>
      <c r="AI108" s="829"/>
      <c r="AJ108" s="829"/>
      <c r="AK108" s="829"/>
      <c r="AL108" s="829"/>
      <c r="AM108" s="829"/>
      <c r="AN108" s="829"/>
    </row>
    <row r="109" spans="1:40" ht="12.75" x14ac:dyDescent="0.2">
      <c r="A109" s="829"/>
      <c r="B109" s="829"/>
      <c r="C109" s="829"/>
      <c r="D109" s="829"/>
      <c r="E109" s="829"/>
      <c r="F109" s="829"/>
      <c r="G109" s="829"/>
      <c r="H109" s="829"/>
      <c r="I109" s="829"/>
      <c r="J109" s="829"/>
      <c r="K109" s="829"/>
      <c r="L109" s="829"/>
      <c r="M109" s="829"/>
      <c r="N109" s="829"/>
      <c r="O109" s="829"/>
      <c r="P109" s="829"/>
      <c r="Q109" s="829"/>
      <c r="R109" s="829"/>
      <c r="S109" s="829"/>
      <c r="T109" s="829"/>
      <c r="U109" s="829"/>
      <c r="V109" s="829"/>
      <c r="W109" s="829"/>
      <c r="X109" s="829"/>
      <c r="Y109" s="829"/>
      <c r="Z109" s="829"/>
      <c r="AA109" s="829"/>
      <c r="AB109" s="829"/>
      <c r="AC109" s="829"/>
      <c r="AD109" s="829"/>
      <c r="AE109" s="829"/>
      <c r="AF109" s="829"/>
      <c r="AG109" s="829"/>
      <c r="AH109" s="829"/>
      <c r="AI109" s="829"/>
      <c r="AJ109" s="829"/>
      <c r="AK109" s="829"/>
      <c r="AL109" s="829"/>
      <c r="AM109" s="829"/>
      <c r="AN109" s="829"/>
    </row>
    <row r="110" spans="1:40" ht="12.75" x14ac:dyDescent="0.2">
      <c r="A110" s="829"/>
      <c r="B110" s="829"/>
      <c r="C110" s="829"/>
      <c r="D110" s="829"/>
      <c r="E110" s="829"/>
      <c r="F110" s="829"/>
      <c r="G110" s="829"/>
      <c r="H110" s="829"/>
      <c r="I110" s="829"/>
      <c r="J110" s="829"/>
      <c r="K110" s="829"/>
      <c r="L110" s="829"/>
      <c r="M110" s="829"/>
      <c r="N110" s="829"/>
      <c r="O110" s="829"/>
      <c r="P110" s="829"/>
      <c r="Q110" s="829"/>
      <c r="R110" s="829"/>
      <c r="S110" s="829"/>
      <c r="T110" s="829"/>
      <c r="U110" s="829"/>
      <c r="V110" s="829"/>
      <c r="W110" s="829"/>
      <c r="X110" s="829"/>
      <c r="Y110" s="829"/>
      <c r="Z110" s="829"/>
      <c r="AA110" s="829"/>
      <c r="AB110" s="829"/>
      <c r="AC110" s="829"/>
      <c r="AD110" s="829"/>
      <c r="AE110" s="829"/>
      <c r="AF110" s="829"/>
      <c r="AG110" s="829"/>
      <c r="AH110" s="829"/>
      <c r="AI110" s="829"/>
      <c r="AJ110" s="829"/>
      <c r="AK110" s="829"/>
      <c r="AL110" s="829"/>
      <c r="AM110" s="829"/>
      <c r="AN110" s="829"/>
    </row>
    <row r="111" spans="1:40" ht="12.75" x14ac:dyDescent="0.2">
      <c r="A111" s="829"/>
      <c r="B111" s="829"/>
      <c r="C111" s="829"/>
      <c r="D111" s="829"/>
      <c r="E111" s="829"/>
      <c r="F111" s="829"/>
      <c r="G111" s="829"/>
      <c r="H111" s="829"/>
      <c r="I111" s="829"/>
      <c r="J111" s="829"/>
      <c r="K111" s="829"/>
      <c r="L111" s="829"/>
      <c r="M111" s="829"/>
      <c r="N111" s="829"/>
      <c r="O111" s="829"/>
      <c r="P111" s="829"/>
      <c r="Q111" s="829"/>
      <c r="R111" s="829"/>
      <c r="S111" s="829"/>
      <c r="T111" s="829"/>
      <c r="U111" s="829"/>
      <c r="V111" s="829"/>
      <c r="W111" s="829"/>
      <c r="X111" s="829"/>
      <c r="Y111" s="829"/>
      <c r="Z111" s="829"/>
      <c r="AA111" s="829"/>
      <c r="AB111" s="829"/>
      <c r="AC111" s="829"/>
      <c r="AD111" s="829"/>
      <c r="AE111" s="829"/>
      <c r="AF111" s="829"/>
      <c r="AG111" s="829"/>
      <c r="AH111" s="829"/>
      <c r="AI111" s="829"/>
      <c r="AJ111" s="829"/>
      <c r="AK111" s="829"/>
      <c r="AL111" s="829"/>
      <c r="AM111" s="829"/>
      <c r="AN111" s="829"/>
    </row>
    <row r="112" spans="1:40" ht="12.75" x14ac:dyDescent="0.2">
      <c r="A112" s="829"/>
      <c r="B112" s="829"/>
      <c r="C112" s="829"/>
      <c r="D112" s="829"/>
      <c r="E112" s="829"/>
      <c r="F112" s="829"/>
      <c r="G112" s="829"/>
      <c r="H112" s="829"/>
      <c r="I112" s="829"/>
      <c r="J112" s="829"/>
      <c r="K112" s="829"/>
      <c r="L112" s="829"/>
      <c r="M112" s="829"/>
      <c r="N112" s="829"/>
      <c r="O112" s="829"/>
      <c r="P112" s="829"/>
      <c r="Q112" s="829"/>
      <c r="R112" s="829"/>
      <c r="S112" s="829"/>
      <c r="T112" s="829"/>
      <c r="U112" s="829"/>
      <c r="V112" s="829"/>
      <c r="W112" s="829"/>
      <c r="X112" s="829"/>
      <c r="Y112" s="829"/>
      <c r="Z112" s="829"/>
      <c r="AA112" s="829"/>
      <c r="AB112" s="829"/>
      <c r="AC112" s="829"/>
      <c r="AD112" s="829"/>
      <c r="AE112" s="829"/>
      <c r="AF112" s="829"/>
      <c r="AG112" s="829"/>
      <c r="AH112" s="829"/>
      <c r="AI112" s="829"/>
      <c r="AJ112" s="829"/>
      <c r="AK112" s="829"/>
      <c r="AL112" s="829"/>
      <c r="AM112" s="829"/>
      <c r="AN112" s="829"/>
    </row>
    <row r="113" spans="1:40" ht="12.75" x14ac:dyDescent="0.2">
      <c r="A113" s="829"/>
      <c r="B113" s="829"/>
      <c r="C113" s="829"/>
      <c r="D113" s="829"/>
      <c r="E113" s="829"/>
      <c r="F113" s="829"/>
      <c r="G113" s="829"/>
      <c r="H113" s="829"/>
      <c r="I113" s="829"/>
      <c r="J113" s="829"/>
      <c r="K113" s="829"/>
      <c r="L113" s="829"/>
      <c r="M113" s="829"/>
      <c r="N113" s="829"/>
      <c r="O113" s="829"/>
      <c r="P113" s="829"/>
      <c r="Q113" s="829"/>
      <c r="R113" s="829"/>
      <c r="S113" s="829"/>
      <c r="T113" s="829"/>
      <c r="U113" s="829"/>
      <c r="V113" s="829"/>
      <c r="W113" s="829"/>
      <c r="X113" s="829"/>
      <c r="Y113" s="829"/>
      <c r="Z113" s="829"/>
      <c r="AA113" s="829"/>
      <c r="AB113" s="829"/>
      <c r="AC113" s="829"/>
      <c r="AD113" s="829"/>
      <c r="AE113" s="829"/>
      <c r="AF113" s="829"/>
      <c r="AG113" s="829"/>
      <c r="AH113" s="829"/>
      <c r="AI113" s="829"/>
      <c r="AJ113" s="829"/>
      <c r="AK113" s="829"/>
      <c r="AL113" s="829"/>
      <c r="AM113" s="829"/>
      <c r="AN113" s="829"/>
    </row>
    <row r="114" spans="1:40" ht="12.75" x14ac:dyDescent="0.2">
      <c r="A114" s="829"/>
      <c r="B114" s="829"/>
      <c r="C114" s="829"/>
      <c r="D114" s="829"/>
      <c r="E114" s="829"/>
      <c r="F114" s="829"/>
      <c r="G114" s="829"/>
      <c r="H114" s="829"/>
      <c r="I114" s="829"/>
      <c r="J114" s="829"/>
      <c r="K114" s="829"/>
      <c r="L114" s="829"/>
      <c r="M114" s="829"/>
      <c r="N114" s="829"/>
      <c r="O114" s="829"/>
      <c r="P114" s="829"/>
      <c r="Q114" s="829"/>
      <c r="R114" s="829"/>
      <c r="S114" s="829"/>
      <c r="T114" s="829"/>
      <c r="U114" s="829"/>
      <c r="V114" s="829"/>
      <c r="W114" s="829"/>
      <c r="X114" s="829"/>
      <c r="Y114" s="829"/>
      <c r="Z114" s="829"/>
      <c r="AA114" s="829"/>
      <c r="AB114" s="829"/>
      <c r="AC114" s="829"/>
      <c r="AD114" s="829"/>
      <c r="AE114" s="829"/>
      <c r="AF114" s="829"/>
      <c r="AG114" s="829"/>
      <c r="AH114" s="829"/>
      <c r="AI114" s="829"/>
      <c r="AJ114" s="829"/>
      <c r="AK114" s="829"/>
      <c r="AL114" s="829"/>
      <c r="AM114" s="829"/>
      <c r="AN114" s="829"/>
    </row>
    <row r="115" spans="1:40" ht="12.75" x14ac:dyDescent="0.2">
      <c r="A115" s="829"/>
      <c r="B115" s="829"/>
      <c r="C115" s="829"/>
      <c r="D115" s="829"/>
      <c r="E115" s="829"/>
      <c r="F115" s="829"/>
      <c r="G115" s="829"/>
      <c r="H115" s="829"/>
      <c r="I115" s="829"/>
      <c r="J115" s="829"/>
      <c r="K115" s="829"/>
      <c r="L115" s="829"/>
      <c r="M115" s="829"/>
      <c r="N115" s="829"/>
      <c r="O115" s="829"/>
      <c r="P115" s="829"/>
      <c r="Q115" s="829"/>
      <c r="R115" s="829"/>
      <c r="S115" s="829"/>
      <c r="T115" s="829"/>
      <c r="U115" s="829"/>
      <c r="V115" s="829"/>
      <c r="W115" s="829"/>
      <c r="X115" s="829"/>
      <c r="Y115" s="829"/>
      <c r="Z115" s="829"/>
      <c r="AA115" s="829"/>
      <c r="AB115" s="829"/>
      <c r="AC115" s="829"/>
      <c r="AD115" s="829"/>
      <c r="AE115" s="829"/>
      <c r="AF115" s="829"/>
      <c r="AG115" s="829"/>
      <c r="AH115" s="829"/>
      <c r="AI115" s="829"/>
      <c r="AJ115" s="829"/>
      <c r="AK115" s="829"/>
      <c r="AL115" s="829"/>
      <c r="AM115" s="829"/>
      <c r="AN115" s="829"/>
    </row>
    <row r="116" spans="1:40" ht="12.75" x14ac:dyDescent="0.2">
      <c r="A116" s="829"/>
      <c r="B116" s="829"/>
      <c r="C116" s="829"/>
      <c r="D116" s="829"/>
      <c r="E116" s="829"/>
      <c r="F116" s="829"/>
      <c r="G116" s="829"/>
      <c r="H116" s="829"/>
      <c r="I116" s="829"/>
      <c r="J116" s="829"/>
      <c r="K116" s="829"/>
      <c r="L116" s="829"/>
      <c r="M116" s="829"/>
      <c r="N116" s="829"/>
      <c r="O116" s="829"/>
      <c r="P116" s="829"/>
      <c r="Q116" s="829"/>
      <c r="R116" s="829"/>
      <c r="S116" s="829"/>
      <c r="T116" s="829"/>
      <c r="U116" s="829"/>
      <c r="V116" s="829"/>
      <c r="W116" s="829"/>
      <c r="X116" s="829"/>
      <c r="Y116" s="829"/>
      <c r="Z116" s="829"/>
      <c r="AA116" s="829"/>
      <c r="AB116" s="829"/>
      <c r="AC116" s="829"/>
      <c r="AD116" s="829"/>
      <c r="AE116" s="829"/>
      <c r="AF116" s="829"/>
      <c r="AG116" s="829"/>
      <c r="AH116" s="829"/>
      <c r="AI116" s="829"/>
      <c r="AJ116" s="829"/>
      <c r="AK116" s="829"/>
      <c r="AL116" s="829"/>
      <c r="AM116" s="829"/>
      <c r="AN116" s="829"/>
    </row>
    <row r="117" spans="1:40" ht="12.75" x14ac:dyDescent="0.2">
      <c r="A117" s="829"/>
      <c r="B117" s="829"/>
      <c r="C117" s="829"/>
      <c r="D117" s="829"/>
      <c r="E117" s="829"/>
      <c r="F117" s="829"/>
      <c r="G117" s="829"/>
      <c r="H117" s="829"/>
      <c r="I117" s="829"/>
      <c r="J117" s="829"/>
      <c r="K117" s="829"/>
      <c r="L117" s="829"/>
      <c r="M117" s="829"/>
      <c r="N117" s="829"/>
      <c r="O117" s="829"/>
      <c r="P117" s="829"/>
      <c r="Q117" s="829"/>
      <c r="R117" s="829"/>
      <c r="S117" s="829"/>
      <c r="T117" s="829"/>
      <c r="U117" s="829"/>
      <c r="V117" s="829"/>
      <c r="W117" s="829"/>
      <c r="X117" s="829"/>
      <c r="Y117" s="829"/>
      <c r="Z117" s="829"/>
      <c r="AA117" s="829"/>
      <c r="AB117" s="829"/>
      <c r="AC117" s="829"/>
      <c r="AD117" s="829"/>
      <c r="AE117" s="829"/>
      <c r="AF117" s="829"/>
      <c r="AG117" s="829"/>
      <c r="AH117" s="829"/>
      <c r="AI117" s="829"/>
      <c r="AJ117" s="829"/>
      <c r="AK117" s="829"/>
      <c r="AL117" s="829"/>
      <c r="AM117" s="829"/>
      <c r="AN117" s="829"/>
    </row>
    <row r="118" spans="1:40" ht="12.75" x14ac:dyDescent="0.2">
      <c r="A118" s="829"/>
      <c r="B118" s="829"/>
      <c r="C118" s="829"/>
      <c r="D118" s="829"/>
      <c r="E118" s="829"/>
      <c r="F118" s="829"/>
      <c r="G118" s="829"/>
      <c r="H118" s="829"/>
      <c r="I118" s="829"/>
      <c r="J118" s="829"/>
      <c r="K118" s="829"/>
      <c r="L118" s="829"/>
      <c r="M118" s="829"/>
      <c r="N118" s="829"/>
      <c r="O118" s="829"/>
      <c r="P118" s="829"/>
      <c r="Q118" s="829"/>
      <c r="R118" s="829"/>
      <c r="S118" s="829"/>
      <c r="T118" s="829"/>
      <c r="U118" s="829"/>
      <c r="V118" s="829"/>
      <c r="W118" s="829"/>
      <c r="X118" s="829"/>
      <c r="Y118" s="829"/>
      <c r="Z118" s="829"/>
      <c r="AA118" s="829"/>
      <c r="AB118" s="829"/>
      <c r="AC118" s="829"/>
      <c r="AD118" s="829"/>
      <c r="AE118" s="829"/>
      <c r="AF118" s="829"/>
      <c r="AG118" s="829"/>
      <c r="AH118" s="829"/>
      <c r="AI118" s="829"/>
      <c r="AJ118" s="829"/>
      <c r="AK118" s="829"/>
      <c r="AL118" s="829"/>
      <c r="AM118" s="829"/>
      <c r="AN118" s="829"/>
    </row>
    <row r="119" spans="1:40" ht="12.75" x14ac:dyDescent="0.2">
      <c r="A119" s="829"/>
      <c r="B119" s="829"/>
      <c r="C119" s="829"/>
      <c r="D119" s="829"/>
      <c r="E119" s="829"/>
      <c r="F119" s="829"/>
      <c r="G119" s="829"/>
      <c r="H119" s="829"/>
      <c r="I119" s="829"/>
      <c r="J119" s="829"/>
      <c r="K119" s="829"/>
      <c r="L119" s="829"/>
      <c r="M119" s="829"/>
      <c r="N119" s="829"/>
      <c r="O119" s="829"/>
      <c r="P119" s="829"/>
      <c r="Q119" s="829"/>
      <c r="R119" s="829"/>
      <c r="S119" s="829"/>
      <c r="T119" s="829"/>
      <c r="U119" s="829"/>
      <c r="V119" s="829"/>
      <c r="W119" s="829"/>
      <c r="X119" s="829"/>
      <c r="Y119" s="829"/>
      <c r="Z119" s="829"/>
      <c r="AA119" s="829"/>
      <c r="AB119" s="829"/>
      <c r="AC119" s="829"/>
      <c r="AD119" s="829"/>
      <c r="AE119" s="829"/>
      <c r="AF119" s="829"/>
      <c r="AG119" s="829"/>
      <c r="AH119" s="829"/>
      <c r="AI119" s="829"/>
      <c r="AJ119" s="829"/>
      <c r="AK119" s="829"/>
      <c r="AL119" s="829"/>
      <c r="AM119" s="829"/>
      <c r="AN119" s="829"/>
    </row>
    <row r="120" spans="1:40" ht="12.75" x14ac:dyDescent="0.2">
      <c r="A120" s="829"/>
      <c r="B120" s="829"/>
      <c r="C120" s="829"/>
      <c r="D120" s="829"/>
      <c r="E120" s="829"/>
      <c r="F120" s="829"/>
      <c r="G120" s="829"/>
      <c r="H120" s="829"/>
      <c r="I120" s="829"/>
      <c r="J120" s="829"/>
      <c r="K120" s="829"/>
      <c r="L120" s="829"/>
      <c r="M120" s="829"/>
      <c r="N120" s="829"/>
      <c r="O120" s="829"/>
      <c r="P120" s="829"/>
      <c r="Q120" s="829"/>
      <c r="R120" s="829"/>
      <c r="S120" s="829"/>
      <c r="T120" s="829"/>
      <c r="U120" s="829"/>
      <c r="V120" s="829"/>
      <c r="W120" s="829"/>
      <c r="X120" s="829"/>
      <c r="Y120" s="829"/>
      <c r="Z120" s="829"/>
      <c r="AA120" s="829"/>
      <c r="AB120" s="829"/>
      <c r="AC120" s="829"/>
      <c r="AD120" s="829"/>
      <c r="AE120" s="829"/>
      <c r="AF120" s="829"/>
      <c r="AG120" s="829"/>
      <c r="AH120" s="829"/>
      <c r="AI120" s="829"/>
      <c r="AJ120" s="829"/>
      <c r="AK120" s="829"/>
      <c r="AL120" s="829"/>
      <c r="AM120" s="829"/>
      <c r="AN120" s="829"/>
    </row>
    <row r="121" spans="1:40" ht="12.75" x14ac:dyDescent="0.2">
      <c r="A121" s="829"/>
      <c r="B121" s="829"/>
      <c r="C121" s="829"/>
      <c r="D121" s="829"/>
      <c r="E121" s="829"/>
      <c r="F121" s="829"/>
      <c r="G121" s="829"/>
      <c r="H121" s="829"/>
      <c r="I121" s="829"/>
      <c r="J121" s="829"/>
      <c r="K121" s="829"/>
      <c r="L121" s="829"/>
      <c r="M121" s="829"/>
      <c r="N121" s="829"/>
      <c r="O121" s="829"/>
      <c r="P121" s="829"/>
      <c r="Q121" s="829"/>
      <c r="R121" s="829"/>
      <c r="S121" s="829"/>
      <c r="T121" s="829"/>
      <c r="U121" s="829"/>
      <c r="V121" s="829"/>
      <c r="W121" s="829"/>
      <c r="X121" s="829"/>
      <c r="Y121" s="829"/>
      <c r="Z121" s="829"/>
      <c r="AA121" s="829"/>
      <c r="AB121" s="829"/>
      <c r="AC121" s="829"/>
      <c r="AD121" s="829"/>
      <c r="AE121" s="829"/>
      <c r="AF121" s="829"/>
      <c r="AG121" s="829"/>
      <c r="AH121" s="829"/>
      <c r="AI121" s="829"/>
      <c r="AJ121" s="829"/>
      <c r="AK121" s="829"/>
      <c r="AL121" s="829"/>
      <c r="AM121" s="829"/>
      <c r="AN121" s="829"/>
    </row>
    <row r="122" spans="1:40" ht="12.75" x14ac:dyDescent="0.2">
      <c r="A122" s="829"/>
      <c r="B122" s="829"/>
      <c r="C122" s="829"/>
      <c r="D122" s="829"/>
      <c r="E122" s="829"/>
      <c r="F122" s="829"/>
      <c r="G122" s="829"/>
      <c r="H122" s="829"/>
      <c r="I122" s="829"/>
      <c r="J122" s="829"/>
      <c r="K122" s="829"/>
      <c r="L122" s="829"/>
      <c r="M122" s="829"/>
      <c r="N122" s="829"/>
      <c r="O122" s="829"/>
      <c r="P122" s="829"/>
      <c r="Q122" s="829"/>
      <c r="R122" s="829"/>
      <c r="S122" s="829"/>
      <c r="T122" s="829"/>
      <c r="U122" s="829"/>
      <c r="V122" s="829"/>
      <c r="W122" s="829"/>
      <c r="X122" s="829"/>
      <c r="Y122" s="829"/>
      <c r="Z122" s="829"/>
      <c r="AA122" s="829"/>
      <c r="AB122" s="829"/>
      <c r="AC122" s="829"/>
      <c r="AD122" s="829"/>
      <c r="AE122" s="829"/>
      <c r="AF122" s="829"/>
      <c r="AG122" s="829"/>
      <c r="AH122" s="829"/>
      <c r="AI122" s="829"/>
      <c r="AJ122" s="829"/>
      <c r="AK122" s="829"/>
      <c r="AL122" s="829"/>
      <c r="AM122" s="829"/>
      <c r="AN122" s="829"/>
    </row>
    <row r="123" spans="1:40" ht="12.75" x14ac:dyDescent="0.2">
      <c r="A123" s="829"/>
      <c r="B123" s="829"/>
      <c r="C123" s="829"/>
      <c r="D123" s="829"/>
      <c r="E123" s="829"/>
      <c r="F123" s="829"/>
      <c r="G123" s="829"/>
      <c r="H123" s="829"/>
      <c r="I123" s="829"/>
      <c r="J123" s="829"/>
      <c r="K123" s="829"/>
      <c r="L123" s="829"/>
      <c r="M123" s="829"/>
      <c r="N123" s="829"/>
      <c r="O123" s="829"/>
      <c r="P123" s="829"/>
      <c r="Q123" s="829"/>
      <c r="R123" s="829"/>
      <c r="S123" s="829"/>
      <c r="T123" s="829"/>
      <c r="U123" s="829"/>
      <c r="V123" s="829"/>
      <c r="W123" s="829"/>
      <c r="X123" s="829"/>
      <c r="Y123" s="829"/>
      <c r="Z123" s="829"/>
      <c r="AA123" s="829"/>
      <c r="AB123" s="829"/>
      <c r="AC123" s="829"/>
      <c r="AD123" s="829"/>
      <c r="AE123" s="829"/>
      <c r="AF123" s="829"/>
      <c r="AG123" s="829"/>
      <c r="AH123" s="829"/>
      <c r="AI123" s="829"/>
      <c r="AJ123" s="829"/>
      <c r="AK123" s="829"/>
      <c r="AL123" s="829"/>
      <c r="AM123" s="829"/>
      <c r="AN123" s="829"/>
    </row>
    <row r="124" spans="1:40" ht="12.75" x14ac:dyDescent="0.2">
      <c r="A124" s="829"/>
      <c r="B124" s="829"/>
      <c r="C124" s="829"/>
      <c r="D124" s="829"/>
      <c r="E124" s="829"/>
      <c r="F124" s="829"/>
      <c r="G124" s="829"/>
      <c r="H124" s="829"/>
      <c r="I124" s="829"/>
      <c r="J124" s="829"/>
      <c r="K124" s="829"/>
      <c r="L124" s="829"/>
      <c r="M124" s="829"/>
      <c r="N124" s="829"/>
      <c r="O124" s="829"/>
      <c r="P124" s="829"/>
      <c r="Q124" s="829"/>
      <c r="R124" s="829"/>
      <c r="S124" s="829"/>
      <c r="T124" s="829"/>
      <c r="U124" s="829"/>
      <c r="V124" s="829"/>
      <c r="W124" s="829"/>
      <c r="X124" s="829"/>
      <c r="Y124" s="829"/>
      <c r="Z124" s="829"/>
      <c r="AA124" s="829"/>
      <c r="AB124" s="829"/>
      <c r="AC124" s="829"/>
      <c r="AD124" s="829"/>
      <c r="AE124" s="829"/>
      <c r="AF124" s="829"/>
      <c r="AG124" s="829"/>
      <c r="AH124" s="829"/>
      <c r="AI124" s="829"/>
      <c r="AJ124" s="829"/>
      <c r="AK124" s="829"/>
      <c r="AL124" s="829"/>
      <c r="AM124" s="829"/>
      <c r="AN124" s="829"/>
    </row>
    <row r="125" spans="1:40" ht="12.75" x14ac:dyDescent="0.2">
      <c r="A125" s="829"/>
      <c r="B125" s="829"/>
      <c r="C125" s="829"/>
      <c r="D125" s="829"/>
      <c r="E125" s="829"/>
      <c r="F125" s="829"/>
      <c r="G125" s="829"/>
      <c r="H125" s="829"/>
      <c r="I125" s="829"/>
      <c r="J125" s="829"/>
      <c r="K125" s="829"/>
      <c r="L125" s="829"/>
      <c r="M125" s="829"/>
      <c r="N125" s="829"/>
      <c r="O125" s="829"/>
      <c r="P125" s="829"/>
      <c r="Q125" s="829"/>
      <c r="R125" s="829"/>
      <c r="S125" s="829"/>
      <c r="T125" s="829"/>
      <c r="U125" s="829"/>
      <c r="V125" s="829"/>
      <c r="W125" s="829"/>
      <c r="X125" s="829"/>
      <c r="Y125" s="829"/>
      <c r="Z125" s="829"/>
      <c r="AA125" s="829"/>
      <c r="AB125" s="829"/>
      <c r="AC125" s="829"/>
      <c r="AD125" s="829"/>
      <c r="AE125" s="829"/>
      <c r="AF125" s="829"/>
      <c r="AG125" s="829"/>
      <c r="AH125" s="829"/>
      <c r="AI125" s="829"/>
      <c r="AJ125" s="829"/>
      <c r="AK125" s="829"/>
      <c r="AL125" s="829"/>
      <c r="AM125" s="829"/>
      <c r="AN125" s="829"/>
    </row>
    <row r="126" spans="1:40" ht="12.75" x14ac:dyDescent="0.2">
      <c r="A126" s="829"/>
      <c r="B126" s="829"/>
      <c r="C126" s="829"/>
      <c r="D126" s="829"/>
      <c r="E126" s="829"/>
      <c r="F126" s="829"/>
      <c r="G126" s="829"/>
      <c r="H126" s="829"/>
      <c r="I126" s="829"/>
      <c r="J126" s="829"/>
      <c r="K126" s="829"/>
      <c r="L126" s="829"/>
      <c r="M126" s="829"/>
      <c r="N126" s="829"/>
      <c r="O126" s="829"/>
      <c r="P126" s="829"/>
      <c r="Q126" s="829"/>
      <c r="R126" s="829"/>
      <c r="S126" s="829"/>
      <c r="T126" s="829"/>
      <c r="U126" s="829"/>
      <c r="V126" s="829"/>
      <c r="W126" s="829"/>
      <c r="X126" s="829"/>
      <c r="Y126" s="829"/>
      <c r="Z126" s="829"/>
      <c r="AA126" s="829"/>
      <c r="AB126" s="829"/>
      <c r="AC126" s="829"/>
      <c r="AD126" s="829"/>
      <c r="AE126" s="829"/>
      <c r="AF126" s="829"/>
      <c r="AG126" s="829"/>
      <c r="AH126" s="829"/>
      <c r="AI126" s="829"/>
      <c r="AJ126" s="829"/>
      <c r="AK126" s="829"/>
      <c r="AL126" s="829"/>
      <c r="AM126" s="829"/>
      <c r="AN126" s="829"/>
    </row>
    <row r="127" spans="1:40" ht="12.75" x14ac:dyDescent="0.2">
      <c r="A127" s="829"/>
      <c r="B127" s="829"/>
      <c r="C127" s="829"/>
      <c r="D127" s="829"/>
      <c r="E127" s="829"/>
      <c r="F127" s="829"/>
      <c r="G127" s="829"/>
      <c r="H127" s="829"/>
      <c r="I127" s="829"/>
      <c r="J127" s="829"/>
      <c r="K127" s="829"/>
      <c r="L127" s="829"/>
      <c r="M127" s="829"/>
      <c r="N127" s="829"/>
      <c r="O127" s="829"/>
      <c r="P127" s="829"/>
      <c r="Q127" s="829"/>
      <c r="R127" s="829"/>
      <c r="S127" s="829"/>
      <c r="T127" s="829"/>
      <c r="U127" s="829"/>
      <c r="V127" s="829"/>
      <c r="W127" s="829"/>
      <c r="X127" s="829"/>
      <c r="Y127" s="829"/>
      <c r="Z127" s="829"/>
      <c r="AA127" s="829"/>
      <c r="AB127" s="829"/>
      <c r="AC127" s="829"/>
      <c r="AD127" s="829"/>
      <c r="AE127" s="829"/>
      <c r="AF127" s="829"/>
      <c r="AG127" s="829"/>
      <c r="AH127" s="829"/>
      <c r="AI127" s="829"/>
      <c r="AJ127" s="829"/>
      <c r="AK127" s="829"/>
      <c r="AL127" s="829"/>
      <c r="AM127" s="829"/>
      <c r="AN127" s="829"/>
    </row>
    <row r="128" spans="1:40" ht="12.75" x14ac:dyDescent="0.2">
      <c r="A128" s="829"/>
      <c r="B128" s="829"/>
      <c r="C128" s="829"/>
      <c r="D128" s="829"/>
      <c r="E128" s="829"/>
      <c r="F128" s="829"/>
      <c r="G128" s="829"/>
      <c r="H128" s="829"/>
      <c r="I128" s="829"/>
      <c r="J128" s="829"/>
      <c r="K128" s="829"/>
      <c r="L128" s="829"/>
      <c r="M128" s="829"/>
      <c r="N128" s="829"/>
      <c r="O128" s="829"/>
      <c r="P128" s="829"/>
      <c r="Q128" s="829"/>
      <c r="R128" s="829"/>
      <c r="S128" s="829"/>
      <c r="T128" s="829"/>
      <c r="U128" s="829"/>
      <c r="V128" s="829"/>
      <c r="W128" s="829"/>
      <c r="X128" s="829"/>
      <c r="Y128" s="829"/>
      <c r="Z128" s="829"/>
      <c r="AA128" s="829"/>
      <c r="AB128" s="829"/>
      <c r="AC128" s="829"/>
      <c r="AD128" s="829"/>
      <c r="AE128" s="829"/>
      <c r="AF128" s="829"/>
      <c r="AG128" s="829"/>
      <c r="AH128" s="829"/>
      <c r="AI128" s="829"/>
      <c r="AJ128" s="829"/>
      <c r="AK128" s="829"/>
      <c r="AL128" s="829"/>
      <c r="AM128" s="829"/>
      <c r="AN128" s="829"/>
    </row>
    <row r="129" spans="1:40" ht="12.75" x14ac:dyDescent="0.2">
      <c r="A129" s="829"/>
      <c r="B129" s="829"/>
      <c r="C129" s="829"/>
      <c r="D129" s="829"/>
      <c r="E129" s="829"/>
      <c r="F129" s="829"/>
      <c r="G129" s="829"/>
      <c r="H129" s="829"/>
      <c r="I129" s="829"/>
      <c r="J129" s="829"/>
      <c r="K129" s="829"/>
      <c r="L129" s="829"/>
      <c r="M129" s="829"/>
      <c r="N129" s="829"/>
      <c r="O129" s="829"/>
      <c r="P129" s="829"/>
      <c r="Q129" s="829"/>
      <c r="R129" s="829"/>
      <c r="S129" s="829"/>
      <c r="T129" s="829"/>
      <c r="U129" s="829"/>
      <c r="V129" s="829"/>
      <c r="W129" s="829"/>
      <c r="X129" s="829"/>
      <c r="Y129" s="829"/>
      <c r="Z129" s="829"/>
      <c r="AA129" s="829"/>
      <c r="AB129" s="829"/>
      <c r="AC129" s="829"/>
      <c r="AD129" s="829"/>
      <c r="AE129" s="829"/>
      <c r="AF129" s="829"/>
      <c r="AG129" s="829"/>
      <c r="AH129" s="829"/>
      <c r="AI129" s="829"/>
      <c r="AJ129" s="829"/>
      <c r="AK129" s="829"/>
      <c r="AL129" s="829"/>
      <c r="AM129" s="829"/>
      <c r="AN129" s="829"/>
    </row>
    <row r="130" spans="1:40" ht="12.75" x14ac:dyDescent="0.2">
      <c r="A130" s="829"/>
      <c r="B130" s="829"/>
      <c r="C130" s="829"/>
      <c r="D130" s="829"/>
      <c r="E130" s="829"/>
      <c r="F130" s="829"/>
      <c r="G130" s="829"/>
      <c r="H130" s="829"/>
      <c r="I130" s="829"/>
      <c r="J130" s="829"/>
      <c r="K130" s="829"/>
      <c r="L130" s="829"/>
      <c r="M130" s="829"/>
      <c r="N130" s="829"/>
      <c r="O130" s="829"/>
      <c r="P130" s="829"/>
      <c r="Q130" s="829"/>
      <c r="R130" s="829"/>
      <c r="S130" s="829"/>
      <c r="T130" s="829"/>
      <c r="U130" s="829"/>
      <c r="V130" s="829"/>
      <c r="W130" s="829"/>
      <c r="X130" s="829"/>
      <c r="Y130" s="829"/>
      <c r="Z130" s="829"/>
      <c r="AA130" s="829"/>
      <c r="AB130" s="829"/>
      <c r="AC130" s="829"/>
      <c r="AD130" s="829"/>
      <c r="AE130" s="829"/>
      <c r="AF130" s="829"/>
      <c r="AG130" s="829"/>
      <c r="AH130" s="829"/>
      <c r="AI130" s="829"/>
      <c r="AJ130" s="829"/>
      <c r="AK130" s="829"/>
      <c r="AL130" s="829"/>
      <c r="AM130" s="829"/>
      <c r="AN130" s="829"/>
    </row>
    <row r="131" spans="1:40" ht="12.75" x14ac:dyDescent="0.2">
      <c r="A131" s="829"/>
      <c r="B131" s="829"/>
      <c r="C131" s="829"/>
      <c r="D131" s="829"/>
      <c r="E131" s="829"/>
      <c r="F131" s="829"/>
      <c r="G131" s="829"/>
      <c r="H131" s="829"/>
      <c r="I131" s="829"/>
      <c r="J131" s="829"/>
      <c r="K131" s="829"/>
      <c r="L131" s="829"/>
      <c r="M131" s="829"/>
      <c r="N131" s="829"/>
      <c r="O131" s="829"/>
      <c r="P131" s="829"/>
      <c r="Q131" s="829"/>
      <c r="R131" s="829"/>
      <c r="S131" s="829"/>
      <c r="T131" s="829"/>
      <c r="U131" s="829"/>
      <c r="V131" s="829"/>
      <c r="W131" s="829"/>
      <c r="X131" s="829"/>
      <c r="Y131" s="829"/>
      <c r="Z131" s="829"/>
      <c r="AA131" s="829"/>
      <c r="AB131" s="829"/>
      <c r="AC131" s="829"/>
      <c r="AD131" s="829"/>
      <c r="AE131" s="829"/>
      <c r="AF131" s="829"/>
      <c r="AG131" s="829"/>
      <c r="AH131" s="829"/>
      <c r="AI131" s="829"/>
      <c r="AJ131" s="829"/>
      <c r="AK131" s="829"/>
      <c r="AL131" s="829"/>
      <c r="AM131" s="829"/>
      <c r="AN131" s="829"/>
    </row>
    <row r="132" spans="1:40" ht="12.75" x14ac:dyDescent="0.2">
      <c r="A132" s="829"/>
      <c r="B132" s="829"/>
      <c r="C132" s="829"/>
      <c r="D132" s="829"/>
      <c r="E132" s="829"/>
      <c r="F132" s="829"/>
      <c r="G132" s="829"/>
      <c r="H132" s="829"/>
      <c r="I132" s="829"/>
      <c r="J132" s="829"/>
      <c r="K132" s="829"/>
      <c r="L132" s="829"/>
      <c r="M132" s="829"/>
      <c r="N132" s="829"/>
      <c r="O132" s="829"/>
      <c r="P132" s="829"/>
      <c r="Q132" s="829"/>
      <c r="R132" s="829"/>
      <c r="S132" s="829"/>
      <c r="T132" s="829"/>
      <c r="U132" s="829"/>
      <c r="V132" s="829"/>
      <c r="W132" s="829"/>
      <c r="X132" s="829"/>
      <c r="Y132" s="829"/>
      <c r="Z132" s="829"/>
      <c r="AA132" s="829"/>
      <c r="AB132" s="829"/>
      <c r="AC132" s="829"/>
      <c r="AD132" s="829"/>
      <c r="AE132" s="829"/>
      <c r="AF132" s="829"/>
      <c r="AG132" s="829"/>
      <c r="AH132" s="829"/>
      <c r="AI132" s="829"/>
      <c r="AJ132" s="829"/>
      <c r="AK132" s="829"/>
      <c r="AL132" s="829"/>
      <c r="AM132" s="829"/>
      <c r="AN132" s="829"/>
    </row>
    <row r="133" spans="1:40" ht="12.75" x14ac:dyDescent="0.2">
      <c r="A133" s="829"/>
      <c r="B133" s="829"/>
      <c r="C133" s="829"/>
      <c r="D133" s="829"/>
      <c r="E133" s="829"/>
      <c r="F133" s="829"/>
      <c r="G133" s="829"/>
      <c r="H133" s="829"/>
      <c r="I133" s="829"/>
      <c r="J133" s="829"/>
      <c r="K133" s="829"/>
      <c r="L133" s="829"/>
      <c r="M133" s="829"/>
      <c r="N133" s="829"/>
      <c r="O133" s="829"/>
      <c r="P133" s="829"/>
      <c r="Q133" s="829"/>
      <c r="R133" s="829"/>
      <c r="S133" s="829"/>
      <c r="T133" s="829"/>
      <c r="U133" s="829"/>
      <c r="V133" s="829"/>
      <c r="W133" s="829"/>
      <c r="X133" s="829"/>
      <c r="Y133" s="829"/>
      <c r="Z133" s="829"/>
      <c r="AA133" s="829"/>
      <c r="AB133" s="829"/>
      <c r="AC133" s="829"/>
      <c r="AD133" s="829"/>
      <c r="AE133" s="829"/>
      <c r="AF133" s="829"/>
      <c r="AG133" s="829"/>
      <c r="AH133" s="829"/>
      <c r="AI133" s="829"/>
      <c r="AJ133" s="829"/>
      <c r="AK133" s="829"/>
      <c r="AL133" s="829"/>
      <c r="AM133" s="829"/>
      <c r="AN133" s="829"/>
    </row>
    <row r="134" spans="1:40" ht="12.75" x14ac:dyDescent="0.2">
      <c r="A134" s="829"/>
      <c r="B134" s="829"/>
      <c r="C134" s="829"/>
      <c r="D134" s="829"/>
      <c r="E134" s="829"/>
      <c r="F134" s="829"/>
      <c r="G134" s="829"/>
      <c r="H134" s="829"/>
      <c r="I134" s="829"/>
      <c r="J134" s="829"/>
      <c r="K134" s="829"/>
      <c r="L134" s="829"/>
      <c r="M134" s="829"/>
      <c r="N134" s="829"/>
      <c r="O134" s="829"/>
      <c r="P134" s="829"/>
      <c r="Q134" s="829"/>
      <c r="R134" s="829"/>
      <c r="S134" s="829"/>
      <c r="T134" s="829"/>
      <c r="U134" s="829"/>
      <c r="V134" s="829"/>
      <c r="W134" s="829"/>
      <c r="X134" s="829"/>
      <c r="Y134" s="829"/>
      <c r="Z134" s="829"/>
      <c r="AA134" s="829"/>
      <c r="AB134" s="829"/>
      <c r="AC134" s="829"/>
      <c r="AD134" s="829"/>
      <c r="AE134" s="829"/>
      <c r="AF134" s="829"/>
      <c r="AG134" s="829"/>
      <c r="AH134" s="829"/>
      <c r="AI134" s="829"/>
      <c r="AJ134" s="829"/>
      <c r="AK134" s="829"/>
      <c r="AL134" s="829"/>
      <c r="AM134" s="829"/>
      <c r="AN134" s="829"/>
    </row>
    <row r="135" spans="1:40" ht="12.75" x14ac:dyDescent="0.2">
      <c r="A135" s="829"/>
      <c r="B135" s="829"/>
      <c r="C135" s="829"/>
      <c r="D135" s="829"/>
      <c r="E135" s="829"/>
      <c r="F135" s="829"/>
      <c r="G135" s="829"/>
      <c r="H135" s="829"/>
      <c r="I135" s="829"/>
      <c r="J135" s="829"/>
      <c r="K135" s="829"/>
      <c r="L135" s="829"/>
      <c r="M135" s="829"/>
      <c r="N135" s="829"/>
      <c r="O135" s="829"/>
      <c r="P135" s="829"/>
      <c r="Q135" s="829"/>
      <c r="R135" s="829"/>
      <c r="S135" s="829"/>
      <c r="T135" s="829"/>
      <c r="U135" s="829"/>
      <c r="V135" s="829"/>
      <c r="W135" s="829"/>
      <c r="X135" s="829"/>
      <c r="Y135" s="829"/>
      <c r="Z135" s="829"/>
      <c r="AA135" s="829"/>
      <c r="AB135" s="829"/>
      <c r="AC135" s="829"/>
      <c r="AD135" s="829"/>
      <c r="AE135" s="829"/>
      <c r="AF135" s="829"/>
      <c r="AG135" s="829"/>
      <c r="AH135" s="829"/>
      <c r="AI135" s="829"/>
      <c r="AJ135" s="829"/>
      <c r="AK135" s="829"/>
      <c r="AL135" s="829"/>
      <c r="AM135" s="829"/>
      <c r="AN135" s="829"/>
    </row>
    <row r="136" spans="1:40" ht="12.75" x14ac:dyDescent="0.2">
      <c r="A136" s="829"/>
      <c r="B136" s="829"/>
      <c r="C136" s="829"/>
      <c r="D136" s="829"/>
      <c r="E136" s="829"/>
      <c r="F136" s="829"/>
      <c r="G136" s="829"/>
      <c r="H136" s="829"/>
      <c r="I136" s="829"/>
      <c r="J136" s="829"/>
      <c r="K136" s="829"/>
      <c r="L136" s="829"/>
      <c r="M136" s="829"/>
      <c r="N136" s="829"/>
      <c r="O136" s="829"/>
      <c r="P136" s="829"/>
      <c r="Q136" s="829"/>
      <c r="R136" s="829"/>
      <c r="S136" s="829"/>
      <c r="T136" s="829"/>
      <c r="U136" s="829"/>
      <c r="V136" s="829"/>
      <c r="W136" s="829"/>
      <c r="X136" s="829"/>
      <c r="Y136" s="829"/>
      <c r="Z136" s="829"/>
      <c r="AA136" s="829"/>
      <c r="AB136" s="829"/>
      <c r="AC136" s="829"/>
      <c r="AD136" s="829"/>
      <c r="AE136" s="829"/>
      <c r="AF136" s="829"/>
      <c r="AG136" s="829"/>
      <c r="AH136" s="829"/>
      <c r="AI136" s="829"/>
      <c r="AJ136" s="829"/>
      <c r="AK136" s="829"/>
      <c r="AL136" s="829"/>
      <c r="AM136" s="829"/>
      <c r="AN136" s="829"/>
    </row>
    <row r="137" spans="1:40" ht="12.75" x14ac:dyDescent="0.2">
      <c r="A137" s="829"/>
      <c r="B137" s="829"/>
      <c r="C137" s="829"/>
      <c r="D137" s="829"/>
      <c r="E137" s="829"/>
      <c r="F137" s="829"/>
      <c r="G137" s="829"/>
      <c r="H137" s="829"/>
      <c r="I137" s="829"/>
      <c r="J137" s="829"/>
      <c r="K137" s="829"/>
      <c r="L137" s="829"/>
      <c r="M137" s="829"/>
      <c r="N137" s="829"/>
      <c r="O137" s="829"/>
      <c r="P137" s="829"/>
      <c r="Q137" s="829"/>
      <c r="R137" s="829"/>
      <c r="S137" s="829"/>
      <c r="T137" s="829"/>
      <c r="U137" s="829"/>
      <c r="V137" s="829"/>
      <c r="W137" s="829"/>
      <c r="X137" s="829"/>
      <c r="Y137" s="829"/>
      <c r="Z137" s="829"/>
      <c r="AA137" s="829"/>
      <c r="AB137" s="829"/>
      <c r="AC137" s="829"/>
      <c r="AD137" s="829"/>
      <c r="AE137" s="829"/>
      <c r="AF137" s="829"/>
      <c r="AG137" s="829"/>
      <c r="AH137" s="829"/>
      <c r="AI137" s="829"/>
      <c r="AJ137" s="829"/>
      <c r="AK137" s="829"/>
      <c r="AL137" s="829"/>
      <c r="AM137" s="829"/>
      <c r="AN137" s="829"/>
    </row>
    <row r="138" spans="1:40" ht="12.75" x14ac:dyDescent="0.2">
      <c r="A138" s="829"/>
      <c r="B138" s="829"/>
      <c r="C138" s="829"/>
      <c r="D138" s="829"/>
      <c r="E138" s="829"/>
      <c r="F138" s="829"/>
      <c r="G138" s="829"/>
      <c r="H138" s="829"/>
      <c r="I138" s="829"/>
      <c r="J138" s="829"/>
      <c r="K138" s="829"/>
      <c r="L138" s="829"/>
      <c r="M138" s="829"/>
      <c r="N138" s="829"/>
      <c r="O138" s="829"/>
      <c r="P138" s="829"/>
      <c r="Q138" s="829"/>
      <c r="R138" s="829"/>
      <c r="S138" s="829"/>
      <c r="T138" s="829"/>
      <c r="U138" s="829"/>
      <c r="V138" s="829"/>
      <c r="W138" s="829"/>
      <c r="X138" s="829"/>
      <c r="Y138" s="829"/>
      <c r="Z138" s="829"/>
      <c r="AA138" s="829"/>
      <c r="AB138" s="829"/>
      <c r="AC138" s="829"/>
      <c r="AD138" s="829"/>
      <c r="AE138" s="829"/>
      <c r="AF138" s="829"/>
      <c r="AG138" s="829"/>
      <c r="AH138" s="829"/>
      <c r="AI138" s="829"/>
      <c r="AJ138" s="829"/>
      <c r="AK138" s="829"/>
      <c r="AL138" s="829"/>
      <c r="AM138" s="829"/>
      <c r="AN138" s="829"/>
    </row>
    <row r="139" spans="1:40" ht="12.75" x14ac:dyDescent="0.2">
      <c r="A139" s="829"/>
      <c r="B139" s="829"/>
      <c r="C139" s="829"/>
      <c r="D139" s="829"/>
      <c r="E139" s="829"/>
      <c r="F139" s="829"/>
      <c r="G139" s="829"/>
      <c r="H139" s="829"/>
      <c r="I139" s="829"/>
      <c r="J139" s="829"/>
      <c r="K139" s="829"/>
      <c r="L139" s="829"/>
      <c r="M139" s="829"/>
      <c r="N139" s="829"/>
      <c r="O139" s="829"/>
      <c r="P139" s="829"/>
      <c r="Q139" s="829"/>
      <c r="R139" s="829"/>
      <c r="S139" s="829"/>
      <c r="T139" s="829"/>
      <c r="U139" s="829"/>
      <c r="V139" s="829"/>
      <c r="W139" s="829"/>
      <c r="X139" s="829"/>
      <c r="Y139" s="829"/>
      <c r="Z139" s="829"/>
      <c r="AA139" s="829"/>
      <c r="AB139" s="829"/>
      <c r="AC139" s="829"/>
      <c r="AD139" s="829"/>
      <c r="AE139" s="829"/>
      <c r="AF139" s="829"/>
      <c r="AG139" s="829"/>
      <c r="AH139" s="829"/>
      <c r="AI139" s="829"/>
      <c r="AJ139" s="829"/>
      <c r="AK139" s="829"/>
      <c r="AL139" s="829"/>
      <c r="AM139" s="829"/>
      <c r="AN139" s="829"/>
    </row>
    <row r="140" spans="1:40" ht="12.75" x14ac:dyDescent="0.2">
      <c r="A140" s="829"/>
      <c r="B140" s="829"/>
      <c r="C140" s="829"/>
      <c r="D140" s="829"/>
      <c r="E140" s="829"/>
      <c r="F140" s="829"/>
      <c r="G140" s="829"/>
      <c r="H140" s="829"/>
      <c r="I140" s="829"/>
      <c r="J140" s="829"/>
      <c r="K140" s="829"/>
      <c r="L140" s="829"/>
      <c r="M140" s="829"/>
      <c r="N140" s="829"/>
      <c r="O140" s="829"/>
      <c r="P140" s="829"/>
      <c r="Q140" s="829"/>
      <c r="R140" s="829"/>
      <c r="S140" s="829"/>
      <c r="T140" s="829"/>
      <c r="U140" s="829"/>
      <c r="V140" s="829"/>
      <c r="W140" s="829"/>
      <c r="X140" s="829"/>
      <c r="Y140" s="829"/>
      <c r="Z140" s="829"/>
      <c r="AA140" s="829"/>
      <c r="AB140" s="829"/>
      <c r="AC140" s="829"/>
      <c r="AD140" s="829"/>
      <c r="AE140" s="829"/>
      <c r="AF140" s="829"/>
      <c r="AG140" s="829"/>
      <c r="AH140" s="829"/>
      <c r="AI140" s="829"/>
      <c r="AJ140" s="829"/>
      <c r="AK140" s="829"/>
      <c r="AL140" s="829"/>
      <c r="AM140" s="829"/>
      <c r="AN140" s="829"/>
    </row>
    <row r="141" spans="1:40" ht="12.75" x14ac:dyDescent="0.2">
      <c r="A141" s="829"/>
      <c r="B141" s="829"/>
      <c r="C141" s="829"/>
      <c r="D141" s="829"/>
      <c r="E141" s="829"/>
      <c r="F141" s="829"/>
      <c r="G141" s="829"/>
      <c r="H141" s="829"/>
      <c r="I141" s="829"/>
      <c r="J141" s="829"/>
      <c r="K141" s="829"/>
      <c r="L141" s="829"/>
      <c r="M141" s="829"/>
      <c r="N141" s="829"/>
      <c r="O141" s="829"/>
      <c r="P141" s="829"/>
      <c r="Q141" s="829"/>
      <c r="R141" s="829"/>
      <c r="S141" s="829"/>
      <c r="T141" s="829"/>
      <c r="U141" s="829"/>
      <c r="V141" s="829"/>
      <c r="W141" s="829"/>
      <c r="X141" s="829"/>
      <c r="Y141" s="829"/>
      <c r="Z141" s="829"/>
      <c r="AA141" s="829"/>
      <c r="AB141" s="829"/>
      <c r="AC141" s="829"/>
      <c r="AD141" s="829"/>
      <c r="AE141" s="829"/>
      <c r="AF141" s="829"/>
      <c r="AG141" s="829"/>
      <c r="AH141" s="829"/>
      <c r="AI141" s="829"/>
      <c r="AJ141" s="829"/>
      <c r="AK141" s="829"/>
      <c r="AL141" s="829"/>
      <c r="AM141" s="829"/>
      <c r="AN141" s="829"/>
    </row>
    <row r="142" spans="1:40" ht="12.75" x14ac:dyDescent="0.2">
      <c r="A142" s="829"/>
      <c r="B142" s="829"/>
      <c r="C142" s="829"/>
      <c r="D142" s="829"/>
      <c r="E142" s="829"/>
      <c r="F142" s="829"/>
      <c r="G142" s="829"/>
      <c r="H142" s="829"/>
      <c r="I142" s="829"/>
      <c r="J142" s="829"/>
      <c r="K142" s="829"/>
      <c r="L142" s="829"/>
      <c r="M142" s="829"/>
      <c r="N142" s="829"/>
      <c r="O142" s="829"/>
      <c r="P142" s="829"/>
      <c r="Q142" s="829"/>
      <c r="R142" s="829"/>
      <c r="S142" s="829"/>
      <c r="T142" s="829"/>
      <c r="U142" s="829"/>
      <c r="V142" s="829"/>
      <c r="W142" s="829"/>
      <c r="X142" s="829"/>
      <c r="Y142" s="829"/>
      <c r="Z142" s="829"/>
      <c r="AA142" s="829"/>
      <c r="AB142" s="829"/>
      <c r="AC142" s="829"/>
      <c r="AD142" s="829"/>
      <c r="AE142" s="829"/>
      <c r="AF142" s="829"/>
      <c r="AG142" s="829"/>
      <c r="AH142" s="829"/>
      <c r="AI142" s="829"/>
      <c r="AJ142" s="829"/>
      <c r="AK142" s="829"/>
      <c r="AL142" s="829"/>
      <c r="AM142" s="829"/>
      <c r="AN142" s="829"/>
    </row>
    <row r="143" spans="1:40" ht="12.75" x14ac:dyDescent="0.2">
      <c r="A143" s="829"/>
      <c r="B143" s="829"/>
      <c r="C143" s="829"/>
      <c r="D143" s="829"/>
      <c r="E143" s="829"/>
      <c r="F143" s="829"/>
      <c r="G143" s="829"/>
      <c r="H143" s="829"/>
      <c r="I143" s="829"/>
      <c r="J143" s="829"/>
      <c r="K143" s="829"/>
      <c r="L143" s="829"/>
      <c r="M143" s="829"/>
      <c r="N143" s="829"/>
      <c r="O143" s="829"/>
      <c r="P143" s="829"/>
      <c r="Q143" s="829"/>
      <c r="R143" s="829"/>
      <c r="S143" s="829"/>
      <c r="T143" s="829"/>
      <c r="U143" s="829"/>
      <c r="V143" s="829"/>
      <c r="W143" s="829"/>
      <c r="X143" s="829"/>
      <c r="Y143" s="829"/>
      <c r="Z143" s="829"/>
      <c r="AA143" s="829"/>
      <c r="AB143" s="829"/>
      <c r="AC143" s="829"/>
      <c r="AD143" s="829"/>
      <c r="AE143" s="829"/>
      <c r="AF143" s="829"/>
      <c r="AG143" s="829"/>
      <c r="AH143" s="829"/>
      <c r="AI143" s="829"/>
      <c r="AJ143" s="829"/>
      <c r="AK143" s="829"/>
      <c r="AL143" s="829"/>
      <c r="AM143" s="829"/>
      <c r="AN143" s="829"/>
    </row>
    <row r="144" spans="1:40" ht="12.75" x14ac:dyDescent="0.2">
      <c r="A144" s="829"/>
      <c r="B144" s="829"/>
      <c r="C144" s="829"/>
      <c r="D144" s="829"/>
      <c r="E144" s="829"/>
      <c r="F144" s="829"/>
      <c r="G144" s="829"/>
      <c r="H144" s="829"/>
      <c r="I144" s="829"/>
      <c r="J144" s="829"/>
      <c r="K144" s="829"/>
      <c r="L144" s="829"/>
      <c r="M144" s="829"/>
      <c r="N144" s="829"/>
      <c r="O144" s="829"/>
      <c r="P144" s="829"/>
      <c r="Q144" s="829"/>
      <c r="R144" s="829"/>
      <c r="S144" s="829"/>
      <c r="T144" s="829"/>
      <c r="U144" s="829"/>
      <c r="V144" s="829"/>
      <c r="W144" s="829"/>
      <c r="X144" s="829"/>
      <c r="Y144" s="829"/>
      <c r="Z144" s="829"/>
      <c r="AA144" s="829"/>
      <c r="AB144" s="829"/>
      <c r="AC144" s="829"/>
      <c r="AD144" s="829"/>
      <c r="AE144" s="829"/>
      <c r="AF144" s="829"/>
      <c r="AG144" s="829"/>
      <c r="AH144" s="829"/>
      <c r="AI144" s="829"/>
      <c r="AJ144" s="829"/>
      <c r="AK144" s="829"/>
      <c r="AL144" s="829"/>
      <c r="AM144" s="829"/>
      <c r="AN144" s="829"/>
    </row>
    <row r="145" spans="1:40" ht="12.75" x14ac:dyDescent="0.2">
      <c r="A145" s="829"/>
      <c r="B145" s="829"/>
      <c r="C145" s="829"/>
      <c r="D145" s="829"/>
      <c r="E145" s="829"/>
      <c r="F145" s="829"/>
      <c r="G145" s="829"/>
      <c r="H145" s="829"/>
      <c r="I145" s="829"/>
      <c r="J145" s="829"/>
      <c r="K145" s="829"/>
      <c r="L145" s="829"/>
      <c r="M145" s="829"/>
      <c r="N145" s="829"/>
      <c r="O145" s="829"/>
      <c r="P145" s="829"/>
      <c r="Q145" s="829"/>
      <c r="R145" s="829"/>
      <c r="S145" s="829"/>
      <c r="T145" s="829"/>
      <c r="U145" s="829"/>
      <c r="V145" s="829"/>
      <c r="W145" s="829"/>
      <c r="X145" s="829"/>
      <c r="Y145" s="829"/>
      <c r="Z145" s="829"/>
      <c r="AA145" s="829"/>
      <c r="AB145" s="829"/>
      <c r="AC145" s="829"/>
      <c r="AD145" s="829"/>
      <c r="AE145" s="829"/>
      <c r="AF145" s="829"/>
      <c r="AG145" s="829"/>
      <c r="AH145" s="829"/>
      <c r="AI145" s="829"/>
      <c r="AJ145" s="829"/>
      <c r="AK145" s="829"/>
      <c r="AL145" s="829"/>
      <c r="AM145" s="829"/>
      <c r="AN145" s="829"/>
    </row>
    <row r="146" spans="1:40" ht="12.75" x14ac:dyDescent="0.2">
      <c r="A146" s="829"/>
      <c r="B146" s="829"/>
      <c r="C146" s="829"/>
      <c r="D146" s="829"/>
      <c r="E146" s="829"/>
      <c r="F146" s="829"/>
      <c r="G146" s="829"/>
      <c r="H146" s="829"/>
      <c r="I146" s="829"/>
      <c r="J146" s="829"/>
      <c r="K146" s="829"/>
      <c r="L146" s="829"/>
      <c r="M146" s="829"/>
      <c r="N146" s="829"/>
      <c r="O146" s="829"/>
      <c r="P146" s="829"/>
      <c r="Q146" s="829"/>
      <c r="R146" s="829"/>
      <c r="S146" s="829"/>
      <c r="T146" s="829"/>
      <c r="U146" s="829"/>
      <c r="V146" s="829"/>
      <c r="W146" s="829"/>
      <c r="X146" s="829"/>
      <c r="Y146" s="829"/>
      <c r="Z146" s="829"/>
      <c r="AA146" s="829"/>
      <c r="AB146" s="829"/>
      <c r="AC146" s="829"/>
      <c r="AD146" s="829"/>
      <c r="AE146" s="829"/>
      <c r="AF146" s="829"/>
      <c r="AG146" s="829"/>
      <c r="AH146" s="829"/>
      <c r="AI146" s="829"/>
      <c r="AJ146" s="829"/>
      <c r="AK146" s="829"/>
      <c r="AL146" s="829"/>
      <c r="AM146" s="829"/>
      <c r="AN146" s="829"/>
    </row>
    <row r="147" spans="1:40" ht="12.75" x14ac:dyDescent="0.2">
      <c r="A147" s="829"/>
      <c r="B147" s="829"/>
      <c r="C147" s="829"/>
      <c r="D147" s="829"/>
      <c r="E147" s="829"/>
      <c r="F147" s="829"/>
      <c r="G147" s="829"/>
      <c r="H147" s="829"/>
      <c r="I147" s="829"/>
      <c r="J147" s="829"/>
      <c r="K147" s="829"/>
      <c r="L147" s="829"/>
      <c r="M147" s="829"/>
      <c r="N147" s="829"/>
      <c r="O147" s="829"/>
      <c r="P147" s="829"/>
      <c r="Q147" s="829"/>
      <c r="R147" s="829"/>
      <c r="S147" s="829"/>
      <c r="T147" s="829"/>
      <c r="U147" s="829"/>
      <c r="V147" s="829"/>
      <c r="W147" s="829"/>
      <c r="X147" s="829"/>
      <c r="Y147" s="829"/>
      <c r="Z147" s="829"/>
      <c r="AA147" s="829"/>
      <c r="AB147" s="829"/>
      <c r="AC147" s="829"/>
      <c r="AD147" s="829"/>
      <c r="AE147" s="829"/>
      <c r="AF147" s="829"/>
      <c r="AG147" s="829"/>
      <c r="AH147" s="829"/>
      <c r="AI147" s="829"/>
      <c r="AJ147" s="829"/>
      <c r="AK147" s="829"/>
      <c r="AL147" s="829"/>
      <c r="AM147" s="829"/>
      <c r="AN147" s="829"/>
    </row>
    <row r="148" spans="1:40" ht="12.75" x14ac:dyDescent="0.2">
      <c r="A148" s="829"/>
      <c r="B148" s="829"/>
      <c r="C148" s="829"/>
      <c r="D148" s="829"/>
      <c r="E148" s="829"/>
      <c r="F148" s="829"/>
      <c r="G148" s="829"/>
      <c r="H148" s="829"/>
      <c r="I148" s="829"/>
      <c r="J148" s="829"/>
      <c r="K148" s="829"/>
      <c r="L148" s="829"/>
      <c r="M148" s="829"/>
      <c r="N148" s="829"/>
      <c r="O148" s="829"/>
      <c r="P148" s="829"/>
      <c r="Q148" s="829"/>
      <c r="R148" s="829"/>
      <c r="S148" s="829"/>
      <c r="T148" s="829"/>
      <c r="U148" s="829"/>
      <c r="V148" s="829"/>
      <c r="W148" s="829"/>
      <c r="X148" s="829"/>
      <c r="Y148" s="829"/>
      <c r="Z148" s="829"/>
      <c r="AA148" s="829"/>
      <c r="AB148" s="829"/>
      <c r="AC148" s="829"/>
      <c r="AD148" s="829"/>
      <c r="AE148" s="829"/>
      <c r="AF148" s="829"/>
      <c r="AG148" s="829"/>
      <c r="AH148" s="829"/>
      <c r="AI148" s="829"/>
      <c r="AJ148" s="829"/>
      <c r="AK148" s="829"/>
      <c r="AL148" s="829"/>
      <c r="AM148" s="829"/>
      <c r="AN148" s="829"/>
    </row>
    <row r="149" spans="1:40" ht="12.75" x14ac:dyDescent="0.2">
      <c r="A149" s="829"/>
      <c r="B149" s="829"/>
      <c r="C149" s="829"/>
      <c r="D149" s="829"/>
      <c r="E149" s="829"/>
      <c r="F149" s="829"/>
      <c r="G149" s="829"/>
      <c r="H149" s="829"/>
      <c r="I149" s="829"/>
      <c r="J149" s="829"/>
      <c r="K149" s="829"/>
      <c r="L149" s="829"/>
      <c r="M149" s="829"/>
      <c r="N149" s="829"/>
      <c r="O149" s="829"/>
      <c r="P149" s="829"/>
      <c r="Q149" s="829"/>
      <c r="R149" s="829"/>
      <c r="S149" s="829"/>
      <c r="T149" s="829"/>
      <c r="U149" s="829"/>
      <c r="V149" s="829"/>
      <c r="W149" s="829"/>
      <c r="X149" s="829"/>
      <c r="Y149" s="829"/>
      <c r="Z149" s="829"/>
      <c r="AA149" s="829"/>
      <c r="AB149" s="829"/>
      <c r="AC149" s="829"/>
      <c r="AD149" s="829"/>
      <c r="AE149" s="829"/>
      <c r="AF149" s="829"/>
      <c r="AG149" s="829"/>
      <c r="AH149" s="829"/>
      <c r="AI149" s="829"/>
      <c r="AJ149" s="829"/>
      <c r="AK149" s="829"/>
      <c r="AL149" s="829"/>
      <c r="AM149" s="829"/>
      <c r="AN149" s="829"/>
    </row>
    <row r="150" spans="1:40" ht="12.75" x14ac:dyDescent="0.2">
      <c r="A150" s="829"/>
      <c r="B150" s="829"/>
      <c r="C150" s="829"/>
      <c r="D150" s="829"/>
      <c r="E150" s="829"/>
      <c r="F150" s="829"/>
      <c r="G150" s="829"/>
      <c r="H150" s="829"/>
      <c r="I150" s="829"/>
      <c r="J150" s="829"/>
      <c r="K150" s="829"/>
      <c r="L150" s="829"/>
      <c r="M150" s="829"/>
      <c r="N150" s="829"/>
      <c r="O150" s="829"/>
      <c r="P150" s="829"/>
      <c r="Q150" s="829"/>
      <c r="R150" s="829"/>
      <c r="S150" s="829"/>
      <c r="T150" s="829"/>
      <c r="U150" s="829"/>
      <c r="V150" s="829"/>
      <c r="W150" s="829"/>
      <c r="X150" s="829"/>
      <c r="Y150" s="829"/>
      <c r="Z150" s="829"/>
      <c r="AA150" s="829"/>
      <c r="AB150" s="829"/>
      <c r="AC150" s="829"/>
      <c r="AD150" s="829"/>
      <c r="AE150" s="829"/>
      <c r="AF150" s="829"/>
      <c r="AG150" s="829"/>
      <c r="AH150" s="829"/>
      <c r="AI150" s="829"/>
      <c r="AJ150" s="829"/>
      <c r="AK150" s="829"/>
      <c r="AL150" s="829"/>
      <c r="AM150" s="829"/>
      <c r="AN150" s="829"/>
    </row>
    <row r="151" spans="1:40" ht="12.75" x14ac:dyDescent="0.2">
      <c r="A151" s="829"/>
      <c r="B151" s="829"/>
      <c r="C151" s="829"/>
      <c r="D151" s="829"/>
      <c r="E151" s="829"/>
      <c r="F151" s="829"/>
      <c r="G151" s="829"/>
      <c r="H151" s="829"/>
      <c r="I151" s="829"/>
      <c r="J151" s="829"/>
      <c r="K151" s="829"/>
      <c r="L151" s="829"/>
      <c r="M151" s="829"/>
      <c r="N151" s="829"/>
      <c r="O151" s="829"/>
      <c r="P151" s="829"/>
      <c r="Q151" s="829"/>
      <c r="R151" s="829"/>
      <c r="S151" s="829"/>
      <c r="T151" s="829"/>
      <c r="U151" s="829"/>
      <c r="V151" s="829"/>
      <c r="W151" s="829"/>
      <c r="X151" s="829"/>
      <c r="Y151" s="829"/>
      <c r="Z151" s="829"/>
      <c r="AA151" s="829"/>
      <c r="AB151" s="829"/>
      <c r="AC151" s="829"/>
      <c r="AD151" s="829"/>
      <c r="AE151" s="829"/>
      <c r="AF151" s="829"/>
      <c r="AG151" s="829"/>
      <c r="AH151" s="829"/>
      <c r="AI151" s="829"/>
      <c r="AJ151" s="829"/>
      <c r="AK151" s="829"/>
      <c r="AL151" s="829"/>
      <c r="AM151" s="829"/>
      <c r="AN151" s="829"/>
    </row>
    <row r="152" spans="1:40" ht="12.75" x14ac:dyDescent="0.2">
      <c r="A152" s="829"/>
      <c r="B152" s="829"/>
      <c r="C152" s="829"/>
      <c r="D152" s="829"/>
      <c r="E152" s="829"/>
      <c r="F152" s="829"/>
      <c r="G152" s="829"/>
      <c r="H152" s="829"/>
      <c r="I152" s="829"/>
      <c r="J152" s="829"/>
      <c r="K152" s="829"/>
      <c r="L152" s="829"/>
      <c r="M152" s="829"/>
      <c r="N152" s="829"/>
      <c r="O152" s="829"/>
      <c r="P152" s="829"/>
      <c r="Q152" s="829"/>
      <c r="R152" s="829"/>
      <c r="S152" s="829"/>
      <c r="T152" s="829"/>
      <c r="U152" s="829"/>
      <c r="V152" s="829"/>
      <c r="W152" s="829"/>
      <c r="X152" s="829"/>
      <c r="Y152" s="829"/>
      <c r="Z152" s="829"/>
      <c r="AA152" s="829"/>
      <c r="AB152" s="829"/>
      <c r="AC152" s="829"/>
      <c r="AD152" s="829"/>
      <c r="AE152" s="829"/>
      <c r="AF152" s="829"/>
      <c r="AG152" s="829"/>
      <c r="AH152" s="829"/>
      <c r="AI152" s="829"/>
      <c r="AJ152" s="829"/>
      <c r="AK152" s="829"/>
      <c r="AL152" s="829"/>
      <c r="AM152" s="829"/>
      <c r="AN152" s="829"/>
    </row>
    <row r="153" spans="1:40" ht="12.75" x14ac:dyDescent="0.2">
      <c r="A153" s="829"/>
      <c r="B153" s="829"/>
      <c r="C153" s="829"/>
      <c r="D153" s="829"/>
      <c r="E153" s="829"/>
      <c r="F153" s="829"/>
      <c r="G153" s="829"/>
      <c r="H153" s="829"/>
      <c r="I153" s="829"/>
      <c r="J153" s="829"/>
      <c r="K153" s="829"/>
      <c r="L153" s="829"/>
      <c r="M153" s="829"/>
      <c r="N153" s="829"/>
      <c r="O153" s="829"/>
      <c r="P153" s="829"/>
      <c r="Q153" s="829"/>
      <c r="R153" s="829"/>
      <c r="S153" s="829"/>
      <c r="T153" s="829"/>
      <c r="U153" s="829"/>
      <c r="V153" s="829"/>
      <c r="W153" s="829"/>
      <c r="X153" s="829"/>
      <c r="Y153" s="829"/>
      <c r="Z153" s="829"/>
      <c r="AA153" s="829"/>
      <c r="AB153" s="829"/>
      <c r="AC153" s="829"/>
      <c r="AD153" s="829"/>
      <c r="AE153" s="829"/>
      <c r="AF153" s="829"/>
      <c r="AG153" s="829"/>
      <c r="AH153" s="829"/>
      <c r="AI153" s="829"/>
      <c r="AJ153" s="829"/>
      <c r="AK153" s="829"/>
      <c r="AL153" s="829"/>
      <c r="AM153" s="829"/>
      <c r="AN153" s="829"/>
    </row>
    <row r="154" spans="1:40" ht="12.75" x14ac:dyDescent="0.2">
      <c r="A154" s="829"/>
      <c r="B154" s="829"/>
      <c r="C154" s="829"/>
      <c r="D154" s="829"/>
      <c r="E154" s="829"/>
      <c r="F154" s="829"/>
      <c r="G154" s="829"/>
      <c r="H154" s="829"/>
      <c r="I154" s="829"/>
      <c r="J154" s="829"/>
      <c r="K154" s="829"/>
      <c r="L154" s="829"/>
      <c r="M154" s="829"/>
      <c r="N154" s="829"/>
      <c r="O154" s="829"/>
      <c r="P154" s="829"/>
      <c r="Q154" s="829"/>
      <c r="R154" s="829"/>
      <c r="S154" s="829"/>
      <c r="T154" s="829"/>
      <c r="U154" s="829"/>
      <c r="V154" s="829"/>
      <c r="W154" s="829"/>
      <c r="X154" s="829"/>
      <c r="Y154" s="829"/>
      <c r="Z154" s="829"/>
      <c r="AA154" s="829"/>
      <c r="AB154" s="829"/>
      <c r="AC154" s="829"/>
      <c r="AD154" s="829"/>
      <c r="AE154" s="829"/>
      <c r="AF154" s="829"/>
      <c r="AG154" s="829"/>
      <c r="AH154" s="829"/>
      <c r="AI154" s="829"/>
      <c r="AJ154" s="829"/>
      <c r="AK154" s="829"/>
      <c r="AL154" s="829"/>
      <c r="AM154" s="829"/>
      <c r="AN154" s="829"/>
    </row>
    <row r="155" spans="1:40" ht="12.75" x14ac:dyDescent="0.2">
      <c r="A155" s="829"/>
      <c r="B155" s="829"/>
      <c r="C155" s="829"/>
      <c r="D155" s="829"/>
      <c r="E155" s="829"/>
      <c r="F155" s="829"/>
      <c r="G155" s="829"/>
      <c r="H155" s="829"/>
      <c r="I155" s="829"/>
      <c r="J155" s="829"/>
      <c r="K155" s="829"/>
      <c r="L155" s="829"/>
      <c r="M155" s="829"/>
      <c r="N155" s="829"/>
      <c r="O155" s="829"/>
      <c r="P155" s="829"/>
      <c r="Q155" s="829"/>
      <c r="R155" s="829"/>
      <c r="S155" s="829"/>
      <c r="T155" s="829"/>
      <c r="U155" s="829"/>
      <c r="V155" s="829"/>
      <c r="W155" s="829"/>
      <c r="X155" s="829"/>
      <c r="Y155" s="829"/>
      <c r="Z155" s="829"/>
      <c r="AA155" s="829"/>
      <c r="AB155" s="829"/>
      <c r="AC155" s="829"/>
      <c r="AD155" s="829"/>
      <c r="AE155" s="829"/>
      <c r="AF155" s="829"/>
      <c r="AG155" s="829"/>
      <c r="AH155" s="829"/>
      <c r="AI155" s="829"/>
      <c r="AJ155" s="829"/>
      <c r="AK155" s="829"/>
      <c r="AL155" s="829"/>
      <c r="AM155" s="829"/>
      <c r="AN155" s="829"/>
    </row>
    <row r="156" spans="1:40" ht="12.75" x14ac:dyDescent="0.2">
      <c r="A156" s="829"/>
      <c r="B156" s="829"/>
      <c r="C156" s="829"/>
      <c r="D156" s="829"/>
      <c r="E156" s="829"/>
      <c r="F156" s="829"/>
      <c r="G156" s="829"/>
      <c r="H156" s="829"/>
      <c r="I156" s="829"/>
      <c r="J156" s="829"/>
      <c r="K156" s="829"/>
      <c r="L156" s="829"/>
      <c r="M156" s="829"/>
      <c r="N156" s="829"/>
      <c r="O156" s="829"/>
      <c r="P156" s="829"/>
      <c r="Q156" s="829"/>
      <c r="R156" s="829"/>
      <c r="S156" s="829"/>
      <c r="T156" s="829"/>
      <c r="U156" s="829"/>
      <c r="V156" s="829"/>
      <c r="W156" s="829"/>
      <c r="X156" s="829"/>
      <c r="Y156" s="829"/>
      <c r="Z156" s="829"/>
      <c r="AA156" s="829"/>
      <c r="AB156" s="829"/>
      <c r="AC156" s="829"/>
      <c r="AD156" s="829"/>
      <c r="AE156" s="829"/>
      <c r="AF156" s="829"/>
      <c r="AG156" s="829"/>
      <c r="AH156" s="829"/>
      <c r="AI156" s="829"/>
      <c r="AJ156" s="829"/>
      <c r="AK156" s="829"/>
      <c r="AL156" s="829"/>
      <c r="AM156" s="829"/>
      <c r="AN156" s="829"/>
    </row>
    <row r="157" spans="1:40" ht="12.75" x14ac:dyDescent="0.2">
      <c r="A157" s="829"/>
      <c r="B157" s="829"/>
      <c r="C157" s="829"/>
      <c r="D157" s="829"/>
      <c r="E157" s="829"/>
      <c r="F157" s="829"/>
      <c r="G157" s="829"/>
      <c r="H157" s="829"/>
      <c r="I157" s="829"/>
      <c r="J157" s="829"/>
      <c r="K157" s="829"/>
      <c r="L157" s="829"/>
      <c r="M157" s="829"/>
      <c r="N157" s="829"/>
      <c r="O157" s="829"/>
      <c r="P157" s="829"/>
      <c r="Q157" s="829"/>
      <c r="R157" s="829"/>
      <c r="S157" s="829"/>
      <c r="T157" s="829"/>
      <c r="U157" s="829"/>
      <c r="V157" s="829"/>
      <c r="W157" s="829"/>
      <c r="X157" s="829"/>
      <c r="Y157" s="829"/>
      <c r="Z157" s="829"/>
      <c r="AA157" s="829"/>
      <c r="AB157" s="829"/>
      <c r="AC157" s="829"/>
      <c r="AD157" s="829"/>
      <c r="AE157" s="829"/>
      <c r="AF157" s="829"/>
      <c r="AG157" s="829"/>
      <c r="AH157" s="829"/>
      <c r="AI157" s="829"/>
      <c r="AJ157" s="829"/>
      <c r="AK157" s="829"/>
      <c r="AL157" s="829"/>
      <c r="AM157" s="829"/>
      <c r="AN157" s="829"/>
    </row>
    <row r="158" spans="1:40" ht="12.75" x14ac:dyDescent="0.2">
      <c r="A158" s="829"/>
      <c r="B158" s="829"/>
      <c r="C158" s="829"/>
      <c r="D158" s="829"/>
      <c r="E158" s="829"/>
      <c r="F158" s="829"/>
      <c r="G158" s="829"/>
      <c r="H158" s="829"/>
      <c r="I158" s="829"/>
      <c r="J158" s="829"/>
      <c r="K158" s="829"/>
      <c r="L158" s="829"/>
      <c r="M158" s="829"/>
      <c r="N158" s="829"/>
      <c r="O158" s="829"/>
      <c r="P158" s="829"/>
      <c r="Q158" s="829"/>
      <c r="R158" s="829"/>
      <c r="S158" s="829"/>
      <c r="T158" s="829"/>
      <c r="U158" s="829"/>
      <c r="V158" s="829"/>
      <c r="W158" s="829"/>
      <c r="X158" s="829"/>
      <c r="Y158" s="829"/>
      <c r="Z158" s="829"/>
      <c r="AA158" s="829"/>
      <c r="AB158" s="829"/>
      <c r="AC158" s="829"/>
      <c r="AD158" s="829"/>
      <c r="AE158" s="829"/>
      <c r="AF158" s="829"/>
      <c r="AG158" s="829"/>
      <c r="AH158" s="829"/>
      <c r="AI158" s="829"/>
      <c r="AJ158" s="829"/>
      <c r="AK158" s="829"/>
      <c r="AL158" s="829"/>
      <c r="AM158" s="829"/>
      <c r="AN158" s="829"/>
    </row>
    <row r="159" spans="1:40" ht="12.75" x14ac:dyDescent="0.2">
      <c r="A159" s="829"/>
      <c r="B159" s="829"/>
      <c r="C159" s="829"/>
      <c r="D159" s="829"/>
      <c r="E159" s="829"/>
      <c r="F159" s="829"/>
      <c r="G159" s="829"/>
      <c r="H159" s="829"/>
      <c r="I159" s="829"/>
      <c r="J159" s="829"/>
      <c r="K159" s="829"/>
      <c r="L159" s="829"/>
      <c r="M159" s="829"/>
      <c r="N159" s="829"/>
      <c r="O159" s="829"/>
      <c r="P159" s="829"/>
      <c r="Q159" s="829"/>
      <c r="R159" s="829"/>
      <c r="S159" s="829"/>
      <c r="T159" s="829"/>
      <c r="U159" s="829"/>
      <c r="V159" s="829"/>
      <c r="W159" s="829"/>
      <c r="X159" s="829"/>
      <c r="Y159" s="829"/>
      <c r="Z159" s="829"/>
      <c r="AA159" s="829"/>
      <c r="AB159" s="829"/>
      <c r="AC159" s="829"/>
      <c r="AD159" s="829"/>
      <c r="AE159" s="829"/>
      <c r="AF159" s="829"/>
      <c r="AG159" s="829"/>
      <c r="AH159" s="829"/>
      <c r="AI159" s="829"/>
      <c r="AJ159" s="829"/>
      <c r="AK159" s="829"/>
      <c r="AL159" s="829"/>
      <c r="AM159" s="829"/>
      <c r="AN159" s="829"/>
    </row>
    <row r="160" spans="1:40" ht="12.75" x14ac:dyDescent="0.2">
      <c r="A160" s="829"/>
      <c r="B160" s="829"/>
      <c r="C160" s="829"/>
      <c r="D160" s="829"/>
      <c r="E160" s="829"/>
      <c r="F160" s="829"/>
      <c r="G160" s="829"/>
      <c r="H160" s="829"/>
      <c r="I160" s="829"/>
      <c r="J160" s="829"/>
      <c r="K160" s="829"/>
      <c r="L160" s="829"/>
      <c r="M160" s="829"/>
      <c r="N160" s="829"/>
      <c r="O160" s="829"/>
      <c r="P160" s="829"/>
      <c r="Q160" s="829"/>
      <c r="R160" s="829"/>
      <c r="S160" s="829"/>
      <c r="T160" s="829"/>
      <c r="U160" s="829"/>
      <c r="V160" s="829"/>
      <c r="W160" s="829"/>
      <c r="X160" s="829"/>
      <c r="Y160" s="829"/>
      <c r="Z160" s="829"/>
      <c r="AA160" s="829"/>
      <c r="AB160" s="829"/>
      <c r="AC160" s="829"/>
      <c r="AD160" s="829"/>
      <c r="AE160" s="829"/>
      <c r="AF160" s="829"/>
      <c r="AG160" s="829"/>
      <c r="AH160" s="829"/>
      <c r="AI160" s="829"/>
      <c r="AJ160" s="829"/>
      <c r="AK160" s="829"/>
      <c r="AL160" s="829"/>
      <c r="AM160" s="829"/>
      <c r="AN160" s="829"/>
    </row>
    <row r="161" spans="1:40" ht="12.75" x14ac:dyDescent="0.2">
      <c r="A161" s="829"/>
      <c r="B161" s="829"/>
      <c r="C161" s="829"/>
      <c r="D161" s="829"/>
      <c r="E161" s="829"/>
      <c r="F161" s="829"/>
      <c r="G161" s="829"/>
      <c r="H161" s="829"/>
      <c r="I161" s="829"/>
      <c r="J161" s="829"/>
      <c r="K161" s="829"/>
      <c r="L161" s="829"/>
      <c r="M161" s="829"/>
      <c r="N161" s="829"/>
      <c r="O161" s="829"/>
      <c r="P161" s="829"/>
      <c r="Q161" s="829"/>
      <c r="R161" s="829"/>
      <c r="S161" s="829"/>
      <c r="T161" s="829"/>
      <c r="U161" s="829"/>
      <c r="V161" s="829"/>
      <c r="W161" s="829"/>
      <c r="X161" s="829"/>
      <c r="Y161" s="829"/>
      <c r="Z161" s="829"/>
      <c r="AA161" s="829"/>
      <c r="AB161" s="829"/>
      <c r="AC161" s="829"/>
      <c r="AD161" s="829"/>
      <c r="AE161" s="829"/>
      <c r="AF161" s="829"/>
      <c r="AG161" s="829"/>
      <c r="AH161" s="829"/>
      <c r="AI161" s="829"/>
      <c r="AJ161" s="829"/>
      <c r="AK161" s="829"/>
      <c r="AL161" s="829"/>
      <c r="AM161" s="829"/>
      <c r="AN161" s="829"/>
    </row>
    <row r="162" spans="1:40" ht="12.75" x14ac:dyDescent="0.2">
      <c r="A162" s="829"/>
      <c r="B162" s="829"/>
      <c r="C162" s="829"/>
      <c r="D162" s="829"/>
      <c r="E162" s="829"/>
      <c r="F162" s="829"/>
      <c r="G162" s="829"/>
      <c r="H162" s="829"/>
      <c r="I162" s="829"/>
      <c r="J162" s="829"/>
      <c r="K162" s="829"/>
      <c r="L162" s="829"/>
      <c r="M162" s="829"/>
      <c r="N162" s="829"/>
      <c r="O162" s="829"/>
      <c r="P162" s="829"/>
      <c r="Q162" s="829"/>
      <c r="R162" s="829"/>
      <c r="S162" s="829"/>
      <c r="T162" s="829"/>
      <c r="U162" s="829"/>
      <c r="V162" s="829"/>
      <c r="W162" s="829"/>
      <c r="X162" s="829"/>
      <c r="Y162" s="829"/>
      <c r="Z162" s="829"/>
      <c r="AA162" s="829"/>
      <c r="AB162" s="829"/>
      <c r="AC162" s="829"/>
      <c r="AD162" s="829"/>
      <c r="AE162" s="829"/>
      <c r="AF162" s="829"/>
      <c r="AG162" s="829"/>
      <c r="AH162" s="829"/>
      <c r="AI162" s="829"/>
      <c r="AJ162" s="829"/>
      <c r="AK162" s="829"/>
      <c r="AL162" s="829"/>
      <c r="AM162" s="829"/>
      <c r="AN162" s="829"/>
    </row>
    <row r="163" spans="1:40" ht="12.75" x14ac:dyDescent="0.2">
      <c r="A163" s="829"/>
      <c r="B163" s="829"/>
      <c r="C163" s="829"/>
      <c r="D163" s="829"/>
      <c r="E163" s="829"/>
      <c r="F163" s="829"/>
      <c r="G163" s="829"/>
      <c r="H163" s="829"/>
      <c r="I163" s="829"/>
      <c r="J163" s="829"/>
      <c r="K163" s="829"/>
      <c r="L163" s="829"/>
      <c r="M163" s="829"/>
      <c r="N163" s="829"/>
      <c r="O163" s="829"/>
      <c r="P163" s="829"/>
      <c r="Q163" s="829"/>
      <c r="R163" s="829"/>
      <c r="S163" s="829"/>
      <c r="T163" s="829"/>
      <c r="U163" s="829"/>
      <c r="V163" s="829"/>
      <c r="W163" s="829"/>
      <c r="X163" s="829"/>
      <c r="Y163" s="829"/>
      <c r="Z163" s="829"/>
      <c r="AA163" s="829"/>
      <c r="AB163" s="829"/>
      <c r="AC163" s="829"/>
      <c r="AD163" s="829"/>
      <c r="AE163" s="829"/>
      <c r="AF163" s="829"/>
      <c r="AG163" s="829"/>
      <c r="AH163" s="829"/>
      <c r="AI163" s="829"/>
      <c r="AJ163" s="829"/>
      <c r="AK163" s="829"/>
      <c r="AL163" s="829"/>
      <c r="AM163" s="829"/>
      <c r="AN163" s="829"/>
    </row>
    <row r="164" spans="1:40" ht="12.75" x14ac:dyDescent="0.2">
      <c r="A164" s="829"/>
      <c r="B164" s="829"/>
      <c r="C164" s="829"/>
      <c r="D164" s="829"/>
      <c r="E164" s="829"/>
      <c r="F164" s="829"/>
      <c r="G164" s="829"/>
      <c r="H164" s="829"/>
      <c r="I164" s="829"/>
      <c r="J164" s="829"/>
      <c r="K164" s="829"/>
      <c r="L164" s="829"/>
      <c r="M164" s="829"/>
      <c r="N164" s="829"/>
      <c r="O164" s="829"/>
      <c r="P164" s="829"/>
      <c r="Q164" s="829"/>
      <c r="R164" s="829"/>
      <c r="S164" s="829"/>
      <c r="T164" s="829"/>
      <c r="U164" s="829"/>
      <c r="V164" s="829"/>
      <c r="W164" s="829"/>
      <c r="X164" s="829"/>
      <c r="Y164" s="829"/>
      <c r="Z164" s="829"/>
      <c r="AA164" s="829"/>
      <c r="AB164" s="829"/>
      <c r="AC164" s="829"/>
      <c r="AD164" s="829"/>
      <c r="AE164" s="829"/>
      <c r="AF164" s="829"/>
      <c r="AG164" s="829"/>
      <c r="AH164" s="829"/>
      <c r="AI164" s="829"/>
      <c r="AJ164" s="829"/>
      <c r="AK164" s="829"/>
      <c r="AL164" s="829"/>
      <c r="AM164" s="829"/>
      <c r="AN164" s="829"/>
    </row>
    <row r="165" spans="1:40" ht="12.75" x14ac:dyDescent="0.2">
      <c r="A165" s="829"/>
      <c r="B165" s="829"/>
      <c r="C165" s="829"/>
      <c r="D165" s="829"/>
      <c r="E165" s="829"/>
      <c r="F165" s="829"/>
      <c r="G165" s="829"/>
      <c r="H165" s="829"/>
      <c r="I165" s="829"/>
      <c r="J165" s="829"/>
      <c r="K165" s="829"/>
      <c r="L165" s="829"/>
      <c r="M165" s="829"/>
      <c r="N165" s="829"/>
      <c r="O165" s="829"/>
      <c r="P165" s="829"/>
      <c r="Q165" s="829"/>
      <c r="R165" s="829"/>
      <c r="S165" s="829"/>
      <c r="T165" s="829"/>
      <c r="U165" s="829"/>
      <c r="V165" s="829"/>
      <c r="W165" s="829"/>
      <c r="X165" s="829"/>
      <c r="Y165" s="829"/>
      <c r="Z165" s="829"/>
      <c r="AA165" s="829"/>
      <c r="AB165" s="829"/>
      <c r="AC165" s="829"/>
      <c r="AD165" s="829"/>
      <c r="AE165" s="829"/>
      <c r="AF165" s="829"/>
      <c r="AG165" s="829"/>
      <c r="AH165" s="829"/>
      <c r="AI165" s="829"/>
      <c r="AJ165" s="829"/>
      <c r="AK165" s="829"/>
      <c r="AL165" s="829"/>
      <c r="AM165" s="829"/>
      <c r="AN165" s="829"/>
    </row>
    <row r="166" spans="1:40" ht="12.75" x14ac:dyDescent="0.2">
      <c r="A166" s="829"/>
      <c r="B166" s="829"/>
      <c r="C166" s="829"/>
      <c r="D166" s="829"/>
      <c r="E166" s="829"/>
      <c r="F166" s="829"/>
      <c r="G166" s="829"/>
      <c r="H166" s="829"/>
      <c r="I166" s="829"/>
      <c r="J166" s="829"/>
      <c r="K166" s="829"/>
      <c r="L166" s="829"/>
      <c r="M166" s="829"/>
      <c r="N166" s="829"/>
      <c r="O166" s="829"/>
      <c r="P166" s="829"/>
      <c r="Q166" s="829"/>
      <c r="R166" s="829"/>
      <c r="S166" s="829"/>
      <c r="T166" s="829"/>
      <c r="U166" s="829"/>
      <c r="V166" s="829"/>
      <c r="W166" s="829"/>
      <c r="X166" s="829"/>
      <c r="Y166" s="829"/>
      <c r="Z166" s="829"/>
      <c r="AA166" s="829"/>
      <c r="AB166" s="829"/>
      <c r="AC166" s="829"/>
      <c r="AD166" s="829"/>
      <c r="AE166" s="829"/>
      <c r="AF166" s="829"/>
      <c r="AG166" s="829"/>
      <c r="AH166" s="829"/>
      <c r="AI166" s="829"/>
      <c r="AJ166" s="829"/>
      <c r="AK166" s="829"/>
      <c r="AL166" s="829"/>
      <c r="AM166" s="829"/>
      <c r="AN166" s="829"/>
    </row>
    <row r="167" spans="1:40" ht="12.75" x14ac:dyDescent="0.2">
      <c r="A167" s="829"/>
      <c r="B167" s="829"/>
      <c r="C167" s="829"/>
      <c r="D167" s="829"/>
      <c r="E167" s="829"/>
      <c r="F167" s="829"/>
      <c r="G167" s="829"/>
      <c r="H167" s="829"/>
      <c r="I167" s="829"/>
      <c r="J167" s="829"/>
      <c r="K167" s="829"/>
      <c r="L167" s="829"/>
      <c r="M167" s="829"/>
      <c r="N167" s="829"/>
      <c r="O167" s="829"/>
      <c r="P167" s="829"/>
      <c r="Q167" s="829"/>
      <c r="R167" s="829"/>
      <c r="S167" s="829"/>
      <c r="T167" s="829"/>
      <c r="U167" s="829"/>
      <c r="V167" s="829"/>
      <c r="W167" s="829"/>
      <c r="X167" s="829"/>
      <c r="Y167" s="829"/>
      <c r="Z167" s="829"/>
      <c r="AA167" s="829"/>
      <c r="AB167" s="829"/>
      <c r="AC167" s="829"/>
      <c r="AD167" s="829"/>
      <c r="AE167" s="829"/>
      <c r="AF167" s="829"/>
      <c r="AG167" s="829"/>
      <c r="AH167" s="829"/>
      <c r="AI167" s="829"/>
      <c r="AJ167" s="829"/>
      <c r="AK167" s="829"/>
      <c r="AL167" s="829"/>
      <c r="AM167" s="829"/>
      <c r="AN167" s="829"/>
    </row>
    <row r="168" spans="1:40" ht="12.75" x14ac:dyDescent="0.2">
      <c r="A168" s="829"/>
      <c r="B168" s="829"/>
      <c r="C168" s="829"/>
      <c r="D168" s="829"/>
      <c r="E168" s="829"/>
      <c r="F168" s="829"/>
      <c r="G168" s="829"/>
      <c r="H168" s="829"/>
      <c r="I168" s="829"/>
      <c r="J168" s="829"/>
      <c r="K168" s="829"/>
      <c r="L168" s="829"/>
      <c r="M168" s="829"/>
      <c r="N168" s="829"/>
      <c r="O168" s="829"/>
      <c r="P168" s="829"/>
      <c r="Q168" s="829"/>
      <c r="R168" s="829"/>
      <c r="S168" s="829"/>
      <c r="T168" s="829"/>
      <c r="U168" s="829"/>
      <c r="V168" s="829"/>
      <c r="W168" s="829"/>
      <c r="X168" s="829"/>
      <c r="Y168" s="829"/>
      <c r="Z168" s="829"/>
      <c r="AA168" s="829"/>
      <c r="AB168" s="829"/>
      <c r="AC168" s="829"/>
      <c r="AD168" s="829"/>
      <c r="AE168" s="829"/>
      <c r="AF168" s="829"/>
      <c r="AG168" s="829"/>
      <c r="AH168" s="829"/>
      <c r="AI168" s="829"/>
      <c r="AJ168" s="829"/>
      <c r="AK168" s="829"/>
      <c r="AL168" s="829"/>
      <c r="AM168" s="829"/>
      <c r="AN168" s="829"/>
    </row>
    <row r="169" spans="1:40" ht="12.75" x14ac:dyDescent="0.2">
      <c r="A169" s="829"/>
      <c r="B169" s="829"/>
      <c r="C169" s="829"/>
      <c r="D169" s="829"/>
      <c r="E169" s="829"/>
      <c r="F169" s="829"/>
      <c r="G169" s="829"/>
      <c r="H169" s="829"/>
      <c r="I169" s="829"/>
      <c r="J169" s="829"/>
      <c r="K169" s="829"/>
      <c r="L169" s="829"/>
      <c r="M169" s="829"/>
      <c r="N169" s="829"/>
      <c r="O169" s="829"/>
      <c r="P169" s="829"/>
      <c r="Q169" s="829"/>
      <c r="R169" s="829"/>
      <c r="S169" s="829"/>
      <c r="T169" s="829"/>
      <c r="U169" s="829"/>
      <c r="V169" s="829"/>
      <c r="W169" s="829"/>
      <c r="X169" s="829"/>
      <c r="Y169" s="829"/>
      <c r="Z169" s="829"/>
      <c r="AA169" s="829"/>
      <c r="AB169" s="829"/>
      <c r="AC169" s="829"/>
      <c r="AD169" s="829"/>
      <c r="AE169" s="829"/>
      <c r="AF169" s="829"/>
      <c r="AG169" s="829"/>
      <c r="AH169" s="829"/>
      <c r="AI169" s="829"/>
      <c r="AJ169" s="829"/>
      <c r="AK169" s="829"/>
      <c r="AL169" s="829"/>
      <c r="AM169" s="829"/>
      <c r="AN169" s="829"/>
    </row>
    <row r="170" spans="1:40" ht="12.75" x14ac:dyDescent="0.2">
      <c r="A170" s="829"/>
      <c r="B170" s="829"/>
      <c r="C170" s="829"/>
      <c r="D170" s="829"/>
      <c r="E170" s="829"/>
      <c r="F170" s="829"/>
      <c r="G170" s="829"/>
      <c r="H170" s="829"/>
      <c r="I170" s="829"/>
      <c r="J170" s="829"/>
      <c r="K170" s="829"/>
      <c r="L170" s="829"/>
      <c r="M170" s="829"/>
      <c r="N170" s="829"/>
      <c r="O170" s="829"/>
      <c r="P170" s="829"/>
      <c r="Q170" s="829"/>
      <c r="R170" s="829"/>
      <c r="S170" s="829"/>
      <c r="T170" s="829"/>
      <c r="U170" s="829"/>
      <c r="V170" s="829"/>
      <c r="W170" s="829"/>
      <c r="X170" s="829"/>
      <c r="Y170" s="829"/>
      <c r="Z170" s="829"/>
      <c r="AA170" s="829"/>
      <c r="AB170" s="829"/>
      <c r="AC170" s="829"/>
      <c r="AD170" s="829"/>
      <c r="AE170" s="829"/>
      <c r="AF170" s="829"/>
      <c r="AG170" s="829"/>
      <c r="AH170" s="829"/>
      <c r="AI170" s="829"/>
      <c r="AJ170" s="829"/>
      <c r="AK170" s="829"/>
      <c r="AL170" s="829"/>
      <c r="AM170" s="829"/>
      <c r="AN170" s="829"/>
    </row>
    <row r="171" spans="1:40" ht="12.75" x14ac:dyDescent="0.2">
      <c r="A171" s="829"/>
      <c r="B171" s="829"/>
      <c r="C171" s="829"/>
      <c r="D171" s="829"/>
      <c r="E171" s="829"/>
      <c r="F171" s="829"/>
      <c r="G171" s="829"/>
      <c r="H171" s="829"/>
      <c r="I171" s="829"/>
      <c r="J171" s="829"/>
      <c r="K171" s="829"/>
      <c r="L171" s="829"/>
      <c r="M171" s="829"/>
      <c r="N171" s="829"/>
      <c r="O171" s="829"/>
      <c r="P171" s="829"/>
      <c r="Q171" s="829"/>
      <c r="R171" s="829"/>
      <c r="S171" s="829"/>
      <c r="T171" s="829"/>
      <c r="U171" s="829"/>
      <c r="V171" s="829"/>
      <c r="W171" s="829"/>
      <c r="X171" s="829"/>
      <c r="Y171" s="829"/>
      <c r="Z171" s="829"/>
      <c r="AA171" s="829"/>
      <c r="AB171" s="829"/>
      <c r="AC171" s="829"/>
      <c r="AD171" s="829"/>
      <c r="AE171" s="829"/>
      <c r="AF171" s="829"/>
      <c r="AG171" s="829"/>
      <c r="AH171" s="829"/>
      <c r="AI171" s="829"/>
      <c r="AJ171" s="829"/>
      <c r="AK171" s="829"/>
      <c r="AL171" s="829"/>
      <c r="AM171" s="829"/>
      <c r="AN171" s="829"/>
    </row>
    <row r="172" spans="1:40" ht="12.75" x14ac:dyDescent="0.2">
      <c r="A172" s="829"/>
      <c r="B172" s="829"/>
      <c r="C172" s="829"/>
      <c r="D172" s="829"/>
      <c r="E172" s="829"/>
      <c r="F172" s="829"/>
      <c r="G172" s="829"/>
      <c r="H172" s="829"/>
      <c r="I172" s="829"/>
      <c r="J172" s="829"/>
      <c r="K172" s="829"/>
      <c r="L172" s="829"/>
      <c r="M172" s="829"/>
      <c r="N172" s="829"/>
      <c r="O172" s="829"/>
      <c r="P172" s="829"/>
      <c r="Q172" s="829"/>
      <c r="R172" s="829"/>
      <c r="S172" s="829"/>
      <c r="T172" s="829"/>
      <c r="U172" s="829"/>
      <c r="V172" s="829"/>
      <c r="W172" s="829"/>
      <c r="X172" s="829"/>
      <c r="Y172" s="829"/>
      <c r="Z172" s="829"/>
      <c r="AA172" s="829"/>
      <c r="AB172" s="829"/>
      <c r="AC172" s="829"/>
      <c r="AD172" s="829"/>
      <c r="AE172" s="829"/>
      <c r="AF172" s="829"/>
      <c r="AG172" s="829"/>
      <c r="AH172" s="829"/>
      <c r="AI172" s="829"/>
      <c r="AJ172" s="829"/>
      <c r="AK172" s="829"/>
      <c r="AL172" s="829"/>
      <c r="AM172" s="829"/>
      <c r="AN172" s="829"/>
    </row>
    <row r="173" spans="1:40" ht="12.75" x14ac:dyDescent="0.2">
      <c r="A173" s="829"/>
      <c r="B173" s="829"/>
      <c r="C173" s="829"/>
      <c r="D173" s="829"/>
      <c r="E173" s="829"/>
      <c r="F173" s="829"/>
      <c r="G173" s="829"/>
      <c r="H173" s="829"/>
      <c r="I173" s="829"/>
      <c r="J173" s="829"/>
      <c r="K173" s="829"/>
      <c r="L173" s="829"/>
      <c r="M173" s="829"/>
      <c r="N173" s="829"/>
      <c r="O173" s="829"/>
      <c r="P173" s="829"/>
      <c r="Q173" s="829"/>
      <c r="R173" s="829"/>
      <c r="S173" s="829"/>
      <c r="T173" s="829"/>
      <c r="U173" s="829"/>
      <c r="V173" s="829"/>
      <c r="W173" s="829"/>
      <c r="X173" s="829"/>
      <c r="Y173" s="829"/>
      <c r="Z173" s="829"/>
      <c r="AA173" s="829"/>
      <c r="AB173" s="829"/>
      <c r="AC173" s="829"/>
      <c r="AD173" s="829"/>
      <c r="AE173" s="829"/>
      <c r="AF173" s="829"/>
      <c r="AG173" s="829"/>
      <c r="AH173" s="829"/>
      <c r="AI173" s="829"/>
      <c r="AJ173" s="829"/>
      <c r="AK173" s="829"/>
      <c r="AL173" s="829"/>
      <c r="AM173" s="829"/>
      <c r="AN173" s="829"/>
    </row>
    <row r="174" spans="1:40" ht="12.75" x14ac:dyDescent="0.2">
      <c r="A174" s="829"/>
      <c r="B174" s="829"/>
      <c r="C174" s="829"/>
      <c r="D174" s="829"/>
      <c r="E174" s="829"/>
      <c r="F174" s="829"/>
      <c r="G174" s="829"/>
      <c r="H174" s="829"/>
      <c r="I174" s="829"/>
      <c r="J174" s="829"/>
      <c r="K174" s="829"/>
      <c r="L174" s="829"/>
      <c r="M174" s="829"/>
      <c r="N174" s="829"/>
      <c r="O174" s="829"/>
      <c r="P174" s="829"/>
      <c r="Q174" s="829"/>
      <c r="R174" s="829"/>
      <c r="S174" s="829"/>
      <c r="T174" s="829"/>
      <c r="U174" s="829"/>
      <c r="V174" s="829"/>
      <c r="W174" s="829"/>
      <c r="X174" s="829"/>
      <c r="Y174" s="829"/>
      <c r="Z174" s="829"/>
      <c r="AA174" s="829"/>
      <c r="AB174" s="829"/>
      <c r="AC174" s="829"/>
      <c r="AD174" s="829"/>
      <c r="AE174" s="829"/>
      <c r="AF174" s="829"/>
      <c r="AG174" s="829"/>
      <c r="AH174" s="829"/>
      <c r="AI174" s="829"/>
      <c r="AJ174" s="829"/>
      <c r="AK174" s="829"/>
      <c r="AL174" s="829"/>
      <c r="AM174" s="829"/>
      <c r="AN174" s="829"/>
    </row>
    <row r="175" spans="1:40" ht="12.75" x14ac:dyDescent="0.2">
      <c r="A175" s="829"/>
      <c r="B175" s="829"/>
      <c r="C175" s="829"/>
      <c r="D175" s="829"/>
      <c r="E175" s="829"/>
      <c r="F175" s="829"/>
      <c r="G175" s="829"/>
      <c r="H175" s="829"/>
      <c r="I175" s="829"/>
      <c r="J175" s="829"/>
      <c r="K175" s="829"/>
      <c r="L175" s="829"/>
      <c r="M175" s="829"/>
      <c r="N175" s="829"/>
      <c r="O175" s="829"/>
      <c r="P175" s="829"/>
      <c r="Q175" s="829"/>
      <c r="R175" s="829"/>
      <c r="S175" s="829"/>
      <c r="T175" s="829"/>
      <c r="U175" s="829"/>
      <c r="V175" s="829"/>
      <c r="W175" s="829"/>
      <c r="X175" s="829"/>
      <c r="Y175" s="829"/>
      <c r="Z175" s="829"/>
      <c r="AA175" s="829"/>
      <c r="AB175" s="829"/>
      <c r="AC175" s="829"/>
      <c r="AD175" s="829"/>
      <c r="AE175" s="829"/>
      <c r="AF175" s="829"/>
      <c r="AG175" s="829"/>
      <c r="AH175" s="829"/>
      <c r="AI175" s="829"/>
      <c r="AJ175" s="829"/>
      <c r="AK175" s="829"/>
      <c r="AL175" s="829"/>
      <c r="AM175" s="829"/>
      <c r="AN175" s="829"/>
    </row>
    <row r="176" spans="1:40" ht="12.75" x14ac:dyDescent="0.2">
      <c r="A176" s="829"/>
      <c r="B176" s="829"/>
      <c r="C176" s="829"/>
      <c r="D176" s="829"/>
      <c r="E176" s="829"/>
      <c r="F176" s="829"/>
      <c r="G176" s="829"/>
      <c r="H176" s="829"/>
      <c r="I176" s="829"/>
      <c r="J176" s="829"/>
      <c r="K176" s="829"/>
      <c r="L176" s="829"/>
      <c r="M176" s="829"/>
      <c r="N176" s="829"/>
      <c r="O176" s="829"/>
      <c r="P176" s="829"/>
      <c r="Q176" s="829"/>
      <c r="R176" s="829"/>
      <c r="S176" s="829"/>
      <c r="T176" s="829"/>
      <c r="U176" s="829"/>
      <c r="V176" s="829"/>
      <c r="W176" s="829"/>
      <c r="X176" s="829"/>
      <c r="Y176" s="829"/>
      <c r="Z176" s="829"/>
      <c r="AA176" s="829"/>
      <c r="AB176" s="829"/>
      <c r="AC176" s="829"/>
      <c r="AD176" s="829"/>
      <c r="AE176" s="829"/>
      <c r="AF176" s="829"/>
      <c r="AG176" s="829"/>
      <c r="AH176" s="829"/>
      <c r="AI176" s="829"/>
      <c r="AJ176" s="829"/>
      <c r="AK176" s="829"/>
      <c r="AL176" s="829"/>
      <c r="AM176" s="829"/>
      <c r="AN176" s="829"/>
    </row>
    <row r="177" spans="1:40" ht="12.75" x14ac:dyDescent="0.2">
      <c r="A177" s="829"/>
      <c r="B177" s="829"/>
      <c r="C177" s="829"/>
      <c r="D177" s="829"/>
      <c r="E177" s="829"/>
      <c r="F177" s="829"/>
      <c r="G177" s="829"/>
      <c r="H177" s="829"/>
      <c r="I177" s="829"/>
      <c r="J177" s="829"/>
      <c r="K177" s="829"/>
      <c r="L177" s="829"/>
      <c r="M177" s="829"/>
      <c r="N177" s="829"/>
      <c r="O177" s="829"/>
      <c r="P177" s="829"/>
      <c r="Q177" s="829"/>
      <c r="R177" s="829"/>
      <c r="S177" s="829"/>
      <c r="T177" s="829"/>
      <c r="U177" s="829"/>
      <c r="V177" s="829"/>
      <c r="W177" s="829"/>
      <c r="X177" s="829"/>
      <c r="Y177" s="829"/>
      <c r="Z177" s="829"/>
      <c r="AA177" s="829"/>
      <c r="AB177" s="829"/>
      <c r="AC177" s="829"/>
      <c r="AD177" s="829"/>
      <c r="AE177" s="829"/>
      <c r="AF177" s="829"/>
      <c r="AG177" s="829"/>
      <c r="AH177" s="829"/>
      <c r="AI177" s="829"/>
      <c r="AJ177" s="829"/>
      <c r="AK177" s="829"/>
      <c r="AL177" s="829"/>
      <c r="AM177" s="829"/>
      <c r="AN177" s="829"/>
    </row>
    <row r="178" spans="1:40" ht="12.75" x14ac:dyDescent="0.2">
      <c r="A178" s="829"/>
      <c r="B178" s="829"/>
      <c r="C178" s="829"/>
      <c r="D178" s="829"/>
      <c r="E178" s="829"/>
      <c r="F178" s="829"/>
      <c r="G178" s="829"/>
      <c r="H178" s="829"/>
      <c r="I178" s="829"/>
      <c r="J178" s="829"/>
      <c r="K178" s="829"/>
      <c r="L178" s="829"/>
      <c r="M178" s="829"/>
      <c r="N178" s="829"/>
      <c r="O178" s="829"/>
      <c r="P178" s="829"/>
      <c r="Q178" s="829"/>
      <c r="R178" s="829"/>
      <c r="S178" s="829"/>
      <c r="T178" s="829"/>
      <c r="U178" s="829"/>
      <c r="V178" s="829"/>
      <c r="W178" s="829"/>
      <c r="X178" s="829"/>
      <c r="Y178" s="829"/>
      <c r="Z178" s="829"/>
      <c r="AA178" s="829"/>
      <c r="AB178" s="829"/>
      <c r="AC178" s="829"/>
      <c r="AD178" s="829"/>
      <c r="AE178" s="829"/>
      <c r="AF178" s="829"/>
      <c r="AG178" s="829"/>
      <c r="AH178" s="829"/>
      <c r="AI178" s="829"/>
      <c r="AJ178" s="829"/>
      <c r="AK178" s="829"/>
      <c r="AL178" s="829"/>
      <c r="AM178" s="829"/>
      <c r="AN178" s="829"/>
    </row>
    <row r="179" spans="1:40" ht="12.75" x14ac:dyDescent="0.2">
      <c r="A179" s="829"/>
      <c r="B179" s="829"/>
      <c r="C179" s="829"/>
      <c r="D179" s="829"/>
      <c r="E179" s="829"/>
      <c r="F179" s="829"/>
      <c r="G179" s="829"/>
      <c r="H179" s="829"/>
      <c r="I179" s="829"/>
      <c r="J179" s="829"/>
      <c r="K179" s="829"/>
      <c r="L179" s="829"/>
      <c r="M179" s="829"/>
      <c r="N179" s="829"/>
      <c r="O179" s="829"/>
      <c r="P179" s="829"/>
      <c r="Q179" s="829"/>
      <c r="R179" s="829"/>
      <c r="S179" s="829"/>
      <c r="T179" s="829"/>
      <c r="U179" s="829"/>
      <c r="V179" s="829"/>
      <c r="W179" s="829"/>
      <c r="X179" s="829"/>
      <c r="Y179" s="829"/>
      <c r="Z179" s="829"/>
      <c r="AA179" s="829"/>
      <c r="AB179" s="829"/>
      <c r="AC179" s="829"/>
      <c r="AD179" s="829"/>
      <c r="AE179" s="829"/>
      <c r="AF179" s="829"/>
      <c r="AG179" s="829"/>
      <c r="AH179" s="829"/>
      <c r="AI179" s="829"/>
      <c r="AJ179" s="829"/>
      <c r="AK179" s="829"/>
      <c r="AL179" s="829"/>
      <c r="AM179" s="829"/>
      <c r="AN179" s="829"/>
    </row>
    <row r="180" spans="1:40" ht="12.75" x14ac:dyDescent="0.2">
      <c r="A180" s="829"/>
      <c r="B180" s="829"/>
      <c r="C180" s="829"/>
      <c r="D180" s="829"/>
      <c r="E180" s="829"/>
      <c r="F180" s="829"/>
      <c r="G180" s="829"/>
      <c r="H180" s="829"/>
      <c r="I180" s="829"/>
      <c r="J180" s="829"/>
      <c r="K180" s="829"/>
      <c r="L180" s="829"/>
      <c r="M180" s="829"/>
      <c r="N180" s="829"/>
      <c r="O180" s="829"/>
      <c r="P180" s="829"/>
      <c r="Q180" s="829"/>
      <c r="R180" s="829"/>
      <c r="S180" s="829"/>
      <c r="T180" s="829"/>
      <c r="U180" s="829"/>
      <c r="V180" s="829"/>
      <c r="W180" s="829"/>
      <c r="X180" s="829"/>
      <c r="Y180" s="829"/>
      <c r="Z180" s="829"/>
      <c r="AA180" s="829"/>
      <c r="AB180" s="829"/>
      <c r="AC180" s="829"/>
      <c r="AD180" s="829"/>
      <c r="AE180" s="829"/>
      <c r="AF180" s="829"/>
      <c r="AG180" s="829"/>
      <c r="AH180" s="829"/>
      <c r="AI180" s="829"/>
      <c r="AJ180" s="829"/>
      <c r="AK180" s="829"/>
      <c r="AL180" s="829"/>
      <c r="AM180" s="829"/>
      <c r="AN180" s="829"/>
    </row>
    <row r="181" spans="1:40" ht="12.75" x14ac:dyDescent="0.2">
      <c r="A181" s="829"/>
      <c r="B181" s="829"/>
      <c r="C181" s="829"/>
      <c r="D181" s="829"/>
      <c r="E181" s="829"/>
      <c r="F181" s="829"/>
      <c r="G181" s="829"/>
      <c r="H181" s="829"/>
      <c r="I181" s="829"/>
      <c r="J181" s="829"/>
      <c r="K181" s="829"/>
      <c r="L181" s="829"/>
      <c r="M181" s="829"/>
      <c r="N181" s="829"/>
      <c r="O181" s="829"/>
      <c r="P181" s="829"/>
      <c r="Q181" s="829"/>
      <c r="R181" s="829"/>
      <c r="S181" s="829"/>
      <c r="T181" s="829"/>
      <c r="U181" s="829"/>
      <c r="V181" s="829"/>
      <c r="W181" s="829"/>
      <c r="X181" s="829"/>
      <c r="Y181" s="829"/>
      <c r="Z181" s="829"/>
      <c r="AA181" s="829"/>
      <c r="AB181" s="829"/>
      <c r="AC181" s="829"/>
      <c r="AD181" s="829"/>
      <c r="AE181" s="829"/>
      <c r="AF181" s="829"/>
      <c r="AG181" s="829"/>
      <c r="AH181" s="829"/>
      <c r="AI181" s="829"/>
      <c r="AJ181" s="829"/>
      <c r="AK181" s="829"/>
      <c r="AL181" s="829"/>
      <c r="AM181" s="829"/>
      <c r="AN181" s="829"/>
    </row>
    <row r="182" spans="1:40" ht="12.75" x14ac:dyDescent="0.2">
      <c r="A182" s="829"/>
      <c r="B182" s="829"/>
      <c r="C182" s="829"/>
      <c r="D182" s="829"/>
      <c r="E182" s="829"/>
      <c r="F182" s="829"/>
      <c r="G182" s="829"/>
      <c r="H182" s="829"/>
      <c r="I182" s="829"/>
      <c r="J182" s="829"/>
      <c r="K182" s="829"/>
      <c r="L182" s="829"/>
      <c r="M182" s="829"/>
      <c r="N182" s="829"/>
      <c r="O182" s="829"/>
      <c r="P182" s="829"/>
      <c r="Q182" s="829"/>
      <c r="R182" s="829"/>
      <c r="S182" s="829"/>
      <c r="T182" s="829"/>
      <c r="U182" s="829"/>
      <c r="V182" s="829"/>
      <c r="W182" s="829"/>
      <c r="X182" s="829"/>
      <c r="Y182" s="829"/>
      <c r="Z182" s="829"/>
      <c r="AA182" s="829"/>
      <c r="AB182" s="829"/>
      <c r="AC182" s="829"/>
      <c r="AD182" s="829"/>
      <c r="AE182" s="829"/>
      <c r="AF182" s="829"/>
      <c r="AG182" s="829"/>
      <c r="AH182" s="829"/>
      <c r="AI182" s="829"/>
      <c r="AJ182" s="829"/>
      <c r="AK182" s="829"/>
      <c r="AL182" s="829"/>
      <c r="AM182" s="829"/>
      <c r="AN182" s="829"/>
    </row>
    <row r="183" spans="1:40" ht="12.75" x14ac:dyDescent="0.2">
      <c r="A183" s="829"/>
      <c r="B183" s="829"/>
      <c r="C183" s="829"/>
      <c r="D183" s="829"/>
      <c r="E183" s="829"/>
      <c r="F183" s="829"/>
      <c r="G183" s="829"/>
      <c r="H183" s="829"/>
      <c r="I183" s="829"/>
      <c r="J183" s="829"/>
      <c r="K183" s="829"/>
      <c r="L183" s="829"/>
      <c r="M183" s="829"/>
      <c r="N183" s="829"/>
      <c r="O183" s="829"/>
      <c r="P183" s="829"/>
      <c r="Q183" s="829"/>
      <c r="R183" s="829"/>
      <c r="S183" s="829"/>
      <c r="T183" s="829"/>
      <c r="U183" s="829"/>
      <c r="V183" s="829"/>
      <c r="W183" s="829"/>
      <c r="X183" s="829"/>
      <c r="Y183" s="829"/>
      <c r="Z183" s="829"/>
      <c r="AA183" s="829"/>
      <c r="AB183" s="829"/>
      <c r="AC183" s="829"/>
      <c r="AD183" s="829"/>
      <c r="AE183" s="829"/>
      <c r="AF183" s="829"/>
      <c r="AG183" s="829"/>
      <c r="AH183" s="829"/>
      <c r="AI183" s="829"/>
      <c r="AJ183" s="829"/>
      <c r="AK183" s="829"/>
      <c r="AL183" s="829"/>
      <c r="AM183" s="829"/>
      <c r="AN183" s="829"/>
    </row>
    <row r="184" spans="1:40" ht="12.75" x14ac:dyDescent="0.2">
      <c r="A184" s="829"/>
      <c r="B184" s="829"/>
      <c r="C184" s="829"/>
      <c r="D184" s="829"/>
      <c r="E184" s="829"/>
      <c r="F184" s="829"/>
      <c r="G184" s="829"/>
      <c r="H184" s="829"/>
      <c r="I184" s="829"/>
      <c r="J184" s="829"/>
      <c r="K184" s="829"/>
      <c r="L184" s="829"/>
      <c r="M184" s="829"/>
      <c r="N184" s="829"/>
      <c r="O184" s="829"/>
      <c r="P184" s="829"/>
      <c r="Q184" s="829"/>
      <c r="R184" s="829"/>
      <c r="S184" s="829"/>
      <c r="T184" s="829"/>
      <c r="U184" s="829"/>
      <c r="V184" s="829"/>
      <c r="W184" s="829"/>
      <c r="X184" s="829"/>
      <c r="Y184" s="829"/>
      <c r="Z184" s="829"/>
      <c r="AA184" s="829"/>
      <c r="AB184" s="829"/>
      <c r="AC184" s="829"/>
      <c r="AD184" s="829"/>
      <c r="AE184" s="829"/>
      <c r="AF184" s="829"/>
      <c r="AG184" s="829"/>
      <c r="AH184" s="829"/>
      <c r="AI184" s="829"/>
      <c r="AJ184" s="829"/>
      <c r="AK184" s="829"/>
      <c r="AL184" s="829"/>
      <c r="AM184" s="829"/>
      <c r="AN184" s="829"/>
    </row>
    <row r="185" spans="1:40" ht="12.75" x14ac:dyDescent="0.2">
      <c r="A185" s="829"/>
      <c r="B185" s="829"/>
      <c r="C185" s="829"/>
      <c r="D185" s="829"/>
      <c r="E185" s="829"/>
      <c r="F185" s="829"/>
      <c r="G185" s="829"/>
      <c r="H185" s="829"/>
      <c r="I185" s="829"/>
      <c r="J185" s="829"/>
      <c r="K185" s="829"/>
      <c r="L185" s="829"/>
      <c r="M185" s="829"/>
      <c r="N185" s="829"/>
      <c r="O185" s="829"/>
      <c r="P185" s="829"/>
      <c r="Q185" s="829"/>
      <c r="R185" s="829"/>
      <c r="S185" s="829"/>
      <c r="T185" s="829"/>
      <c r="U185" s="829"/>
      <c r="V185" s="829"/>
      <c r="W185" s="829"/>
      <c r="X185" s="829"/>
      <c r="Y185" s="829"/>
      <c r="Z185" s="829"/>
      <c r="AA185" s="829"/>
      <c r="AB185" s="829"/>
      <c r="AC185" s="829"/>
      <c r="AD185" s="829"/>
      <c r="AE185" s="829"/>
      <c r="AF185" s="829"/>
      <c r="AG185" s="829"/>
      <c r="AH185" s="829"/>
      <c r="AI185" s="829"/>
      <c r="AJ185" s="829"/>
      <c r="AK185" s="829"/>
      <c r="AL185" s="829"/>
      <c r="AM185" s="829"/>
      <c r="AN185" s="829"/>
    </row>
    <row r="186" spans="1:40" ht="12.75" x14ac:dyDescent="0.2">
      <c r="A186" s="829"/>
      <c r="B186" s="829"/>
      <c r="C186" s="829"/>
      <c r="D186" s="829"/>
      <c r="E186" s="829"/>
      <c r="F186" s="829"/>
      <c r="G186" s="829"/>
      <c r="H186" s="829"/>
      <c r="I186" s="829"/>
      <c r="J186" s="829"/>
      <c r="K186" s="829"/>
      <c r="L186" s="829"/>
      <c r="M186" s="829"/>
      <c r="N186" s="829"/>
      <c r="O186" s="829"/>
      <c r="P186" s="829"/>
      <c r="Q186" s="829"/>
      <c r="R186" s="829"/>
      <c r="S186" s="829"/>
      <c r="T186" s="829"/>
      <c r="U186" s="829"/>
      <c r="V186" s="829"/>
      <c r="W186" s="829"/>
      <c r="X186" s="829"/>
      <c r="Y186" s="829"/>
      <c r="Z186" s="829"/>
      <c r="AA186" s="829"/>
      <c r="AB186" s="829"/>
      <c r="AC186" s="829"/>
      <c r="AD186" s="829"/>
      <c r="AE186" s="829"/>
      <c r="AF186" s="829"/>
      <c r="AG186" s="829"/>
      <c r="AH186" s="829"/>
      <c r="AI186" s="829"/>
      <c r="AJ186" s="829"/>
      <c r="AK186" s="829"/>
      <c r="AL186" s="829"/>
      <c r="AM186" s="829"/>
      <c r="AN186" s="829"/>
    </row>
    <row r="187" spans="1:40" ht="12.75" x14ac:dyDescent="0.2">
      <c r="A187" s="829"/>
      <c r="B187" s="829"/>
      <c r="C187" s="829"/>
      <c r="D187" s="829"/>
      <c r="E187" s="829"/>
      <c r="F187" s="829"/>
      <c r="G187" s="829"/>
      <c r="H187" s="829"/>
      <c r="I187" s="829"/>
      <c r="J187" s="829"/>
      <c r="K187" s="829"/>
      <c r="L187" s="829"/>
      <c r="M187" s="829"/>
      <c r="N187" s="829"/>
      <c r="O187" s="829"/>
      <c r="P187" s="829"/>
      <c r="Q187" s="829"/>
      <c r="R187" s="829"/>
      <c r="S187" s="829"/>
      <c r="T187" s="829"/>
      <c r="U187" s="829"/>
      <c r="V187" s="829"/>
      <c r="W187" s="829"/>
      <c r="X187" s="829"/>
      <c r="Y187" s="829"/>
      <c r="Z187" s="829"/>
      <c r="AA187" s="829"/>
      <c r="AB187" s="829"/>
      <c r="AC187" s="829"/>
      <c r="AD187" s="829"/>
      <c r="AE187" s="829"/>
      <c r="AF187" s="829"/>
      <c r="AG187" s="829"/>
      <c r="AH187" s="829"/>
      <c r="AI187" s="829"/>
      <c r="AJ187" s="829"/>
      <c r="AK187" s="829"/>
      <c r="AL187" s="829"/>
      <c r="AM187" s="829"/>
      <c r="AN187" s="829"/>
    </row>
    <row r="188" spans="1:40" ht="12.75" x14ac:dyDescent="0.2">
      <c r="A188" s="829"/>
      <c r="B188" s="829"/>
      <c r="C188" s="829"/>
      <c r="D188" s="829"/>
      <c r="E188" s="829"/>
      <c r="F188" s="829"/>
      <c r="G188" s="829"/>
      <c r="H188" s="829"/>
      <c r="I188" s="829"/>
      <c r="J188" s="829"/>
      <c r="K188" s="829"/>
      <c r="L188" s="829"/>
      <c r="M188" s="829"/>
      <c r="N188" s="829"/>
      <c r="O188" s="829"/>
      <c r="P188" s="829"/>
      <c r="Q188" s="829"/>
      <c r="R188" s="829"/>
      <c r="S188" s="829"/>
      <c r="T188" s="829"/>
      <c r="U188" s="829"/>
      <c r="V188" s="829"/>
      <c r="W188" s="829"/>
      <c r="X188" s="829"/>
      <c r="Y188" s="829"/>
      <c r="Z188" s="829"/>
      <c r="AA188" s="829"/>
      <c r="AB188" s="829"/>
      <c r="AC188" s="829"/>
      <c r="AD188" s="829"/>
      <c r="AE188" s="829"/>
      <c r="AF188" s="829"/>
      <c r="AG188" s="829"/>
      <c r="AH188" s="829"/>
      <c r="AI188" s="829"/>
      <c r="AJ188" s="829"/>
      <c r="AK188" s="829"/>
      <c r="AL188" s="829"/>
      <c r="AM188" s="829"/>
      <c r="AN188" s="829"/>
    </row>
    <row r="189" spans="1:40" ht="12.75" x14ac:dyDescent="0.2">
      <c r="A189" s="829"/>
      <c r="B189" s="829"/>
      <c r="C189" s="829"/>
      <c r="D189" s="829"/>
      <c r="E189" s="829"/>
      <c r="F189" s="829"/>
      <c r="G189" s="829"/>
      <c r="H189" s="829"/>
      <c r="I189" s="829"/>
      <c r="J189" s="829"/>
      <c r="K189" s="829"/>
      <c r="L189" s="829"/>
      <c r="M189" s="829"/>
      <c r="N189" s="829"/>
      <c r="O189" s="829"/>
      <c r="P189" s="829"/>
      <c r="Q189" s="829"/>
      <c r="R189" s="829"/>
      <c r="S189" s="829"/>
      <c r="T189" s="829"/>
      <c r="U189" s="829"/>
      <c r="V189" s="829"/>
      <c r="W189" s="829"/>
      <c r="X189" s="829"/>
      <c r="Y189" s="829"/>
      <c r="Z189" s="829"/>
      <c r="AA189" s="829"/>
      <c r="AB189" s="829"/>
      <c r="AC189" s="829"/>
      <c r="AD189" s="829"/>
      <c r="AE189" s="829"/>
      <c r="AF189" s="829"/>
      <c r="AG189" s="829"/>
      <c r="AH189" s="829"/>
      <c r="AI189" s="829"/>
      <c r="AJ189" s="829"/>
      <c r="AK189" s="829"/>
      <c r="AL189" s="829"/>
      <c r="AM189" s="829"/>
      <c r="AN189" s="829"/>
    </row>
    <row r="190" spans="1:40" ht="12.75" x14ac:dyDescent="0.2">
      <c r="A190" s="829"/>
      <c r="B190" s="829"/>
      <c r="C190" s="829"/>
      <c r="D190" s="829"/>
      <c r="E190" s="829"/>
      <c r="F190" s="829"/>
      <c r="G190" s="829"/>
      <c r="H190" s="829"/>
      <c r="I190" s="829"/>
      <c r="J190" s="829"/>
      <c r="K190" s="829"/>
      <c r="L190" s="829"/>
      <c r="M190" s="829"/>
      <c r="N190" s="829"/>
      <c r="O190" s="829"/>
      <c r="P190" s="829"/>
      <c r="Q190" s="829"/>
      <c r="R190" s="829"/>
      <c r="S190" s="829"/>
      <c r="T190" s="829"/>
      <c r="U190" s="829"/>
      <c r="V190" s="829"/>
      <c r="W190" s="829"/>
      <c r="X190" s="829"/>
      <c r="Y190" s="829"/>
      <c r="Z190" s="829"/>
      <c r="AA190" s="829"/>
      <c r="AB190" s="829"/>
      <c r="AC190" s="829"/>
      <c r="AD190" s="829"/>
      <c r="AE190" s="829"/>
      <c r="AF190" s="829"/>
      <c r="AG190" s="829"/>
      <c r="AH190" s="829"/>
      <c r="AI190" s="829"/>
      <c r="AJ190" s="829"/>
      <c r="AK190" s="829"/>
      <c r="AL190" s="829"/>
      <c r="AM190" s="829"/>
      <c r="AN190" s="829"/>
    </row>
    <row r="191" spans="1:40" ht="12.75" x14ac:dyDescent="0.2">
      <c r="A191" s="829"/>
      <c r="B191" s="829"/>
      <c r="C191" s="829"/>
      <c r="D191" s="829"/>
      <c r="E191" s="829"/>
      <c r="F191" s="829"/>
      <c r="G191" s="829"/>
      <c r="H191" s="829"/>
      <c r="I191" s="829"/>
      <c r="J191" s="829"/>
      <c r="K191" s="829"/>
      <c r="L191" s="829"/>
      <c r="M191" s="829"/>
      <c r="N191" s="829"/>
      <c r="O191" s="829"/>
      <c r="P191" s="829"/>
      <c r="Q191" s="829"/>
      <c r="R191" s="829"/>
      <c r="S191" s="829"/>
      <c r="T191" s="829"/>
      <c r="U191" s="829"/>
      <c r="V191" s="829"/>
      <c r="W191" s="829"/>
      <c r="X191" s="829"/>
      <c r="Y191" s="829"/>
      <c r="Z191" s="829"/>
      <c r="AA191" s="829"/>
      <c r="AB191" s="829"/>
      <c r="AC191" s="829"/>
      <c r="AD191" s="829"/>
      <c r="AE191" s="829"/>
      <c r="AF191" s="829"/>
      <c r="AG191" s="829"/>
      <c r="AH191" s="829"/>
      <c r="AI191" s="829"/>
      <c r="AJ191" s="829"/>
      <c r="AK191" s="829"/>
      <c r="AL191" s="829"/>
      <c r="AM191" s="829"/>
      <c r="AN191" s="829"/>
    </row>
    <row r="192" spans="1:40" ht="12.75" x14ac:dyDescent="0.2">
      <c r="A192" s="829"/>
      <c r="B192" s="829"/>
      <c r="C192" s="829"/>
      <c r="D192" s="829"/>
      <c r="E192" s="829"/>
      <c r="F192" s="829"/>
      <c r="G192" s="829"/>
      <c r="H192" s="829"/>
      <c r="I192" s="829"/>
      <c r="J192" s="829"/>
      <c r="K192" s="829"/>
      <c r="L192" s="829"/>
      <c r="M192" s="829"/>
      <c r="N192" s="829"/>
      <c r="O192" s="829"/>
      <c r="P192" s="829"/>
      <c r="Q192" s="829"/>
      <c r="R192" s="829"/>
      <c r="S192" s="829"/>
      <c r="T192" s="829"/>
      <c r="U192" s="829"/>
      <c r="V192" s="829"/>
      <c r="W192" s="829"/>
      <c r="X192" s="829"/>
      <c r="Y192" s="829"/>
      <c r="Z192" s="829"/>
      <c r="AA192" s="829"/>
      <c r="AB192" s="829"/>
      <c r="AC192" s="829"/>
      <c r="AD192" s="829"/>
      <c r="AE192" s="829"/>
      <c r="AF192" s="829"/>
      <c r="AG192" s="829"/>
      <c r="AH192" s="829"/>
      <c r="AI192" s="829"/>
      <c r="AJ192" s="829"/>
      <c r="AK192" s="829"/>
      <c r="AL192" s="829"/>
      <c r="AM192" s="829"/>
      <c r="AN192" s="829"/>
    </row>
    <row r="193" spans="1:40" ht="12.75" x14ac:dyDescent="0.2">
      <c r="A193" s="829"/>
      <c r="B193" s="829"/>
      <c r="C193" s="829"/>
      <c r="D193" s="829"/>
      <c r="E193" s="829"/>
      <c r="F193" s="829"/>
      <c r="G193" s="829"/>
      <c r="H193" s="829"/>
      <c r="I193" s="829"/>
      <c r="J193" s="829"/>
      <c r="K193" s="829"/>
      <c r="L193" s="829"/>
      <c r="M193" s="829"/>
      <c r="N193" s="829"/>
      <c r="O193" s="829"/>
      <c r="P193" s="829"/>
      <c r="Q193" s="829"/>
      <c r="R193" s="829"/>
      <c r="S193" s="829"/>
      <c r="T193" s="829"/>
      <c r="U193" s="829"/>
      <c r="V193" s="829"/>
      <c r="W193" s="829"/>
      <c r="X193" s="829"/>
      <c r="Y193" s="829"/>
      <c r="Z193" s="829"/>
      <c r="AA193" s="829"/>
      <c r="AB193" s="829"/>
      <c r="AC193" s="829"/>
      <c r="AD193" s="829"/>
      <c r="AE193" s="829"/>
      <c r="AF193" s="829"/>
      <c r="AG193" s="829"/>
      <c r="AH193" s="829"/>
      <c r="AI193" s="829"/>
      <c r="AJ193" s="829"/>
      <c r="AK193" s="829"/>
      <c r="AL193" s="829"/>
      <c r="AM193" s="829"/>
      <c r="AN193" s="829"/>
    </row>
    <row r="194" spans="1:40" ht="12.75" x14ac:dyDescent="0.2">
      <c r="A194" s="829"/>
      <c r="B194" s="829"/>
      <c r="C194" s="829"/>
      <c r="D194" s="829"/>
      <c r="E194" s="829"/>
      <c r="F194" s="829"/>
      <c r="G194" s="829"/>
      <c r="H194" s="829"/>
      <c r="I194" s="829"/>
      <c r="J194" s="829"/>
      <c r="K194" s="829"/>
      <c r="L194" s="829"/>
      <c r="M194" s="829"/>
      <c r="N194" s="829"/>
      <c r="O194" s="829"/>
      <c r="P194" s="829"/>
      <c r="Q194" s="829"/>
      <c r="R194" s="829"/>
      <c r="S194" s="829"/>
      <c r="T194" s="829"/>
      <c r="U194" s="829"/>
      <c r="V194" s="829"/>
      <c r="W194" s="829"/>
      <c r="X194" s="829"/>
      <c r="Y194" s="829"/>
      <c r="Z194" s="829"/>
      <c r="AA194" s="829"/>
      <c r="AB194" s="829"/>
      <c r="AC194" s="829"/>
      <c r="AD194" s="829"/>
      <c r="AE194" s="829"/>
      <c r="AF194" s="829"/>
      <c r="AG194" s="829"/>
      <c r="AH194" s="829"/>
      <c r="AI194" s="829"/>
      <c r="AJ194" s="829"/>
      <c r="AK194" s="829"/>
      <c r="AL194" s="829"/>
      <c r="AM194" s="829"/>
      <c r="AN194" s="829"/>
    </row>
    <row r="195" spans="1:40" ht="12.75" x14ac:dyDescent="0.2">
      <c r="A195" s="829"/>
      <c r="B195" s="829"/>
      <c r="C195" s="829"/>
      <c r="D195" s="829"/>
      <c r="E195" s="829"/>
      <c r="F195" s="829"/>
      <c r="G195" s="829"/>
      <c r="H195" s="829"/>
      <c r="I195" s="829"/>
      <c r="J195" s="829"/>
      <c r="K195" s="829"/>
      <c r="L195" s="829"/>
      <c r="M195" s="829"/>
      <c r="N195" s="829"/>
      <c r="O195" s="829"/>
      <c r="P195" s="829"/>
      <c r="Q195" s="829"/>
      <c r="R195" s="829"/>
      <c r="S195" s="829"/>
      <c r="T195" s="829"/>
      <c r="U195" s="829"/>
      <c r="V195" s="829"/>
      <c r="W195" s="829"/>
      <c r="X195" s="829"/>
      <c r="Y195" s="829"/>
      <c r="Z195" s="829"/>
      <c r="AA195" s="829"/>
      <c r="AB195" s="829"/>
      <c r="AC195" s="829"/>
      <c r="AD195" s="829"/>
      <c r="AE195" s="829"/>
      <c r="AF195" s="829"/>
      <c r="AG195" s="829"/>
      <c r="AH195" s="829"/>
      <c r="AI195" s="829"/>
      <c r="AJ195" s="829"/>
      <c r="AK195" s="829"/>
      <c r="AL195" s="829"/>
      <c r="AM195" s="829"/>
      <c r="AN195" s="829"/>
    </row>
    <row r="196" spans="1:40" ht="12.75" x14ac:dyDescent="0.2">
      <c r="A196" s="829"/>
      <c r="B196" s="829"/>
      <c r="C196" s="829"/>
      <c r="D196" s="829"/>
      <c r="E196" s="829"/>
      <c r="F196" s="829"/>
      <c r="G196" s="829"/>
      <c r="H196" s="829"/>
      <c r="I196" s="829"/>
      <c r="J196" s="829"/>
      <c r="K196" s="829"/>
      <c r="L196" s="829"/>
      <c r="M196" s="829"/>
      <c r="N196" s="829"/>
      <c r="O196" s="829"/>
      <c r="P196" s="829"/>
      <c r="Q196" s="829"/>
      <c r="R196" s="829"/>
      <c r="S196" s="829"/>
      <c r="T196" s="829"/>
      <c r="U196" s="829"/>
      <c r="V196" s="829"/>
      <c r="W196" s="829"/>
      <c r="X196" s="829"/>
      <c r="Y196" s="829"/>
      <c r="Z196" s="829"/>
      <c r="AA196" s="829"/>
      <c r="AB196" s="829"/>
      <c r="AC196" s="829"/>
      <c r="AD196" s="829"/>
      <c r="AE196" s="829"/>
      <c r="AF196" s="829"/>
      <c r="AG196" s="829"/>
      <c r="AH196" s="829"/>
      <c r="AI196" s="829"/>
      <c r="AJ196" s="829"/>
      <c r="AK196" s="829"/>
      <c r="AL196" s="829"/>
      <c r="AM196" s="829"/>
      <c r="AN196" s="829"/>
    </row>
    <row r="197" spans="1:40" ht="12.75" x14ac:dyDescent="0.2">
      <c r="A197" s="829"/>
      <c r="B197" s="829"/>
      <c r="C197" s="829"/>
      <c r="D197" s="829"/>
      <c r="E197" s="829"/>
      <c r="F197" s="829"/>
      <c r="G197" s="829"/>
      <c r="H197" s="829"/>
      <c r="I197" s="829"/>
      <c r="J197" s="829"/>
      <c r="K197" s="829"/>
      <c r="L197" s="829"/>
      <c r="M197" s="829"/>
      <c r="N197" s="829"/>
      <c r="O197" s="829"/>
      <c r="P197" s="829"/>
      <c r="Q197" s="829"/>
      <c r="R197" s="829"/>
      <c r="S197" s="829"/>
      <c r="T197" s="829"/>
      <c r="U197" s="829"/>
      <c r="V197" s="829"/>
      <c r="W197" s="829"/>
      <c r="X197" s="829"/>
      <c r="Y197" s="829"/>
      <c r="Z197" s="829"/>
      <c r="AA197" s="829"/>
      <c r="AB197" s="829"/>
      <c r="AC197" s="829"/>
      <c r="AD197" s="829"/>
      <c r="AE197" s="829"/>
      <c r="AF197" s="829"/>
      <c r="AG197" s="829"/>
      <c r="AH197" s="829"/>
      <c r="AI197" s="829"/>
      <c r="AJ197" s="829"/>
      <c r="AK197" s="829"/>
      <c r="AL197" s="829"/>
      <c r="AM197" s="829"/>
      <c r="AN197" s="829"/>
    </row>
    <row r="198" spans="1:40" ht="12.75" x14ac:dyDescent="0.2">
      <c r="A198" s="829"/>
      <c r="B198" s="829"/>
      <c r="C198" s="829"/>
      <c r="D198" s="829"/>
      <c r="E198" s="829"/>
      <c r="F198" s="829"/>
      <c r="G198" s="829"/>
      <c r="H198" s="829"/>
      <c r="I198" s="829"/>
      <c r="J198" s="829"/>
      <c r="K198" s="829"/>
      <c r="L198" s="829"/>
      <c r="M198" s="829"/>
      <c r="N198" s="829"/>
      <c r="O198" s="829"/>
      <c r="P198" s="829"/>
      <c r="Q198" s="829"/>
      <c r="R198" s="829"/>
      <c r="S198" s="829"/>
      <c r="T198" s="829"/>
      <c r="U198" s="829"/>
      <c r="V198" s="829"/>
      <c r="W198" s="829"/>
      <c r="X198" s="829"/>
      <c r="Y198" s="829"/>
      <c r="Z198" s="829"/>
      <c r="AA198" s="829"/>
      <c r="AB198" s="829"/>
      <c r="AC198" s="829"/>
      <c r="AD198" s="829"/>
      <c r="AE198" s="829"/>
      <c r="AF198" s="829"/>
      <c r="AG198" s="829"/>
      <c r="AH198" s="829"/>
      <c r="AI198" s="829"/>
      <c r="AJ198" s="829"/>
      <c r="AK198" s="829"/>
      <c r="AL198" s="829"/>
      <c r="AM198" s="829"/>
      <c r="AN198" s="829"/>
    </row>
    <row r="199" spans="1:40" ht="12.75" x14ac:dyDescent="0.2">
      <c r="A199" s="829"/>
      <c r="B199" s="829"/>
      <c r="C199" s="829"/>
      <c r="D199" s="829"/>
      <c r="E199" s="829"/>
      <c r="F199" s="829"/>
      <c r="G199" s="829"/>
      <c r="H199" s="829"/>
      <c r="I199" s="829"/>
      <c r="J199" s="829"/>
      <c r="K199" s="829"/>
      <c r="L199" s="829"/>
      <c r="M199" s="829"/>
      <c r="N199" s="829"/>
      <c r="O199" s="829"/>
      <c r="P199" s="829"/>
      <c r="Q199" s="829"/>
      <c r="R199" s="829"/>
      <c r="S199" s="829"/>
      <c r="T199" s="829"/>
      <c r="U199" s="829"/>
      <c r="V199" s="829"/>
      <c r="W199" s="829"/>
      <c r="X199" s="829"/>
      <c r="Y199" s="829"/>
      <c r="Z199" s="829"/>
      <c r="AA199" s="829"/>
      <c r="AB199" s="829"/>
      <c r="AC199" s="829"/>
      <c r="AD199" s="829"/>
      <c r="AE199" s="829"/>
      <c r="AF199" s="829"/>
      <c r="AG199" s="829"/>
      <c r="AH199" s="829"/>
      <c r="AI199" s="829"/>
      <c r="AJ199" s="829"/>
      <c r="AK199" s="829"/>
      <c r="AL199" s="829"/>
      <c r="AM199" s="829"/>
      <c r="AN199" s="829"/>
    </row>
    <row r="200" spans="1:40" ht="12.75" x14ac:dyDescent="0.2">
      <c r="A200" s="829"/>
      <c r="B200" s="829"/>
      <c r="C200" s="829"/>
      <c r="D200" s="829"/>
      <c r="E200" s="829"/>
      <c r="F200" s="829"/>
      <c r="G200" s="829"/>
      <c r="H200" s="829"/>
      <c r="I200" s="829"/>
      <c r="J200" s="829"/>
      <c r="K200" s="829"/>
      <c r="L200" s="829"/>
      <c r="M200" s="829"/>
      <c r="N200" s="829"/>
      <c r="O200" s="829"/>
      <c r="P200" s="829"/>
      <c r="Q200" s="829"/>
      <c r="R200" s="829"/>
      <c r="S200" s="829"/>
      <c r="T200" s="829"/>
      <c r="U200" s="829"/>
      <c r="V200" s="829"/>
      <c r="W200" s="829"/>
      <c r="X200" s="829"/>
      <c r="Y200" s="829"/>
      <c r="Z200" s="829"/>
      <c r="AA200" s="829"/>
      <c r="AB200" s="829"/>
      <c r="AC200" s="829"/>
      <c r="AD200" s="829"/>
      <c r="AE200" s="829"/>
      <c r="AF200" s="829"/>
      <c r="AG200" s="829"/>
      <c r="AH200" s="829"/>
      <c r="AI200" s="829"/>
      <c r="AJ200" s="829"/>
      <c r="AK200" s="829"/>
      <c r="AL200" s="829"/>
      <c r="AM200" s="829"/>
      <c r="AN200" s="829"/>
    </row>
    <row r="201" spans="1:40" ht="12.75" x14ac:dyDescent="0.2">
      <c r="A201" s="829"/>
      <c r="B201" s="829"/>
      <c r="C201" s="829"/>
      <c r="D201" s="829"/>
      <c r="E201" s="829"/>
      <c r="F201" s="829"/>
      <c r="G201" s="829"/>
      <c r="H201" s="829"/>
      <c r="I201" s="829"/>
      <c r="J201" s="829"/>
      <c r="K201" s="829"/>
      <c r="L201" s="829"/>
      <c r="M201" s="829"/>
      <c r="N201" s="829"/>
      <c r="O201" s="829"/>
      <c r="P201" s="829"/>
      <c r="Q201" s="829"/>
      <c r="R201" s="829"/>
      <c r="S201" s="829"/>
      <c r="T201" s="829"/>
      <c r="U201" s="829"/>
      <c r="V201" s="829"/>
      <c r="W201" s="829"/>
      <c r="X201" s="829"/>
      <c r="Y201" s="829"/>
      <c r="Z201" s="829"/>
      <c r="AA201" s="829"/>
      <c r="AB201" s="829"/>
      <c r="AC201" s="829"/>
      <c r="AD201" s="829"/>
      <c r="AE201" s="829"/>
      <c r="AF201" s="829"/>
      <c r="AG201" s="829"/>
      <c r="AH201" s="829"/>
      <c r="AI201" s="829"/>
      <c r="AJ201" s="829"/>
      <c r="AK201" s="829"/>
      <c r="AL201" s="829"/>
      <c r="AM201" s="829"/>
      <c r="AN201" s="829"/>
    </row>
    <row r="202" spans="1:40" ht="12.75" x14ac:dyDescent="0.2">
      <c r="A202" s="829"/>
      <c r="B202" s="829"/>
      <c r="C202" s="829"/>
      <c r="D202" s="829"/>
      <c r="E202" s="829"/>
      <c r="F202" s="829"/>
      <c r="G202" s="829"/>
      <c r="H202" s="829"/>
      <c r="I202" s="829"/>
      <c r="J202" s="829"/>
      <c r="K202" s="829"/>
      <c r="L202" s="829"/>
      <c r="M202" s="829"/>
      <c r="N202" s="829"/>
      <c r="O202" s="829"/>
      <c r="P202" s="829"/>
      <c r="Q202" s="829"/>
      <c r="R202" s="829"/>
      <c r="S202" s="829"/>
      <c r="T202" s="829"/>
      <c r="U202" s="829"/>
      <c r="V202" s="829"/>
      <c r="W202" s="829"/>
      <c r="X202" s="829"/>
      <c r="Y202" s="829"/>
      <c r="Z202" s="829"/>
      <c r="AA202" s="829"/>
      <c r="AB202" s="829"/>
      <c r="AC202" s="829"/>
      <c r="AD202" s="829"/>
      <c r="AE202" s="829"/>
      <c r="AF202" s="829"/>
      <c r="AG202" s="829"/>
      <c r="AH202" s="829"/>
      <c r="AI202" s="829"/>
      <c r="AJ202" s="829"/>
      <c r="AK202" s="829"/>
      <c r="AL202" s="829"/>
      <c r="AM202" s="829"/>
      <c r="AN202" s="829"/>
    </row>
    <row r="203" spans="1:40" ht="12.75" x14ac:dyDescent="0.2">
      <c r="A203" s="829"/>
      <c r="B203" s="829"/>
      <c r="C203" s="829"/>
      <c r="D203" s="829"/>
      <c r="E203" s="829"/>
      <c r="F203" s="829"/>
      <c r="G203" s="829"/>
      <c r="H203" s="829"/>
      <c r="I203" s="829"/>
      <c r="J203" s="829"/>
      <c r="K203" s="829"/>
      <c r="L203" s="829"/>
      <c r="M203" s="829"/>
      <c r="N203" s="829"/>
      <c r="O203" s="829"/>
      <c r="P203" s="829"/>
      <c r="Q203" s="829"/>
      <c r="R203" s="829"/>
      <c r="S203" s="829"/>
      <c r="T203" s="829"/>
      <c r="U203" s="829"/>
      <c r="V203" s="829"/>
      <c r="W203" s="829"/>
      <c r="X203" s="829"/>
      <c r="Y203" s="829"/>
      <c r="Z203" s="829"/>
      <c r="AA203" s="829"/>
      <c r="AB203" s="829"/>
      <c r="AC203" s="829"/>
      <c r="AD203" s="829"/>
      <c r="AE203" s="829"/>
      <c r="AF203" s="829"/>
      <c r="AG203" s="829"/>
      <c r="AH203" s="829"/>
      <c r="AI203" s="829"/>
      <c r="AJ203" s="829"/>
      <c r="AK203" s="829"/>
      <c r="AL203" s="829"/>
      <c r="AM203" s="829"/>
      <c r="AN203" s="829"/>
    </row>
    <row r="204" spans="1:40" ht="12.75" x14ac:dyDescent="0.2">
      <c r="A204" s="829"/>
      <c r="B204" s="829"/>
      <c r="C204" s="829"/>
      <c r="D204" s="829"/>
      <c r="E204" s="829"/>
      <c r="F204" s="829"/>
      <c r="G204" s="829"/>
      <c r="H204" s="829"/>
      <c r="I204" s="829"/>
      <c r="J204" s="829"/>
      <c r="K204" s="829"/>
      <c r="L204" s="829"/>
      <c r="M204" s="829"/>
      <c r="N204" s="829"/>
      <c r="O204" s="829"/>
      <c r="P204" s="829"/>
      <c r="Q204" s="829"/>
      <c r="R204" s="829"/>
      <c r="S204" s="829"/>
      <c r="T204" s="829"/>
      <c r="U204" s="829"/>
      <c r="V204" s="829"/>
      <c r="W204" s="829"/>
      <c r="X204" s="829"/>
      <c r="Y204" s="829"/>
      <c r="Z204" s="829"/>
      <c r="AA204" s="829"/>
      <c r="AB204" s="829"/>
      <c r="AC204" s="829"/>
      <c r="AD204" s="829"/>
      <c r="AE204" s="829"/>
      <c r="AF204" s="829"/>
      <c r="AG204" s="829"/>
      <c r="AH204" s="829"/>
      <c r="AI204" s="829"/>
      <c r="AJ204" s="829"/>
      <c r="AK204" s="829"/>
      <c r="AL204" s="829"/>
      <c r="AM204" s="829"/>
      <c r="AN204" s="829"/>
    </row>
    <row r="205" spans="1:40" ht="12.75" x14ac:dyDescent="0.2">
      <c r="A205" s="829"/>
      <c r="B205" s="829"/>
      <c r="C205" s="829"/>
      <c r="D205" s="829"/>
      <c r="E205" s="829"/>
      <c r="F205" s="829"/>
      <c r="G205" s="829"/>
      <c r="H205" s="829"/>
      <c r="I205" s="829"/>
      <c r="J205" s="829"/>
      <c r="K205" s="829"/>
      <c r="L205" s="829"/>
      <c r="M205" s="829"/>
      <c r="N205" s="829"/>
      <c r="O205" s="829"/>
      <c r="P205" s="829"/>
      <c r="Q205" s="829"/>
      <c r="R205" s="829"/>
      <c r="S205" s="829"/>
      <c r="T205" s="829"/>
      <c r="U205" s="829"/>
      <c r="V205" s="829"/>
      <c r="W205" s="829"/>
      <c r="X205" s="829"/>
      <c r="Y205" s="829"/>
      <c r="Z205" s="829"/>
      <c r="AA205" s="829"/>
      <c r="AB205" s="829"/>
      <c r="AC205" s="829"/>
      <c r="AD205" s="829"/>
      <c r="AE205" s="829"/>
      <c r="AF205" s="829"/>
      <c r="AG205" s="829"/>
      <c r="AH205" s="829"/>
      <c r="AI205" s="829"/>
      <c r="AJ205" s="829"/>
      <c r="AK205" s="829"/>
      <c r="AL205" s="829"/>
      <c r="AM205" s="829"/>
      <c r="AN205" s="829"/>
    </row>
    <row r="206" spans="1:40" ht="12.75" x14ac:dyDescent="0.2">
      <c r="A206" s="829"/>
      <c r="B206" s="829"/>
      <c r="C206" s="829"/>
      <c r="D206" s="829"/>
      <c r="E206" s="829"/>
      <c r="F206" s="829"/>
      <c r="G206" s="829"/>
      <c r="H206" s="829"/>
      <c r="I206" s="829"/>
      <c r="J206" s="829"/>
      <c r="K206" s="829"/>
      <c r="L206" s="829"/>
      <c r="M206" s="829"/>
      <c r="N206" s="829"/>
      <c r="O206" s="829"/>
      <c r="P206" s="829"/>
      <c r="Q206" s="829"/>
      <c r="R206" s="829"/>
      <c r="S206" s="829"/>
      <c r="T206" s="829"/>
      <c r="U206" s="829"/>
      <c r="V206" s="829"/>
      <c r="W206" s="829"/>
      <c r="X206" s="829"/>
      <c r="Y206" s="829"/>
      <c r="Z206" s="829"/>
      <c r="AA206" s="829"/>
      <c r="AB206" s="829"/>
      <c r="AC206" s="829"/>
      <c r="AD206" s="829"/>
      <c r="AE206" s="829"/>
      <c r="AF206" s="829"/>
      <c r="AG206" s="829"/>
      <c r="AH206" s="829"/>
      <c r="AI206" s="829"/>
      <c r="AJ206" s="829"/>
      <c r="AK206" s="829"/>
      <c r="AL206" s="829"/>
      <c r="AM206" s="829"/>
      <c r="AN206" s="829"/>
    </row>
    <row r="207" spans="1:40" ht="12.75" x14ac:dyDescent="0.2">
      <c r="A207" s="829"/>
      <c r="B207" s="829"/>
      <c r="C207" s="829"/>
      <c r="D207" s="829"/>
      <c r="E207" s="829"/>
      <c r="F207" s="829"/>
      <c r="G207" s="829"/>
      <c r="H207" s="829"/>
      <c r="I207" s="829"/>
      <c r="J207" s="829"/>
      <c r="K207" s="829"/>
      <c r="L207" s="829"/>
      <c r="M207" s="829"/>
      <c r="N207" s="829"/>
      <c r="O207" s="829"/>
      <c r="P207" s="829"/>
      <c r="Q207" s="829"/>
      <c r="R207" s="829"/>
      <c r="S207" s="829"/>
      <c r="T207" s="829"/>
      <c r="U207" s="829"/>
      <c r="V207" s="829"/>
      <c r="W207" s="829"/>
      <c r="X207" s="829"/>
      <c r="Y207" s="829"/>
      <c r="Z207" s="829"/>
      <c r="AA207" s="829"/>
      <c r="AB207" s="829"/>
      <c r="AC207" s="829"/>
      <c r="AD207" s="829"/>
      <c r="AE207" s="829"/>
      <c r="AF207" s="829"/>
      <c r="AG207" s="829"/>
      <c r="AH207" s="829"/>
      <c r="AI207" s="829"/>
      <c r="AJ207" s="829"/>
      <c r="AK207" s="829"/>
      <c r="AL207" s="829"/>
      <c r="AM207" s="829"/>
      <c r="AN207" s="829"/>
    </row>
    <row r="208" spans="1:40" ht="12.75" x14ac:dyDescent="0.2">
      <c r="A208" s="829"/>
      <c r="B208" s="829"/>
      <c r="C208" s="829"/>
      <c r="D208" s="829"/>
      <c r="E208" s="829"/>
      <c r="F208" s="829"/>
      <c r="G208" s="829"/>
      <c r="H208" s="829"/>
      <c r="I208" s="829"/>
      <c r="J208" s="829"/>
      <c r="K208" s="829"/>
      <c r="L208" s="829"/>
      <c r="M208" s="829"/>
      <c r="N208" s="829"/>
      <c r="O208" s="829"/>
      <c r="P208" s="829"/>
      <c r="Q208" s="829"/>
      <c r="R208" s="829"/>
      <c r="S208" s="829"/>
      <c r="T208" s="829"/>
      <c r="U208" s="829"/>
      <c r="V208" s="829"/>
      <c r="W208" s="829"/>
      <c r="X208" s="829"/>
      <c r="Y208" s="829"/>
      <c r="Z208" s="829"/>
      <c r="AA208" s="829"/>
      <c r="AB208" s="829"/>
      <c r="AC208" s="829"/>
      <c r="AD208" s="829"/>
      <c r="AE208" s="829"/>
      <c r="AF208" s="829"/>
      <c r="AG208" s="829"/>
      <c r="AH208" s="829"/>
      <c r="AI208" s="829"/>
      <c r="AJ208" s="829"/>
      <c r="AK208" s="829"/>
      <c r="AL208" s="829"/>
      <c r="AM208" s="829"/>
      <c r="AN208" s="829"/>
    </row>
    <row r="209" spans="1:40" ht="12.75" x14ac:dyDescent="0.2">
      <c r="A209" s="829"/>
      <c r="B209" s="829"/>
      <c r="C209" s="829"/>
      <c r="D209" s="829"/>
      <c r="E209" s="829"/>
      <c r="F209" s="829"/>
      <c r="G209" s="829"/>
      <c r="H209" s="829"/>
      <c r="I209" s="829"/>
      <c r="J209" s="829"/>
      <c r="K209" s="829"/>
      <c r="L209" s="829"/>
      <c r="M209" s="829"/>
      <c r="N209" s="829"/>
      <c r="O209" s="829"/>
      <c r="P209" s="829"/>
      <c r="Q209" s="829"/>
      <c r="R209" s="829"/>
      <c r="S209" s="829"/>
      <c r="T209" s="829"/>
      <c r="U209" s="829"/>
      <c r="V209" s="829"/>
      <c r="W209" s="829"/>
      <c r="X209" s="829"/>
      <c r="Y209" s="829"/>
      <c r="Z209" s="829"/>
      <c r="AA209" s="829"/>
      <c r="AB209" s="829"/>
      <c r="AC209" s="829"/>
      <c r="AD209" s="829"/>
      <c r="AE209" s="829"/>
      <c r="AF209" s="829"/>
      <c r="AG209" s="829"/>
      <c r="AH209" s="829"/>
      <c r="AI209" s="829"/>
      <c r="AJ209" s="829"/>
      <c r="AK209" s="829"/>
      <c r="AL209" s="829"/>
      <c r="AM209" s="829"/>
      <c r="AN209" s="829"/>
    </row>
    <row r="210" spans="1:40" ht="12.75" x14ac:dyDescent="0.2">
      <c r="A210" s="829"/>
      <c r="B210" s="829"/>
      <c r="C210" s="829"/>
      <c r="D210" s="829"/>
      <c r="E210" s="829"/>
      <c r="F210" s="829"/>
      <c r="G210" s="829"/>
      <c r="H210" s="829"/>
      <c r="I210" s="829"/>
      <c r="J210" s="829"/>
      <c r="K210" s="829"/>
      <c r="L210" s="829"/>
      <c r="M210" s="829"/>
      <c r="N210" s="829"/>
      <c r="O210" s="829"/>
      <c r="P210" s="829"/>
      <c r="Q210" s="829"/>
      <c r="R210" s="829"/>
      <c r="S210" s="829"/>
      <c r="T210" s="829"/>
      <c r="U210" s="829"/>
      <c r="V210" s="829"/>
      <c r="W210" s="829"/>
      <c r="X210" s="829"/>
      <c r="Y210" s="829"/>
      <c r="Z210" s="829"/>
      <c r="AA210" s="829"/>
      <c r="AB210" s="829"/>
      <c r="AC210" s="829"/>
      <c r="AD210" s="829"/>
      <c r="AE210" s="829"/>
      <c r="AF210" s="829"/>
      <c r="AG210" s="829"/>
      <c r="AH210" s="829"/>
      <c r="AI210" s="829"/>
      <c r="AJ210" s="829"/>
      <c r="AK210" s="829"/>
      <c r="AL210" s="829"/>
      <c r="AM210" s="829"/>
      <c r="AN210" s="829"/>
    </row>
    <row r="211" spans="1:40" ht="12.75" x14ac:dyDescent="0.2">
      <c r="A211" s="829"/>
      <c r="B211" s="829"/>
      <c r="C211" s="829"/>
      <c r="D211" s="829"/>
      <c r="E211" s="829"/>
      <c r="F211" s="829"/>
      <c r="G211" s="829"/>
      <c r="H211" s="829"/>
      <c r="I211" s="829"/>
      <c r="J211" s="829"/>
      <c r="K211" s="829"/>
      <c r="L211" s="829"/>
      <c r="M211" s="829"/>
      <c r="N211" s="829"/>
      <c r="O211" s="829"/>
      <c r="P211" s="829"/>
      <c r="Q211" s="829"/>
      <c r="R211" s="829"/>
      <c r="S211" s="829"/>
      <c r="T211" s="829"/>
      <c r="U211" s="829"/>
      <c r="V211" s="829"/>
      <c r="W211" s="829"/>
      <c r="X211" s="829"/>
      <c r="Y211" s="829"/>
      <c r="Z211" s="829"/>
      <c r="AA211" s="829"/>
      <c r="AB211" s="829"/>
      <c r="AC211" s="829"/>
      <c r="AD211" s="829"/>
      <c r="AE211" s="829"/>
      <c r="AF211" s="829"/>
      <c r="AG211" s="829"/>
      <c r="AH211" s="829"/>
      <c r="AI211" s="829"/>
      <c r="AJ211" s="829"/>
      <c r="AK211" s="829"/>
      <c r="AL211" s="829"/>
      <c r="AM211" s="829"/>
      <c r="AN211" s="829"/>
    </row>
    <row r="212" spans="1:40" ht="12.75" x14ac:dyDescent="0.2">
      <c r="A212" s="829"/>
      <c r="B212" s="829"/>
      <c r="C212" s="829"/>
      <c r="D212" s="829"/>
      <c r="E212" s="829"/>
      <c r="F212" s="829"/>
      <c r="G212" s="829"/>
      <c r="H212" s="829"/>
      <c r="I212" s="829"/>
      <c r="J212" s="829"/>
      <c r="K212" s="829"/>
      <c r="L212" s="829"/>
      <c r="M212" s="829"/>
      <c r="N212" s="829"/>
      <c r="O212" s="829"/>
      <c r="P212" s="829"/>
      <c r="Q212" s="829"/>
      <c r="R212" s="829"/>
      <c r="S212" s="829"/>
      <c r="T212" s="829"/>
      <c r="U212" s="829"/>
      <c r="V212" s="829"/>
      <c r="W212" s="829"/>
      <c r="X212" s="829"/>
      <c r="Y212" s="829"/>
      <c r="Z212" s="829"/>
      <c r="AA212" s="829"/>
      <c r="AB212" s="829"/>
      <c r="AC212" s="829"/>
      <c r="AD212" s="829"/>
      <c r="AE212" s="829"/>
      <c r="AF212" s="829"/>
      <c r="AG212" s="829"/>
      <c r="AH212" s="829"/>
      <c r="AI212" s="829"/>
      <c r="AJ212" s="829"/>
      <c r="AK212" s="829"/>
      <c r="AL212" s="829"/>
      <c r="AM212" s="829"/>
      <c r="AN212" s="829"/>
    </row>
    <row r="213" spans="1:40" ht="12.75" x14ac:dyDescent="0.2">
      <c r="A213" s="829"/>
      <c r="B213" s="829"/>
      <c r="C213" s="829"/>
      <c r="D213" s="829"/>
      <c r="E213" s="829"/>
      <c r="F213" s="829"/>
      <c r="G213" s="829"/>
      <c r="H213" s="829"/>
      <c r="I213" s="829"/>
      <c r="J213" s="829"/>
      <c r="K213" s="829"/>
      <c r="L213" s="829"/>
      <c r="M213" s="829"/>
      <c r="N213" s="829"/>
      <c r="O213" s="829"/>
      <c r="P213" s="829"/>
      <c r="Q213" s="829"/>
      <c r="R213" s="829"/>
      <c r="S213" s="829"/>
      <c r="T213" s="829"/>
      <c r="U213" s="829"/>
      <c r="V213" s="829"/>
      <c r="W213" s="829"/>
      <c r="X213" s="829"/>
      <c r="Y213" s="829"/>
      <c r="Z213" s="829"/>
      <c r="AA213" s="829"/>
      <c r="AB213" s="829"/>
      <c r="AC213" s="829"/>
      <c r="AD213" s="829"/>
      <c r="AE213" s="829"/>
      <c r="AF213" s="829"/>
      <c r="AG213" s="829"/>
      <c r="AH213" s="829"/>
      <c r="AI213" s="829"/>
      <c r="AJ213" s="829"/>
      <c r="AK213" s="829"/>
      <c r="AL213" s="829"/>
      <c r="AM213" s="829"/>
      <c r="AN213" s="829"/>
    </row>
    <row r="214" spans="1:40" ht="12.75" x14ac:dyDescent="0.2">
      <c r="A214" s="829"/>
      <c r="B214" s="829"/>
      <c r="C214" s="829"/>
      <c r="D214" s="829"/>
      <c r="E214" s="829"/>
      <c r="F214" s="829"/>
      <c r="G214" s="829"/>
      <c r="H214" s="829"/>
      <c r="I214" s="829"/>
      <c r="J214" s="829"/>
      <c r="K214" s="829"/>
      <c r="L214" s="829"/>
      <c r="M214" s="829"/>
      <c r="N214" s="829"/>
      <c r="O214" s="829"/>
      <c r="P214" s="829"/>
      <c r="Q214" s="829"/>
      <c r="R214" s="829"/>
      <c r="S214" s="829"/>
      <c r="T214" s="829"/>
      <c r="U214" s="829"/>
      <c r="V214" s="829"/>
      <c r="W214" s="829"/>
      <c r="X214" s="829"/>
      <c r="Y214" s="829"/>
      <c r="Z214" s="829"/>
      <c r="AA214" s="829"/>
      <c r="AB214" s="829"/>
      <c r="AC214" s="829"/>
      <c r="AD214" s="829"/>
      <c r="AE214" s="829"/>
      <c r="AF214" s="829"/>
      <c r="AG214" s="829"/>
      <c r="AH214" s="829"/>
      <c r="AI214" s="829"/>
      <c r="AJ214" s="829"/>
      <c r="AK214" s="829"/>
      <c r="AL214" s="829"/>
      <c r="AM214" s="829"/>
      <c r="AN214" s="829"/>
    </row>
    <row r="215" spans="1:40" ht="12.75" x14ac:dyDescent="0.2">
      <c r="A215" s="829"/>
      <c r="B215" s="829"/>
      <c r="C215" s="829"/>
      <c r="D215" s="829"/>
      <c r="E215" s="829"/>
      <c r="F215" s="829"/>
      <c r="G215" s="829"/>
      <c r="H215" s="829"/>
      <c r="I215" s="829"/>
      <c r="J215" s="829"/>
      <c r="K215" s="829"/>
      <c r="L215" s="829"/>
      <c r="M215" s="829"/>
      <c r="N215" s="829"/>
      <c r="O215" s="829"/>
      <c r="P215" s="829"/>
      <c r="Q215" s="829"/>
      <c r="R215" s="829"/>
      <c r="S215" s="829"/>
      <c r="T215" s="829"/>
      <c r="U215" s="829"/>
      <c r="V215" s="829"/>
      <c r="W215" s="829"/>
      <c r="X215" s="829"/>
      <c r="Y215" s="829"/>
      <c r="Z215" s="829"/>
      <c r="AA215" s="829"/>
      <c r="AB215" s="829"/>
      <c r="AC215" s="829"/>
      <c r="AD215" s="829"/>
      <c r="AE215" s="829"/>
      <c r="AF215" s="829"/>
      <c r="AG215" s="829"/>
      <c r="AH215" s="829"/>
      <c r="AI215" s="829"/>
      <c r="AJ215" s="829"/>
      <c r="AK215" s="829"/>
      <c r="AL215" s="829"/>
      <c r="AM215" s="829"/>
      <c r="AN215" s="829"/>
    </row>
    <row r="216" spans="1:40" ht="12.75" x14ac:dyDescent="0.2">
      <c r="A216" s="829"/>
      <c r="B216" s="829"/>
      <c r="C216" s="829"/>
      <c r="D216" s="829"/>
      <c r="E216" s="829"/>
      <c r="F216" s="829"/>
      <c r="G216" s="829"/>
      <c r="H216" s="829"/>
      <c r="I216" s="829"/>
      <c r="J216" s="829"/>
      <c r="K216" s="829"/>
      <c r="L216" s="829"/>
      <c r="M216" s="829"/>
      <c r="N216" s="829"/>
      <c r="O216" s="829"/>
      <c r="P216" s="829"/>
      <c r="Q216" s="829"/>
      <c r="R216" s="829"/>
      <c r="S216" s="829"/>
      <c r="T216" s="829"/>
      <c r="U216" s="829"/>
      <c r="V216" s="829"/>
      <c r="W216" s="829"/>
      <c r="X216" s="829"/>
      <c r="Y216" s="829"/>
      <c r="Z216" s="829"/>
      <c r="AA216" s="829"/>
      <c r="AB216" s="829"/>
      <c r="AC216" s="829"/>
      <c r="AD216" s="829"/>
      <c r="AE216" s="829"/>
      <c r="AF216" s="829"/>
      <c r="AG216" s="829"/>
      <c r="AH216" s="829"/>
      <c r="AI216" s="829"/>
      <c r="AJ216" s="829"/>
      <c r="AK216" s="829"/>
      <c r="AL216" s="829"/>
      <c r="AM216" s="829"/>
      <c r="AN216" s="829"/>
    </row>
    <row r="217" spans="1:40" ht="12.75" x14ac:dyDescent="0.2">
      <c r="A217" s="829"/>
      <c r="B217" s="829"/>
      <c r="C217" s="829"/>
      <c r="D217" s="829"/>
      <c r="E217" s="829"/>
      <c r="F217" s="829"/>
      <c r="G217" s="829"/>
      <c r="H217" s="829"/>
      <c r="I217" s="829"/>
      <c r="J217" s="829"/>
      <c r="K217" s="829"/>
      <c r="L217" s="829"/>
      <c r="M217" s="829"/>
      <c r="N217" s="829"/>
      <c r="O217" s="829"/>
      <c r="P217" s="829"/>
      <c r="Q217" s="829"/>
      <c r="R217" s="829"/>
      <c r="S217" s="829"/>
      <c r="T217" s="829"/>
      <c r="U217" s="829"/>
      <c r="V217" s="829"/>
      <c r="W217" s="829"/>
      <c r="X217" s="829"/>
      <c r="Y217" s="829"/>
      <c r="Z217" s="829"/>
      <c r="AA217" s="829"/>
      <c r="AB217" s="829"/>
      <c r="AC217" s="829"/>
      <c r="AD217" s="829"/>
      <c r="AE217" s="829"/>
      <c r="AF217" s="829"/>
      <c r="AG217" s="829"/>
      <c r="AH217" s="829"/>
      <c r="AI217" s="829"/>
      <c r="AJ217" s="829"/>
      <c r="AK217" s="829"/>
      <c r="AL217" s="829"/>
      <c r="AM217" s="829"/>
      <c r="AN217" s="829"/>
    </row>
    <row r="218" spans="1:40" ht="12.75" x14ac:dyDescent="0.2">
      <c r="A218" s="829"/>
      <c r="B218" s="829"/>
      <c r="C218" s="829"/>
      <c r="D218" s="829"/>
      <c r="E218" s="829"/>
      <c r="F218" s="829"/>
      <c r="G218" s="829"/>
      <c r="H218" s="829"/>
      <c r="I218" s="829"/>
      <c r="J218" s="829"/>
      <c r="K218" s="829"/>
      <c r="L218" s="829"/>
      <c r="M218" s="829"/>
      <c r="N218" s="829"/>
      <c r="O218" s="829"/>
      <c r="P218" s="829"/>
      <c r="Q218" s="829"/>
      <c r="R218" s="829"/>
      <c r="S218" s="829"/>
      <c r="T218" s="829"/>
      <c r="U218" s="829"/>
      <c r="V218" s="829"/>
      <c r="W218" s="829"/>
      <c r="X218" s="829"/>
      <c r="Y218" s="829"/>
      <c r="Z218" s="829"/>
      <c r="AA218" s="829"/>
      <c r="AB218" s="829"/>
      <c r="AC218" s="829"/>
      <c r="AD218" s="829"/>
      <c r="AE218" s="829"/>
      <c r="AF218" s="829"/>
      <c r="AG218" s="829"/>
      <c r="AH218" s="829"/>
      <c r="AI218" s="829"/>
      <c r="AJ218" s="829"/>
      <c r="AK218" s="829"/>
      <c r="AL218" s="829"/>
      <c r="AM218" s="829"/>
      <c r="AN218" s="829"/>
    </row>
    <row r="219" spans="1:40" ht="12.75" x14ac:dyDescent="0.2">
      <c r="A219" s="829"/>
      <c r="B219" s="829"/>
      <c r="C219" s="829"/>
      <c r="D219" s="829"/>
      <c r="E219" s="829"/>
      <c r="F219" s="829"/>
      <c r="G219" s="829"/>
      <c r="H219" s="829"/>
      <c r="I219" s="829"/>
      <c r="J219" s="829"/>
      <c r="K219" s="829"/>
      <c r="L219" s="829"/>
      <c r="M219" s="829"/>
      <c r="N219" s="829"/>
      <c r="O219" s="829"/>
      <c r="P219" s="829"/>
      <c r="Q219" s="829"/>
      <c r="R219" s="829"/>
      <c r="S219" s="829"/>
      <c r="T219" s="829"/>
      <c r="U219" s="829"/>
      <c r="V219" s="829"/>
      <c r="W219" s="829"/>
      <c r="X219" s="829"/>
      <c r="Y219" s="829"/>
      <c r="Z219" s="829"/>
      <c r="AA219" s="829"/>
      <c r="AB219" s="829"/>
      <c r="AC219" s="829"/>
      <c r="AD219" s="829"/>
      <c r="AE219" s="829"/>
      <c r="AF219" s="829"/>
      <c r="AG219" s="829"/>
      <c r="AH219" s="829"/>
      <c r="AI219" s="829"/>
      <c r="AJ219" s="829"/>
      <c r="AK219" s="829"/>
      <c r="AL219" s="829"/>
      <c r="AM219" s="829"/>
      <c r="AN219" s="829"/>
    </row>
    <row r="220" spans="1:40" ht="12.75" x14ac:dyDescent="0.2">
      <c r="A220" s="829"/>
      <c r="B220" s="829"/>
      <c r="C220" s="829"/>
      <c r="D220" s="829"/>
      <c r="E220" s="829"/>
      <c r="F220" s="829"/>
      <c r="G220" s="829"/>
      <c r="H220" s="829"/>
      <c r="I220" s="829"/>
      <c r="J220" s="829"/>
      <c r="K220" s="829"/>
      <c r="L220" s="829"/>
      <c r="M220" s="829"/>
      <c r="N220" s="829"/>
      <c r="O220" s="829"/>
      <c r="P220" s="829"/>
      <c r="Q220" s="829"/>
      <c r="R220" s="829"/>
      <c r="S220" s="829"/>
      <c r="T220" s="829"/>
      <c r="U220" s="829"/>
      <c r="V220" s="829"/>
      <c r="W220" s="829"/>
      <c r="X220" s="829"/>
      <c r="Y220" s="829"/>
      <c r="Z220" s="829"/>
      <c r="AA220" s="829"/>
      <c r="AB220" s="829"/>
      <c r="AC220" s="829"/>
      <c r="AD220" s="829"/>
      <c r="AE220" s="829"/>
      <c r="AF220" s="829"/>
      <c r="AG220" s="829"/>
      <c r="AH220" s="829"/>
      <c r="AI220" s="829"/>
      <c r="AJ220" s="829"/>
      <c r="AK220" s="829"/>
      <c r="AL220" s="829"/>
      <c r="AM220" s="829"/>
      <c r="AN220" s="829"/>
    </row>
    <row r="221" spans="1:40" ht="12.75" x14ac:dyDescent="0.2">
      <c r="A221" s="829"/>
      <c r="B221" s="829"/>
      <c r="C221" s="829"/>
      <c r="D221" s="829"/>
      <c r="E221" s="829"/>
      <c r="F221" s="829"/>
      <c r="G221" s="829"/>
      <c r="H221" s="829"/>
      <c r="I221" s="829"/>
      <c r="J221" s="829"/>
      <c r="K221" s="829"/>
      <c r="L221" s="829"/>
      <c r="M221" s="829"/>
      <c r="N221" s="829"/>
      <c r="O221" s="829"/>
      <c r="P221" s="829"/>
      <c r="Q221" s="829"/>
      <c r="R221" s="829"/>
      <c r="S221" s="829"/>
      <c r="T221" s="829"/>
      <c r="U221" s="829"/>
      <c r="V221" s="829"/>
      <c r="W221" s="829"/>
      <c r="X221" s="829"/>
      <c r="Y221" s="829"/>
      <c r="Z221" s="829"/>
      <c r="AA221" s="829"/>
      <c r="AB221" s="829"/>
      <c r="AC221" s="829"/>
      <c r="AD221" s="829"/>
      <c r="AE221" s="829"/>
      <c r="AF221" s="829"/>
      <c r="AG221" s="829"/>
      <c r="AH221" s="829"/>
      <c r="AI221" s="829"/>
      <c r="AJ221" s="829"/>
      <c r="AK221" s="829"/>
      <c r="AL221" s="829"/>
      <c r="AM221" s="829"/>
      <c r="AN221" s="829"/>
    </row>
    <row r="222" spans="1:40" ht="12.75" x14ac:dyDescent="0.2">
      <c r="A222" s="829"/>
      <c r="B222" s="829"/>
      <c r="C222" s="829"/>
      <c r="D222" s="829"/>
      <c r="E222" s="829"/>
      <c r="F222" s="829"/>
      <c r="G222" s="829"/>
      <c r="H222" s="829"/>
      <c r="I222" s="829"/>
      <c r="J222" s="829"/>
      <c r="K222" s="829"/>
      <c r="L222" s="829"/>
      <c r="M222" s="829"/>
      <c r="N222" s="829"/>
      <c r="O222" s="829"/>
      <c r="P222" s="829"/>
      <c r="Q222" s="829"/>
      <c r="R222" s="829"/>
      <c r="S222" s="829"/>
      <c r="T222" s="829"/>
      <c r="U222" s="829"/>
      <c r="V222" s="829"/>
      <c r="W222" s="829"/>
      <c r="X222" s="829"/>
      <c r="Y222" s="829"/>
      <c r="Z222" s="829"/>
      <c r="AA222" s="829"/>
      <c r="AB222" s="829"/>
      <c r="AC222" s="829"/>
      <c r="AD222" s="829"/>
      <c r="AE222" s="829"/>
      <c r="AF222" s="829"/>
      <c r="AG222" s="829"/>
      <c r="AH222" s="829"/>
      <c r="AI222" s="829"/>
      <c r="AJ222" s="829"/>
      <c r="AK222" s="829"/>
      <c r="AL222" s="829"/>
      <c r="AM222" s="829"/>
      <c r="AN222" s="829"/>
    </row>
    <row r="223" spans="1:40" ht="12.75" x14ac:dyDescent="0.2">
      <c r="A223" s="829"/>
      <c r="B223" s="829"/>
      <c r="C223" s="829"/>
      <c r="D223" s="829"/>
      <c r="E223" s="829"/>
      <c r="F223" s="829"/>
      <c r="G223" s="829"/>
      <c r="H223" s="829"/>
      <c r="I223" s="829"/>
      <c r="J223" s="829"/>
      <c r="K223" s="829"/>
      <c r="L223" s="829"/>
      <c r="M223" s="829"/>
      <c r="N223" s="829"/>
      <c r="O223" s="829"/>
      <c r="P223" s="829"/>
      <c r="Q223" s="829"/>
      <c r="R223" s="829"/>
      <c r="S223" s="829"/>
      <c r="T223" s="829"/>
      <c r="U223" s="829"/>
      <c r="V223" s="829"/>
      <c r="W223" s="829"/>
      <c r="X223" s="829"/>
      <c r="Y223" s="829"/>
      <c r="Z223" s="829"/>
      <c r="AA223" s="829"/>
      <c r="AB223" s="829"/>
      <c r="AC223" s="829"/>
      <c r="AD223" s="829"/>
      <c r="AE223" s="829"/>
      <c r="AF223" s="829"/>
      <c r="AG223" s="829"/>
      <c r="AH223" s="829"/>
      <c r="AI223" s="829"/>
      <c r="AJ223" s="829"/>
      <c r="AK223" s="829"/>
      <c r="AL223" s="829"/>
      <c r="AM223" s="829"/>
      <c r="AN223" s="829"/>
    </row>
    <row r="224" spans="1:40" ht="12.75" x14ac:dyDescent="0.2">
      <c r="A224" s="829"/>
      <c r="B224" s="829"/>
      <c r="C224" s="829"/>
      <c r="D224" s="829"/>
      <c r="E224" s="829"/>
      <c r="F224" s="829"/>
      <c r="G224" s="829"/>
      <c r="H224" s="829"/>
      <c r="I224" s="829"/>
      <c r="J224" s="829"/>
      <c r="K224" s="829"/>
      <c r="L224" s="829"/>
      <c r="M224" s="829"/>
      <c r="N224" s="829"/>
      <c r="O224" s="829"/>
      <c r="P224" s="829"/>
      <c r="Q224" s="829"/>
      <c r="R224" s="829"/>
      <c r="S224" s="829"/>
      <c r="T224" s="829"/>
      <c r="U224" s="829"/>
      <c r="V224" s="829"/>
      <c r="W224" s="829"/>
      <c r="X224" s="829"/>
      <c r="Y224" s="829"/>
      <c r="Z224" s="829"/>
      <c r="AA224" s="829"/>
      <c r="AB224" s="829"/>
      <c r="AC224" s="829"/>
      <c r="AD224" s="829"/>
      <c r="AE224" s="829"/>
      <c r="AF224" s="829"/>
      <c r="AG224" s="829"/>
      <c r="AH224" s="829"/>
      <c r="AI224" s="829"/>
      <c r="AJ224" s="829"/>
      <c r="AK224" s="829"/>
      <c r="AL224" s="829"/>
      <c r="AM224" s="829"/>
      <c r="AN224" s="829"/>
    </row>
    <row r="225" spans="1:40" ht="12.75" x14ac:dyDescent="0.2">
      <c r="A225" s="829"/>
      <c r="B225" s="829"/>
      <c r="C225" s="829"/>
      <c r="D225" s="829"/>
      <c r="E225" s="829"/>
      <c r="F225" s="829"/>
      <c r="G225" s="829"/>
      <c r="H225" s="829"/>
      <c r="I225" s="829"/>
      <c r="J225" s="829"/>
      <c r="K225" s="829"/>
      <c r="L225" s="829"/>
      <c r="M225" s="829"/>
      <c r="N225" s="829"/>
      <c r="O225" s="829"/>
      <c r="P225" s="829"/>
      <c r="Q225" s="829"/>
      <c r="R225" s="829"/>
      <c r="S225" s="829"/>
      <c r="T225" s="829"/>
      <c r="U225" s="829"/>
      <c r="V225" s="829"/>
      <c r="W225" s="829"/>
      <c r="X225" s="829"/>
      <c r="Y225" s="829"/>
      <c r="Z225" s="829"/>
      <c r="AA225" s="829"/>
      <c r="AB225" s="829"/>
      <c r="AC225" s="829"/>
      <c r="AD225" s="829"/>
      <c r="AE225" s="829"/>
      <c r="AF225" s="829"/>
      <c r="AG225" s="829"/>
      <c r="AH225" s="829"/>
      <c r="AI225" s="829"/>
      <c r="AJ225" s="829"/>
      <c r="AK225" s="829"/>
      <c r="AL225" s="829"/>
      <c r="AM225" s="829"/>
      <c r="AN225" s="829"/>
    </row>
    <row r="226" spans="1:40" ht="12.75" x14ac:dyDescent="0.2">
      <c r="A226" s="829"/>
      <c r="B226" s="829"/>
      <c r="C226" s="829"/>
      <c r="D226" s="829"/>
      <c r="E226" s="829"/>
      <c r="F226" s="829"/>
      <c r="G226" s="829"/>
      <c r="H226" s="829"/>
      <c r="I226" s="829"/>
      <c r="J226" s="829"/>
      <c r="K226" s="829"/>
      <c r="L226" s="829"/>
      <c r="M226" s="829"/>
      <c r="N226" s="829"/>
      <c r="O226" s="829"/>
      <c r="P226" s="829"/>
      <c r="Q226" s="829"/>
      <c r="R226" s="829"/>
      <c r="S226" s="829"/>
      <c r="T226" s="829"/>
      <c r="U226" s="829"/>
      <c r="V226" s="829"/>
      <c r="W226" s="829"/>
      <c r="X226" s="829"/>
      <c r="Y226" s="829"/>
      <c r="Z226" s="829"/>
      <c r="AA226" s="829"/>
      <c r="AB226" s="829"/>
      <c r="AC226" s="829"/>
      <c r="AD226" s="829"/>
      <c r="AE226" s="829"/>
      <c r="AF226" s="829"/>
      <c r="AG226" s="829"/>
      <c r="AH226" s="829"/>
      <c r="AI226" s="829"/>
      <c r="AJ226" s="829"/>
      <c r="AK226" s="829"/>
      <c r="AL226" s="829"/>
      <c r="AM226" s="829"/>
      <c r="AN226" s="829"/>
    </row>
    <row r="227" spans="1:40" ht="12.75" x14ac:dyDescent="0.2">
      <c r="A227" s="829"/>
      <c r="B227" s="829"/>
      <c r="C227" s="829"/>
      <c r="D227" s="829"/>
      <c r="E227" s="829"/>
      <c r="F227" s="829"/>
      <c r="G227" s="829"/>
      <c r="H227" s="829"/>
      <c r="I227" s="829"/>
      <c r="J227" s="829"/>
      <c r="K227" s="829"/>
      <c r="L227" s="829"/>
      <c r="M227" s="829"/>
      <c r="N227" s="829"/>
      <c r="O227" s="829"/>
      <c r="P227" s="829"/>
      <c r="Q227" s="829"/>
      <c r="R227" s="829"/>
      <c r="S227" s="829"/>
      <c r="T227" s="829"/>
      <c r="U227" s="829"/>
      <c r="V227" s="829"/>
      <c r="W227" s="829"/>
      <c r="X227" s="829"/>
      <c r="Y227" s="829"/>
      <c r="Z227" s="829"/>
      <c r="AA227" s="829"/>
      <c r="AB227" s="829"/>
      <c r="AC227" s="829"/>
      <c r="AD227" s="829"/>
      <c r="AE227" s="829"/>
      <c r="AF227" s="829"/>
      <c r="AG227" s="829"/>
      <c r="AH227" s="829"/>
      <c r="AI227" s="829"/>
      <c r="AJ227" s="829"/>
      <c r="AK227" s="829"/>
      <c r="AL227" s="829"/>
      <c r="AM227" s="829"/>
      <c r="AN227" s="829"/>
    </row>
    <row r="228" spans="1:40" ht="12.75" x14ac:dyDescent="0.2">
      <c r="A228" s="829"/>
      <c r="B228" s="829"/>
      <c r="C228" s="829"/>
      <c r="D228" s="829"/>
      <c r="E228" s="829"/>
      <c r="F228" s="829"/>
      <c r="G228" s="829"/>
      <c r="H228" s="829"/>
      <c r="I228" s="829"/>
      <c r="J228" s="829"/>
      <c r="K228" s="829"/>
      <c r="L228" s="829"/>
      <c r="M228" s="829"/>
      <c r="N228" s="829"/>
      <c r="O228" s="829"/>
      <c r="P228" s="829"/>
      <c r="Q228" s="829"/>
      <c r="R228" s="829"/>
      <c r="S228" s="829"/>
      <c r="T228" s="829"/>
      <c r="U228" s="829"/>
      <c r="V228" s="829"/>
      <c r="W228" s="829"/>
      <c r="X228" s="829"/>
      <c r="Y228" s="829"/>
      <c r="Z228" s="829"/>
      <c r="AA228" s="829"/>
      <c r="AB228" s="829"/>
      <c r="AC228" s="829"/>
      <c r="AD228" s="829"/>
      <c r="AE228" s="829"/>
      <c r="AF228" s="829"/>
      <c r="AG228" s="829"/>
      <c r="AH228" s="829"/>
      <c r="AI228" s="829"/>
      <c r="AJ228" s="829"/>
      <c r="AK228" s="829"/>
      <c r="AL228" s="829"/>
      <c r="AM228" s="829"/>
      <c r="AN228" s="829"/>
    </row>
    <row r="229" spans="1:40" ht="12.75" x14ac:dyDescent="0.2">
      <c r="A229" s="829"/>
      <c r="B229" s="829"/>
      <c r="C229" s="829"/>
      <c r="D229" s="829"/>
      <c r="E229" s="829"/>
      <c r="F229" s="829"/>
      <c r="G229" s="829"/>
      <c r="H229" s="829"/>
      <c r="I229" s="829"/>
      <c r="J229" s="829"/>
      <c r="K229" s="829"/>
      <c r="L229" s="829"/>
      <c r="M229" s="829"/>
      <c r="N229" s="829"/>
      <c r="O229" s="829"/>
      <c r="P229" s="829"/>
      <c r="Q229" s="829"/>
      <c r="R229" s="829"/>
      <c r="S229" s="829"/>
      <c r="T229" s="829"/>
      <c r="U229" s="829"/>
      <c r="V229" s="829"/>
      <c r="W229" s="829"/>
      <c r="X229" s="829"/>
      <c r="Y229" s="829"/>
      <c r="Z229" s="829"/>
      <c r="AA229" s="829"/>
      <c r="AB229" s="829"/>
      <c r="AC229" s="829"/>
      <c r="AD229" s="829"/>
      <c r="AE229" s="829"/>
      <c r="AF229" s="829"/>
      <c r="AG229" s="829"/>
      <c r="AH229" s="829"/>
      <c r="AI229" s="829"/>
      <c r="AJ229" s="829"/>
      <c r="AK229" s="829"/>
      <c r="AL229" s="829"/>
      <c r="AM229" s="829"/>
      <c r="AN229" s="829"/>
    </row>
    <row r="230" spans="1:40" ht="12.75" x14ac:dyDescent="0.2">
      <c r="A230" s="829"/>
      <c r="B230" s="829"/>
      <c r="C230" s="829"/>
      <c r="D230" s="829"/>
      <c r="E230" s="829"/>
      <c r="F230" s="829"/>
      <c r="G230" s="829"/>
      <c r="H230" s="829"/>
      <c r="I230" s="829"/>
      <c r="J230" s="829"/>
      <c r="K230" s="829"/>
      <c r="L230" s="829"/>
      <c r="M230" s="829"/>
      <c r="N230" s="829"/>
      <c r="O230" s="829"/>
      <c r="P230" s="829"/>
      <c r="Q230" s="829"/>
      <c r="R230" s="829"/>
      <c r="S230" s="829"/>
      <c r="T230" s="829"/>
      <c r="U230" s="829"/>
      <c r="V230" s="829"/>
      <c r="W230" s="829"/>
      <c r="X230" s="829"/>
      <c r="Y230" s="829"/>
      <c r="Z230" s="829"/>
      <c r="AA230" s="829"/>
      <c r="AB230" s="829"/>
      <c r="AC230" s="829"/>
      <c r="AD230" s="829"/>
      <c r="AE230" s="829"/>
      <c r="AF230" s="829"/>
      <c r="AG230" s="829"/>
      <c r="AH230" s="829"/>
      <c r="AI230" s="829"/>
      <c r="AJ230" s="829"/>
      <c r="AK230" s="829"/>
      <c r="AL230" s="829"/>
      <c r="AM230" s="829"/>
      <c r="AN230" s="829"/>
    </row>
    <row r="231" spans="1:40" ht="12.75" x14ac:dyDescent="0.2">
      <c r="A231" s="829"/>
      <c r="B231" s="829"/>
      <c r="C231" s="829"/>
      <c r="D231" s="829"/>
      <c r="E231" s="829"/>
      <c r="F231" s="829"/>
      <c r="G231" s="829"/>
      <c r="H231" s="829"/>
      <c r="I231" s="829"/>
      <c r="J231" s="829"/>
      <c r="K231" s="829"/>
      <c r="L231" s="829"/>
      <c r="M231" s="829"/>
      <c r="N231" s="829"/>
      <c r="O231" s="829"/>
      <c r="P231" s="829"/>
      <c r="Q231" s="829"/>
      <c r="R231" s="829"/>
      <c r="S231" s="829"/>
      <c r="T231" s="829"/>
      <c r="U231" s="829"/>
      <c r="V231" s="829"/>
      <c r="W231" s="829"/>
      <c r="X231" s="829"/>
      <c r="Y231" s="829"/>
      <c r="Z231" s="829"/>
      <c r="AA231" s="829"/>
      <c r="AB231" s="829"/>
      <c r="AC231" s="829"/>
      <c r="AD231" s="829"/>
      <c r="AE231" s="829"/>
      <c r="AF231" s="829"/>
      <c r="AG231" s="829"/>
      <c r="AH231" s="829"/>
      <c r="AI231" s="829"/>
      <c r="AJ231" s="829"/>
      <c r="AK231" s="829"/>
      <c r="AL231" s="829"/>
      <c r="AM231" s="829"/>
      <c r="AN231" s="829"/>
    </row>
    <row r="232" spans="1:40" ht="12.75" x14ac:dyDescent="0.2">
      <c r="A232" s="829"/>
      <c r="B232" s="829"/>
      <c r="C232" s="829"/>
      <c r="D232" s="829"/>
      <c r="E232" s="829"/>
      <c r="F232" s="829"/>
      <c r="G232" s="829"/>
      <c r="H232" s="829"/>
      <c r="I232" s="829"/>
      <c r="J232" s="829"/>
      <c r="K232" s="829"/>
      <c r="L232" s="829"/>
      <c r="M232" s="829"/>
      <c r="N232" s="829"/>
      <c r="O232" s="829"/>
      <c r="P232" s="829"/>
      <c r="Q232" s="829"/>
      <c r="R232" s="829"/>
      <c r="S232" s="829"/>
      <c r="T232" s="829"/>
      <c r="U232" s="829"/>
      <c r="V232" s="829"/>
      <c r="W232" s="829"/>
      <c r="X232" s="829"/>
      <c r="Y232" s="829"/>
      <c r="Z232" s="829"/>
      <c r="AA232" s="829"/>
      <c r="AB232" s="829"/>
      <c r="AC232" s="829"/>
      <c r="AD232" s="829"/>
      <c r="AE232" s="829"/>
      <c r="AF232" s="829"/>
      <c r="AG232" s="829"/>
      <c r="AH232" s="829"/>
      <c r="AI232" s="829"/>
      <c r="AJ232" s="829"/>
      <c r="AK232" s="829"/>
      <c r="AL232" s="829"/>
      <c r="AM232" s="829"/>
      <c r="AN232" s="829"/>
    </row>
    <row r="233" spans="1:40" ht="12.75" x14ac:dyDescent="0.2">
      <c r="A233" s="829"/>
      <c r="B233" s="829"/>
      <c r="C233" s="829"/>
      <c r="D233" s="829"/>
      <c r="E233" s="829"/>
      <c r="F233" s="829"/>
      <c r="G233" s="829"/>
      <c r="H233" s="829"/>
      <c r="I233" s="829"/>
      <c r="J233" s="829"/>
      <c r="K233" s="829"/>
      <c r="L233" s="829"/>
      <c r="M233" s="829"/>
      <c r="N233" s="829"/>
      <c r="O233" s="829"/>
      <c r="P233" s="829"/>
      <c r="Q233" s="829"/>
      <c r="R233" s="829"/>
      <c r="S233" s="829"/>
      <c r="T233" s="829"/>
      <c r="U233" s="829"/>
      <c r="V233" s="829"/>
      <c r="W233" s="829"/>
      <c r="X233" s="829"/>
      <c r="Y233" s="829"/>
      <c r="Z233" s="829"/>
      <c r="AA233" s="829"/>
      <c r="AB233" s="829"/>
      <c r="AC233" s="829"/>
      <c r="AD233" s="829"/>
      <c r="AE233" s="829"/>
      <c r="AF233" s="829"/>
      <c r="AG233" s="829"/>
      <c r="AH233" s="829"/>
      <c r="AI233" s="829"/>
      <c r="AJ233" s="829"/>
      <c r="AK233" s="829"/>
      <c r="AL233" s="829"/>
      <c r="AM233" s="829"/>
      <c r="AN233" s="829"/>
    </row>
    <row r="234" spans="1:40" ht="12.75" x14ac:dyDescent="0.2">
      <c r="A234" s="829"/>
      <c r="B234" s="829"/>
      <c r="C234" s="829"/>
      <c r="D234" s="829"/>
      <c r="E234" s="829"/>
      <c r="F234" s="829"/>
      <c r="G234" s="829"/>
      <c r="H234" s="829"/>
      <c r="I234" s="829"/>
      <c r="J234" s="829"/>
      <c r="K234" s="829"/>
      <c r="L234" s="829"/>
      <c r="M234" s="829"/>
      <c r="N234" s="829"/>
      <c r="O234" s="829"/>
      <c r="P234" s="829"/>
      <c r="Q234" s="829"/>
      <c r="R234" s="829"/>
      <c r="S234" s="829"/>
      <c r="T234" s="829"/>
      <c r="U234" s="829"/>
      <c r="V234" s="829"/>
      <c r="W234" s="829"/>
      <c r="X234" s="829"/>
      <c r="Y234" s="829"/>
      <c r="Z234" s="829"/>
      <c r="AA234" s="829"/>
      <c r="AB234" s="829"/>
      <c r="AC234" s="829"/>
      <c r="AD234" s="829"/>
      <c r="AE234" s="829"/>
      <c r="AF234" s="829"/>
      <c r="AG234" s="829"/>
      <c r="AH234" s="829"/>
      <c r="AI234" s="829"/>
      <c r="AJ234" s="829"/>
      <c r="AK234" s="829"/>
      <c r="AL234" s="829"/>
      <c r="AM234" s="829"/>
      <c r="AN234" s="829"/>
    </row>
    <row r="235" spans="1:40" ht="12.75" x14ac:dyDescent="0.2">
      <c r="A235" s="829"/>
      <c r="B235" s="829"/>
      <c r="C235" s="829"/>
      <c r="D235" s="829"/>
      <c r="E235" s="829"/>
      <c r="F235" s="829"/>
      <c r="G235" s="829"/>
      <c r="H235" s="829"/>
      <c r="I235" s="829"/>
      <c r="J235" s="829"/>
      <c r="K235" s="829"/>
      <c r="L235" s="829"/>
      <c r="M235" s="829"/>
      <c r="N235" s="829"/>
      <c r="O235" s="829"/>
      <c r="P235" s="829"/>
      <c r="Q235" s="829"/>
      <c r="R235" s="829"/>
      <c r="S235" s="829"/>
      <c r="T235" s="829"/>
      <c r="U235" s="829"/>
      <c r="V235" s="829"/>
      <c r="W235" s="829"/>
      <c r="X235" s="829"/>
      <c r="Y235" s="829"/>
      <c r="Z235" s="829"/>
      <c r="AA235" s="829"/>
      <c r="AB235" s="829"/>
      <c r="AC235" s="829"/>
      <c r="AD235" s="829"/>
      <c r="AE235" s="829"/>
      <c r="AF235" s="829"/>
      <c r="AG235" s="829"/>
      <c r="AH235" s="829"/>
      <c r="AI235" s="829"/>
      <c r="AJ235" s="829"/>
      <c r="AK235" s="829"/>
      <c r="AL235" s="829"/>
      <c r="AM235" s="829"/>
      <c r="AN235" s="829"/>
    </row>
    <row r="236" spans="1:40" ht="12.75" x14ac:dyDescent="0.2">
      <c r="A236" s="829"/>
      <c r="B236" s="829"/>
      <c r="C236" s="829"/>
      <c r="D236" s="829"/>
      <c r="E236" s="829"/>
      <c r="F236" s="829"/>
      <c r="G236" s="829"/>
      <c r="H236" s="829"/>
      <c r="I236" s="829"/>
      <c r="J236" s="829"/>
      <c r="K236" s="829"/>
      <c r="L236" s="829"/>
      <c r="M236" s="829"/>
      <c r="N236" s="829"/>
      <c r="O236" s="829"/>
      <c r="P236" s="829"/>
      <c r="Q236" s="829"/>
      <c r="R236" s="829"/>
      <c r="S236" s="829"/>
      <c r="T236" s="829"/>
      <c r="U236" s="829"/>
      <c r="V236" s="829"/>
      <c r="W236" s="829"/>
      <c r="X236" s="829"/>
      <c r="Y236" s="829"/>
      <c r="Z236" s="829"/>
      <c r="AA236" s="829"/>
      <c r="AB236" s="829"/>
      <c r="AC236" s="829"/>
      <c r="AD236" s="829"/>
      <c r="AE236" s="829"/>
      <c r="AF236" s="829"/>
      <c r="AG236" s="829"/>
      <c r="AH236" s="829"/>
      <c r="AI236" s="829"/>
      <c r="AJ236" s="829"/>
      <c r="AK236" s="829"/>
      <c r="AL236" s="829"/>
      <c r="AM236" s="829"/>
      <c r="AN236" s="829"/>
    </row>
    <row r="237" spans="1:40" ht="12.75" x14ac:dyDescent="0.2">
      <c r="A237" s="829"/>
      <c r="B237" s="829"/>
      <c r="C237" s="829"/>
      <c r="D237" s="829"/>
      <c r="E237" s="829"/>
      <c r="F237" s="829"/>
      <c r="G237" s="829"/>
      <c r="H237" s="829"/>
      <c r="I237" s="829"/>
      <c r="J237" s="829"/>
      <c r="K237" s="829"/>
      <c r="L237" s="829"/>
      <c r="M237" s="829"/>
      <c r="N237" s="829"/>
      <c r="O237" s="829"/>
      <c r="P237" s="829"/>
      <c r="Q237" s="829"/>
      <c r="R237" s="829"/>
      <c r="S237" s="829"/>
      <c r="T237" s="829"/>
      <c r="U237" s="829"/>
      <c r="V237" s="829"/>
      <c r="W237" s="829"/>
      <c r="X237" s="829"/>
      <c r="Y237" s="829"/>
      <c r="Z237" s="829"/>
      <c r="AA237" s="829"/>
      <c r="AB237" s="829"/>
      <c r="AC237" s="829"/>
      <c r="AD237" s="829"/>
      <c r="AE237" s="829"/>
      <c r="AF237" s="829"/>
      <c r="AG237" s="829"/>
      <c r="AH237" s="829"/>
      <c r="AI237" s="829"/>
      <c r="AJ237" s="829"/>
      <c r="AK237" s="829"/>
      <c r="AL237" s="829"/>
      <c r="AM237" s="829"/>
      <c r="AN237" s="829"/>
    </row>
    <row r="238" spans="1:40" ht="12.75" x14ac:dyDescent="0.2">
      <c r="A238" s="829"/>
      <c r="B238" s="829"/>
      <c r="C238" s="829"/>
      <c r="D238" s="829"/>
      <c r="E238" s="829"/>
      <c r="F238" s="829"/>
      <c r="G238" s="829"/>
      <c r="H238" s="829"/>
      <c r="I238" s="829"/>
      <c r="J238" s="829"/>
      <c r="K238" s="829"/>
      <c r="L238" s="829"/>
      <c r="M238" s="829"/>
      <c r="N238" s="829"/>
      <c r="O238" s="829"/>
      <c r="P238" s="829"/>
      <c r="Q238" s="829"/>
      <c r="R238" s="829"/>
      <c r="S238" s="829"/>
      <c r="T238" s="829"/>
      <c r="U238" s="829"/>
      <c r="V238" s="829"/>
      <c r="W238" s="829"/>
      <c r="X238" s="829"/>
      <c r="Y238" s="829"/>
      <c r="Z238" s="829"/>
      <c r="AA238" s="829"/>
      <c r="AB238" s="829"/>
      <c r="AC238" s="829"/>
      <c r="AD238" s="829"/>
      <c r="AE238" s="829"/>
      <c r="AF238" s="829"/>
      <c r="AG238" s="829"/>
      <c r="AH238" s="829"/>
      <c r="AI238" s="829"/>
      <c r="AJ238" s="829"/>
      <c r="AK238" s="829"/>
      <c r="AL238" s="829"/>
      <c r="AM238" s="829"/>
      <c r="AN238" s="829"/>
    </row>
    <row r="239" spans="1:40" ht="12.75" x14ac:dyDescent="0.2">
      <c r="A239" s="829"/>
      <c r="B239" s="829"/>
      <c r="C239" s="829"/>
      <c r="D239" s="829"/>
      <c r="E239" s="829"/>
      <c r="F239" s="829"/>
      <c r="G239" s="829"/>
      <c r="H239" s="829"/>
      <c r="I239" s="829"/>
      <c r="J239" s="829"/>
      <c r="K239" s="829"/>
      <c r="L239" s="829"/>
      <c r="M239" s="829"/>
      <c r="N239" s="829"/>
      <c r="O239" s="829"/>
      <c r="P239" s="829"/>
      <c r="Q239" s="829"/>
      <c r="R239" s="829"/>
      <c r="S239" s="829"/>
      <c r="T239" s="829"/>
      <c r="U239" s="829"/>
      <c r="V239" s="829"/>
      <c r="W239" s="829"/>
      <c r="X239" s="829"/>
      <c r="Y239" s="829"/>
      <c r="Z239" s="829"/>
      <c r="AA239" s="829"/>
      <c r="AB239" s="829"/>
      <c r="AC239" s="829"/>
      <c r="AD239" s="829"/>
      <c r="AE239" s="829"/>
      <c r="AF239" s="829"/>
      <c r="AG239" s="829"/>
      <c r="AH239" s="829"/>
      <c r="AI239" s="829"/>
      <c r="AJ239" s="829"/>
      <c r="AK239" s="829"/>
      <c r="AL239" s="829"/>
      <c r="AM239" s="829"/>
      <c r="AN239" s="829"/>
    </row>
    <row r="240" spans="1:40" ht="12.75" x14ac:dyDescent="0.2">
      <c r="A240" s="829"/>
      <c r="B240" s="829"/>
      <c r="C240" s="829"/>
      <c r="D240" s="829"/>
      <c r="E240" s="829"/>
      <c r="F240" s="829"/>
      <c r="G240" s="829"/>
      <c r="H240" s="829"/>
      <c r="I240" s="829"/>
      <c r="J240" s="829"/>
      <c r="K240" s="829"/>
      <c r="L240" s="829"/>
      <c r="M240" s="829"/>
      <c r="N240" s="829"/>
      <c r="O240" s="829"/>
      <c r="P240" s="829"/>
      <c r="Q240" s="829"/>
      <c r="R240" s="829"/>
      <c r="S240" s="829"/>
      <c r="T240" s="829"/>
      <c r="U240" s="829"/>
      <c r="V240" s="829"/>
      <c r="W240" s="829"/>
      <c r="X240" s="829"/>
      <c r="Y240" s="829"/>
      <c r="Z240" s="829"/>
      <c r="AA240" s="829"/>
      <c r="AB240" s="829"/>
      <c r="AC240" s="829"/>
      <c r="AD240" s="829"/>
      <c r="AE240" s="829"/>
      <c r="AF240" s="829"/>
      <c r="AG240" s="829"/>
      <c r="AH240" s="829"/>
      <c r="AI240" s="829"/>
      <c r="AJ240" s="829"/>
      <c r="AK240" s="829"/>
      <c r="AL240" s="829"/>
      <c r="AM240" s="829"/>
      <c r="AN240" s="829"/>
    </row>
    <row r="241" spans="1:40" ht="12.75" x14ac:dyDescent="0.2">
      <c r="A241" s="829"/>
      <c r="B241" s="829"/>
      <c r="C241" s="829"/>
      <c r="D241" s="829"/>
      <c r="E241" s="829"/>
      <c r="F241" s="829"/>
      <c r="G241" s="829"/>
      <c r="H241" s="829"/>
      <c r="I241" s="829"/>
      <c r="J241" s="829"/>
      <c r="K241" s="829"/>
      <c r="L241" s="829"/>
      <c r="M241" s="829"/>
      <c r="N241" s="829"/>
      <c r="O241" s="829"/>
      <c r="P241" s="829"/>
      <c r="Q241" s="829"/>
      <c r="R241" s="829"/>
      <c r="S241" s="829"/>
      <c r="T241" s="829"/>
      <c r="U241" s="829"/>
      <c r="V241" s="829"/>
      <c r="W241" s="829"/>
      <c r="X241" s="829"/>
      <c r="Y241" s="829"/>
      <c r="Z241" s="829"/>
      <c r="AA241" s="829"/>
      <c r="AB241" s="829"/>
      <c r="AC241" s="829"/>
      <c r="AD241" s="829"/>
      <c r="AE241" s="829"/>
      <c r="AF241" s="829"/>
      <c r="AG241" s="829"/>
      <c r="AH241" s="829"/>
      <c r="AI241" s="829"/>
      <c r="AJ241" s="829"/>
      <c r="AK241" s="829"/>
      <c r="AL241" s="829"/>
      <c r="AM241" s="829"/>
      <c r="AN241" s="829"/>
    </row>
    <row r="242" spans="1:40" ht="12.75" x14ac:dyDescent="0.2">
      <c r="A242" s="829"/>
      <c r="B242" s="829"/>
      <c r="C242" s="829"/>
      <c r="D242" s="829"/>
      <c r="E242" s="829"/>
      <c r="F242" s="829"/>
      <c r="G242" s="829"/>
      <c r="H242" s="829"/>
      <c r="I242" s="829"/>
      <c r="J242" s="829"/>
      <c r="K242" s="829"/>
      <c r="L242" s="829"/>
      <c r="M242" s="829"/>
      <c r="N242" s="829"/>
      <c r="O242" s="829"/>
      <c r="P242" s="829"/>
      <c r="Q242" s="829"/>
      <c r="R242" s="829"/>
      <c r="S242" s="829"/>
      <c r="T242" s="829"/>
      <c r="U242" s="829"/>
      <c r="V242" s="829"/>
      <c r="W242" s="829"/>
      <c r="X242" s="829"/>
      <c r="Y242" s="829"/>
      <c r="Z242" s="829"/>
      <c r="AA242" s="829"/>
      <c r="AB242" s="829"/>
      <c r="AC242" s="829"/>
      <c r="AD242" s="829"/>
      <c r="AE242" s="829"/>
      <c r="AF242" s="829"/>
      <c r="AG242" s="829"/>
      <c r="AH242" s="829"/>
      <c r="AI242" s="829"/>
      <c r="AJ242" s="829"/>
      <c r="AK242" s="829"/>
      <c r="AL242" s="829"/>
      <c r="AM242" s="829"/>
      <c r="AN242" s="829"/>
    </row>
    <row r="243" spans="1:40" ht="12.75" x14ac:dyDescent="0.2">
      <c r="A243" s="829"/>
      <c r="B243" s="829"/>
      <c r="C243" s="829"/>
      <c r="D243" s="829"/>
      <c r="E243" s="829"/>
      <c r="F243" s="829"/>
      <c r="G243" s="829"/>
      <c r="H243" s="829"/>
      <c r="I243" s="829"/>
      <c r="J243" s="829"/>
      <c r="K243" s="829"/>
      <c r="L243" s="829"/>
      <c r="M243" s="829"/>
      <c r="N243" s="829"/>
      <c r="O243" s="829"/>
      <c r="P243" s="829"/>
      <c r="Q243" s="829"/>
      <c r="R243" s="829"/>
      <c r="S243" s="829"/>
      <c r="T243" s="829"/>
      <c r="U243" s="829"/>
      <c r="V243" s="829"/>
      <c r="W243" s="829"/>
      <c r="X243" s="829"/>
      <c r="Y243" s="829"/>
      <c r="Z243" s="829"/>
      <c r="AA243" s="829"/>
      <c r="AB243" s="829"/>
      <c r="AC243" s="829"/>
      <c r="AD243" s="829"/>
      <c r="AE243" s="829"/>
      <c r="AF243" s="829"/>
      <c r="AG243" s="829"/>
      <c r="AH243" s="829"/>
      <c r="AI243" s="829"/>
      <c r="AJ243" s="829"/>
      <c r="AK243" s="829"/>
      <c r="AL243" s="829"/>
      <c r="AM243" s="829"/>
      <c r="AN243" s="829"/>
    </row>
    <row r="244" spans="1:40" ht="12.75" x14ac:dyDescent="0.2">
      <c r="A244" s="829"/>
      <c r="B244" s="829"/>
      <c r="C244" s="829"/>
      <c r="D244" s="829"/>
      <c r="E244" s="829"/>
      <c r="F244" s="829"/>
      <c r="G244" s="829"/>
      <c r="H244" s="829"/>
      <c r="I244" s="829"/>
      <c r="J244" s="829"/>
      <c r="K244" s="829"/>
      <c r="L244" s="829"/>
      <c r="M244" s="829"/>
      <c r="N244" s="829"/>
      <c r="O244" s="829"/>
      <c r="P244" s="829"/>
      <c r="Q244" s="829"/>
      <c r="R244" s="829"/>
      <c r="S244" s="829"/>
      <c r="T244" s="829"/>
      <c r="U244" s="829"/>
      <c r="V244" s="829"/>
      <c r="W244" s="829"/>
      <c r="X244" s="829"/>
      <c r="Y244" s="829"/>
      <c r="Z244" s="829"/>
      <c r="AA244" s="829"/>
      <c r="AB244" s="829"/>
      <c r="AC244" s="829"/>
      <c r="AD244" s="829"/>
      <c r="AE244" s="829"/>
      <c r="AF244" s="829"/>
      <c r="AG244" s="829"/>
      <c r="AH244" s="829"/>
      <c r="AI244" s="829"/>
      <c r="AJ244" s="829"/>
      <c r="AK244" s="829"/>
      <c r="AL244" s="829"/>
      <c r="AM244" s="829"/>
      <c r="AN244" s="829"/>
    </row>
    <row r="245" spans="1:40" ht="12.75" x14ac:dyDescent="0.2">
      <c r="A245" s="829"/>
      <c r="B245" s="829"/>
      <c r="C245" s="829"/>
      <c r="D245" s="829"/>
      <c r="E245" s="829"/>
      <c r="F245" s="829"/>
      <c r="G245" s="829"/>
      <c r="H245" s="829"/>
      <c r="I245" s="829"/>
      <c r="J245" s="829"/>
      <c r="K245" s="829"/>
      <c r="L245" s="829"/>
      <c r="M245" s="829"/>
      <c r="N245" s="829"/>
      <c r="O245" s="829"/>
      <c r="P245" s="829"/>
      <c r="Q245" s="829"/>
      <c r="R245" s="829"/>
      <c r="S245" s="829"/>
      <c r="T245" s="829"/>
      <c r="U245" s="829"/>
      <c r="V245" s="829"/>
      <c r="W245" s="829"/>
      <c r="X245" s="829"/>
      <c r="Y245" s="829"/>
      <c r="Z245" s="829"/>
      <c r="AA245" s="829"/>
      <c r="AB245" s="829"/>
      <c r="AC245" s="829"/>
      <c r="AD245" s="829"/>
      <c r="AE245" s="829"/>
      <c r="AF245" s="829"/>
      <c r="AG245" s="829"/>
      <c r="AH245" s="829"/>
      <c r="AI245" s="829"/>
      <c r="AJ245" s="829"/>
      <c r="AK245" s="829"/>
      <c r="AL245" s="829"/>
      <c r="AM245" s="829"/>
      <c r="AN245" s="829"/>
    </row>
    <row r="246" spans="1:40" ht="12.75" x14ac:dyDescent="0.2">
      <c r="A246" s="829"/>
      <c r="B246" s="829"/>
      <c r="C246" s="829"/>
      <c r="D246" s="829"/>
      <c r="E246" s="829"/>
      <c r="F246" s="829"/>
      <c r="G246" s="829"/>
      <c r="H246" s="829"/>
      <c r="I246" s="829"/>
      <c r="J246" s="829"/>
      <c r="K246" s="829"/>
      <c r="L246" s="829"/>
      <c r="M246" s="829"/>
      <c r="N246" s="829"/>
      <c r="O246" s="829"/>
      <c r="P246" s="829"/>
      <c r="Q246" s="829"/>
      <c r="R246" s="829"/>
      <c r="S246" s="829"/>
      <c r="T246" s="829"/>
      <c r="U246" s="829"/>
      <c r="V246" s="829"/>
      <c r="W246" s="829"/>
      <c r="X246" s="829"/>
      <c r="Y246" s="829"/>
      <c r="Z246" s="829"/>
      <c r="AA246" s="829"/>
      <c r="AB246" s="829"/>
      <c r="AC246" s="829"/>
      <c r="AD246" s="829"/>
      <c r="AE246" s="829"/>
      <c r="AF246" s="829"/>
      <c r="AG246" s="829"/>
      <c r="AH246" s="829"/>
      <c r="AI246" s="829"/>
      <c r="AJ246" s="829"/>
      <c r="AK246" s="829"/>
      <c r="AL246" s="829"/>
      <c r="AM246" s="829"/>
      <c r="AN246" s="829"/>
    </row>
    <row r="247" spans="1:40" ht="12.75" x14ac:dyDescent="0.2">
      <c r="A247" s="829"/>
      <c r="B247" s="829"/>
      <c r="C247" s="829"/>
      <c r="D247" s="829"/>
      <c r="E247" s="829"/>
      <c r="F247" s="829"/>
      <c r="G247" s="829"/>
      <c r="H247" s="829"/>
      <c r="I247" s="829"/>
      <c r="J247" s="829"/>
      <c r="K247" s="829"/>
      <c r="L247" s="829"/>
      <c r="M247" s="829"/>
      <c r="N247" s="829"/>
      <c r="O247" s="829"/>
      <c r="P247" s="829"/>
      <c r="Q247" s="829"/>
      <c r="R247" s="829"/>
      <c r="S247" s="829"/>
      <c r="T247" s="829"/>
      <c r="U247" s="829"/>
      <c r="V247" s="829"/>
      <c r="W247" s="829"/>
      <c r="X247" s="829"/>
      <c r="Y247" s="829"/>
      <c r="Z247" s="829"/>
      <c r="AA247" s="829"/>
      <c r="AB247" s="829"/>
      <c r="AC247" s="829"/>
      <c r="AD247" s="829"/>
      <c r="AE247" s="829"/>
      <c r="AF247" s="829"/>
      <c r="AG247" s="829"/>
      <c r="AH247" s="829"/>
      <c r="AI247" s="829"/>
      <c r="AJ247" s="829"/>
      <c r="AK247" s="829"/>
      <c r="AL247" s="829"/>
      <c r="AM247" s="829"/>
      <c r="AN247" s="829"/>
    </row>
    <row r="248" spans="1:40" ht="12.75" x14ac:dyDescent="0.2">
      <c r="A248" s="829"/>
      <c r="B248" s="829"/>
      <c r="C248" s="829"/>
      <c r="D248" s="829"/>
      <c r="E248" s="829"/>
      <c r="F248" s="829"/>
      <c r="G248" s="829"/>
      <c r="H248" s="829"/>
      <c r="I248" s="829"/>
      <c r="J248" s="829"/>
      <c r="K248" s="829"/>
      <c r="L248" s="829"/>
      <c r="M248" s="829"/>
      <c r="N248" s="829"/>
      <c r="O248" s="829"/>
      <c r="P248" s="829"/>
      <c r="Q248" s="829"/>
      <c r="R248" s="829"/>
      <c r="S248" s="829"/>
      <c r="T248" s="829"/>
      <c r="U248" s="829"/>
      <c r="V248" s="829"/>
      <c r="W248" s="829"/>
      <c r="X248" s="829"/>
      <c r="Y248" s="829"/>
      <c r="Z248" s="829"/>
      <c r="AA248" s="829"/>
      <c r="AB248" s="829"/>
      <c r="AC248" s="829"/>
      <c r="AD248" s="829"/>
      <c r="AE248" s="829"/>
      <c r="AF248" s="829"/>
      <c r="AG248" s="829"/>
      <c r="AH248" s="829"/>
      <c r="AI248" s="829"/>
      <c r="AJ248" s="829"/>
      <c r="AK248" s="829"/>
      <c r="AL248" s="829"/>
      <c r="AM248" s="829"/>
      <c r="AN248" s="829"/>
    </row>
    <row r="249" spans="1:40" ht="12.75" x14ac:dyDescent="0.2">
      <c r="A249" s="829"/>
      <c r="B249" s="829"/>
      <c r="C249" s="829"/>
      <c r="D249" s="829"/>
      <c r="E249" s="829"/>
      <c r="F249" s="829"/>
      <c r="G249" s="829"/>
      <c r="H249" s="829"/>
      <c r="I249" s="829"/>
      <c r="J249" s="829"/>
      <c r="K249" s="829"/>
      <c r="L249" s="829"/>
      <c r="M249" s="829"/>
      <c r="N249" s="829"/>
      <c r="O249" s="829"/>
      <c r="P249" s="829"/>
      <c r="Q249" s="829"/>
      <c r="R249" s="829"/>
      <c r="S249" s="829"/>
      <c r="T249" s="829"/>
      <c r="U249" s="829"/>
      <c r="V249" s="829"/>
      <c r="W249" s="829"/>
      <c r="X249" s="829"/>
      <c r="Y249" s="829"/>
      <c r="Z249" s="829"/>
      <c r="AA249" s="829"/>
      <c r="AB249" s="829"/>
      <c r="AC249" s="829"/>
      <c r="AD249" s="829"/>
      <c r="AE249" s="829"/>
      <c r="AF249" s="829"/>
      <c r="AG249" s="829"/>
      <c r="AH249" s="829"/>
      <c r="AI249" s="829"/>
      <c r="AJ249" s="829"/>
      <c r="AK249" s="829"/>
      <c r="AL249" s="829"/>
      <c r="AM249" s="829"/>
      <c r="AN249" s="829"/>
    </row>
    <row r="250" spans="1:40" ht="12.75" x14ac:dyDescent="0.2">
      <c r="A250" s="829"/>
      <c r="B250" s="829"/>
      <c r="C250" s="829"/>
      <c r="D250" s="829"/>
      <c r="E250" s="829"/>
      <c r="F250" s="829"/>
      <c r="G250" s="829"/>
      <c r="H250" s="829"/>
      <c r="I250" s="829"/>
      <c r="J250" s="829"/>
      <c r="K250" s="829"/>
      <c r="L250" s="829"/>
      <c r="M250" s="829"/>
      <c r="N250" s="829"/>
      <c r="O250" s="829"/>
      <c r="P250" s="829"/>
      <c r="Q250" s="829"/>
      <c r="R250" s="829"/>
      <c r="S250" s="829"/>
      <c r="T250" s="829"/>
      <c r="U250" s="829"/>
      <c r="V250" s="829"/>
      <c r="W250" s="829"/>
      <c r="X250" s="829"/>
      <c r="Y250" s="829"/>
      <c r="Z250" s="829"/>
      <c r="AA250" s="829"/>
      <c r="AB250" s="829"/>
      <c r="AC250" s="829"/>
      <c r="AD250" s="829"/>
      <c r="AE250" s="829"/>
      <c r="AF250" s="829"/>
      <c r="AG250" s="829"/>
      <c r="AH250" s="829"/>
      <c r="AI250" s="829"/>
      <c r="AJ250" s="829"/>
      <c r="AK250" s="829"/>
      <c r="AL250" s="829"/>
      <c r="AM250" s="829"/>
      <c r="AN250" s="829"/>
    </row>
    <row r="251" spans="1:40" ht="12.75" x14ac:dyDescent="0.2">
      <c r="A251" s="829"/>
      <c r="B251" s="829"/>
      <c r="C251" s="829"/>
      <c r="D251" s="829"/>
      <c r="E251" s="829"/>
      <c r="F251" s="829"/>
      <c r="G251" s="829"/>
      <c r="H251" s="829"/>
      <c r="I251" s="829"/>
      <c r="J251" s="829"/>
      <c r="K251" s="829"/>
      <c r="L251" s="829"/>
      <c r="M251" s="829"/>
      <c r="N251" s="829"/>
      <c r="O251" s="829"/>
      <c r="P251" s="829"/>
      <c r="Q251" s="829"/>
      <c r="R251" s="829"/>
      <c r="S251" s="829"/>
      <c r="T251" s="829"/>
      <c r="U251" s="829"/>
      <c r="V251" s="829"/>
      <c r="W251" s="829"/>
      <c r="X251" s="829"/>
      <c r="Y251" s="829"/>
      <c r="Z251" s="829"/>
      <c r="AA251" s="829"/>
      <c r="AB251" s="829"/>
      <c r="AC251" s="829"/>
      <c r="AD251" s="829"/>
      <c r="AE251" s="829"/>
      <c r="AF251" s="829"/>
      <c r="AG251" s="829"/>
      <c r="AH251" s="829"/>
      <c r="AI251" s="829"/>
      <c r="AJ251" s="829"/>
      <c r="AK251" s="829"/>
      <c r="AL251" s="829"/>
      <c r="AM251" s="829"/>
      <c r="AN251" s="829"/>
    </row>
    <row r="252" spans="1:40" ht="12.75" x14ac:dyDescent="0.2">
      <c r="A252" s="829"/>
      <c r="B252" s="829"/>
      <c r="C252" s="829"/>
      <c r="D252" s="829"/>
      <c r="E252" s="829"/>
      <c r="F252" s="829"/>
      <c r="G252" s="829"/>
      <c r="H252" s="829"/>
      <c r="I252" s="829"/>
      <c r="J252" s="829"/>
      <c r="K252" s="829"/>
      <c r="L252" s="829"/>
      <c r="M252" s="829"/>
      <c r="N252" s="829"/>
      <c r="O252" s="829"/>
      <c r="P252" s="829"/>
      <c r="Q252" s="829"/>
      <c r="R252" s="829"/>
      <c r="S252" s="829"/>
      <c r="T252" s="829"/>
      <c r="U252" s="829"/>
      <c r="V252" s="829"/>
      <c r="W252" s="829"/>
      <c r="X252" s="829"/>
      <c r="Y252" s="829"/>
      <c r="Z252" s="829"/>
      <c r="AA252" s="829"/>
      <c r="AB252" s="829"/>
      <c r="AC252" s="829"/>
      <c r="AD252" s="829"/>
      <c r="AE252" s="829"/>
      <c r="AF252" s="829"/>
      <c r="AG252" s="829"/>
      <c r="AH252" s="829"/>
      <c r="AI252" s="829"/>
      <c r="AJ252" s="829"/>
      <c r="AK252" s="829"/>
      <c r="AL252" s="829"/>
      <c r="AM252" s="829"/>
      <c r="AN252" s="829"/>
    </row>
    <row r="253" spans="1:40" ht="12.75" x14ac:dyDescent="0.2">
      <c r="A253" s="829"/>
      <c r="B253" s="829"/>
      <c r="C253" s="829"/>
      <c r="D253" s="829"/>
      <c r="E253" s="829"/>
      <c r="F253" s="829"/>
      <c r="G253" s="829"/>
      <c r="H253" s="829"/>
      <c r="I253" s="829"/>
      <c r="J253" s="829"/>
      <c r="K253" s="829"/>
      <c r="L253" s="829"/>
      <c r="M253" s="829"/>
      <c r="N253" s="829"/>
      <c r="O253" s="829"/>
      <c r="P253" s="829"/>
      <c r="Q253" s="829"/>
      <c r="R253" s="829"/>
      <c r="S253" s="829"/>
      <c r="T253" s="829"/>
      <c r="U253" s="829"/>
      <c r="V253" s="829"/>
      <c r="W253" s="829"/>
      <c r="X253" s="829"/>
      <c r="Y253" s="829"/>
      <c r="Z253" s="829"/>
      <c r="AA253" s="829"/>
      <c r="AB253" s="829"/>
      <c r="AC253" s="829"/>
      <c r="AD253" s="829"/>
      <c r="AE253" s="829"/>
      <c r="AF253" s="829"/>
      <c r="AG253" s="829"/>
      <c r="AH253" s="829"/>
      <c r="AI253" s="829"/>
      <c r="AJ253" s="829"/>
      <c r="AK253" s="829"/>
      <c r="AL253" s="829"/>
      <c r="AM253" s="829"/>
      <c r="AN253" s="829"/>
    </row>
    <row r="254" spans="1:40" ht="12.75" x14ac:dyDescent="0.2">
      <c r="A254" s="829"/>
      <c r="B254" s="829"/>
      <c r="C254" s="829"/>
      <c r="D254" s="829"/>
      <c r="E254" s="829"/>
      <c r="F254" s="829"/>
      <c r="G254" s="829"/>
      <c r="H254" s="829"/>
      <c r="I254" s="829"/>
      <c r="J254" s="829"/>
      <c r="K254" s="829"/>
      <c r="L254" s="829"/>
      <c r="M254" s="829"/>
      <c r="N254" s="829"/>
      <c r="O254" s="829"/>
      <c r="P254" s="829"/>
      <c r="Q254" s="829"/>
      <c r="R254" s="829"/>
      <c r="S254" s="829"/>
      <c r="T254" s="829"/>
      <c r="U254" s="829"/>
      <c r="V254" s="829"/>
      <c r="W254" s="829"/>
      <c r="X254" s="829"/>
      <c r="Y254" s="829"/>
      <c r="Z254" s="829"/>
      <c r="AA254" s="829"/>
      <c r="AB254" s="829"/>
      <c r="AC254" s="829"/>
      <c r="AD254" s="829"/>
      <c r="AE254" s="829"/>
      <c r="AF254" s="829"/>
      <c r="AG254" s="829"/>
      <c r="AH254" s="829"/>
      <c r="AI254" s="829"/>
      <c r="AJ254" s="829"/>
      <c r="AK254" s="829"/>
      <c r="AL254" s="829"/>
      <c r="AM254" s="829"/>
      <c r="AN254" s="829"/>
    </row>
    <row r="255" spans="1:40" ht="12.75" x14ac:dyDescent="0.2">
      <c r="A255" s="829"/>
      <c r="B255" s="829"/>
      <c r="C255" s="829"/>
      <c r="D255" s="829"/>
      <c r="E255" s="829"/>
      <c r="F255" s="829"/>
      <c r="G255" s="829"/>
      <c r="H255" s="829"/>
      <c r="I255" s="829"/>
      <c r="J255" s="829"/>
      <c r="K255" s="829"/>
      <c r="L255" s="829"/>
      <c r="M255" s="829"/>
      <c r="N255" s="829"/>
      <c r="O255" s="829"/>
      <c r="P255" s="829"/>
      <c r="Q255" s="829"/>
      <c r="R255" s="829"/>
      <c r="S255" s="829"/>
      <c r="T255" s="829"/>
      <c r="U255" s="829"/>
      <c r="V255" s="829"/>
      <c r="W255" s="829"/>
      <c r="X255" s="829"/>
      <c r="Y255" s="829"/>
      <c r="Z255" s="829"/>
      <c r="AA255" s="829"/>
      <c r="AB255" s="829"/>
      <c r="AC255" s="829"/>
      <c r="AD255" s="829"/>
      <c r="AE255" s="829"/>
      <c r="AF255" s="829"/>
      <c r="AG255" s="829"/>
      <c r="AH255" s="829"/>
      <c r="AI255" s="829"/>
      <c r="AJ255" s="829"/>
      <c r="AK255" s="829"/>
      <c r="AL255" s="829"/>
      <c r="AM255" s="829"/>
      <c r="AN255" s="829"/>
    </row>
    <row r="256" spans="1:40" ht="12.75" x14ac:dyDescent="0.2">
      <c r="A256" s="829"/>
      <c r="B256" s="829"/>
      <c r="C256" s="829"/>
      <c r="D256" s="829"/>
      <c r="E256" s="829"/>
      <c r="F256" s="829"/>
      <c r="G256" s="829"/>
      <c r="H256" s="829"/>
      <c r="I256" s="829"/>
      <c r="J256" s="829"/>
      <c r="K256" s="829"/>
      <c r="L256" s="829"/>
      <c r="M256" s="829"/>
      <c r="N256" s="829"/>
      <c r="O256" s="829"/>
      <c r="P256" s="829"/>
      <c r="Q256" s="829"/>
      <c r="R256" s="829"/>
      <c r="S256" s="829"/>
      <c r="T256" s="829"/>
      <c r="U256" s="829"/>
      <c r="V256" s="829"/>
      <c r="W256" s="829"/>
      <c r="X256" s="829"/>
      <c r="Y256" s="829"/>
      <c r="Z256" s="829"/>
      <c r="AA256" s="829"/>
      <c r="AB256" s="829"/>
      <c r="AC256" s="829"/>
      <c r="AD256" s="829"/>
      <c r="AE256" s="829"/>
      <c r="AF256" s="829"/>
      <c r="AG256" s="829"/>
      <c r="AH256" s="829"/>
      <c r="AI256" s="829"/>
      <c r="AJ256" s="829"/>
      <c r="AK256" s="829"/>
      <c r="AL256" s="829"/>
      <c r="AM256" s="829"/>
      <c r="AN256" s="829"/>
    </row>
    <row r="257" spans="1:40" ht="12.75" x14ac:dyDescent="0.2">
      <c r="A257" s="829"/>
      <c r="B257" s="829"/>
      <c r="C257" s="829"/>
      <c r="D257" s="829"/>
      <c r="E257" s="829"/>
      <c r="F257" s="829"/>
      <c r="G257" s="829"/>
      <c r="H257" s="829"/>
      <c r="I257" s="829"/>
      <c r="J257" s="829"/>
      <c r="K257" s="829"/>
      <c r="L257" s="829"/>
      <c r="M257" s="829"/>
      <c r="N257" s="829"/>
      <c r="O257" s="829"/>
      <c r="P257" s="829"/>
      <c r="Q257" s="829"/>
      <c r="R257" s="829"/>
      <c r="S257" s="829"/>
      <c r="T257" s="829"/>
      <c r="U257" s="829"/>
      <c r="V257" s="829"/>
      <c r="W257" s="829"/>
      <c r="X257" s="829"/>
      <c r="Y257" s="829"/>
      <c r="Z257" s="829"/>
      <c r="AA257" s="829"/>
      <c r="AB257" s="829"/>
      <c r="AC257" s="829"/>
      <c r="AD257" s="829"/>
      <c r="AE257" s="829"/>
      <c r="AF257" s="829"/>
      <c r="AG257" s="829"/>
      <c r="AH257" s="829"/>
      <c r="AI257" s="829"/>
      <c r="AJ257" s="829"/>
      <c r="AK257" s="829"/>
      <c r="AL257" s="829"/>
      <c r="AM257" s="829"/>
      <c r="AN257" s="829"/>
    </row>
    <row r="258" spans="1:40" ht="12.75" x14ac:dyDescent="0.2">
      <c r="A258" s="829"/>
      <c r="B258" s="829"/>
      <c r="C258" s="829"/>
      <c r="D258" s="829"/>
      <c r="E258" s="829"/>
      <c r="F258" s="829"/>
      <c r="G258" s="829"/>
      <c r="H258" s="829"/>
      <c r="I258" s="829"/>
      <c r="J258" s="829"/>
      <c r="K258" s="829"/>
      <c r="L258" s="829"/>
      <c r="M258" s="829"/>
      <c r="N258" s="829"/>
      <c r="O258" s="829"/>
      <c r="P258" s="829"/>
      <c r="Q258" s="829"/>
      <c r="R258" s="829"/>
      <c r="S258" s="829"/>
      <c r="T258" s="829"/>
      <c r="U258" s="829"/>
      <c r="V258" s="829"/>
      <c r="W258" s="829"/>
      <c r="X258" s="829"/>
      <c r="Y258" s="829"/>
      <c r="Z258" s="829"/>
      <c r="AA258" s="829"/>
      <c r="AB258" s="829"/>
      <c r="AC258" s="829"/>
      <c r="AD258" s="829"/>
      <c r="AE258" s="829"/>
      <c r="AF258" s="829"/>
      <c r="AG258" s="829"/>
      <c r="AH258" s="829"/>
      <c r="AI258" s="829"/>
      <c r="AJ258" s="829"/>
      <c r="AK258" s="829"/>
      <c r="AL258" s="829"/>
      <c r="AM258" s="829"/>
      <c r="AN258" s="829"/>
    </row>
    <row r="259" spans="1:40" ht="12.75" x14ac:dyDescent="0.2">
      <c r="A259" s="829"/>
      <c r="B259" s="829"/>
      <c r="C259" s="829"/>
      <c r="D259" s="829"/>
      <c r="E259" s="829"/>
      <c r="F259" s="829"/>
      <c r="G259" s="829"/>
      <c r="H259" s="829"/>
      <c r="I259" s="829"/>
      <c r="J259" s="829"/>
      <c r="K259" s="829"/>
      <c r="L259" s="829"/>
      <c r="M259" s="829"/>
      <c r="N259" s="829"/>
      <c r="O259" s="829"/>
      <c r="P259" s="829"/>
      <c r="Q259" s="829"/>
      <c r="R259" s="829"/>
      <c r="S259" s="829"/>
      <c r="T259" s="829"/>
      <c r="U259" s="829"/>
      <c r="V259" s="829"/>
      <c r="W259" s="829"/>
      <c r="X259" s="829"/>
      <c r="Y259" s="829"/>
      <c r="Z259" s="829"/>
      <c r="AA259" s="829"/>
      <c r="AB259" s="829"/>
      <c r="AC259" s="829"/>
      <c r="AD259" s="829"/>
      <c r="AE259" s="829"/>
      <c r="AF259" s="829"/>
      <c r="AG259" s="829"/>
      <c r="AH259" s="829"/>
      <c r="AI259" s="829"/>
      <c r="AJ259" s="829"/>
      <c r="AK259" s="829"/>
      <c r="AL259" s="829"/>
      <c r="AM259" s="829"/>
      <c r="AN259" s="829"/>
    </row>
    <row r="260" spans="1:40" ht="12.75" x14ac:dyDescent="0.2">
      <c r="A260" s="829"/>
      <c r="B260" s="829"/>
      <c r="C260" s="829"/>
      <c r="D260" s="829"/>
      <c r="E260" s="829"/>
      <c r="F260" s="829"/>
      <c r="G260" s="829"/>
      <c r="H260" s="829"/>
      <c r="I260" s="829"/>
      <c r="J260" s="829"/>
      <c r="K260" s="829"/>
      <c r="L260" s="829"/>
      <c r="M260" s="829"/>
      <c r="N260" s="829"/>
      <c r="O260" s="829"/>
      <c r="P260" s="829"/>
      <c r="Q260" s="829"/>
      <c r="R260" s="829"/>
      <c r="S260" s="829"/>
      <c r="T260" s="829"/>
      <c r="U260" s="829"/>
      <c r="V260" s="829"/>
      <c r="W260" s="829"/>
      <c r="X260" s="829"/>
      <c r="Y260" s="829"/>
      <c r="Z260" s="829"/>
      <c r="AA260" s="829"/>
      <c r="AB260" s="829"/>
      <c r="AC260" s="829"/>
      <c r="AD260" s="829"/>
      <c r="AE260" s="829"/>
      <c r="AF260" s="829"/>
      <c r="AG260" s="829"/>
      <c r="AH260" s="829"/>
      <c r="AI260" s="829"/>
      <c r="AJ260" s="829"/>
      <c r="AK260" s="829"/>
      <c r="AL260" s="829"/>
      <c r="AM260" s="829"/>
      <c r="AN260" s="829"/>
    </row>
    <row r="261" spans="1:40" ht="12.75" x14ac:dyDescent="0.2">
      <c r="A261" s="829"/>
      <c r="B261" s="829"/>
      <c r="C261" s="829"/>
      <c r="D261" s="829"/>
      <c r="E261" s="829"/>
      <c r="F261" s="829"/>
      <c r="G261" s="829"/>
      <c r="H261" s="829"/>
      <c r="I261" s="829"/>
      <c r="J261" s="829"/>
      <c r="K261" s="829"/>
      <c r="L261" s="829"/>
      <c r="M261" s="829"/>
      <c r="N261" s="829"/>
      <c r="O261" s="829"/>
      <c r="P261" s="829"/>
      <c r="Q261" s="829"/>
      <c r="R261" s="829"/>
      <c r="S261" s="829"/>
      <c r="T261" s="829"/>
      <c r="U261" s="829"/>
      <c r="V261" s="829"/>
      <c r="W261" s="829"/>
      <c r="X261" s="829"/>
      <c r="Y261" s="829"/>
      <c r="Z261" s="829"/>
      <c r="AA261" s="829"/>
      <c r="AB261" s="829"/>
      <c r="AC261" s="829"/>
      <c r="AD261" s="829"/>
      <c r="AE261" s="829"/>
      <c r="AF261" s="829"/>
      <c r="AG261" s="829"/>
      <c r="AH261" s="829"/>
      <c r="AI261" s="829"/>
      <c r="AJ261" s="829"/>
      <c r="AK261" s="829"/>
      <c r="AL261" s="829"/>
      <c r="AM261" s="829"/>
      <c r="AN261" s="829"/>
    </row>
    <row r="262" spans="1:40" ht="12.75" x14ac:dyDescent="0.2">
      <c r="A262" s="829"/>
      <c r="B262" s="829"/>
      <c r="C262" s="829"/>
      <c r="D262" s="829"/>
      <c r="E262" s="829"/>
      <c r="F262" s="829"/>
      <c r="G262" s="829"/>
      <c r="H262" s="829"/>
      <c r="I262" s="829"/>
      <c r="J262" s="829"/>
      <c r="K262" s="829"/>
      <c r="L262" s="829"/>
      <c r="M262" s="829"/>
      <c r="N262" s="829"/>
      <c r="O262" s="829"/>
      <c r="P262" s="829"/>
      <c r="Q262" s="829"/>
      <c r="R262" s="829"/>
      <c r="S262" s="829"/>
      <c r="T262" s="829"/>
      <c r="U262" s="829"/>
      <c r="V262" s="829"/>
      <c r="W262" s="829"/>
      <c r="X262" s="829"/>
      <c r="Y262" s="829"/>
      <c r="Z262" s="829"/>
      <c r="AA262" s="829"/>
      <c r="AB262" s="829"/>
      <c r="AC262" s="829"/>
      <c r="AD262" s="829"/>
      <c r="AE262" s="829"/>
      <c r="AF262" s="829"/>
      <c r="AG262" s="829"/>
      <c r="AH262" s="829"/>
      <c r="AI262" s="829"/>
      <c r="AJ262" s="829"/>
      <c r="AK262" s="829"/>
      <c r="AL262" s="829"/>
      <c r="AM262" s="829"/>
      <c r="AN262" s="829"/>
    </row>
    <row r="263" spans="1:40" ht="12.75" x14ac:dyDescent="0.2">
      <c r="A263" s="829"/>
      <c r="B263" s="829"/>
      <c r="C263" s="829"/>
      <c r="D263" s="829"/>
      <c r="E263" s="829"/>
      <c r="F263" s="829"/>
      <c r="G263" s="829"/>
      <c r="H263" s="829"/>
      <c r="I263" s="829"/>
      <c r="J263" s="829"/>
      <c r="K263" s="829"/>
      <c r="L263" s="829"/>
      <c r="M263" s="829"/>
      <c r="N263" s="829"/>
      <c r="O263" s="829"/>
      <c r="P263" s="829"/>
      <c r="Q263" s="829"/>
      <c r="R263" s="829"/>
      <c r="S263" s="829"/>
      <c r="T263" s="829"/>
      <c r="U263" s="829"/>
      <c r="V263" s="829"/>
      <c r="W263" s="829"/>
      <c r="X263" s="829"/>
      <c r="Y263" s="829"/>
      <c r="Z263" s="829"/>
      <c r="AA263" s="829"/>
      <c r="AB263" s="829"/>
      <c r="AC263" s="829"/>
      <c r="AD263" s="829"/>
      <c r="AE263" s="829"/>
      <c r="AF263" s="829"/>
      <c r="AG263" s="829"/>
      <c r="AH263" s="829"/>
      <c r="AI263" s="829"/>
      <c r="AJ263" s="829"/>
      <c r="AK263" s="829"/>
      <c r="AL263" s="829"/>
      <c r="AM263" s="829"/>
      <c r="AN263" s="829"/>
    </row>
    <row r="264" spans="1:40" ht="12.75" x14ac:dyDescent="0.2">
      <c r="A264" s="829"/>
      <c r="B264" s="829"/>
      <c r="C264" s="829"/>
      <c r="D264" s="829"/>
      <c r="E264" s="829"/>
      <c r="F264" s="829"/>
      <c r="G264" s="829"/>
      <c r="H264" s="829"/>
      <c r="I264" s="829"/>
      <c r="J264" s="829"/>
      <c r="K264" s="829"/>
      <c r="L264" s="829"/>
      <c r="M264" s="829"/>
      <c r="N264" s="829"/>
      <c r="O264" s="829"/>
      <c r="P264" s="829"/>
      <c r="Q264" s="829"/>
      <c r="R264" s="829"/>
      <c r="S264" s="829"/>
      <c r="T264" s="829"/>
      <c r="U264" s="829"/>
      <c r="V264" s="829"/>
      <c r="W264" s="829"/>
      <c r="X264" s="829"/>
      <c r="Y264" s="829"/>
      <c r="Z264" s="829"/>
      <c r="AA264" s="829"/>
      <c r="AB264" s="829"/>
      <c r="AC264" s="829"/>
      <c r="AD264" s="829"/>
      <c r="AE264" s="829"/>
      <c r="AF264" s="829"/>
      <c r="AG264" s="829"/>
      <c r="AH264" s="829"/>
      <c r="AI264" s="829"/>
      <c r="AJ264" s="829"/>
      <c r="AK264" s="829"/>
      <c r="AL264" s="829"/>
      <c r="AM264" s="829"/>
      <c r="AN264" s="829"/>
    </row>
    <row r="265" spans="1:40" ht="12.75" x14ac:dyDescent="0.2">
      <c r="A265" s="829"/>
      <c r="B265" s="829"/>
      <c r="C265" s="829"/>
      <c r="D265" s="829"/>
      <c r="E265" s="829"/>
      <c r="F265" s="829"/>
      <c r="G265" s="829"/>
      <c r="H265" s="829"/>
      <c r="I265" s="829"/>
      <c r="J265" s="829"/>
      <c r="K265" s="829"/>
      <c r="L265" s="829"/>
      <c r="M265" s="829"/>
      <c r="N265" s="829"/>
      <c r="O265" s="829"/>
      <c r="P265" s="829"/>
      <c r="Q265" s="829"/>
      <c r="R265" s="829"/>
      <c r="S265" s="829"/>
      <c r="T265" s="829"/>
      <c r="U265" s="829"/>
      <c r="V265" s="829"/>
      <c r="W265" s="829"/>
      <c r="X265" s="829"/>
      <c r="Y265" s="829"/>
      <c r="Z265" s="829"/>
      <c r="AA265" s="829"/>
      <c r="AB265" s="829"/>
      <c r="AC265" s="829"/>
      <c r="AD265" s="829"/>
      <c r="AE265" s="829"/>
      <c r="AF265" s="829"/>
      <c r="AG265" s="829"/>
      <c r="AH265" s="829"/>
      <c r="AI265" s="829"/>
      <c r="AJ265" s="829"/>
      <c r="AK265" s="829"/>
      <c r="AL265" s="829"/>
      <c r="AM265" s="829"/>
      <c r="AN265" s="829"/>
    </row>
    <row r="266" spans="1:40" ht="12.75" x14ac:dyDescent="0.2">
      <c r="A266" s="829"/>
      <c r="B266" s="829"/>
      <c r="C266" s="829"/>
      <c r="D266" s="829"/>
      <c r="E266" s="829"/>
      <c r="F266" s="829"/>
      <c r="G266" s="829"/>
      <c r="H266" s="829"/>
      <c r="I266" s="829"/>
      <c r="J266" s="829"/>
      <c r="K266" s="829"/>
      <c r="L266" s="829"/>
      <c r="M266" s="829"/>
      <c r="N266" s="829"/>
      <c r="O266" s="829"/>
      <c r="P266" s="829"/>
      <c r="Q266" s="829"/>
      <c r="R266" s="829"/>
      <c r="S266" s="829"/>
      <c r="T266" s="829"/>
      <c r="U266" s="829"/>
      <c r="V266" s="829"/>
      <c r="W266" s="829"/>
      <c r="X266" s="829"/>
      <c r="Y266" s="829"/>
      <c r="Z266" s="829"/>
      <c r="AA266" s="829"/>
      <c r="AB266" s="829"/>
      <c r="AC266" s="829"/>
      <c r="AD266" s="829"/>
      <c r="AE266" s="829"/>
      <c r="AF266" s="829"/>
      <c r="AG266" s="829"/>
      <c r="AH266" s="829"/>
      <c r="AI266" s="829"/>
      <c r="AJ266" s="829"/>
      <c r="AK266" s="829"/>
      <c r="AL266" s="829"/>
      <c r="AM266" s="829"/>
      <c r="AN266" s="829"/>
    </row>
    <row r="267" spans="1:40" ht="12.75" x14ac:dyDescent="0.2">
      <c r="A267" s="829"/>
      <c r="B267" s="829"/>
      <c r="C267" s="829"/>
      <c r="D267" s="829"/>
      <c r="E267" s="829"/>
      <c r="F267" s="829"/>
      <c r="G267" s="829"/>
      <c r="H267" s="829"/>
      <c r="I267" s="829"/>
      <c r="J267" s="829"/>
      <c r="K267" s="829"/>
      <c r="L267" s="829"/>
      <c r="M267" s="829"/>
      <c r="N267" s="829"/>
      <c r="O267" s="829"/>
      <c r="P267" s="829"/>
      <c r="Q267" s="829"/>
      <c r="R267" s="829"/>
      <c r="S267" s="829"/>
      <c r="T267" s="829"/>
      <c r="U267" s="829"/>
      <c r="V267" s="829"/>
      <c r="W267" s="829"/>
      <c r="X267" s="829"/>
      <c r="Y267" s="829"/>
      <c r="Z267" s="829"/>
      <c r="AA267" s="829"/>
      <c r="AB267" s="829"/>
      <c r="AC267" s="829"/>
      <c r="AD267" s="829"/>
      <c r="AE267" s="829"/>
      <c r="AF267" s="829"/>
      <c r="AG267" s="829"/>
      <c r="AH267" s="829"/>
      <c r="AI267" s="829"/>
      <c r="AJ267" s="829"/>
      <c r="AK267" s="829"/>
      <c r="AL267" s="829"/>
      <c r="AM267" s="829"/>
      <c r="AN267" s="829"/>
    </row>
    <row r="268" spans="1:40" ht="12.75" x14ac:dyDescent="0.2">
      <c r="A268" s="829"/>
      <c r="B268" s="829"/>
      <c r="C268" s="829"/>
      <c r="D268" s="829"/>
      <c r="E268" s="829"/>
      <c r="F268" s="829"/>
      <c r="G268" s="829"/>
      <c r="H268" s="829"/>
      <c r="I268" s="829"/>
      <c r="J268" s="829"/>
      <c r="K268" s="829"/>
      <c r="L268" s="829"/>
      <c r="M268" s="829"/>
      <c r="N268" s="829"/>
      <c r="O268" s="829"/>
      <c r="P268" s="829"/>
      <c r="Q268" s="829"/>
      <c r="R268" s="829"/>
      <c r="S268" s="829"/>
      <c r="T268" s="829"/>
      <c r="U268" s="829"/>
      <c r="V268" s="829"/>
      <c r="W268" s="829"/>
      <c r="X268" s="829"/>
      <c r="Y268" s="829"/>
      <c r="Z268" s="829"/>
      <c r="AA268" s="829"/>
      <c r="AB268" s="829"/>
      <c r="AC268" s="829"/>
      <c r="AD268" s="829"/>
      <c r="AE268" s="829"/>
      <c r="AF268" s="829"/>
      <c r="AG268" s="829"/>
      <c r="AH268" s="829"/>
      <c r="AI268" s="829"/>
      <c r="AJ268" s="829"/>
      <c r="AK268" s="829"/>
      <c r="AL268" s="829"/>
      <c r="AM268" s="829"/>
      <c r="AN268" s="829"/>
    </row>
    <row r="269" spans="1:40" ht="12.75" x14ac:dyDescent="0.2">
      <c r="A269" s="829"/>
      <c r="B269" s="829"/>
      <c r="C269" s="829"/>
      <c r="D269" s="829"/>
      <c r="E269" s="829"/>
      <c r="F269" s="829"/>
      <c r="G269" s="829"/>
      <c r="H269" s="829"/>
      <c r="I269" s="829"/>
      <c r="J269" s="829"/>
      <c r="K269" s="829"/>
      <c r="L269" s="829"/>
      <c r="M269" s="829"/>
      <c r="N269" s="829"/>
      <c r="O269" s="829"/>
      <c r="P269" s="829"/>
      <c r="Q269" s="829"/>
      <c r="R269" s="829"/>
      <c r="S269" s="829"/>
      <c r="T269" s="829"/>
      <c r="U269" s="829"/>
      <c r="V269" s="829"/>
      <c r="W269" s="829"/>
      <c r="X269" s="829"/>
      <c r="Y269" s="829"/>
      <c r="Z269" s="829"/>
      <c r="AA269" s="829"/>
      <c r="AB269" s="829"/>
      <c r="AC269" s="829"/>
      <c r="AD269" s="829"/>
      <c r="AE269" s="829"/>
      <c r="AF269" s="829"/>
      <c r="AG269" s="829"/>
      <c r="AH269" s="829"/>
      <c r="AI269" s="829"/>
      <c r="AJ269" s="829"/>
      <c r="AK269" s="829"/>
      <c r="AL269" s="829"/>
      <c r="AM269" s="829"/>
      <c r="AN269" s="829"/>
    </row>
    <row r="270" spans="1:40" ht="12.75" x14ac:dyDescent="0.2">
      <c r="A270" s="829"/>
      <c r="B270" s="829"/>
      <c r="C270" s="829"/>
      <c r="D270" s="829"/>
      <c r="E270" s="829"/>
      <c r="F270" s="829"/>
      <c r="G270" s="829"/>
      <c r="H270" s="829"/>
      <c r="I270" s="829"/>
      <c r="J270" s="829"/>
      <c r="K270" s="829"/>
      <c r="L270" s="829"/>
      <c r="M270" s="829"/>
      <c r="N270" s="829"/>
      <c r="O270" s="829"/>
      <c r="P270" s="829"/>
      <c r="Q270" s="829"/>
      <c r="R270" s="829"/>
      <c r="S270" s="829"/>
      <c r="T270" s="829"/>
      <c r="U270" s="829"/>
      <c r="V270" s="829"/>
      <c r="W270" s="829"/>
      <c r="X270" s="829"/>
      <c r="Y270" s="829"/>
      <c r="Z270" s="829"/>
      <c r="AA270" s="829"/>
      <c r="AB270" s="829"/>
      <c r="AC270" s="829"/>
      <c r="AD270" s="829"/>
      <c r="AE270" s="829"/>
      <c r="AF270" s="829"/>
      <c r="AG270" s="829"/>
      <c r="AH270" s="829"/>
      <c r="AI270" s="829"/>
      <c r="AJ270" s="829"/>
      <c r="AK270" s="829"/>
      <c r="AL270" s="829"/>
      <c r="AM270" s="829"/>
      <c r="AN270" s="829"/>
    </row>
    <row r="271" spans="1:40" ht="12.75" x14ac:dyDescent="0.2">
      <c r="A271" s="829"/>
      <c r="B271" s="829"/>
      <c r="C271" s="829"/>
      <c r="D271" s="829"/>
      <c r="E271" s="829"/>
      <c r="F271" s="829"/>
      <c r="G271" s="829"/>
      <c r="H271" s="829"/>
      <c r="I271" s="829"/>
      <c r="J271" s="829"/>
      <c r="K271" s="829"/>
      <c r="L271" s="829"/>
      <c r="M271" s="829"/>
      <c r="N271" s="829"/>
      <c r="O271" s="829"/>
      <c r="P271" s="829"/>
      <c r="Q271" s="829"/>
      <c r="R271" s="829"/>
      <c r="S271" s="829"/>
      <c r="T271" s="829"/>
      <c r="U271" s="829"/>
      <c r="V271" s="829"/>
      <c r="W271" s="829"/>
      <c r="X271" s="829"/>
      <c r="Y271" s="829"/>
      <c r="Z271" s="829"/>
      <c r="AA271" s="829"/>
      <c r="AB271" s="829"/>
      <c r="AC271" s="829"/>
      <c r="AD271" s="829"/>
      <c r="AE271" s="829"/>
      <c r="AF271" s="829"/>
      <c r="AG271" s="829"/>
      <c r="AH271" s="829"/>
      <c r="AI271" s="829"/>
      <c r="AJ271" s="829"/>
      <c r="AK271" s="829"/>
      <c r="AL271" s="829"/>
      <c r="AM271" s="829"/>
      <c r="AN271" s="829"/>
    </row>
    <row r="272" spans="1:40" ht="12.75" x14ac:dyDescent="0.2">
      <c r="A272" s="829"/>
      <c r="B272" s="829"/>
      <c r="C272" s="829"/>
      <c r="D272" s="829"/>
      <c r="E272" s="829"/>
      <c r="F272" s="829"/>
      <c r="G272" s="829"/>
      <c r="H272" s="829"/>
      <c r="I272" s="829"/>
      <c r="J272" s="829"/>
      <c r="K272" s="829"/>
      <c r="L272" s="829"/>
      <c r="M272" s="829"/>
      <c r="N272" s="829"/>
      <c r="O272" s="829"/>
      <c r="P272" s="829"/>
      <c r="Q272" s="829"/>
      <c r="R272" s="829"/>
      <c r="S272" s="829"/>
      <c r="T272" s="829"/>
      <c r="U272" s="829"/>
      <c r="V272" s="829"/>
      <c r="W272" s="829"/>
      <c r="X272" s="829"/>
      <c r="Y272" s="829"/>
      <c r="Z272" s="829"/>
      <c r="AA272" s="829"/>
      <c r="AB272" s="829"/>
      <c r="AC272" s="829"/>
      <c r="AD272" s="829"/>
      <c r="AE272" s="829"/>
      <c r="AF272" s="829"/>
      <c r="AG272" s="829"/>
      <c r="AH272" s="829"/>
      <c r="AI272" s="829"/>
      <c r="AJ272" s="829"/>
      <c r="AK272" s="829"/>
      <c r="AL272" s="829"/>
      <c r="AM272" s="829"/>
      <c r="AN272" s="829"/>
    </row>
    <row r="273" spans="1:40" ht="12.75" x14ac:dyDescent="0.2">
      <c r="A273" s="829"/>
      <c r="B273" s="829"/>
      <c r="C273" s="829"/>
      <c r="D273" s="829"/>
      <c r="E273" s="829"/>
      <c r="F273" s="829"/>
      <c r="G273" s="829"/>
      <c r="H273" s="829"/>
      <c r="I273" s="829"/>
      <c r="J273" s="829"/>
      <c r="K273" s="829"/>
      <c r="L273" s="829"/>
      <c r="M273" s="829"/>
      <c r="N273" s="829"/>
      <c r="O273" s="829"/>
      <c r="P273" s="829"/>
      <c r="Q273" s="829"/>
      <c r="R273" s="829"/>
      <c r="S273" s="829"/>
      <c r="T273" s="829"/>
      <c r="U273" s="829"/>
      <c r="V273" s="829"/>
      <c r="W273" s="829"/>
      <c r="X273" s="829"/>
      <c r="Y273" s="829"/>
      <c r="Z273" s="829"/>
      <c r="AA273" s="829"/>
      <c r="AB273" s="829"/>
      <c r="AC273" s="829"/>
      <c r="AD273" s="829"/>
      <c r="AE273" s="829"/>
      <c r="AF273" s="829"/>
      <c r="AG273" s="829"/>
      <c r="AH273" s="829"/>
      <c r="AI273" s="829"/>
      <c r="AJ273" s="829"/>
      <c r="AK273" s="829"/>
      <c r="AL273" s="829"/>
      <c r="AM273" s="829"/>
      <c r="AN273" s="829"/>
    </row>
    <row r="274" spans="1:40" ht="12.75" x14ac:dyDescent="0.2">
      <c r="A274" s="829"/>
      <c r="B274" s="829"/>
      <c r="C274" s="829"/>
      <c r="D274" s="829"/>
      <c r="E274" s="829"/>
      <c r="F274" s="829"/>
      <c r="G274" s="829"/>
      <c r="H274" s="829"/>
      <c r="I274" s="829"/>
      <c r="J274" s="829"/>
      <c r="K274" s="829"/>
      <c r="L274" s="829"/>
      <c r="M274" s="829"/>
      <c r="N274" s="829"/>
      <c r="O274" s="829"/>
      <c r="P274" s="829"/>
      <c r="Q274" s="829"/>
      <c r="R274" s="829"/>
      <c r="S274" s="829"/>
      <c r="T274" s="829"/>
      <c r="U274" s="829"/>
      <c r="V274" s="829"/>
      <c r="W274" s="829"/>
      <c r="X274" s="829"/>
      <c r="Y274" s="829"/>
      <c r="Z274" s="829"/>
      <c r="AA274" s="829"/>
      <c r="AB274" s="829"/>
      <c r="AC274" s="829"/>
      <c r="AD274" s="829"/>
      <c r="AE274" s="829"/>
      <c r="AF274" s="829"/>
      <c r="AG274" s="829"/>
      <c r="AH274" s="829"/>
      <c r="AI274" s="829"/>
      <c r="AJ274" s="829"/>
      <c r="AK274" s="829"/>
      <c r="AL274" s="829"/>
      <c r="AM274" s="829"/>
      <c r="AN274" s="829"/>
    </row>
    <row r="275" spans="1:40" ht="12.75" x14ac:dyDescent="0.2">
      <c r="A275" s="829"/>
      <c r="B275" s="829"/>
      <c r="C275" s="829"/>
      <c r="D275" s="829"/>
      <c r="E275" s="829"/>
      <c r="F275" s="829"/>
      <c r="G275" s="829"/>
      <c r="H275" s="829"/>
      <c r="I275" s="829"/>
      <c r="J275" s="829"/>
      <c r="K275" s="829"/>
      <c r="L275" s="829"/>
      <c r="M275" s="829"/>
      <c r="N275" s="829"/>
      <c r="O275" s="829"/>
      <c r="P275" s="829"/>
      <c r="Q275" s="829"/>
      <c r="R275" s="829"/>
      <c r="S275" s="829"/>
      <c r="T275" s="829"/>
      <c r="U275" s="829"/>
      <c r="V275" s="829"/>
      <c r="W275" s="829"/>
      <c r="X275" s="829"/>
      <c r="Y275" s="829"/>
      <c r="Z275" s="829"/>
      <c r="AA275" s="829"/>
      <c r="AB275" s="829"/>
      <c r="AC275" s="829"/>
      <c r="AD275" s="829"/>
      <c r="AE275" s="829"/>
      <c r="AF275" s="829"/>
      <c r="AG275" s="829"/>
      <c r="AH275" s="829"/>
      <c r="AI275" s="829"/>
      <c r="AJ275" s="829"/>
      <c r="AK275" s="829"/>
      <c r="AL275" s="829"/>
      <c r="AM275" s="829"/>
      <c r="AN275" s="829"/>
    </row>
    <row r="276" spans="1:40" ht="12.75" x14ac:dyDescent="0.2">
      <c r="A276" s="829"/>
      <c r="B276" s="829"/>
      <c r="C276" s="829"/>
      <c r="D276" s="829"/>
      <c r="E276" s="829"/>
      <c r="F276" s="829"/>
      <c r="G276" s="829"/>
      <c r="H276" s="829"/>
      <c r="I276" s="829"/>
      <c r="J276" s="829"/>
      <c r="K276" s="829"/>
      <c r="L276" s="829"/>
      <c r="M276" s="829"/>
      <c r="N276" s="829"/>
      <c r="O276" s="829"/>
      <c r="P276" s="829"/>
      <c r="Q276" s="829"/>
      <c r="R276" s="829"/>
      <c r="S276" s="829"/>
      <c r="T276" s="829"/>
      <c r="U276" s="829"/>
      <c r="V276" s="829"/>
      <c r="W276" s="829"/>
      <c r="X276" s="829"/>
      <c r="Y276" s="829"/>
      <c r="Z276" s="829"/>
      <c r="AA276" s="829"/>
      <c r="AB276" s="829"/>
      <c r="AC276" s="829"/>
      <c r="AD276" s="829"/>
      <c r="AE276" s="829"/>
      <c r="AF276" s="829"/>
      <c r="AG276" s="829"/>
      <c r="AH276" s="829"/>
      <c r="AI276" s="829"/>
      <c r="AJ276" s="829"/>
      <c r="AK276" s="829"/>
      <c r="AL276" s="829"/>
      <c r="AM276" s="829"/>
      <c r="AN276" s="829"/>
    </row>
    <row r="277" spans="1:40" ht="12.75" x14ac:dyDescent="0.2">
      <c r="A277" s="829"/>
      <c r="B277" s="829"/>
      <c r="C277" s="829"/>
      <c r="D277" s="829"/>
      <c r="E277" s="829"/>
      <c r="F277" s="829"/>
      <c r="G277" s="829"/>
      <c r="H277" s="829"/>
      <c r="I277" s="829"/>
      <c r="J277" s="829"/>
      <c r="K277" s="829"/>
      <c r="L277" s="829"/>
      <c r="M277" s="829"/>
      <c r="N277" s="829"/>
      <c r="O277" s="829"/>
      <c r="P277" s="829"/>
      <c r="Q277" s="829"/>
      <c r="R277" s="829"/>
      <c r="S277" s="829"/>
      <c r="T277" s="829"/>
      <c r="U277" s="829"/>
      <c r="V277" s="829"/>
      <c r="W277" s="829"/>
      <c r="X277" s="829"/>
      <c r="Y277" s="829"/>
      <c r="Z277" s="829"/>
      <c r="AA277" s="829"/>
      <c r="AB277" s="829"/>
      <c r="AC277" s="829"/>
      <c r="AD277" s="829"/>
      <c r="AE277" s="829"/>
      <c r="AF277" s="829"/>
      <c r="AG277" s="829"/>
      <c r="AH277" s="829"/>
      <c r="AI277" s="829"/>
      <c r="AJ277" s="829"/>
      <c r="AK277" s="829"/>
      <c r="AL277" s="829"/>
      <c r="AM277" s="829"/>
      <c r="AN277" s="829"/>
    </row>
    <row r="278" spans="1:40" ht="12.75" x14ac:dyDescent="0.2">
      <c r="A278" s="829"/>
      <c r="B278" s="829"/>
      <c r="C278" s="829"/>
      <c r="D278" s="829"/>
      <c r="E278" s="829"/>
      <c r="F278" s="829"/>
      <c r="G278" s="829"/>
      <c r="H278" s="829"/>
      <c r="I278" s="829"/>
      <c r="J278" s="829"/>
      <c r="K278" s="829"/>
      <c r="L278" s="829"/>
      <c r="M278" s="829"/>
      <c r="N278" s="829"/>
      <c r="O278" s="829"/>
      <c r="P278" s="829"/>
      <c r="Q278" s="829"/>
      <c r="R278" s="829"/>
      <c r="S278" s="829"/>
      <c r="T278" s="829"/>
      <c r="U278" s="829"/>
      <c r="V278" s="829"/>
      <c r="W278" s="829"/>
      <c r="X278" s="829"/>
      <c r="Y278" s="829"/>
      <c r="Z278" s="829"/>
      <c r="AA278" s="829"/>
      <c r="AB278" s="829"/>
      <c r="AC278" s="829"/>
      <c r="AD278" s="829"/>
      <c r="AE278" s="829"/>
      <c r="AF278" s="829"/>
      <c r="AG278" s="829"/>
      <c r="AH278" s="829"/>
      <c r="AI278" s="829"/>
      <c r="AJ278" s="829"/>
      <c r="AK278" s="829"/>
      <c r="AL278" s="829"/>
      <c r="AM278" s="829"/>
      <c r="AN278" s="829"/>
    </row>
    <row r="279" spans="1:40" ht="12.75" x14ac:dyDescent="0.2">
      <c r="A279" s="829"/>
      <c r="B279" s="829"/>
      <c r="C279" s="829"/>
      <c r="D279" s="829"/>
      <c r="E279" s="829"/>
      <c r="F279" s="829"/>
      <c r="G279" s="829"/>
      <c r="H279" s="829"/>
      <c r="I279" s="829"/>
      <c r="J279" s="829"/>
      <c r="K279" s="829"/>
      <c r="L279" s="829"/>
      <c r="M279" s="829"/>
      <c r="N279" s="829"/>
      <c r="O279" s="829"/>
      <c r="P279" s="829"/>
      <c r="Q279" s="829"/>
      <c r="R279" s="829"/>
      <c r="S279" s="829"/>
      <c r="T279" s="829"/>
      <c r="U279" s="829"/>
      <c r="V279" s="829"/>
      <c r="W279" s="829"/>
      <c r="X279" s="829"/>
      <c r="Y279" s="829"/>
      <c r="Z279" s="829"/>
      <c r="AA279" s="829"/>
      <c r="AB279" s="829"/>
      <c r="AC279" s="829"/>
      <c r="AD279" s="829"/>
      <c r="AE279" s="829"/>
      <c r="AF279" s="829"/>
      <c r="AG279" s="829"/>
      <c r="AH279" s="829"/>
      <c r="AI279" s="829"/>
      <c r="AJ279" s="829"/>
      <c r="AK279" s="829"/>
      <c r="AL279" s="829"/>
      <c r="AM279" s="829"/>
      <c r="AN279" s="829"/>
    </row>
    <row r="280" spans="1:40" ht="12.75" x14ac:dyDescent="0.2">
      <c r="A280" s="829"/>
      <c r="B280" s="829"/>
      <c r="C280" s="829"/>
      <c r="D280" s="829"/>
      <c r="E280" s="829"/>
      <c r="F280" s="829"/>
      <c r="G280" s="829"/>
      <c r="H280" s="829"/>
      <c r="I280" s="829"/>
      <c r="J280" s="829"/>
      <c r="K280" s="829"/>
      <c r="L280" s="829"/>
      <c r="M280" s="829"/>
      <c r="N280" s="829"/>
      <c r="O280" s="829"/>
      <c r="P280" s="829"/>
      <c r="Q280" s="829"/>
      <c r="R280" s="829"/>
      <c r="S280" s="829"/>
      <c r="T280" s="829"/>
      <c r="U280" s="829"/>
      <c r="V280" s="829"/>
      <c r="W280" s="829"/>
      <c r="X280" s="829"/>
      <c r="Y280" s="829"/>
      <c r="Z280" s="829"/>
      <c r="AA280" s="829"/>
      <c r="AB280" s="829"/>
      <c r="AC280" s="829"/>
      <c r="AD280" s="829"/>
      <c r="AE280" s="829"/>
      <c r="AF280" s="829"/>
      <c r="AG280" s="829"/>
      <c r="AH280" s="829"/>
      <c r="AI280" s="829"/>
      <c r="AJ280" s="829"/>
      <c r="AK280" s="829"/>
      <c r="AL280" s="829"/>
      <c r="AM280" s="829"/>
      <c r="AN280" s="829"/>
    </row>
    <row r="281" spans="1:40" ht="12.75" x14ac:dyDescent="0.2">
      <c r="A281" s="829"/>
      <c r="B281" s="829"/>
      <c r="C281" s="829"/>
      <c r="D281" s="829"/>
      <c r="E281" s="829"/>
      <c r="F281" s="829"/>
      <c r="G281" s="829"/>
      <c r="H281" s="829"/>
      <c r="I281" s="829"/>
      <c r="J281" s="829"/>
      <c r="K281" s="829"/>
      <c r="L281" s="829"/>
      <c r="M281" s="829"/>
      <c r="N281" s="829"/>
      <c r="O281" s="829"/>
      <c r="P281" s="829"/>
      <c r="Q281" s="829"/>
      <c r="R281" s="829"/>
      <c r="S281" s="829"/>
      <c r="T281" s="829"/>
      <c r="U281" s="829"/>
      <c r="V281" s="829"/>
      <c r="W281" s="829"/>
      <c r="X281" s="829"/>
      <c r="Y281" s="829"/>
      <c r="Z281" s="829"/>
      <c r="AA281" s="829"/>
      <c r="AB281" s="829"/>
      <c r="AC281" s="829"/>
      <c r="AD281" s="829"/>
      <c r="AE281" s="829"/>
      <c r="AF281" s="829"/>
      <c r="AG281" s="829"/>
      <c r="AH281" s="829"/>
      <c r="AI281" s="829"/>
      <c r="AJ281" s="829"/>
      <c r="AK281" s="829"/>
      <c r="AL281" s="829"/>
      <c r="AM281" s="829"/>
      <c r="AN281" s="829"/>
    </row>
    <row r="282" spans="1:40" ht="12.75" x14ac:dyDescent="0.2">
      <c r="A282" s="829"/>
      <c r="B282" s="829"/>
      <c r="C282" s="829"/>
      <c r="D282" s="829"/>
      <c r="E282" s="829"/>
      <c r="F282" s="829"/>
      <c r="G282" s="829"/>
      <c r="H282" s="829"/>
      <c r="I282" s="829"/>
      <c r="J282" s="829"/>
      <c r="K282" s="829"/>
      <c r="L282" s="829"/>
      <c r="M282" s="829"/>
      <c r="N282" s="829"/>
      <c r="O282" s="829"/>
      <c r="P282" s="829"/>
      <c r="Q282" s="829"/>
      <c r="R282" s="829"/>
      <c r="S282" s="829"/>
      <c r="T282" s="829"/>
      <c r="U282" s="829"/>
      <c r="V282" s="829"/>
      <c r="W282" s="829"/>
      <c r="X282" s="829"/>
      <c r="Y282" s="829"/>
      <c r="Z282" s="829"/>
      <c r="AA282" s="829"/>
      <c r="AB282" s="829"/>
      <c r="AC282" s="829"/>
      <c r="AD282" s="829"/>
      <c r="AE282" s="829"/>
      <c r="AF282" s="829"/>
      <c r="AG282" s="829"/>
      <c r="AH282" s="829"/>
      <c r="AI282" s="829"/>
      <c r="AJ282" s="829"/>
      <c r="AK282" s="829"/>
      <c r="AL282" s="829"/>
      <c r="AM282" s="829"/>
      <c r="AN282" s="829"/>
    </row>
    <row r="283" spans="1:40" ht="12.75" x14ac:dyDescent="0.2">
      <c r="A283" s="829"/>
      <c r="B283" s="829"/>
      <c r="C283" s="829"/>
      <c r="D283" s="829"/>
      <c r="E283" s="829"/>
      <c r="F283" s="829"/>
      <c r="G283" s="829"/>
      <c r="H283" s="829"/>
      <c r="I283" s="829"/>
      <c r="J283" s="829"/>
      <c r="K283" s="829"/>
      <c r="L283" s="829"/>
      <c r="M283" s="829"/>
      <c r="N283" s="829"/>
      <c r="O283" s="829"/>
      <c r="P283" s="829"/>
      <c r="Q283" s="829"/>
      <c r="R283" s="829"/>
      <c r="S283" s="829"/>
      <c r="T283" s="829"/>
      <c r="U283" s="829"/>
      <c r="V283" s="829"/>
      <c r="W283" s="829"/>
      <c r="X283" s="829"/>
      <c r="Y283" s="829"/>
      <c r="Z283" s="829"/>
      <c r="AA283" s="829"/>
      <c r="AB283" s="829"/>
      <c r="AC283" s="829"/>
      <c r="AD283" s="829"/>
      <c r="AE283" s="829"/>
      <c r="AF283" s="829"/>
      <c r="AG283" s="829"/>
      <c r="AH283" s="829"/>
      <c r="AI283" s="829"/>
      <c r="AJ283" s="829"/>
      <c r="AK283" s="829"/>
      <c r="AL283" s="829"/>
      <c r="AM283" s="829"/>
      <c r="AN283" s="829"/>
    </row>
    <row r="284" spans="1:40" ht="12.75" x14ac:dyDescent="0.2">
      <c r="A284" s="829"/>
      <c r="B284" s="829"/>
      <c r="C284" s="829"/>
      <c r="D284" s="829"/>
      <c r="E284" s="829"/>
      <c r="F284" s="829"/>
      <c r="G284" s="829"/>
      <c r="H284" s="829"/>
      <c r="I284" s="829"/>
      <c r="J284" s="829"/>
      <c r="K284" s="829"/>
      <c r="L284" s="829"/>
      <c r="M284" s="829"/>
      <c r="N284" s="829"/>
      <c r="O284" s="829"/>
      <c r="P284" s="829"/>
      <c r="Q284" s="829"/>
      <c r="R284" s="829"/>
      <c r="S284" s="829"/>
      <c r="T284" s="829"/>
      <c r="U284" s="829"/>
      <c r="V284" s="829"/>
      <c r="W284" s="829"/>
      <c r="X284" s="829"/>
      <c r="Y284" s="829"/>
      <c r="Z284" s="829"/>
      <c r="AA284" s="829"/>
      <c r="AB284" s="829"/>
      <c r="AC284" s="829"/>
      <c r="AD284" s="829"/>
      <c r="AE284" s="829"/>
      <c r="AF284" s="829"/>
      <c r="AG284" s="829"/>
      <c r="AH284" s="829"/>
      <c r="AI284" s="829"/>
      <c r="AJ284" s="829"/>
      <c r="AK284" s="829"/>
      <c r="AL284" s="829"/>
      <c r="AM284" s="829"/>
      <c r="AN284" s="829"/>
    </row>
    <row r="285" spans="1:40" ht="12.75" x14ac:dyDescent="0.2">
      <c r="A285" s="829"/>
      <c r="B285" s="829"/>
      <c r="C285" s="829"/>
      <c r="D285" s="829"/>
      <c r="E285" s="829"/>
      <c r="F285" s="829"/>
      <c r="G285" s="829"/>
      <c r="H285" s="829"/>
      <c r="I285" s="829"/>
      <c r="J285" s="829"/>
      <c r="K285" s="829"/>
      <c r="L285" s="829"/>
      <c r="M285" s="829"/>
      <c r="N285" s="829"/>
      <c r="O285" s="829"/>
      <c r="P285" s="829"/>
      <c r="Q285" s="829"/>
      <c r="R285" s="829"/>
      <c r="S285" s="829"/>
      <c r="T285" s="829"/>
      <c r="U285" s="829"/>
      <c r="V285" s="829"/>
      <c r="W285" s="829"/>
      <c r="X285" s="829"/>
      <c r="Y285" s="829"/>
      <c r="Z285" s="829"/>
      <c r="AA285" s="829"/>
      <c r="AB285" s="829"/>
      <c r="AC285" s="829"/>
      <c r="AD285" s="829"/>
      <c r="AE285" s="829"/>
      <c r="AF285" s="829"/>
      <c r="AG285" s="829"/>
      <c r="AH285" s="829"/>
      <c r="AI285" s="829"/>
      <c r="AJ285" s="829"/>
      <c r="AK285" s="829"/>
      <c r="AL285" s="829"/>
      <c r="AM285" s="829"/>
      <c r="AN285" s="829"/>
    </row>
    <row r="286" spans="1:40" ht="12.75" x14ac:dyDescent="0.2">
      <c r="A286" s="829"/>
      <c r="B286" s="829"/>
      <c r="C286" s="829"/>
      <c r="D286" s="829"/>
      <c r="E286" s="829"/>
      <c r="F286" s="829"/>
      <c r="G286" s="829"/>
      <c r="H286" s="829"/>
      <c r="I286" s="829"/>
      <c r="J286" s="829"/>
      <c r="K286" s="829"/>
      <c r="L286" s="829"/>
      <c r="M286" s="829"/>
      <c r="N286" s="829"/>
      <c r="O286" s="829"/>
      <c r="P286" s="829"/>
      <c r="Q286" s="829"/>
      <c r="R286" s="829"/>
      <c r="S286" s="829"/>
      <c r="T286" s="829"/>
      <c r="U286" s="829"/>
      <c r="V286" s="829"/>
      <c r="W286" s="829"/>
      <c r="X286" s="829"/>
      <c r="Y286" s="829"/>
      <c r="Z286" s="829"/>
      <c r="AA286" s="829"/>
      <c r="AB286" s="829"/>
      <c r="AC286" s="829"/>
      <c r="AD286" s="829"/>
      <c r="AE286" s="829"/>
      <c r="AF286" s="829"/>
      <c r="AG286" s="829"/>
      <c r="AH286" s="829"/>
      <c r="AI286" s="829"/>
      <c r="AJ286" s="829"/>
      <c r="AK286" s="829"/>
      <c r="AL286" s="829"/>
      <c r="AM286" s="829"/>
      <c r="AN286" s="829"/>
    </row>
    <row r="287" spans="1:40" ht="12.75" x14ac:dyDescent="0.2">
      <c r="A287" s="829"/>
      <c r="B287" s="829"/>
      <c r="C287" s="829"/>
      <c r="D287" s="829"/>
      <c r="E287" s="829"/>
      <c r="F287" s="829"/>
      <c r="G287" s="829"/>
      <c r="H287" s="829"/>
      <c r="I287" s="829"/>
      <c r="J287" s="829"/>
      <c r="K287" s="829"/>
      <c r="L287" s="829"/>
      <c r="M287" s="829"/>
      <c r="N287" s="829"/>
      <c r="O287" s="829"/>
      <c r="P287" s="829"/>
      <c r="Q287" s="829"/>
      <c r="R287" s="829"/>
      <c r="S287" s="829"/>
      <c r="T287" s="829"/>
      <c r="U287" s="829"/>
      <c r="V287" s="829"/>
      <c r="W287" s="829"/>
      <c r="X287" s="829"/>
      <c r="Y287" s="829"/>
      <c r="Z287" s="829"/>
      <c r="AA287" s="829"/>
      <c r="AB287" s="829"/>
      <c r="AC287" s="829"/>
      <c r="AD287" s="829"/>
      <c r="AE287" s="829"/>
      <c r="AF287" s="829"/>
      <c r="AG287" s="829"/>
      <c r="AH287" s="829"/>
      <c r="AI287" s="829"/>
      <c r="AJ287" s="829"/>
      <c r="AK287" s="829"/>
      <c r="AL287" s="829"/>
      <c r="AM287" s="829"/>
      <c r="AN287" s="829"/>
    </row>
    <row r="288" spans="1:40" ht="12.75" x14ac:dyDescent="0.2">
      <c r="A288" s="829"/>
      <c r="B288" s="829"/>
      <c r="C288" s="829"/>
      <c r="D288" s="829"/>
      <c r="E288" s="829"/>
      <c r="F288" s="829"/>
      <c r="G288" s="829"/>
      <c r="H288" s="829"/>
      <c r="I288" s="829"/>
      <c r="J288" s="829"/>
      <c r="K288" s="829"/>
      <c r="L288" s="829"/>
      <c r="M288" s="829"/>
      <c r="N288" s="829"/>
      <c r="O288" s="829"/>
      <c r="P288" s="829"/>
      <c r="Q288" s="829"/>
      <c r="R288" s="829"/>
      <c r="S288" s="829"/>
      <c r="T288" s="829"/>
      <c r="U288" s="829"/>
      <c r="V288" s="829"/>
      <c r="W288" s="829"/>
      <c r="X288" s="829"/>
      <c r="Y288" s="829"/>
      <c r="Z288" s="829"/>
      <c r="AA288" s="829"/>
      <c r="AB288" s="829"/>
      <c r="AC288" s="829"/>
      <c r="AD288" s="829"/>
      <c r="AE288" s="829"/>
      <c r="AF288" s="829"/>
      <c r="AG288" s="829"/>
      <c r="AH288" s="829"/>
      <c r="AI288" s="829"/>
      <c r="AJ288" s="829"/>
      <c r="AK288" s="829"/>
      <c r="AL288" s="829"/>
      <c r="AM288" s="829"/>
      <c r="AN288" s="829"/>
    </row>
    <row r="289" spans="1:40" ht="12.75" x14ac:dyDescent="0.2">
      <c r="A289" s="829"/>
      <c r="B289" s="829"/>
      <c r="C289" s="829"/>
      <c r="D289" s="829"/>
      <c r="E289" s="829"/>
      <c r="F289" s="829"/>
      <c r="G289" s="829"/>
      <c r="H289" s="829"/>
      <c r="I289" s="829"/>
      <c r="J289" s="829"/>
      <c r="K289" s="829"/>
      <c r="L289" s="829"/>
      <c r="M289" s="829"/>
      <c r="N289" s="829"/>
      <c r="O289" s="829"/>
      <c r="P289" s="829"/>
      <c r="Q289" s="829"/>
      <c r="R289" s="829"/>
      <c r="S289" s="829"/>
      <c r="T289" s="829"/>
      <c r="U289" s="829"/>
      <c r="V289" s="829"/>
      <c r="W289" s="829"/>
      <c r="X289" s="829"/>
      <c r="Y289" s="829"/>
      <c r="Z289" s="829"/>
      <c r="AA289" s="829"/>
      <c r="AB289" s="829"/>
      <c r="AC289" s="829"/>
      <c r="AD289" s="829"/>
      <c r="AE289" s="829"/>
      <c r="AF289" s="829"/>
      <c r="AG289" s="829"/>
      <c r="AH289" s="829"/>
      <c r="AI289" s="829"/>
      <c r="AJ289" s="829"/>
      <c r="AK289" s="829"/>
      <c r="AL289" s="829"/>
      <c r="AM289" s="829"/>
      <c r="AN289" s="829"/>
    </row>
    <row r="290" spans="1:40" ht="12.75" x14ac:dyDescent="0.2">
      <c r="A290" s="829"/>
      <c r="B290" s="829"/>
      <c r="C290" s="829"/>
      <c r="D290" s="829"/>
      <c r="E290" s="829"/>
      <c r="F290" s="829"/>
      <c r="G290" s="829"/>
      <c r="H290" s="829"/>
      <c r="I290" s="829"/>
      <c r="J290" s="829"/>
      <c r="K290" s="829"/>
      <c r="L290" s="829"/>
      <c r="M290" s="829"/>
      <c r="N290" s="829"/>
      <c r="O290" s="829"/>
      <c r="P290" s="829"/>
      <c r="Q290" s="829"/>
      <c r="R290" s="829"/>
      <c r="S290" s="829"/>
      <c r="T290" s="829"/>
      <c r="U290" s="829"/>
      <c r="V290" s="829"/>
      <c r="W290" s="829"/>
      <c r="X290" s="829"/>
      <c r="Y290" s="829"/>
      <c r="Z290" s="829"/>
      <c r="AA290" s="829"/>
      <c r="AB290" s="829"/>
      <c r="AC290" s="829"/>
      <c r="AD290" s="829"/>
      <c r="AE290" s="829"/>
      <c r="AF290" s="829"/>
      <c r="AG290" s="829"/>
      <c r="AH290" s="829"/>
      <c r="AI290" s="829"/>
      <c r="AJ290" s="829"/>
      <c r="AK290" s="829"/>
      <c r="AL290" s="829"/>
      <c r="AM290" s="829"/>
      <c r="AN290" s="829"/>
    </row>
    <row r="291" spans="1:40" ht="12.75" x14ac:dyDescent="0.2">
      <c r="A291" s="829"/>
      <c r="B291" s="829"/>
      <c r="C291" s="829"/>
      <c r="D291" s="829"/>
      <c r="E291" s="829"/>
      <c r="F291" s="829"/>
      <c r="G291" s="829"/>
      <c r="H291" s="829"/>
      <c r="I291" s="829"/>
      <c r="J291" s="829"/>
      <c r="K291" s="829"/>
      <c r="L291" s="829"/>
      <c r="M291" s="829"/>
      <c r="N291" s="829"/>
      <c r="O291" s="829"/>
      <c r="P291" s="829"/>
      <c r="Q291" s="829"/>
      <c r="R291" s="829"/>
      <c r="S291" s="829"/>
      <c r="T291" s="829"/>
      <c r="U291" s="829"/>
      <c r="V291" s="829"/>
      <c r="W291" s="829"/>
      <c r="X291" s="829"/>
      <c r="Y291" s="829"/>
      <c r="Z291" s="829"/>
      <c r="AA291" s="829"/>
      <c r="AB291" s="829"/>
      <c r="AC291" s="829"/>
      <c r="AD291" s="829"/>
      <c r="AE291" s="829"/>
      <c r="AF291" s="829"/>
      <c r="AG291" s="829"/>
      <c r="AH291" s="829"/>
      <c r="AI291" s="829"/>
      <c r="AJ291" s="829"/>
      <c r="AK291" s="829"/>
      <c r="AL291" s="829"/>
      <c r="AM291" s="829"/>
      <c r="AN291" s="829"/>
    </row>
    <row r="292" spans="1:40" ht="12.75" x14ac:dyDescent="0.2">
      <c r="A292" s="829"/>
      <c r="B292" s="829"/>
      <c r="C292" s="829"/>
      <c r="D292" s="829"/>
      <c r="E292" s="829"/>
      <c r="F292" s="829"/>
      <c r="G292" s="829"/>
      <c r="H292" s="829"/>
      <c r="I292" s="829"/>
      <c r="J292" s="829"/>
      <c r="K292" s="829"/>
      <c r="L292" s="829"/>
      <c r="M292" s="829"/>
      <c r="N292" s="829"/>
      <c r="O292" s="829"/>
      <c r="P292" s="829"/>
      <c r="Q292" s="829"/>
      <c r="R292" s="829"/>
      <c r="S292" s="829"/>
      <c r="T292" s="829"/>
      <c r="U292" s="829"/>
      <c r="V292" s="829"/>
      <c r="W292" s="829"/>
      <c r="X292" s="829"/>
      <c r="Y292" s="829"/>
      <c r="Z292" s="829"/>
      <c r="AA292" s="829"/>
      <c r="AB292" s="829"/>
      <c r="AC292" s="829"/>
      <c r="AD292" s="829"/>
      <c r="AE292" s="829"/>
      <c r="AF292" s="829"/>
      <c r="AG292" s="829"/>
      <c r="AH292" s="829"/>
      <c r="AI292" s="829"/>
      <c r="AJ292" s="829"/>
      <c r="AK292" s="829"/>
      <c r="AL292" s="829"/>
      <c r="AM292" s="829"/>
      <c r="AN292" s="829"/>
    </row>
    <row r="293" spans="1:40" ht="12.75" x14ac:dyDescent="0.2">
      <c r="A293" s="829"/>
      <c r="B293" s="829"/>
      <c r="C293" s="829"/>
      <c r="D293" s="829"/>
      <c r="E293" s="829"/>
      <c r="F293" s="829"/>
      <c r="G293" s="829"/>
      <c r="H293" s="829"/>
      <c r="I293" s="829"/>
      <c r="J293" s="829"/>
      <c r="K293" s="829"/>
      <c r="L293" s="829"/>
      <c r="M293" s="829"/>
      <c r="N293" s="829"/>
      <c r="O293" s="829"/>
      <c r="P293" s="829"/>
      <c r="Q293" s="829"/>
      <c r="R293" s="829"/>
      <c r="S293" s="829"/>
      <c r="T293" s="829"/>
      <c r="U293" s="829"/>
      <c r="V293" s="829"/>
      <c r="W293" s="829"/>
      <c r="X293" s="829"/>
      <c r="Y293" s="829"/>
      <c r="Z293" s="829"/>
      <c r="AA293" s="829"/>
      <c r="AB293" s="829"/>
      <c r="AC293" s="829"/>
      <c r="AD293" s="829"/>
      <c r="AE293" s="829"/>
      <c r="AF293" s="829"/>
      <c r="AG293" s="829"/>
      <c r="AH293" s="829"/>
      <c r="AI293" s="829"/>
      <c r="AJ293" s="829"/>
      <c r="AK293" s="829"/>
      <c r="AL293" s="829"/>
      <c r="AM293" s="829"/>
      <c r="AN293" s="829"/>
    </row>
    <row r="294" spans="1:40" ht="12.75" x14ac:dyDescent="0.2">
      <c r="A294" s="829"/>
      <c r="B294" s="829"/>
      <c r="C294" s="829"/>
      <c r="D294" s="829"/>
      <c r="E294" s="829"/>
      <c r="F294" s="829"/>
      <c r="G294" s="829"/>
      <c r="H294" s="829"/>
      <c r="I294" s="829"/>
      <c r="J294" s="829"/>
      <c r="K294" s="829"/>
      <c r="L294" s="829"/>
      <c r="M294" s="829"/>
      <c r="N294" s="829"/>
      <c r="O294" s="829"/>
      <c r="P294" s="829"/>
      <c r="Q294" s="829"/>
      <c r="R294" s="829"/>
      <c r="S294" s="829"/>
      <c r="T294" s="829"/>
      <c r="U294" s="829"/>
      <c r="V294" s="829"/>
      <c r="W294" s="829"/>
      <c r="X294" s="829"/>
      <c r="Y294" s="829"/>
      <c r="Z294" s="829"/>
      <c r="AA294" s="829"/>
      <c r="AB294" s="829"/>
      <c r="AC294" s="829"/>
      <c r="AD294" s="829"/>
      <c r="AE294" s="829"/>
      <c r="AF294" s="829"/>
      <c r="AG294" s="829"/>
      <c r="AH294" s="829"/>
      <c r="AI294" s="829"/>
      <c r="AJ294" s="829"/>
      <c r="AK294" s="829"/>
      <c r="AL294" s="829"/>
      <c r="AM294" s="829"/>
      <c r="AN294" s="829"/>
    </row>
    <row r="295" spans="1:40" ht="12.75" x14ac:dyDescent="0.2">
      <c r="A295" s="829"/>
      <c r="B295" s="829"/>
      <c r="C295" s="829"/>
      <c r="D295" s="829"/>
      <c r="E295" s="829"/>
      <c r="F295" s="829"/>
      <c r="G295" s="829"/>
      <c r="H295" s="829"/>
      <c r="I295" s="829"/>
      <c r="J295" s="829"/>
      <c r="K295" s="829"/>
      <c r="L295" s="829"/>
      <c r="M295" s="829"/>
      <c r="N295" s="829"/>
      <c r="O295" s="829"/>
      <c r="P295" s="829"/>
      <c r="Q295" s="829"/>
      <c r="R295" s="829"/>
      <c r="S295" s="829"/>
      <c r="T295" s="829"/>
      <c r="U295" s="829"/>
      <c r="V295" s="829"/>
      <c r="W295" s="829"/>
      <c r="X295" s="829"/>
      <c r="Y295" s="829"/>
      <c r="Z295" s="829"/>
      <c r="AA295" s="829"/>
      <c r="AB295" s="829"/>
      <c r="AC295" s="829"/>
      <c r="AD295" s="829"/>
      <c r="AE295" s="829"/>
      <c r="AF295" s="829"/>
      <c r="AG295" s="829"/>
      <c r="AH295" s="829"/>
      <c r="AI295" s="829"/>
      <c r="AJ295" s="829"/>
      <c r="AK295" s="829"/>
      <c r="AL295" s="829"/>
      <c r="AM295" s="829"/>
      <c r="AN295" s="829"/>
    </row>
    <row r="296" spans="1:40" ht="12.75" x14ac:dyDescent="0.2">
      <c r="A296" s="829"/>
      <c r="B296" s="829"/>
      <c r="C296" s="829"/>
      <c r="D296" s="829"/>
      <c r="E296" s="829"/>
      <c r="F296" s="829"/>
      <c r="G296" s="829"/>
      <c r="H296" s="829"/>
      <c r="I296" s="829"/>
      <c r="J296" s="829"/>
      <c r="K296" s="829"/>
      <c r="L296" s="829"/>
      <c r="M296" s="829"/>
      <c r="N296" s="829"/>
      <c r="O296" s="829"/>
      <c r="P296" s="829"/>
      <c r="Q296" s="829"/>
      <c r="R296" s="829"/>
      <c r="S296" s="829"/>
      <c r="T296" s="829"/>
      <c r="U296" s="829"/>
      <c r="V296" s="829"/>
      <c r="W296" s="829"/>
      <c r="X296" s="829"/>
      <c r="Y296" s="829"/>
      <c r="Z296" s="829"/>
      <c r="AA296" s="829"/>
      <c r="AB296" s="829"/>
      <c r="AC296" s="829"/>
      <c r="AD296" s="829"/>
      <c r="AE296" s="829"/>
      <c r="AF296" s="829"/>
      <c r="AG296" s="829"/>
      <c r="AH296" s="829"/>
      <c r="AI296" s="829"/>
      <c r="AJ296" s="829"/>
      <c r="AK296" s="829"/>
      <c r="AL296" s="829"/>
      <c r="AM296" s="829"/>
      <c r="AN296" s="829"/>
    </row>
    <row r="297" spans="1:40" ht="12.75" x14ac:dyDescent="0.2">
      <c r="A297" s="829"/>
      <c r="B297" s="829"/>
      <c r="C297" s="829"/>
      <c r="D297" s="829"/>
      <c r="E297" s="829"/>
      <c r="F297" s="829"/>
      <c r="G297" s="829"/>
      <c r="H297" s="829"/>
      <c r="I297" s="829"/>
      <c r="J297" s="829"/>
      <c r="K297" s="829"/>
      <c r="L297" s="829"/>
      <c r="M297" s="829"/>
      <c r="N297" s="829"/>
      <c r="O297" s="829"/>
      <c r="P297" s="829"/>
      <c r="Q297" s="829"/>
      <c r="R297" s="829"/>
      <c r="S297" s="829"/>
      <c r="T297" s="829"/>
      <c r="U297" s="829"/>
      <c r="V297" s="829"/>
      <c r="W297" s="829"/>
      <c r="X297" s="829"/>
      <c r="Y297" s="829"/>
      <c r="Z297" s="829"/>
      <c r="AA297" s="829"/>
      <c r="AB297" s="829"/>
      <c r="AC297" s="829"/>
      <c r="AD297" s="829"/>
      <c r="AE297" s="829"/>
      <c r="AF297" s="829"/>
      <c r="AG297" s="829"/>
      <c r="AH297" s="829"/>
      <c r="AI297" s="829"/>
      <c r="AJ297" s="829"/>
      <c r="AK297" s="829"/>
      <c r="AL297" s="829"/>
      <c r="AM297" s="829"/>
      <c r="AN297" s="829"/>
    </row>
    <row r="298" spans="1:40" ht="12.75" x14ac:dyDescent="0.2">
      <c r="A298" s="829"/>
      <c r="B298" s="829"/>
      <c r="C298" s="829"/>
      <c r="D298" s="829"/>
      <c r="E298" s="829"/>
      <c r="F298" s="829"/>
      <c r="G298" s="829"/>
      <c r="H298" s="829"/>
      <c r="I298" s="829"/>
      <c r="J298" s="829"/>
      <c r="K298" s="829"/>
      <c r="L298" s="829"/>
      <c r="M298" s="829"/>
      <c r="N298" s="829"/>
      <c r="O298" s="829"/>
      <c r="P298" s="829"/>
      <c r="Q298" s="829"/>
      <c r="R298" s="829"/>
      <c r="S298" s="829"/>
      <c r="T298" s="829"/>
      <c r="U298" s="829"/>
      <c r="V298" s="829"/>
      <c r="W298" s="829"/>
      <c r="X298" s="829"/>
      <c r="Y298" s="829"/>
      <c r="Z298" s="829"/>
      <c r="AA298" s="829"/>
      <c r="AB298" s="829"/>
      <c r="AC298" s="829"/>
      <c r="AD298" s="829"/>
      <c r="AE298" s="829"/>
      <c r="AF298" s="829"/>
      <c r="AG298" s="829"/>
      <c r="AH298" s="829"/>
      <c r="AI298" s="829"/>
      <c r="AJ298" s="829"/>
      <c r="AK298" s="829"/>
      <c r="AL298" s="829"/>
      <c r="AM298" s="829"/>
      <c r="AN298" s="829"/>
    </row>
    <row r="299" spans="1:40" ht="12.75" x14ac:dyDescent="0.2">
      <c r="A299" s="829"/>
      <c r="B299" s="829"/>
      <c r="C299" s="829"/>
      <c r="D299" s="829"/>
      <c r="E299" s="829"/>
      <c r="F299" s="829"/>
      <c r="G299" s="829"/>
      <c r="H299" s="829"/>
      <c r="I299" s="829"/>
      <c r="J299" s="829"/>
      <c r="K299" s="829"/>
      <c r="L299" s="829"/>
      <c r="M299" s="829"/>
      <c r="N299" s="829"/>
      <c r="O299" s="829"/>
      <c r="P299" s="829"/>
      <c r="Q299" s="829"/>
      <c r="R299" s="829"/>
      <c r="S299" s="829"/>
      <c r="T299" s="829"/>
      <c r="U299" s="829"/>
      <c r="V299" s="829"/>
      <c r="W299" s="829"/>
      <c r="X299" s="829"/>
      <c r="Y299" s="829"/>
      <c r="Z299" s="829"/>
      <c r="AA299" s="829"/>
      <c r="AB299" s="829"/>
      <c r="AC299" s="829"/>
      <c r="AD299" s="829"/>
      <c r="AE299" s="829"/>
      <c r="AF299" s="829"/>
      <c r="AG299" s="829"/>
      <c r="AH299" s="829"/>
      <c r="AI299" s="829"/>
      <c r="AJ299" s="829"/>
      <c r="AK299" s="829"/>
      <c r="AL299" s="829"/>
      <c r="AM299" s="829"/>
      <c r="AN299" s="829"/>
    </row>
    <row r="300" spans="1:40" ht="12.75" x14ac:dyDescent="0.2">
      <c r="A300" s="829"/>
      <c r="B300" s="829"/>
      <c r="C300" s="829"/>
      <c r="D300" s="829"/>
      <c r="E300" s="829"/>
      <c r="F300" s="829"/>
      <c r="G300" s="829"/>
      <c r="H300" s="829"/>
      <c r="I300" s="829"/>
      <c r="J300" s="829"/>
      <c r="K300" s="829"/>
      <c r="L300" s="829"/>
      <c r="M300" s="829"/>
      <c r="N300" s="829"/>
      <c r="O300" s="829"/>
      <c r="P300" s="829"/>
      <c r="Q300" s="829"/>
      <c r="R300" s="829"/>
      <c r="S300" s="829"/>
      <c r="T300" s="829"/>
      <c r="U300" s="829"/>
      <c r="V300" s="829"/>
      <c r="W300" s="829"/>
      <c r="X300" s="829"/>
      <c r="Y300" s="829"/>
      <c r="Z300" s="829"/>
      <c r="AA300" s="829"/>
      <c r="AB300" s="829"/>
      <c r="AC300" s="829"/>
      <c r="AD300" s="829"/>
      <c r="AE300" s="829"/>
      <c r="AF300" s="829"/>
      <c r="AG300" s="829"/>
      <c r="AH300" s="829"/>
      <c r="AI300" s="829"/>
      <c r="AJ300" s="829"/>
      <c r="AK300" s="829"/>
      <c r="AL300" s="829"/>
      <c r="AM300" s="829"/>
      <c r="AN300" s="829"/>
    </row>
    <row r="301" spans="1:40" ht="12.75" x14ac:dyDescent="0.2">
      <c r="A301" s="829"/>
      <c r="B301" s="829"/>
      <c r="C301" s="829"/>
      <c r="D301" s="829"/>
      <c r="E301" s="829"/>
      <c r="F301" s="829"/>
      <c r="G301" s="829"/>
      <c r="H301" s="829"/>
      <c r="I301" s="829"/>
      <c r="J301" s="829"/>
      <c r="K301" s="829"/>
      <c r="L301" s="829"/>
      <c r="M301" s="829"/>
      <c r="N301" s="829"/>
      <c r="O301" s="829"/>
      <c r="P301" s="829"/>
      <c r="Q301" s="829"/>
      <c r="R301" s="829"/>
      <c r="S301" s="829"/>
      <c r="T301" s="829"/>
      <c r="U301" s="829"/>
      <c r="V301" s="829"/>
      <c r="W301" s="829"/>
      <c r="X301" s="829"/>
      <c r="Y301" s="829"/>
      <c r="Z301" s="829"/>
      <c r="AA301" s="829"/>
      <c r="AB301" s="829"/>
      <c r="AC301" s="829"/>
      <c r="AD301" s="829"/>
      <c r="AE301" s="829"/>
      <c r="AF301" s="829"/>
      <c r="AG301" s="829"/>
      <c r="AH301" s="829"/>
      <c r="AI301" s="829"/>
      <c r="AJ301" s="829"/>
      <c r="AK301" s="829"/>
      <c r="AL301" s="829"/>
      <c r="AM301" s="829"/>
      <c r="AN301" s="829"/>
    </row>
    <row r="302" spans="1:40" ht="12.75" x14ac:dyDescent="0.2">
      <c r="A302" s="829"/>
      <c r="B302" s="829"/>
      <c r="C302" s="829"/>
      <c r="D302" s="829"/>
      <c r="E302" s="829"/>
      <c r="F302" s="829"/>
      <c r="G302" s="829"/>
      <c r="H302" s="829"/>
      <c r="I302" s="829"/>
      <c r="J302" s="829"/>
      <c r="K302" s="829"/>
      <c r="L302" s="829"/>
      <c r="M302" s="829"/>
      <c r="N302" s="829"/>
      <c r="O302" s="829"/>
      <c r="P302" s="829"/>
      <c r="Q302" s="829"/>
      <c r="R302" s="829"/>
      <c r="S302" s="829"/>
      <c r="T302" s="829"/>
      <c r="U302" s="829"/>
      <c r="V302" s="829"/>
      <c r="W302" s="829"/>
      <c r="X302" s="829"/>
      <c r="Y302" s="829"/>
      <c r="Z302" s="829"/>
      <c r="AA302" s="829"/>
      <c r="AB302" s="829"/>
      <c r="AC302" s="829"/>
      <c r="AD302" s="829"/>
      <c r="AE302" s="829"/>
      <c r="AF302" s="829"/>
      <c r="AG302" s="829"/>
      <c r="AH302" s="829"/>
      <c r="AI302" s="829"/>
      <c r="AJ302" s="829"/>
      <c r="AK302" s="829"/>
      <c r="AL302" s="829"/>
      <c r="AM302" s="829"/>
      <c r="AN302" s="829"/>
    </row>
    <row r="303" spans="1:40" ht="12.75" x14ac:dyDescent="0.2">
      <c r="A303" s="829"/>
      <c r="B303" s="829"/>
      <c r="C303" s="829"/>
      <c r="D303" s="829"/>
      <c r="E303" s="829"/>
      <c r="F303" s="829"/>
      <c r="G303" s="829"/>
      <c r="H303" s="829"/>
      <c r="I303" s="829"/>
      <c r="J303" s="829"/>
      <c r="K303" s="829"/>
      <c r="L303" s="829"/>
      <c r="M303" s="829"/>
      <c r="N303" s="829"/>
      <c r="O303" s="829"/>
      <c r="P303" s="829"/>
      <c r="Q303" s="829"/>
      <c r="R303" s="829"/>
      <c r="S303" s="829"/>
      <c r="T303" s="829"/>
      <c r="U303" s="829"/>
      <c r="V303" s="829"/>
      <c r="W303" s="829"/>
      <c r="X303" s="829"/>
      <c r="Y303" s="829"/>
      <c r="Z303" s="829"/>
      <c r="AA303" s="829"/>
      <c r="AB303" s="829"/>
      <c r="AC303" s="829"/>
      <c r="AD303" s="829"/>
      <c r="AE303" s="829"/>
      <c r="AF303" s="829"/>
      <c r="AG303" s="829"/>
      <c r="AH303" s="829"/>
      <c r="AI303" s="829"/>
      <c r="AJ303" s="829"/>
      <c r="AK303" s="829"/>
      <c r="AL303" s="829"/>
      <c r="AM303" s="829"/>
      <c r="AN303" s="829"/>
    </row>
    <row r="304" spans="1:40" ht="12.75" x14ac:dyDescent="0.2">
      <c r="A304" s="829"/>
      <c r="B304" s="829"/>
      <c r="C304" s="829"/>
      <c r="D304" s="829"/>
      <c r="E304" s="829"/>
      <c r="F304" s="829"/>
      <c r="G304" s="829"/>
      <c r="H304" s="829"/>
      <c r="I304" s="829"/>
      <c r="J304" s="829"/>
      <c r="K304" s="829"/>
      <c r="L304" s="829"/>
      <c r="M304" s="829"/>
      <c r="N304" s="829"/>
      <c r="O304" s="829"/>
      <c r="P304" s="829"/>
      <c r="Q304" s="829"/>
      <c r="R304" s="829"/>
      <c r="S304" s="829"/>
      <c r="T304" s="829"/>
      <c r="U304" s="829"/>
      <c r="V304" s="829"/>
      <c r="W304" s="829"/>
      <c r="X304" s="829"/>
      <c r="Y304" s="829"/>
      <c r="Z304" s="829"/>
      <c r="AA304" s="829"/>
      <c r="AB304" s="829"/>
      <c r="AC304" s="829"/>
      <c r="AD304" s="829"/>
      <c r="AE304" s="829"/>
      <c r="AF304" s="829"/>
      <c r="AG304" s="829"/>
      <c r="AH304" s="829"/>
      <c r="AI304" s="829"/>
      <c r="AJ304" s="829"/>
      <c r="AK304" s="829"/>
      <c r="AL304" s="829"/>
      <c r="AM304" s="829"/>
      <c r="AN304" s="829"/>
    </row>
    <row r="305" spans="1:40" ht="12.75" x14ac:dyDescent="0.2">
      <c r="A305" s="829"/>
      <c r="B305" s="829"/>
      <c r="C305" s="829"/>
      <c r="D305" s="829"/>
      <c r="E305" s="829"/>
      <c r="F305" s="829"/>
      <c r="G305" s="829"/>
      <c r="H305" s="829"/>
      <c r="I305" s="829"/>
      <c r="J305" s="829"/>
      <c r="K305" s="829"/>
      <c r="L305" s="829"/>
      <c r="M305" s="829"/>
      <c r="N305" s="829"/>
      <c r="O305" s="829"/>
      <c r="P305" s="829"/>
      <c r="Q305" s="829"/>
      <c r="R305" s="829"/>
      <c r="S305" s="829"/>
      <c r="T305" s="829"/>
      <c r="U305" s="829"/>
      <c r="V305" s="829"/>
      <c r="W305" s="829"/>
      <c r="X305" s="829"/>
      <c r="Y305" s="829"/>
      <c r="Z305" s="829"/>
      <c r="AA305" s="829"/>
      <c r="AB305" s="829"/>
      <c r="AC305" s="829"/>
      <c r="AD305" s="829"/>
      <c r="AE305" s="829"/>
      <c r="AF305" s="829"/>
      <c r="AG305" s="829"/>
      <c r="AH305" s="829"/>
      <c r="AI305" s="829"/>
      <c r="AJ305" s="829"/>
      <c r="AK305" s="829"/>
      <c r="AL305" s="829"/>
      <c r="AM305" s="829"/>
      <c r="AN305" s="829"/>
    </row>
    <row r="306" spans="1:40" ht="12.75" x14ac:dyDescent="0.2">
      <c r="A306" s="829"/>
      <c r="B306" s="829"/>
      <c r="C306" s="829"/>
      <c r="D306" s="829"/>
      <c r="E306" s="829"/>
      <c r="F306" s="829"/>
      <c r="G306" s="829"/>
      <c r="H306" s="829"/>
      <c r="I306" s="829"/>
      <c r="J306" s="829"/>
      <c r="K306" s="829"/>
      <c r="L306" s="829"/>
      <c r="M306" s="829"/>
      <c r="N306" s="829"/>
      <c r="O306" s="829"/>
      <c r="P306" s="829"/>
      <c r="Q306" s="829"/>
      <c r="R306" s="829"/>
      <c r="S306" s="829"/>
      <c r="T306" s="829"/>
      <c r="U306" s="829"/>
      <c r="V306" s="829"/>
      <c r="W306" s="829"/>
      <c r="X306" s="829"/>
      <c r="Y306" s="829"/>
      <c r="Z306" s="829"/>
      <c r="AA306" s="829"/>
      <c r="AB306" s="829"/>
      <c r="AC306" s="829"/>
      <c r="AD306" s="829"/>
      <c r="AE306" s="829"/>
      <c r="AF306" s="829"/>
      <c r="AG306" s="829"/>
      <c r="AH306" s="829"/>
      <c r="AI306" s="829"/>
      <c r="AJ306" s="829"/>
      <c r="AK306" s="829"/>
      <c r="AL306" s="829"/>
      <c r="AM306" s="829"/>
      <c r="AN306" s="829"/>
    </row>
    <row r="307" spans="1:40" ht="12.75" x14ac:dyDescent="0.2">
      <c r="A307" s="829"/>
      <c r="B307" s="829"/>
      <c r="C307" s="829"/>
      <c r="D307" s="829"/>
      <c r="E307" s="829"/>
      <c r="F307" s="829"/>
      <c r="G307" s="829"/>
      <c r="H307" s="829"/>
      <c r="I307" s="829"/>
      <c r="J307" s="829"/>
      <c r="K307" s="829"/>
      <c r="L307" s="829"/>
      <c r="M307" s="829"/>
      <c r="N307" s="829"/>
      <c r="O307" s="829"/>
      <c r="P307" s="829"/>
      <c r="Q307" s="829"/>
      <c r="R307" s="829"/>
      <c r="S307" s="829"/>
      <c r="T307" s="829"/>
      <c r="U307" s="829"/>
      <c r="V307" s="829"/>
      <c r="W307" s="829"/>
      <c r="X307" s="829"/>
      <c r="Y307" s="829"/>
      <c r="Z307" s="829"/>
      <c r="AA307" s="829"/>
      <c r="AB307" s="829"/>
      <c r="AC307" s="829"/>
      <c r="AD307" s="829"/>
      <c r="AE307" s="829"/>
      <c r="AF307" s="829"/>
      <c r="AG307" s="829"/>
      <c r="AH307" s="829"/>
      <c r="AI307" s="829"/>
      <c r="AJ307" s="829"/>
      <c r="AK307" s="829"/>
      <c r="AL307" s="829"/>
      <c r="AM307" s="829"/>
      <c r="AN307" s="829"/>
    </row>
    <row r="308" spans="1:40" ht="12.75" x14ac:dyDescent="0.2">
      <c r="A308" s="829"/>
      <c r="B308" s="829"/>
      <c r="C308" s="829"/>
      <c r="D308" s="829"/>
      <c r="E308" s="829"/>
      <c r="F308" s="829"/>
      <c r="G308" s="829"/>
      <c r="H308" s="829"/>
      <c r="I308" s="829"/>
      <c r="J308" s="829"/>
      <c r="K308" s="829"/>
      <c r="L308" s="829"/>
      <c r="M308" s="829"/>
      <c r="N308" s="829"/>
      <c r="O308" s="829"/>
      <c r="P308" s="829"/>
      <c r="Q308" s="829"/>
      <c r="R308" s="829"/>
      <c r="S308" s="829"/>
      <c r="T308" s="829"/>
      <c r="U308" s="829"/>
      <c r="V308" s="829"/>
      <c r="W308" s="829"/>
      <c r="X308" s="829"/>
      <c r="Y308" s="829"/>
      <c r="Z308" s="829"/>
      <c r="AA308" s="829"/>
      <c r="AB308" s="829"/>
      <c r="AC308" s="829"/>
      <c r="AD308" s="829"/>
      <c r="AE308" s="829"/>
      <c r="AF308" s="829"/>
      <c r="AG308" s="829"/>
      <c r="AH308" s="829"/>
      <c r="AI308" s="829"/>
      <c r="AJ308" s="829"/>
      <c r="AK308" s="829"/>
      <c r="AL308" s="829"/>
      <c r="AM308" s="829"/>
      <c r="AN308" s="829"/>
    </row>
    <row r="309" spans="1:40" ht="12.75" x14ac:dyDescent="0.2">
      <c r="A309" s="829"/>
      <c r="B309" s="829"/>
      <c r="C309" s="829"/>
      <c r="D309" s="829"/>
      <c r="E309" s="829"/>
      <c r="F309" s="829"/>
      <c r="G309" s="829"/>
      <c r="H309" s="829"/>
      <c r="I309" s="829"/>
      <c r="J309" s="829"/>
      <c r="K309" s="829"/>
      <c r="L309" s="829"/>
      <c r="M309" s="829"/>
      <c r="N309" s="829"/>
      <c r="O309" s="829"/>
      <c r="P309" s="829"/>
      <c r="Q309" s="829"/>
      <c r="R309" s="829"/>
      <c r="S309" s="829"/>
      <c r="T309" s="829"/>
      <c r="U309" s="829"/>
      <c r="V309" s="829"/>
      <c r="W309" s="829"/>
      <c r="X309" s="829"/>
      <c r="Y309" s="829"/>
      <c r="Z309" s="829"/>
      <c r="AA309" s="829"/>
      <c r="AB309" s="829"/>
      <c r="AC309" s="829"/>
      <c r="AD309" s="829"/>
      <c r="AE309" s="829"/>
      <c r="AF309" s="829"/>
      <c r="AG309" s="829"/>
      <c r="AH309" s="829"/>
      <c r="AI309" s="829"/>
      <c r="AJ309" s="829"/>
      <c r="AK309" s="829"/>
      <c r="AL309" s="829"/>
      <c r="AM309" s="829"/>
      <c r="AN309" s="829"/>
    </row>
    <row r="310" spans="1:40" ht="12.75" x14ac:dyDescent="0.2">
      <c r="A310" s="829"/>
      <c r="B310" s="829"/>
      <c r="C310" s="829"/>
      <c r="D310" s="829"/>
      <c r="E310" s="829"/>
      <c r="F310" s="829"/>
      <c r="G310" s="829"/>
      <c r="H310" s="829"/>
      <c r="I310" s="829"/>
      <c r="J310" s="829"/>
      <c r="K310" s="829"/>
      <c r="L310" s="829"/>
      <c r="M310" s="829"/>
      <c r="N310" s="829"/>
      <c r="O310" s="829"/>
      <c r="P310" s="829"/>
      <c r="Q310" s="829"/>
      <c r="R310" s="829"/>
      <c r="S310" s="829"/>
      <c r="T310" s="829"/>
      <c r="U310" s="829"/>
      <c r="V310" s="829"/>
      <c r="W310" s="829"/>
      <c r="X310" s="829"/>
      <c r="Y310" s="829"/>
      <c r="Z310" s="829"/>
      <c r="AA310" s="829"/>
      <c r="AB310" s="829"/>
      <c r="AC310" s="829"/>
      <c r="AD310" s="829"/>
      <c r="AE310" s="829"/>
      <c r="AF310" s="829"/>
      <c r="AG310" s="829"/>
      <c r="AH310" s="829"/>
      <c r="AI310" s="829"/>
      <c r="AJ310" s="829"/>
      <c r="AK310" s="829"/>
      <c r="AL310" s="829"/>
      <c r="AM310" s="829"/>
      <c r="AN310" s="829"/>
    </row>
    <row r="311" spans="1:40" ht="12.75" x14ac:dyDescent="0.2">
      <c r="A311" s="829"/>
      <c r="B311" s="829"/>
      <c r="C311" s="829"/>
      <c r="D311" s="829"/>
      <c r="E311" s="829"/>
      <c r="F311" s="829"/>
      <c r="G311" s="829"/>
      <c r="H311" s="829"/>
      <c r="I311" s="829"/>
      <c r="J311" s="829"/>
      <c r="K311" s="829"/>
      <c r="L311" s="829"/>
      <c r="M311" s="829"/>
      <c r="N311" s="829"/>
      <c r="O311" s="829"/>
      <c r="P311" s="829"/>
      <c r="Q311" s="829"/>
      <c r="R311" s="829"/>
      <c r="S311" s="829"/>
      <c r="T311" s="829"/>
      <c r="U311" s="829"/>
      <c r="V311" s="829"/>
      <c r="W311" s="829"/>
      <c r="X311" s="829"/>
      <c r="Y311" s="829"/>
      <c r="Z311" s="829"/>
      <c r="AA311" s="829"/>
      <c r="AB311" s="829"/>
      <c r="AC311" s="829"/>
      <c r="AD311" s="829"/>
      <c r="AE311" s="829"/>
      <c r="AF311" s="829"/>
      <c r="AG311" s="829"/>
      <c r="AH311" s="829"/>
      <c r="AI311" s="829"/>
      <c r="AJ311" s="829"/>
      <c r="AK311" s="829"/>
      <c r="AL311" s="829"/>
      <c r="AM311" s="829"/>
      <c r="AN311" s="829"/>
    </row>
    <row r="312" spans="1:40" ht="12.75" x14ac:dyDescent="0.2">
      <c r="A312" s="829"/>
      <c r="B312" s="829"/>
      <c r="C312" s="829"/>
      <c r="D312" s="829"/>
      <c r="E312" s="829"/>
      <c r="F312" s="829"/>
      <c r="G312" s="829"/>
      <c r="H312" s="829"/>
      <c r="I312" s="829"/>
      <c r="J312" s="829"/>
      <c r="K312" s="829"/>
      <c r="L312" s="829"/>
      <c r="M312" s="829"/>
      <c r="N312" s="829"/>
      <c r="O312" s="829"/>
      <c r="P312" s="829"/>
      <c r="Q312" s="829"/>
      <c r="R312" s="829"/>
      <c r="S312" s="829"/>
      <c r="T312" s="829"/>
      <c r="U312" s="829"/>
      <c r="V312" s="829"/>
      <c r="W312" s="829"/>
      <c r="X312" s="829"/>
      <c r="Y312" s="829"/>
      <c r="Z312" s="829"/>
      <c r="AA312" s="829"/>
      <c r="AB312" s="829"/>
      <c r="AC312" s="829"/>
      <c r="AD312" s="829"/>
      <c r="AE312" s="829"/>
      <c r="AF312" s="829"/>
      <c r="AG312" s="829"/>
      <c r="AH312" s="829"/>
      <c r="AI312" s="829"/>
      <c r="AJ312" s="829"/>
      <c r="AK312" s="829"/>
      <c r="AL312" s="829"/>
      <c r="AM312" s="829"/>
      <c r="AN312" s="829"/>
    </row>
    <row r="313" spans="1:40" ht="12.75" x14ac:dyDescent="0.2">
      <c r="A313" s="829"/>
      <c r="B313" s="829"/>
      <c r="C313" s="829"/>
      <c r="D313" s="829"/>
      <c r="E313" s="829"/>
      <c r="F313" s="829"/>
      <c r="G313" s="829"/>
      <c r="H313" s="829"/>
      <c r="I313" s="829"/>
      <c r="J313" s="829"/>
      <c r="K313" s="829"/>
      <c r="L313" s="829"/>
      <c r="M313" s="829"/>
      <c r="N313" s="829"/>
      <c r="O313" s="829"/>
      <c r="P313" s="829"/>
      <c r="Q313" s="829"/>
      <c r="R313" s="829"/>
      <c r="S313" s="829"/>
      <c r="T313" s="829"/>
      <c r="U313" s="829"/>
      <c r="V313" s="829"/>
      <c r="W313" s="829"/>
      <c r="X313" s="829"/>
      <c r="Y313" s="829"/>
      <c r="Z313" s="829"/>
      <c r="AA313" s="829"/>
      <c r="AB313" s="829"/>
      <c r="AC313" s="829"/>
      <c r="AD313" s="829"/>
      <c r="AE313" s="829"/>
      <c r="AF313" s="829"/>
      <c r="AG313" s="829"/>
      <c r="AH313" s="829"/>
      <c r="AI313" s="829"/>
      <c r="AJ313" s="829"/>
      <c r="AK313" s="829"/>
      <c r="AL313" s="829"/>
      <c r="AM313" s="829"/>
      <c r="AN313" s="829"/>
    </row>
    <row r="314" spans="1:40" ht="12.75" x14ac:dyDescent="0.2">
      <c r="A314" s="829"/>
      <c r="B314" s="829"/>
      <c r="C314" s="829"/>
      <c r="D314" s="829"/>
      <c r="E314" s="829"/>
      <c r="F314" s="829"/>
      <c r="G314" s="829"/>
      <c r="H314" s="829"/>
      <c r="I314" s="829"/>
      <c r="J314" s="829"/>
      <c r="K314" s="829"/>
      <c r="L314" s="829"/>
      <c r="M314" s="829"/>
      <c r="N314" s="829"/>
      <c r="O314" s="829"/>
      <c r="P314" s="829"/>
      <c r="Q314" s="829"/>
      <c r="R314" s="829"/>
      <c r="S314" s="829"/>
      <c r="T314" s="829"/>
      <c r="U314" s="829"/>
      <c r="V314" s="829"/>
      <c r="W314" s="829"/>
      <c r="X314" s="829"/>
      <c r="Y314" s="829"/>
      <c r="Z314" s="829"/>
      <c r="AA314" s="829"/>
      <c r="AB314" s="829"/>
      <c r="AC314" s="829"/>
      <c r="AD314" s="829"/>
      <c r="AE314" s="829"/>
      <c r="AF314" s="829"/>
      <c r="AG314" s="829"/>
      <c r="AH314" s="829"/>
      <c r="AI314" s="829"/>
      <c r="AJ314" s="829"/>
      <c r="AK314" s="829"/>
      <c r="AL314" s="829"/>
      <c r="AM314" s="829"/>
      <c r="AN314" s="829"/>
    </row>
    <row r="315" spans="1:40" ht="12.75" x14ac:dyDescent="0.2">
      <c r="A315" s="829"/>
      <c r="B315" s="829"/>
      <c r="C315" s="829"/>
      <c r="D315" s="829"/>
      <c r="E315" s="829"/>
      <c r="F315" s="829"/>
      <c r="G315" s="829"/>
      <c r="H315" s="829"/>
      <c r="I315" s="829"/>
      <c r="J315" s="829"/>
      <c r="K315" s="829"/>
      <c r="L315" s="829"/>
      <c r="M315" s="829"/>
      <c r="N315" s="829"/>
      <c r="O315" s="829"/>
      <c r="P315" s="829"/>
      <c r="Q315" s="829"/>
      <c r="R315" s="829"/>
      <c r="S315" s="829"/>
      <c r="T315" s="829"/>
      <c r="U315" s="829"/>
      <c r="V315" s="829"/>
      <c r="W315" s="829"/>
      <c r="X315" s="829"/>
      <c r="Y315" s="829"/>
      <c r="Z315" s="829"/>
      <c r="AA315" s="829"/>
      <c r="AB315" s="829"/>
      <c r="AC315" s="829"/>
      <c r="AD315" s="829"/>
      <c r="AE315" s="829"/>
      <c r="AF315" s="829"/>
      <c r="AG315" s="829"/>
      <c r="AH315" s="829"/>
      <c r="AI315" s="829"/>
      <c r="AJ315" s="829"/>
      <c r="AK315" s="829"/>
      <c r="AL315" s="829"/>
      <c r="AM315" s="829"/>
      <c r="AN315" s="829"/>
    </row>
    <row r="316" spans="1:40" ht="12.75" x14ac:dyDescent="0.2">
      <c r="A316" s="829"/>
      <c r="B316" s="829"/>
      <c r="C316" s="829"/>
      <c r="D316" s="829"/>
      <c r="E316" s="829"/>
      <c r="F316" s="829"/>
      <c r="G316" s="829"/>
      <c r="H316" s="829"/>
      <c r="I316" s="829"/>
      <c r="J316" s="829"/>
      <c r="K316" s="829"/>
      <c r="L316" s="829"/>
      <c r="M316" s="829"/>
      <c r="N316" s="829"/>
      <c r="O316" s="829"/>
      <c r="P316" s="829"/>
      <c r="Q316" s="829"/>
      <c r="R316" s="829"/>
      <c r="S316" s="829"/>
      <c r="T316" s="829"/>
      <c r="U316" s="829"/>
      <c r="V316" s="829"/>
      <c r="W316" s="829"/>
      <c r="X316" s="829"/>
      <c r="Y316" s="829"/>
      <c r="Z316" s="829"/>
      <c r="AA316" s="829"/>
      <c r="AB316" s="829"/>
      <c r="AC316" s="829"/>
      <c r="AD316" s="829"/>
      <c r="AE316" s="829"/>
      <c r="AF316" s="829"/>
      <c r="AG316" s="829"/>
      <c r="AH316" s="829"/>
      <c r="AI316" s="829"/>
      <c r="AJ316" s="829"/>
      <c r="AK316" s="829"/>
      <c r="AL316" s="829"/>
      <c r="AM316" s="829"/>
      <c r="AN316" s="829"/>
    </row>
    <row r="317" spans="1:40" ht="12.75" x14ac:dyDescent="0.2">
      <c r="A317" s="829"/>
      <c r="B317" s="829"/>
      <c r="C317" s="829"/>
      <c r="D317" s="829"/>
      <c r="E317" s="829"/>
      <c r="F317" s="829"/>
      <c r="G317" s="829"/>
      <c r="H317" s="829"/>
      <c r="I317" s="829"/>
      <c r="J317" s="829"/>
      <c r="K317" s="829"/>
      <c r="L317" s="829"/>
      <c r="M317" s="829"/>
      <c r="N317" s="829"/>
      <c r="O317" s="829"/>
      <c r="P317" s="829"/>
      <c r="Q317" s="829"/>
      <c r="R317" s="829"/>
      <c r="S317" s="829"/>
      <c r="T317" s="829"/>
      <c r="U317" s="829"/>
      <c r="V317" s="829"/>
      <c r="W317" s="829"/>
      <c r="X317" s="829"/>
      <c r="Y317" s="829"/>
      <c r="Z317" s="829"/>
      <c r="AA317" s="829"/>
      <c r="AB317" s="829"/>
      <c r="AC317" s="829"/>
      <c r="AD317" s="829"/>
      <c r="AE317" s="829"/>
      <c r="AF317" s="829"/>
      <c r="AG317" s="829"/>
      <c r="AH317" s="829"/>
      <c r="AI317" s="829"/>
      <c r="AJ317" s="829"/>
      <c r="AK317" s="829"/>
      <c r="AL317" s="829"/>
      <c r="AM317" s="829"/>
      <c r="AN317" s="829"/>
    </row>
    <row r="318" spans="1:40" ht="12.75" x14ac:dyDescent="0.2">
      <c r="A318" s="829"/>
      <c r="B318" s="829"/>
      <c r="C318" s="829"/>
      <c r="D318" s="829"/>
      <c r="E318" s="829"/>
      <c r="F318" s="829"/>
      <c r="G318" s="829"/>
      <c r="H318" s="829"/>
      <c r="I318" s="829"/>
      <c r="J318" s="829"/>
      <c r="K318" s="829"/>
      <c r="L318" s="829"/>
      <c r="M318" s="829"/>
      <c r="N318" s="829"/>
      <c r="O318" s="829"/>
      <c r="P318" s="829"/>
      <c r="Q318" s="829"/>
      <c r="R318" s="829"/>
      <c r="S318" s="829"/>
      <c r="T318" s="829"/>
      <c r="U318" s="829"/>
      <c r="V318" s="829"/>
      <c r="W318" s="829"/>
      <c r="X318" s="829"/>
      <c r="Y318" s="829"/>
      <c r="Z318" s="829"/>
      <c r="AA318" s="829"/>
      <c r="AB318" s="829"/>
      <c r="AC318" s="829"/>
      <c r="AD318" s="829"/>
      <c r="AE318" s="829"/>
      <c r="AF318" s="829"/>
      <c r="AG318" s="829"/>
      <c r="AH318" s="829"/>
      <c r="AI318" s="829"/>
      <c r="AJ318" s="829"/>
      <c r="AK318" s="829"/>
      <c r="AL318" s="829"/>
      <c r="AM318" s="829"/>
      <c r="AN318" s="829"/>
    </row>
    <row r="319" spans="1:40" ht="12.75" x14ac:dyDescent="0.2">
      <c r="A319" s="829"/>
      <c r="B319" s="829"/>
      <c r="C319" s="829"/>
      <c r="D319" s="829"/>
      <c r="E319" s="829"/>
      <c r="F319" s="829"/>
      <c r="G319" s="829"/>
      <c r="H319" s="829"/>
      <c r="I319" s="829"/>
      <c r="J319" s="829"/>
      <c r="K319" s="829"/>
      <c r="L319" s="829"/>
      <c r="M319" s="829"/>
      <c r="N319" s="829"/>
      <c r="O319" s="829"/>
      <c r="P319" s="829"/>
      <c r="Q319" s="829"/>
      <c r="R319" s="829"/>
      <c r="S319" s="829"/>
      <c r="T319" s="829"/>
      <c r="U319" s="829"/>
      <c r="V319" s="829"/>
      <c r="W319" s="829"/>
      <c r="X319" s="829"/>
      <c r="Y319" s="829"/>
      <c r="Z319" s="829"/>
      <c r="AA319" s="829"/>
      <c r="AB319" s="829"/>
      <c r="AC319" s="829"/>
      <c r="AD319" s="829"/>
      <c r="AE319" s="829"/>
      <c r="AF319" s="829"/>
      <c r="AG319" s="829"/>
      <c r="AH319" s="829"/>
      <c r="AI319" s="829"/>
      <c r="AJ319" s="829"/>
      <c r="AK319" s="829"/>
      <c r="AL319" s="829"/>
      <c r="AM319" s="829"/>
      <c r="AN319" s="829"/>
    </row>
    <row r="320" spans="1:40" ht="12.75" x14ac:dyDescent="0.2">
      <c r="A320" s="829"/>
      <c r="B320" s="829"/>
      <c r="C320" s="829"/>
      <c r="D320" s="829"/>
      <c r="E320" s="829"/>
      <c r="F320" s="829"/>
      <c r="G320" s="829"/>
      <c r="H320" s="829"/>
      <c r="I320" s="829"/>
      <c r="J320" s="829"/>
      <c r="K320" s="829"/>
      <c r="L320" s="829"/>
      <c r="M320" s="829"/>
      <c r="N320" s="829"/>
      <c r="O320" s="829"/>
      <c r="P320" s="829"/>
      <c r="Q320" s="829"/>
      <c r="R320" s="829"/>
      <c r="S320" s="829"/>
      <c r="T320" s="829"/>
      <c r="U320" s="829"/>
      <c r="V320" s="829"/>
      <c r="W320" s="829"/>
      <c r="X320" s="829"/>
      <c r="Y320" s="829"/>
      <c r="Z320" s="829"/>
      <c r="AA320" s="829"/>
      <c r="AB320" s="829"/>
      <c r="AC320" s="829"/>
      <c r="AD320" s="829"/>
      <c r="AE320" s="829"/>
      <c r="AF320" s="829"/>
      <c r="AG320" s="829"/>
      <c r="AH320" s="829"/>
      <c r="AI320" s="829"/>
      <c r="AJ320" s="829"/>
      <c r="AK320" s="829"/>
      <c r="AL320" s="829"/>
      <c r="AM320" s="829"/>
      <c r="AN320" s="829"/>
    </row>
    <row r="321" spans="1:40" ht="12.75" x14ac:dyDescent="0.2">
      <c r="A321" s="829"/>
      <c r="B321" s="829"/>
      <c r="C321" s="829"/>
      <c r="D321" s="829"/>
      <c r="E321" s="829"/>
      <c r="F321" s="829"/>
      <c r="G321" s="829"/>
      <c r="H321" s="829"/>
      <c r="I321" s="829"/>
      <c r="J321" s="829"/>
      <c r="K321" s="829"/>
      <c r="L321" s="829"/>
      <c r="M321" s="829"/>
      <c r="N321" s="829"/>
      <c r="O321" s="829"/>
      <c r="P321" s="829"/>
      <c r="Q321" s="829"/>
      <c r="R321" s="829"/>
      <c r="S321" s="829"/>
      <c r="T321" s="829"/>
      <c r="U321" s="829"/>
      <c r="V321" s="829"/>
      <c r="W321" s="829"/>
      <c r="X321" s="829"/>
      <c r="Y321" s="829"/>
      <c r="Z321" s="829"/>
      <c r="AA321" s="829"/>
      <c r="AB321" s="829"/>
      <c r="AC321" s="829"/>
      <c r="AD321" s="829"/>
      <c r="AE321" s="829"/>
      <c r="AF321" s="829"/>
      <c r="AG321" s="829"/>
      <c r="AH321" s="829"/>
      <c r="AI321" s="829"/>
      <c r="AJ321" s="829"/>
      <c r="AK321" s="829"/>
      <c r="AL321" s="829"/>
      <c r="AM321" s="829"/>
      <c r="AN321" s="829"/>
    </row>
    <row r="322" spans="1:40" ht="12.75" x14ac:dyDescent="0.2">
      <c r="A322" s="829"/>
      <c r="B322" s="829"/>
      <c r="C322" s="829"/>
      <c r="D322" s="829"/>
      <c r="E322" s="829"/>
      <c r="F322" s="829"/>
      <c r="G322" s="829"/>
      <c r="H322" s="829"/>
      <c r="I322" s="829"/>
      <c r="J322" s="829"/>
      <c r="K322" s="829"/>
      <c r="L322" s="829"/>
      <c r="M322" s="829"/>
      <c r="N322" s="829"/>
      <c r="O322" s="829"/>
      <c r="P322" s="829"/>
      <c r="Q322" s="829"/>
      <c r="R322" s="829"/>
      <c r="S322" s="829"/>
      <c r="T322" s="829"/>
      <c r="U322" s="829"/>
      <c r="V322" s="829"/>
      <c r="W322" s="829"/>
      <c r="X322" s="829"/>
      <c r="Y322" s="829"/>
      <c r="Z322" s="829"/>
      <c r="AA322" s="829"/>
      <c r="AB322" s="829"/>
      <c r="AC322" s="829"/>
      <c r="AD322" s="829"/>
      <c r="AE322" s="829"/>
      <c r="AF322" s="829"/>
      <c r="AG322" s="829"/>
      <c r="AH322" s="829"/>
      <c r="AI322" s="829"/>
      <c r="AJ322" s="829"/>
      <c r="AK322" s="829"/>
      <c r="AL322" s="829"/>
      <c r="AM322" s="829"/>
      <c r="AN322" s="829"/>
    </row>
    <row r="323" spans="1:40" ht="12.75" x14ac:dyDescent="0.2">
      <c r="A323" s="829"/>
      <c r="B323" s="829"/>
      <c r="C323" s="829"/>
      <c r="D323" s="829"/>
      <c r="E323" s="829"/>
      <c r="F323" s="829"/>
      <c r="G323" s="829"/>
      <c r="H323" s="829"/>
      <c r="I323" s="829"/>
      <c r="J323" s="829"/>
      <c r="K323" s="829"/>
      <c r="L323" s="829"/>
      <c r="M323" s="829"/>
      <c r="N323" s="829"/>
      <c r="O323" s="829"/>
      <c r="P323" s="829"/>
      <c r="Q323" s="829"/>
      <c r="R323" s="829"/>
      <c r="S323" s="829"/>
      <c r="T323" s="829"/>
      <c r="U323" s="829"/>
      <c r="V323" s="829"/>
      <c r="W323" s="829"/>
      <c r="X323" s="829"/>
      <c r="Y323" s="829"/>
      <c r="Z323" s="829"/>
      <c r="AA323" s="829"/>
      <c r="AB323" s="829"/>
      <c r="AC323" s="829"/>
      <c r="AD323" s="829"/>
      <c r="AE323" s="829"/>
      <c r="AF323" s="829"/>
      <c r="AG323" s="829"/>
      <c r="AH323" s="829"/>
      <c r="AI323" s="829"/>
      <c r="AJ323" s="829"/>
      <c r="AK323" s="829"/>
      <c r="AL323" s="829"/>
      <c r="AM323" s="829"/>
      <c r="AN323" s="829"/>
    </row>
    <row r="324" spans="1:40" ht="12.75" x14ac:dyDescent="0.2">
      <c r="A324" s="829"/>
      <c r="B324" s="829"/>
      <c r="C324" s="829"/>
      <c r="D324" s="829"/>
      <c r="E324" s="829"/>
      <c r="F324" s="829"/>
      <c r="G324" s="829"/>
      <c r="H324" s="829"/>
      <c r="I324" s="829"/>
      <c r="J324" s="829"/>
      <c r="K324" s="829"/>
      <c r="L324" s="829"/>
      <c r="M324" s="829"/>
      <c r="N324" s="829"/>
      <c r="O324" s="829"/>
      <c r="P324" s="829"/>
      <c r="Q324" s="829"/>
      <c r="R324" s="829"/>
      <c r="S324" s="829"/>
      <c r="T324" s="829"/>
      <c r="U324" s="829"/>
      <c r="V324" s="829"/>
      <c r="W324" s="829"/>
      <c r="X324" s="829"/>
      <c r="Y324" s="829"/>
      <c r="Z324" s="829"/>
      <c r="AA324" s="829"/>
      <c r="AB324" s="829"/>
      <c r="AC324" s="829"/>
      <c r="AD324" s="829"/>
      <c r="AE324" s="829"/>
      <c r="AF324" s="829"/>
      <c r="AG324" s="829"/>
      <c r="AH324" s="829"/>
      <c r="AI324" s="829"/>
      <c r="AJ324" s="829"/>
      <c r="AK324" s="829"/>
      <c r="AL324" s="829"/>
      <c r="AM324" s="829"/>
      <c r="AN324" s="829"/>
    </row>
    <row r="325" spans="1:40" ht="12.75" x14ac:dyDescent="0.2">
      <c r="A325" s="829"/>
      <c r="B325" s="829"/>
      <c r="C325" s="829"/>
      <c r="D325" s="829"/>
      <c r="E325" s="829"/>
      <c r="F325" s="829"/>
      <c r="G325" s="829"/>
      <c r="H325" s="829"/>
      <c r="I325" s="829"/>
      <c r="J325" s="829"/>
      <c r="K325" s="829"/>
      <c r="L325" s="829"/>
      <c r="M325" s="829"/>
      <c r="N325" s="829"/>
      <c r="O325" s="829"/>
      <c r="P325" s="829"/>
      <c r="Q325" s="829"/>
      <c r="R325" s="829"/>
      <c r="S325" s="829"/>
      <c r="T325" s="829"/>
      <c r="U325" s="829"/>
      <c r="V325" s="829"/>
      <c r="W325" s="829"/>
      <c r="X325" s="829"/>
      <c r="Y325" s="829"/>
      <c r="Z325" s="829"/>
      <c r="AA325" s="829"/>
      <c r="AB325" s="829"/>
      <c r="AC325" s="829"/>
      <c r="AD325" s="829"/>
      <c r="AE325" s="829"/>
      <c r="AF325" s="829"/>
      <c r="AG325" s="829"/>
      <c r="AH325" s="829"/>
      <c r="AI325" s="829"/>
      <c r="AJ325" s="829"/>
      <c r="AK325" s="829"/>
      <c r="AL325" s="829"/>
      <c r="AM325" s="829"/>
      <c r="AN325" s="829"/>
    </row>
    <row r="326" spans="1:40" ht="12.75" x14ac:dyDescent="0.2">
      <c r="A326" s="829"/>
      <c r="B326" s="829"/>
      <c r="C326" s="829"/>
      <c r="D326" s="829"/>
      <c r="E326" s="829"/>
      <c r="F326" s="829"/>
      <c r="G326" s="829"/>
      <c r="H326" s="829"/>
      <c r="I326" s="829"/>
      <c r="J326" s="829"/>
      <c r="K326" s="829"/>
      <c r="L326" s="829"/>
      <c r="M326" s="829"/>
      <c r="N326" s="829"/>
      <c r="O326" s="829"/>
      <c r="P326" s="829"/>
      <c r="Q326" s="829"/>
      <c r="R326" s="829"/>
      <c r="S326" s="829"/>
      <c r="T326" s="829"/>
      <c r="U326" s="829"/>
      <c r="V326" s="829"/>
      <c r="W326" s="829"/>
      <c r="X326" s="829"/>
      <c r="Y326" s="829"/>
      <c r="Z326" s="829"/>
      <c r="AA326" s="829"/>
      <c r="AB326" s="829"/>
      <c r="AC326" s="829"/>
      <c r="AD326" s="829"/>
      <c r="AE326" s="829"/>
      <c r="AF326" s="829"/>
      <c r="AG326" s="829"/>
      <c r="AH326" s="829"/>
      <c r="AI326" s="829"/>
      <c r="AJ326" s="829"/>
      <c r="AK326" s="829"/>
      <c r="AL326" s="829"/>
      <c r="AM326" s="829"/>
      <c r="AN326" s="829"/>
    </row>
    <row r="327" spans="1:40" ht="12.75" x14ac:dyDescent="0.2">
      <c r="A327" s="829"/>
      <c r="B327" s="829"/>
      <c r="C327" s="829"/>
      <c r="D327" s="829"/>
      <c r="E327" s="829"/>
      <c r="F327" s="829"/>
      <c r="G327" s="829"/>
      <c r="H327" s="829"/>
      <c r="I327" s="829"/>
      <c r="J327" s="829"/>
      <c r="K327" s="829"/>
      <c r="L327" s="829"/>
      <c r="M327" s="829"/>
      <c r="N327" s="829"/>
      <c r="O327" s="829"/>
      <c r="P327" s="829"/>
      <c r="Q327" s="829"/>
      <c r="R327" s="829"/>
      <c r="S327" s="829"/>
      <c r="T327" s="829"/>
      <c r="U327" s="829"/>
      <c r="V327" s="829"/>
      <c r="W327" s="829"/>
      <c r="X327" s="829"/>
      <c r="Y327" s="829"/>
      <c r="Z327" s="829"/>
      <c r="AA327" s="829"/>
      <c r="AB327" s="829"/>
      <c r="AC327" s="829"/>
      <c r="AD327" s="829"/>
      <c r="AE327" s="829"/>
      <c r="AF327" s="829"/>
      <c r="AG327" s="829"/>
      <c r="AH327" s="829"/>
      <c r="AI327" s="829"/>
      <c r="AJ327" s="829"/>
      <c r="AK327" s="829"/>
      <c r="AL327" s="829"/>
      <c r="AM327" s="829"/>
      <c r="AN327" s="829"/>
    </row>
    <row r="328" spans="1:40" ht="12.75" x14ac:dyDescent="0.2">
      <c r="A328" s="829"/>
      <c r="B328" s="829"/>
      <c r="C328" s="829"/>
      <c r="D328" s="829"/>
      <c r="E328" s="829"/>
      <c r="F328" s="829"/>
      <c r="G328" s="829"/>
      <c r="H328" s="829"/>
      <c r="I328" s="829"/>
      <c r="J328" s="829"/>
      <c r="K328" s="829"/>
      <c r="L328" s="829"/>
      <c r="M328" s="829"/>
      <c r="N328" s="829"/>
      <c r="O328" s="829"/>
      <c r="P328" s="829"/>
      <c r="Q328" s="829"/>
      <c r="R328" s="829"/>
      <c r="S328" s="829"/>
      <c r="T328" s="829"/>
      <c r="U328" s="829"/>
      <c r="V328" s="829"/>
      <c r="W328" s="829"/>
      <c r="X328" s="829"/>
      <c r="Y328" s="829"/>
      <c r="Z328" s="829"/>
      <c r="AA328" s="829"/>
      <c r="AB328" s="829"/>
      <c r="AC328" s="829"/>
      <c r="AD328" s="829"/>
      <c r="AE328" s="829"/>
      <c r="AF328" s="829"/>
      <c r="AG328" s="829"/>
      <c r="AH328" s="829"/>
      <c r="AI328" s="829"/>
      <c r="AJ328" s="829"/>
      <c r="AK328" s="829"/>
      <c r="AL328" s="829"/>
      <c r="AM328" s="829"/>
      <c r="AN328" s="829"/>
    </row>
    <row r="329" spans="1:40" ht="12.75" x14ac:dyDescent="0.2">
      <c r="A329" s="829"/>
      <c r="B329" s="829"/>
      <c r="C329" s="829"/>
      <c r="D329" s="829"/>
      <c r="E329" s="829"/>
      <c r="F329" s="829"/>
      <c r="G329" s="829"/>
      <c r="H329" s="829"/>
      <c r="I329" s="829"/>
      <c r="J329" s="829"/>
      <c r="K329" s="829"/>
      <c r="L329" s="829"/>
      <c r="M329" s="829"/>
      <c r="N329" s="829"/>
      <c r="O329" s="829"/>
      <c r="P329" s="829"/>
      <c r="Q329" s="829"/>
      <c r="R329" s="829"/>
      <c r="S329" s="829"/>
      <c r="T329" s="829"/>
      <c r="U329" s="829"/>
      <c r="V329" s="829"/>
      <c r="W329" s="829"/>
      <c r="X329" s="829"/>
      <c r="Y329" s="829"/>
      <c r="Z329" s="829"/>
      <c r="AA329" s="829"/>
      <c r="AB329" s="829"/>
      <c r="AC329" s="829"/>
      <c r="AD329" s="829"/>
      <c r="AE329" s="829"/>
      <c r="AF329" s="829"/>
      <c r="AG329" s="829"/>
      <c r="AH329" s="829"/>
      <c r="AI329" s="829"/>
      <c r="AJ329" s="829"/>
      <c r="AK329" s="829"/>
      <c r="AL329" s="829"/>
      <c r="AM329" s="829"/>
      <c r="AN329" s="829"/>
    </row>
    <row r="330" spans="1:40" ht="12.75" x14ac:dyDescent="0.2">
      <c r="A330" s="829"/>
      <c r="B330" s="829"/>
      <c r="C330" s="829"/>
      <c r="D330" s="829"/>
      <c r="E330" s="829"/>
      <c r="F330" s="829"/>
      <c r="G330" s="829"/>
      <c r="H330" s="829"/>
      <c r="I330" s="829"/>
      <c r="J330" s="829"/>
      <c r="K330" s="829"/>
      <c r="L330" s="829"/>
      <c r="M330" s="829"/>
      <c r="N330" s="829"/>
      <c r="O330" s="829"/>
      <c r="P330" s="829"/>
      <c r="Q330" s="829"/>
      <c r="R330" s="829"/>
      <c r="S330" s="829"/>
      <c r="T330" s="829"/>
      <c r="U330" s="829"/>
      <c r="V330" s="829"/>
      <c r="W330" s="829"/>
      <c r="X330" s="829"/>
      <c r="Y330" s="829"/>
      <c r="Z330" s="829"/>
      <c r="AA330" s="829"/>
      <c r="AB330" s="829"/>
      <c r="AC330" s="829"/>
      <c r="AD330" s="829"/>
      <c r="AE330" s="829"/>
      <c r="AF330" s="829"/>
      <c r="AG330" s="829"/>
      <c r="AH330" s="829"/>
      <c r="AI330" s="829"/>
      <c r="AJ330" s="829"/>
      <c r="AK330" s="829"/>
      <c r="AL330" s="829"/>
      <c r="AM330" s="829"/>
      <c r="AN330" s="829"/>
    </row>
    <row r="331" spans="1:40" ht="12.75" x14ac:dyDescent="0.2">
      <c r="A331" s="829"/>
      <c r="B331" s="829"/>
      <c r="C331" s="829"/>
      <c r="D331" s="829"/>
      <c r="E331" s="829"/>
      <c r="F331" s="829"/>
      <c r="G331" s="829"/>
      <c r="H331" s="829"/>
      <c r="I331" s="829"/>
      <c r="J331" s="829"/>
      <c r="K331" s="829"/>
      <c r="L331" s="829"/>
      <c r="M331" s="829"/>
      <c r="N331" s="829"/>
      <c r="O331" s="829"/>
      <c r="P331" s="829"/>
      <c r="Q331" s="829"/>
      <c r="R331" s="829"/>
      <c r="S331" s="829"/>
      <c r="T331" s="829"/>
      <c r="U331" s="829"/>
      <c r="V331" s="829"/>
      <c r="W331" s="829"/>
      <c r="X331" s="829"/>
      <c r="Y331" s="829"/>
      <c r="Z331" s="829"/>
      <c r="AA331" s="829"/>
      <c r="AB331" s="829"/>
      <c r="AC331" s="829"/>
      <c r="AD331" s="829"/>
      <c r="AE331" s="829"/>
      <c r="AF331" s="829"/>
      <c r="AG331" s="829"/>
      <c r="AH331" s="829"/>
      <c r="AI331" s="829"/>
      <c r="AJ331" s="829"/>
      <c r="AK331" s="829"/>
      <c r="AL331" s="829"/>
      <c r="AM331" s="829"/>
      <c r="AN331" s="829"/>
    </row>
    <row r="332" spans="1:40" ht="12.75" x14ac:dyDescent="0.2">
      <c r="A332" s="829"/>
      <c r="B332" s="829"/>
      <c r="C332" s="829"/>
      <c r="D332" s="829"/>
      <c r="E332" s="829"/>
      <c r="F332" s="829"/>
      <c r="G332" s="829"/>
      <c r="H332" s="829"/>
      <c r="I332" s="829"/>
      <c r="J332" s="829"/>
      <c r="K332" s="829"/>
      <c r="L332" s="829"/>
      <c r="M332" s="829"/>
      <c r="N332" s="829"/>
      <c r="O332" s="829"/>
      <c r="P332" s="829"/>
      <c r="Q332" s="829"/>
      <c r="R332" s="829"/>
      <c r="S332" s="829"/>
      <c r="T332" s="829"/>
      <c r="U332" s="829"/>
      <c r="V332" s="829"/>
      <c r="W332" s="829"/>
      <c r="X332" s="829"/>
      <c r="Y332" s="829"/>
      <c r="Z332" s="829"/>
      <c r="AA332" s="829"/>
      <c r="AB332" s="829"/>
      <c r="AC332" s="829"/>
      <c r="AD332" s="829"/>
      <c r="AE332" s="829"/>
      <c r="AF332" s="829"/>
      <c r="AG332" s="829"/>
      <c r="AH332" s="829"/>
      <c r="AI332" s="829"/>
      <c r="AJ332" s="829"/>
      <c r="AK332" s="829"/>
      <c r="AL332" s="829"/>
      <c r="AM332" s="829"/>
      <c r="AN332" s="829"/>
    </row>
    <row r="333" spans="1:40" ht="12.75" x14ac:dyDescent="0.2">
      <c r="A333" s="829"/>
      <c r="B333" s="829"/>
      <c r="C333" s="829"/>
      <c r="D333" s="829"/>
      <c r="E333" s="829"/>
      <c r="F333" s="829"/>
      <c r="G333" s="829"/>
      <c r="H333" s="829"/>
      <c r="I333" s="829"/>
      <c r="J333" s="829"/>
      <c r="K333" s="829"/>
      <c r="L333" s="829"/>
      <c r="M333" s="829"/>
      <c r="N333" s="829"/>
      <c r="O333" s="829"/>
      <c r="P333" s="829"/>
      <c r="Q333" s="829"/>
      <c r="R333" s="829"/>
      <c r="S333" s="829"/>
      <c r="T333" s="829"/>
      <c r="U333" s="829"/>
      <c r="V333" s="829"/>
      <c r="W333" s="829"/>
      <c r="X333" s="829"/>
      <c r="Y333" s="829"/>
      <c r="Z333" s="829"/>
      <c r="AA333" s="829"/>
      <c r="AB333" s="829"/>
      <c r="AC333" s="829"/>
      <c r="AD333" s="829"/>
      <c r="AE333" s="829"/>
      <c r="AF333" s="829"/>
      <c r="AG333" s="829"/>
      <c r="AH333" s="829"/>
      <c r="AI333" s="829"/>
      <c r="AJ333" s="829"/>
      <c r="AK333" s="829"/>
      <c r="AL333" s="829"/>
      <c r="AM333" s="829"/>
      <c r="AN333" s="829"/>
    </row>
    <row r="334" spans="1:40" ht="12.75" x14ac:dyDescent="0.2">
      <c r="A334" s="829"/>
      <c r="B334" s="829"/>
      <c r="C334" s="829"/>
      <c r="D334" s="829"/>
      <c r="E334" s="829"/>
      <c r="F334" s="829"/>
      <c r="G334" s="829"/>
      <c r="H334" s="829"/>
      <c r="I334" s="829"/>
      <c r="J334" s="829"/>
      <c r="K334" s="829"/>
      <c r="L334" s="829"/>
      <c r="M334" s="829"/>
      <c r="N334" s="829"/>
      <c r="O334" s="829"/>
      <c r="P334" s="829"/>
      <c r="Q334" s="829"/>
      <c r="R334" s="829"/>
      <c r="S334" s="829"/>
      <c r="T334" s="829"/>
      <c r="U334" s="829"/>
      <c r="V334" s="829"/>
      <c r="W334" s="829"/>
      <c r="X334" s="829"/>
      <c r="Y334" s="829"/>
      <c r="Z334" s="829"/>
      <c r="AA334" s="829"/>
      <c r="AB334" s="829"/>
      <c r="AC334" s="829"/>
      <c r="AD334" s="829"/>
      <c r="AE334" s="829"/>
      <c r="AF334" s="829"/>
      <c r="AG334" s="829"/>
      <c r="AH334" s="829"/>
      <c r="AI334" s="829"/>
      <c r="AJ334" s="829"/>
      <c r="AK334" s="829"/>
      <c r="AL334" s="829"/>
      <c r="AM334" s="829"/>
      <c r="AN334" s="829"/>
    </row>
    <row r="335" spans="1:40" ht="12.75" x14ac:dyDescent="0.2">
      <c r="A335" s="829"/>
      <c r="B335" s="829"/>
      <c r="C335" s="829"/>
      <c r="D335" s="829"/>
      <c r="E335" s="829"/>
      <c r="F335" s="829"/>
      <c r="G335" s="829"/>
      <c r="H335" s="829"/>
      <c r="I335" s="829"/>
      <c r="J335" s="829"/>
      <c r="K335" s="829"/>
      <c r="L335" s="829"/>
      <c r="M335" s="829"/>
      <c r="N335" s="829"/>
      <c r="O335" s="829"/>
      <c r="P335" s="829"/>
      <c r="Q335" s="829"/>
      <c r="R335" s="829"/>
      <c r="S335" s="829"/>
      <c r="T335" s="829"/>
      <c r="U335" s="829"/>
      <c r="V335" s="829"/>
      <c r="W335" s="829"/>
      <c r="X335" s="829"/>
      <c r="Y335" s="829"/>
      <c r="Z335" s="829"/>
      <c r="AA335" s="829"/>
      <c r="AB335" s="829"/>
      <c r="AC335" s="829"/>
      <c r="AD335" s="829"/>
      <c r="AE335" s="829"/>
      <c r="AF335" s="829"/>
      <c r="AG335" s="829"/>
      <c r="AH335" s="829"/>
      <c r="AI335" s="829"/>
      <c r="AJ335" s="829"/>
      <c r="AK335" s="829"/>
      <c r="AL335" s="829"/>
      <c r="AM335" s="829"/>
      <c r="AN335" s="829"/>
    </row>
    <row r="336" spans="1:40" ht="12.75" x14ac:dyDescent="0.2">
      <c r="A336" s="829"/>
      <c r="B336" s="829"/>
      <c r="C336" s="829"/>
      <c r="D336" s="829"/>
      <c r="E336" s="829"/>
      <c r="F336" s="829"/>
      <c r="G336" s="829"/>
      <c r="H336" s="829"/>
      <c r="I336" s="829"/>
      <c r="J336" s="829"/>
      <c r="K336" s="829"/>
      <c r="L336" s="829"/>
      <c r="M336" s="829"/>
      <c r="N336" s="829"/>
      <c r="O336" s="829"/>
      <c r="P336" s="829"/>
      <c r="Q336" s="829"/>
      <c r="R336" s="829"/>
      <c r="S336" s="829"/>
      <c r="T336" s="829"/>
      <c r="U336" s="829"/>
      <c r="V336" s="829"/>
      <c r="W336" s="829"/>
      <c r="X336" s="829"/>
      <c r="Y336" s="829"/>
      <c r="Z336" s="829"/>
      <c r="AA336" s="829"/>
      <c r="AB336" s="829"/>
      <c r="AC336" s="829"/>
      <c r="AD336" s="829"/>
      <c r="AE336" s="829"/>
      <c r="AF336" s="829"/>
      <c r="AG336" s="829"/>
      <c r="AH336" s="829"/>
      <c r="AI336" s="829"/>
      <c r="AJ336" s="829"/>
      <c r="AK336" s="829"/>
      <c r="AL336" s="829"/>
      <c r="AM336" s="829"/>
      <c r="AN336" s="829"/>
    </row>
    <row r="337" spans="1:40" ht="12.75" x14ac:dyDescent="0.2">
      <c r="A337" s="829"/>
      <c r="B337" s="829"/>
      <c r="C337" s="829"/>
      <c r="D337" s="829"/>
      <c r="E337" s="829"/>
      <c r="F337" s="829"/>
      <c r="G337" s="829"/>
      <c r="H337" s="829"/>
      <c r="I337" s="829"/>
      <c r="J337" s="829"/>
      <c r="K337" s="829"/>
      <c r="L337" s="829"/>
      <c r="M337" s="829"/>
      <c r="N337" s="829"/>
      <c r="O337" s="829"/>
      <c r="P337" s="829"/>
      <c r="Q337" s="829"/>
      <c r="R337" s="829"/>
      <c r="S337" s="829"/>
      <c r="T337" s="829"/>
      <c r="U337" s="829"/>
      <c r="V337" s="829"/>
      <c r="W337" s="829"/>
      <c r="X337" s="829"/>
      <c r="Y337" s="829"/>
      <c r="Z337" s="829"/>
      <c r="AA337" s="829"/>
      <c r="AB337" s="829"/>
      <c r="AC337" s="829"/>
      <c r="AD337" s="829"/>
      <c r="AE337" s="829"/>
      <c r="AF337" s="829"/>
      <c r="AG337" s="829"/>
      <c r="AH337" s="829"/>
      <c r="AI337" s="829"/>
      <c r="AJ337" s="829"/>
      <c r="AK337" s="829"/>
      <c r="AL337" s="829"/>
      <c r="AM337" s="829"/>
      <c r="AN337" s="829"/>
    </row>
    <row r="338" spans="1:40" ht="12.75" x14ac:dyDescent="0.2">
      <c r="A338" s="829"/>
      <c r="B338" s="829"/>
      <c r="C338" s="829"/>
      <c r="D338" s="829"/>
      <c r="E338" s="829"/>
      <c r="F338" s="829"/>
      <c r="G338" s="829"/>
      <c r="H338" s="829"/>
      <c r="I338" s="829"/>
      <c r="J338" s="829"/>
      <c r="K338" s="829"/>
      <c r="L338" s="829"/>
      <c r="M338" s="829"/>
      <c r="N338" s="829"/>
      <c r="O338" s="829"/>
      <c r="P338" s="829"/>
      <c r="Q338" s="829"/>
      <c r="R338" s="829"/>
      <c r="S338" s="829"/>
      <c r="T338" s="829"/>
      <c r="U338" s="829"/>
      <c r="V338" s="829"/>
      <c r="W338" s="829"/>
      <c r="X338" s="829"/>
      <c r="Y338" s="829"/>
      <c r="Z338" s="829"/>
      <c r="AA338" s="829"/>
      <c r="AB338" s="829"/>
      <c r="AC338" s="829"/>
      <c r="AD338" s="829"/>
      <c r="AE338" s="829"/>
      <c r="AF338" s="829"/>
      <c r="AG338" s="829"/>
      <c r="AH338" s="829"/>
      <c r="AI338" s="829"/>
      <c r="AJ338" s="829"/>
      <c r="AK338" s="829"/>
      <c r="AL338" s="829"/>
      <c r="AM338" s="829"/>
      <c r="AN338" s="829"/>
    </row>
    <row r="339" spans="1:40" ht="12.75" x14ac:dyDescent="0.2">
      <c r="A339" s="829"/>
      <c r="B339" s="829"/>
      <c r="C339" s="829"/>
      <c r="D339" s="829"/>
      <c r="E339" s="829"/>
      <c r="F339" s="829"/>
      <c r="G339" s="829"/>
      <c r="H339" s="829"/>
      <c r="I339" s="829"/>
      <c r="J339" s="829"/>
      <c r="K339" s="829"/>
      <c r="L339" s="829"/>
      <c r="M339" s="829"/>
      <c r="N339" s="829"/>
      <c r="O339" s="829"/>
      <c r="P339" s="829"/>
      <c r="Q339" s="829"/>
      <c r="R339" s="829"/>
      <c r="S339" s="829"/>
      <c r="T339" s="829"/>
      <c r="U339" s="829"/>
      <c r="V339" s="829"/>
      <c r="W339" s="829"/>
      <c r="X339" s="829"/>
      <c r="Y339" s="829"/>
      <c r="Z339" s="829"/>
      <c r="AA339" s="829"/>
      <c r="AB339" s="829"/>
      <c r="AC339" s="829"/>
      <c r="AD339" s="829"/>
      <c r="AE339" s="829"/>
      <c r="AF339" s="829"/>
      <c r="AG339" s="829"/>
      <c r="AH339" s="829"/>
      <c r="AI339" s="829"/>
      <c r="AJ339" s="829"/>
      <c r="AK339" s="829"/>
      <c r="AL339" s="829"/>
      <c r="AM339" s="829"/>
      <c r="AN339" s="829"/>
    </row>
    <row r="340" spans="1:40" ht="12.75" x14ac:dyDescent="0.2">
      <c r="A340" s="829"/>
      <c r="B340" s="829"/>
      <c r="C340" s="829"/>
      <c r="D340" s="829"/>
      <c r="E340" s="829"/>
      <c r="F340" s="829"/>
      <c r="G340" s="829"/>
      <c r="H340" s="829"/>
      <c r="I340" s="829"/>
      <c r="J340" s="829"/>
      <c r="K340" s="829"/>
      <c r="L340" s="829"/>
      <c r="M340" s="829"/>
      <c r="N340" s="829"/>
      <c r="O340" s="829"/>
      <c r="P340" s="829"/>
      <c r="Q340" s="829"/>
      <c r="R340" s="829"/>
      <c r="S340" s="829"/>
      <c r="T340" s="829"/>
      <c r="U340" s="829"/>
      <c r="V340" s="829"/>
      <c r="W340" s="829"/>
      <c r="X340" s="829"/>
      <c r="Y340" s="829"/>
      <c r="Z340" s="829"/>
      <c r="AA340" s="829"/>
      <c r="AB340" s="829"/>
      <c r="AC340" s="829"/>
      <c r="AD340" s="829"/>
      <c r="AE340" s="829"/>
      <c r="AF340" s="829"/>
      <c r="AG340" s="829"/>
      <c r="AH340" s="829"/>
      <c r="AI340" s="829"/>
      <c r="AJ340" s="829"/>
      <c r="AK340" s="829"/>
      <c r="AL340" s="829"/>
      <c r="AM340" s="829"/>
      <c r="AN340" s="829"/>
    </row>
    <row r="341" spans="1:40" ht="12.75" x14ac:dyDescent="0.2">
      <c r="A341" s="829"/>
      <c r="B341" s="829"/>
      <c r="C341" s="829"/>
      <c r="D341" s="829"/>
      <c r="E341" s="829"/>
      <c r="F341" s="829"/>
      <c r="G341" s="829"/>
      <c r="H341" s="829"/>
      <c r="I341" s="829"/>
      <c r="J341" s="829"/>
      <c r="K341" s="829"/>
      <c r="L341" s="829"/>
      <c r="M341" s="829"/>
      <c r="N341" s="829"/>
      <c r="O341" s="829"/>
      <c r="P341" s="829"/>
      <c r="Q341" s="829"/>
      <c r="R341" s="829"/>
      <c r="S341" s="829"/>
      <c r="T341" s="829"/>
      <c r="U341" s="829"/>
      <c r="V341" s="829"/>
      <c r="W341" s="829"/>
      <c r="X341" s="829"/>
      <c r="Y341" s="829"/>
      <c r="Z341" s="829"/>
      <c r="AA341" s="829"/>
      <c r="AB341" s="829"/>
      <c r="AC341" s="829"/>
      <c r="AD341" s="829"/>
      <c r="AE341" s="829"/>
      <c r="AF341" s="829"/>
      <c r="AG341" s="829"/>
      <c r="AH341" s="829"/>
      <c r="AI341" s="829"/>
      <c r="AJ341" s="829"/>
      <c r="AK341" s="829"/>
      <c r="AL341" s="829"/>
      <c r="AM341" s="829"/>
      <c r="AN341" s="829"/>
    </row>
    <row r="342" spans="1:40" ht="12.75" x14ac:dyDescent="0.2">
      <c r="A342" s="829"/>
      <c r="B342" s="829"/>
      <c r="C342" s="829"/>
      <c r="D342" s="829"/>
      <c r="E342" s="829"/>
      <c r="F342" s="829"/>
      <c r="G342" s="829"/>
      <c r="H342" s="829"/>
      <c r="I342" s="829"/>
      <c r="J342" s="829"/>
      <c r="K342" s="829"/>
      <c r="L342" s="829"/>
      <c r="M342" s="829"/>
      <c r="N342" s="829"/>
      <c r="O342" s="829"/>
      <c r="P342" s="829"/>
      <c r="Q342" s="829"/>
      <c r="R342" s="829"/>
      <c r="S342" s="829"/>
      <c r="T342" s="829"/>
      <c r="U342" s="829"/>
      <c r="V342" s="829"/>
      <c r="W342" s="829"/>
      <c r="X342" s="829"/>
      <c r="Y342" s="829"/>
      <c r="Z342" s="829"/>
      <c r="AA342" s="829"/>
      <c r="AB342" s="829"/>
      <c r="AC342" s="829"/>
      <c r="AD342" s="829"/>
      <c r="AE342" s="829"/>
      <c r="AF342" s="829"/>
      <c r="AG342" s="829"/>
      <c r="AH342" s="829"/>
      <c r="AI342" s="829"/>
      <c r="AJ342" s="829"/>
      <c r="AK342" s="829"/>
      <c r="AL342" s="829"/>
      <c r="AM342" s="829"/>
      <c r="AN342" s="829"/>
    </row>
    <row r="343" spans="1:40" ht="12.75" x14ac:dyDescent="0.2">
      <c r="A343" s="829"/>
      <c r="B343" s="829"/>
      <c r="C343" s="829"/>
      <c r="D343" s="829"/>
      <c r="E343" s="829"/>
      <c r="F343" s="829"/>
      <c r="G343" s="829"/>
      <c r="H343" s="829"/>
      <c r="I343" s="829"/>
      <c r="J343" s="829"/>
      <c r="K343" s="829"/>
      <c r="L343" s="829"/>
      <c r="M343" s="829"/>
      <c r="N343" s="829"/>
      <c r="O343" s="829"/>
      <c r="P343" s="829"/>
      <c r="Q343" s="829"/>
      <c r="R343" s="829"/>
      <c r="S343" s="829"/>
      <c r="T343" s="829"/>
      <c r="U343" s="829"/>
      <c r="V343" s="829"/>
      <c r="W343" s="829"/>
      <c r="X343" s="829"/>
      <c r="Y343" s="829"/>
      <c r="Z343" s="829"/>
      <c r="AA343" s="829"/>
      <c r="AB343" s="829"/>
      <c r="AC343" s="829"/>
      <c r="AD343" s="829"/>
      <c r="AE343" s="829"/>
      <c r="AF343" s="829"/>
      <c r="AG343" s="829"/>
      <c r="AH343" s="829"/>
      <c r="AI343" s="829"/>
      <c r="AJ343" s="829"/>
      <c r="AK343" s="829"/>
      <c r="AL343" s="829"/>
      <c r="AM343" s="829"/>
      <c r="AN343" s="829"/>
    </row>
    <row r="344" spans="1:40" ht="12.75" x14ac:dyDescent="0.2">
      <c r="A344" s="829"/>
      <c r="B344" s="829"/>
      <c r="C344" s="829"/>
      <c r="D344" s="829"/>
      <c r="E344" s="829"/>
      <c r="F344" s="829"/>
      <c r="G344" s="829"/>
      <c r="H344" s="829"/>
      <c r="I344" s="829"/>
      <c r="J344" s="829"/>
      <c r="K344" s="829"/>
      <c r="L344" s="829"/>
      <c r="M344" s="829"/>
      <c r="N344" s="829"/>
      <c r="O344" s="829"/>
      <c r="P344" s="829"/>
      <c r="Q344" s="829"/>
      <c r="R344" s="829"/>
      <c r="S344" s="829"/>
      <c r="T344" s="829"/>
      <c r="U344" s="829"/>
      <c r="V344" s="829"/>
      <c r="W344" s="829"/>
      <c r="X344" s="829"/>
      <c r="Y344" s="829"/>
      <c r="Z344" s="829"/>
      <c r="AA344" s="829"/>
      <c r="AB344" s="829"/>
      <c r="AC344" s="829"/>
      <c r="AD344" s="829"/>
      <c r="AE344" s="829"/>
      <c r="AF344" s="829"/>
      <c r="AG344" s="829"/>
      <c r="AH344" s="829"/>
      <c r="AI344" s="829"/>
      <c r="AJ344" s="829"/>
      <c r="AK344" s="829"/>
      <c r="AL344" s="829"/>
      <c r="AM344" s="829"/>
      <c r="AN344" s="829"/>
    </row>
    <row r="345" spans="1:40" ht="12.75" x14ac:dyDescent="0.2">
      <c r="A345" s="829"/>
      <c r="B345" s="829"/>
      <c r="C345" s="829"/>
      <c r="D345" s="829"/>
      <c r="E345" s="829"/>
      <c r="F345" s="829"/>
      <c r="G345" s="829"/>
      <c r="H345" s="829"/>
      <c r="I345" s="829"/>
      <c r="J345" s="829"/>
      <c r="K345" s="829"/>
      <c r="L345" s="829"/>
      <c r="M345" s="829"/>
      <c r="N345" s="829"/>
      <c r="O345" s="829"/>
      <c r="P345" s="829"/>
      <c r="Q345" s="829"/>
      <c r="R345" s="829"/>
      <c r="S345" s="829"/>
      <c r="T345" s="829"/>
      <c r="U345" s="829"/>
      <c r="V345" s="829"/>
      <c r="W345" s="829"/>
      <c r="X345" s="829"/>
      <c r="Y345" s="829"/>
      <c r="Z345" s="829"/>
      <c r="AA345" s="829"/>
      <c r="AB345" s="829"/>
      <c r="AC345" s="829"/>
      <c r="AD345" s="829"/>
      <c r="AE345" s="829"/>
      <c r="AF345" s="829"/>
      <c r="AG345" s="829"/>
      <c r="AH345" s="829"/>
      <c r="AI345" s="829"/>
      <c r="AJ345" s="829"/>
      <c r="AK345" s="829"/>
      <c r="AL345" s="829"/>
      <c r="AM345" s="829"/>
      <c r="AN345" s="829"/>
    </row>
    <row r="346" spans="1:40" ht="12.75" x14ac:dyDescent="0.2">
      <c r="A346" s="829"/>
      <c r="B346" s="829"/>
      <c r="C346" s="829"/>
      <c r="D346" s="829"/>
      <c r="E346" s="829"/>
      <c r="F346" s="829"/>
      <c r="G346" s="829"/>
      <c r="H346" s="829"/>
      <c r="I346" s="829"/>
      <c r="J346" s="829"/>
      <c r="K346" s="829"/>
      <c r="L346" s="829"/>
      <c r="M346" s="829"/>
      <c r="N346" s="829"/>
      <c r="O346" s="829"/>
      <c r="P346" s="829"/>
      <c r="Q346" s="829"/>
      <c r="R346" s="829"/>
      <c r="S346" s="829"/>
      <c r="T346" s="829"/>
      <c r="U346" s="829"/>
      <c r="V346" s="829"/>
      <c r="W346" s="829"/>
      <c r="X346" s="829"/>
      <c r="Y346" s="829"/>
      <c r="Z346" s="829"/>
      <c r="AA346" s="829"/>
      <c r="AB346" s="829"/>
      <c r="AC346" s="829"/>
      <c r="AD346" s="829"/>
      <c r="AE346" s="829"/>
      <c r="AF346" s="829"/>
      <c r="AG346" s="829"/>
      <c r="AH346" s="829"/>
      <c r="AI346" s="829"/>
      <c r="AJ346" s="829"/>
      <c r="AK346" s="829"/>
      <c r="AL346" s="829"/>
      <c r="AM346" s="829"/>
      <c r="AN346" s="829"/>
    </row>
    <row r="347" spans="1:40" ht="12.75" x14ac:dyDescent="0.2">
      <c r="A347" s="829"/>
      <c r="B347" s="829"/>
      <c r="C347" s="829"/>
      <c r="D347" s="829"/>
      <c r="E347" s="829"/>
      <c r="F347" s="829"/>
      <c r="G347" s="829"/>
      <c r="H347" s="829"/>
      <c r="I347" s="829"/>
      <c r="J347" s="829"/>
      <c r="K347" s="829"/>
      <c r="L347" s="829"/>
      <c r="M347" s="829"/>
      <c r="N347" s="829"/>
      <c r="O347" s="829"/>
      <c r="P347" s="829"/>
      <c r="Q347" s="829"/>
      <c r="R347" s="829"/>
      <c r="S347" s="829"/>
      <c r="T347" s="829"/>
      <c r="U347" s="829"/>
      <c r="V347" s="829"/>
      <c r="W347" s="829"/>
      <c r="X347" s="829"/>
      <c r="Y347" s="829"/>
      <c r="Z347" s="829"/>
      <c r="AA347" s="829"/>
      <c r="AB347" s="829"/>
      <c r="AC347" s="829"/>
      <c r="AD347" s="829"/>
      <c r="AE347" s="829"/>
      <c r="AF347" s="829"/>
      <c r="AG347" s="829"/>
      <c r="AH347" s="829"/>
      <c r="AI347" s="829"/>
      <c r="AJ347" s="829"/>
      <c r="AK347" s="829"/>
      <c r="AL347" s="829"/>
      <c r="AM347" s="829"/>
      <c r="AN347" s="829"/>
    </row>
    <row r="348" spans="1:40" ht="12.75" x14ac:dyDescent="0.2">
      <c r="A348" s="829"/>
      <c r="B348" s="829"/>
      <c r="C348" s="829"/>
      <c r="D348" s="829"/>
      <c r="E348" s="829"/>
      <c r="F348" s="829"/>
      <c r="G348" s="829"/>
      <c r="H348" s="829"/>
      <c r="I348" s="829"/>
      <c r="J348" s="829"/>
      <c r="K348" s="829"/>
      <c r="L348" s="829"/>
      <c r="M348" s="829"/>
      <c r="N348" s="829"/>
      <c r="O348" s="829"/>
      <c r="P348" s="829"/>
      <c r="Q348" s="829"/>
      <c r="R348" s="829"/>
      <c r="S348" s="829"/>
      <c r="T348" s="829"/>
      <c r="U348" s="829"/>
      <c r="V348" s="829"/>
      <c r="W348" s="829"/>
      <c r="X348" s="829"/>
      <c r="Y348" s="829"/>
      <c r="Z348" s="829"/>
      <c r="AA348" s="829"/>
      <c r="AB348" s="829"/>
      <c r="AC348" s="829"/>
      <c r="AD348" s="829"/>
      <c r="AE348" s="829"/>
      <c r="AF348" s="829"/>
      <c r="AG348" s="829"/>
      <c r="AH348" s="829"/>
      <c r="AI348" s="829"/>
      <c r="AJ348" s="829"/>
      <c r="AK348" s="829"/>
      <c r="AL348" s="829"/>
      <c r="AM348" s="829"/>
      <c r="AN348" s="829"/>
    </row>
    <row r="349" spans="1:40" ht="12.75" x14ac:dyDescent="0.2">
      <c r="A349" s="829"/>
      <c r="B349" s="829"/>
      <c r="C349" s="829"/>
      <c r="D349" s="829"/>
      <c r="E349" s="829"/>
      <c r="F349" s="829"/>
      <c r="G349" s="829"/>
      <c r="H349" s="829"/>
      <c r="I349" s="829"/>
      <c r="J349" s="829"/>
      <c r="K349" s="829"/>
      <c r="L349" s="829"/>
      <c r="M349" s="829"/>
      <c r="N349" s="829"/>
      <c r="O349" s="829"/>
      <c r="P349" s="829"/>
      <c r="Q349" s="829"/>
      <c r="R349" s="829"/>
      <c r="S349" s="829"/>
      <c r="T349" s="829"/>
      <c r="U349" s="829"/>
      <c r="V349" s="829"/>
      <c r="W349" s="829"/>
      <c r="X349" s="829"/>
      <c r="Y349" s="829"/>
      <c r="Z349" s="829"/>
      <c r="AA349" s="829"/>
      <c r="AB349" s="829"/>
      <c r="AC349" s="829"/>
      <c r="AD349" s="829"/>
      <c r="AE349" s="829"/>
      <c r="AF349" s="829"/>
      <c r="AG349" s="829"/>
      <c r="AH349" s="829"/>
      <c r="AI349" s="829"/>
      <c r="AJ349" s="829"/>
      <c r="AK349" s="829"/>
      <c r="AL349" s="829"/>
      <c r="AM349" s="829"/>
      <c r="AN349" s="829"/>
    </row>
    <row r="350" spans="1:40" ht="12.75" x14ac:dyDescent="0.2">
      <c r="A350" s="829"/>
      <c r="B350" s="829"/>
      <c r="C350" s="829"/>
      <c r="D350" s="829"/>
      <c r="E350" s="829"/>
      <c r="F350" s="829"/>
      <c r="G350" s="829"/>
      <c r="H350" s="829"/>
      <c r="I350" s="829"/>
      <c r="J350" s="829"/>
      <c r="K350" s="829"/>
      <c r="L350" s="829"/>
      <c r="M350" s="829"/>
      <c r="N350" s="829"/>
      <c r="O350" s="829"/>
      <c r="P350" s="829"/>
      <c r="Q350" s="829"/>
      <c r="R350" s="829"/>
      <c r="S350" s="829"/>
      <c r="T350" s="829"/>
      <c r="U350" s="829"/>
      <c r="V350" s="829"/>
      <c r="W350" s="829"/>
      <c r="X350" s="829"/>
      <c r="Y350" s="829"/>
      <c r="Z350" s="829"/>
      <c r="AA350" s="829"/>
      <c r="AB350" s="829"/>
      <c r="AC350" s="829"/>
      <c r="AD350" s="829"/>
      <c r="AE350" s="829"/>
      <c r="AF350" s="829"/>
      <c r="AG350" s="829"/>
      <c r="AH350" s="829"/>
      <c r="AI350" s="829"/>
      <c r="AJ350" s="829"/>
      <c r="AK350" s="829"/>
      <c r="AL350" s="829"/>
      <c r="AM350" s="829"/>
      <c r="AN350" s="829"/>
    </row>
    <row r="351" spans="1:40" ht="12.75" x14ac:dyDescent="0.2">
      <c r="A351" s="829"/>
      <c r="B351" s="829"/>
      <c r="C351" s="829"/>
      <c r="D351" s="829"/>
      <c r="E351" s="829"/>
      <c r="F351" s="829"/>
      <c r="G351" s="829"/>
      <c r="H351" s="829"/>
      <c r="I351" s="829"/>
      <c r="J351" s="829"/>
      <c r="K351" s="829"/>
      <c r="L351" s="829"/>
      <c r="M351" s="829"/>
      <c r="N351" s="829"/>
      <c r="O351" s="829"/>
      <c r="P351" s="829"/>
      <c r="Q351" s="829"/>
      <c r="R351" s="829"/>
      <c r="S351" s="829"/>
      <c r="T351" s="829"/>
      <c r="U351" s="829"/>
      <c r="V351" s="829"/>
      <c r="W351" s="829"/>
      <c r="X351" s="829"/>
      <c r="Y351" s="829"/>
      <c r="Z351" s="829"/>
      <c r="AA351" s="829"/>
      <c r="AB351" s="829"/>
      <c r="AC351" s="829"/>
      <c r="AD351" s="829"/>
      <c r="AE351" s="829"/>
      <c r="AF351" s="829"/>
      <c r="AG351" s="829"/>
      <c r="AH351" s="829"/>
      <c r="AI351" s="829"/>
      <c r="AJ351" s="829"/>
      <c r="AK351" s="829"/>
      <c r="AL351" s="829"/>
      <c r="AM351" s="829"/>
      <c r="AN351" s="829"/>
    </row>
    <row r="352" spans="1:40" ht="12.75" x14ac:dyDescent="0.2">
      <c r="A352" s="829"/>
      <c r="B352" s="829"/>
      <c r="C352" s="829"/>
      <c r="D352" s="829"/>
      <c r="E352" s="829"/>
      <c r="F352" s="829"/>
      <c r="G352" s="829"/>
      <c r="H352" s="829"/>
      <c r="I352" s="829"/>
      <c r="J352" s="829"/>
      <c r="K352" s="829"/>
      <c r="L352" s="829"/>
      <c r="M352" s="829"/>
      <c r="N352" s="829"/>
      <c r="O352" s="829"/>
      <c r="P352" s="829"/>
      <c r="Q352" s="829"/>
      <c r="R352" s="829"/>
      <c r="S352" s="829"/>
      <c r="T352" s="829"/>
      <c r="U352" s="829"/>
      <c r="V352" s="829"/>
      <c r="W352" s="829"/>
      <c r="X352" s="829"/>
      <c r="Y352" s="829"/>
      <c r="Z352" s="829"/>
      <c r="AA352" s="829"/>
      <c r="AB352" s="829"/>
      <c r="AC352" s="829"/>
      <c r="AD352" s="829"/>
      <c r="AE352" s="829"/>
      <c r="AF352" s="829"/>
      <c r="AG352" s="829"/>
      <c r="AH352" s="829"/>
      <c r="AI352" s="829"/>
      <c r="AJ352" s="829"/>
      <c r="AK352" s="829"/>
      <c r="AL352" s="829"/>
      <c r="AM352" s="829"/>
      <c r="AN352" s="829"/>
    </row>
    <row r="353" spans="1:40" ht="12.75" x14ac:dyDescent="0.2">
      <c r="A353" s="829"/>
      <c r="B353" s="829"/>
      <c r="C353" s="829"/>
      <c r="D353" s="829"/>
      <c r="E353" s="829"/>
      <c r="F353" s="829"/>
      <c r="G353" s="829"/>
      <c r="H353" s="829"/>
      <c r="I353" s="829"/>
      <c r="J353" s="829"/>
      <c r="K353" s="829"/>
      <c r="L353" s="829"/>
      <c r="M353" s="829"/>
      <c r="N353" s="829"/>
      <c r="O353" s="829"/>
      <c r="P353" s="829"/>
      <c r="Q353" s="829"/>
      <c r="R353" s="829"/>
      <c r="S353" s="829"/>
      <c r="T353" s="829"/>
      <c r="U353" s="829"/>
      <c r="V353" s="829"/>
      <c r="W353" s="829"/>
      <c r="X353" s="829"/>
      <c r="Y353" s="829"/>
      <c r="Z353" s="829"/>
      <c r="AA353" s="829"/>
      <c r="AB353" s="829"/>
      <c r="AC353" s="829"/>
      <c r="AD353" s="829"/>
      <c r="AE353" s="829"/>
      <c r="AF353" s="829"/>
      <c r="AG353" s="829"/>
      <c r="AH353" s="829"/>
      <c r="AI353" s="829"/>
      <c r="AJ353" s="829"/>
      <c r="AK353" s="829"/>
      <c r="AL353" s="829"/>
      <c r="AM353" s="829"/>
      <c r="AN353" s="829"/>
    </row>
    <row r="354" spans="1:40" ht="12.75" x14ac:dyDescent="0.2">
      <c r="A354" s="829"/>
      <c r="B354" s="829"/>
      <c r="C354" s="829"/>
      <c r="D354" s="829"/>
      <c r="E354" s="829"/>
      <c r="F354" s="829"/>
      <c r="G354" s="829"/>
      <c r="H354" s="829"/>
      <c r="I354" s="829"/>
      <c r="J354" s="829"/>
      <c r="K354" s="829"/>
      <c r="L354" s="829"/>
      <c r="M354" s="829"/>
      <c r="N354" s="829"/>
      <c r="O354" s="829"/>
      <c r="P354" s="829"/>
      <c r="Q354" s="829"/>
      <c r="R354" s="829"/>
      <c r="S354" s="829"/>
      <c r="T354" s="829"/>
      <c r="U354" s="829"/>
      <c r="V354" s="829"/>
      <c r="W354" s="829"/>
      <c r="X354" s="829"/>
      <c r="Y354" s="829"/>
      <c r="Z354" s="829"/>
      <c r="AA354" s="829"/>
      <c r="AB354" s="829"/>
      <c r="AC354" s="829"/>
      <c r="AD354" s="829"/>
      <c r="AE354" s="829"/>
      <c r="AF354" s="829"/>
      <c r="AG354" s="829"/>
      <c r="AH354" s="829"/>
      <c r="AI354" s="829"/>
      <c r="AJ354" s="829"/>
      <c r="AK354" s="829"/>
      <c r="AL354" s="829"/>
      <c r="AM354" s="829"/>
      <c r="AN354" s="829"/>
    </row>
    <row r="355" spans="1:40" ht="12.75" x14ac:dyDescent="0.2">
      <c r="A355" s="829"/>
      <c r="B355" s="829"/>
      <c r="C355" s="829"/>
      <c r="D355" s="829"/>
      <c r="E355" s="829"/>
      <c r="F355" s="829"/>
      <c r="G355" s="829"/>
      <c r="H355" s="829"/>
      <c r="I355" s="829"/>
      <c r="J355" s="829"/>
      <c r="K355" s="829"/>
      <c r="L355" s="829"/>
      <c r="M355" s="829"/>
      <c r="N355" s="829"/>
      <c r="O355" s="829"/>
      <c r="P355" s="829"/>
      <c r="Q355" s="829"/>
      <c r="R355" s="829"/>
      <c r="S355" s="829"/>
      <c r="T355" s="829"/>
      <c r="U355" s="829"/>
      <c r="V355" s="829"/>
      <c r="W355" s="829"/>
      <c r="X355" s="829"/>
      <c r="Y355" s="829"/>
      <c r="Z355" s="829"/>
      <c r="AA355" s="829"/>
      <c r="AB355" s="829"/>
      <c r="AC355" s="829"/>
      <c r="AD355" s="829"/>
      <c r="AE355" s="829"/>
      <c r="AF355" s="829"/>
      <c r="AG355" s="829"/>
      <c r="AH355" s="829"/>
      <c r="AI355" s="829"/>
      <c r="AJ355" s="829"/>
      <c r="AK355" s="829"/>
      <c r="AL355" s="829"/>
      <c r="AM355" s="829"/>
      <c r="AN355" s="829"/>
    </row>
    <row r="356" spans="1:40" ht="12.75" x14ac:dyDescent="0.2">
      <c r="A356" s="829"/>
      <c r="B356" s="829"/>
      <c r="C356" s="829"/>
      <c r="D356" s="829"/>
      <c r="E356" s="829"/>
      <c r="F356" s="829"/>
      <c r="G356" s="829"/>
      <c r="H356" s="829"/>
      <c r="I356" s="829"/>
      <c r="J356" s="829"/>
      <c r="K356" s="829"/>
      <c r="L356" s="829"/>
      <c r="M356" s="829"/>
      <c r="N356" s="829"/>
      <c r="O356" s="829"/>
      <c r="P356" s="829"/>
      <c r="Q356" s="829"/>
      <c r="R356" s="829"/>
      <c r="S356" s="829"/>
      <c r="T356" s="829"/>
      <c r="U356" s="829"/>
      <c r="V356" s="829"/>
      <c r="W356" s="829"/>
      <c r="X356" s="829"/>
      <c r="Y356" s="829"/>
      <c r="Z356" s="829"/>
      <c r="AA356" s="829"/>
      <c r="AB356" s="829"/>
      <c r="AC356" s="829"/>
      <c r="AD356" s="829"/>
      <c r="AE356" s="829"/>
      <c r="AF356" s="829"/>
      <c r="AG356" s="829"/>
      <c r="AH356" s="829"/>
      <c r="AI356" s="829"/>
      <c r="AJ356" s="829"/>
      <c r="AK356" s="829"/>
      <c r="AL356" s="829"/>
      <c r="AM356" s="829"/>
      <c r="AN356" s="829"/>
    </row>
    <row r="357" spans="1:40" ht="12.75" x14ac:dyDescent="0.2">
      <c r="A357" s="829"/>
      <c r="B357" s="829"/>
      <c r="C357" s="829"/>
      <c r="D357" s="829"/>
      <c r="E357" s="829"/>
      <c r="F357" s="829"/>
      <c r="G357" s="829"/>
      <c r="H357" s="829"/>
      <c r="I357" s="829"/>
      <c r="J357" s="829"/>
      <c r="K357" s="829"/>
      <c r="L357" s="829"/>
      <c r="M357" s="829"/>
      <c r="N357" s="829"/>
      <c r="O357" s="829"/>
      <c r="P357" s="829"/>
      <c r="Q357" s="829"/>
      <c r="R357" s="829"/>
      <c r="S357" s="829"/>
      <c r="T357" s="829"/>
      <c r="U357" s="829"/>
      <c r="V357" s="829"/>
      <c r="W357" s="829"/>
      <c r="X357" s="829"/>
      <c r="Y357" s="829"/>
      <c r="Z357" s="829"/>
      <c r="AA357" s="829"/>
      <c r="AB357" s="829"/>
      <c r="AC357" s="829"/>
      <c r="AD357" s="829"/>
      <c r="AE357" s="829"/>
      <c r="AF357" s="829"/>
      <c r="AG357" s="829"/>
      <c r="AH357" s="829"/>
      <c r="AI357" s="829"/>
      <c r="AJ357" s="829"/>
      <c r="AK357" s="829"/>
      <c r="AL357" s="829"/>
      <c r="AM357" s="829"/>
      <c r="AN357" s="829"/>
    </row>
    <row r="358" spans="1:40" ht="12.75" x14ac:dyDescent="0.2">
      <c r="A358" s="829"/>
      <c r="B358" s="829"/>
      <c r="C358" s="829"/>
      <c r="D358" s="829"/>
      <c r="E358" s="829"/>
      <c r="F358" s="829"/>
      <c r="G358" s="829"/>
      <c r="H358" s="829"/>
      <c r="I358" s="829"/>
      <c r="J358" s="829"/>
      <c r="K358" s="829"/>
      <c r="L358" s="829"/>
      <c r="M358" s="829"/>
      <c r="N358" s="829"/>
      <c r="O358" s="829"/>
      <c r="P358" s="829"/>
      <c r="Q358" s="829"/>
      <c r="R358" s="829"/>
      <c r="S358" s="829"/>
      <c r="T358" s="829"/>
      <c r="U358" s="829"/>
      <c r="V358" s="829"/>
      <c r="W358" s="829"/>
      <c r="X358" s="829"/>
      <c r="Y358" s="829"/>
      <c r="Z358" s="829"/>
      <c r="AA358" s="829"/>
      <c r="AB358" s="829"/>
      <c r="AC358" s="829"/>
      <c r="AD358" s="829"/>
      <c r="AE358" s="829"/>
      <c r="AF358" s="829"/>
      <c r="AG358" s="829"/>
      <c r="AH358" s="829"/>
      <c r="AI358" s="829"/>
      <c r="AJ358" s="829"/>
      <c r="AK358" s="829"/>
      <c r="AL358" s="829"/>
      <c r="AM358" s="829"/>
      <c r="AN358" s="829"/>
    </row>
    <row r="359" spans="1:40" ht="12.75" x14ac:dyDescent="0.2">
      <c r="A359" s="829"/>
      <c r="B359" s="829"/>
      <c r="C359" s="829"/>
      <c r="D359" s="829"/>
      <c r="E359" s="829"/>
      <c r="F359" s="829"/>
      <c r="G359" s="829"/>
      <c r="H359" s="829"/>
      <c r="I359" s="829"/>
      <c r="J359" s="829"/>
      <c r="K359" s="829"/>
      <c r="L359" s="829"/>
      <c r="M359" s="829"/>
      <c r="N359" s="829"/>
      <c r="O359" s="829"/>
      <c r="P359" s="829"/>
      <c r="Q359" s="829"/>
      <c r="R359" s="829"/>
      <c r="S359" s="829"/>
      <c r="T359" s="829"/>
      <c r="U359" s="829"/>
      <c r="V359" s="829"/>
      <c r="W359" s="829"/>
      <c r="X359" s="829"/>
      <c r="Y359" s="829"/>
      <c r="Z359" s="829"/>
      <c r="AA359" s="829"/>
      <c r="AB359" s="829"/>
      <c r="AC359" s="829"/>
      <c r="AD359" s="829"/>
      <c r="AE359" s="829"/>
      <c r="AF359" s="829"/>
      <c r="AG359" s="829"/>
      <c r="AH359" s="829"/>
      <c r="AI359" s="829"/>
      <c r="AJ359" s="829"/>
      <c r="AK359" s="829"/>
      <c r="AL359" s="829"/>
      <c r="AM359" s="829"/>
      <c r="AN359" s="829"/>
    </row>
    <row r="360" spans="1:40" ht="12.75" x14ac:dyDescent="0.2">
      <c r="A360" s="829"/>
      <c r="B360" s="829"/>
      <c r="C360" s="829"/>
      <c r="D360" s="829"/>
      <c r="E360" s="829"/>
      <c r="F360" s="829"/>
      <c r="G360" s="829"/>
      <c r="H360" s="829"/>
      <c r="I360" s="829"/>
      <c r="J360" s="829"/>
      <c r="K360" s="829"/>
      <c r="L360" s="829"/>
      <c r="M360" s="829"/>
      <c r="N360" s="829"/>
      <c r="O360" s="829"/>
      <c r="P360" s="829"/>
      <c r="Q360" s="829"/>
      <c r="R360" s="829"/>
      <c r="S360" s="829"/>
      <c r="T360" s="829"/>
      <c r="U360" s="829"/>
      <c r="V360" s="829"/>
      <c r="W360" s="829"/>
      <c r="X360" s="829"/>
      <c r="Y360" s="829"/>
      <c r="Z360" s="829"/>
      <c r="AA360" s="829"/>
      <c r="AB360" s="829"/>
      <c r="AC360" s="829"/>
      <c r="AD360" s="829"/>
      <c r="AE360" s="829"/>
      <c r="AF360" s="829"/>
      <c r="AG360" s="829"/>
      <c r="AH360" s="829"/>
      <c r="AI360" s="829"/>
      <c r="AJ360" s="829"/>
      <c r="AK360" s="829"/>
      <c r="AL360" s="829"/>
      <c r="AM360" s="829"/>
      <c r="AN360" s="829"/>
    </row>
    <row r="361" spans="1:40" ht="12.75" x14ac:dyDescent="0.2">
      <c r="A361" s="829"/>
      <c r="B361" s="829"/>
      <c r="C361" s="829"/>
      <c r="D361" s="829"/>
      <c r="E361" s="829"/>
      <c r="F361" s="829"/>
      <c r="G361" s="829"/>
      <c r="H361" s="829"/>
      <c r="I361" s="829"/>
      <c r="J361" s="829"/>
      <c r="K361" s="829"/>
      <c r="L361" s="829"/>
      <c r="M361" s="829"/>
      <c r="N361" s="829"/>
      <c r="O361" s="829"/>
      <c r="P361" s="829"/>
      <c r="Q361" s="829"/>
      <c r="R361" s="829"/>
      <c r="S361" s="829"/>
      <c r="T361" s="829"/>
      <c r="U361" s="829"/>
      <c r="V361" s="829"/>
      <c r="W361" s="829"/>
      <c r="X361" s="829"/>
      <c r="Y361" s="829"/>
      <c r="Z361" s="829"/>
      <c r="AA361" s="829"/>
      <c r="AB361" s="829"/>
      <c r="AC361" s="829"/>
      <c r="AD361" s="829"/>
      <c r="AE361" s="829"/>
      <c r="AF361" s="829"/>
      <c r="AG361" s="829"/>
      <c r="AH361" s="829"/>
      <c r="AI361" s="829"/>
      <c r="AJ361" s="829"/>
      <c r="AK361" s="829"/>
      <c r="AL361" s="829"/>
      <c r="AM361" s="829"/>
      <c r="AN361" s="829"/>
    </row>
    <row r="362" spans="1:40" ht="12.75" x14ac:dyDescent="0.2">
      <c r="A362" s="829"/>
      <c r="B362" s="829"/>
      <c r="C362" s="829"/>
      <c r="D362" s="829"/>
      <c r="E362" s="829"/>
      <c r="F362" s="829"/>
      <c r="G362" s="829"/>
      <c r="H362" s="829"/>
      <c r="I362" s="829"/>
      <c r="J362" s="829"/>
      <c r="K362" s="829"/>
      <c r="L362" s="829"/>
      <c r="M362" s="829"/>
      <c r="N362" s="829"/>
      <c r="O362" s="829"/>
      <c r="P362" s="829"/>
      <c r="Q362" s="829"/>
      <c r="R362" s="829"/>
      <c r="S362" s="829"/>
      <c r="T362" s="829"/>
      <c r="U362" s="829"/>
      <c r="V362" s="829"/>
      <c r="W362" s="829"/>
      <c r="X362" s="829"/>
      <c r="Y362" s="829"/>
      <c r="Z362" s="829"/>
      <c r="AA362" s="829"/>
      <c r="AB362" s="829"/>
      <c r="AC362" s="829"/>
      <c r="AD362" s="829"/>
      <c r="AE362" s="829"/>
      <c r="AF362" s="829"/>
      <c r="AG362" s="829"/>
      <c r="AH362" s="829"/>
      <c r="AI362" s="829"/>
      <c r="AJ362" s="829"/>
      <c r="AK362" s="829"/>
      <c r="AL362" s="829"/>
      <c r="AM362" s="829"/>
      <c r="AN362" s="829"/>
    </row>
    <row r="363" spans="1:40" ht="12.75" x14ac:dyDescent="0.2">
      <c r="A363" s="829"/>
      <c r="B363" s="829"/>
      <c r="C363" s="829"/>
      <c r="D363" s="829"/>
      <c r="E363" s="829"/>
      <c r="F363" s="829"/>
      <c r="G363" s="829"/>
      <c r="H363" s="829"/>
      <c r="I363" s="829"/>
      <c r="J363" s="829"/>
      <c r="K363" s="829"/>
      <c r="L363" s="829"/>
      <c r="M363" s="829"/>
      <c r="N363" s="829"/>
      <c r="O363" s="829"/>
      <c r="P363" s="829"/>
      <c r="Q363" s="829"/>
      <c r="R363" s="829"/>
      <c r="S363" s="829"/>
      <c r="T363" s="829"/>
      <c r="U363" s="829"/>
      <c r="V363" s="829"/>
      <c r="W363" s="829"/>
      <c r="X363" s="829"/>
      <c r="Y363" s="829"/>
      <c r="Z363" s="829"/>
      <c r="AA363" s="829"/>
      <c r="AB363" s="829"/>
      <c r="AC363" s="829"/>
      <c r="AD363" s="829"/>
      <c r="AE363" s="829"/>
      <c r="AF363" s="829"/>
      <c r="AG363" s="829"/>
      <c r="AH363" s="829"/>
      <c r="AI363" s="829"/>
      <c r="AJ363" s="829"/>
      <c r="AK363" s="829"/>
      <c r="AL363" s="829"/>
      <c r="AM363" s="829"/>
      <c r="AN363" s="829"/>
    </row>
    <row r="364" spans="1:40" ht="12.75" x14ac:dyDescent="0.2">
      <c r="A364" s="829"/>
      <c r="B364" s="829"/>
      <c r="C364" s="829"/>
      <c r="D364" s="829"/>
      <c r="E364" s="829"/>
      <c r="F364" s="829"/>
      <c r="G364" s="829"/>
      <c r="H364" s="829"/>
      <c r="I364" s="829"/>
      <c r="J364" s="829"/>
      <c r="K364" s="829"/>
      <c r="L364" s="829"/>
      <c r="M364" s="829"/>
      <c r="N364" s="829"/>
      <c r="O364" s="829"/>
      <c r="P364" s="829"/>
      <c r="Q364" s="829"/>
      <c r="R364" s="829"/>
      <c r="S364" s="829"/>
      <c r="T364" s="829"/>
      <c r="U364" s="829"/>
      <c r="V364" s="829"/>
      <c r="W364" s="829"/>
      <c r="X364" s="829"/>
      <c r="Y364" s="829"/>
      <c r="Z364" s="829"/>
      <c r="AA364" s="829"/>
      <c r="AB364" s="829"/>
      <c r="AC364" s="829"/>
      <c r="AD364" s="829"/>
      <c r="AE364" s="829"/>
      <c r="AF364" s="829"/>
      <c r="AG364" s="829"/>
      <c r="AH364" s="829"/>
      <c r="AI364" s="829"/>
      <c r="AJ364" s="829"/>
      <c r="AK364" s="829"/>
      <c r="AL364" s="829"/>
      <c r="AM364" s="829"/>
      <c r="AN364" s="829"/>
    </row>
    <row r="365" spans="1:40" ht="12.75" x14ac:dyDescent="0.2">
      <c r="A365" s="829"/>
      <c r="B365" s="829"/>
      <c r="C365" s="829"/>
      <c r="D365" s="829"/>
      <c r="E365" s="829"/>
      <c r="F365" s="829"/>
      <c r="G365" s="829"/>
      <c r="H365" s="829"/>
      <c r="I365" s="829"/>
      <c r="J365" s="829"/>
      <c r="K365" s="829"/>
      <c r="L365" s="829"/>
      <c r="M365" s="829"/>
      <c r="N365" s="829"/>
      <c r="O365" s="829"/>
      <c r="P365" s="829"/>
      <c r="Q365" s="829"/>
      <c r="R365" s="829"/>
      <c r="S365" s="829"/>
      <c r="T365" s="829"/>
      <c r="U365" s="829"/>
      <c r="V365" s="829"/>
      <c r="W365" s="829"/>
      <c r="X365" s="829"/>
      <c r="Y365" s="829"/>
      <c r="Z365" s="829"/>
      <c r="AA365" s="829"/>
      <c r="AB365" s="829"/>
      <c r="AC365" s="829"/>
      <c r="AD365" s="829"/>
      <c r="AE365" s="829"/>
      <c r="AF365" s="829"/>
      <c r="AG365" s="829"/>
      <c r="AH365" s="829"/>
      <c r="AI365" s="829"/>
      <c r="AJ365" s="829"/>
      <c r="AK365" s="829"/>
      <c r="AL365" s="829"/>
      <c r="AM365" s="829"/>
      <c r="AN365" s="829"/>
    </row>
    <row r="366" spans="1:40" ht="12.75" x14ac:dyDescent="0.2">
      <c r="A366" s="829"/>
      <c r="B366" s="829"/>
      <c r="C366" s="829"/>
      <c r="D366" s="829"/>
      <c r="E366" s="829"/>
      <c r="F366" s="829"/>
      <c r="G366" s="829"/>
      <c r="H366" s="829"/>
      <c r="I366" s="829"/>
      <c r="J366" s="829"/>
      <c r="K366" s="829"/>
      <c r="L366" s="829"/>
      <c r="M366" s="829"/>
      <c r="N366" s="829"/>
      <c r="O366" s="829"/>
      <c r="P366" s="829"/>
      <c r="Q366" s="829"/>
      <c r="R366" s="829"/>
      <c r="S366" s="829"/>
      <c r="T366" s="829"/>
      <c r="U366" s="829"/>
      <c r="V366" s="829"/>
      <c r="W366" s="829"/>
      <c r="X366" s="829"/>
      <c r="Y366" s="829"/>
      <c r="Z366" s="829"/>
      <c r="AA366" s="829"/>
      <c r="AB366" s="829"/>
      <c r="AC366" s="829"/>
      <c r="AD366" s="829"/>
      <c r="AE366" s="829"/>
      <c r="AF366" s="829"/>
      <c r="AG366" s="829"/>
      <c r="AH366" s="829"/>
      <c r="AI366" s="829"/>
      <c r="AJ366" s="829"/>
      <c r="AK366" s="829"/>
      <c r="AL366" s="829"/>
      <c r="AM366" s="829"/>
      <c r="AN366" s="829"/>
    </row>
    <row r="367" spans="1:40" ht="12.75" x14ac:dyDescent="0.2">
      <c r="A367" s="829"/>
      <c r="B367" s="829"/>
      <c r="C367" s="829"/>
      <c r="D367" s="829"/>
      <c r="E367" s="829"/>
      <c r="F367" s="829"/>
      <c r="G367" s="829"/>
      <c r="H367" s="829"/>
      <c r="I367" s="829"/>
      <c r="J367" s="829"/>
      <c r="K367" s="829"/>
      <c r="L367" s="829"/>
      <c r="M367" s="829"/>
      <c r="N367" s="829"/>
      <c r="O367" s="829"/>
      <c r="P367" s="829"/>
      <c r="Q367" s="829"/>
      <c r="R367" s="829"/>
      <c r="S367" s="829"/>
      <c r="T367" s="829"/>
      <c r="U367" s="829"/>
      <c r="V367" s="829"/>
      <c r="W367" s="829"/>
      <c r="X367" s="829"/>
      <c r="Y367" s="829"/>
      <c r="Z367" s="829"/>
      <c r="AA367" s="829"/>
      <c r="AB367" s="829"/>
      <c r="AC367" s="829"/>
      <c r="AD367" s="829"/>
      <c r="AE367" s="829"/>
      <c r="AF367" s="829"/>
      <c r="AG367" s="829"/>
      <c r="AH367" s="829"/>
      <c r="AI367" s="829"/>
      <c r="AJ367" s="829"/>
      <c r="AK367" s="829"/>
      <c r="AL367" s="829"/>
      <c r="AM367" s="829"/>
      <c r="AN367" s="829"/>
    </row>
    <row r="368" spans="1:40" ht="12.75" x14ac:dyDescent="0.2">
      <c r="A368" s="829"/>
      <c r="B368" s="829"/>
      <c r="C368" s="829"/>
      <c r="D368" s="829"/>
      <c r="E368" s="829"/>
      <c r="F368" s="829"/>
      <c r="G368" s="829"/>
      <c r="H368" s="829"/>
      <c r="I368" s="829"/>
      <c r="J368" s="829"/>
      <c r="K368" s="829"/>
      <c r="L368" s="829"/>
      <c r="M368" s="829"/>
      <c r="N368" s="829"/>
      <c r="O368" s="829"/>
      <c r="P368" s="829"/>
      <c r="Q368" s="829"/>
      <c r="R368" s="829"/>
      <c r="S368" s="829"/>
      <c r="T368" s="829"/>
      <c r="U368" s="829"/>
      <c r="V368" s="829"/>
      <c r="W368" s="829"/>
      <c r="X368" s="829"/>
      <c r="Y368" s="829"/>
      <c r="Z368" s="829"/>
      <c r="AA368" s="829"/>
      <c r="AB368" s="829"/>
      <c r="AC368" s="829"/>
      <c r="AD368" s="829"/>
      <c r="AE368" s="829"/>
      <c r="AF368" s="829"/>
      <c r="AG368" s="829"/>
      <c r="AH368" s="829"/>
      <c r="AI368" s="829"/>
      <c r="AJ368" s="829"/>
      <c r="AK368" s="829"/>
      <c r="AL368" s="829"/>
      <c r="AM368" s="829"/>
      <c r="AN368" s="829"/>
    </row>
    <row r="369" spans="1:40" ht="12.75" x14ac:dyDescent="0.2">
      <c r="A369" s="829"/>
      <c r="B369" s="829"/>
      <c r="C369" s="829"/>
      <c r="D369" s="829"/>
      <c r="E369" s="829"/>
      <c r="F369" s="829"/>
      <c r="G369" s="829"/>
      <c r="H369" s="829"/>
      <c r="I369" s="829"/>
      <c r="J369" s="829"/>
      <c r="K369" s="829"/>
      <c r="L369" s="829"/>
      <c r="M369" s="829"/>
      <c r="N369" s="829"/>
      <c r="O369" s="829"/>
      <c r="P369" s="829"/>
      <c r="Q369" s="829"/>
      <c r="R369" s="829"/>
      <c r="S369" s="829"/>
      <c r="T369" s="829"/>
      <c r="U369" s="829"/>
      <c r="V369" s="829"/>
      <c r="W369" s="829"/>
      <c r="X369" s="829"/>
      <c r="Y369" s="829"/>
      <c r="Z369" s="829"/>
      <c r="AA369" s="829"/>
      <c r="AB369" s="829"/>
      <c r="AC369" s="829"/>
      <c r="AD369" s="829"/>
      <c r="AE369" s="829"/>
      <c r="AF369" s="829"/>
      <c r="AG369" s="829"/>
      <c r="AH369" s="829"/>
      <c r="AI369" s="829"/>
      <c r="AJ369" s="829"/>
      <c r="AK369" s="829"/>
      <c r="AL369" s="829"/>
      <c r="AM369" s="829"/>
      <c r="AN369" s="829"/>
    </row>
    <row r="370" spans="1:40" ht="12.75" x14ac:dyDescent="0.2">
      <c r="A370" s="829"/>
      <c r="B370" s="829"/>
      <c r="C370" s="829"/>
      <c r="D370" s="829"/>
      <c r="E370" s="829"/>
      <c r="F370" s="829"/>
      <c r="G370" s="829"/>
      <c r="H370" s="829"/>
      <c r="I370" s="829"/>
      <c r="J370" s="829"/>
      <c r="K370" s="829"/>
      <c r="L370" s="829"/>
      <c r="M370" s="829"/>
      <c r="N370" s="829"/>
      <c r="O370" s="829"/>
      <c r="P370" s="829"/>
      <c r="Q370" s="829"/>
      <c r="R370" s="829"/>
      <c r="S370" s="829"/>
      <c r="T370" s="829"/>
      <c r="U370" s="829"/>
      <c r="V370" s="829"/>
      <c r="W370" s="829"/>
      <c r="X370" s="829"/>
      <c r="Y370" s="829"/>
      <c r="Z370" s="829"/>
      <c r="AA370" s="829"/>
      <c r="AB370" s="829"/>
      <c r="AC370" s="829"/>
      <c r="AD370" s="829"/>
      <c r="AE370" s="829"/>
      <c r="AF370" s="829"/>
      <c r="AG370" s="829"/>
      <c r="AH370" s="829"/>
      <c r="AI370" s="829"/>
      <c r="AJ370" s="829"/>
      <c r="AK370" s="829"/>
      <c r="AL370" s="829"/>
      <c r="AM370" s="829"/>
      <c r="AN370" s="829"/>
    </row>
    <row r="371" spans="1:40" ht="12.75" x14ac:dyDescent="0.2">
      <c r="A371" s="829"/>
      <c r="B371" s="829"/>
      <c r="C371" s="829"/>
      <c r="D371" s="829"/>
      <c r="E371" s="829"/>
      <c r="F371" s="829"/>
      <c r="G371" s="829"/>
      <c r="H371" s="829"/>
      <c r="I371" s="829"/>
      <c r="J371" s="829"/>
      <c r="K371" s="829"/>
      <c r="L371" s="829"/>
      <c r="M371" s="829"/>
      <c r="N371" s="829"/>
      <c r="O371" s="829"/>
      <c r="P371" s="829"/>
      <c r="Q371" s="829"/>
      <c r="R371" s="829"/>
      <c r="S371" s="829"/>
      <c r="T371" s="829"/>
      <c r="U371" s="829"/>
      <c r="V371" s="829"/>
      <c r="W371" s="829"/>
      <c r="X371" s="829"/>
      <c r="Y371" s="829"/>
      <c r="Z371" s="829"/>
      <c r="AA371" s="829"/>
      <c r="AB371" s="829"/>
      <c r="AC371" s="829"/>
      <c r="AD371" s="829"/>
      <c r="AE371" s="829"/>
      <c r="AF371" s="829"/>
      <c r="AG371" s="829"/>
      <c r="AH371" s="829"/>
      <c r="AI371" s="829"/>
      <c r="AJ371" s="829"/>
      <c r="AK371" s="829"/>
      <c r="AL371" s="829"/>
      <c r="AM371" s="829"/>
      <c r="AN371" s="829"/>
    </row>
    <row r="372" spans="1:40" ht="12.75" x14ac:dyDescent="0.2">
      <c r="A372" s="829"/>
      <c r="B372" s="829"/>
      <c r="C372" s="829"/>
      <c r="D372" s="829"/>
      <c r="E372" s="829"/>
      <c r="F372" s="829"/>
      <c r="G372" s="829"/>
      <c r="H372" s="829"/>
      <c r="I372" s="829"/>
      <c r="J372" s="829"/>
      <c r="K372" s="829"/>
      <c r="L372" s="829"/>
      <c r="M372" s="829"/>
      <c r="N372" s="829"/>
      <c r="O372" s="829"/>
      <c r="P372" s="829"/>
      <c r="Q372" s="829"/>
      <c r="R372" s="829"/>
      <c r="S372" s="829"/>
      <c r="T372" s="829"/>
      <c r="U372" s="829"/>
      <c r="V372" s="829"/>
      <c r="W372" s="829"/>
      <c r="X372" s="829"/>
      <c r="Y372" s="829"/>
      <c r="Z372" s="829"/>
      <c r="AA372" s="829"/>
      <c r="AB372" s="829"/>
      <c r="AC372" s="829"/>
      <c r="AD372" s="829"/>
      <c r="AE372" s="829"/>
      <c r="AF372" s="829"/>
      <c r="AG372" s="829"/>
      <c r="AH372" s="829"/>
      <c r="AI372" s="829"/>
      <c r="AJ372" s="829"/>
      <c r="AK372" s="829"/>
      <c r="AL372" s="829"/>
      <c r="AM372" s="829"/>
      <c r="AN372" s="829"/>
    </row>
    <row r="373" spans="1:40" ht="12.75" x14ac:dyDescent="0.2">
      <c r="A373" s="829"/>
      <c r="B373" s="829"/>
      <c r="C373" s="829"/>
      <c r="D373" s="829"/>
      <c r="E373" s="829"/>
      <c r="F373" s="829"/>
      <c r="G373" s="829"/>
      <c r="H373" s="829"/>
      <c r="I373" s="829"/>
      <c r="J373" s="829"/>
      <c r="K373" s="829"/>
      <c r="L373" s="829"/>
      <c r="M373" s="829"/>
      <c r="N373" s="829"/>
      <c r="O373" s="829"/>
      <c r="P373" s="829"/>
      <c r="Q373" s="829"/>
      <c r="R373" s="829"/>
      <c r="S373" s="829"/>
      <c r="T373" s="829"/>
      <c r="U373" s="829"/>
      <c r="V373" s="829"/>
      <c r="W373" s="829"/>
      <c r="X373" s="829"/>
      <c r="Y373" s="829"/>
      <c r="Z373" s="829"/>
      <c r="AA373" s="829"/>
      <c r="AB373" s="829"/>
      <c r="AC373" s="829"/>
      <c r="AD373" s="829"/>
      <c r="AE373" s="829"/>
      <c r="AF373" s="829"/>
      <c r="AG373" s="829"/>
      <c r="AH373" s="829"/>
      <c r="AI373" s="829"/>
      <c r="AJ373" s="829"/>
      <c r="AK373" s="829"/>
      <c r="AL373" s="829"/>
      <c r="AM373" s="829"/>
      <c r="AN373" s="829"/>
    </row>
    <row r="374" spans="1:40" ht="12.75" x14ac:dyDescent="0.2">
      <c r="A374" s="829"/>
      <c r="B374" s="829"/>
      <c r="C374" s="829"/>
      <c r="D374" s="829"/>
      <c r="E374" s="829"/>
      <c r="F374" s="829"/>
      <c r="G374" s="829"/>
      <c r="H374" s="829"/>
      <c r="I374" s="829"/>
      <c r="J374" s="829"/>
      <c r="K374" s="829"/>
      <c r="L374" s="829"/>
      <c r="M374" s="829"/>
      <c r="N374" s="829"/>
      <c r="O374" s="829"/>
      <c r="P374" s="829"/>
      <c r="Q374" s="829"/>
      <c r="R374" s="829"/>
      <c r="S374" s="829"/>
      <c r="T374" s="829"/>
      <c r="U374" s="829"/>
      <c r="V374" s="829"/>
      <c r="W374" s="829"/>
      <c r="X374" s="829"/>
      <c r="Y374" s="829"/>
      <c r="Z374" s="829"/>
      <c r="AA374" s="829"/>
      <c r="AB374" s="829"/>
      <c r="AC374" s="829"/>
      <c r="AD374" s="829"/>
      <c r="AE374" s="829"/>
      <c r="AF374" s="829"/>
      <c r="AG374" s="829"/>
      <c r="AH374" s="829"/>
      <c r="AI374" s="829"/>
      <c r="AJ374" s="829"/>
      <c r="AK374" s="829"/>
      <c r="AL374" s="829"/>
      <c r="AM374" s="829"/>
      <c r="AN374" s="829"/>
    </row>
    <row r="375" spans="1:40" ht="12.75" x14ac:dyDescent="0.2">
      <c r="A375" s="829"/>
      <c r="B375" s="829"/>
      <c r="C375" s="829"/>
      <c r="D375" s="829"/>
      <c r="E375" s="829"/>
      <c r="F375" s="829"/>
      <c r="G375" s="829"/>
      <c r="H375" s="829"/>
      <c r="I375" s="829"/>
      <c r="J375" s="829"/>
      <c r="K375" s="829"/>
      <c r="L375" s="829"/>
      <c r="M375" s="829"/>
      <c r="N375" s="829"/>
      <c r="O375" s="829"/>
      <c r="P375" s="829"/>
      <c r="Q375" s="829"/>
      <c r="R375" s="829"/>
      <c r="S375" s="829"/>
      <c r="T375" s="829"/>
      <c r="U375" s="829"/>
      <c r="V375" s="829"/>
      <c r="W375" s="829"/>
      <c r="X375" s="829"/>
      <c r="Y375" s="829"/>
      <c r="Z375" s="829"/>
      <c r="AA375" s="829"/>
      <c r="AB375" s="829"/>
      <c r="AC375" s="829"/>
      <c r="AD375" s="829"/>
      <c r="AE375" s="829"/>
      <c r="AF375" s="829"/>
      <c r="AG375" s="829"/>
      <c r="AH375" s="829"/>
      <c r="AI375" s="829"/>
      <c r="AJ375" s="829"/>
      <c r="AK375" s="829"/>
      <c r="AL375" s="829"/>
      <c r="AM375" s="829"/>
      <c r="AN375" s="829"/>
    </row>
    <row r="376" spans="1:40" ht="12.75" x14ac:dyDescent="0.2">
      <c r="A376" s="829"/>
      <c r="B376" s="829"/>
      <c r="C376" s="829"/>
      <c r="D376" s="829"/>
      <c r="E376" s="829"/>
      <c r="F376" s="829"/>
      <c r="G376" s="829"/>
      <c r="H376" s="829"/>
      <c r="I376" s="829"/>
      <c r="J376" s="829"/>
      <c r="K376" s="829"/>
      <c r="L376" s="829"/>
      <c r="M376" s="829"/>
      <c r="N376" s="829"/>
      <c r="O376" s="829"/>
      <c r="P376" s="829"/>
      <c r="Q376" s="829"/>
      <c r="R376" s="829"/>
      <c r="S376" s="829"/>
      <c r="T376" s="829"/>
      <c r="U376" s="829"/>
      <c r="V376" s="829"/>
      <c r="W376" s="829"/>
      <c r="X376" s="829"/>
      <c r="Y376" s="829"/>
      <c r="Z376" s="829"/>
      <c r="AA376" s="829"/>
      <c r="AB376" s="829"/>
      <c r="AC376" s="829"/>
      <c r="AD376" s="829"/>
      <c r="AE376" s="829"/>
      <c r="AF376" s="829"/>
      <c r="AG376" s="829"/>
      <c r="AH376" s="829"/>
      <c r="AI376" s="829"/>
      <c r="AJ376" s="829"/>
      <c r="AK376" s="829"/>
      <c r="AL376" s="829"/>
      <c r="AM376" s="829"/>
      <c r="AN376" s="829"/>
    </row>
    <row r="377" spans="1:40" ht="12.75" x14ac:dyDescent="0.2">
      <c r="A377" s="829"/>
      <c r="B377" s="829"/>
      <c r="C377" s="829"/>
      <c r="D377" s="829"/>
      <c r="E377" s="829"/>
      <c r="F377" s="829"/>
      <c r="G377" s="829"/>
      <c r="H377" s="829"/>
      <c r="I377" s="829"/>
      <c r="J377" s="829"/>
      <c r="K377" s="829"/>
      <c r="L377" s="829"/>
      <c r="M377" s="829"/>
      <c r="N377" s="829"/>
      <c r="O377" s="829"/>
      <c r="P377" s="829"/>
      <c r="Q377" s="829"/>
      <c r="R377" s="829"/>
      <c r="S377" s="829"/>
      <c r="T377" s="829"/>
      <c r="U377" s="829"/>
      <c r="V377" s="829"/>
      <c r="W377" s="829"/>
      <c r="X377" s="829"/>
      <c r="Y377" s="829"/>
      <c r="Z377" s="829"/>
      <c r="AA377" s="829"/>
      <c r="AB377" s="829"/>
      <c r="AC377" s="829"/>
      <c r="AD377" s="829"/>
      <c r="AE377" s="829"/>
      <c r="AF377" s="829"/>
      <c r="AG377" s="829"/>
      <c r="AH377" s="829"/>
      <c r="AI377" s="829"/>
      <c r="AJ377" s="829"/>
      <c r="AK377" s="829"/>
      <c r="AL377" s="829"/>
      <c r="AM377" s="829"/>
      <c r="AN377" s="829"/>
    </row>
    <row r="378" spans="1:40" ht="12.75" x14ac:dyDescent="0.2">
      <c r="A378" s="829"/>
      <c r="B378" s="829"/>
      <c r="C378" s="829"/>
      <c r="D378" s="829"/>
      <c r="E378" s="829"/>
      <c r="F378" s="829"/>
      <c r="G378" s="829"/>
      <c r="H378" s="829"/>
      <c r="I378" s="829"/>
      <c r="J378" s="829"/>
      <c r="K378" s="829"/>
      <c r="L378" s="829"/>
      <c r="M378" s="829"/>
      <c r="N378" s="829"/>
      <c r="O378" s="829"/>
      <c r="P378" s="829"/>
      <c r="Q378" s="829"/>
      <c r="R378" s="829"/>
      <c r="S378" s="829"/>
      <c r="T378" s="829"/>
      <c r="U378" s="829"/>
      <c r="V378" s="829"/>
      <c r="W378" s="829"/>
      <c r="X378" s="829"/>
      <c r="Y378" s="829"/>
      <c r="Z378" s="829"/>
      <c r="AA378" s="829"/>
      <c r="AB378" s="829"/>
      <c r="AC378" s="829"/>
      <c r="AD378" s="829"/>
      <c r="AE378" s="829"/>
      <c r="AF378" s="829"/>
      <c r="AG378" s="829"/>
      <c r="AH378" s="829"/>
      <c r="AI378" s="829"/>
      <c r="AJ378" s="829"/>
      <c r="AK378" s="829"/>
      <c r="AL378" s="829"/>
      <c r="AM378" s="829"/>
      <c r="AN378" s="829"/>
    </row>
    <row r="379" spans="1:40" ht="12.75" x14ac:dyDescent="0.2">
      <c r="A379" s="829"/>
      <c r="B379" s="829"/>
      <c r="C379" s="829"/>
      <c r="D379" s="829"/>
      <c r="E379" s="829"/>
      <c r="F379" s="829"/>
      <c r="G379" s="829"/>
      <c r="H379" s="829"/>
      <c r="I379" s="829"/>
      <c r="J379" s="829"/>
      <c r="K379" s="829"/>
      <c r="L379" s="829"/>
      <c r="M379" s="829"/>
      <c r="N379" s="829"/>
      <c r="O379" s="829"/>
      <c r="P379" s="829"/>
      <c r="Q379" s="829"/>
      <c r="R379" s="829"/>
      <c r="S379" s="829"/>
      <c r="T379" s="829"/>
      <c r="U379" s="829"/>
      <c r="V379" s="829"/>
      <c r="W379" s="829"/>
      <c r="X379" s="829"/>
      <c r="Y379" s="829"/>
      <c r="Z379" s="829"/>
      <c r="AA379" s="829"/>
      <c r="AB379" s="829"/>
      <c r="AC379" s="829"/>
      <c r="AD379" s="829"/>
      <c r="AE379" s="829"/>
      <c r="AF379" s="829"/>
      <c r="AG379" s="829"/>
      <c r="AH379" s="829"/>
      <c r="AI379" s="829"/>
      <c r="AJ379" s="829"/>
      <c r="AK379" s="829"/>
      <c r="AL379" s="829"/>
      <c r="AM379" s="829"/>
      <c r="AN379" s="829"/>
    </row>
    <row r="380" spans="1:40" ht="12.75" x14ac:dyDescent="0.2">
      <c r="A380" s="829"/>
      <c r="B380" s="829"/>
      <c r="C380" s="829"/>
      <c r="D380" s="829"/>
      <c r="E380" s="829"/>
      <c r="F380" s="829"/>
      <c r="G380" s="829"/>
      <c r="H380" s="829"/>
      <c r="I380" s="829"/>
      <c r="J380" s="829"/>
      <c r="K380" s="829"/>
      <c r="L380" s="829"/>
      <c r="M380" s="829"/>
      <c r="N380" s="829"/>
      <c r="O380" s="829"/>
      <c r="P380" s="829"/>
      <c r="Q380" s="829"/>
      <c r="R380" s="829"/>
      <c r="S380" s="829"/>
      <c r="T380" s="829"/>
      <c r="U380" s="829"/>
      <c r="V380" s="829"/>
      <c r="W380" s="829"/>
      <c r="X380" s="829"/>
      <c r="Y380" s="829"/>
      <c r="Z380" s="829"/>
      <c r="AA380" s="829"/>
      <c r="AB380" s="829"/>
      <c r="AC380" s="829"/>
      <c r="AD380" s="829"/>
      <c r="AE380" s="829"/>
      <c r="AF380" s="829"/>
      <c r="AG380" s="829"/>
      <c r="AH380" s="829"/>
      <c r="AI380" s="829"/>
      <c r="AJ380" s="829"/>
      <c r="AK380" s="829"/>
      <c r="AL380" s="829"/>
      <c r="AM380" s="829"/>
      <c r="AN380" s="829"/>
    </row>
    <row r="381" spans="1:40" ht="12.75" x14ac:dyDescent="0.2">
      <c r="A381" s="829"/>
      <c r="B381" s="829"/>
      <c r="C381" s="829"/>
      <c r="D381" s="829"/>
      <c r="E381" s="829"/>
      <c r="F381" s="829"/>
      <c r="G381" s="829"/>
      <c r="H381" s="829"/>
      <c r="I381" s="829"/>
      <c r="J381" s="829"/>
      <c r="K381" s="829"/>
      <c r="L381" s="829"/>
      <c r="M381" s="829"/>
      <c r="N381" s="829"/>
      <c r="O381" s="829"/>
      <c r="P381" s="829"/>
      <c r="Q381" s="829"/>
      <c r="R381" s="829"/>
      <c r="S381" s="829"/>
      <c r="T381" s="829"/>
      <c r="U381" s="829"/>
      <c r="V381" s="829"/>
      <c r="W381" s="829"/>
      <c r="X381" s="829"/>
      <c r="Y381" s="829"/>
      <c r="Z381" s="829"/>
      <c r="AA381" s="829"/>
      <c r="AB381" s="829"/>
      <c r="AC381" s="829"/>
      <c r="AD381" s="829"/>
      <c r="AE381" s="829"/>
      <c r="AF381" s="829"/>
      <c r="AG381" s="829"/>
      <c r="AH381" s="829"/>
      <c r="AI381" s="829"/>
      <c r="AJ381" s="829"/>
      <c r="AK381" s="829"/>
      <c r="AL381" s="829"/>
      <c r="AM381" s="829"/>
      <c r="AN381" s="829"/>
    </row>
    <row r="382" spans="1:40" ht="12.75" x14ac:dyDescent="0.2">
      <c r="A382" s="829"/>
      <c r="B382" s="829"/>
      <c r="C382" s="829"/>
      <c r="D382" s="829"/>
      <c r="E382" s="829"/>
      <c r="F382" s="829"/>
      <c r="G382" s="829"/>
      <c r="H382" s="829"/>
      <c r="I382" s="829"/>
      <c r="J382" s="829"/>
      <c r="K382" s="829"/>
      <c r="L382" s="829"/>
      <c r="M382" s="829"/>
      <c r="N382" s="829"/>
      <c r="O382" s="829"/>
      <c r="P382" s="829"/>
      <c r="Q382" s="829"/>
      <c r="R382" s="829"/>
      <c r="S382" s="829"/>
      <c r="T382" s="829"/>
      <c r="U382" s="829"/>
      <c r="V382" s="829"/>
      <c r="W382" s="829"/>
      <c r="X382" s="829"/>
      <c r="Y382" s="829"/>
      <c r="Z382" s="829"/>
      <c r="AA382" s="829"/>
      <c r="AB382" s="829"/>
      <c r="AC382" s="829"/>
      <c r="AD382" s="829"/>
      <c r="AE382" s="829"/>
      <c r="AF382" s="829"/>
      <c r="AG382" s="829"/>
      <c r="AH382" s="829"/>
      <c r="AI382" s="829"/>
      <c r="AJ382" s="829"/>
      <c r="AK382" s="829"/>
      <c r="AL382" s="829"/>
      <c r="AM382" s="829"/>
      <c r="AN382" s="829"/>
    </row>
    <row r="383" spans="1:40" ht="12.75" x14ac:dyDescent="0.2">
      <c r="A383" s="829"/>
      <c r="B383" s="829"/>
      <c r="C383" s="829"/>
      <c r="D383" s="829"/>
      <c r="E383" s="829"/>
      <c r="F383" s="829"/>
      <c r="G383" s="829"/>
      <c r="H383" s="829"/>
      <c r="I383" s="829"/>
      <c r="J383" s="829"/>
      <c r="K383" s="829"/>
      <c r="L383" s="829"/>
      <c r="M383" s="829"/>
      <c r="N383" s="829"/>
      <c r="O383" s="829"/>
      <c r="P383" s="829"/>
      <c r="Q383" s="829"/>
      <c r="R383" s="829"/>
      <c r="S383" s="829"/>
      <c r="T383" s="829"/>
      <c r="U383" s="829"/>
      <c r="V383" s="829"/>
      <c r="W383" s="829"/>
      <c r="X383" s="829"/>
      <c r="Y383" s="829"/>
      <c r="Z383" s="829"/>
      <c r="AA383" s="829"/>
      <c r="AB383" s="829"/>
      <c r="AC383" s="829"/>
      <c r="AD383" s="829"/>
      <c r="AE383" s="829"/>
      <c r="AF383" s="829"/>
      <c r="AG383" s="829"/>
      <c r="AH383" s="829"/>
      <c r="AI383" s="829"/>
      <c r="AJ383" s="829"/>
      <c r="AK383" s="829"/>
      <c r="AL383" s="829"/>
      <c r="AM383" s="829"/>
      <c r="AN383" s="829"/>
    </row>
    <row r="384" spans="1:40" ht="12.75" x14ac:dyDescent="0.2">
      <c r="A384" s="829"/>
      <c r="B384" s="829"/>
      <c r="C384" s="829"/>
      <c r="D384" s="829"/>
      <c r="E384" s="829"/>
      <c r="F384" s="829"/>
      <c r="G384" s="829"/>
      <c r="H384" s="829"/>
      <c r="I384" s="829"/>
      <c r="J384" s="829"/>
      <c r="K384" s="829"/>
      <c r="L384" s="829"/>
      <c r="M384" s="829"/>
      <c r="N384" s="829"/>
      <c r="O384" s="829"/>
      <c r="P384" s="829"/>
      <c r="Q384" s="829"/>
      <c r="R384" s="829"/>
      <c r="S384" s="829"/>
      <c r="T384" s="829"/>
      <c r="U384" s="829"/>
      <c r="V384" s="829"/>
      <c r="W384" s="829"/>
      <c r="X384" s="829"/>
      <c r="Y384" s="829"/>
      <c r="Z384" s="829"/>
      <c r="AA384" s="829"/>
      <c r="AB384" s="829"/>
      <c r="AC384" s="829"/>
      <c r="AD384" s="829"/>
      <c r="AE384" s="829"/>
      <c r="AF384" s="829"/>
      <c r="AG384" s="829"/>
      <c r="AH384" s="829"/>
      <c r="AI384" s="829"/>
      <c r="AJ384" s="829"/>
      <c r="AK384" s="829"/>
      <c r="AL384" s="829"/>
      <c r="AM384" s="829"/>
      <c r="AN384" s="829"/>
    </row>
    <row r="385" spans="1:40" ht="12.75" x14ac:dyDescent="0.2">
      <c r="A385" s="829"/>
      <c r="B385" s="829"/>
      <c r="C385" s="829"/>
      <c r="D385" s="829"/>
      <c r="E385" s="829"/>
      <c r="F385" s="829"/>
      <c r="G385" s="829"/>
      <c r="H385" s="829"/>
      <c r="I385" s="829"/>
      <c r="J385" s="829"/>
      <c r="K385" s="829"/>
      <c r="L385" s="829"/>
      <c r="M385" s="829"/>
      <c r="N385" s="829"/>
      <c r="O385" s="829"/>
      <c r="P385" s="829"/>
      <c r="Q385" s="829"/>
      <c r="R385" s="829"/>
      <c r="S385" s="829"/>
      <c r="T385" s="829"/>
      <c r="U385" s="829"/>
      <c r="V385" s="829"/>
      <c r="W385" s="829"/>
      <c r="X385" s="829"/>
      <c r="Y385" s="829"/>
      <c r="Z385" s="829"/>
      <c r="AA385" s="829"/>
      <c r="AB385" s="829"/>
      <c r="AC385" s="829"/>
      <c r="AD385" s="829"/>
      <c r="AE385" s="829"/>
      <c r="AF385" s="829"/>
      <c r="AG385" s="829"/>
      <c r="AH385" s="829"/>
      <c r="AI385" s="829"/>
      <c r="AJ385" s="829"/>
      <c r="AK385" s="829"/>
      <c r="AL385" s="829"/>
      <c r="AM385" s="829"/>
      <c r="AN385" s="829"/>
    </row>
    <row r="386" spans="1:40" ht="12.75" x14ac:dyDescent="0.2">
      <c r="A386" s="829"/>
      <c r="B386" s="829"/>
      <c r="C386" s="829"/>
      <c r="D386" s="829"/>
      <c r="E386" s="829"/>
      <c r="F386" s="829"/>
      <c r="G386" s="829"/>
      <c r="H386" s="829"/>
      <c r="I386" s="829"/>
      <c r="J386" s="829"/>
      <c r="K386" s="829"/>
      <c r="L386" s="829"/>
      <c r="M386" s="829"/>
      <c r="N386" s="829"/>
      <c r="O386" s="829"/>
      <c r="P386" s="829"/>
      <c r="Q386" s="829"/>
      <c r="R386" s="829"/>
      <c r="S386" s="829"/>
      <c r="T386" s="829"/>
      <c r="U386" s="829"/>
      <c r="V386" s="829"/>
      <c r="W386" s="829"/>
      <c r="X386" s="829"/>
      <c r="Y386" s="829"/>
      <c r="Z386" s="829"/>
      <c r="AA386" s="829"/>
      <c r="AB386" s="829"/>
      <c r="AC386" s="829"/>
      <c r="AD386" s="829"/>
      <c r="AE386" s="829"/>
      <c r="AF386" s="829"/>
      <c r="AG386" s="829"/>
      <c r="AH386" s="829"/>
      <c r="AI386" s="829"/>
      <c r="AJ386" s="829"/>
      <c r="AK386" s="829"/>
      <c r="AL386" s="829"/>
      <c r="AM386" s="829"/>
      <c r="AN386" s="829"/>
    </row>
    <row r="387" spans="1:40" ht="12.75" x14ac:dyDescent="0.2">
      <c r="A387" s="829"/>
      <c r="B387" s="829"/>
      <c r="C387" s="829"/>
      <c r="D387" s="829"/>
      <c r="E387" s="829"/>
      <c r="F387" s="829"/>
      <c r="G387" s="829"/>
      <c r="H387" s="829"/>
      <c r="I387" s="829"/>
      <c r="J387" s="829"/>
      <c r="K387" s="829"/>
      <c r="L387" s="829"/>
      <c r="M387" s="829"/>
      <c r="N387" s="829"/>
      <c r="O387" s="829"/>
      <c r="P387" s="829"/>
      <c r="Q387" s="829"/>
      <c r="R387" s="829"/>
      <c r="S387" s="829"/>
      <c r="T387" s="829"/>
      <c r="U387" s="829"/>
      <c r="V387" s="829"/>
      <c r="W387" s="829"/>
      <c r="X387" s="829"/>
      <c r="Y387" s="829"/>
      <c r="Z387" s="829"/>
      <c r="AA387" s="829"/>
      <c r="AB387" s="829"/>
      <c r="AC387" s="829"/>
      <c r="AD387" s="829"/>
      <c r="AE387" s="829"/>
      <c r="AF387" s="829"/>
      <c r="AG387" s="829"/>
      <c r="AH387" s="829"/>
      <c r="AI387" s="829"/>
      <c r="AJ387" s="829"/>
      <c r="AK387" s="829"/>
      <c r="AL387" s="829"/>
      <c r="AM387" s="829"/>
      <c r="AN387" s="829"/>
    </row>
    <row r="388" spans="1:40" ht="12.75" x14ac:dyDescent="0.2">
      <c r="A388" s="829"/>
      <c r="B388" s="829"/>
      <c r="C388" s="829"/>
      <c r="D388" s="829"/>
      <c r="E388" s="829"/>
      <c r="F388" s="829"/>
      <c r="G388" s="829"/>
      <c r="H388" s="829"/>
      <c r="I388" s="829"/>
      <c r="J388" s="829"/>
      <c r="K388" s="829"/>
      <c r="L388" s="829"/>
      <c r="M388" s="829"/>
      <c r="N388" s="829"/>
      <c r="O388" s="829"/>
      <c r="P388" s="829"/>
      <c r="Q388" s="829"/>
      <c r="R388" s="829"/>
      <c r="S388" s="829"/>
      <c r="T388" s="829"/>
      <c r="U388" s="829"/>
      <c r="V388" s="829"/>
      <c r="W388" s="829"/>
      <c r="X388" s="829"/>
      <c r="Y388" s="829"/>
      <c r="Z388" s="829"/>
      <c r="AA388" s="829"/>
      <c r="AB388" s="829"/>
      <c r="AC388" s="829"/>
      <c r="AD388" s="829"/>
      <c r="AE388" s="829"/>
      <c r="AF388" s="829"/>
      <c r="AG388" s="829"/>
      <c r="AH388" s="829"/>
      <c r="AI388" s="829"/>
      <c r="AJ388" s="829"/>
      <c r="AK388" s="829"/>
      <c r="AL388" s="829"/>
      <c r="AM388" s="829"/>
      <c r="AN388" s="829"/>
    </row>
    <row r="389" spans="1:40" ht="12.75" x14ac:dyDescent="0.2">
      <c r="A389" s="829"/>
      <c r="B389" s="829"/>
      <c r="C389" s="829"/>
      <c r="D389" s="829"/>
      <c r="E389" s="829"/>
      <c r="F389" s="829"/>
      <c r="G389" s="829"/>
      <c r="H389" s="829"/>
      <c r="I389" s="829"/>
      <c r="J389" s="829"/>
      <c r="K389" s="829"/>
      <c r="L389" s="829"/>
      <c r="M389" s="829"/>
      <c r="N389" s="829"/>
      <c r="O389" s="829"/>
      <c r="P389" s="829"/>
      <c r="Q389" s="829"/>
      <c r="R389" s="829"/>
      <c r="S389" s="829"/>
      <c r="T389" s="829"/>
      <c r="U389" s="829"/>
      <c r="V389" s="829"/>
      <c r="W389" s="829"/>
      <c r="X389" s="829"/>
      <c r="Y389" s="829"/>
      <c r="Z389" s="829"/>
      <c r="AA389" s="829"/>
      <c r="AB389" s="829"/>
      <c r="AC389" s="829"/>
      <c r="AD389" s="829"/>
      <c r="AE389" s="829"/>
      <c r="AF389" s="829"/>
      <c r="AG389" s="829"/>
      <c r="AH389" s="829"/>
      <c r="AI389" s="829"/>
      <c r="AJ389" s="829"/>
      <c r="AK389" s="829"/>
      <c r="AL389" s="829"/>
      <c r="AM389" s="829"/>
      <c r="AN389" s="829"/>
    </row>
    <row r="390" spans="1:40" ht="12.75" x14ac:dyDescent="0.2">
      <c r="A390" s="829"/>
      <c r="B390" s="829"/>
      <c r="C390" s="829"/>
      <c r="D390" s="829"/>
      <c r="E390" s="829"/>
      <c r="F390" s="829"/>
      <c r="G390" s="829"/>
      <c r="H390" s="829"/>
      <c r="I390" s="829"/>
      <c r="J390" s="829"/>
      <c r="K390" s="829"/>
      <c r="L390" s="829"/>
      <c r="M390" s="829"/>
      <c r="N390" s="829"/>
      <c r="O390" s="829"/>
      <c r="P390" s="829"/>
      <c r="Q390" s="829"/>
      <c r="R390" s="829"/>
      <c r="S390" s="829"/>
      <c r="T390" s="829"/>
      <c r="U390" s="829"/>
      <c r="V390" s="829"/>
      <c r="W390" s="829"/>
      <c r="X390" s="829"/>
      <c r="Y390" s="829"/>
      <c r="Z390" s="829"/>
      <c r="AA390" s="829"/>
      <c r="AB390" s="829"/>
      <c r="AC390" s="829"/>
      <c r="AD390" s="829"/>
      <c r="AE390" s="829"/>
      <c r="AF390" s="829"/>
      <c r="AG390" s="829"/>
      <c r="AH390" s="829"/>
      <c r="AI390" s="829"/>
      <c r="AJ390" s="829"/>
      <c r="AK390" s="829"/>
      <c r="AL390" s="829"/>
      <c r="AM390" s="829"/>
      <c r="AN390" s="829"/>
    </row>
    <row r="391" spans="1:40" ht="12.75" x14ac:dyDescent="0.2">
      <c r="A391" s="829"/>
      <c r="B391" s="829"/>
      <c r="C391" s="829"/>
      <c r="D391" s="829"/>
      <c r="E391" s="829"/>
      <c r="F391" s="829"/>
      <c r="G391" s="829"/>
      <c r="H391" s="829"/>
      <c r="I391" s="829"/>
      <c r="J391" s="829"/>
      <c r="K391" s="829"/>
      <c r="L391" s="829"/>
      <c r="M391" s="829"/>
      <c r="N391" s="829"/>
      <c r="O391" s="829"/>
      <c r="P391" s="829"/>
      <c r="Q391" s="829"/>
      <c r="R391" s="829"/>
      <c r="S391" s="829"/>
      <c r="T391" s="829"/>
      <c r="U391" s="829"/>
      <c r="V391" s="829"/>
      <c r="W391" s="829"/>
      <c r="X391" s="829"/>
      <c r="Y391" s="829"/>
      <c r="Z391" s="829"/>
      <c r="AA391" s="829"/>
      <c r="AB391" s="829"/>
      <c r="AC391" s="829"/>
      <c r="AD391" s="829"/>
      <c r="AE391" s="829"/>
      <c r="AF391" s="829"/>
      <c r="AG391" s="829"/>
      <c r="AH391" s="829"/>
      <c r="AI391" s="829"/>
      <c r="AJ391" s="829"/>
      <c r="AK391" s="829"/>
      <c r="AL391" s="829"/>
      <c r="AM391" s="829"/>
      <c r="AN391" s="829"/>
    </row>
    <row r="392" spans="1:40" ht="12.75" x14ac:dyDescent="0.2">
      <c r="A392" s="829"/>
      <c r="B392" s="829"/>
      <c r="C392" s="829"/>
      <c r="D392" s="829"/>
      <c r="E392" s="829"/>
      <c r="F392" s="829"/>
      <c r="G392" s="829"/>
      <c r="H392" s="829"/>
      <c r="I392" s="829"/>
      <c r="J392" s="829"/>
      <c r="K392" s="829"/>
      <c r="L392" s="829"/>
      <c r="M392" s="829"/>
      <c r="N392" s="829"/>
      <c r="O392" s="829"/>
      <c r="P392" s="829"/>
      <c r="Q392" s="829"/>
      <c r="R392" s="829"/>
      <c r="S392" s="829"/>
      <c r="T392" s="829"/>
      <c r="U392" s="829"/>
      <c r="V392" s="829"/>
      <c r="W392" s="829"/>
      <c r="X392" s="829"/>
      <c r="Y392" s="829"/>
      <c r="Z392" s="829"/>
      <c r="AA392" s="829"/>
      <c r="AB392" s="829"/>
      <c r="AC392" s="829"/>
      <c r="AD392" s="829"/>
      <c r="AE392" s="829"/>
      <c r="AF392" s="829"/>
      <c r="AG392" s="829"/>
      <c r="AH392" s="829"/>
      <c r="AI392" s="829"/>
      <c r="AJ392" s="829"/>
      <c r="AK392" s="829"/>
      <c r="AL392" s="829"/>
      <c r="AM392" s="829"/>
      <c r="AN392" s="829"/>
    </row>
    <row r="393" spans="1:40" ht="12.75" x14ac:dyDescent="0.2">
      <c r="A393" s="829"/>
      <c r="B393" s="829"/>
      <c r="C393" s="829"/>
      <c r="D393" s="829"/>
      <c r="E393" s="829"/>
      <c r="F393" s="829"/>
      <c r="G393" s="829"/>
      <c r="H393" s="829"/>
      <c r="I393" s="829"/>
      <c r="J393" s="829"/>
      <c r="K393" s="829"/>
      <c r="L393" s="829"/>
      <c r="M393" s="829"/>
      <c r="N393" s="829"/>
      <c r="O393" s="829"/>
      <c r="P393" s="829"/>
      <c r="Q393" s="829"/>
      <c r="R393" s="829"/>
      <c r="S393" s="829"/>
      <c r="T393" s="829"/>
      <c r="U393" s="829"/>
      <c r="V393" s="829"/>
      <c r="W393" s="829"/>
      <c r="X393" s="829"/>
      <c r="Y393" s="829"/>
      <c r="Z393" s="829"/>
      <c r="AA393" s="829"/>
      <c r="AB393" s="829"/>
      <c r="AC393" s="829"/>
      <c r="AD393" s="829"/>
      <c r="AE393" s="829"/>
      <c r="AF393" s="829"/>
      <c r="AG393" s="829"/>
      <c r="AH393" s="829"/>
      <c r="AI393" s="829"/>
      <c r="AJ393" s="829"/>
      <c r="AK393" s="829"/>
      <c r="AL393" s="829"/>
      <c r="AM393" s="829"/>
      <c r="AN393" s="829"/>
    </row>
    <row r="394" spans="1:40" ht="12.75" x14ac:dyDescent="0.2">
      <c r="A394" s="829"/>
      <c r="B394" s="829"/>
      <c r="C394" s="829"/>
      <c r="D394" s="829"/>
      <c r="E394" s="829"/>
      <c r="F394" s="829"/>
      <c r="G394" s="829"/>
      <c r="H394" s="829"/>
      <c r="I394" s="829"/>
      <c r="J394" s="829"/>
      <c r="K394" s="829"/>
      <c r="L394" s="829"/>
      <c r="M394" s="829"/>
      <c r="N394" s="829"/>
      <c r="O394" s="829"/>
      <c r="P394" s="829"/>
      <c r="Q394" s="829"/>
      <c r="R394" s="829"/>
      <c r="S394" s="829"/>
      <c r="T394" s="829"/>
      <c r="U394" s="829"/>
      <c r="V394" s="829"/>
      <c r="W394" s="829"/>
      <c r="X394" s="829"/>
      <c r="Y394" s="829"/>
      <c r="Z394" s="829"/>
      <c r="AA394" s="829"/>
      <c r="AB394" s="829"/>
      <c r="AC394" s="829"/>
      <c r="AD394" s="829"/>
      <c r="AE394" s="829"/>
      <c r="AF394" s="829"/>
      <c r="AG394" s="829"/>
      <c r="AH394" s="829"/>
      <c r="AI394" s="829"/>
      <c r="AJ394" s="829"/>
      <c r="AK394" s="829"/>
      <c r="AL394" s="829"/>
      <c r="AM394" s="829"/>
      <c r="AN394" s="829"/>
    </row>
    <row r="395" spans="1:40" ht="12.75" x14ac:dyDescent="0.2">
      <c r="A395" s="829"/>
      <c r="B395" s="829"/>
      <c r="C395" s="829"/>
      <c r="D395" s="829"/>
      <c r="E395" s="829"/>
      <c r="F395" s="829"/>
      <c r="G395" s="829"/>
      <c r="H395" s="829"/>
      <c r="I395" s="829"/>
      <c r="J395" s="829"/>
      <c r="K395" s="829"/>
      <c r="L395" s="829"/>
      <c r="M395" s="829"/>
      <c r="N395" s="829"/>
      <c r="O395" s="829"/>
      <c r="P395" s="829"/>
      <c r="Q395" s="829"/>
      <c r="R395" s="829"/>
      <c r="S395" s="829"/>
      <c r="T395" s="829"/>
      <c r="U395" s="829"/>
      <c r="V395" s="829"/>
      <c r="W395" s="829"/>
      <c r="X395" s="829"/>
      <c r="Y395" s="829"/>
      <c r="Z395" s="829"/>
      <c r="AA395" s="829"/>
      <c r="AB395" s="829"/>
      <c r="AC395" s="829"/>
      <c r="AD395" s="829"/>
      <c r="AE395" s="829"/>
      <c r="AF395" s="829"/>
      <c r="AG395" s="829"/>
      <c r="AH395" s="829"/>
      <c r="AI395" s="829"/>
      <c r="AJ395" s="829"/>
      <c r="AK395" s="829"/>
      <c r="AL395" s="829"/>
      <c r="AM395" s="829"/>
      <c r="AN395" s="829"/>
    </row>
    <row r="396" spans="1:40" ht="12.75" x14ac:dyDescent="0.2">
      <c r="A396" s="829"/>
      <c r="B396" s="829"/>
      <c r="C396" s="829"/>
      <c r="D396" s="829"/>
      <c r="E396" s="829"/>
      <c r="F396" s="829"/>
      <c r="G396" s="829"/>
      <c r="H396" s="829"/>
      <c r="I396" s="829"/>
      <c r="J396" s="829"/>
      <c r="K396" s="829"/>
      <c r="L396" s="829"/>
      <c r="M396" s="829"/>
      <c r="N396" s="829"/>
      <c r="O396" s="829"/>
      <c r="P396" s="829"/>
      <c r="Q396" s="829"/>
      <c r="R396" s="829"/>
      <c r="S396" s="829"/>
      <c r="T396" s="829"/>
      <c r="U396" s="829"/>
      <c r="V396" s="829"/>
      <c r="W396" s="829"/>
      <c r="X396" s="829"/>
      <c r="Y396" s="829"/>
      <c r="Z396" s="829"/>
      <c r="AA396" s="829"/>
      <c r="AB396" s="829"/>
      <c r="AC396" s="829"/>
      <c r="AD396" s="829"/>
      <c r="AE396" s="829"/>
      <c r="AF396" s="829"/>
      <c r="AG396" s="829"/>
      <c r="AH396" s="829"/>
      <c r="AI396" s="829"/>
      <c r="AJ396" s="829"/>
      <c r="AK396" s="829"/>
      <c r="AL396" s="829"/>
      <c r="AM396" s="829"/>
      <c r="AN396" s="829"/>
    </row>
    <row r="397" spans="1:40" ht="12.75" x14ac:dyDescent="0.2">
      <c r="A397" s="829"/>
      <c r="B397" s="829"/>
      <c r="C397" s="829"/>
      <c r="D397" s="829"/>
      <c r="E397" s="829"/>
      <c r="F397" s="829"/>
      <c r="G397" s="829"/>
      <c r="H397" s="829"/>
      <c r="I397" s="829"/>
      <c r="J397" s="829"/>
      <c r="K397" s="829"/>
      <c r="L397" s="829"/>
      <c r="M397" s="829"/>
      <c r="N397" s="829"/>
      <c r="O397" s="829"/>
      <c r="P397" s="829"/>
      <c r="Q397" s="829"/>
      <c r="R397" s="829"/>
      <c r="S397" s="829"/>
      <c r="T397" s="829"/>
      <c r="U397" s="829"/>
      <c r="V397" s="829"/>
      <c r="W397" s="829"/>
      <c r="X397" s="829"/>
      <c r="Y397" s="829"/>
      <c r="Z397" s="829"/>
      <c r="AA397" s="829"/>
      <c r="AB397" s="829"/>
      <c r="AC397" s="829"/>
      <c r="AD397" s="829"/>
      <c r="AE397" s="829"/>
      <c r="AF397" s="829"/>
      <c r="AG397" s="829"/>
      <c r="AH397" s="829"/>
      <c r="AI397" s="829"/>
      <c r="AJ397" s="829"/>
      <c r="AK397" s="829"/>
      <c r="AL397" s="829"/>
      <c r="AM397" s="829"/>
      <c r="AN397" s="829"/>
    </row>
    <row r="398" spans="1:40" ht="12.75" x14ac:dyDescent="0.2">
      <c r="A398" s="829"/>
      <c r="B398" s="829"/>
      <c r="C398" s="829"/>
      <c r="D398" s="829"/>
      <c r="E398" s="829"/>
      <c r="F398" s="829"/>
      <c r="G398" s="829"/>
      <c r="H398" s="829"/>
      <c r="I398" s="829"/>
      <c r="J398" s="829"/>
      <c r="K398" s="829"/>
      <c r="L398" s="829"/>
      <c r="M398" s="829"/>
      <c r="N398" s="829"/>
      <c r="O398" s="829"/>
      <c r="P398" s="829"/>
      <c r="Q398" s="829"/>
      <c r="R398" s="829"/>
      <c r="S398" s="829"/>
      <c r="T398" s="829"/>
      <c r="U398" s="829"/>
      <c r="V398" s="829"/>
      <c r="W398" s="829"/>
      <c r="X398" s="829"/>
      <c r="Y398" s="829"/>
      <c r="Z398" s="829"/>
      <c r="AA398" s="829"/>
      <c r="AB398" s="829"/>
      <c r="AC398" s="829"/>
      <c r="AD398" s="829"/>
      <c r="AE398" s="829"/>
      <c r="AF398" s="829"/>
      <c r="AG398" s="829"/>
      <c r="AH398" s="829"/>
      <c r="AI398" s="829"/>
      <c r="AJ398" s="829"/>
      <c r="AK398" s="829"/>
      <c r="AL398" s="829"/>
      <c r="AM398" s="829"/>
      <c r="AN398" s="829"/>
    </row>
    <row r="399" spans="1:40" ht="12.75" x14ac:dyDescent="0.2">
      <c r="A399" s="829"/>
      <c r="B399" s="829"/>
      <c r="C399" s="829"/>
      <c r="D399" s="829"/>
      <c r="E399" s="829"/>
      <c r="F399" s="829"/>
      <c r="G399" s="829"/>
      <c r="H399" s="829"/>
      <c r="I399" s="829"/>
      <c r="J399" s="829"/>
      <c r="K399" s="829"/>
      <c r="L399" s="829"/>
      <c r="M399" s="829"/>
      <c r="N399" s="829"/>
      <c r="O399" s="829"/>
      <c r="P399" s="829"/>
      <c r="Q399" s="829"/>
      <c r="R399" s="829"/>
      <c r="S399" s="829"/>
      <c r="T399" s="829"/>
      <c r="U399" s="829"/>
      <c r="V399" s="829"/>
      <c r="W399" s="829"/>
      <c r="X399" s="829"/>
      <c r="Y399" s="829"/>
      <c r="Z399" s="829"/>
      <c r="AA399" s="829"/>
      <c r="AB399" s="829"/>
      <c r="AC399" s="829"/>
      <c r="AD399" s="829"/>
      <c r="AE399" s="829"/>
      <c r="AF399" s="829"/>
      <c r="AG399" s="829"/>
      <c r="AH399" s="829"/>
      <c r="AI399" s="829"/>
      <c r="AJ399" s="829"/>
      <c r="AK399" s="829"/>
      <c r="AL399" s="829"/>
      <c r="AM399" s="829"/>
      <c r="AN399" s="829"/>
    </row>
    <row r="400" spans="1:40" ht="12.75" x14ac:dyDescent="0.2">
      <c r="A400" s="829"/>
      <c r="B400" s="829"/>
      <c r="C400" s="829"/>
      <c r="D400" s="829"/>
      <c r="E400" s="829"/>
      <c r="F400" s="829"/>
      <c r="G400" s="829"/>
      <c r="H400" s="829"/>
      <c r="I400" s="829"/>
      <c r="J400" s="829"/>
      <c r="K400" s="829"/>
      <c r="L400" s="829"/>
      <c r="M400" s="829"/>
      <c r="N400" s="829"/>
      <c r="O400" s="829"/>
      <c r="P400" s="829"/>
      <c r="Q400" s="829"/>
      <c r="R400" s="829"/>
      <c r="S400" s="829"/>
      <c r="T400" s="829"/>
      <c r="U400" s="829"/>
      <c r="V400" s="829"/>
      <c r="W400" s="829"/>
      <c r="X400" s="829"/>
      <c r="Y400" s="829"/>
      <c r="Z400" s="829"/>
      <c r="AA400" s="829"/>
      <c r="AB400" s="829"/>
      <c r="AC400" s="829"/>
      <c r="AD400" s="829"/>
      <c r="AE400" s="829"/>
      <c r="AF400" s="829"/>
      <c r="AG400" s="829"/>
      <c r="AH400" s="829"/>
      <c r="AI400" s="829"/>
      <c r="AJ400" s="829"/>
      <c r="AK400" s="829"/>
      <c r="AL400" s="829"/>
      <c r="AM400" s="829"/>
      <c r="AN400" s="829"/>
    </row>
    <row r="401" spans="1:40" ht="12.75" x14ac:dyDescent="0.2">
      <c r="A401" s="829"/>
      <c r="B401" s="829"/>
      <c r="C401" s="829"/>
      <c r="D401" s="829"/>
      <c r="E401" s="829"/>
      <c r="F401" s="829"/>
      <c r="G401" s="829"/>
      <c r="H401" s="829"/>
      <c r="I401" s="829"/>
      <c r="J401" s="829"/>
      <c r="K401" s="829"/>
      <c r="L401" s="829"/>
      <c r="M401" s="829"/>
      <c r="N401" s="829"/>
      <c r="O401" s="829"/>
      <c r="P401" s="829"/>
      <c r="Q401" s="829"/>
      <c r="R401" s="829"/>
      <c r="S401" s="829"/>
      <c r="T401" s="829"/>
      <c r="U401" s="829"/>
      <c r="V401" s="829"/>
      <c r="W401" s="829"/>
      <c r="X401" s="829"/>
      <c r="Y401" s="829"/>
      <c r="Z401" s="829"/>
      <c r="AA401" s="829"/>
      <c r="AB401" s="829"/>
      <c r="AC401" s="829"/>
      <c r="AD401" s="829"/>
      <c r="AE401" s="829"/>
      <c r="AF401" s="829"/>
      <c r="AG401" s="829"/>
      <c r="AH401" s="829"/>
      <c r="AI401" s="829"/>
      <c r="AJ401" s="829"/>
      <c r="AK401" s="829"/>
      <c r="AL401" s="829"/>
      <c r="AM401" s="829"/>
      <c r="AN401" s="829"/>
    </row>
    <row r="402" spans="1:40" ht="12.75" x14ac:dyDescent="0.2">
      <c r="A402" s="829"/>
      <c r="B402" s="829"/>
      <c r="C402" s="829"/>
      <c r="D402" s="829"/>
      <c r="E402" s="829"/>
      <c r="F402" s="829"/>
      <c r="G402" s="829"/>
      <c r="H402" s="829"/>
      <c r="I402" s="829"/>
      <c r="J402" s="829"/>
      <c r="K402" s="829"/>
      <c r="L402" s="829"/>
      <c r="M402" s="829"/>
      <c r="N402" s="829"/>
      <c r="O402" s="829"/>
      <c r="P402" s="829"/>
      <c r="Q402" s="829"/>
      <c r="R402" s="829"/>
      <c r="S402" s="829"/>
      <c r="T402" s="829"/>
      <c r="U402" s="829"/>
      <c r="V402" s="829"/>
      <c r="W402" s="829"/>
      <c r="X402" s="829"/>
      <c r="Y402" s="829"/>
      <c r="Z402" s="829"/>
      <c r="AA402" s="829"/>
      <c r="AB402" s="829"/>
      <c r="AC402" s="829"/>
      <c r="AD402" s="829"/>
      <c r="AE402" s="829"/>
      <c r="AF402" s="829"/>
      <c r="AG402" s="829"/>
      <c r="AH402" s="829"/>
      <c r="AI402" s="829"/>
      <c r="AJ402" s="829"/>
      <c r="AK402" s="829"/>
      <c r="AL402" s="829"/>
      <c r="AM402" s="829"/>
      <c r="AN402" s="829"/>
    </row>
    <row r="403" spans="1:40" ht="12.75" x14ac:dyDescent="0.2">
      <c r="A403" s="829"/>
      <c r="B403" s="829"/>
      <c r="C403" s="829"/>
      <c r="D403" s="829"/>
      <c r="E403" s="829"/>
      <c r="F403" s="829"/>
      <c r="G403" s="829"/>
      <c r="H403" s="829"/>
      <c r="I403" s="829"/>
      <c r="J403" s="829"/>
      <c r="K403" s="829"/>
      <c r="L403" s="829"/>
      <c r="M403" s="829"/>
      <c r="N403" s="829"/>
      <c r="O403" s="829"/>
      <c r="P403" s="829"/>
      <c r="Q403" s="829"/>
      <c r="R403" s="829"/>
      <c r="S403" s="829"/>
      <c r="T403" s="829"/>
      <c r="U403" s="829"/>
      <c r="V403" s="829"/>
      <c r="W403" s="829"/>
      <c r="X403" s="829"/>
      <c r="Y403" s="829"/>
      <c r="Z403" s="829"/>
      <c r="AA403" s="829"/>
      <c r="AB403" s="829"/>
      <c r="AC403" s="829"/>
      <c r="AD403" s="829"/>
      <c r="AE403" s="829"/>
      <c r="AF403" s="829"/>
      <c r="AG403" s="829"/>
      <c r="AH403" s="829"/>
      <c r="AI403" s="829"/>
      <c r="AJ403" s="829"/>
      <c r="AK403" s="829"/>
      <c r="AL403" s="829"/>
      <c r="AM403" s="829"/>
      <c r="AN403" s="829"/>
    </row>
    <row r="404" spans="1:40" ht="12.75" x14ac:dyDescent="0.2">
      <c r="A404" s="829"/>
      <c r="B404" s="829"/>
      <c r="C404" s="829"/>
      <c r="D404" s="829"/>
      <c r="E404" s="829"/>
      <c r="F404" s="829"/>
      <c r="G404" s="829"/>
      <c r="H404" s="829"/>
      <c r="I404" s="829"/>
      <c r="J404" s="829"/>
      <c r="K404" s="829"/>
      <c r="L404" s="829"/>
      <c r="M404" s="829"/>
      <c r="N404" s="829"/>
      <c r="O404" s="829"/>
      <c r="P404" s="829"/>
      <c r="Q404" s="829"/>
      <c r="R404" s="829"/>
      <c r="S404" s="829"/>
      <c r="T404" s="829"/>
      <c r="U404" s="829"/>
      <c r="V404" s="829"/>
      <c r="W404" s="829"/>
      <c r="X404" s="829"/>
      <c r="Y404" s="829"/>
      <c r="Z404" s="829"/>
      <c r="AA404" s="829"/>
      <c r="AB404" s="829"/>
      <c r="AC404" s="829"/>
      <c r="AD404" s="829"/>
      <c r="AE404" s="829"/>
      <c r="AF404" s="829"/>
      <c r="AG404" s="829"/>
      <c r="AH404" s="829"/>
      <c r="AI404" s="829"/>
      <c r="AJ404" s="829"/>
      <c r="AK404" s="829"/>
      <c r="AL404" s="829"/>
      <c r="AM404" s="829"/>
      <c r="AN404" s="829"/>
    </row>
    <row r="405" spans="1:40" ht="12.75" x14ac:dyDescent="0.2">
      <c r="A405" s="829"/>
      <c r="B405" s="829"/>
      <c r="C405" s="829"/>
      <c r="D405" s="829"/>
      <c r="E405" s="829"/>
      <c r="F405" s="829"/>
      <c r="G405" s="829"/>
      <c r="H405" s="829"/>
      <c r="I405" s="829"/>
      <c r="J405" s="829"/>
      <c r="K405" s="829"/>
      <c r="L405" s="829"/>
      <c r="M405" s="829"/>
      <c r="N405" s="829"/>
      <c r="O405" s="829"/>
      <c r="P405" s="829"/>
      <c r="Q405" s="829"/>
      <c r="R405" s="829"/>
      <c r="S405" s="829"/>
      <c r="T405" s="829"/>
      <c r="U405" s="829"/>
      <c r="V405" s="829"/>
      <c r="W405" s="829"/>
      <c r="X405" s="829"/>
      <c r="Y405" s="829"/>
      <c r="Z405" s="829"/>
      <c r="AA405" s="829"/>
      <c r="AB405" s="829"/>
      <c r="AC405" s="829"/>
      <c r="AD405" s="829"/>
      <c r="AE405" s="829"/>
      <c r="AF405" s="829"/>
      <c r="AG405" s="829"/>
      <c r="AH405" s="829"/>
      <c r="AI405" s="829"/>
      <c r="AJ405" s="829"/>
      <c r="AK405" s="829"/>
      <c r="AL405" s="829"/>
      <c r="AM405" s="829"/>
      <c r="AN405" s="829"/>
    </row>
    <row r="406" spans="1:40" ht="12.75" x14ac:dyDescent="0.2">
      <c r="A406" s="829"/>
      <c r="B406" s="829"/>
      <c r="C406" s="829"/>
      <c r="D406" s="829"/>
      <c r="E406" s="829"/>
      <c r="F406" s="829"/>
      <c r="G406" s="829"/>
      <c r="H406" s="829"/>
      <c r="I406" s="829"/>
      <c r="J406" s="829"/>
      <c r="K406" s="829"/>
      <c r="L406" s="829"/>
      <c r="M406" s="829"/>
      <c r="N406" s="829"/>
      <c r="O406" s="829"/>
      <c r="P406" s="829"/>
      <c r="Q406" s="829"/>
      <c r="R406" s="829"/>
      <c r="S406" s="829"/>
      <c r="T406" s="829"/>
      <c r="U406" s="829"/>
      <c r="V406" s="829"/>
      <c r="W406" s="829"/>
      <c r="X406" s="829"/>
      <c r="Y406" s="829"/>
      <c r="Z406" s="829"/>
      <c r="AA406" s="829"/>
      <c r="AB406" s="829"/>
      <c r="AC406" s="829"/>
      <c r="AD406" s="829"/>
      <c r="AE406" s="829"/>
      <c r="AF406" s="829"/>
      <c r="AG406" s="829"/>
      <c r="AH406" s="829"/>
      <c r="AI406" s="829"/>
      <c r="AJ406" s="829"/>
      <c r="AK406" s="829"/>
      <c r="AL406" s="829"/>
      <c r="AM406" s="829"/>
      <c r="AN406" s="829"/>
    </row>
    <row r="407" spans="1:40" ht="12.75" x14ac:dyDescent="0.2">
      <c r="A407" s="829"/>
      <c r="B407" s="829"/>
      <c r="C407" s="829"/>
      <c r="D407" s="829"/>
      <c r="E407" s="829"/>
      <c r="F407" s="829"/>
      <c r="G407" s="829"/>
      <c r="H407" s="829"/>
      <c r="I407" s="829"/>
      <c r="J407" s="829"/>
      <c r="K407" s="829"/>
      <c r="L407" s="829"/>
      <c r="M407" s="829"/>
      <c r="N407" s="829"/>
      <c r="O407" s="829"/>
      <c r="P407" s="829"/>
      <c r="Q407" s="829"/>
      <c r="R407" s="829"/>
      <c r="S407" s="829"/>
      <c r="T407" s="829"/>
      <c r="U407" s="829"/>
      <c r="V407" s="829"/>
      <c r="W407" s="829"/>
      <c r="X407" s="829"/>
      <c r="Y407" s="829"/>
      <c r="Z407" s="829"/>
      <c r="AA407" s="829"/>
      <c r="AB407" s="829"/>
      <c r="AC407" s="829"/>
      <c r="AD407" s="829"/>
      <c r="AE407" s="829"/>
      <c r="AF407" s="829"/>
      <c r="AG407" s="829"/>
      <c r="AH407" s="829"/>
      <c r="AI407" s="829"/>
      <c r="AJ407" s="829"/>
      <c r="AK407" s="829"/>
      <c r="AL407" s="829"/>
      <c r="AM407" s="829"/>
      <c r="AN407" s="829"/>
    </row>
    <row r="408" spans="1:40" ht="12.75" x14ac:dyDescent="0.2">
      <c r="A408" s="829"/>
      <c r="B408" s="829"/>
      <c r="C408" s="829"/>
      <c r="D408" s="829"/>
      <c r="E408" s="829"/>
      <c r="F408" s="829"/>
      <c r="G408" s="829"/>
      <c r="H408" s="829"/>
      <c r="I408" s="829"/>
      <c r="J408" s="829"/>
      <c r="K408" s="829"/>
      <c r="L408" s="829"/>
      <c r="M408" s="829"/>
      <c r="N408" s="829"/>
      <c r="O408" s="829"/>
      <c r="P408" s="829"/>
      <c r="Q408" s="829"/>
      <c r="R408" s="829"/>
      <c r="S408" s="829"/>
      <c r="T408" s="829"/>
      <c r="U408" s="829"/>
      <c r="V408" s="829"/>
      <c r="W408" s="829"/>
      <c r="X408" s="829"/>
      <c r="Y408" s="829"/>
      <c r="Z408" s="829"/>
      <c r="AA408" s="829"/>
      <c r="AB408" s="829"/>
      <c r="AC408" s="829"/>
      <c r="AD408" s="829"/>
      <c r="AE408" s="829"/>
      <c r="AF408" s="829"/>
      <c r="AG408" s="829"/>
      <c r="AH408" s="829"/>
      <c r="AI408" s="829"/>
      <c r="AJ408" s="829"/>
      <c r="AK408" s="829"/>
      <c r="AL408" s="829"/>
      <c r="AM408" s="829"/>
      <c r="AN408" s="829"/>
    </row>
    <row r="409" spans="1:40" ht="12.75" x14ac:dyDescent="0.2">
      <c r="A409" s="829"/>
      <c r="B409" s="829"/>
      <c r="C409" s="829"/>
      <c r="D409" s="829"/>
      <c r="E409" s="829"/>
      <c r="F409" s="829"/>
      <c r="G409" s="829"/>
      <c r="H409" s="829"/>
      <c r="I409" s="829"/>
      <c r="J409" s="829"/>
      <c r="K409" s="829"/>
      <c r="L409" s="829"/>
      <c r="M409" s="829"/>
      <c r="N409" s="829"/>
      <c r="O409" s="829"/>
      <c r="P409" s="829"/>
      <c r="Q409" s="829"/>
      <c r="R409" s="829"/>
      <c r="S409" s="829"/>
      <c r="T409" s="829"/>
      <c r="U409" s="829"/>
      <c r="V409" s="829"/>
      <c r="W409" s="829"/>
      <c r="X409" s="829"/>
      <c r="Y409" s="829"/>
      <c r="Z409" s="829"/>
      <c r="AA409" s="829"/>
      <c r="AB409" s="829"/>
      <c r="AC409" s="829"/>
      <c r="AD409" s="829"/>
      <c r="AE409" s="829"/>
      <c r="AF409" s="829"/>
      <c r="AG409" s="829"/>
      <c r="AH409" s="829"/>
      <c r="AI409" s="829"/>
      <c r="AJ409" s="829"/>
      <c r="AK409" s="829"/>
      <c r="AL409" s="829"/>
      <c r="AM409" s="829"/>
      <c r="AN409" s="829"/>
    </row>
    <row r="410" spans="1:40" ht="12.75" x14ac:dyDescent="0.2">
      <c r="A410" s="829"/>
      <c r="B410" s="829"/>
      <c r="C410" s="829"/>
      <c r="D410" s="829"/>
      <c r="E410" s="829"/>
      <c r="F410" s="829"/>
      <c r="G410" s="829"/>
      <c r="H410" s="829"/>
      <c r="I410" s="829"/>
      <c r="J410" s="829"/>
      <c r="K410" s="829"/>
      <c r="L410" s="829"/>
      <c r="M410" s="829"/>
      <c r="N410" s="829"/>
      <c r="O410" s="829"/>
      <c r="P410" s="829"/>
      <c r="Q410" s="829"/>
      <c r="R410" s="829"/>
      <c r="S410" s="829"/>
      <c r="T410" s="829"/>
      <c r="U410" s="829"/>
      <c r="V410" s="829"/>
      <c r="W410" s="829"/>
      <c r="X410" s="829"/>
      <c r="Y410" s="829"/>
      <c r="Z410" s="829"/>
      <c r="AA410" s="829"/>
      <c r="AB410" s="829"/>
      <c r="AC410" s="829"/>
      <c r="AD410" s="829"/>
      <c r="AE410" s="829"/>
      <c r="AF410" s="829"/>
      <c r="AG410" s="829"/>
      <c r="AH410" s="829"/>
      <c r="AI410" s="829"/>
      <c r="AJ410" s="829"/>
      <c r="AK410" s="829"/>
      <c r="AL410" s="829"/>
      <c r="AM410" s="829"/>
      <c r="AN410" s="829"/>
    </row>
    <row r="411" spans="1:40" ht="12.75" x14ac:dyDescent="0.2">
      <c r="A411" s="829"/>
      <c r="B411" s="829"/>
      <c r="C411" s="829"/>
      <c r="D411" s="829"/>
      <c r="E411" s="829"/>
      <c r="F411" s="829"/>
      <c r="G411" s="829"/>
      <c r="H411" s="829"/>
      <c r="I411" s="829"/>
      <c r="J411" s="829"/>
      <c r="K411" s="829"/>
      <c r="L411" s="829"/>
      <c r="M411" s="829"/>
      <c r="N411" s="829"/>
      <c r="O411" s="829"/>
      <c r="P411" s="829"/>
      <c r="Q411" s="829"/>
      <c r="R411" s="829"/>
      <c r="S411" s="829"/>
      <c r="T411" s="829"/>
      <c r="U411" s="829"/>
      <c r="V411" s="829"/>
      <c r="W411" s="829"/>
      <c r="X411" s="829"/>
      <c r="Y411" s="829"/>
      <c r="Z411" s="829"/>
      <c r="AA411" s="829"/>
      <c r="AB411" s="829"/>
      <c r="AC411" s="829"/>
      <c r="AD411" s="829"/>
      <c r="AE411" s="829"/>
      <c r="AF411" s="829"/>
      <c r="AG411" s="829"/>
      <c r="AH411" s="829"/>
      <c r="AI411" s="829"/>
      <c r="AJ411" s="829"/>
      <c r="AK411" s="829"/>
      <c r="AL411" s="829"/>
      <c r="AM411" s="829"/>
      <c r="AN411" s="829"/>
    </row>
    <row r="412" spans="1:40" ht="12.75" x14ac:dyDescent="0.2">
      <c r="A412" s="829"/>
      <c r="B412" s="829"/>
      <c r="C412" s="829"/>
      <c r="D412" s="829"/>
      <c r="E412" s="829"/>
      <c r="F412" s="829"/>
      <c r="G412" s="829"/>
      <c r="H412" s="829"/>
      <c r="I412" s="829"/>
      <c r="J412" s="829"/>
      <c r="K412" s="829"/>
      <c r="L412" s="829"/>
      <c r="M412" s="829"/>
      <c r="N412" s="829"/>
      <c r="O412" s="829"/>
      <c r="P412" s="829"/>
      <c r="Q412" s="829"/>
      <c r="R412" s="829"/>
      <c r="S412" s="829"/>
      <c r="T412" s="829"/>
      <c r="U412" s="829"/>
      <c r="V412" s="829"/>
      <c r="W412" s="829"/>
      <c r="X412" s="829"/>
      <c r="Y412" s="829"/>
      <c r="Z412" s="829"/>
      <c r="AA412" s="829"/>
      <c r="AB412" s="829"/>
      <c r="AC412" s="829"/>
      <c r="AD412" s="829"/>
      <c r="AE412" s="829"/>
      <c r="AF412" s="829"/>
      <c r="AG412" s="829"/>
      <c r="AH412" s="829"/>
      <c r="AI412" s="829"/>
      <c r="AJ412" s="829"/>
      <c r="AK412" s="829"/>
      <c r="AL412" s="829"/>
      <c r="AM412" s="829"/>
      <c r="AN412" s="829"/>
    </row>
    <row r="413" spans="1:40" ht="12.75" x14ac:dyDescent="0.2">
      <c r="A413" s="829"/>
      <c r="B413" s="829"/>
      <c r="C413" s="829"/>
      <c r="D413" s="829"/>
      <c r="E413" s="829"/>
      <c r="F413" s="829"/>
      <c r="G413" s="829"/>
      <c r="H413" s="829"/>
      <c r="I413" s="829"/>
      <c r="J413" s="829"/>
      <c r="K413" s="829"/>
      <c r="L413" s="829"/>
      <c r="M413" s="829"/>
      <c r="N413" s="829"/>
      <c r="O413" s="829"/>
      <c r="P413" s="829"/>
      <c r="Q413" s="829"/>
      <c r="R413" s="829"/>
      <c r="S413" s="829"/>
      <c r="T413" s="829"/>
      <c r="U413" s="829"/>
      <c r="V413" s="829"/>
      <c r="W413" s="829"/>
      <c r="X413" s="829"/>
      <c r="Y413" s="829"/>
      <c r="Z413" s="829"/>
      <c r="AA413" s="829"/>
      <c r="AB413" s="829"/>
      <c r="AC413" s="829"/>
      <c r="AD413" s="829"/>
      <c r="AE413" s="829"/>
      <c r="AF413" s="829"/>
      <c r="AG413" s="829"/>
      <c r="AH413" s="829"/>
      <c r="AI413" s="829"/>
      <c r="AJ413" s="829"/>
      <c r="AK413" s="829"/>
      <c r="AL413" s="829"/>
      <c r="AM413" s="829"/>
      <c r="AN413" s="829"/>
    </row>
    <row r="414" spans="1:40" ht="12.75" x14ac:dyDescent="0.2">
      <c r="A414" s="829"/>
      <c r="B414" s="829"/>
      <c r="C414" s="829"/>
      <c r="D414" s="829"/>
      <c r="E414" s="829"/>
      <c r="F414" s="829"/>
      <c r="G414" s="829"/>
      <c r="H414" s="829"/>
      <c r="I414" s="829"/>
      <c r="J414" s="829"/>
      <c r="K414" s="829"/>
      <c r="L414" s="829"/>
      <c r="M414" s="829"/>
      <c r="N414" s="829"/>
      <c r="O414" s="829"/>
      <c r="P414" s="829"/>
      <c r="Q414" s="829"/>
      <c r="R414" s="829"/>
      <c r="S414" s="829"/>
      <c r="T414" s="829"/>
      <c r="U414" s="829"/>
      <c r="V414" s="829"/>
      <c r="W414" s="829"/>
      <c r="X414" s="829"/>
      <c r="Y414" s="829"/>
      <c r="Z414" s="829"/>
      <c r="AA414" s="829"/>
      <c r="AB414" s="829"/>
      <c r="AC414" s="829"/>
      <c r="AD414" s="829"/>
      <c r="AE414" s="829"/>
      <c r="AF414" s="829"/>
      <c r="AG414" s="829"/>
      <c r="AH414" s="829"/>
      <c r="AI414" s="829"/>
      <c r="AJ414" s="829"/>
      <c r="AK414" s="829"/>
      <c r="AL414" s="829"/>
      <c r="AM414" s="829"/>
      <c r="AN414" s="829"/>
    </row>
    <row r="415" spans="1:40" ht="12.75" x14ac:dyDescent="0.2">
      <c r="A415" s="829"/>
      <c r="B415" s="829"/>
      <c r="C415" s="829"/>
      <c r="D415" s="829"/>
      <c r="E415" s="829"/>
      <c r="F415" s="829"/>
      <c r="G415" s="829"/>
      <c r="H415" s="829"/>
      <c r="I415" s="829"/>
      <c r="J415" s="829"/>
      <c r="K415" s="829"/>
      <c r="L415" s="829"/>
      <c r="M415" s="829"/>
      <c r="N415" s="829"/>
      <c r="O415" s="829"/>
      <c r="P415" s="829"/>
      <c r="Q415" s="829"/>
      <c r="R415" s="829"/>
      <c r="S415" s="829"/>
      <c r="T415" s="829"/>
      <c r="U415" s="829"/>
      <c r="V415" s="829"/>
      <c r="W415" s="829"/>
      <c r="X415" s="829"/>
      <c r="Y415" s="829"/>
      <c r="Z415" s="829"/>
      <c r="AA415" s="829"/>
      <c r="AB415" s="829"/>
      <c r="AC415" s="829"/>
      <c r="AD415" s="829"/>
      <c r="AE415" s="829"/>
      <c r="AF415" s="829"/>
      <c r="AG415" s="829"/>
      <c r="AH415" s="829"/>
      <c r="AI415" s="829"/>
      <c r="AJ415" s="829"/>
      <c r="AK415" s="829"/>
      <c r="AL415" s="829"/>
      <c r="AM415" s="829"/>
      <c r="AN415" s="829"/>
    </row>
    <row r="416" spans="1:40" ht="12.75" x14ac:dyDescent="0.2">
      <c r="A416" s="829"/>
      <c r="B416" s="829"/>
      <c r="C416" s="829"/>
      <c r="D416" s="829"/>
      <c r="E416" s="829"/>
      <c r="F416" s="829"/>
      <c r="G416" s="829"/>
      <c r="H416" s="829"/>
      <c r="I416" s="829"/>
      <c r="J416" s="829"/>
      <c r="K416" s="829"/>
      <c r="L416" s="829"/>
      <c r="M416" s="829"/>
      <c r="N416" s="829"/>
      <c r="O416" s="829"/>
      <c r="P416" s="829"/>
      <c r="Q416" s="829"/>
      <c r="R416" s="829"/>
      <c r="S416" s="829"/>
      <c r="T416" s="829"/>
      <c r="U416" s="829"/>
      <c r="V416" s="829"/>
      <c r="W416" s="829"/>
      <c r="X416" s="829"/>
      <c r="Y416" s="829"/>
      <c r="Z416" s="829"/>
      <c r="AA416" s="829"/>
      <c r="AB416" s="829"/>
      <c r="AC416" s="829"/>
      <c r="AD416" s="829"/>
      <c r="AE416" s="829"/>
      <c r="AF416" s="829"/>
      <c r="AG416" s="829"/>
      <c r="AH416" s="829"/>
      <c r="AI416" s="829"/>
      <c r="AJ416" s="829"/>
      <c r="AK416" s="829"/>
      <c r="AL416" s="829"/>
      <c r="AM416" s="829"/>
      <c r="AN416" s="829"/>
    </row>
    <row r="417" spans="1:40" ht="12.75" x14ac:dyDescent="0.2">
      <c r="A417" s="829"/>
      <c r="B417" s="829"/>
      <c r="C417" s="829"/>
      <c r="D417" s="829"/>
      <c r="E417" s="829"/>
      <c r="F417" s="829"/>
      <c r="G417" s="829"/>
      <c r="H417" s="829"/>
      <c r="I417" s="829"/>
      <c r="J417" s="829"/>
      <c r="K417" s="829"/>
      <c r="L417" s="829"/>
      <c r="M417" s="829"/>
      <c r="N417" s="829"/>
      <c r="O417" s="829"/>
      <c r="P417" s="829"/>
      <c r="Q417" s="829"/>
      <c r="R417" s="829"/>
      <c r="S417" s="829"/>
      <c r="T417" s="829"/>
      <c r="U417" s="829"/>
      <c r="V417" s="829"/>
      <c r="W417" s="829"/>
      <c r="X417" s="829"/>
      <c r="Y417" s="829"/>
      <c r="Z417" s="829"/>
      <c r="AA417" s="829"/>
      <c r="AB417" s="829"/>
      <c r="AC417" s="829"/>
      <c r="AD417" s="829"/>
      <c r="AE417" s="829"/>
      <c r="AF417" s="829"/>
      <c r="AG417" s="829"/>
      <c r="AH417" s="829"/>
      <c r="AI417" s="829"/>
      <c r="AJ417" s="829"/>
      <c r="AK417" s="829"/>
      <c r="AL417" s="829"/>
      <c r="AM417" s="829"/>
      <c r="AN417" s="829"/>
    </row>
    <row r="418" spans="1:40" ht="12.75" x14ac:dyDescent="0.2">
      <c r="A418" s="829"/>
      <c r="B418" s="829"/>
      <c r="C418" s="829"/>
      <c r="D418" s="829"/>
      <c r="E418" s="829"/>
      <c r="F418" s="829"/>
      <c r="G418" s="829"/>
      <c r="H418" s="829"/>
      <c r="I418" s="829"/>
      <c r="J418" s="829"/>
      <c r="K418" s="829"/>
      <c r="L418" s="829"/>
      <c r="M418" s="829"/>
      <c r="N418" s="829"/>
      <c r="O418" s="829"/>
      <c r="P418" s="829"/>
      <c r="Q418" s="829"/>
      <c r="R418" s="829"/>
      <c r="S418" s="829"/>
      <c r="T418" s="829"/>
      <c r="U418" s="829"/>
      <c r="V418" s="829"/>
      <c r="W418" s="829"/>
      <c r="X418" s="829"/>
      <c r="Y418" s="829"/>
      <c r="Z418" s="829"/>
      <c r="AA418" s="829"/>
      <c r="AB418" s="829"/>
      <c r="AC418" s="829"/>
      <c r="AD418" s="829"/>
      <c r="AE418" s="829"/>
      <c r="AF418" s="829"/>
      <c r="AG418" s="829"/>
      <c r="AH418" s="829"/>
      <c r="AI418" s="829"/>
      <c r="AJ418" s="829"/>
      <c r="AK418" s="829"/>
      <c r="AL418" s="829"/>
      <c r="AM418" s="829"/>
      <c r="AN418" s="829"/>
    </row>
    <row r="419" spans="1:40" ht="12.75" x14ac:dyDescent="0.2">
      <c r="A419" s="829"/>
      <c r="B419" s="829"/>
      <c r="C419" s="829"/>
      <c r="D419" s="829"/>
      <c r="E419" s="829"/>
      <c r="F419" s="829"/>
      <c r="G419" s="829"/>
      <c r="H419" s="829"/>
      <c r="I419" s="829"/>
      <c r="J419" s="829"/>
      <c r="K419" s="829"/>
      <c r="L419" s="829"/>
      <c r="M419" s="829"/>
      <c r="N419" s="829"/>
      <c r="O419" s="829"/>
      <c r="P419" s="829"/>
      <c r="Q419" s="829"/>
      <c r="R419" s="829"/>
      <c r="S419" s="829"/>
      <c r="T419" s="829"/>
      <c r="U419" s="829"/>
      <c r="V419" s="829"/>
      <c r="W419" s="829"/>
      <c r="X419" s="829"/>
      <c r="Y419" s="829"/>
      <c r="Z419" s="829"/>
      <c r="AA419" s="829"/>
      <c r="AB419" s="829"/>
      <c r="AC419" s="829"/>
      <c r="AD419" s="829"/>
      <c r="AE419" s="829"/>
      <c r="AF419" s="829"/>
      <c r="AG419" s="829"/>
      <c r="AH419" s="829"/>
      <c r="AI419" s="829"/>
      <c r="AJ419" s="829"/>
      <c r="AK419" s="829"/>
      <c r="AL419" s="829"/>
      <c r="AM419" s="829"/>
      <c r="AN419" s="829"/>
    </row>
    <row r="420" spans="1:40" ht="12.75" x14ac:dyDescent="0.2">
      <c r="A420" s="829"/>
      <c r="B420" s="829"/>
      <c r="C420" s="829"/>
      <c r="D420" s="829"/>
      <c r="E420" s="829"/>
      <c r="F420" s="829"/>
      <c r="G420" s="829"/>
      <c r="H420" s="829"/>
      <c r="I420" s="829"/>
      <c r="J420" s="829"/>
      <c r="K420" s="829"/>
      <c r="L420" s="829"/>
      <c r="M420" s="829"/>
      <c r="N420" s="829"/>
      <c r="O420" s="829"/>
      <c r="P420" s="829"/>
      <c r="Q420" s="829"/>
      <c r="R420" s="829"/>
      <c r="S420" s="829"/>
      <c r="T420" s="829"/>
      <c r="U420" s="829"/>
      <c r="V420" s="829"/>
      <c r="W420" s="829"/>
      <c r="X420" s="829"/>
      <c r="Y420" s="829"/>
      <c r="Z420" s="829"/>
      <c r="AA420" s="829"/>
      <c r="AB420" s="829"/>
      <c r="AC420" s="829"/>
      <c r="AD420" s="829"/>
      <c r="AE420" s="829"/>
      <c r="AF420" s="829"/>
      <c r="AG420" s="829"/>
      <c r="AH420" s="829"/>
      <c r="AI420" s="829"/>
      <c r="AJ420" s="829"/>
      <c r="AK420" s="829"/>
      <c r="AL420" s="829"/>
      <c r="AM420" s="829"/>
      <c r="AN420" s="829"/>
    </row>
    <row r="421" spans="1:40" ht="12.75" x14ac:dyDescent="0.2">
      <c r="A421" s="829"/>
      <c r="B421" s="829"/>
      <c r="C421" s="829"/>
      <c r="D421" s="829"/>
      <c r="E421" s="829"/>
      <c r="F421" s="829"/>
      <c r="G421" s="829"/>
      <c r="H421" s="829"/>
      <c r="I421" s="829"/>
      <c r="J421" s="829"/>
      <c r="K421" s="829"/>
      <c r="L421" s="829"/>
      <c r="M421" s="829"/>
      <c r="N421" s="829"/>
      <c r="O421" s="829"/>
      <c r="P421" s="829"/>
      <c r="Q421" s="829"/>
      <c r="R421" s="829"/>
      <c r="S421" s="829"/>
      <c r="T421" s="829"/>
      <c r="U421" s="829"/>
      <c r="V421" s="829"/>
      <c r="W421" s="829"/>
      <c r="X421" s="829"/>
      <c r="Y421" s="829"/>
      <c r="Z421" s="829"/>
      <c r="AA421" s="829"/>
      <c r="AB421" s="829"/>
      <c r="AC421" s="829"/>
      <c r="AD421" s="829"/>
      <c r="AE421" s="829"/>
      <c r="AF421" s="829"/>
      <c r="AG421" s="829"/>
      <c r="AH421" s="829"/>
      <c r="AI421" s="829"/>
      <c r="AJ421" s="829"/>
      <c r="AK421" s="829"/>
      <c r="AL421" s="829"/>
      <c r="AM421" s="829"/>
      <c r="AN421" s="829"/>
    </row>
    <row r="422" spans="1:40" ht="12.75" x14ac:dyDescent="0.2">
      <c r="A422" s="829"/>
      <c r="B422" s="829"/>
      <c r="C422" s="829"/>
      <c r="D422" s="829"/>
      <c r="E422" s="829"/>
      <c r="F422" s="829"/>
      <c r="G422" s="829"/>
      <c r="H422" s="829"/>
      <c r="I422" s="829"/>
      <c r="J422" s="829"/>
      <c r="K422" s="829"/>
      <c r="L422" s="829"/>
      <c r="M422" s="829"/>
      <c r="N422" s="829"/>
      <c r="O422" s="829"/>
      <c r="P422" s="829"/>
      <c r="Q422" s="829"/>
      <c r="R422" s="829"/>
      <c r="S422" s="829"/>
      <c r="T422" s="829"/>
      <c r="U422" s="829"/>
      <c r="V422" s="829"/>
      <c r="W422" s="829"/>
      <c r="X422" s="829"/>
      <c r="Y422" s="829"/>
      <c r="Z422" s="829"/>
      <c r="AA422" s="829"/>
      <c r="AB422" s="829"/>
      <c r="AC422" s="829"/>
      <c r="AD422" s="829"/>
      <c r="AE422" s="829"/>
      <c r="AF422" s="829"/>
      <c r="AG422" s="829"/>
      <c r="AH422" s="829"/>
      <c r="AI422" s="829"/>
      <c r="AJ422" s="829"/>
      <c r="AK422" s="829"/>
      <c r="AL422" s="829"/>
      <c r="AM422" s="829"/>
      <c r="AN422" s="829"/>
    </row>
    <row r="423" spans="1:40" ht="12.75" x14ac:dyDescent="0.2">
      <c r="A423" s="829"/>
      <c r="B423" s="829"/>
      <c r="C423" s="829"/>
      <c r="D423" s="829"/>
      <c r="E423" s="829"/>
      <c r="F423" s="829"/>
      <c r="G423" s="829"/>
      <c r="H423" s="829"/>
      <c r="I423" s="829"/>
      <c r="J423" s="829"/>
      <c r="K423" s="829"/>
      <c r="L423" s="829"/>
      <c r="M423" s="829"/>
      <c r="N423" s="829"/>
      <c r="O423" s="829"/>
      <c r="P423" s="829"/>
      <c r="Q423" s="829"/>
      <c r="R423" s="829"/>
      <c r="S423" s="829"/>
      <c r="T423" s="829"/>
      <c r="U423" s="829"/>
      <c r="V423" s="829"/>
      <c r="W423" s="829"/>
      <c r="X423" s="829"/>
      <c r="Y423" s="829"/>
      <c r="Z423" s="829"/>
      <c r="AA423" s="829"/>
      <c r="AB423" s="829"/>
      <c r="AC423" s="829"/>
      <c r="AD423" s="829"/>
      <c r="AE423" s="829"/>
      <c r="AF423" s="829"/>
      <c r="AG423" s="829"/>
      <c r="AH423" s="829"/>
      <c r="AI423" s="829"/>
      <c r="AJ423" s="829"/>
      <c r="AK423" s="829"/>
      <c r="AL423" s="829"/>
      <c r="AM423" s="829"/>
      <c r="AN423" s="829"/>
    </row>
    <row r="424" spans="1:40" ht="12.75" x14ac:dyDescent="0.2">
      <c r="A424" s="829"/>
      <c r="B424" s="829"/>
      <c r="C424" s="829"/>
      <c r="D424" s="829"/>
      <c r="E424" s="829"/>
      <c r="F424" s="829"/>
      <c r="G424" s="829"/>
      <c r="H424" s="829"/>
      <c r="I424" s="829"/>
      <c r="J424" s="829"/>
      <c r="K424" s="829"/>
      <c r="L424" s="829"/>
      <c r="M424" s="829"/>
      <c r="N424" s="829"/>
      <c r="O424" s="829"/>
      <c r="P424" s="829"/>
      <c r="Q424" s="829"/>
      <c r="R424" s="829"/>
      <c r="S424" s="829"/>
      <c r="T424" s="829"/>
      <c r="U424" s="829"/>
      <c r="V424" s="829"/>
      <c r="W424" s="829"/>
      <c r="X424" s="829"/>
      <c r="Y424" s="829"/>
      <c r="Z424" s="829"/>
      <c r="AA424" s="829"/>
      <c r="AB424" s="829"/>
      <c r="AC424" s="829"/>
      <c r="AD424" s="829"/>
      <c r="AE424" s="829"/>
      <c r="AF424" s="829"/>
      <c r="AG424" s="829"/>
      <c r="AH424" s="829"/>
      <c r="AI424" s="829"/>
      <c r="AJ424" s="829"/>
      <c r="AK424" s="829"/>
      <c r="AL424" s="829"/>
      <c r="AM424" s="829"/>
      <c r="AN424" s="829"/>
    </row>
    <row r="425" spans="1:40" ht="12.75" x14ac:dyDescent="0.2">
      <c r="A425" s="829"/>
      <c r="B425" s="829"/>
      <c r="C425" s="829"/>
      <c r="D425" s="829"/>
      <c r="E425" s="829"/>
      <c r="F425" s="829"/>
      <c r="G425" s="829"/>
      <c r="H425" s="829"/>
      <c r="I425" s="829"/>
      <c r="J425" s="829"/>
      <c r="K425" s="829"/>
      <c r="L425" s="829"/>
      <c r="M425" s="829"/>
      <c r="N425" s="829"/>
      <c r="O425" s="829"/>
      <c r="P425" s="829"/>
      <c r="Q425" s="829"/>
      <c r="R425" s="829"/>
      <c r="S425" s="829"/>
      <c r="T425" s="829"/>
      <c r="U425" s="829"/>
      <c r="V425" s="829"/>
      <c r="W425" s="829"/>
      <c r="X425" s="829"/>
      <c r="Y425" s="829"/>
      <c r="Z425" s="829"/>
      <c r="AA425" s="829"/>
      <c r="AB425" s="829"/>
      <c r="AC425" s="829"/>
      <c r="AD425" s="829"/>
      <c r="AE425" s="829"/>
      <c r="AF425" s="829"/>
      <c r="AG425" s="829"/>
      <c r="AH425" s="829"/>
      <c r="AI425" s="829"/>
      <c r="AJ425" s="829"/>
      <c r="AK425" s="829"/>
      <c r="AL425" s="829"/>
      <c r="AM425" s="829"/>
      <c r="AN425" s="829"/>
    </row>
    <row r="426" spans="1:40" ht="12.75" x14ac:dyDescent="0.2">
      <c r="A426" s="829"/>
      <c r="B426" s="829"/>
      <c r="C426" s="829"/>
      <c r="D426" s="829"/>
      <c r="E426" s="829"/>
      <c r="F426" s="829"/>
      <c r="G426" s="829"/>
      <c r="H426" s="829"/>
      <c r="I426" s="829"/>
      <c r="J426" s="829"/>
      <c r="K426" s="829"/>
      <c r="L426" s="829"/>
      <c r="M426" s="829"/>
      <c r="N426" s="829"/>
      <c r="O426" s="829"/>
      <c r="P426" s="829"/>
      <c r="Q426" s="829"/>
      <c r="R426" s="829"/>
      <c r="S426" s="829"/>
      <c r="T426" s="829"/>
      <c r="U426" s="829"/>
      <c r="V426" s="829"/>
      <c r="W426" s="829"/>
      <c r="X426" s="829"/>
      <c r="Y426" s="829"/>
      <c r="Z426" s="829"/>
      <c r="AA426" s="829"/>
      <c r="AB426" s="829"/>
      <c r="AC426" s="829"/>
      <c r="AD426" s="829"/>
      <c r="AE426" s="829"/>
      <c r="AF426" s="829"/>
      <c r="AG426" s="829"/>
      <c r="AH426" s="829"/>
      <c r="AI426" s="829"/>
      <c r="AJ426" s="829"/>
      <c r="AK426" s="829"/>
      <c r="AL426" s="829"/>
      <c r="AM426" s="829"/>
      <c r="AN426" s="829"/>
    </row>
    <row r="427" spans="1:40" ht="12.75" x14ac:dyDescent="0.2">
      <c r="A427" s="829"/>
      <c r="B427" s="829"/>
      <c r="C427" s="829"/>
      <c r="D427" s="829"/>
      <c r="E427" s="829"/>
      <c r="F427" s="829"/>
      <c r="G427" s="829"/>
      <c r="H427" s="829"/>
      <c r="I427" s="829"/>
      <c r="J427" s="829"/>
      <c r="K427" s="829"/>
      <c r="L427" s="829"/>
      <c r="M427" s="829"/>
      <c r="N427" s="829"/>
      <c r="O427" s="829"/>
      <c r="P427" s="829"/>
      <c r="Q427" s="829"/>
      <c r="R427" s="829"/>
      <c r="S427" s="829"/>
      <c r="T427" s="829"/>
      <c r="U427" s="829"/>
      <c r="V427" s="829"/>
      <c r="W427" s="829"/>
      <c r="X427" s="829"/>
      <c r="Y427" s="829"/>
      <c r="Z427" s="829"/>
      <c r="AA427" s="829"/>
      <c r="AB427" s="829"/>
      <c r="AC427" s="829"/>
      <c r="AD427" s="829"/>
      <c r="AE427" s="829"/>
      <c r="AF427" s="829"/>
      <c r="AG427" s="829"/>
      <c r="AH427" s="829"/>
      <c r="AI427" s="829"/>
      <c r="AJ427" s="829"/>
      <c r="AK427" s="829"/>
      <c r="AL427" s="829"/>
      <c r="AM427" s="829"/>
      <c r="AN427" s="829"/>
    </row>
    <row r="428" spans="1:40" ht="12.75" x14ac:dyDescent="0.2">
      <c r="A428" s="829"/>
      <c r="B428" s="829"/>
      <c r="C428" s="829"/>
      <c r="D428" s="829"/>
      <c r="E428" s="829"/>
      <c r="F428" s="829"/>
      <c r="G428" s="829"/>
      <c r="H428" s="829"/>
      <c r="I428" s="829"/>
      <c r="J428" s="829"/>
      <c r="K428" s="829"/>
      <c r="L428" s="829"/>
      <c r="M428" s="829"/>
      <c r="N428" s="829"/>
      <c r="O428" s="829"/>
      <c r="P428" s="829"/>
      <c r="Q428" s="829"/>
      <c r="R428" s="829"/>
      <c r="S428" s="829"/>
      <c r="T428" s="829"/>
      <c r="U428" s="829"/>
      <c r="V428" s="829"/>
      <c r="W428" s="829"/>
      <c r="X428" s="829"/>
      <c r="Y428" s="829"/>
      <c r="Z428" s="829"/>
      <c r="AA428" s="829"/>
      <c r="AB428" s="829"/>
      <c r="AC428" s="829"/>
      <c r="AD428" s="829"/>
      <c r="AE428" s="829"/>
      <c r="AF428" s="829"/>
      <c r="AG428" s="829"/>
      <c r="AH428" s="829"/>
      <c r="AI428" s="829"/>
      <c r="AJ428" s="829"/>
      <c r="AK428" s="829"/>
      <c r="AL428" s="829"/>
      <c r="AM428" s="829"/>
      <c r="AN428" s="829"/>
    </row>
    <row r="429" spans="1:40" ht="12.75" x14ac:dyDescent="0.2">
      <c r="A429" s="829"/>
      <c r="B429" s="829"/>
      <c r="C429" s="829"/>
      <c r="D429" s="829"/>
      <c r="E429" s="829"/>
      <c r="F429" s="829"/>
      <c r="G429" s="829"/>
      <c r="H429" s="829"/>
      <c r="I429" s="829"/>
      <c r="J429" s="829"/>
      <c r="K429" s="829"/>
      <c r="L429" s="829"/>
      <c r="M429" s="829"/>
      <c r="N429" s="829"/>
      <c r="O429" s="829"/>
      <c r="P429" s="829"/>
      <c r="Q429" s="829"/>
      <c r="R429" s="829"/>
      <c r="S429" s="829"/>
      <c r="T429" s="829"/>
      <c r="U429" s="829"/>
      <c r="V429" s="829"/>
      <c r="W429" s="829"/>
      <c r="X429" s="829"/>
      <c r="Y429" s="829"/>
      <c r="Z429" s="829"/>
      <c r="AA429" s="829"/>
      <c r="AB429" s="829"/>
      <c r="AC429" s="829"/>
      <c r="AD429" s="829"/>
      <c r="AE429" s="829"/>
      <c r="AF429" s="829"/>
      <c r="AG429" s="829"/>
      <c r="AH429" s="829"/>
      <c r="AI429" s="829"/>
      <c r="AJ429" s="829"/>
      <c r="AK429" s="829"/>
      <c r="AL429" s="829"/>
      <c r="AM429" s="829"/>
      <c r="AN429" s="829"/>
    </row>
    <row r="430" spans="1:40" ht="12.75" x14ac:dyDescent="0.2">
      <c r="A430" s="829"/>
      <c r="B430" s="829"/>
      <c r="C430" s="829"/>
      <c r="D430" s="829"/>
      <c r="E430" s="829"/>
      <c r="F430" s="829"/>
      <c r="G430" s="829"/>
      <c r="H430" s="829"/>
      <c r="I430" s="829"/>
      <c r="J430" s="829"/>
      <c r="K430" s="829"/>
      <c r="L430" s="829"/>
      <c r="M430" s="829"/>
      <c r="N430" s="829"/>
      <c r="O430" s="829"/>
      <c r="P430" s="829"/>
      <c r="Q430" s="829"/>
      <c r="R430" s="829"/>
      <c r="S430" s="829"/>
      <c r="T430" s="829"/>
      <c r="U430" s="829"/>
      <c r="V430" s="829"/>
      <c r="W430" s="829"/>
      <c r="X430" s="829"/>
      <c r="Y430" s="829"/>
      <c r="Z430" s="829"/>
      <c r="AA430" s="829"/>
      <c r="AB430" s="829"/>
      <c r="AC430" s="829"/>
      <c r="AD430" s="829"/>
      <c r="AE430" s="829"/>
      <c r="AF430" s="829"/>
      <c r="AG430" s="829"/>
      <c r="AH430" s="829"/>
      <c r="AI430" s="829"/>
      <c r="AJ430" s="829"/>
      <c r="AK430" s="829"/>
      <c r="AL430" s="829"/>
      <c r="AM430" s="829"/>
      <c r="AN430" s="829"/>
    </row>
    <row r="431" spans="1:40" ht="12.75" x14ac:dyDescent="0.2">
      <c r="A431" s="829"/>
      <c r="B431" s="829"/>
      <c r="C431" s="829"/>
      <c r="D431" s="829"/>
      <c r="E431" s="829"/>
      <c r="F431" s="829"/>
      <c r="G431" s="829"/>
      <c r="H431" s="829"/>
      <c r="I431" s="829"/>
      <c r="J431" s="829"/>
      <c r="K431" s="829"/>
      <c r="L431" s="829"/>
      <c r="M431" s="829"/>
      <c r="N431" s="829"/>
      <c r="O431" s="829"/>
      <c r="P431" s="829"/>
      <c r="Q431" s="829"/>
      <c r="R431" s="829"/>
      <c r="S431" s="829"/>
      <c r="T431" s="829"/>
      <c r="U431" s="829"/>
      <c r="V431" s="829"/>
      <c r="W431" s="829"/>
      <c r="X431" s="829"/>
      <c r="Y431" s="829"/>
      <c r="Z431" s="829"/>
      <c r="AA431" s="829"/>
      <c r="AB431" s="829"/>
      <c r="AC431" s="829"/>
      <c r="AD431" s="829"/>
      <c r="AE431" s="829"/>
      <c r="AF431" s="829"/>
      <c r="AG431" s="829"/>
      <c r="AH431" s="829"/>
      <c r="AI431" s="829"/>
      <c r="AJ431" s="829"/>
      <c r="AK431" s="829"/>
      <c r="AL431" s="829"/>
      <c r="AM431" s="829"/>
      <c r="AN431" s="829"/>
    </row>
    <row r="432" spans="1:40" ht="12.75" x14ac:dyDescent="0.2">
      <c r="A432" s="829"/>
      <c r="B432" s="829"/>
      <c r="C432" s="829"/>
      <c r="D432" s="829"/>
      <c r="E432" s="829"/>
      <c r="F432" s="829"/>
      <c r="G432" s="829"/>
      <c r="H432" s="829"/>
      <c r="I432" s="829"/>
      <c r="J432" s="829"/>
      <c r="K432" s="829"/>
      <c r="L432" s="829"/>
      <c r="M432" s="829"/>
      <c r="N432" s="829"/>
      <c r="O432" s="829"/>
      <c r="P432" s="829"/>
      <c r="Q432" s="829"/>
      <c r="R432" s="829"/>
      <c r="S432" s="829"/>
      <c r="T432" s="829"/>
      <c r="U432" s="829"/>
      <c r="V432" s="829"/>
      <c r="W432" s="829"/>
      <c r="X432" s="829"/>
      <c r="Y432" s="829"/>
      <c r="Z432" s="829"/>
      <c r="AA432" s="829"/>
      <c r="AB432" s="829"/>
      <c r="AC432" s="829"/>
      <c r="AD432" s="829"/>
      <c r="AE432" s="829"/>
      <c r="AF432" s="829"/>
      <c r="AG432" s="829"/>
      <c r="AH432" s="829"/>
      <c r="AI432" s="829"/>
      <c r="AJ432" s="829"/>
      <c r="AK432" s="829"/>
      <c r="AL432" s="829"/>
      <c r="AM432" s="829"/>
      <c r="AN432" s="829"/>
    </row>
    <row r="433" spans="1:40" ht="12.75" x14ac:dyDescent="0.2">
      <c r="A433" s="829"/>
      <c r="B433" s="829"/>
      <c r="C433" s="829"/>
      <c r="D433" s="829"/>
      <c r="E433" s="829"/>
      <c r="F433" s="829"/>
      <c r="G433" s="829"/>
      <c r="H433" s="829"/>
      <c r="I433" s="829"/>
      <c r="J433" s="829"/>
      <c r="K433" s="829"/>
      <c r="L433" s="829"/>
      <c r="M433" s="829"/>
      <c r="N433" s="829"/>
      <c r="O433" s="829"/>
      <c r="P433" s="829"/>
      <c r="Q433" s="829"/>
      <c r="R433" s="829"/>
      <c r="S433" s="829"/>
      <c r="T433" s="829"/>
      <c r="U433" s="829"/>
      <c r="V433" s="829"/>
      <c r="W433" s="829"/>
      <c r="X433" s="829"/>
      <c r="Y433" s="829"/>
      <c r="Z433" s="829"/>
      <c r="AA433" s="829"/>
      <c r="AB433" s="829"/>
      <c r="AC433" s="829"/>
      <c r="AD433" s="829"/>
      <c r="AE433" s="829"/>
      <c r="AF433" s="829"/>
      <c r="AG433" s="829"/>
      <c r="AH433" s="829"/>
      <c r="AI433" s="829"/>
      <c r="AJ433" s="829"/>
      <c r="AK433" s="829"/>
      <c r="AL433" s="829"/>
      <c r="AM433" s="829"/>
      <c r="AN433" s="829"/>
    </row>
    <row r="434" spans="1:40" ht="12.75" x14ac:dyDescent="0.2">
      <c r="A434" s="829"/>
      <c r="B434" s="829"/>
      <c r="C434" s="829"/>
      <c r="D434" s="829"/>
      <c r="E434" s="829"/>
      <c r="F434" s="829"/>
      <c r="G434" s="829"/>
      <c r="H434" s="829"/>
      <c r="I434" s="829"/>
      <c r="J434" s="829"/>
      <c r="K434" s="829"/>
      <c r="L434" s="829"/>
      <c r="M434" s="829"/>
      <c r="N434" s="829"/>
      <c r="O434" s="829"/>
      <c r="P434" s="829"/>
      <c r="Q434" s="829"/>
      <c r="R434" s="829"/>
      <c r="S434" s="829"/>
      <c r="T434" s="829"/>
      <c r="U434" s="829"/>
      <c r="V434" s="829"/>
      <c r="W434" s="829"/>
      <c r="X434" s="829"/>
      <c r="Y434" s="829"/>
      <c r="Z434" s="829"/>
      <c r="AA434" s="829"/>
      <c r="AB434" s="829"/>
      <c r="AC434" s="829"/>
      <c r="AD434" s="829"/>
      <c r="AE434" s="829"/>
      <c r="AF434" s="829"/>
      <c r="AG434" s="829"/>
      <c r="AH434" s="829"/>
      <c r="AI434" s="829"/>
      <c r="AJ434" s="829"/>
      <c r="AK434" s="829"/>
      <c r="AL434" s="829"/>
      <c r="AM434" s="829"/>
      <c r="AN434" s="829"/>
    </row>
    <row r="435" spans="1:40" ht="12.75" x14ac:dyDescent="0.2">
      <c r="A435" s="829"/>
      <c r="B435" s="829"/>
      <c r="C435" s="829"/>
      <c r="D435" s="829"/>
      <c r="E435" s="829"/>
      <c r="F435" s="829"/>
      <c r="G435" s="829"/>
      <c r="H435" s="829"/>
      <c r="I435" s="829"/>
      <c r="J435" s="829"/>
      <c r="K435" s="829"/>
      <c r="L435" s="829"/>
      <c r="M435" s="829"/>
      <c r="N435" s="829"/>
      <c r="O435" s="829"/>
      <c r="P435" s="829"/>
      <c r="Q435" s="829"/>
      <c r="R435" s="829"/>
      <c r="S435" s="829"/>
      <c r="T435" s="829"/>
      <c r="U435" s="829"/>
      <c r="V435" s="829"/>
      <c r="W435" s="829"/>
      <c r="X435" s="829"/>
      <c r="Y435" s="829"/>
      <c r="Z435" s="829"/>
      <c r="AA435" s="829"/>
      <c r="AB435" s="829"/>
      <c r="AC435" s="829"/>
      <c r="AD435" s="829"/>
      <c r="AE435" s="829"/>
      <c r="AF435" s="829"/>
      <c r="AG435" s="829"/>
      <c r="AH435" s="829"/>
      <c r="AI435" s="829"/>
      <c r="AJ435" s="829"/>
      <c r="AK435" s="829"/>
      <c r="AL435" s="829"/>
      <c r="AM435" s="829"/>
      <c r="AN435" s="829"/>
    </row>
    <row r="436" spans="1:40" ht="12.75" x14ac:dyDescent="0.2">
      <c r="A436" s="829"/>
      <c r="B436" s="829"/>
      <c r="C436" s="829"/>
      <c r="D436" s="829"/>
      <c r="E436" s="829"/>
      <c r="F436" s="829"/>
      <c r="G436" s="829"/>
      <c r="H436" s="829"/>
      <c r="I436" s="829"/>
      <c r="J436" s="829"/>
      <c r="K436" s="829"/>
      <c r="L436" s="829"/>
      <c r="M436" s="829"/>
      <c r="N436" s="829"/>
      <c r="O436" s="829"/>
      <c r="P436" s="829"/>
      <c r="Q436" s="829"/>
      <c r="R436" s="829"/>
      <c r="S436" s="829"/>
      <c r="T436" s="829"/>
      <c r="U436" s="829"/>
      <c r="V436" s="829"/>
      <c r="W436" s="829"/>
      <c r="X436" s="829"/>
      <c r="Y436" s="829"/>
      <c r="Z436" s="829"/>
      <c r="AA436" s="829"/>
      <c r="AB436" s="829"/>
      <c r="AC436" s="829"/>
      <c r="AD436" s="829"/>
      <c r="AE436" s="829"/>
      <c r="AF436" s="829"/>
      <c r="AG436" s="829"/>
      <c r="AH436" s="829"/>
      <c r="AI436" s="829"/>
      <c r="AJ436" s="829"/>
      <c r="AK436" s="829"/>
      <c r="AL436" s="829"/>
      <c r="AM436" s="829"/>
      <c r="AN436" s="829"/>
    </row>
    <row r="437" spans="1:40" ht="12.75" x14ac:dyDescent="0.2">
      <c r="A437" s="829"/>
      <c r="B437" s="829"/>
      <c r="C437" s="829"/>
      <c r="D437" s="829"/>
      <c r="E437" s="829"/>
      <c r="F437" s="829"/>
      <c r="G437" s="829"/>
      <c r="H437" s="829"/>
      <c r="I437" s="829"/>
      <c r="J437" s="829"/>
      <c r="K437" s="829"/>
      <c r="L437" s="829"/>
      <c r="M437" s="829"/>
      <c r="N437" s="829"/>
      <c r="O437" s="829"/>
      <c r="P437" s="829"/>
      <c r="Q437" s="829"/>
      <c r="R437" s="829"/>
      <c r="S437" s="829"/>
      <c r="T437" s="829"/>
      <c r="U437" s="829"/>
      <c r="V437" s="829"/>
      <c r="W437" s="829"/>
      <c r="X437" s="829"/>
      <c r="Y437" s="829"/>
      <c r="Z437" s="829"/>
      <c r="AA437" s="829"/>
      <c r="AB437" s="829"/>
      <c r="AC437" s="829"/>
      <c r="AD437" s="829"/>
      <c r="AE437" s="829"/>
      <c r="AF437" s="829"/>
      <c r="AG437" s="829"/>
      <c r="AH437" s="829"/>
      <c r="AI437" s="829"/>
      <c r="AJ437" s="829"/>
      <c r="AK437" s="829"/>
      <c r="AL437" s="829"/>
      <c r="AM437" s="829"/>
      <c r="AN437" s="829"/>
    </row>
    <row r="438" spans="1:40" ht="12.75" x14ac:dyDescent="0.2">
      <c r="A438" s="829"/>
      <c r="B438" s="829"/>
      <c r="C438" s="829"/>
      <c r="D438" s="829"/>
      <c r="E438" s="829"/>
      <c r="F438" s="829"/>
      <c r="G438" s="829"/>
      <c r="H438" s="829"/>
      <c r="I438" s="829"/>
      <c r="J438" s="829"/>
      <c r="K438" s="829"/>
      <c r="L438" s="829"/>
      <c r="M438" s="829"/>
      <c r="N438" s="829"/>
      <c r="O438" s="829"/>
      <c r="P438" s="829"/>
      <c r="Q438" s="829"/>
      <c r="R438" s="829"/>
      <c r="S438" s="829"/>
      <c r="T438" s="829"/>
      <c r="U438" s="829"/>
      <c r="V438" s="829"/>
      <c r="W438" s="829"/>
      <c r="X438" s="829"/>
      <c r="Y438" s="829"/>
      <c r="Z438" s="829"/>
      <c r="AA438" s="829"/>
      <c r="AB438" s="829"/>
      <c r="AC438" s="829"/>
      <c r="AD438" s="829"/>
      <c r="AE438" s="829"/>
      <c r="AF438" s="829"/>
      <c r="AG438" s="829"/>
      <c r="AH438" s="829"/>
      <c r="AI438" s="829"/>
      <c r="AJ438" s="829"/>
      <c r="AK438" s="829"/>
      <c r="AL438" s="829"/>
      <c r="AM438" s="829"/>
      <c r="AN438" s="829"/>
    </row>
    <row r="439" spans="1:40" ht="12.75" x14ac:dyDescent="0.2">
      <c r="A439" s="829"/>
      <c r="B439" s="829"/>
      <c r="C439" s="829"/>
      <c r="D439" s="829"/>
      <c r="E439" s="829"/>
      <c r="F439" s="829"/>
      <c r="G439" s="829"/>
      <c r="H439" s="829"/>
      <c r="I439" s="829"/>
      <c r="J439" s="829"/>
      <c r="K439" s="829"/>
      <c r="L439" s="829"/>
      <c r="M439" s="829"/>
      <c r="N439" s="829"/>
      <c r="O439" s="829"/>
      <c r="P439" s="829"/>
      <c r="Q439" s="829"/>
      <c r="R439" s="829"/>
      <c r="S439" s="829"/>
      <c r="T439" s="829"/>
      <c r="U439" s="829"/>
      <c r="V439" s="829"/>
      <c r="W439" s="829"/>
      <c r="X439" s="829"/>
      <c r="Y439" s="829"/>
      <c r="Z439" s="829"/>
      <c r="AA439" s="829"/>
      <c r="AB439" s="829"/>
      <c r="AC439" s="829"/>
      <c r="AD439" s="829"/>
      <c r="AE439" s="829"/>
      <c r="AF439" s="829"/>
      <c r="AG439" s="829"/>
      <c r="AH439" s="829"/>
      <c r="AI439" s="829"/>
      <c r="AJ439" s="829"/>
      <c r="AK439" s="829"/>
      <c r="AL439" s="829"/>
      <c r="AM439" s="829"/>
      <c r="AN439" s="829"/>
    </row>
    <row r="440" spans="1:40" ht="12.75" x14ac:dyDescent="0.2">
      <c r="A440" s="829"/>
      <c r="B440" s="829"/>
      <c r="C440" s="829"/>
      <c r="D440" s="829"/>
      <c r="E440" s="829"/>
      <c r="F440" s="829"/>
      <c r="G440" s="829"/>
      <c r="H440" s="829"/>
      <c r="I440" s="829"/>
      <c r="J440" s="829"/>
      <c r="K440" s="829"/>
      <c r="L440" s="829"/>
      <c r="M440" s="829"/>
      <c r="N440" s="829"/>
      <c r="O440" s="829"/>
      <c r="P440" s="829"/>
      <c r="Q440" s="829"/>
      <c r="R440" s="829"/>
      <c r="S440" s="829"/>
      <c r="T440" s="829"/>
      <c r="U440" s="829"/>
      <c r="V440" s="829"/>
      <c r="W440" s="829"/>
      <c r="X440" s="829"/>
      <c r="Y440" s="829"/>
      <c r="Z440" s="829"/>
      <c r="AA440" s="829"/>
      <c r="AB440" s="829"/>
      <c r="AC440" s="829"/>
      <c r="AD440" s="829"/>
      <c r="AE440" s="829"/>
      <c r="AF440" s="829"/>
      <c r="AG440" s="829"/>
      <c r="AH440" s="829"/>
      <c r="AI440" s="829"/>
      <c r="AJ440" s="829"/>
      <c r="AK440" s="829"/>
      <c r="AL440" s="829"/>
      <c r="AM440" s="829"/>
      <c r="AN440" s="829"/>
    </row>
    <row r="441" spans="1:40" ht="12.75" x14ac:dyDescent="0.2">
      <c r="A441" s="829"/>
      <c r="B441" s="829"/>
      <c r="C441" s="829"/>
      <c r="D441" s="829"/>
      <c r="E441" s="829"/>
      <c r="F441" s="829"/>
      <c r="G441" s="829"/>
      <c r="H441" s="829"/>
      <c r="I441" s="829"/>
      <c r="J441" s="829"/>
      <c r="K441" s="829"/>
      <c r="L441" s="829"/>
      <c r="M441" s="829"/>
      <c r="N441" s="829"/>
      <c r="O441" s="829"/>
      <c r="P441" s="829"/>
      <c r="Q441" s="829"/>
      <c r="R441" s="829"/>
      <c r="S441" s="829"/>
      <c r="T441" s="829"/>
      <c r="U441" s="829"/>
      <c r="V441" s="829"/>
      <c r="W441" s="829"/>
      <c r="X441" s="829"/>
      <c r="Y441" s="829"/>
      <c r="Z441" s="829"/>
      <c r="AA441" s="829"/>
      <c r="AB441" s="829"/>
      <c r="AC441" s="829"/>
      <c r="AD441" s="829"/>
      <c r="AE441" s="829"/>
      <c r="AF441" s="829"/>
      <c r="AG441" s="829"/>
      <c r="AH441" s="829"/>
      <c r="AI441" s="829"/>
      <c r="AJ441" s="829"/>
      <c r="AK441" s="829"/>
      <c r="AL441" s="829"/>
      <c r="AM441" s="829"/>
      <c r="AN441" s="829"/>
    </row>
    <row r="442" spans="1:40" ht="12.75" x14ac:dyDescent="0.2">
      <c r="A442" s="829"/>
      <c r="B442" s="829"/>
      <c r="C442" s="829"/>
      <c r="D442" s="829"/>
      <c r="E442" s="829"/>
      <c r="F442" s="829"/>
      <c r="G442" s="829"/>
      <c r="H442" s="829"/>
      <c r="I442" s="829"/>
      <c r="J442" s="829"/>
      <c r="K442" s="829"/>
      <c r="L442" s="829"/>
      <c r="M442" s="829"/>
      <c r="N442" s="829"/>
      <c r="O442" s="829"/>
      <c r="P442" s="829"/>
      <c r="Q442" s="829"/>
      <c r="R442" s="829"/>
      <c r="S442" s="829"/>
      <c r="T442" s="829"/>
      <c r="U442" s="829"/>
      <c r="V442" s="829"/>
      <c r="W442" s="829"/>
      <c r="X442" s="829"/>
      <c r="Y442" s="829"/>
      <c r="Z442" s="829"/>
      <c r="AA442" s="829"/>
      <c r="AB442" s="829"/>
      <c r="AC442" s="829"/>
      <c r="AD442" s="829"/>
      <c r="AE442" s="829"/>
      <c r="AF442" s="829"/>
      <c r="AG442" s="829"/>
      <c r="AH442" s="829"/>
      <c r="AI442" s="829"/>
      <c r="AJ442" s="829"/>
      <c r="AK442" s="829"/>
      <c r="AL442" s="829"/>
      <c r="AM442" s="829"/>
      <c r="AN442" s="829"/>
    </row>
    <row r="443" spans="1:40" ht="12.75" x14ac:dyDescent="0.2">
      <c r="A443" s="829"/>
      <c r="B443" s="829"/>
      <c r="C443" s="829"/>
      <c r="D443" s="829"/>
      <c r="E443" s="829"/>
      <c r="F443" s="829"/>
      <c r="G443" s="829"/>
      <c r="H443" s="829"/>
      <c r="I443" s="829"/>
      <c r="J443" s="829"/>
      <c r="K443" s="829"/>
      <c r="L443" s="829"/>
      <c r="M443" s="829"/>
      <c r="N443" s="829"/>
      <c r="O443" s="829"/>
      <c r="P443" s="829"/>
      <c r="Q443" s="829"/>
      <c r="R443" s="829"/>
      <c r="S443" s="829"/>
      <c r="T443" s="829"/>
      <c r="U443" s="829"/>
      <c r="V443" s="829"/>
      <c r="W443" s="829"/>
      <c r="X443" s="829"/>
      <c r="Y443" s="829"/>
      <c r="Z443" s="829"/>
      <c r="AA443" s="829"/>
      <c r="AB443" s="829"/>
      <c r="AC443" s="829"/>
      <c r="AD443" s="829"/>
      <c r="AE443" s="829"/>
      <c r="AF443" s="829"/>
      <c r="AG443" s="829"/>
      <c r="AH443" s="829"/>
      <c r="AI443" s="829"/>
      <c r="AJ443" s="829"/>
      <c r="AK443" s="829"/>
      <c r="AL443" s="829"/>
      <c r="AM443" s="829"/>
      <c r="AN443" s="829"/>
    </row>
    <row r="444" spans="1:40" ht="12.75" x14ac:dyDescent="0.2">
      <c r="A444" s="829"/>
      <c r="B444" s="829"/>
      <c r="C444" s="829"/>
      <c r="D444" s="829"/>
      <c r="E444" s="829"/>
      <c r="F444" s="829"/>
      <c r="G444" s="829"/>
      <c r="H444" s="829"/>
      <c r="I444" s="829"/>
      <c r="J444" s="829"/>
      <c r="K444" s="829"/>
      <c r="L444" s="829"/>
      <c r="M444" s="829"/>
      <c r="N444" s="829"/>
      <c r="O444" s="829"/>
      <c r="P444" s="829"/>
      <c r="Q444" s="829"/>
      <c r="R444" s="829"/>
      <c r="S444" s="829"/>
      <c r="T444" s="829"/>
      <c r="U444" s="829"/>
      <c r="V444" s="829"/>
      <c r="W444" s="829"/>
      <c r="X444" s="829"/>
      <c r="Y444" s="829"/>
      <c r="Z444" s="829"/>
      <c r="AA444" s="829"/>
      <c r="AB444" s="829"/>
      <c r="AC444" s="829"/>
      <c r="AD444" s="829"/>
      <c r="AE444" s="829"/>
      <c r="AF444" s="829"/>
      <c r="AG444" s="829"/>
      <c r="AH444" s="829"/>
      <c r="AI444" s="829"/>
      <c r="AJ444" s="829"/>
      <c r="AK444" s="829"/>
      <c r="AL444" s="829"/>
      <c r="AM444" s="829"/>
      <c r="AN444" s="829"/>
    </row>
    <row r="445" spans="1:40" ht="12.75" x14ac:dyDescent="0.2">
      <c r="A445" s="829"/>
      <c r="B445" s="829"/>
      <c r="C445" s="829"/>
      <c r="D445" s="829"/>
      <c r="E445" s="829"/>
      <c r="F445" s="829"/>
      <c r="G445" s="829"/>
      <c r="H445" s="829"/>
      <c r="I445" s="829"/>
      <c r="J445" s="829"/>
      <c r="K445" s="829"/>
      <c r="L445" s="829"/>
      <c r="M445" s="829"/>
      <c r="N445" s="829"/>
      <c r="O445" s="829"/>
      <c r="P445" s="829"/>
      <c r="Q445" s="829"/>
      <c r="R445" s="829"/>
      <c r="S445" s="829"/>
      <c r="T445" s="829"/>
      <c r="U445" s="829"/>
      <c r="V445" s="829"/>
      <c r="W445" s="829"/>
      <c r="X445" s="829"/>
      <c r="Y445" s="829"/>
      <c r="Z445" s="829"/>
      <c r="AA445" s="829"/>
      <c r="AB445" s="829"/>
      <c r="AC445" s="829"/>
      <c r="AD445" s="829"/>
      <c r="AE445" s="829"/>
      <c r="AF445" s="829"/>
      <c r="AG445" s="829"/>
      <c r="AH445" s="829"/>
      <c r="AI445" s="829"/>
      <c r="AJ445" s="829"/>
      <c r="AK445" s="829"/>
      <c r="AL445" s="829"/>
      <c r="AM445" s="829"/>
      <c r="AN445" s="829"/>
    </row>
    <row r="446" spans="1:40" ht="12.75" x14ac:dyDescent="0.2">
      <c r="A446" s="829"/>
      <c r="B446" s="829"/>
      <c r="C446" s="829"/>
      <c r="D446" s="829"/>
      <c r="E446" s="829"/>
      <c r="F446" s="829"/>
      <c r="G446" s="829"/>
      <c r="H446" s="829"/>
      <c r="I446" s="829"/>
      <c r="J446" s="829"/>
      <c r="K446" s="829"/>
      <c r="L446" s="829"/>
      <c r="M446" s="829"/>
      <c r="N446" s="829"/>
      <c r="O446" s="829"/>
      <c r="P446" s="829"/>
      <c r="Q446" s="829"/>
      <c r="R446" s="829"/>
      <c r="S446" s="829"/>
      <c r="T446" s="829"/>
      <c r="U446" s="829"/>
      <c r="V446" s="829"/>
      <c r="W446" s="829"/>
      <c r="X446" s="829"/>
      <c r="Y446" s="829"/>
      <c r="Z446" s="829"/>
      <c r="AA446" s="829"/>
      <c r="AB446" s="829"/>
      <c r="AC446" s="829"/>
      <c r="AD446" s="829"/>
      <c r="AE446" s="829"/>
      <c r="AF446" s="829"/>
      <c r="AG446" s="829"/>
      <c r="AH446" s="829"/>
      <c r="AI446" s="829"/>
      <c r="AJ446" s="829"/>
      <c r="AK446" s="829"/>
      <c r="AL446" s="829"/>
      <c r="AM446" s="829"/>
      <c r="AN446" s="829"/>
    </row>
    <row r="447" spans="1:40" ht="12.75" x14ac:dyDescent="0.2">
      <c r="A447" s="829"/>
      <c r="B447" s="829"/>
      <c r="C447" s="829"/>
      <c r="D447" s="829"/>
      <c r="E447" s="829"/>
      <c r="F447" s="829"/>
      <c r="G447" s="829"/>
      <c r="H447" s="829"/>
      <c r="I447" s="829"/>
      <c r="J447" s="829"/>
      <c r="K447" s="829"/>
      <c r="L447" s="829"/>
      <c r="M447" s="829"/>
      <c r="N447" s="829"/>
      <c r="O447" s="829"/>
      <c r="P447" s="829"/>
      <c r="Q447" s="829"/>
      <c r="R447" s="829"/>
      <c r="S447" s="829"/>
      <c r="T447" s="829"/>
      <c r="U447" s="829"/>
      <c r="V447" s="829"/>
      <c r="W447" s="829"/>
      <c r="X447" s="829"/>
      <c r="Y447" s="829"/>
      <c r="Z447" s="829"/>
      <c r="AA447" s="829"/>
      <c r="AB447" s="829"/>
      <c r="AC447" s="829"/>
      <c r="AD447" s="829"/>
      <c r="AE447" s="829"/>
      <c r="AF447" s="829"/>
      <c r="AG447" s="829"/>
      <c r="AH447" s="829"/>
      <c r="AI447" s="829"/>
      <c r="AJ447" s="829"/>
      <c r="AK447" s="829"/>
      <c r="AL447" s="829"/>
      <c r="AM447" s="829"/>
      <c r="AN447" s="829"/>
    </row>
    <row r="448" spans="1:40" ht="12.75" x14ac:dyDescent="0.2">
      <c r="A448" s="829"/>
      <c r="B448" s="829"/>
      <c r="C448" s="829"/>
      <c r="D448" s="829"/>
      <c r="E448" s="829"/>
      <c r="F448" s="829"/>
      <c r="G448" s="829"/>
      <c r="H448" s="829"/>
      <c r="I448" s="829"/>
      <c r="J448" s="829"/>
      <c r="K448" s="829"/>
      <c r="L448" s="829"/>
      <c r="M448" s="829"/>
      <c r="N448" s="829"/>
      <c r="O448" s="829"/>
      <c r="P448" s="829"/>
      <c r="Q448" s="829"/>
      <c r="R448" s="829"/>
      <c r="S448" s="829"/>
      <c r="T448" s="829"/>
      <c r="U448" s="829"/>
      <c r="V448" s="829"/>
      <c r="W448" s="829"/>
      <c r="X448" s="829"/>
      <c r="Y448" s="829"/>
      <c r="Z448" s="829"/>
      <c r="AA448" s="829"/>
      <c r="AB448" s="829"/>
      <c r="AC448" s="829"/>
      <c r="AD448" s="829"/>
      <c r="AE448" s="829"/>
      <c r="AF448" s="829"/>
      <c r="AG448" s="829"/>
      <c r="AH448" s="829"/>
      <c r="AI448" s="829"/>
      <c r="AJ448" s="829"/>
      <c r="AK448" s="829"/>
      <c r="AL448" s="829"/>
      <c r="AM448" s="829"/>
      <c r="AN448" s="829"/>
    </row>
    <row r="449" spans="1:40" ht="12.75" x14ac:dyDescent="0.2">
      <c r="A449" s="829"/>
      <c r="B449" s="829"/>
      <c r="C449" s="829"/>
      <c r="D449" s="829"/>
      <c r="E449" s="829"/>
      <c r="F449" s="829"/>
      <c r="G449" s="829"/>
      <c r="H449" s="829"/>
      <c r="I449" s="829"/>
      <c r="J449" s="829"/>
      <c r="K449" s="829"/>
      <c r="L449" s="829"/>
      <c r="M449" s="829"/>
      <c r="N449" s="829"/>
      <c r="O449" s="829"/>
      <c r="P449" s="829"/>
      <c r="Q449" s="829"/>
      <c r="R449" s="829"/>
      <c r="S449" s="829"/>
      <c r="T449" s="829"/>
      <c r="U449" s="829"/>
      <c r="V449" s="829"/>
      <c r="W449" s="829"/>
      <c r="X449" s="829"/>
      <c r="Y449" s="829"/>
      <c r="Z449" s="829"/>
      <c r="AA449" s="829"/>
      <c r="AB449" s="829"/>
      <c r="AC449" s="829"/>
      <c r="AD449" s="829"/>
      <c r="AE449" s="829"/>
      <c r="AF449" s="829"/>
      <c r="AG449" s="829"/>
      <c r="AH449" s="829"/>
      <c r="AI449" s="829"/>
      <c r="AJ449" s="829"/>
      <c r="AK449" s="829"/>
      <c r="AL449" s="829"/>
      <c r="AM449" s="829"/>
      <c r="AN449" s="829"/>
    </row>
    <row r="450" spans="1:40" ht="12.75" x14ac:dyDescent="0.2">
      <c r="A450" s="829"/>
      <c r="B450" s="829"/>
      <c r="C450" s="829"/>
      <c r="D450" s="829"/>
      <c r="E450" s="829"/>
      <c r="F450" s="829"/>
      <c r="G450" s="829"/>
      <c r="H450" s="829"/>
      <c r="I450" s="829"/>
      <c r="J450" s="829"/>
      <c r="K450" s="829"/>
      <c r="L450" s="829"/>
      <c r="M450" s="829"/>
      <c r="N450" s="829"/>
      <c r="O450" s="829"/>
      <c r="P450" s="829"/>
      <c r="Q450" s="829"/>
      <c r="R450" s="829"/>
      <c r="S450" s="829"/>
      <c r="T450" s="829"/>
      <c r="U450" s="829"/>
      <c r="V450" s="829"/>
      <c r="W450" s="829"/>
      <c r="X450" s="829"/>
      <c r="Y450" s="829"/>
      <c r="Z450" s="829"/>
      <c r="AA450" s="829"/>
      <c r="AB450" s="829"/>
      <c r="AC450" s="829"/>
      <c r="AD450" s="829"/>
      <c r="AE450" s="829"/>
      <c r="AF450" s="829"/>
      <c r="AG450" s="829"/>
      <c r="AH450" s="829"/>
      <c r="AI450" s="829"/>
      <c r="AJ450" s="829"/>
      <c r="AK450" s="829"/>
      <c r="AL450" s="829"/>
      <c r="AM450" s="829"/>
      <c r="AN450" s="829"/>
    </row>
    <row r="451" spans="1:40" ht="12.75" x14ac:dyDescent="0.2">
      <c r="A451" s="829"/>
      <c r="B451" s="829"/>
      <c r="C451" s="829"/>
      <c r="D451" s="829"/>
      <c r="E451" s="829"/>
      <c r="F451" s="829"/>
      <c r="G451" s="829"/>
      <c r="H451" s="829"/>
      <c r="I451" s="829"/>
      <c r="J451" s="829"/>
      <c r="K451" s="829"/>
      <c r="L451" s="829"/>
      <c r="M451" s="829"/>
      <c r="N451" s="829"/>
      <c r="O451" s="829"/>
      <c r="P451" s="829"/>
      <c r="Q451" s="829"/>
      <c r="R451" s="829"/>
      <c r="S451" s="829"/>
      <c r="T451" s="829"/>
      <c r="U451" s="829"/>
      <c r="V451" s="829"/>
      <c r="W451" s="829"/>
      <c r="X451" s="829"/>
      <c r="Y451" s="829"/>
      <c r="Z451" s="829"/>
      <c r="AA451" s="829"/>
      <c r="AB451" s="829"/>
      <c r="AC451" s="829"/>
      <c r="AD451" s="829"/>
      <c r="AE451" s="829"/>
      <c r="AF451" s="829"/>
      <c r="AG451" s="829"/>
      <c r="AH451" s="829"/>
      <c r="AI451" s="829"/>
      <c r="AJ451" s="829"/>
      <c r="AK451" s="829"/>
      <c r="AL451" s="829"/>
      <c r="AM451" s="829"/>
      <c r="AN451" s="829"/>
    </row>
    <row r="452" spans="1:40" ht="12.75" x14ac:dyDescent="0.2">
      <c r="A452" s="829"/>
      <c r="B452" s="829"/>
      <c r="C452" s="829"/>
      <c r="D452" s="829"/>
      <c r="E452" s="829"/>
      <c r="F452" s="829"/>
      <c r="G452" s="829"/>
      <c r="H452" s="829"/>
      <c r="I452" s="829"/>
      <c r="J452" s="829"/>
      <c r="K452" s="829"/>
      <c r="L452" s="829"/>
      <c r="M452" s="829"/>
      <c r="N452" s="829"/>
      <c r="O452" s="829"/>
      <c r="P452" s="829"/>
      <c r="Q452" s="829"/>
      <c r="R452" s="829"/>
      <c r="S452" s="829"/>
      <c r="T452" s="829"/>
      <c r="U452" s="829"/>
      <c r="V452" s="829"/>
      <c r="W452" s="829"/>
      <c r="X452" s="829"/>
      <c r="Y452" s="829"/>
      <c r="Z452" s="829"/>
      <c r="AA452" s="829"/>
      <c r="AB452" s="829"/>
      <c r="AC452" s="829"/>
      <c r="AD452" s="829"/>
      <c r="AE452" s="829"/>
      <c r="AF452" s="829"/>
      <c r="AG452" s="829"/>
      <c r="AH452" s="829"/>
      <c r="AI452" s="829"/>
      <c r="AJ452" s="829"/>
      <c r="AK452" s="829"/>
      <c r="AL452" s="829"/>
      <c r="AM452" s="829"/>
      <c r="AN452" s="829"/>
    </row>
    <row r="453" spans="1:40" ht="12.75" x14ac:dyDescent="0.2">
      <c r="A453" s="829"/>
      <c r="B453" s="829"/>
      <c r="C453" s="829"/>
      <c r="D453" s="829"/>
      <c r="E453" s="829"/>
      <c r="F453" s="829"/>
      <c r="G453" s="829"/>
      <c r="H453" s="829"/>
      <c r="I453" s="829"/>
      <c r="J453" s="829"/>
      <c r="K453" s="829"/>
      <c r="L453" s="829"/>
      <c r="M453" s="829"/>
      <c r="N453" s="829"/>
      <c r="O453" s="829"/>
      <c r="P453" s="829"/>
      <c r="Q453" s="829"/>
      <c r="R453" s="829"/>
      <c r="S453" s="829"/>
      <c r="T453" s="829"/>
      <c r="U453" s="829"/>
      <c r="V453" s="829"/>
      <c r="W453" s="829"/>
      <c r="X453" s="829"/>
      <c r="Y453" s="829"/>
      <c r="Z453" s="829"/>
      <c r="AA453" s="829"/>
      <c r="AB453" s="829"/>
      <c r="AC453" s="829"/>
      <c r="AD453" s="829"/>
      <c r="AE453" s="829"/>
      <c r="AF453" s="829"/>
      <c r="AG453" s="829"/>
      <c r="AH453" s="829"/>
      <c r="AI453" s="829"/>
      <c r="AJ453" s="829"/>
      <c r="AK453" s="829"/>
      <c r="AL453" s="829"/>
      <c r="AM453" s="829"/>
      <c r="AN453" s="829"/>
    </row>
    <row r="454" spans="1:40" ht="12.75" x14ac:dyDescent="0.2">
      <c r="A454" s="829"/>
      <c r="B454" s="829"/>
      <c r="C454" s="829"/>
      <c r="D454" s="829"/>
      <c r="E454" s="829"/>
      <c r="F454" s="829"/>
      <c r="G454" s="829"/>
      <c r="H454" s="829"/>
      <c r="I454" s="829"/>
      <c r="J454" s="829"/>
      <c r="K454" s="829"/>
      <c r="L454" s="829"/>
      <c r="M454" s="829"/>
      <c r="N454" s="829"/>
      <c r="O454" s="829"/>
      <c r="P454" s="829"/>
      <c r="Q454" s="829"/>
      <c r="R454" s="829"/>
      <c r="S454" s="829"/>
      <c r="T454" s="829"/>
      <c r="U454" s="829"/>
      <c r="V454" s="829"/>
      <c r="W454" s="829"/>
      <c r="X454" s="829"/>
      <c r="Y454" s="829"/>
      <c r="Z454" s="829"/>
      <c r="AA454" s="829"/>
      <c r="AB454" s="829"/>
      <c r="AC454" s="829"/>
      <c r="AD454" s="829"/>
      <c r="AE454" s="829"/>
      <c r="AF454" s="829"/>
      <c r="AG454" s="829"/>
      <c r="AH454" s="829"/>
      <c r="AI454" s="829"/>
      <c r="AJ454" s="829"/>
      <c r="AK454" s="829"/>
      <c r="AL454" s="829"/>
      <c r="AM454" s="829"/>
      <c r="AN454" s="829"/>
    </row>
    <row r="455" spans="1:40" ht="12.75" x14ac:dyDescent="0.2">
      <c r="A455" s="829"/>
      <c r="B455" s="829"/>
      <c r="C455" s="829"/>
      <c r="D455" s="829"/>
      <c r="E455" s="829"/>
      <c r="F455" s="829"/>
      <c r="G455" s="829"/>
      <c r="H455" s="829"/>
      <c r="I455" s="829"/>
      <c r="J455" s="829"/>
      <c r="K455" s="829"/>
      <c r="L455" s="829"/>
      <c r="M455" s="829"/>
      <c r="N455" s="829"/>
      <c r="O455" s="829"/>
      <c r="P455" s="829"/>
      <c r="Q455" s="829"/>
      <c r="R455" s="829"/>
      <c r="S455" s="829"/>
      <c r="T455" s="829"/>
      <c r="U455" s="829"/>
      <c r="V455" s="829"/>
      <c r="W455" s="829"/>
      <c r="X455" s="829"/>
      <c r="Y455" s="829"/>
      <c r="Z455" s="829"/>
      <c r="AA455" s="829"/>
      <c r="AB455" s="829"/>
      <c r="AC455" s="829"/>
      <c r="AD455" s="829"/>
      <c r="AE455" s="829"/>
      <c r="AF455" s="829"/>
      <c r="AG455" s="829"/>
      <c r="AH455" s="829"/>
      <c r="AI455" s="829"/>
      <c r="AJ455" s="829"/>
      <c r="AK455" s="829"/>
      <c r="AL455" s="829"/>
      <c r="AM455" s="829"/>
      <c r="AN455" s="829"/>
    </row>
    <row r="456" spans="1:40" ht="12.75" x14ac:dyDescent="0.2">
      <c r="A456" s="829"/>
      <c r="B456" s="829"/>
      <c r="C456" s="829"/>
      <c r="D456" s="829"/>
      <c r="E456" s="829"/>
      <c r="F456" s="829"/>
      <c r="G456" s="829"/>
      <c r="H456" s="829"/>
      <c r="I456" s="829"/>
      <c r="J456" s="829"/>
      <c r="K456" s="829"/>
      <c r="L456" s="829"/>
      <c r="M456" s="829"/>
      <c r="N456" s="829"/>
      <c r="O456" s="829"/>
      <c r="P456" s="829"/>
      <c r="Q456" s="829"/>
      <c r="R456" s="829"/>
      <c r="S456" s="829"/>
      <c r="T456" s="829"/>
      <c r="U456" s="829"/>
      <c r="V456" s="829"/>
      <c r="W456" s="829"/>
      <c r="X456" s="829"/>
      <c r="Y456" s="829"/>
      <c r="Z456" s="829"/>
      <c r="AA456" s="829"/>
      <c r="AB456" s="829"/>
      <c r="AC456" s="829"/>
      <c r="AD456" s="829"/>
      <c r="AE456" s="829"/>
      <c r="AF456" s="829"/>
      <c r="AG456" s="829"/>
      <c r="AH456" s="829"/>
      <c r="AI456" s="829"/>
      <c r="AJ456" s="829"/>
      <c r="AK456" s="829"/>
      <c r="AL456" s="829"/>
      <c r="AM456" s="829"/>
      <c r="AN456" s="829"/>
    </row>
    <row r="457" spans="1:40" ht="12.75" x14ac:dyDescent="0.2">
      <c r="A457" s="829"/>
      <c r="B457" s="829"/>
      <c r="C457" s="829"/>
      <c r="D457" s="829"/>
      <c r="E457" s="829"/>
      <c r="F457" s="829"/>
      <c r="G457" s="829"/>
      <c r="H457" s="829"/>
      <c r="I457" s="829"/>
      <c r="J457" s="829"/>
      <c r="K457" s="829"/>
      <c r="L457" s="829"/>
      <c r="M457" s="829"/>
      <c r="N457" s="829"/>
      <c r="O457" s="829"/>
      <c r="P457" s="829"/>
      <c r="Q457" s="829"/>
      <c r="R457" s="829"/>
      <c r="S457" s="829"/>
      <c r="T457" s="829"/>
      <c r="U457" s="829"/>
      <c r="V457" s="829"/>
      <c r="W457" s="829"/>
      <c r="X457" s="829"/>
      <c r="Y457" s="829"/>
      <c r="Z457" s="829"/>
      <c r="AA457" s="829"/>
      <c r="AB457" s="829"/>
      <c r="AC457" s="829"/>
      <c r="AD457" s="829"/>
      <c r="AE457" s="829"/>
      <c r="AF457" s="829"/>
      <c r="AG457" s="829"/>
      <c r="AH457" s="829"/>
      <c r="AI457" s="829"/>
      <c r="AJ457" s="829"/>
      <c r="AK457" s="829"/>
      <c r="AL457" s="829"/>
      <c r="AM457" s="829"/>
      <c r="AN457" s="829"/>
    </row>
    <row r="458" spans="1:40" ht="12.75" x14ac:dyDescent="0.2">
      <c r="A458" s="829"/>
      <c r="B458" s="829"/>
      <c r="C458" s="829"/>
      <c r="D458" s="829"/>
      <c r="E458" s="829"/>
      <c r="F458" s="829"/>
      <c r="G458" s="829"/>
      <c r="H458" s="829"/>
      <c r="I458" s="829"/>
      <c r="J458" s="829"/>
      <c r="K458" s="829"/>
      <c r="L458" s="829"/>
      <c r="M458" s="829"/>
      <c r="N458" s="829"/>
      <c r="O458" s="829"/>
      <c r="P458" s="829"/>
      <c r="Q458" s="829"/>
      <c r="R458" s="829"/>
      <c r="S458" s="829"/>
      <c r="T458" s="829"/>
      <c r="U458" s="829"/>
      <c r="V458" s="829"/>
      <c r="W458" s="829"/>
      <c r="X458" s="829"/>
      <c r="Y458" s="829"/>
      <c r="Z458" s="829"/>
      <c r="AA458" s="829"/>
      <c r="AB458" s="829"/>
      <c r="AC458" s="829"/>
      <c r="AD458" s="829"/>
      <c r="AE458" s="829"/>
      <c r="AF458" s="829"/>
      <c r="AG458" s="829"/>
      <c r="AH458" s="829"/>
      <c r="AI458" s="829"/>
      <c r="AJ458" s="829"/>
      <c r="AK458" s="829"/>
      <c r="AL458" s="829"/>
      <c r="AM458" s="829"/>
      <c r="AN458" s="829"/>
    </row>
    <row r="459" spans="1:40" ht="12.75" x14ac:dyDescent="0.2">
      <c r="A459" s="829"/>
      <c r="B459" s="829"/>
      <c r="C459" s="829"/>
      <c r="D459" s="829"/>
      <c r="E459" s="829"/>
      <c r="F459" s="829"/>
      <c r="G459" s="829"/>
      <c r="H459" s="829"/>
      <c r="I459" s="829"/>
      <c r="J459" s="829"/>
      <c r="K459" s="829"/>
      <c r="L459" s="829"/>
      <c r="M459" s="829"/>
      <c r="N459" s="829"/>
      <c r="O459" s="829"/>
      <c r="P459" s="829"/>
      <c r="Q459" s="829"/>
      <c r="R459" s="829"/>
      <c r="S459" s="829"/>
      <c r="T459" s="829"/>
      <c r="U459" s="829"/>
      <c r="V459" s="829"/>
      <c r="W459" s="829"/>
      <c r="X459" s="829"/>
      <c r="Y459" s="829"/>
      <c r="Z459" s="829"/>
      <c r="AA459" s="829"/>
      <c r="AB459" s="829"/>
      <c r="AC459" s="829"/>
      <c r="AD459" s="829"/>
      <c r="AE459" s="829"/>
      <c r="AF459" s="829"/>
      <c r="AG459" s="829"/>
      <c r="AH459" s="829"/>
      <c r="AI459" s="829"/>
      <c r="AJ459" s="829"/>
      <c r="AK459" s="829"/>
      <c r="AL459" s="829"/>
      <c r="AM459" s="829"/>
      <c r="AN459" s="829"/>
    </row>
    <row r="460" spans="1:40" ht="12.75" x14ac:dyDescent="0.2">
      <c r="A460" s="829"/>
      <c r="B460" s="829"/>
      <c r="C460" s="829"/>
      <c r="D460" s="829"/>
      <c r="E460" s="829"/>
      <c r="F460" s="829"/>
      <c r="G460" s="829"/>
      <c r="H460" s="829"/>
      <c r="I460" s="829"/>
      <c r="J460" s="829"/>
      <c r="K460" s="829"/>
      <c r="L460" s="829"/>
      <c r="M460" s="829"/>
      <c r="N460" s="829"/>
      <c r="O460" s="829"/>
      <c r="P460" s="829"/>
      <c r="Q460" s="829"/>
      <c r="R460" s="829"/>
      <c r="S460" s="829"/>
      <c r="T460" s="829"/>
      <c r="U460" s="829"/>
      <c r="V460" s="829"/>
      <c r="W460" s="829"/>
      <c r="X460" s="829"/>
      <c r="Y460" s="829"/>
      <c r="Z460" s="829"/>
      <c r="AA460" s="829"/>
      <c r="AB460" s="829"/>
      <c r="AC460" s="829"/>
      <c r="AD460" s="829"/>
      <c r="AE460" s="829"/>
      <c r="AF460" s="829"/>
      <c r="AG460" s="829"/>
      <c r="AH460" s="829"/>
      <c r="AI460" s="829"/>
      <c r="AJ460" s="829"/>
      <c r="AK460" s="829"/>
      <c r="AL460" s="829"/>
      <c r="AM460" s="829"/>
      <c r="AN460" s="829"/>
    </row>
    <row r="461" spans="1:40" ht="12.75" x14ac:dyDescent="0.2">
      <c r="A461" s="829"/>
      <c r="B461" s="829"/>
      <c r="C461" s="829"/>
      <c r="D461" s="829"/>
      <c r="E461" s="829"/>
      <c r="F461" s="829"/>
      <c r="G461" s="829"/>
      <c r="H461" s="829"/>
      <c r="I461" s="829"/>
      <c r="J461" s="829"/>
      <c r="K461" s="829"/>
      <c r="L461" s="829"/>
      <c r="M461" s="829"/>
      <c r="N461" s="829"/>
      <c r="O461" s="829"/>
      <c r="P461" s="829"/>
      <c r="Q461" s="829"/>
      <c r="R461" s="829"/>
      <c r="S461" s="829"/>
      <c r="T461" s="829"/>
      <c r="U461" s="829"/>
      <c r="V461" s="829"/>
      <c r="W461" s="829"/>
      <c r="X461" s="829"/>
      <c r="Y461" s="829"/>
      <c r="Z461" s="829"/>
      <c r="AA461" s="829"/>
      <c r="AB461" s="829"/>
      <c r="AC461" s="829"/>
      <c r="AD461" s="829"/>
      <c r="AE461" s="829"/>
      <c r="AF461" s="829"/>
      <c r="AG461" s="829"/>
      <c r="AH461" s="829"/>
      <c r="AI461" s="829"/>
      <c r="AJ461" s="829"/>
      <c r="AK461" s="829"/>
      <c r="AL461" s="829"/>
      <c r="AM461" s="829"/>
      <c r="AN461" s="829"/>
    </row>
    <row r="462" spans="1:40" ht="12.75" x14ac:dyDescent="0.2">
      <c r="A462" s="829"/>
      <c r="B462" s="829"/>
      <c r="C462" s="829"/>
      <c r="D462" s="829"/>
      <c r="E462" s="829"/>
      <c r="F462" s="829"/>
      <c r="G462" s="829"/>
      <c r="H462" s="829"/>
      <c r="I462" s="829"/>
      <c r="J462" s="829"/>
      <c r="K462" s="829"/>
      <c r="L462" s="829"/>
      <c r="M462" s="829"/>
      <c r="N462" s="829"/>
      <c r="O462" s="829"/>
      <c r="P462" s="829"/>
      <c r="Q462" s="829"/>
      <c r="R462" s="829"/>
      <c r="S462" s="829"/>
      <c r="T462" s="829"/>
      <c r="U462" s="829"/>
      <c r="V462" s="829"/>
      <c r="W462" s="829"/>
      <c r="X462" s="829"/>
      <c r="Y462" s="829"/>
      <c r="Z462" s="829"/>
      <c r="AA462" s="829"/>
      <c r="AB462" s="829"/>
      <c r="AC462" s="829"/>
      <c r="AD462" s="829"/>
      <c r="AE462" s="829"/>
      <c r="AF462" s="829"/>
      <c r="AG462" s="829"/>
      <c r="AH462" s="829"/>
      <c r="AI462" s="829"/>
      <c r="AJ462" s="829"/>
      <c r="AK462" s="829"/>
      <c r="AL462" s="829"/>
      <c r="AM462" s="829"/>
      <c r="AN462" s="829"/>
    </row>
    <row r="463" spans="1:40" ht="12.75" x14ac:dyDescent="0.2">
      <c r="A463" s="829"/>
      <c r="B463" s="829"/>
      <c r="C463" s="829"/>
      <c r="D463" s="829"/>
      <c r="E463" s="829"/>
      <c r="F463" s="829"/>
      <c r="G463" s="829"/>
      <c r="H463" s="829"/>
      <c r="I463" s="829"/>
      <c r="J463" s="829"/>
      <c r="K463" s="829"/>
      <c r="L463" s="829"/>
      <c r="M463" s="829"/>
      <c r="N463" s="829"/>
      <c r="O463" s="829"/>
      <c r="P463" s="829"/>
      <c r="Q463" s="829"/>
      <c r="R463" s="829"/>
      <c r="S463" s="829"/>
      <c r="T463" s="829"/>
      <c r="U463" s="829"/>
      <c r="V463" s="829"/>
      <c r="W463" s="829"/>
      <c r="X463" s="829"/>
      <c r="Y463" s="829"/>
      <c r="Z463" s="829"/>
      <c r="AA463" s="829"/>
      <c r="AB463" s="829"/>
      <c r="AC463" s="829"/>
      <c r="AD463" s="829"/>
      <c r="AE463" s="829"/>
      <c r="AF463" s="829"/>
      <c r="AG463" s="829"/>
      <c r="AH463" s="829"/>
      <c r="AI463" s="829"/>
      <c r="AJ463" s="829"/>
      <c r="AK463" s="829"/>
      <c r="AL463" s="829"/>
      <c r="AM463" s="829"/>
      <c r="AN463" s="829"/>
    </row>
    <row r="464" spans="1:40" ht="12.75" x14ac:dyDescent="0.2">
      <c r="A464" s="829"/>
      <c r="B464" s="829"/>
      <c r="C464" s="829"/>
      <c r="D464" s="829"/>
      <c r="E464" s="829"/>
      <c r="F464" s="829"/>
      <c r="G464" s="829"/>
      <c r="H464" s="829"/>
      <c r="I464" s="829"/>
      <c r="J464" s="829"/>
      <c r="K464" s="829"/>
      <c r="L464" s="829"/>
      <c r="M464" s="829"/>
      <c r="N464" s="829"/>
      <c r="O464" s="829"/>
      <c r="P464" s="829"/>
      <c r="Q464" s="829"/>
      <c r="R464" s="829"/>
      <c r="S464" s="829"/>
      <c r="T464" s="829"/>
      <c r="U464" s="829"/>
      <c r="V464" s="829"/>
      <c r="W464" s="829"/>
      <c r="X464" s="829"/>
      <c r="Y464" s="829"/>
      <c r="Z464" s="829"/>
      <c r="AA464" s="829"/>
      <c r="AB464" s="829"/>
      <c r="AC464" s="829"/>
      <c r="AD464" s="829"/>
      <c r="AE464" s="829"/>
      <c r="AF464" s="829"/>
      <c r="AG464" s="829"/>
      <c r="AH464" s="829"/>
      <c r="AI464" s="829"/>
      <c r="AJ464" s="829"/>
      <c r="AK464" s="829"/>
      <c r="AL464" s="829"/>
      <c r="AM464" s="829"/>
      <c r="AN464" s="829"/>
    </row>
    <row r="465" spans="1:40" ht="12.75" x14ac:dyDescent="0.2">
      <c r="A465" s="829"/>
      <c r="B465" s="829"/>
      <c r="C465" s="829"/>
      <c r="D465" s="829"/>
      <c r="E465" s="829"/>
      <c r="F465" s="829"/>
      <c r="G465" s="829"/>
      <c r="H465" s="829"/>
      <c r="I465" s="829"/>
      <c r="J465" s="829"/>
      <c r="K465" s="829"/>
      <c r="L465" s="829"/>
      <c r="M465" s="829"/>
      <c r="N465" s="829"/>
      <c r="O465" s="829"/>
      <c r="P465" s="829"/>
      <c r="Q465" s="829"/>
      <c r="R465" s="829"/>
      <c r="S465" s="829"/>
      <c r="T465" s="829"/>
      <c r="U465" s="829"/>
      <c r="V465" s="829"/>
      <c r="W465" s="829"/>
      <c r="X465" s="829"/>
      <c r="Y465" s="829"/>
      <c r="Z465" s="829"/>
      <c r="AA465" s="829"/>
      <c r="AB465" s="829"/>
      <c r="AC465" s="829"/>
      <c r="AD465" s="829"/>
      <c r="AE465" s="829"/>
      <c r="AF465" s="829"/>
      <c r="AG465" s="829"/>
      <c r="AH465" s="829"/>
      <c r="AI465" s="829"/>
      <c r="AJ465" s="829"/>
      <c r="AK465" s="829"/>
      <c r="AL465" s="829"/>
      <c r="AM465" s="829"/>
      <c r="AN465" s="829"/>
    </row>
    <row r="466" spans="1:40" ht="12.75" x14ac:dyDescent="0.2">
      <c r="A466" s="829"/>
      <c r="B466" s="829"/>
      <c r="C466" s="829"/>
      <c r="D466" s="829"/>
      <c r="E466" s="829"/>
      <c r="F466" s="829"/>
      <c r="G466" s="829"/>
      <c r="H466" s="829"/>
      <c r="I466" s="829"/>
      <c r="J466" s="829"/>
      <c r="K466" s="829"/>
      <c r="L466" s="829"/>
      <c r="M466" s="829"/>
      <c r="N466" s="829"/>
      <c r="O466" s="829"/>
      <c r="P466" s="829"/>
      <c r="Q466" s="829"/>
      <c r="R466" s="829"/>
      <c r="S466" s="829"/>
      <c r="T466" s="829"/>
      <c r="U466" s="829"/>
      <c r="V466" s="829"/>
      <c r="W466" s="829"/>
      <c r="X466" s="829"/>
      <c r="Y466" s="829"/>
      <c r="Z466" s="829"/>
      <c r="AA466" s="829"/>
      <c r="AB466" s="829"/>
      <c r="AC466" s="829"/>
      <c r="AD466" s="829"/>
      <c r="AE466" s="829"/>
      <c r="AF466" s="829"/>
      <c r="AG466" s="829"/>
      <c r="AH466" s="829"/>
      <c r="AI466" s="829"/>
      <c r="AJ466" s="829"/>
      <c r="AK466" s="829"/>
      <c r="AL466" s="829"/>
      <c r="AM466" s="829"/>
      <c r="AN466" s="829"/>
    </row>
    <row r="467" spans="1:40" ht="12.75" x14ac:dyDescent="0.2">
      <c r="A467" s="829"/>
      <c r="B467" s="829"/>
      <c r="C467" s="829"/>
      <c r="D467" s="829"/>
      <c r="E467" s="829"/>
      <c r="F467" s="829"/>
      <c r="G467" s="829"/>
      <c r="H467" s="829"/>
      <c r="I467" s="829"/>
      <c r="J467" s="829"/>
      <c r="K467" s="829"/>
      <c r="L467" s="829"/>
      <c r="M467" s="829"/>
      <c r="N467" s="829"/>
      <c r="O467" s="829"/>
      <c r="P467" s="829"/>
      <c r="Q467" s="829"/>
      <c r="R467" s="829"/>
      <c r="S467" s="829"/>
      <c r="T467" s="829"/>
      <c r="U467" s="829"/>
      <c r="V467" s="829"/>
      <c r="W467" s="829"/>
      <c r="X467" s="829"/>
      <c r="Y467" s="829"/>
      <c r="Z467" s="829"/>
      <c r="AA467" s="829"/>
      <c r="AB467" s="829"/>
      <c r="AC467" s="829"/>
      <c r="AD467" s="829"/>
      <c r="AE467" s="829"/>
      <c r="AF467" s="829"/>
      <c r="AG467" s="829"/>
      <c r="AH467" s="829"/>
      <c r="AI467" s="829"/>
      <c r="AJ467" s="829"/>
      <c r="AK467" s="829"/>
      <c r="AL467" s="829"/>
      <c r="AM467" s="829"/>
      <c r="AN467" s="829"/>
    </row>
    <row r="468" spans="1:40" ht="12.75" x14ac:dyDescent="0.2">
      <c r="A468" s="829"/>
      <c r="B468" s="829"/>
      <c r="C468" s="829"/>
      <c r="D468" s="829"/>
      <c r="E468" s="829"/>
      <c r="F468" s="829"/>
      <c r="G468" s="829"/>
      <c r="H468" s="829"/>
      <c r="I468" s="829"/>
      <c r="J468" s="829"/>
      <c r="K468" s="829"/>
      <c r="L468" s="829"/>
      <c r="M468" s="829"/>
      <c r="N468" s="829"/>
      <c r="O468" s="829"/>
      <c r="P468" s="829"/>
      <c r="Q468" s="829"/>
      <c r="R468" s="829"/>
      <c r="S468" s="829"/>
      <c r="T468" s="829"/>
      <c r="U468" s="829"/>
      <c r="V468" s="829"/>
      <c r="W468" s="829"/>
      <c r="X468" s="829"/>
      <c r="Y468" s="829"/>
      <c r="Z468" s="829"/>
      <c r="AA468" s="829"/>
      <c r="AB468" s="829"/>
      <c r="AC468" s="829"/>
      <c r="AD468" s="829"/>
      <c r="AE468" s="829"/>
      <c r="AF468" s="829"/>
      <c r="AG468" s="829"/>
      <c r="AH468" s="829"/>
      <c r="AI468" s="829"/>
      <c r="AJ468" s="829"/>
      <c r="AK468" s="829"/>
      <c r="AL468" s="829"/>
      <c r="AM468" s="829"/>
      <c r="AN468" s="829"/>
    </row>
    <row r="469" spans="1:40" ht="12.75" x14ac:dyDescent="0.2">
      <c r="A469" s="829"/>
      <c r="B469" s="829"/>
      <c r="C469" s="829"/>
      <c r="D469" s="829"/>
      <c r="E469" s="829"/>
      <c r="F469" s="829"/>
      <c r="G469" s="829"/>
      <c r="H469" s="829"/>
      <c r="I469" s="829"/>
      <c r="J469" s="829"/>
      <c r="K469" s="829"/>
      <c r="L469" s="829"/>
      <c r="M469" s="829"/>
      <c r="N469" s="829"/>
      <c r="O469" s="829"/>
      <c r="P469" s="829"/>
      <c r="Q469" s="829"/>
      <c r="R469" s="829"/>
      <c r="S469" s="829"/>
      <c r="T469" s="829"/>
      <c r="U469" s="829"/>
      <c r="V469" s="829"/>
      <c r="W469" s="829"/>
      <c r="X469" s="829"/>
      <c r="Y469" s="829"/>
      <c r="Z469" s="829"/>
      <c r="AA469" s="829"/>
      <c r="AB469" s="829"/>
      <c r="AC469" s="829"/>
      <c r="AD469" s="829"/>
      <c r="AE469" s="829"/>
      <c r="AF469" s="829"/>
      <c r="AG469" s="829"/>
      <c r="AH469" s="829"/>
      <c r="AI469" s="829"/>
      <c r="AJ469" s="829"/>
      <c r="AK469" s="829"/>
      <c r="AL469" s="829"/>
      <c r="AM469" s="829"/>
      <c r="AN469" s="829"/>
    </row>
    <row r="470" spans="1:40" ht="12.75" x14ac:dyDescent="0.2">
      <c r="A470" s="829"/>
      <c r="B470" s="829"/>
      <c r="C470" s="829"/>
      <c r="D470" s="829"/>
      <c r="E470" s="829"/>
      <c r="F470" s="829"/>
      <c r="G470" s="829"/>
      <c r="H470" s="829"/>
      <c r="I470" s="829"/>
      <c r="J470" s="829"/>
      <c r="K470" s="829"/>
      <c r="L470" s="829"/>
      <c r="M470" s="829"/>
      <c r="N470" s="829"/>
      <c r="O470" s="829"/>
      <c r="P470" s="829"/>
      <c r="Q470" s="829"/>
      <c r="R470" s="829"/>
      <c r="S470" s="829"/>
      <c r="T470" s="829"/>
      <c r="U470" s="829"/>
      <c r="V470" s="829"/>
      <c r="W470" s="829"/>
      <c r="X470" s="829"/>
      <c r="Y470" s="829"/>
      <c r="Z470" s="829"/>
      <c r="AA470" s="829"/>
      <c r="AB470" s="829"/>
      <c r="AC470" s="829"/>
      <c r="AD470" s="829"/>
      <c r="AE470" s="829"/>
      <c r="AF470" s="829"/>
      <c r="AG470" s="829"/>
      <c r="AH470" s="829"/>
      <c r="AI470" s="829"/>
      <c r="AJ470" s="829"/>
      <c r="AK470" s="829"/>
      <c r="AL470" s="829"/>
      <c r="AM470" s="829"/>
      <c r="AN470" s="829"/>
    </row>
    <row r="471" spans="1:40" ht="12.75" x14ac:dyDescent="0.2">
      <c r="A471" s="829"/>
      <c r="B471" s="829"/>
      <c r="C471" s="829"/>
      <c r="D471" s="829"/>
      <c r="E471" s="829"/>
      <c r="F471" s="829"/>
      <c r="G471" s="829"/>
      <c r="H471" s="829"/>
      <c r="I471" s="829"/>
      <c r="J471" s="829"/>
      <c r="K471" s="829"/>
      <c r="L471" s="829"/>
      <c r="M471" s="829"/>
      <c r="N471" s="829"/>
      <c r="O471" s="829"/>
      <c r="P471" s="829"/>
      <c r="Q471" s="829"/>
      <c r="R471" s="829"/>
      <c r="S471" s="829"/>
      <c r="T471" s="829"/>
      <c r="U471" s="829"/>
      <c r="V471" s="829"/>
      <c r="W471" s="829"/>
      <c r="X471" s="829"/>
      <c r="Y471" s="829"/>
      <c r="Z471" s="829"/>
      <c r="AA471" s="829"/>
      <c r="AB471" s="829"/>
      <c r="AC471" s="829"/>
      <c r="AD471" s="829"/>
      <c r="AE471" s="829"/>
      <c r="AF471" s="829"/>
      <c r="AG471" s="829"/>
      <c r="AH471" s="829"/>
      <c r="AI471" s="829"/>
      <c r="AJ471" s="829"/>
      <c r="AK471" s="829"/>
      <c r="AL471" s="829"/>
      <c r="AM471" s="829"/>
      <c r="AN471" s="829"/>
    </row>
    <row r="472" spans="1:40" ht="12.75" x14ac:dyDescent="0.2">
      <c r="A472" s="829"/>
      <c r="B472" s="829"/>
      <c r="C472" s="829"/>
      <c r="D472" s="829"/>
      <c r="E472" s="829"/>
      <c r="F472" s="829"/>
      <c r="G472" s="829"/>
      <c r="H472" s="829"/>
      <c r="I472" s="829"/>
      <c r="J472" s="829"/>
      <c r="K472" s="829"/>
      <c r="L472" s="829"/>
      <c r="M472" s="829"/>
      <c r="N472" s="829"/>
      <c r="O472" s="829"/>
      <c r="P472" s="829"/>
      <c r="Q472" s="829"/>
      <c r="R472" s="829"/>
      <c r="S472" s="829"/>
      <c r="T472" s="829"/>
      <c r="U472" s="829"/>
      <c r="V472" s="829"/>
      <c r="W472" s="829"/>
      <c r="X472" s="829"/>
      <c r="Y472" s="829"/>
      <c r="Z472" s="829"/>
      <c r="AA472" s="829"/>
      <c r="AB472" s="829"/>
      <c r="AC472" s="829"/>
      <c r="AD472" s="829"/>
      <c r="AE472" s="829"/>
      <c r="AF472" s="829"/>
      <c r="AG472" s="829"/>
      <c r="AH472" s="829"/>
      <c r="AI472" s="829"/>
      <c r="AJ472" s="829"/>
      <c r="AK472" s="829"/>
      <c r="AL472" s="829"/>
      <c r="AM472" s="829"/>
      <c r="AN472" s="829"/>
    </row>
    <row r="473" spans="1:40" ht="12.75" x14ac:dyDescent="0.2">
      <c r="A473" s="829"/>
      <c r="B473" s="829"/>
      <c r="C473" s="829"/>
      <c r="D473" s="829"/>
      <c r="E473" s="829"/>
      <c r="F473" s="829"/>
      <c r="G473" s="829"/>
      <c r="H473" s="829"/>
      <c r="I473" s="829"/>
      <c r="J473" s="829"/>
      <c r="K473" s="829"/>
      <c r="L473" s="829"/>
      <c r="M473" s="829"/>
      <c r="N473" s="829"/>
      <c r="O473" s="829"/>
      <c r="P473" s="829"/>
      <c r="Q473" s="829"/>
      <c r="R473" s="829"/>
      <c r="S473" s="829"/>
      <c r="T473" s="829"/>
      <c r="U473" s="829"/>
      <c r="V473" s="829"/>
      <c r="W473" s="829"/>
      <c r="X473" s="829"/>
      <c r="Y473" s="829"/>
      <c r="Z473" s="829"/>
      <c r="AA473" s="829"/>
      <c r="AB473" s="829"/>
      <c r="AC473" s="829"/>
      <c r="AD473" s="829"/>
      <c r="AE473" s="829"/>
      <c r="AF473" s="829"/>
      <c r="AG473" s="829"/>
      <c r="AH473" s="829"/>
      <c r="AI473" s="829"/>
      <c r="AJ473" s="829"/>
      <c r="AK473" s="829"/>
      <c r="AL473" s="829"/>
      <c r="AM473" s="829"/>
      <c r="AN473" s="829"/>
    </row>
    <row r="474" spans="1:40" ht="12.75" x14ac:dyDescent="0.2">
      <c r="A474" s="829"/>
      <c r="B474" s="829"/>
      <c r="C474" s="829"/>
      <c r="D474" s="829"/>
      <c r="E474" s="829"/>
      <c r="F474" s="829"/>
      <c r="G474" s="829"/>
      <c r="H474" s="829"/>
      <c r="I474" s="829"/>
      <c r="J474" s="829"/>
      <c r="K474" s="829"/>
      <c r="L474" s="829"/>
      <c r="M474" s="829"/>
      <c r="N474" s="829"/>
      <c r="O474" s="829"/>
      <c r="P474" s="829"/>
      <c r="Q474" s="829"/>
      <c r="R474" s="829"/>
      <c r="S474" s="829"/>
      <c r="T474" s="829"/>
      <c r="U474" s="829"/>
      <c r="V474" s="829"/>
      <c r="W474" s="829"/>
      <c r="X474" s="829"/>
      <c r="Y474" s="829"/>
      <c r="Z474" s="829"/>
      <c r="AA474" s="829"/>
      <c r="AB474" s="829"/>
      <c r="AC474" s="829"/>
      <c r="AD474" s="829"/>
      <c r="AE474" s="829"/>
      <c r="AF474" s="829"/>
      <c r="AG474" s="829"/>
      <c r="AH474" s="829"/>
      <c r="AI474" s="829"/>
      <c r="AJ474" s="829"/>
      <c r="AK474" s="829"/>
      <c r="AL474" s="829"/>
      <c r="AM474" s="829"/>
      <c r="AN474" s="829"/>
    </row>
    <row r="475" spans="1:40" ht="12.75" x14ac:dyDescent="0.2">
      <c r="A475" s="829"/>
      <c r="B475" s="829"/>
      <c r="C475" s="829"/>
      <c r="D475" s="829"/>
      <c r="E475" s="829"/>
      <c r="F475" s="829"/>
      <c r="G475" s="829"/>
      <c r="H475" s="829"/>
      <c r="I475" s="829"/>
      <c r="J475" s="829"/>
      <c r="K475" s="829"/>
      <c r="L475" s="829"/>
      <c r="M475" s="829"/>
      <c r="N475" s="829"/>
      <c r="O475" s="829"/>
      <c r="P475" s="829"/>
      <c r="Q475" s="829"/>
      <c r="R475" s="829"/>
      <c r="S475" s="829"/>
      <c r="T475" s="829"/>
      <c r="U475" s="829"/>
      <c r="V475" s="829"/>
      <c r="W475" s="829"/>
      <c r="X475" s="829"/>
      <c r="Y475" s="829"/>
      <c r="Z475" s="829"/>
      <c r="AA475" s="829"/>
      <c r="AB475" s="829"/>
      <c r="AC475" s="829"/>
      <c r="AD475" s="829"/>
      <c r="AE475" s="829"/>
      <c r="AF475" s="829"/>
      <c r="AG475" s="829"/>
      <c r="AH475" s="829"/>
      <c r="AI475" s="829"/>
      <c r="AJ475" s="829"/>
      <c r="AK475" s="829"/>
      <c r="AL475" s="829"/>
      <c r="AM475" s="829"/>
      <c r="AN475" s="829"/>
    </row>
    <row r="476" spans="1:40" ht="12.75" x14ac:dyDescent="0.2">
      <c r="A476" s="829"/>
      <c r="B476" s="829"/>
      <c r="C476" s="829"/>
      <c r="D476" s="829"/>
      <c r="E476" s="829"/>
      <c r="F476" s="829"/>
      <c r="G476" s="829"/>
      <c r="H476" s="829"/>
      <c r="I476" s="829"/>
      <c r="J476" s="829"/>
      <c r="K476" s="829"/>
      <c r="L476" s="829"/>
      <c r="M476" s="829"/>
      <c r="N476" s="829"/>
      <c r="O476" s="829"/>
      <c r="P476" s="829"/>
      <c r="Q476" s="829"/>
      <c r="R476" s="829"/>
      <c r="S476" s="829"/>
      <c r="T476" s="829"/>
      <c r="U476" s="829"/>
      <c r="V476" s="829"/>
      <c r="W476" s="829"/>
      <c r="X476" s="829"/>
      <c r="Y476" s="829"/>
      <c r="Z476" s="829"/>
      <c r="AA476" s="829"/>
      <c r="AB476" s="829"/>
      <c r="AC476" s="829"/>
      <c r="AD476" s="829"/>
      <c r="AE476" s="829"/>
      <c r="AF476" s="829"/>
      <c r="AG476" s="829"/>
      <c r="AH476" s="829"/>
      <c r="AI476" s="829"/>
      <c r="AJ476" s="829"/>
      <c r="AK476" s="829"/>
      <c r="AL476" s="829"/>
      <c r="AM476" s="829"/>
      <c r="AN476" s="829"/>
    </row>
    <row r="477" spans="1:40" ht="12.75" x14ac:dyDescent="0.2">
      <c r="A477" s="829"/>
      <c r="B477" s="829"/>
      <c r="C477" s="829"/>
      <c r="D477" s="829"/>
      <c r="E477" s="829"/>
      <c r="F477" s="829"/>
      <c r="G477" s="829"/>
      <c r="H477" s="829"/>
      <c r="I477" s="829"/>
      <c r="J477" s="829"/>
      <c r="K477" s="829"/>
      <c r="L477" s="829"/>
      <c r="M477" s="829"/>
      <c r="N477" s="829"/>
      <c r="O477" s="829"/>
      <c r="P477" s="829"/>
      <c r="Q477" s="829"/>
      <c r="R477" s="829"/>
      <c r="S477" s="829"/>
      <c r="T477" s="829"/>
      <c r="U477" s="829"/>
      <c r="V477" s="829"/>
      <c r="W477" s="829"/>
      <c r="X477" s="829"/>
      <c r="Y477" s="829"/>
      <c r="Z477" s="829"/>
      <c r="AA477" s="829"/>
      <c r="AB477" s="829"/>
      <c r="AC477" s="829"/>
      <c r="AD477" s="829"/>
      <c r="AE477" s="829"/>
      <c r="AF477" s="829"/>
      <c r="AG477" s="829"/>
      <c r="AH477" s="829"/>
      <c r="AI477" s="829"/>
      <c r="AJ477" s="829"/>
      <c r="AK477" s="829"/>
      <c r="AL477" s="829"/>
      <c r="AM477" s="829"/>
      <c r="AN477" s="829"/>
    </row>
    <row r="478" spans="1:40" ht="12.75" x14ac:dyDescent="0.2">
      <c r="A478" s="829"/>
      <c r="B478" s="829"/>
      <c r="C478" s="829"/>
      <c r="D478" s="829"/>
      <c r="E478" s="829"/>
      <c r="F478" s="829"/>
      <c r="G478" s="829"/>
      <c r="H478" s="829"/>
      <c r="I478" s="829"/>
      <c r="J478" s="829"/>
      <c r="K478" s="829"/>
      <c r="L478" s="829"/>
      <c r="M478" s="829"/>
      <c r="N478" s="829"/>
      <c r="O478" s="829"/>
      <c r="P478" s="829"/>
      <c r="Q478" s="829"/>
      <c r="R478" s="829"/>
      <c r="S478" s="829"/>
      <c r="T478" s="829"/>
      <c r="U478" s="829"/>
      <c r="V478" s="829"/>
      <c r="W478" s="829"/>
      <c r="X478" s="829"/>
      <c r="Y478" s="829"/>
      <c r="Z478" s="829"/>
      <c r="AA478" s="829"/>
      <c r="AB478" s="829"/>
      <c r="AC478" s="829"/>
      <c r="AD478" s="829"/>
      <c r="AE478" s="829"/>
      <c r="AF478" s="829"/>
      <c r="AG478" s="829"/>
      <c r="AH478" s="829"/>
      <c r="AI478" s="829"/>
      <c r="AJ478" s="829"/>
      <c r="AK478" s="829"/>
      <c r="AL478" s="829"/>
      <c r="AM478" s="829"/>
      <c r="AN478" s="829"/>
    </row>
    <row r="479" spans="1:40" ht="12.75" x14ac:dyDescent="0.2">
      <c r="A479" s="829"/>
      <c r="B479" s="829"/>
      <c r="C479" s="829"/>
      <c r="D479" s="829"/>
      <c r="E479" s="829"/>
      <c r="F479" s="829"/>
      <c r="G479" s="829"/>
      <c r="H479" s="829"/>
      <c r="I479" s="829"/>
      <c r="J479" s="829"/>
      <c r="K479" s="829"/>
      <c r="L479" s="829"/>
      <c r="M479" s="829"/>
      <c r="N479" s="829"/>
      <c r="O479" s="829"/>
      <c r="P479" s="829"/>
      <c r="Q479" s="829"/>
      <c r="R479" s="829"/>
      <c r="S479" s="829"/>
      <c r="T479" s="829"/>
      <c r="U479" s="829"/>
      <c r="V479" s="829"/>
      <c r="W479" s="829"/>
      <c r="X479" s="829"/>
      <c r="Y479" s="829"/>
      <c r="Z479" s="829"/>
      <c r="AA479" s="829"/>
      <c r="AB479" s="829"/>
      <c r="AC479" s="829"/>
      <c r="AD479" s="829"/>
      <c r="AE479" s="829"/>
      <c r="AF479" s="829"/>
      <c r="AG479" s="829"/>
      <c r="AH479" s="829"/>
      <c r="AI479" s="829"/>
      <c r="AJ479" s="829"/>
      <c r="AK479" s="829"/>
      <c r="AL479" s="829"/>
      <c r="AM479" s="829"/>
      <c r="AN479" s="829"/>
    </row>
    <row r="480" spans="1:40" ht="12.75" x14ac:dyDescent="0.2">
      <c r="A480" s="829"/>
      <c r="B480" s="829"/>
      <c r="C480" s="829"/>
      <c r="D480" s="829"/>
      <c r="E480" s="829"/>
      <c r="F480" s="829"/>
      <c r="G480" s="829"/>
      <c r="H480" s="829"/>
      <c r="I480" s="829"/>
      <c r="J480" s="829"/>
      <c r="K480" s="829"/>
      <c r="L480" s="829"/>
      <c r="M480" s="829"/>
      <c r="N480" s="829"/>
      <c r="O480" s="829"/>
      <c r="P480" s="829"/>
      <c r="Q480" s="829"/>
      <c r="R480" s="829"/>
      <c r="S480" s="829"/>
      <c r="T480" s="829"/>
      <c r="U480" s="829"/>
      <c r="V480" s="829"/>
      <c r="W480" s="829"/>
      <c r="X480" s="829"/>
      <c r="Y480" s="829"/>
      <c r="Z480" s="829"/>
      <c r="AA480" s="829"/>
      <c r="AB480" s="829"/>
      <c r="AC480" s="829"/>
      <c r="AD480" s="829"/>
      <c r="AE480" s="829"/>
      <c r="AF480" s="829"/>
      <c r="AG480" s="829"/>
      <c r="AH480" s="829"/>
      <c r="AI480" s="829"/>
      <c r="AJ480" s="829"/>
      <c r="AK480" s="829"/>
      <c r="AL480" s="829"/>
      <c r="AM480" s="829"/>
      <c r="AN480" s="829"/>
    </row>
    <row r="481" spans="1:40" ht="12.75" x14ac:dyDescent="0.2">
      <c r="A481" s="829"/>
      <c r="B481" s="829"/>
      <c r="C481" s="829"/>
      <c r="D481" s="829"/>
      <c r="E481" s="829"/>
      <c r="F481" s="829"/>
      <c r="G481" s="829"/>
      <c r="H481" s="829"/>
      <c r="I481" s="829"/>
      <c r="J481" s="829"/>
      <c r="K481" s="829"/>
      <c r="L481" s="829"/>
      <c r="M481" s="829"/>
      <c r="N481" s="829"/>
      <c r="O481" s="829"/>
      <c r="P481" s="829"/>
      <c r="Q481" s="829"/>
      <c r="R481" s="829"/>
      <c r="S481" s="829"/>
      <c r="T481" s="829"/>
      <c r="U481" s="829"/>
      <c r="V481" s="829"/>
      <c r="W481" s="829"/>
      <c r="X481" s="829"/>
      <c r="Y481" s="829"/>
      <c r="Z481" s="829"/>
      <c r="AA481" s="829"/>
      <c r="AB481" s="829"/>
      <c r="AC481" s="829"/>
      <c r="AD481" s="829"/>
      <c r="AE481" s="829"/>
      <c r="AF481" s="829"/>
      <c r="AG481" s="829"/>
      <c r="AH481" s="829"/>
      <c r="AI481" s="829"/>
      <c r="AJ481" s="829"/>
      <c r="AK481" s="829"/>
      <c r="AL481" s="829"/>
      <c r="AM481" s="829"/>
      <c r="AN481" s="829"/>
    </row>
    <row r="482" spans="1:40" ht="12.75" x14ac:dyDescent="0.2">
      <c r="A482" s="829"/>
      <c r="B482" s="829"/>
      <c r="C482" s="829"/>
      <c r="D482" s="829"/>
      <c r="E482" s="829"/>
      <c r="F482" s="829"/>
      <c r="G482" s="829"/>
      <c r="H482" s="829"/>
      <c r="I482" s="829"/>
      <c r="J482" s="829"/>
      <c r="K482" s="829"/>
      <c r="L482" s="829"/>
      <c r="M482" s="829"/>
      <c r="N482" s="829"/>
      <c r="O482" s="829"/>
      <c r="P482" s="829"/>
      <c r="Q482" s="829"/>
      <c r="R482" s="829"/>
      <c r="S482" s="829"/>
      <c r="T482" s="829"/>
      <c r="U482" s="829"/>
      <c r="V482" s="829"/>
      <c r="W482" s="829"/>
      <c r="X482" s="829"/>
      <c r="Y482" s="829"/>
      <c r="Z482" s="829"/>
      <c r="AA482" s="829"/>
      <c r="AB482" s="829"/>
      <c r="AC482" s="829"/>
      <c r="AD482" s="829"/>
      <c r="AE482" s="829"/>
      <c r="AF482" s="829"/>
      <c r="AG482" s="829"/>
      <c r="AH482" s="829"/>
      <c r="AI482" s="829"/>
      <c r="AJ482" s="829"/>
      <c r="AK482" s="829"/>
      <c r="AL482" s="829"/>
      <c r="AM482" s="829"/>
      <c r="AN482" s="829"/>
    </row>
    <row r="483" spans="1:40" ht="12.75" x14ac:dyDescent="0.2">
      <c r="A483" s="829"/>
      <c r="B483" s="829"/>
      <c r="C483" s="829"/>
      <c r="D483" s="829"/>
      <c r="E483" s="829"/>
      <c r="F483" s="829"/>
      <c r="G483" s="829"/>
      <c r="H483" s="829"/>
      <c r="I483" s="829"/>
      <c r="J483" s="829"/>
      <c r="K483" s="829"/>
      <c r="L483" s="829"/>
      <c r="M483" s="829"/>
      <c r="N483" s="829"/>
      <c r="O483" s="829"/>
      <c r="P483" s="829"/>
      <c r="Q483" s="829"/>
      <c r="R483" s="829"/>
      <c r="S483" s="829"/>
      <c r="T483" s="829"/>
      <c r="U483" s="829"/>
      <c r="V483" s="829"/>
      <c r="W483" s="829"/>
      <c r="X483" s="829"/>
      <c r="Y483" s="829"/>
      <c r="Z483" s="829"/>
      <c r="AA483" s="829"/>
      <c r="AB483" s="829"/>
      <c r="AC483" s="829"/>
      <c r="AD483" s="829"/>
      <c r="AE483" s="829"/>
      <c r="AF483" s="829"/>
      <c r="AG483" s="829"/>
      <c r="AH483" s="829"/>
      <c r="AI483" s="829"/>
      <c r="AJ483" s="829"/>
      <c r="AK483" s="829"/>
      <c r="AL483" s="829"/>
      <c r="AM483" s="829"/>
      <c r="AN483" s="829"/>
    </row>
    <row r="484" spans="1:40" ht="12.75" x14ac:dyDescent="0.2">
      <c r="A484" s="829"/>
      <c r="B484" s="829"/>
      <c r="C484" s="829"/>
      <c r="D484" s="829"/>
      <c r="E484" s="829"/>
      <c r="F484" s="829"/>
      <c r="G484" s="829"/>
      <c r="H484" s="829"/>
      <c r="I484" s="829"/>
      <c r="J484" s="829"/>
      <c r="K484" s="829"/>
      <c r="L484" s="829"/>
      <c r="M484" s="829"/>
      <c r="N484" s="829"/>
      <c r="O484" s="829"/>
      <c r="P484" s="829"/>
      <c r="Q484" s="829"/>
      <c r="R484" s="829"/>
      <c r="S484" s="829"/>
      <c r="T484" s="829"/>
      <c r="U484" s="829"/>
      <c r="V484" s="829"/>
      <c r="W484" s="829"/>
      <c r="X484" s="829"/>
      <c r="Y484" s="829"/>
      <c r="Z484" s="829"/>
      <c r="AA484" s="829"/>
      <c r="AB484" s="829"/>
      <c r="AC484" s="829"/>
      <c r="AD484" s="829"/>
      <c r="AE484" s="829"/>
      <c r="AF484" s="829"/>
      <c r="AG484" s="829"/>
      <c r="AH484" s="829"/>
      <c r="AI484" s="829"/>
      <c r="AJ484" s="829"/>
      <c r="AK484" s="829"/>
      <c r="AL484" s="829"/>
      <c r="AM484" s="829"/>
      <c r="AN484" s="829"/>
    </row>
    <row r="485" spans="1:40" ht="12.75" x14ac:dyDescent="0.2">
      <c r="A485" s="829"/>
      <c r="B485" s="829"/>
      <c r="C485" s="829"/>
      <c r="D485" s="829"/>
      <c r="E485" s="829"/>
      <c r="F485" s="829"/>
      <c r="G485" s="829"/>
      <c r="H485" s="829"/>
      <c r="I485" s="829"/>
      <c r="J485" s="829"/>
      <c r="K485" s="829"/>
      <c r="L485" s="829"/>
      <c r="M485" s="829"/>
      <c r="N485" s="829"/>
      <c r="O485" s="829"/>
      <c r="P485" s="829"/>
      <c r="Q485" s="829"/>
      <c r="R485" s="829"/>
      <c r="S485" s="829"/>
      <c r="T485" s="829"/>
      <c r="U485" s="829"/>
      <c r="V485" s="829"/>
      <c r="W485" s="829"/>
      <c r="X485" s="829"/>
      <c r="Y485" s="829"/>
      <c r="Z485" s="829"/>
      <c r="AA485" s="829"/>
      <c r="AB485" s="829"/>
      <c r="AC485" s="829"/>
      <c r="AD485" s="829"/>
      <c r="AE485" s="829"/>
      <c r="AF485" s="829"/>
      <c r="AG485" s="829"/>
      <c r="AH485" s="829"/>
      <c r="AI485" s="829"/>
      <c r="AJ485" s="829"/>
      <c r="AK485" s="829"/>
      <c r="AL485" s="829"/>
      <c r="AM485" s="829"/>
      <c r="AN485" s="829"/>
    </row>
    <row r="486" spans="1:40" ht="12.75" x14ac:dyDescent="0.2">
      <c r="A486" s="829"/>
      <c r="B486" s="829"/>
      <c r="C486" s="829"/>
      <c r="D486" s="829"/>
      <c r="E486" s="829"/>
      <c r="F486" s="829"/>
      <c r="G486" s="829"/>
      <c r="H486" s="829"/>
      <c r="I486" s="829"/>
      <c r="J486" s="829"/>
      <c r="K486" s="829"/>
      <c r="L486" s="829"/>
      <c r="M486" s="829"/>
      <c r="N486" s="829"/>
      <c r="O486" s="829"/>
      <c r="P486" s="829"/>
      <c r="Q486" s="829"/>
      <c r="R486" s="829"/>
      <c r="S486" s="829"/>
      <c r="T486" s="829"/>
      <c r="U486" s="829"/>
      <c r="V486" s="829"/>
      <c r="W486" s="829"/>
      <c r="X486" s="829"/>
      <c r="Y486" s="829"/>
      <c r="Z486" s="829"/>
      <c r="AA486" s="829"/>
      <c r="AB486" s="829"/>
      <c r="AC486" s="829"/>
      <c r="AD486" s="829"/>
      <c r="AE486" s="829"/>
      <c r="AF486" s="829"/>
      <c r="AG486" s="829"/>
      <c r="AH486" s="829"/>
      <c r="AI486" s="829"/>
      <c r="AJ486" s="829"/>
      <c r="AK486" s="829"/>
      <c r="AL486" s="829"/>
      <c r="AM486" s="829"/>
      <c r="AN486" s="829"/>
    </row>
    <row r="487" spans="1:40" ht="12.75" x14ac:dyDescent="0.2">
      <c r="A487" s="829"/>
      <c r="B487" s="829"/>
      <c r="C487" s="829"/>
      <c r="D487" s="829"/>
      <c r="E487" s="829"/>
      <c r="F487" s="829"/>
      <c r="G487" s="829"/>
      <c r="H487" s="829"/>
      <c r="I487" s="829"/>
      <c r="J487" s="829"/>
      <c r="K487" s="829"/>
      <c r="L487" s="829"/>
      <c r="M487" s="829"/>
      <c r="N487" s="829"/>
      <c r="O487" s="829"/>
      <c r="P487" s="829"/>
      <c r="Q487" s="829"/>
      <c r="R487" s="829"/>
      <c r="S487" s="829"/>
      <c r="T487" s="829"/>
      <c r="U487" s="829"/>
      <c r="V487" s="829"/>
      <c r="W487" s="829"/>
      <c r="X487" s="829"/>
      <c r="Y487" s="829"/>
      <c r="Z487" s="829"/>
      <c r="AA487" s="829"/>
      <c r="AB487" s="829"/>
      <c r="AC487" s="829"/>
      <c r="AD487" s="829"/>
      <c r="AE487" s="829"/>
      <c r="AF487" s="829"/>
      <c r="AG487" s="829"/>
      <c r="AH487" s="829"/>
      <c r="AI487" s="829"/>
      <c r="AJ487" s="829"/>
      <c r="AK487" s="829"/>
      <c r="AL487" s="829"/>
      <c r="AM487" s="829"/>
      <c r="AN487" s="829"/>
    </row>
    <row r="488" spans="1:40" ht="12.75" x14ac:dyDescent="0.2">
      <c r="A488" s="829"/>
      <c r="B488" s="829"/>
      <c r="C488" s="829"/>
      <c r="D488" s="829"/>
      <c r="E488" s="829"/>
      <c r="F488" s="829"/>
      <c r="G488" s="829"/>
      <c r="H488" s="829"/>
      <c r="I488" s="829"/>
      <c r="J488" s="829"/>
      <c r="K488" s="829"/>
      <c r="L488" s="829"/>
      <c r="M488" s="829"/>
      <c r="N488" s="829"/>
      <c r="O488" s="829"/>
      <c r="P488" s="829"/>
      <c r="Q488" s="829"/>
      <c r="R488" s="829"/>
      <c r="S488" s="829"/>
      <c r="T488" s="829"/>
      <c r="U488" s="829"/>
      <c r="V488" s="829"/>
      <c r="W488" s="829"/>
      <c r="X488" s="829"/>
      <c r="Y488" s="829"/>
      <c r="Z488" s="829"/>
      <c r="AA488" s="829"/>
      <c r="AB488" s="829"/>
      <c r="AC488" s="829"/>
      <c r="AD488" s="829"/>
      <c r="AE488" s="829"/>
      <c r="AF488" s="829"/>
      <c r="AG488" s="829"/>
      <c r="AH488" s="829"/>
      <c r="AI488" s="829"/>
      <c r="AJ488" s="829"/>
      <c r="AK488" s="829"/>
      <c r="AL488" s="829"/>
      <c r="AM488" s="829"/>
      <c r="AN488" s="829"/>
    </row>
    <row r="489" spans="1:40" ht="12.75" x14ac:dyDescent="0.2">
      <c r="A489" s="829"/>
      <c r="B489" s="829"/>
      <c r="C489" s="829"/>
      <c r="D489" s="829"/>
      <c r="E489" s="829"/>
      <c r="F489" s="829"/>
      <c r="G489" s="829"/>
      <c r="H489" s="829"/>
      <c r="I489" s="829"/>
      <c r="J489" s="829"/>
      <c r="K489" s="829"/>
      <c r="L489" s="829"/>
      <c r="M489" s="829"/>
      <c r="N489" s="829"/>
      <c r="O489" s="829"/>
      <c r="P489" s="829"/>
      <c r="Q489" s="829"/>
      <c r="R489" s="829"/>
      <c r="S489" s="829"/>
      <c r="T489" s="829"/>
      <c r="U489" s="829"/>
      <c r="V489" s="829"/>
      <c r="W489" s="829"/>
      <c r="X489" s="829"/>
      <c r="Y489" s="829"/>
      <c r="Z489" s="829"/>
      <c r="AA489" s="829"/>
      <c r="AB489" s="829"/>
      <c r="AC489" s="829"/>
      <c r="AD489" s="829"/>
      <c r="AE489" s="829"/>
      <c r="AF489" s="829"/>
      <c r="AG489" s="829"/>
      <c r="AH489" s="829"/>
      <c r="AI489" s="829"/>
      <c r="AJ489" s="829"/>
      <c r="AK489" s="829"/>
      <c r="AL489" s="829"/>
      <c r="AM489" s="829"/>
      <c r="AN489" s="829"/>
    </row>
    <row r="490" spans="1:40" ht="12.75" x14ac:dyDescent="0.2">
      <c r="A490" s="829"/>
      <c r="B490" s="829"/>
      <c r="C490" s="829"/>
      <c r="D490" s="829"/>
      <c r="E490" s="829"/>
      <c r="F490" s="829"/>
      <c r="G490" s="829"/>
      <c r="H490" s="829"/>
      <c r="I490" s="829"/>
      <c r="J490" s="829"/>
      <c r="K490" s="829"/>
      <c r="L490" s="829"/>
      <c r="M490" s="829"/>
      <c r="N490" s="829"/>
      <c r="O490" s="829"/>
      <c r="P490" s="829"/>
      <c r="Q490" s="829"/>
      <c r="R490" s="829"/>
      <c r="S490" s="829"/>
      <c r="T490" s="829"/>
      <c r="U490" s="829"/>
      <c r="V490" s="829"/>
      <c r="W490" s="829"/>
      <c r="X490" s="829"/>
      <c r="Y490" s="829"/>
      <c r="Z490" s="829"/>
      <c r="AA490" s="829"/>
      <c r="AB490" s="829"/>
      <c r="AC490" s="829"/>
      <c r="AD490" s="829"/>
      <c r="AE490" s="829"/>
      <c r="AF490" s="829"/>
      <c r="AG490" s="829"/>
      <c r="AH490" s="829"/>
      <c r="AI490" s="829"/>
      <c r="AJ490" s="829"/>
      <c r="AK490" s="829"/>
      <c r="AL490" s="829"/>
      <c r="AM490" s="829"/>
      <c r="AN490" s="829"/>
    </row>
    <row r="491" spans="1:40" ht="12.75" x14ac:dyDescent="0.2">
      <c r="A491" s="829"/>
      <c r="B491" s="829"/>
      <c r="C491" s="829"/>
      <c r="D491" s="829"/>
      <c r="E491" s="829"/>
      <c r="F491" s="829"/>
      <c r="G491" s="829"/>
      <c r="H491" s="829"/>
      <c r="I491" s="829"/>
      <c r="J491" s="829"/>
      <c r="K491" s="829"/>
      <c r="L491" s="829"/>
      <c r="M491" s="829"/>
      <c r="N491" s="829"/>
      <c r="O491" s="829"/>
      <c r="P491" s="829"/>
      <c r="Q491" s="829"/>
      <c r="R491" s="829"/>
      <c r="S491" s="829"/>
      <c r="T491" s="829"/>
      <c r="U491" s="829"/>
      <c r="V491" s="829"/>
      <c r="W491" s="829"/>
      <c r="X491" s="829"/>
      <c r="Y491" s="829"/>
      <c r="Z491" s="829"/>
      <c r="AA491" s="829"/>
      <c r="AB491" s="829"/>
      <c r="AC491" s="829"/>
      <c r="AD491" s="829"/>
      <c r="AE491" s="829"/>
      <c r="AF491" s="829"/>
      <c r="AG491" s="829"/>
      <c r="AH491" s="829"/>
      <c r="AI491" s="829"/>
      <c r="AJ491" s="829"/>
      <c r="AK491" s="829"/>
      <c r="AL491" s="829"/>
      <c r="AM491" s="829"/>
      <c r="AN491" s="829"/>
    </row>
    <row r="492" spans="1:40" ht="12.75" x14ac:dyDescent="0.2">
      <c r="A492" s="829"/>
      <c r="B492" s="829"/>
      <c r="C492" s="829"/>
      <c r="D492" s="829"/>
      <c r="E492" s="829"/>
      <c r="F492" s="829"/>
      <c r="G492" s="829"/>
      <c r="H492" s="829"/>
      <c r="I492" s="829"/>
      <c r="J492" s="829"/>
      <c r="K492" s="829"/>
      <c r="L492" s="829"/>
      <c r="M492" s="829"/>
      <c r="N492" s="829"/>
      <c r="O492" s="829"/>
      <c r="P492" s="829"/>
      <c r="Q492" s="829"/>
      <c r="R492" s="829"/>
      <c r="S492" s="829"/>
      <c r="T492" s="829"/>
      <c r="U492" s="829"/>
      <c r="V492" s="829"/>
      <c r="W492" s="829"/>
      <c r="X492" s="829"/>
      <c r="Y492" s="829"/>
      <c r="Z492" s="829"/>
      <c r="AA492" s="829"/>
      <c r="AB492" s="829"/>
      <c r="AC492" s="829"/>
      <c r="AD492" s="829"/>
      <c r="AE492" s="829"/>
      <c r="AF492" s="829"/>
      <c r="AG492" s="829"/>
      <c r="AH492" s="829"/>
      <c r="AI492" s="829"/>
      <c r="AJ492" s="829"/>
      <c r="AK492" s="829"/>
      <c r="AL492" s="829"/>
      <c r="AM492" s="829"/>
      <c r="AN492" s="829"/>
    </row>
    <row r="493" spans="1:40" ht="12.75" x14ac:dyDescent="0.2">
      <c r="A493" s="829"/>
      <c r="B493" s="829"/>
      <c r="C493" s="829"/>
      <c r="D493" s="829"/>
      <c r="E493" s="829"/>
      <c r="F493" s="829"/>
      <c r="G493" s="829"/>
      <c r="H493" s="829"/>
      <c r="I493" s="829"/>
      <c r="J493" s="829"/>
      <c r="K493" s="829"/>
      <c r="L493" s="829"/>
      <c r="M493" s="829"/>
      <c r="N493" s="829"/>
      <c r="O493" s="829"/>
      <c r="P493" s="829"/>
      <c r="Q493" s="829"/>
      <c r="R493" s="829"/>
      <c r="S493" s="829"/>
      <c r="T493" s="829"/>
      <c r="U493" s="829"/>
      <c r="V493" s="829"/>
      <c r="W493" s="829"/>
      <c r="X493" s="829"/>
      <c r="Y493" s="829"/>
      <c r="Z493" s="829"/>
      <c r="AA493" s="829"/>
      <c r="AB493" s="829"/>
      <c r="AC493" s="829"/>
      <c r="AD493" s="829"/>
      <c r="AE493" s="829"/>
      <c r="AF493" s="829"/>
      <c r="AG493" s="829"/>
      <c r="AH493" s="829"/>
      <c r="AI493" s="829"/>
      <c r="AJ493" s="829"/>
      <c r="AK493" s="829"/>
      <c r="AL493" s="829"/>
      <c r="AM493" s="829"/>
      <c r="AN493" s="829"/>
    </row>
    <row r="494" spans="1:40" ht="12.75" x14ac:dyDescent="0.2">
      <c r="A494" s="829"/>
      <c r="B494" s="829"/>
      <c r="C494" s="829"/>
      <c r="D494" s="829"/>
      <c r="E494" s="829"/>
      <c r="F494" s="829"/>
      <c r="G494" s="829"/>
      <c r="H494" s="829"/>
      <c r="I494" s="829"/>
      <c r="J494" s="829"/>
      <c r="K494" s="829"/>
      <c r="L494" s="829"/>
      <c r="M494" s="829"/>
      <c r="N494" s="829"/>
      <c r="O494" s="829"/>
      <c r="P494" s="829"/>
      <c r="Q494" s="829"/>
      <c r="R494" s="829"/>
      <c r="S494" s="829"/>
      <c r="T494" s="829"/>
      <c r="U494" s="829"/>
      <c r="V494" s="829"/>
      <c r="W494" s="829"/>
      <c r="X494" s="829"/>
      <c r="Y494" s="829"/>
      <c r="Z494" s="829"/>
      <c r="AA494" s="829"/>
      <c r="AB494" s="829"/>
      <c r="AC494" s="829"/>
      <c r="AD494" s="829"/>
      <c r="AE494" s="829"/>
      <c r="AF494" s="829"/>
      <c r="AG494" s="829"/>
      <c r="AH494" s="829"/>
      <c r="AI494" s="829"/>
      <c r="AJ494" s="829"/>
      <c r="AK494" s="829"/>
      <c r="AL494" s="829"/>
      <c r="AM494" s="829"/>
      <c r="AN494" s="829"/>
    </row>
    <row r="495" spans="1:40" ht="12.75" x14ac:dyDescent="0.2">
      <c r="A495" s="829"/>
      <c r="B495" s="829"/>
      <c r="C495" s="829"/>
      <c r="D495" s="829"/>
      <c r="E495" s="829"/>
      <c r="F495" s="829"/>
      <c r="G495" s="829"/>
      <c r="H495" s="829"/>
      <c r="I495" s="829"/>
      <c r="J495" s="829"/>
      <c r="K495" s="829"/>
      <c r="L495" s="829"/>
      <c r="M495" s="829"/>
      <c r="N495" s="829"/>
      <c r="O495" s="829"/>
      <c r="P495" s="829"/>
      <c r="Q495" s="829"/>
      <c r="R495" s="829"/>
      <c r="S495" s="829"/>
      <c r="T495" s="829"/>
      <c r="U495" s="829"/>
      <c r="V495" s="829"/>
      <c r="W495" s="829"/>
      <c r="X495" s="829"/>
      <c r="Y495" s="829"/>
      <c r="Z495" s="829"/>
      <c r="AA495" s="829"/>
      <c r="AB495" s="829"/>
      <c r="AC495" s="829"/>
      <c r="AD495" s="829"/>
      <c r="AE495" s="829"/>
      <c r="AF495" s="829"/>
      <c r="AG495" s="829"/>
      <c r="AH495" s="829"/>
      <c r="AI495" s="829"/>
      <c r="AJ495" s="829"/>
      <c r="AK495" s="829"/>
      <c r="AL495" s="829"/>
      <c r="AM495" s="829"/>
      <c r="AN495" s="829"/>
    </row>
    <row r="496" spans="1:40" ht="12.75" x14ac:dyDescent="0.2">
      <c r="A496" s="829"/>
      <c r="B496" s="829"/>
      <c r="C496" s="829"/>
      <c r="D496" s="829"/>
      <c r="E496" s="829"/>
      <c r="F496" s="829"/>
      <c r="G496" s="829"/>
      <c r="H496" s="829"/>
      <c r="I496" s="829"/>
      <c r="J496" s="829"/>
      <c r="K496" s="829"/>
      <c r="L496" s="829"/>
      <c r="M496" s="829"/>
      <c r="N496" s="829"/>
      <c r="O496" s="829"/>
      <c r="P496" s="829"/>
      <c r="Q496" s="829"/>
      <c r="R496" s="829"/>
      <c r="S496" s="829"/>
      <c r="T496" s="829"/>
      <c r="U496" s="829"/>
      <c r="V496" s="829"/>
      <c r="W496" s="829"/>
      <c r="X496" s="829"/>
      <c r="Y496" s="829"/>
      <c r="Z496" s="829"/>
      <c r="AA496" s="829"/>
      <c r="AB496" s="829"/>
      <c r="AC496" s="829"/>
      <c r="AD496" s="829"/>
      <c r="AE496" s="829"/>
      <c r="AF496" s="829"/>
      <c r="AG496" s="829"/>
      <c r="AH496" s="829"/>
      <c r="AI496" s="829"/>
      <c r="AJ496" s="829"/>
      <c r="AK496" s="829"/>
      <c r="AL496" s="829"/>
      <c r="AM496" s="829"/>
      <c r="AN496" s="829"/>
    </row>
    <row r="497" spans="1:40" ht="12.75" x14ac:dyDescent="0.2">
      <c r="A497" s="829"/>
      <c r="B497" s="829"/>
      <c r="C497" s="829"/>
      <c r="D497" s="829"/>
      <c r="E497" s="829"/>
      <c r="F497" s="829"/>
      <c r="G497" s="829"/>
      <c r="H497" s="829"/>
      <c r="I497" s="829"/>
      <c r="J497" s="829"/>
      <c r="K497" s="829"/>
      <c r="L497" s="829"/>
      <c r="M497" s="829"/>
      <c r="N497" s="829"/>
      <c r="O497" s="829"/>
      <c r="P497" s="829"/>
      <c r="Q497" s="829"/>
      <c r="R497" s="829"/>
      <c r="S497" s="829"/>
      <c r="T497" s="829"/>
      <c r="U497" s="829"/>
      <c r="V497" s="829"/>
      <c r="W497" s="829"/>
      <c r="X497" s="829"/>
      <c r="Y497" s="829"/>
      <c r="Z497" s="829"/>
      <c r="AA497" s="829"/>
      <c r="AB497" s="829"/>
      <c r="AC497" s="829"/>
      <c r="AD497" s="829"/>
      <c r="AE497" s="829"/>
      <c r="AF497" s="829"/>
      <c r="AG497" s="829"/>
      <c r="AH497" s="829"/>
      <c r="AI497" s="829"/>
      <c r="AJ497" s="829"/>
      <c r="AK497" s="829"/>
      <c r="AL497" s="829"/>
      <c r="AM497" s="829"/>
      <c r="AN497" s="829"/>
    </row>
    <row r="498" spans="1:40" ht="12.75" x14ac:dyDescent="0.2">
      <c r="A498" s="829"/>
      <c r="B498" s="829"/>
      <c r="C498" s="829"/>
      <c r="D498" s="829"/>
      <c r="E498" s="829"/>
      <c r="F498" s="829"/>
      <c r="G498" s="829"/>
      <c r="H498" s="829"/>
      <c r="I498" s="829"/>
      <c r="J498" s="829"/>
      <c r="K498" s="829"/>
      <c r="L498" s="829"/>
      <c r="M498" s="829"/>
      <c r="N498" s="829"/>
      <c r="O498" s="829"/>
      <c r="P498" s="829"/>
      <c r="Q498" s="829"/>
      <c r="R498" s="829"/>
      <c r="S498" s="829"/>
      <c r="T498" s="829"/>
      <c r="U498" s="829"/>
      <c r="V498" s="829"/>
      <c r="W498" s="829"/>
      <c r="X498" s="829"/>
      <c r="Y498" s="829"/>
      <c r="Z498" s="829"/>
      <c r="AA498" s="829"/>
      <c r="AB498" s="829"/>
      <c r="AC498" s="829"/>
      <c r="AD498" s="829"/>
      <c r="AE498" s="829"/>
      <c r="AF498" s="829"/>
      <c r="AG498" s="829"/>
      <c r="AH498" s="829"/>
      <c r="AI498" s="829"/>
      <c r="AJ498" s="829"/>
      <c r="AK498" s="829"/>
      <c r="AL498" s="829"/>
      <c r="AM498" s="829"/>
      <c r="AN498" s="829"/>
    </row>
    <row r="499" spans="1:40" ht="12.75" x14ac:dyDescent="0.2">
      <c r="A499" s="829"/>
      <c r="B499" s="829"/>
      <c r="C499" s="829"/>
      <c r="D499" s="829"/>
      <c r="E499" s="829"/>
      <c r="F499" s="829"/>
      <c r="G499" s="829"/>
      <c r="H499" s="829"/>
      <c r="I499" s="829"/>
      <c r="J499" s="829"/>
      <c r="K499" s="829"/>
      <c r="L499" s="829"/>
      <c r="M499" s="829"/>
      <c r="N499" s="829"/>
      <c r="O499" s="829"/>
      <c r="P499" s="829"/>
      <c r="Q499" s="829"/>
      <c r="R499" s="829"/>
      <c r="S499" s="829"/>
      <c r="T499" s="829"/>
      <c r="U499" s="829"/>
      <c r="V499" s="829"/>
      <c r="W499" s="829"/>
      <c r="X499" s="829"/>
      <c r="Y499" s="829"/>
      <c r="Z499" s="829"/>
      <c r="AA499" s="829"/>
      <c r="AB499" s="829"/>
      <c r="AC499" s="829"/>
      <c r="AD499" s="829"/>
      <c r="AE499" s="829"/>
      <c r="AF499" s="829"/>
      <c r="AG499" s="829"/>
      <c r="AH499" s="829"/>
      <c r="AI499" s="829"/>
      <c r="AJ499" s="829"/>
      <c r="AK499" s="829"/>
      <c r="AL499" s="829"/>
      <c r="AM499" s="829"/>
      <c r="AN499" s="829"/>
    </row>
    <row r="500" spans="1:40" ht="12.75" x14ac:dyDescent="0.2">
      <c r="A500" s="829"/>
      <c r="B500" s="829"/>
      <c r="C500" s="829"/>
      <c r="D500" s="829"/>
      <c r="E500" s="829"/>
      <c r="F500" s="829"/>
      <c r="G500" s="829"/>
      <c r="H500" s="829"/>
      <c r="I500" s="829"/>
      <c r="J500" s="829"/>
      <c r="K500" s="829"/>
      <c r="L500" s="829"/>
      <c r="M500" s="829"/>
      <c r="N500" s="829"/>
      <c r="O500" s="829"/>
      <c r="P500" s="829"/>
      <c r="Q500" s="829"/>
      <c r="R500" s="829"/>
      <c r="S500" s="829"/>
      <c r="T500" s="829"/>
      <c r="U500" s="829"/>
      <c r="V500" s="829"/>
      <c r="W500" s="829"/>
      <c r="X500" s="829"/>
      <c r="Y500" s="829"/>
      <c r="Z500" s="829"/>
      <c r="AA500" s="829"/>
      <c r="AB500" s="829"/>
      <c r="AC500" s="829"/>
      <c r="AD500" s="829"/>
      <c r="AE500" s="829"/>
      <c r="AF500" s="829"/>
      <c r="AG500" s="829"/>
      <c r="AH500" s="829"/>
      <c r="AI500" s="829"/>
      <c r="AJ500" s="829"/>
      <c r="AK500" s="829"/>
      <c r="AL500" s="829"/>
      <c r="AM500" s="829"/>
      <c r="AN500" s="829"/>
    </row>
    <row r="501" spans="1:40" ht="12.75" x14ac:dyDescent="0.2">
      <c r="A501" s="829"/>
      <c r="B501" s="829"/>
      <c r="C501" s="829"/>
      <c r="D501" s="829"/>
      <c r="E501" s="829"/>
      <c r="F501" s="829"/>
      <c r="G501" s="829"/>
      <c r="H501" s="829"/>
      <c r="I501" s="829"/>
      <c r="J501" s="829"/>
      <c r="K501" s="829"/>
      <c r="L501" s="829"/>
      <c r="M501" s="829"/>
      <c r="N501" s="829"/>
      <c r="O501" s="829"/>
      <c r="P501" s="829"/>
      <c r="Q501" s="829"/>
      <c r="R501" s="829"/>
      <c r="S501" s="829"/>
      <c r="T501" s="829"/>
      <c r="U501" s="829"/>
      <c r="V501" s="829"/>
      <c r="W501" s="829"/>
      <c r="X501" s="829"/>
      <c r="Y501" s="829"/>
      <c r="Z501" s="829"/>
      <c r="AA501" s="829"/>
      <c r="AB501" s="829"/>
      <c r="AC501" s="829"/>
      <c r="AD501" s="829"/>
      <c r="AE501" s="829"/>
      <c r="AF501" s="829"/>
      <c r="AG501" s="829"/>
      <c r="AH501" s="829"/>
      <c r="AI501" s="829"/>
      <c r="AJ501" s="829"/>
      <c r="AK501" s="829"/>
      <c r="AL501" s="829"/>
      <c r="AM501" s="829"/>
      <c r="AN501" s="829"/>
    </row>
    <row r="502" spans="1:40" ht="12.75" x14ac:dyDescent="0.2">
      <c r="A502" s="829"/>
      <c r="B502" s="829"/>
      <c r="C502" s="829"/>
      <c r="D502" s="829"/>
      <c r="E502" s="829"/>
      <c r="F502" s="829"/>
      <c r="G502" s="829"/>
      <c r="H502" s="829"/>
      <c r="I502" s="829"/>
      <c r="J502" s="829"/>
      <c r="K502" s="829"/>
      <c r="L502" s="829"/>
      <c r="M502" s="829"/>
      <c r="N502" s="829"/>
      <c r="O502" s="829"/>
      <c r="P502" s="829"/>
      <c r="Q502" s="829"/>
      <c r="R502" s="829"/>
      <c r="S502" s="829"/>
      <c r="T502" s="829"/>
      <c r="U502" s="829"/>
      <c r="V502" s="829"/>
      <c r="W502" s="829"/>
      <c r="X502" s="829"/>
      <c r="Y502" s="829"/>
      <c r="Z502" s="829"/>
      <c r="AA502" s="829"/>
      <c r="AB502" s="829"/>
      <c r="AC502" s="829"/>
      <c r="AD502" s="829"/>
      <c r="AE502" s="829"/>
      <c r="AF502" s="829"/>
      <c r="AG502" s="829"/>
      <c r="AH502" s="829"/>
      <c r="AI502" s="829"/>
      <c r="AJ502" s="829"/>
      <c r="AK502" s="829"/>
      <c r="AL502" s="829"/>
      <c r="AM502" s="829"/>
      <c r="AN502" s="829"/>
    </row>
    <row r="503" spans="1:40" ht="12.75" x14ac:dyDescent="0.2">
      <c r="A503" s="829"/>
      <c r="B503" s="829"/>
      <c r="C503" s="829"/>
      <c r="D503" s="829"/>
      <c r="E503" s="829"/>
      <c r="F503" s="829"/>
      <c r="G503" s="829"/>
      <c r="H503" s="829"/>
      <c r="I503" s="829"/>
      <c r="J503" s="829"/>
      <c r="K503" s="829"/>
      <c r="L503" s="829"/>
      <c r="M503" s="829"/>
      <c r="N503" s="829"/>
      <c r="O503" s="829"/>
      <c r="P503" s="829"/>
      <c r="Q503" s="829"/>
      <c r="R503" s="829"/>
      <c r="S503" s="829"/>
      <c r="T503" s="829"/>
      <c r="U503" s="829"/>
      <c r="V503" s="829"/>
      <c r="W503" s="829"/>
      <c r="X503" s="829"/>
      <c r="Y503" s="829"/>
      <c r="Z503" s="829"/>
      <c r="AA503" s="829"/>
      <c r="AB503" s="829"/>
      <c r="AC503" s="829"/>
      <c r="AD503" s="829"/>
      <c r="AE503" s="829"/>
      <c r="AF503" s="829"/>
      <c r="AG503" s="829"/>
      <c r="AH503" s="829"/>
      <c r="AI503" s="829"/>
      <c r="AJ503" s="829"/>
      <c r="AK503" s="829"/>
      <c r="AL503" s="829"/>
      <c r="AM503" s="829"/>
      <c r="AN503" s="829"/>
    </row>
    <row r="504" spans="1:40" ht="12.75" x14ac:dyDescent="0.2">
      <c r="A504" s="829"/>
      <c r="B504" s="829"/>
      <c r="C504" s="829"/>
      <c r="D504" s="829"/>
      <c r="E504" s="829"/>
      <c r="F504" s="829"/>
      <c r="G504" s="829"/>
      <c r="H504" s="829"/>
      <c r="I504" s="829"/>
      <c r="J504" s="829"/>
      <c r="K504" s="829"/>
      <c r="L504" s="829"/>
      <c r="M504" s="829"/>
      <c r="N504" s="829"/>
      <c r="O504" s="829"/>
      <c r="P504" s="829"/>
      <c r="Q504" s="829"/>
      <c r="R504" s="829"/>
      <c r="S504" s="829"/>
      <c r="T504" s="829"/>
      <c r="U504" s="829"/>
      <c r="V504" s="829"/>
      <c r="W504" s="829"/>
      <c r="X504" s="829"/>
      <c r="Y504" s="829"/>
      <c r="Z504" s="829"/>
      <c r="AA504" s="829"/>
      <c r="AB504" s="829"/>
      <c r="AC504" s="829"/>
      <c r="AD504" s="829"/>
      <c r="AE504" s="829"/>
      <c r="AF504" s="829"/>
      <c r="AG504" s="829"/>
      <c r="AH504" s="829"/>
      <c r="AI504" s="829"/>
      <c r="AJ504" s="829"/>
      <c r="AK504" s="829"/>
      <c r="AL504" s="829"/>
      <c r="AM504" s="829"/>
      <c r="AN504" s="829"/>
    </row>
    <row r="505" spans="1:40" ht="12.75" x14ac:dyDescent="0.2">
      <c r="A505" s="829"/>
      <c r="B505" s="829"/>
      <c r="C505" s="829"/>
      <c r="D505" s="829"/>
      <c r="E505" s="829"/>
      <c r="F505" s="829"/>
      <c r="G505" s="829"/>
      <c r="H505" s="829"/>
      <c r="I505" s="829"/>
      <c r="J505" s="829"/>
      <c r="K505" s="829"/>
      <c r="L505" s="829"/>
      <c r="M505" s="829"/>
      <c r="N505" s="829"/>
      <c r="O505" s="829"/>
      <c r="P505" s="829"/>
      <c r="Q505" s="829"/>
      <c r="R505" s="829"/>
      <c r="S505" s="829"/>
      <c r="T505" s="829"/>
      <c r="U505" s="829"/>
      <c r="V505" s="829"/>
      <c r="W505" s="829"/>
      <c r="X505" s="829"/>
      <c r="Y505" s="829"/>
      <c r="Z505" s="829"/>
      <c r="AA505" s="829"/>
      <c r="AB505" s="829"/>
      <c r="AC505" s="829"/>
      <c r="AD505" s="829"/>
      <c r="AE505" s="829"/>
      <c r="AF505" s="829"/>
      <c r="AG505" s="829"/>
      <c r="AH505" s="829"/>
      <c r="AI505" s="829"/>
      <c r="AJ505" s="829"/>
      <c r="AK505" s="829"/>
      <c r="AL505" s="829"/>
      <c r="AM505" s="829"/>
      <c r="AN505" s="829"/>
    </row>
    <row r="506" spans="1:40" ht="12.75" x14ac:dyDescent="0.2">
      <c r="A506" s="829"/>
      <c r="B506" s="829"/>
      <c r="C506" s="829"/>
      <c r="D506" s="829"/>
      <c r="E506" s="829"/>
      <c r="F506" s="829"/>
      <c r="G506" s="829"/>
      <c r="H506" s="829"/>
      <c r="I506" s="829"/>
      <c r="J506" s="829"/>
      <c r="K506" s="829"/>
      <c r="L506" s="829"/>
      <c r="M506" s="829"/>
      <c r="N506" s="829"/>
      <c r="O506" s="829"/>
      <c r="P506" s="829"/>
      <c r="Q506" s="829"/>
      <c r="R506" s="829"/>
      <c r="S506" s="829"/>
      <c r="T506" s="829"/>
      <c r="U506" s="829"/>
      <c r="V506" s="829"/>
      <c r="W506" s="829"/>
      <c r="X506" s="829"/>
      <c r="Y506" s="829"/>
      <c r="Z506" s="829"/>
      <c r="AA506" s="829"/>
      <c r="AB506" s="829"/>
      <c r="AC506" s="829"/>
      <c r="AD506" s="829"/>
      <c r="AE506" s="829"/>
      <c r="AF506" s="829"/>
      <c r="AG506" s="829"/>
      <c r="AH506" s="829"/>
      <c r="AI506" s="829"/>
      <c r="AJ506" s="829"/>
      <c r="AK506" s="829"/>
      <c r="AL506" s="829"/>
      <c r="AM506" s="829"/>
      <c r="AN506" s="829"/>
    </row>
    <row r="507" spans="1:40" ht="12.75" x14ac:dyDescent="0.2">
      <c r="A507" s="829"/>
      <c r="B507" s="829"/>
      <c r="C507" s="829"/>
      <c r="D507" s="829"/>
      <c r="E507" s="829"/>
      <c r="F507" s="829"/>
      <c r="G507" s="829"/>
      <c r="H507" s="829"/>
      <c r="I507" s="829"/>
      <c r="J507" s="829"/>
      <c r="K507" s="829"/>
      <c r="L507" s="829"/>
      <c r="M507" s="829"/>
      <c r="N507" s="829"/>
      <c r="O507" s="829"/>
      <c r="P507" s="829"/>
      <c r="Q507" s="829"/>
      <c r="R507" s="829"/>
      <c r="S507" s="829"/>
      <c r="T507" s="829"/>
      <c r="U507" s="829"/>
      <c r="V507" s="829"/>
      <c r="W507" s="829"/>
      <c r="X507" s="829"/>
      <c r="Y507" s="829"/>
      <c r="Z507" s="829"/>
      <c r="AA507" s="829"/>
      <c r="AB507" s="829"/>
      <c r="AC507" s="829"/>
      <c r="AD507" s="829"/>
      <c r="AE507" s="829"/>
      <c r="AF507" s="829"/>
      <c r="AG507" s="829"/>
      <c r="AH507" s="829"/>
      <c r="AI507" s="829"/>
      <c r="AJ507" s="829"/>
      <c r="AK507" s="829"/>
      <c r="AL507" s="829"/>
      <c r="AM507" s="829"/>
      <c r="AN507" s="829"/>
    </row>
    <row r="508" spans="1:40" ht="12.75" x14ac:dyDescent="0.2">
      <c r="A508" s="829"/>
      <c r="B508" s="829"/>
      <c r="C508" s="829"/>
      <c r="D508" s="829"/>
      <c r="E508" s="829"/>
      <c r="F508" s="829"/>
      <c r="G508" s="829"/>
      <c r="H508" s="829"/>
      <c r="I508" s="829"/>
      <c r="J508" s="829"/>
      <c r="K508" s="829"/>
      <c r="L508" s="829"/>
      <c r="M508" s="829"/>
      <c r="N508" s="829"/>
      <c r="O508" s="829"/>
      <c r="P508" s="829"/>
      <c r="Q508" s="829"/>
      <c r="R508" s="829"/>
      <c r="S508" s="829"/>
      <c r="T508" s="829"/>
      <c r="U508" s="829"/>
      <c r="V508" s="829"/>
      <c r="W508" s="829"/>
      <c r="X508" s="829"/>
      <c r="Y508" s="829"/>
      <c r="Z508" s="829"/>
      <c r="AA508" s="829"/>
      <c r="AB508" s="829"/>
      <c r="AC508" s="829"/>
      <c r="AD508" s="829"/>
      <c r="AE508" s="829"/>
      <c r="AF508" s="829"/>
      <c r="AG508" s="829"/>
      <c r="AH508" s="829"/>
      <c r="AI508" s="829"/>
      <c r="AJ508" s="829"/>
      <c r="AK508" s="829"/>
      <c r="AL508" s="829"/>
      <c r="AM508" s="829"/>
      <c r="AN508" s="829"/>
    </row>
    <row r="509" spans="1:40" ht="12.75" x14ac:dyDescent="0.2">
      <c r="A509" s="829"/>
      <c r="B509" s="829"/>
      <c r="C509" s="829"/>
      <c r="D509" s="829"/>
      <c r="E509" s="829"/>
      <c r="F509" s="829"/>
      <c r="G509" s="829"/>
      <c r="H509" s="829"/>
      <c r="I509" s="829"/>
      <c r="J509" s="829"/>
      <c r="K509" s="829"/>
      <c r="L509" s="829"/>
      <c r="M509" s="829"/>
      <c r="N509" s="829"/>
      <c r="O509" s="829"/>
      <c r="P509" s="829"/>
      <c r="Q509" s="829"/>
      <c r="R509" s="829"/>
      <c r="S509" s="829"/>
      <c r="T509" s="829"/>
      <c r="U509" s="829"/>
      <c r="V509" s="829"/>
      <c r="W509" s="829"/>
      <c r="X509" s="829"/>
      <c r="Y509" s="829"/>
      <c r="Z509" s="829"/>
      <c r="AA509" s="829"/>
      <c r="AB509" s="829"/>
      <c r="AC509" s="829"/>
      <c r="AD509" s="829"/>
      <c r="AE509" s="829"/>
      <c r="AF509" s="829"/>
      <c r="AG509" s="829"/>
      <c r="AH509" s="829"/>
      <c r="AI509" s="829"/>
      <c r="AJ509" s="829"/>
      <c r="AK509" s="829"/>
      <c r="AL509" s="829"/>
      <c r="AM509" s="829"/>
      <c r="AN509" s="829"/>
    </row>
    <row r="510" spans="1:40" ht="12.75" x14ac:dyDescent="0.2">
      <c r="A510" s="829"/>
      <c r="B510" s="829"/>
      <c r="C510" s="829"/>
      <c r="D510" s="829"/>
      <c r="E510" s="829"/>
      <c r="F510" s="829"/>
      <c r="G510" s="829"/>
      <c r="H510" s="829"/>
      <c r="I510" s="829"/>
      <c r="J510" s="829"/>
      <c r="K510" s="829"/>
      <c r="L510" s="829"/>
      <c r="M510" s="829"/>
      <c r="N510" s="829"/>
      <c r="O510" s="829"/>
      <c r="P510" s="829"/>
      <c r="Q510" s="829"/>
      <c r="R510" s="829"/>
      <c r="S510" s="829"/>
      <c r="T510" s="829"/>
      <c r="U510" s="829"/>
      <c r="V510" s="829"/>
      <c r="W510" s="829"/>
      <c r="X510" s="829"/>
      <c r="Y510" s="829"/>
      <c r="Z510" s="829"/>
      <c r="AA510" s="829"/>
      <c r="AB510" s="829"/>
      <c r="AC510" s="829"/>
      <c r="AD510" s="829"/>
      <c r="AE510" s="829"/>
      <c r="AF510" s="829"/>
      <c r="AG510" s="829"/>
      <c r="AH510" s="829"/>
      <c r="AI510" s="829"/>
      <c r="AJ510" s="829"/>
      <c r="AK510" s="829"/>
      <c r="AL510" s="829"/>
      <c r="AM510" s="829"/>
      <c r="AN510" s="829"/>
    </row>
    <row r="511" spans="1:40" ht="12.75" x14ac:dyDescent="0.2">
      <c r="A511" s="829"/>
      <c r="B511" s="829"/>
      <c r="C511" s="829"/>
      <c r="D511" s="829"/>
      <c r="E511" s="829"/>
      <c r="F511" s="829"/>
      <c r="G511" s="829"/>
      <c r="H511" s="829"/>
      <c r="I511" s="829"/>
      <c r="J511" s="829"/>
      <c r="K511" s="829"/>
      <c r="L511" s="829"/>
      <c r="M511" s="829"/>
      <c r="N511" s="829"/>
      <c r="O511" s="829"/>
      <c r="P511" s="829"/>
      <c r="Q511" s="829"/>
      <c r="R511" s="829"/>
      <c r="S511" s="829"/>
      <c r="T511" s="829"/>
      <c r="U511" s="829"/>
      <c r="V511" s="829"/>
      <c r="W511" s="829"/>
      <c r="X511" s="829"/>
      <c r="Y511" s="829"/>
      <c r="Z511" s="829"/>
      <c r="AA511" s="829"/>
      <c r="AB511" s="829"/>
      <c r="AC511" s="829"/>
      <c r="AD511" s="829"/>
      <c r="AE511" s="829"/>
      <c r="AF511" s="829"/>
      <c r="AG511" s="829"/>
      <c r="AH511" s="829"/>
      <c r="AI511" s="829"/>
      <c r="AJ511" s="829"/>
      <c r="AK511" s="829"/>
      <c r="AL511" s="829"/>
      <c r="AM511" s="829"/>
      <c r="AN511" s="829"/>
    </row>
    <row r="512" spans="1:40" ht="12.75" x14ac:dyDescent="0.2">
      <c r="A512" s="829"/>
      <c r="B512" s="829"/>
      <c r="C512" s="829"/>
      <c r="D512" s="829"/>
      <c r="E512" s="829"/>
      <c r="F512" s="829"/>
      <c r="G512" s="829"/>
      <c r="H512" s="829"/>
      <c r="I512" s="829"/>
      <c r="J512" s="829"/>
      <c r="K512" s="829"/>
      <c r="L512" s="829"/>
      <c r="M512" s="829"/>
      <c r="N512" s="829"/>
      <c r="O512" s="829"/>
      <c r="P512" s="829"/>
      <c r="Q512" s="829"/>
      <c r="R512" s="829"/>
      <c r="S512" s="829"/>
      <c r="T512" s="829"/>
      <c r="U512" s="829"/>
      <c r="V512" s="829"/>
      <c r="W512" s="829"/>
      <c r="X512" s="829"/>
      <c r="Y512" s="829"/>
      <c r="Z512" s="829"/>
      <c r="AA512" s="829"/>
      <c r="AB512" s="829"/>
      <c r="AC512" s="829"/>
      <c r="AD512" s="829"/>
      <c r="AE512" s="829"/>
      <c r="AF512" s="829"/>
      <c r="AG512" s="829"/>
      <c r="AH512" s="829"/>
      <c r="AI512" s="829"/>
      <c r="AJ512" s="829"/>
      <c r="AK512" s="829"/>
      <c r="AL512" s="829"/>
      <c r="AM512" s="829"/>
      <c r="AN512" s="829"/>
    </row>
    <row r="513" spans="1:40" ht="12.75" x14ac:dyDescent="0.2">
      <c r="A513" s="829"/>
      <c r="B513" s="829"/>
      <c r="C513" s="829"/>
      <c r="D513" s="829"/>
      <c r="E513" s="829"/>
      <c r="F513" s="829"/>
      <c r="G513" s="829"/>
      <c r="H513" s="829"/>
      <c r="I513" s="829"/>
      <c r="J513" s="829"/>
      <c r="K513" s="829"/>
      <c r="L513" s="829"/>
      <c r="M513" s="829"/>
      <c r="N513" s="829"/>
      <c r="O513" s="829"/>
      <c r="P513" s="829"/>
      <c r="Q513" s="829"/>
      <c r="R513" s="829"/>
      <c r="S513" s="829"/>
      <c r="T513" s="829"/>
      <c r="U513" s="829"/>
      <c r="V513" s="829"/>
      <c r="W513" s="829"/>
      <c r="X513" s="829"/>
      <c r="Y513" s="829"/>
      <c r="Z513" s="829"/>
      <c r="AA513" s="829"/>
      <c r="AB513" s="829"/>
      <c r="AC513" s="829"/>
      <c r="AD513" s="829"/>
      <c r="AE513" s="829"/>
      <c r="AF513" s="829"/>
      <c r="AG513" s="829"/>
      <c r="AH513" s="829"/>
      <c r="AI513" s="829"/>
      <c r="AJ513" s="829"/>
      <c r="AK513" s="829"/>
      <c r="AL513" s="829"/>
      <c r="AM513" s="829"/>
      <c r="AN513" s="829"/>
    </row>
    <row r="514" spans="1:40" ht="12.75" x14ac:dyDescent="0.2">
      <c r="A514" s="829"/>
      <c r="B514" s="829"/>
      <c r="C514" s="829"/>
      <c r="D514" s="829"/>
      <c r="E514" s="829"/>
      <c r="F514" s="829"/>
      <c r="G514" s="829"/>
      <c r="H514" s="829"/>
      <c r="I514" s="829"/>
      <c r="J514" s="829"/>
      <c r="K514" s="829"/>
      <c r="L514" s="829"/>
      <c r="M514" s="829"/>
      <c r="N514" s="829"/>
      <c r="O514" s="829"/>
      <c r="P514" s="829"/>
      <c r="Q514" s="829"/>
      <c r="R514" s="829"/>
      <c r="S514" s="829"/>
      <c r="T514" s="829"/>
      <c r="U514" s="829"/>
      <c r="V514" s="829"/>
      <c r="W514" s="829"/>
      <c r="X514" s="829"/>
      <c r="Y514" s="829"/>
      <c r="Z514" s="829"/>
      <c r="AA514" s="829"/>
      <c r="AB514" s="829"/>
      <c r="AC514" s="829"/>
      <c r="AD514" s="829"/>
      <c r="AE514" s="829"/>
      <c r="AF514" s="829"/>
      <c r="AG514" s="829"/>
      <c r="AH514" s="829"/>
      <c r="AI514" s="829"/>
      <c r="AJ514" s="829"/>
      <c r="AK514" s="829"/>
      <c r="AL514" s="829"/>
      <c r="AM514" s="829"/>
      <c r="AN514" s="829"/>
    </row>
    <row r="515" spans="1:40" ht="12.75" x14ac:dyDescent="0.2">
      <c r="A515" s="829"/>
      <c r="B515" s="829"/>
      <c r="C515" s="829"/>
      <c r="D515" s="829"/>
      <c r="E515" s="829"/>
      <c r="F515" s="829"/>
      <c r="G515" s="829"/>
      <c r="H515" s="829"/>
      <c r="I515" s="829"/>
      <c r="J515" s="829"/>
      <c r="K515" s="829"/>
      <c r="L515" s="829"/>
      <c r="M515" s="829"/>
      <c r="N515" s="829"/>
      <c r="O515" s="829"/>
      <c r="P515" s="829"/>
      <c r="Q515" s="829"/>
      <c r="R515" s="829"/>
      <c r="S515" s="829"/>
      <c r="T515" s="829"/>
      <c r="U515" s="829"/>
      <c r="V515" s="829"/>
      <c r="W515" s="829"/>
      <c r="X515" s="829"/>
      <c r="Y515" s="829"/>
      <c r="Z515" s="829"/>
      <c r="AA515" s="829"/>
      <c r="AB515" s="829"/>
      <c r="AC515" s="829"/>
      <c r="AD515" s="829"/>
      <c r="AE515" s="829"/>
      <c r="AF515" s="829"/>
      <c r="AG515" s="829"/>
      <c r="AH515" s="829"/>
      <c r="AI515" s="829"/>
      <c r="AJ515" s="829"/>
      <c r="AK515" s="829"/>
      <c r="AL515" s="829"/>
      <c r="AM515" s="829"/>
      <c r="AN515" s="829"/>
    </row>
    <row r="516" spans="1:40" ht="12.75" x14ac:dyDescent="0.2">
      <c r="A516" s="829"/>
      <c r="B516" s="829"/>
      <c r="C516" s="829"/>
      <c r="D516" s="829"/>
      <c r="E516" s="829"/>
      <c r="F516" s="829"/>
      <c r="G516" s="829"/>
      <c r="H516" s="829"/>
      <c r="I516" s="829"/>
      <c r="J516" s="829"/>
      <c r="K516" s="829"/>
      <c r="L516" s="829"/>
      <c r="M516" s="829"/>
      <c r="N516" s="829"/>
      <c r="O516" s="829"/>
      <c r="P516" s="829"/>
      <c r="Q516" s="829"/>
      <c r="R516" s="829"/>
      <c r="S516" s="829"/>
      <c r="T516" s="829"/>
      <c r="U516" s="829"/>
      <c r="V516" s="829"/>
      <c r="W516" s="829"/>
      <c r="X516" s="829"/>
      <c r="Y516" s="829"/>
      <c r="Z516" s="829"/>
      <c r="AA516" s="829"/>
      <c r="AB516" s="829"/>
      <c r="AC516" s="829"/>
      <c r="AD516" s="829"/>
      <c r="AE516" s="829"/>
      <c r="AF516" s="829"/>
      <c r="AG516" s="829"/>
      <c r="AH516" s="829"/>
      <c r="AI516" s="829"/>
      <c r="AJ516" s="829"/>
      <c r="AK516" s="829"/>
      <c r="AL516" s="829"/>
      <c r="AM516" s="829"/>
      <c r="AN516" s="829"/>
    </row>
    <row r="517" spans="1:40" ht="12.75" x14ac:dyDescent="0.2">
      <c r="A517" s="829"/>
      <c r="B517" s="829"/>
      <c r="C517" s="829"/>
      <c r="D517" s="829"/>
      <c r="E517" s="829"/>
      <c r="F517" s="829"/>
      <c r="G517" s="829"/>
      <c r="H517" s="829"/>
      <c r="I517" s="829"/>
      <c r="J517" s="829"/>
      <c r="K517" s="829"/>
      <c r="L517" s="829"/>
      <c r="M517" s="829"/>
      <c r="N517" s="829"/>
      <c r="O517" s="829"/>
      <c r="P517" s="829"/>
      <c r="Q517" s="829"/>
      <c r="R517" s="829"/>
      <c r="S517" s="829"/>
      <c r="T517" s="829"/>
      <c r="U517" s="829"/>
      <c r="V517" s="829"/>
      <c r="W517" s="829"/>
      <c r="X517" s="829"/>
      <c r="Y517" s="829"/>
      <c r="Z517" s="829"/>
      <c r="AA517" s="829"/>
      <c r="AB517" s="829"/>
      <c r="AC517" s="829"/>
      <c r="AD517" s="829"/>
      <c r="AE517" s="829"/>
      <c r="AF517" s="829"/>
      <c r="AG517" s="829"/>
      <c r="AH517" s="829"/>
      <c r="AI517" s="829"/>
      <c r="AJ517" s="829"/>
      <c r="AK517" s="829"/>
      <c r="AL517" s="829"/>
      <c r="AM517" s="829"/>
      <c r="AN517" s="829"/>
    </row>
    <row r="518" spans="1:40" ht="12.75" x14ac:dyDescent="0.2">
      <c r="A518" s="829"/>
      <c r="B518" s="829"/>
      <c r="C518" s="829"/>
      <c r="D518" s="829"/>
      <c r="E518" s="829"/>
      <c r="F518" s="829"/>
      <c r="G518" s="829"/>
      <c r="H518" s="829"/>
      <c r="I518" s="829"/>
      <c r="J518" s="829"/>
      <c r="K518" s="829"/>
      <c r="L518" s="829"/>
      <c r="M518" s="829"/>
      <c r="N518" s="829"/>
      <c r="O518" s="829"/>
      <c r="P518" s="829"/>
      <c r="Q518" s="829"/>
      <c r="R518" s="829"/>
      <c r="S518" s="829"/>
      <c r="T518" s="829"/>
      <c r="U518" s="829"/>
      <c r="V518" s="829"/>
      <c r="W518" s="829"/>
      <c r="X518" s="829"/>
      <c r="Y518" s="829"/>
      <c r="Z518" s="829"/>
      <c r="AA518" s="829"/>
      <c r="AB518" s="829"/>
      <c r="AC518" s="829"/>
      <c r="AD518" s="829"/>
      <c r="AE518" s="829"/>
      <c r="AF518" s="829"/>
      <c r="AG518" s="829"/>
      <c r="AH518" s="829"/>
      <c r="AI518" s="829"/>
      <c r="AJ518" s="829"/>
      <c r="AK518" s="829"/>
      <c r="AL518" s="829"/>
      <c r="AM518" s="829"/>
      <c r="AN518" s="829"/>
    </row>
    <row r="519" spans="1:40" ht="12.75" x14ac:dyDescent="0.2">
      <c r="A519" s="829"/>
      <c r="B519" s="829"/>
      <c r="C519" s="829"/>
      <c r="D519" s="829"/>
      <c r="E519" s="829"/>
      <c r="F519" s="829"/>
      <c r="G519" s="829"/>
      <c r="H519" s="829"/>
      <c r="I519" s="829"/>
      <c r="J519" s="829"/>
      <c r="K519" s="829"/>
      <c r="L519" s="829"/>
      <c r="M519" s="829"/>
      <c r="N519" s="829"/>
      <c r="O519" s="829"/>
      <c r="P519" s="829"/>
      <c r="Q519" s="829"/>
      <c r="R519" s="829"/>
      <c r="S519" s="829"/>
      <c r="T519" s="829"/>
      <c r="U519" s="829"/>
      <c r="V519" s="829"/>
      <c r="W519" s="829"/>
      <c r="X519" s="829"/>
      <c r="Y519" s="829"/>
      <c r="Z519" s="829"/>
      <c r="AA519" s="829"/>
      <c r="AB519" s="829"/>
      <c r="AC519" s="829"/>
      <c r="AD519" s="829"/>
      <c r="AE519" s="829"/>
      <c r="AF519" s="829"/>
      <c r="AG519" s="829"/>
      <c r="AH519" s="829"/>
      <c r="AI519" s="829"/>
      <c r="AJ519" s="829"/>
      <c r="AK519" s="829"/>
      <c r="AL519" s="829"/>
      <c r="AM519" s="829"/>
      <c r="AN519" s="829"/>
    </row>
    <row r="520" spans="1:40" ht="12.75" x14ac:dyDescent="0.2">
      <c r="A520" s="829"/>
      <c r="B520" s="829"/>
      <c r="C520" s="829"/>
      <c r="D520" s="829"/>
      <c r="E520" s="829"/>
      <c r="F520" s="829"/>
      <c r="G520" s="829"/>
      <c r="H520" s="829"/>
      <c r="I520" s="829"/>
      <c r="J520" s="829"/>
      <c r="K520" s="829"/>
      <c r="L520" s="829"/>
      <c r="M520" s="829"/>
      <c r="N520" s="829"/>
      <c r="O520" s="829"/>
      <c r="P520" s="829"/>
      <c r="Q520" s="829"/>
      <c r="R520" s="829"/>
      <c r="S520" s="829"/>
      <c r="T520" s="829"/>
      <c r="U520" s="829"/>
      <c r="V520" s="829"/>
      <c r="W520" s="829"/>
      <c r="X520" s="829"/>
      <c r="Y520" s="829"/>
      <c r="Z520" s="829"/>
      <c r="AA520" s="829"/>
      <c r="AB520" s="829"/>
      <c r="AC520" s="829"/>
      <c r="AD520" s="829"/>
      <c r="AE520" s="829"/>
      <c r="AF520" s="829"/>
      <c r="AG520" s="829"/>
      <c r="AH520" s="829"/>
      <c r="AI520" s="829"/>
      <c r="AJ520" s="829"/>
      <c r="AK520" s="829"/>
      <c r="AL520" s="829"/>
      <c r="AM520" s="829"/>
      <c r="AN520" s="829"/>
    </row>
    <row r="521" spans="1:40" ht="12.75" x14ac:dyDescent="0.2">
      <c r="A521" s="829"/>
      <c r="B521" s="829"/>
      <c r="C521" s="829"/>
      <c r="D521" s="829"/>
      <c r="E521" s="829"/>
      <c r="F521" s="829"/>
      <c r="G521" s="829"/>
      <c r="H521" s="829"/>
      <c r="I521" s="829"/>
      <c r="J521" s="829"/>
      <c r="K521" s="829"/>
      <c r="L521" s="829"/>
      <c r="M521" s="829"/>
      <c r="N521" s="829"/>
      <c r="O521" s="829"/>
      <c r="P521" s="829"/>
      <c r="Q521" s="829"/>
      <c r="R521" s="829"/>
      <c r="S521" s="829"/>
      <c r="T521" s="829"/>
      <c r="U521" s="829"/>
      <c r="V521" s="829"/>
      <c r="W521" s="829"/>
      <c r="X521" s="829"/>
      <c r="Y521" s="829"/>
      <c r="Z521" s="829"/>
      <c r="AA521" s="829"/>
      <c r="AB521" s="829"/>
      <c r="AC521" s="829"/>
      <c r="AD521" s="829"/>
      <c r="AE521" s="829"/>
      <c r="AF521" s="829"/>
      <c r="AG521" s="829"/>
      <c r="AH521" s="829"/>
      <c r="AI521" s="829"/>
      <c r="AJ521" s="829"/>
      <c r="AK521" s="829"/>
      <c r="AL521" s="829"/>
      <c r="AM521" s="829"/>
      <c r="AN521" s="829"/>
    </row>
    <row r="522" spans="1:40" ht="12.75" x14ac:dyDescent="0.2">
      <c r="A522" s="829"/>
      <c r="B522" s="829"/>
      <c r="C522" s="829"/>
      <c r="D522" s="829"/>
      <c r="E522" s="829"/>
      <c r="F522" s="829"/>
      <c r="G522" s="829"/>
      <c r="H522" s="829"/>
      <c r="I522" s="829"/>
      <c r="J522" s="829"/>
      <c r="K522" s="829"/>
      <c r="L522" s="829"/>
      <c r="M522" s="829"/>
      <c r="N522" s="829"/>
      <c r="O522" s="829"/>
      <c r="P522" s="829"/>
      <c r="Q522" s="829"/>
      <c r="R522" s="829"/>
      <c r="S522" s="829"/>
      <c r="T522" s="829"/>
      <c r="U522" s="829"/>
      <c r="V522" s="829"/>
      <c r="W522" s="829"/>
      <c r="X522" s="829"/>
      <c r="Y522" s="829"/>
      <c r="Z522" s="829"/>
      <c r="AA522" s="829"/>
      <c r="AB522" s="829"/>
      <c r="AC522" s="829"/>
      <c r="AD522" s="829"/>
      <c r="AE522" s="829"/>
      <c r="AF522" s="829"/>
      <c r="AG522" s="829"/>
      <c r="AH522" s="829"/>
      <c r="AI522" s="829"/>
      <c r="AJ522" s="829"/>
      <c r="AK522" s="829"/>
      <c r="AL522" s="829"/>
      <c r="AM522" s="829"/>
      <c r="AN522" s="829"/>
    </row>
    <row r="523" spans="1:40" ht="12.75" x14ac:dyDescent="0.2">
      <c r="A523" s="829"/>
      <c r="B523" s="829"/>
      <c r="C523" s="829"/>
      <c r="D523" s="829"/>
      <c r="E523" s="829"/>
      <c r="F523" s="829"/>
      <c r="G523" s="829"/>
      <c r="H523" s="829"/>
      <c r="I523" s="829"/>
      <c r="J523" s="829"/>
      <c r="K523" s="829"/>
      <c r="L523" s="829"/>
      <c r="M523" s="829"/>
      <c r="N523" s="829"/>
      <c r="O523" s="829"/>
      <c r="P523" s="829"/>
      <c r="Q523" s="829"/>
      <c r="R523" s="829"/>
      <c r="S523" s="829"/>
      <c r="T523" s="829"/>
      <c r="U523" s="829"/>
      <c r="V523" s="829"/>
      <c r="W523" s="829"/>
      <c r="X523" s="829"/>
      <c r="Y523" s="829"/>
      <c r="Z523" s="829"/>
      <c r="AA523" s="829"/>
      <c r="AB523" s="829"/>
      <c r="AC523" s="829"/>
      <c r="AD523" s="829"/>
      <c r="AE523" s="829"/>
      <c r="AF523" s="829"/>
      <c r="AG523" s="829"/>
      <c r="AH523" s="829"/>
      <c r="AI523" s="829"/>
      <c r="AJ523" s="829"/>
      <c r="AK523" s="829"/>
      <c r="AL523" s="829"/>
      <c r="AM523" s="829"/>
      <c r="AN523" s="829"/>
    </row>
    <row r="524" spans="1:40" ht="12.75" x14ac:dyDescent="0.2">
      <c r="A524" s="829"/>
      <c r="B524" s="829"/>
      <c r="C524" s="829"/>
      <c r="D524" s="829"/>
      <c r="E524" s="829"/>
      <c r="F524" s="829"/>
      <c r="G524" s="829"/>
      <c r="H524" s="829"/>
      <c r="I524" s="829"/>
      <c r="J524" s="829"/>
      <c r="K524" s="829"/>
      <c r="L524" s="829"/>
      <c r="M524" s="829"/>
      <c r="N524" s="829"/>
      <c r="O524" s="829"/>
      <c r="P524" s="829"/>
      <c r="Q524" s="829"/>
      <c r="R524" s="829"/>
      <c r="S524" s="829"/>
      <c r="T524" s="829"/>
      <c r="U524" s="829"/>
      <c r="V524" s="829"/>
      <c r="W524" s="829"/>
      <c r="X524" s="829"/>
      <c r="Y524" s="829"/>
      <c r="Z524" s="829"/>
      <c r="AA524" s="829"/>
      <c r="AB524" s="829"/>
      <c r="AC524" s="829"/>
      <c r="AD524" s="829"/>
      <c r="AE524" s="829"/>
      <c r="AF524" s="829"/>
      <c r="AG524" s="829"/>
      <c r="AH524" s="829"/>
      <c r="AI524" s="829"/>
      <c r="AJ524" s="829"/>
      <c r="AK524" s="829"/>
      <c r="AL524" s="829"/>
      <c r="AM524" s="829"/>
      <c r="AN524" s="829"/>
    </row>
    <row r="525" spans="1:40" ht="12.75" x14ac:dyDescent="0.2">
      <c r="A525" s="829"/>
      <c r="B525" s="829"/>
      <c r="C525" s="829"/>
      <c r="D525" s="829"/>
      <c r="E525" s="829"/>
      <c r="F525" s="829"/>
      <c r="G525" s="829"/>
      <c r="H525" s="829"/>
      <c r="I525" s="829"/>
      <c r="J525" s="829"/>
      <c r="K525" s="829"/>
      <c r="L525" s="829"/>
      <c r="M525" s="829"/>
      <c r="N525" s="829"/>
      <c r="O525" s="829"/>
      <c r="P525" s="829"/>
      <c r="Q525" s="829"/>
      <c r="R525" s="829"/>
      <c r="S525" s="829"/>
      <c r="T525" s="829"/>
      <c r="U525" s="829"/>
      <c r="V525" s="829"/>
      <c r="W525" s="829"/>
      <c r="X525" s="829"/>
      <c r="Y525" s="829"/>
      <c r="Z525" s="829"/>
      <c r="AA525" s="829"/>
      <c r="AB525" s="829"/>
      <c r="AC525" s="829"/>
      <c r="AD525" s="829"/>
      <c r="AE525" s="829"/>
      <c r="AF525" s="829"/>
      <c r="AG525" s="829"/>
      <c r="AH525" s="829"/>
      <c r="AI525" s="829"/>
      <c r="AJ525" s="829"/>
      <c r="AK525" s="829"/>
      <c r="AL525" s="829"/>
      <c r="AM525" s="829"/>
      <c r="AN525" s="829"/>
    </row>
    <row r="526" spans="1:40" ht="12.75" x14ac:dyDescent="0.2">
      <c r="A526" s="829"/>
      <c r="B526" s="829"/>
      <c r="C526" s="829"/>
      <c r="D526" s="829"/>
      <c r="E526" s="829"/>
      <c r="F526" s="829"/>
      <c r="G526" s="829"/>
      <c r="H526" s="829"/>
      <c r="I526" s="829"/>
      <c r="J526" s="829"/>
      <c r="K526" s="829"/>
      <c r="L526" s="829"/>
      <c r="M526" s="829"/>
      <c r="N526" s="829"/>
      <c r="O526" s="829"/>
      <c r="P526" s="829"/>
      <c r="Q526" s="829"/>
      <c r="R526" s="829"/>
      <c r="S526" s="829"/>
      <c r="T526" s="829"/>
      <c r="U526" s="829"/>
      <c r="V526" s="829"/>
      <c r="W526" s="829"/>
      <c r="X526" s="829"/>
      <c r="Y526" s="829"/>
      <c r="Z526" s="829"/>
      <c r="AA526" s="829"/>
      <c r="AB526" s="829"/>
      <c r="AC526" s="829"/>
      <c r="AD526" s="829"/>
      <c r="AE526" s="829"/>
      <c r="AF526" s="829"/>
      <c r="AG526" s="829"/>
      <c r="AH526" s="829"/>
      <c r="AI526" s="829"/>
      <c r="AJ526" s="829"/>
      <c r="AK526" s="829"/>
      <c r="AL526" s="829"/>
      <c r="AM526" s="829"/>
      <c r="AN526" s="829"/>
    </row>
    <row r="527" spans="1:40" ht="12.75" x14ac:dyDescent="0.2">
      <c r="A527" s="829"/>
      <c r="B527" s="829"/>
      <c r="C527" s="829"/>
      <c r="D527" s="829"/>
      <c r="E527" s="829"/>
      <c r="F527" s="829"/>
      <c r="G527" s="829"/>
      <c r="H527" s="829"/>
      <c r="I527" s="829"/>
      <c r="J527" s="829"/>
      <c r="K527" s="829"/>
      <c r="L527" s="829"/>
      <c r="M527" s="829"/>
      <c r="N527" s="829"/>
      <c r="O527" s="829"/>
      <c r="P527" s="829"/>
      <c r="Q527" s="829"/>
      <c r="R527" s="829"/>
      <c r="S527" s="829"/>
      <c r="T527" s="829"/>
      <c r="U527" s="829"/>
      <c r="V527" s="829"/>
      <c r="W527" s="829"/>
      <c r="X527" s="829"/>
      <c r="Y527" s="829"/>
      <c r="Z527" s="829"/>
      <c r="AA527" s="829"/>
      <c r="AB527" s="829"/>
      <c r="AC527" s="829"/>
      <c r="AD527" s="829"/>
      <c r="AE527" s="829"/>
      <c r="AF527" s="829"/>
      <c r="AG527" s="829"/>
      <c r="AH527" s="829"/>
      <c r="AI527" s="829"/>
      <c r="AJ527" s="829"/>
      <c r="AK527" s="829"/>
      <c r="AL527" s="829"/>
      <c r="AM527" s="829"/>
      <c r="AN527" s="829"/>
    </row>
    <row r="528" spans="1:40" ht="12.75" x14ac:dyDescent="0.2">
      <c r="A528" s="829"/>
      <c r="B528" s="829"/>
      <c r="C528" s="829"/>
      <c r="D528" s="829"/>
      <c r="E528" s="829"/>
      <c r="F528" s="829"/>
      <c r="G528" s="829"/>
      <c r="H528" s="829"/>
      <c r="I528" s="829"/>
      <c r="J528" s="829"/>
      <c r="K528" s="829"/>
      <c r="L528" s="829"/>
      <c r="M528" s="829"/>
      <c r="N528" s="829"/>
      <c r="O528" s="829"/>
      <c r="P528" s="829"/>
      <c r="Q528" s="829"/>
      <c r="R528" s="829"/>
      <c r="S528" s="829"/>
      <c r="T528" s="829"/>
      <c r="U528" s="829"/>
      <c r="V528" s="829"/>
      <c r="W528" s="829"/>
      <c r="X528" s="829"/>
      <c r="Y528" s="829"/>
      <c r="Z528" s="829"/>
      <c r="AA528" s="829"/>
      <c r="AB528" s="829"/>
      <c r="AC528" s="829"/>
      <c r="AD528" s="829"/>
      <c r="AE528" s="829"/>
      <c r="AF528" s="829"/>
      <c r="AG528" s="829"/>
      <c r="AH528" s="829"/>
      <c r="AI528" s="829"/>
      <c r="AJ528" s="829"/>
      <c r="AK528" s="829"/>
      <c r="AL528" s="829"/>
      <c r="AM528" s="829"/>
      <c r="AN528" s="829"/>
    </row>
    <row r="529" spans="1:40" ht="12.75" x14ac:dyDescent="0.2">
      <c r="A529" s="829"/>
      <c r="B529" s="829"/>
      <c r="C529" s="829"/>
      <c r="D529" s="829"/>
      <c r="E529" s="829"/>
      <c r="F529" s="829"/>
      <c r="G529" s="829"/>
      <c r="H529" s="829"/>
      <c r="I529" s="829"/>
      <c r="J529" s="829"/>
      <c r="K529" s="829"/>
      <c r="L529" s="829"/>
      <c r="M529" s="829"/>
      <c r="N529" s="829"/>
      <c r="O529" s="829"/>
      <c r="P529" s="829"/>
      <c r="Q529" s="829"/>
      <c r="R529" s="829"/>
      <c r="S529" s="829"/>
      <c r="T529" s="829"/>
      <c r="U529" s="829"/>
      <c r="V529" s="829"/>
      <c r="W529" s="829"/>
      <c r="X529" s="829"/>
      <c r="Y529" s="829"/>
      <c r="Z529" s="829"/>
      <c r="AA529" s="829"/>
      <c r="AB529" s="829"/>
      <c r="AC529" s="829"/>
      <c r="AD529" s="829"/>
      <c r="AE529" s="829"/>
      <c r="AF529" s="829"/>
      <c r="AG529" s="829"/>
      <c r="AH529" s="829"/>
      <c r="AI529" s="829"/>
      <c r="AJ529" s="829"/>
      <c r="AK529" s="829"/>
      <c r="AL529" s="829"/>
      <c r="AM529" s="829"/>
      <c r="AN529" s="829"/>
    </row>
    <row r="530" spans="1:40" ht="12.75" x14ac:dyDescent="0.2">
      <c r="A530" s="829"/>
      <c r="B530" s="829"/>
      <c r="C530" s="829"/>
      <c r="D530" s="829"/>
      <c r="E530" s="829"/>
      <c r="F530" s="829"/>
      <c r="G530" s="829"/>
      <c r="H530" s="829"/>
      <c r="I530" s="829"/>
      <c r="J530" s="829"/>
      <c r="K530" s="829"/>
      <c r="L530" s="829"/>
      <c r="M530" s="829"/>
      <c r="N530" s="829"/>
      <c r="O530" s="829"/>
      <c r="P530" s="829"/>
      <c r="Q530" s="829"/>
      <c r="R530" s="829"/>
      <c r="S530" s="829"/>
      <c r="T530" s="829"/>
      <c r="U530" s="829"/>
      <c r="V530" s="829"/>
      <c r="W530" s="829"/>
      <c r="X530" s="829"/>
      <c r="Y530" s="829"/>
      <c r="Z530" s="829"/>
      <c r="AA530" s="829"/>
      <c r="AB530" s="829"/>
      <c r="AC530" s="829"/>
      <c r="AD530" s="829"/>
      <c r="AE530" s="829"/>
      <c r="AF530" s="829"/>
      <c r="AG530" s="829"/>
      <c r="AH530" s="829"/>
      <c r="AI530" s="829"/>
      <c r="AJ530" s="829"/>
      <c r="AK530" s="829"/>
      <c r="AL530" s="829"/>
      <c r="AM530" s="829"/>
      <c r="AN530" s="829"/>
    </row>
    <row r="531" spans="1:40" ht="12.75" x14ac:dyDescent="0.2">
      <c r="A531" s="829"/>
      <c r="B531" s="829"/>
      <c r="C531" s="829"/>
      <c r="D531" s="829"/>
      <c r="E531" s="829"/>
      <c r="F531" s="829"/>
      <c r="G531" s="829"/>
      <c r="H531" s="829"/>
      <c r="I531" s="829"/>
      <c r="J531" s="829"/>
      <c r="K531" s="829"/>
      <c r="L531" s="829"/>
      <c r="M531" s="829"/>
      <c r="N531" s="829"/>
      <c r="O531" s="829"/>
      <c r="P531" s="829"/>
      <c r="Q531" s="829"/>
      <c r="R531" s="829"/>
      <c r="S531" s="829"/>
      <c r="T531" s="829"/>
      <c r="U531" s="829"/>
      <c r="V531" s="829"/>
      <c r="W531" s="829"/>
      <c r="X531" s="829"/>
      <c r="Y531" s="829"/>
      <c r="Z531" s="829"/>
      <c r="AA531" s="829"/>
      <c r="AB531" s="829"/>
      <c r="AC531" s="829"/>
      <c r="AD531" s="829"/>
      <c r="AE531" s="829"/>
      <c r="AF531" s="829"/>
      <c r="AG531" s="829"/>
      <c r="AH531" s="829"/>
      <c r="AI531" s="829"/>
      <c r="AJ531" s="829"/>
      <c r="AK531" s="829"/>
      <c r="AL531" s="829"/>
      <c r="AM531" s="829"/>
      <c r="AN531" s="829"/>
    </row>
    <row r="532" spans="1:40" ht="12.75" x14ac:dyDescent="0.2">
      <c r="A532" s="829"/>
      <c r="B532" s="829"/>
      <c r="C532" s="829"/>
      <c r="D532" s="829"/>
      <c r="E532" s="829"/>
      <c r="F532" s="829"/>
      <c r="G532" s="829"/>
      <c r="H532" s="829"/>
      <c r="I532" s="829"/>
      <c r="J532" s="829"/>
      <c r="K532" s="829"/>
      <c r="L532" s="829"/>
      <c r="M532" s="829"/>
      <c r="N532" s="829"/>
      <c r="O532" s="829"/>
      <c r="P532" s="829"/>
      <c r="Q532" s="829"/>
      <c r="R532" s="829"/>
      <c r="S532" s="829"/>
      <c r="T532" s="829"/>
      <c r="U532" s="829"/>
      <c r="V532" s="829"/>
      <c r="W532" s="829"/>
      <c r="X532" s="829"/>
      <c r="Y532" s="829"/>
      <c r="Z532" s="829"/>
      <c r="AA532" s="829"/>
      <c r="AB532" s="829"/>
      <c r="AC532" s="829"/>
      <c r="AD532" s="829"/>
      <c r="AE532" s="829"/>
      <c r="AF532" s="829"/>
      <c r="AG532" s="829"/>
      <c r="AH532" s="829"/>
      <c r="AI532" s="829"/>
      <c r="AJ532" s="829"/>
      <c r="AK532" s="829"/>
      <c r="AL532" s="829"/>
      <c r="AM532" s="829"/>
      <c r="AN532" s="829"/>
    </row>
    <row r="533" spans="1:40" ht="12.75" x14ac:dyDescent="0.2">
      <c r="A533" s="829"/>
      <c r="B533" s="829"/>
      <c r="C533" s="829"/>
      <c r="D533" s="829"/>
      <c r="E533" s="829"/>
      <c r="F533" s="829"/>
      <c r="G533" s="829"/>
      <c r="H533" s="829"/>
      <c r="I533" s="829"/>
      <c r="J533" s="829"/>
      <c r="K533" s="829"/>
      <c r="L533" s="829"/>
      <c r="M533" s="829"/>
      <c r="N533" s="829"/>
      <c r="O533" s="829"/>
      <c r="P533" s="829"/>
      <c r="Q533" s="829"/>
      <c r="R533" s="829"/>
      <c r="S533" s="829"/>
      <c r="T533" s="829"/>
      <c r="U533" s="829"/>
      <c r="V533" s="829"/>
      <c r="W533" s="829"/>
      <c r="X533" s="829"/>
      <c r="Y533" s="829"/>
      <c r="Z533" s="829"/>
      <c r="AA533" s="829"/>
      <c r="AB533" s="829"/>
      <c r="AC533" s="829"/>
      <c r="AD533" s="829"/>
      <c r="AE533" s="829"/>
      <c r="AF533" s="829"/>
      <c r="AG533" s="829"/>
      <c r="AH533" s="829"/>
      <c r="AI533" s="829"/>
      <c r="AJ533" s="829"/>
      <c r="AK533" s="829"/>
      <c r="AL533" s="829"/>
      <c r="AM533" s="829"/>
      <c r="AN533" s="829"/>
    </row>
    <row r="534" spans="1:40" ht="12.75" x14ac:dyDescent="0.2">
      <c r="A534" s="829"/>
      <c r="B534" s="829"/>
      <c r="C534" s="829"/>
      <c r="D534" s="829"/>
      <c r="E534" s="829"/>
      <c r="F534" s="829"/>
      <c r="G534" s="829"/>
      <c r="H534" s="829"/>
      <c r="I534" s="829"/>
      <c r="J534" s="829"/>
      <c r="K534" s="829"/>
      <c r="L534" s="829"/>
      <c r="M534" s="829"/>
      <c r="N534" s="829"/>
      <c r="O534" s="829"/>
      <c r="P534" s="829"/>
      <c r="Q534" s="829"/>
      <c r="R534" s="829"/>
      <c r="S534" s="829"/>
      <c r="T534" s="829"/>
      <c r="U534" s="829"/>
      <c r="V534" s="829"/>
      <c r="W534" s="829"/>
      <c r="X534" s="829"/>
      <c r="Y534" s="829"/>
      <c r="Z534" s="829"/>
      <c r="AA534" s="829"/>
      <c r="AB534" s="829"/>
      <c r="AC534" s="829"/>
      <c r="AD534" s="829"/>
      <c r="AE534" s="829"/>
      <c r="AF534" s="829"/>
      <c r="AG534" s="829"/>
      <c r="AH534" s="829"/>
      <c r="AI534" s="829"/>
      <c r="AJ534" s="829"/>
      <c r="AK534" s="829"/>
      <c r="AL534" s="829"/>
      <c r="AM534" s="829"/>
      <c r="AN534" s="829"/>
    </row>
    <row r="535" spans="1:40" ht="12.75" x14ac:dyDescent="0.2">
      <c r="A535" s="829"/>
      <c r="B535" s="829"/>
      <c r="C535" s="829"/>
      <c r="D535" s="829"/>
      <c r="E535" s="829"/>
      <c r="F535" s="829"/>
      <c r="G535" s="829"/>
      <c r="H535" s="829"/>
      <c r="I535" s="829"/>
      <c r="J535" s="829"/>
      <c r="K535" s="829"/>
      <c r="L535" s="829"/>
      <c r="M535" s="829"/>
      <c r="N535" s="829"/>
      <c r="O535" s="829"/>
      <c r="P535" s="829"/>
      <c r="Q535" s="829"/>
      <c r="R535" s="829"/>
      <c r="S535" s="829"/>
      <c r="T535" s="829"/>
      <c r="U535" s="829"/>
      <c r="V535" s="829"/>
      <c r="W535" s="829"/>
      <c r="X535" s="829"/>
      <c r="Y535" s="829"/>
      <c r="Z535" s="829"/>
      <c r="AA535" s="829"/>
      <c r="AB535" s="829"/>
      <c r="AC535" s="829"/>
      <c r="AD535" s="829"/>
      <c r="AE535" s="829"/>
      <c r="AF535" s="829"/>
      <c r="AG535" s="829"/>
      <c r="AH535" s="829"/>
      <c r="AI535" s="829"/>
      <c r="AJ535" s="829"/>
      <c r="AK535" s="829"/>
      <c r="AL535" s="829"/>
      <c r="AM535" s="829"/>
      <c r="AN535" s="829"/>
    </row>
    <row r="536" spans="1:40" ht="12.75" x14ac:dyDescent="0.2">
      <c r="A536" s="829"/>
      <c r="B536" s="829"/>
      <c r="C536" s="829"/>
      <c r="D536" s="829"/>
      <c r="E536" s="829"/>
      <c r="F536" s="829"/>
      <c r="G536" s="829"/>
      <c r="H536" s="829"/>
      <c r="I536" s="829"/>
      <c r="J536" s="829"/>
      <c r="K536" s="829"/>
      <c r="L536" s="829"/>
      <c r="M536" s="829"/>
      <c r="N536" s="829"/>
      <c r="O536" s="829"/>
      <c r="P536" s="829"/>
      <c r="Q536" s="829"/>
      <c r="R536" s="829"/>
      <c r="S536" s="829"/>
      <c r="T536" s="829"/>
      <c r="U536" s="829"/>
      <c r="V536" s="829"/>
      <c r="W536" s="829"/>
      <c r="X536" s="829"/>
      <c r="Y536" s="829"/>
      <c r="Z536" s="829"/>
      <c r="AA536" s="829"/>
      <c r="AB536" s="829"/>
      <c r="AC536" s="829"/>
      <c r="AD536" s="829"/>
      <c r="AE536" s="829"/>
      <c r="AF536" s="829"/>
      <c r="AG536" s="829"/>
      <c r="AH536" s="829"/>
      <c r="AI536" s="829"/>
      <c r="AJ536" s="829"/>
      <c r="AK536" s="829"/>
      <c r="AL536" s="829"/>
      <c r="AM536" s="829"/>
      <c r="AN536" s="829"/>
    </row>
    <row r="537" spans="1:40" ht="12.75" x14ac:dyDescent="0.2">
      <c r="A537" s="829"/>
      <c r="B537" s="829"/>
      <c r="C537" s="829"/>
      <c r="D537" s="829"/>
      <c r="E537" s="829"/>
      <c r="F537" s="829"/>
      <c r="G537" s="829"/>
      <c r="H537" s="829"/>
      <c r="I537" s="829"/>
      <c r="J537" s="829"/>
      <c r="K537" s="829"/>
      <c r="L537" s="829"/>
      <c r="M537" s="829"/>
      <c r="N537" s="829"/>
      <c r="O537" s="829"/>
      <c r="P537" s="829"/>
      <c r="Q537" s="829"/>
      <c r="R537" s="829"/>
      <c r="S537" s="829"/>
      <c r="T537" s="829"/>
      <c r="U537" s="829"/>
      <c r="V537" s="829"/>
      <c r="W537" s="829"/>
      <c r="X537" s="829"/>
      <c r="Y537" s="829"/>
      <c r="Z537" s="829"/>
      <c r="AA537" s="829"/>
      <c r="AB537" s="829"/>
      <c r="AC537" s="829"/>
      <c r="AD537" s="829"/>
      <c r="AE537" s="829"/>
      <c r="AF537" s="829"/>
      <c r="AG537" s="829"/>
      <c r="AH537" s="829"/>
      <c r="AI537" s="829"/>
      <c r="AJ537" s="829"/>
      <c r="AK537" s="829"/>
      <c r="AL537" s="829"/>
      <c r="AM537" s="829"/>
      <c r="AN537" s="829"/>
    </row>
    <row r="538" spans="1:40" ht="12.75" x14ac:dyDescent="0.2">
      <c r="A538" s="829"/>
      <c r="B538" s="829"/>
      <c r="C538" s="829"/>
      <c r="D538" s="829"/>
      <c r="E538" s="829"/>
      <c r="F538" s="829"/>
      <c r="G538" s="829"/>
      <c r="H538" s="829"/>
      <c r="I538" s="829"/>
      <c r="J538" s="829"/>
      <c r="K538" s="829"/>
      <c r="L538" s="829"/>
      <c r="M538" s="829"/>
      <c r="N538" s="829"/>
      <c r="O538" s="829"/>
      <c r="P538" s="829"/>
      <c r="Q538" s="829"/>
      <c r="R538" s="829"/>
      <c r="S538" s="829"/>
      <c r="T538" s="829"/>
      <c r="U538" s="829"/>
      <c r="V538" s="829"/>
      <c r="W538" s="829"/>
      <c r="X538" s="829"/>
      <c r="Y538" s="829"/>
      <c r="Z538" s="829"/>
      <c r="AA538" s="829"/>
      <c r="AB538" s="829"/>
      <c r="AC538" s="829"/>
      <c r="AD538" s="829"/>
      <c r="AE538" s="829"/>
      <c r="AF538" s="829"/>
      <c r="AG538" s="829"/>
      <c r="AH538" s="829"/>
      <c r="AI538" s="829"/>
      <c r="AJ538" s="829"/>
      <c r="AK538" s="829"/>
      <c r="AL538" s="829"/>
      <c r="AM538" s="829"/>
      <c r="AN538" s="829"/>
    </row>
    <row r="539" spans="1:40" ht="12.75" x14ac:dyDescent="0.2">
      <c r="A539" s="829"/>
      <c r="B539" s="829"/>
      <c r="C539" s="829"/>
      <c r="D539" s="829"/>
      <c r="E539" s="829"/>
      <c r="F539" s="829"/>
      <c r="G539" s="829"/>
      <c r="H539" s="829"/>
      <c r="I539" s="829"/>
      <c r="J539" s="829"/>
      <c r="K539" s="829"/>
      <c r="L539" s="829"/>
      <c r="M539" s="829"/>
      <c r="N539" s="829"/>
      <c r="O539" s="829"/>
      <c r="P539" s="829"/>
      <c r="Q539" s="829"/>
      <c r="R539" s="829"/>
      <c r="S539" s="829"/>
      <c r="T539" s="829"/>
      <c r="U539" s="829"/>
      <c r="V539" s="829"/>
      <c r="W539" s="829"/>
      <c r="X539" s="829"/>
      <c r="Y539" s="829"/>
      <c r="Z539" s="829"/>
      <c r="AA539" s="829"/>
      <c r="AB539" s="829"/>
      <c r="AC539" s="829"/>
      <c r="AD539" s="829"/>
      <c r="AE539" s="829"/>
      <c r="AF539" s="829"/>
      <c r="AG539" s="829"/>
      <c r="AH539" s="829"/>
      <c r="AI539" s="829"/>
      <c r="AJ539" s="829"/>
      <c r="AK539" s="829"/>
      <c r="AL539" s="829"/>
      <c r="AM539" s="829"/>
      <c r="AN539" s="829"/>
    </row>
    <row r="540" spans="1:40" ht="12.75" x14ac:dyDescent="0.2">
      <c r="A540" s="829"/>
      <c r="B540" s="829"/>
      <c r="C540" s="829"/>
      <c r="D540" s="829"/>
      <c r="E540" s="829"/>
      <c r="F540" s="829"/>
      <c r="G540" s="829"/>
      <c r="H540" s="829"/>
      <c r="I540" s="829"/>
      <c r="J540" s="829"/>
      <c r="K540" s="829"/>
      <c r="L540" s="829"/>
      <c r="M540" s="829"/>
      <c r="N540" s="829"/>
      <c r="O540" s="829"/>
      <c r="P540" s="829"/>
      <c r="Q540" s="829"/>
      <c r="R540" s="829"/>
      <c r="S540" s="829"/>
      <c r="T540" s="829"/>
      <c r="U540" s="829"/>
      <c r="V540" s="829"/>
      <c r="W540" s="829"/>
      <c r="X540" s="829"/>
      <c r="Y540" s="829"/>
      <c r="Z540" s="829"/>
      <c r="AA540" s="829"/>
      <c r="AB540" s="829"/>
      <c r="AC540" s="829"/>
      <c r="AD540" s="829"/>
      <c r="AE540" s="829"/>
      <c r="AF540" s="829"/>
      <c r="AG540" s="829"/>
      <c r="AH540" s="829"/>
      <c r="AI540" s="829"/>
      <c r="AJ540" s="829"/>
      <c r="AK540" s="829"/>
      <c r="AL540" s="829"/>
      <c r="AM540" s="829"/>
      <c r="AN540" s="829"/>
    </row>
    <row r="541" spans="1:40" ht="12.75" x14ac:dyDescent="0.2">
      <c r="A541" s="829"/>
      <c r="B541" s="829"/>
      <c r="C541" s="829"/>
      <c r="D541" s="829"/>
      <c r="E541" s="829"/>
      <c r="F541" s="829"/>
      <c r="G541" s="829"/>
      <c r="H541" s="829"/>
      <c r="I541" s="829"/>
      <c r="J541" s="829"/>
      <c r="K541" s="829"/>
      <c r="L541" s="829"/>
      <c r="M541" s="829"/>
      <c r="N541" s="829"/>
      <c r="O541" s="829"/>
      <c r="P541" s="829"/>
      <c r="Q541" s="829"/>
      <c r="R541" s="829"/>
      <c r="S541" s="829"/>
      <c r="T541" s="829"/>
      <c r="U541" s="829"/>
      <c r="V541" s="829"/>
      <c r="W541" s="829"/>
      <c r="X541" s="829"/>
      <c r="Y541" s="829"/>
      <c r="Z541" s="829"/>
      <c r="AA541" s="829"/>
      <c r="AB541" s="829"/>
      <c r="AC541" s="829"/>
      <c r="AD541" s="829"/>
      <c r="AE541" s="829"/>
      <c r="AF541" s="829"/>
      <c r="AG541" s="829"/>
      <c r="AH541" s="829"/>
      <c r="AI541" s="829"/>
      <c r="AJ541" s="829"/>
      <c r="AK541" s="829"/>
      <c r="AL541" s="829"/>
      <c r="AM541" s="829"/>
      <c r="AN541" s="829"/>
    </row>
    <row r="542" spans="1:40" ht="12.75" x14ac:dyDescent="0.2">
      <c r="A542" s="829"/>
      <c r="B542" s="829"/>
      <c r="C542" s="829"/>
      <c r="D542" s="829"/>
      <c r="E542" s="829"/>
      <c r="F542" s="829"/>
      <c r="G542" s="829"/>
      <c r="H542" s="829"/>
      <c r="I542" s="829"/>
      <c r="J542" s="829"/>
      <c r="K542" s="829"/>
      <c r="L542" s="829"/>
      <c r="M542" s="829"/>
      <c r="N542" s="829"/>
      <c r="O542" s="829"/>
      <c r="P542" s="829"/>
      <c r="Q542" s="829"/>
      <c r="R542" s="829"/>
      <c r="S542" s="829"/>
      <c r="T542" s="829"/>
      <c r="U542" s="829"/>
      <c r="V542" s="829"/>
      <c r="W542" s="829"/>
      <c r="X542" s="829"/>
      <c r="Y542" s="829"/>
      <c r="Z542" s="829"/>
      <c r="AA542" s="829"/>
      <c r="AB542" s="829"/>
      <c r="AC542" s="829"/>
      <c r="AD542" s="829"/>
      <c r="AE542" s="829"/>
      <c r="AF542" s="829"/>
      <c r="AG542" s="829"/>
      <c r="AH542" s="829"/>
      <c r="AI542" s="829"/>
      <c r="AJ542" s="829"/>
      <c r="AK542" s="829"/>
      <c r="AL542" s="829"/>
      <c r="AM542" s="829"/>
      <c r="AN542" s="829"/>
    </row>
    <row r="543" spans="1:40" ht="12.75" x14ac:dyDescent="0.2">
      <c r="A543" s="829"/>
      <c r="B543" s="829"/>
      <c r="C543" s="829"/>
      <c r="D543" s="829"/>
      <c r="E543" s="829"/>
      <c r="F543" s="829"/>
      <c r="G543" s="829"/>
      <c r="H543" s="829"/>
      <c r="I543" s="829"/>
      <c r="J543" s="829"/>
      <c r="K543" s="829"/>
      <c r="L543" s="829"/>
      <c r="M543" s="829"/>
      <c r="N543" s="829"/>
      <c r="O543" s="829"/>
      <c r="P543" s="829"/>
      <c r="Q543" s="829"/>
      <c r="R543" s="829"/>
      <c r="S543" s="829"/>
      <c r="T543" s="829"/>
      <c r="U543" s="829"/>
      <c r="V543" s="829"/>
      <c r="W543" s="829"/>
      <c r="X543" s="829"/>
      <c r="Y543" s="829"/>
      <c r="Z543" s="829"/>
      <c r="AA543" s="829"/>
      <c r="AB543" s="829"/>
      <c r="AC543" s="829"/>
      <c r="AD543" s="829"/>
      <c r="AE543" s="829"/>
      <c r="AF543" s="829"/>
      <c r="AG543" s="829"/>
      <c r="AH543" s="829"/>
      <c r="AI543" s="829"/>
      <c r="AJ543" s="829"/>
      <c r="AK543" s="829"/>
      <c r="AL543" s="829"/>
      <c r="AM543" s="829"/>
      <c r="AN543" s="829"/>
    </row>
    <row r="544" spans="1:40" ht="12.75" x14ac:dyDescent="0.2">
      <c r="A544" s="829"/>
      <c r="B544" s="829"/>
      <c r="C544" s="829"/>
      <c r="D544" s="829"/>
      <c r="E544" s="829"/>
      <c r="F544" s="829"/>
      <c r="G544" s="829"/>
      <c r="H544" s="829"/>
      <c r="I544" s="829"/>
      <c r="J544" s="829"/>
      <c r="K544" s="829"/>
      <c r="L544" s="829"/>
      <c r="M544" s="829"/>
      <c r="N544" s="829"/>
      <c r="O544" s="829"/>
      <c r="P544" s="829"/>
      <c r="Q544" s="829"/>
      <c r="R544" s="829"/>
      <c r="S544" s="829"/>
      <c r="T544" s="829"/>
      <c r="U544" s="829"/>
      <c r="V544" s="829"/>
      <c r="W544" s="829"/>
      <c r="X544" s="829"/>
      <c r="Y544" s="829"/>
      <c r="Z544" s="829"/>
      <c r="AA544" s="829"/>
      <c r="AB544" s="829"/>
      <c r="AC544" s="829"/>
      <c r="AD544" s="829"/>
      <c r="AE544" s="829"/>
      <c r="AF544" s="829"/>
      <c r="AG544" s="829"/>
      <c r="AH544" s="829"/>
      <c r="AI544" s="829"/>
      <c r="AJ544" s="829"/>
      <c r="AK544" s="829"/>
      <c r="AL544" s="829"/>
      <c r="AM544" s="829"/>
      <c r="AN544" s="829"/>
    </row>
    <row r="545" spans="1:40" ht="12.75" x14ac:dyDescent="0.2">
      <c r="A545" s="829"/>
      <c r="B545" s="829"/>
      <c r="C545" s="829"/>
      <c r="D545" s="829"/>
      <c r="E545" s="829"/>
      <c r="F545" s="829"/>
      <c r="G545" s="829"/>
      <c r="H545" s="829"/>
      <c r="I545" s="829"/>
      <c r="J545" s="829"/>
      <c r="K545" s="829"/>
      <c r="L545" s="829"/>
      <c r="M545" s="829"/>
      <c r="N545" s="829"/>
      <c r="O545" s="829"/>
      <c r="P545" s="829"/>
      <c r="Q545" s="829"/>
      <c r="R545" s="829"/>
      <c r="S545" s="829"/>
      <c r="T545" s="829"/>
      <c r="U545" s="829"/>
      <c r="V545" s="829"/>
      <c r="W545" s="829"/>
      <c r="X545" s="829"/>
      <c r="Y545" s="829"/>
      <c r="Z545" s="829"/>
      <c r="AA545" s="829"/>
      <c r="AB545" s="829"/>
      <c r="AC545" s="829"/>
      <c r="AD545" s="829"/>
      <c r="AE545" s="829"/>
      <c r="AF545" s="829"/>
      <c r="AG545" s="829"/>
      <c r="AH545" s="829"/>
      <c r="AI545" s="829"/>
      <c r="AJ545" s="829"/>
      <c r="AK545" s="829"/>
      <c r="AL545" s="829"/>
      <c r="AM545" s="829"/>
      <c r="AN545" s="829"/>
    </row>
    <row r="546" spans="1:40" ht="12.75" x14ac:dyDescent="0.2">
      <c r="A546" s="829"/>
      <c r="B546" s="829"/>
      <c r="C546" s="829"/>
      <c r="D546" s="829"/>
      <c r="E546" s="829"/>
      <c r="F546" s="829"/>
      <c r="G546" s="829"/>
      <c r="H546" s="829"/>
      <c r="I546" s="829"/>
      <c r="J546" s="829"/>
      <c r="K546" s="829"/>
      <c r="L546" s="829"/>
      <c r="M546" s="829"/>
      <c r="N546" s="829"/>
      <c r="O546" s="829"/>
      <c r="P546" s="829"/>
      <c r="Q546" s="829"/>
      <c r="R546" s="829"/>
      <c r="S546" s="829"/>
      <c r="T546" s="829"/>
      <c r="U546" s="829"/>
      <c r="V546" s="829"/>
      <c r="W546" s="829"/>
      <c r="X546" s="829"/>
      <c r="Y546" s="829"/>
      <c r="Z546" s="829"/>
      <c r="AA546" s="829"/>
      <c r="AB546" s="829"/>
      <c r="AC546" s="829"/>
      <c r="AD546" s="829"/>
      <c r="AE546" s="829"/>
      <c r="AF546" s="829"/>
      <c r="AG546" s="829"/>
      <c r="AH546" s="829"/>
      <c r="AI546" s="829"/>
      <c r="AJ546" s="829"/>
      <c r="AK546" s="829"/>
      <c r="AL546" s="829"/>
      <c r="AM546" s="829"/>
      <c r="AN546" s="829"/>
    </row>
    <row r="547" spans="1:40" ht="12.75" x14ac:dyDescent="0.2">
      <c r="A547" s="829"/>
      <c r="B547" s="829"/>
      <c r="C547" s="829"/>
      <c r="D547" s="829"/>
      <c r="E547" s="829"/>
      <c r="F547" s="829"/>
      <c r="G547" s="829"/>
      <c r="H547" s="829"/>
      <c r="I547" s="829"/>
      <c r="J547" s="829"/>
      <c r="K547" s="829"/>
      <c r="L547" s="829"/>
      <c r="M547" s="829"/>
      <c r="N547" s="829"/>
      <c r="O547" s="829"/>
      <c r="P547" s="829"/>
      <c r="Q547" s="829"/>
      <c r="R547" s="829"/>
      <c r="S547" s="829"/>
      <c r="T547" s="829"/>
      <c r="U547" s="829"/>
      <c r="V547" s="829"/>
      <c r="W547" s="829"/>
      <c r="X547" s="829"/>
      <c r="Y547" s="829"/>
      <c r="Z547" s="829"/>
      <c r="AA547" s="829"/>
      <c r="AB547" s="829"/>
      <c r="AC547" s="829"/>
      <c r="AD547" s="829"/>
      <c r="AE547" s="829"/>
      <c r="AF547" s="829"/>
      <c r="AG547" s="829"/>
      <c r="AH547" s="829"/>
      <c r="AI547" s="829"/>
      <c r="AJ547" s="829"/>
      <c r="AK547" s="829"/>
      <c r="AL547" s="829"/>
      <c r="AM547" s="829"/>
      <c r="AN547" s="829"/>
    </row>
    <row r="548" spans="1:40" ht="12.75" x14ac:dyDescent="0.2">
      <c r="A548" s="829"/>
      <c r="B548" s="829"/>
      <c r="C548" s="829"/>
      <c r="D548" s="829"/>
      <c r="E548" s="829"/>
      <c r="F548" s="829"/>
      <c r="G548" s="829"/>
      <c r="H548" s="829"/>
      <c r="I548" s="829"/>
      <c r="J548" s="829"/>
      <c r="K548" s="829"/>
      <c r="L548" s="829"/>
      <c r="M548" s="829"/>
      <c r="N548" s="829"/>
      <c r="O548" s="829"/>
      <c r="P548" s="829"/>
      <c r="Q548" s="829"/>
      <c r="R548" s="829"/>
      <c r="S548" s="829"/>
      <c r="T548" s="829"/>
      <c r="U548" s="829"/>
      <c r="V548" s="829"/>
      <c r="W548" s="829"/>
      <c r="X548" s="829"/>
      <c r="Y548" s="829"/>
      <c r="Z548" s="829"/>
      <c r="AA548" s="829"/>
      <c r="AB548" s="829"/>
      <c r="AC548" s="829"/>
      <c r="AD548" s="829"/>
      <c r="AE548" s="829"/>
      <c r="AF548" s="829"/>
      <c r="AG548" s="829"/>
      <c r="AH548" s="829"/>
      <c r="AI548" s="829"/>
      <c r="AJ548" s="829"/>
      <c r="AK548" s="829"/>
      <c r="AL548" s="829"/>
      <c r="AM548" s="829"/>
      <c r="AN548" s="829"/>
    </row>
    <row r="549" spans="1:40" ht="12.75" x14ac:dyDescent="0.2">
      <c r="A549" s="829"/>
      <c r="B549" s="829"/>
      <c r="C549" s="829"/>
      <c r="D549" s="829"/>
      <c r="E549" s="829"/>
      <c r="F549" s="829"/>
      <c r="G549" s="829"/>
      <c r="H549" s="829"/>
      <c r="I549" s="829"/>
      <c r="J549" s="829"/>
      <c r="K549" s="829"/>
      <c r="L549" s="829"/>
      <c r="M549" s="829"/>
      <c r="N549" s="829"/>
      <c r="O549" s="829"/>
      <c r="P549" s="829"/>
      <c r="Q549" s="829"/>
      <c r="R549" s="829"/>
      <c r="S549" s="829"/>
      <c r="T549" s="829"/>
      <c r="U549" s="829"/>
      <c r="V549" s="829"/>
      <c r="W549" s="829"/>
      <c r="X549" s="829"/>
      <c r="Y549" s="829"/>
      <c r="Z549" s="829"/>
      <c r="AA549" s="829"/>
      <c r="AB549" s="829"/>
      <c r="AC549" s="829"/>
      <c r="AD549" s="829"/>
      <c r="AE549" s="829"/>
      <c r="AF549" s="829"/>
      <c r="AG549" s="829"/>
      <c r="AH549" s="829"/>
      <c r="AI549" s="829"/>
      <c r="AJ549" s="829"/>
      <c r="AK549" s="829"/>
      <c r="AL549" s="829"/>
      <c r="AM549" s="829"/>
      <c r="AN549" s="829"/>
    </row>
    <row r="550" spans="1:40" ht="12.75" x14ac:dyDescent="0.2">
      <c r="A550" s="829"/>
      <c r="B550" s="829"/>
      <c r="C550" s="829"/>
      <c r="D550" s="829"/>
      <c r="E550" s="829"/>
      <c r="F550" s="829"/>
      <c r="G550" s="829"/>
      <c r="H550" s="829"/>
      <c r="I550" s="829"/>
      <c r="J550" s="829"/>
      <c r="K550" s="829"/>
      <c r="L550" s="829"/>
      <c r="M550" s="829"/>
      <c r="N550" s="829"/>
      <c r="O550" s="829"/>
      <c r="P550" s="829"/>
      <c r="Q550" s="829"/>
      <c r="R550" s="829"/>
      <c r="S550" s="829"/>
      <c r="T550" s="829"/>
      <c r="U550" s="829"/>
      <c r="V550" s="829"/>
      <c r="W550" s="829"/>
      <c r="X550" s="829"/>
      <c r="Y550" s="829"/>
      <c r="Z550" s="829"/>
      <c r="AA550" s="829"/>
      <c r="AB550" s="829"/>
      <c r="AC550" s="829"/>
      <c r="AD550" s="829"/>
      <c r="AE550" s="829"/>
      <c r="AF550" s="829"/>
      <c r="AG550" s="829"/>
      <c r="AH550" s="829"/>
      <c r="AI550" s="829"/>
      <c r="AJ550" s="829"/>
      <c r="AK550" s="829"/>
      <c r="AL550" s="829"/>
      <c r="AM550" s="829"/>
      <c r="AN550" s="829"/>
    </row>
    <row r="551" spans="1:40" ht="12.75" x14ac:dyDescent="0.2">
      <c r="A551" s="829"/>
      <c r="B551" s="829"/>
      <c r="C551" s="829"/>
      <c r="D551" s="829"/>
      <c r="E551" s="829"/>
      <c r="F551" s="829"/>
      <c r="G551" s="829"/>
      <c r="H551" s="829"/>
      <c r="I551" s="829"/>
      <c r="J551" s="829"/>
      <c r="K551" s="829"/>
      <c r="L551" s="829"/>
      <c r="M551" s="829"/>
      <c r="N551" s="829"/>
      <c r="O551" s="829"/>
      <c r="P551" s="829"/>
      <c r="Q551" s="829"/>
      <c r="R551" s="829"/>
      <c r="S551" s="829"/>
      <c r="T551" s="829"/>
      <c r="U551" s="829"/>
      <c r="V551" s="829"/>
      <c r="W551" s="829"/>
      <c r="X551" s="829"/>
      <c r="Y551" s="829"/>
      <c r="Z551" s="829"/>
      <c r="AA551" s="829"/>
      <c r="AB551" s="829"/>
      <c r="AC551" s="829"/>
      <c r="AD551" s="829"/>
      <c r="AE551" s="829"/>
      <c r="AF551" s="829"/>
      <c r="AG551" s="829"/>
      <c r="AH551" s="829"/>
      <c r="AI551" s="829"/>
      <c r="AJ551" s="829"/>
      <c r="AK551" s="829"/>
      <c r="AL551" s="829"/>
      <c r="AM551" s="829"/>
      <c r="AN551" s="829"/>
    </row>
    <row r="552" spans="1:40" ht="12.75" x14ac:dyDescent="0.2">
      <c r="A552" s="829"/>
      <c r="B552" s="829"/>
      <c r="C552" s="829"/>
      <c r="D552" s="829"/>
      <c r="E552" s="829"/>
      <c r="F552" s="829"/>
      <c r="G552" s="829"/>
      <c r="H552" s="829"/>
      <c r="I552" s="829"/>
      <c r="J552" s="829"/>
      <c r="K552" s="829"/>
      <c r="L552" s="829"/>
      <c r="M552" s="829"/>
      <c r="N552" s="829"/>
      <c r="O552" s="829"/>
      <c r="P552" s="829"/>
      <c r="Q552" s="829"/>
      <c r="R552" s="829"/>
      <c r="S552" s="829"/>
      <c r="T552" s="829"/>
      <c r="U552" s="829"/>
      <c r="V552" s="829"/>
      <c r="W552" s="829"/>
      <c r="X552" s="829"/>
      <c r="Y552" s="829"/>
      <c r="Z552" s="829"/>
      <c r="AA552" s="829"/>
      <c r="AB552" s="829"/>
      <c r="AC552" s="829"/>
      <c r="AD552" s="829"/>
      <c r="AE552" s="829"/>
      <c r="AF552" s="829"/>
      <c r="AG552" s="829"/>
      <c r="AH552" s="829"/>
      <c r="AI552" s="829"/>
      <c r="AJ552" s="829"/>
      <c r="AK552" s="829"/>
      <c r="AL552" s="829"/>
      <c r="AM552" s="829"/>
      <c r="AN552" s="829"/>
    </row>
    <row r="553" spans="1:40" ht="12.75" x14ac:dyDescent="0.2">
      <c r="A553" s="829"/>
      <c r="B553" s="829"/>
      <c r="C553" s="829"/>
      <c r="D553" s="829"/>
      <c r="E553" s="829"/>
      <c r="F553" s="829"/>
      <c r="G553" s="829"/>
      <c r="H553" s="829"/>
      <c r="I553" s="829"/>
      <c r="J553" s="829"/>
      <c r="K553" s="829"/>
      <c r="L553" s="829"/>
      <c r="M553" s="829"/>
      <c r="N553" s="829"/>
      <c r="O553" s="829"/>
      <c r="P553" s="829"/>
      <c r="Q553" s="829"/>
      <c r="R553" s="829"/>
      <c r="S553" s="829"/>
      <c r="T553" s="829"/>
      <c r="U553" s="829"/>
      <c r="V553" s="829"/>
      <c r="W553" s="829"/>
      <c r="X553" s="829"/>
      <c r="Y553" s="829"/>
      <c r="Z553" s="829"/>
      <c r="AA553" s="829"/>
      <c r="AB553" s="829"/>
      <c r="AC553" s="829"/>
      <c r="AD553" s="829"/>
      <c r="AE553" s="829"/>
      <c r="AF553" s="829"/>
      <c r="AG553" s="829"/>
      <c r="AH553" s="829"/>
      <c r="AI553" s="829"/>
      <c r="AJ553" s="829"/>
      <c r="AK553" s="829"/>
      <c r="AL553" s="829"/>
      <c r="AM553" s="829"/>
      <c r="AN553" s="829"/>
    </row>
    <row r="554" spans="1:40" ht="12.75" x14ac:dyDescent="0.2">
      <c r="A554" s="829"/>
      <c r="B554" s="829"/>
      <c r="C554" s="829"/>
      <c r="D554" s="829"/>
      <c r="E554" s="829"/>
      <c r="F554" s="829"/>
      <c r="G554" s="829"/>
      <c r="H554" s="829"/>
      <c r="I554" s="829"/>
      <c r="J554" s="829"/>
      <c r="K554" s="829"/>
      <c r="L554" s="829"/>
      <c r="M554" s="829"/>
      <c r="N554" s="829"/>
      <c r="O554" s="829"/>
      <c r="P554" s="829"/>
      <c r="Q554" s="829"/>
      <c r="R554" s="829"/>
      <c r="S554" s="829"/>
      <c r="T554" s="829"/>
      <c r="U554" s="829"/>
      <c r="V554" s="829"/>
      <c r="W554" s="829"/>
      <c r="X554" s="829"/>
      <c r="Y554" s="829"/>
      <c r="Z554" s="829"/>
      <c r="AA554" s="829"/>
      <c r="AB554" s="829"/>
      <c r="AC554" s="829"/>
      <c r="AD554" s="829"/>
      <c r="AE554" s="829"/>
      <c r="AF554" s="829"/>
      <c r="AG554" s="829"/>
      <c r="AH554" s="829"/>
      <c r="AI554" s="829"/>
      <c r="AJ554" s="829"/>
      <c r="AK554" s="829"/>
      <c r="AL554" s="829"/>
      <c r="AM554" s="829"/>
      <c r="AN554" s="829"/>
    </row>
    <row r="555" spans="1:40" ht="12.75" x14ac:dyDescent="0.2">
      <c r="A555" s="829"/>
      <c r="B555" s="829"/>
      <c r="C555" s="829"/>
      <c r="D555" s="829"/>
      <c r="E555" s="829"/>
      <c r="F555" s="829"/>
      <c r="G555" s="829"/>
      <c r="H555" s="829"/>
      <c r="I555" s="829"/>
      <c r="J555" s="829"/>
      <c r="K555" s="829"/>
      <c r="L555" s="829"/>
      <c r="M555" s="829"/>
      <c r="N555" s="829"/>
      <c r="O555" s="829"/>
      <c r="P555" s="829"/>
      <c r="Q555" s="829"/>
      <c r="R555" s="829"/>
      <c r="S555" s="829"/>
      <c r="T555" s="829"/>
      <c r="U555" s="829"/>
      <c r="V555" s="829"/>
      <c r="W555" s="829"/>
      <c r="X555" s="829"/>
      <c r="Y555" s="829"/>
      <c r="Z555" s="829"/>
      <c r="AA555" s="829"/>
      <c r="AB555" s="829"/>
      <c r="AC555" s="829"/>
      <c r="AD555" s="829"/>
      <c r="AE555" s="829"/>
      <c r="AF555" s="829"/>
      <c r="AG555" s="829"/>
      <c r="AH555" s="829"/>
      <c r="AI555" s="829"/>
      <c r="AJ555" s="829"/>
      <c r="AK555" s="829"/>
      <c r="AL555" s="829"/>
      <c r="AM555" s="829"/>
      <c r="AN555" s="829"/>
    </row>
    <row r="556" spans="1:40" ht="12.75" x14ac:dyDescent="0.2">
      <c r="A556" s="829"/>
      <c r="B556" s="829"/>
      <c r="C556" s="829"/>
      <c r="D556" s="829"/>
      <c r="E556" s="829"/>
      <c r="F556" s="829"/>
      <c r="G556" s="829"/>
      <c r="H556" s="829"/>
      <c r="I556" s="829"/>
      <c r="J556" s="829"/>
      <c r="K556" s="829"/>
      <c r="L556" s="829"/>
      <c r="M556" s="829"/>
      <c r="N556" s="829"/>
      <c r="O556" s="829"/>
      <c r="P556" s="829"/>
      <c r="Q556" s="829"/>
      <c r="R556" s="829"/>
      <c r="S556" s="829"/>
      <c r="T556" s="829"/>
      <c r="U556" s="829"/>
      <c r="V556" s="829"/>
      <c r="W556" s="829"/>
      <c r="X556" s="829"/>
      <c r="Y556" s="829"/>
      <c r="Z556" s="829"/>
      <c r="AA556" s="829"/>
      <c r="AB556" s="829"/>
      <c r="AC556" s="829"/>
      <c r="AD556" s="829"/>
      <c r="AE556" s="829"/>
      <c r="AF556" s="829"/>
      <c r="AG556" s="829"/>
      <c r="AH556" s="829"/>
      <c r="AI556" s="829"/>
      <c r="AJ556" s="829"/>
      <c r="AK556" s="829"/>
      <c r="AL556" s="829"/>
      <c r="AM556" s="829"/>
      <c r="AN556" s="829"/>
    </row>
    <row r="557" spans="1:40" ht="12.75" x14ac:dyDescent="0.2">
      <c r="A557" s="829"/>
      <c r="B557" s="829"/>
      <c r="C557" s="829"/>
      <c r="D557" s="829"/>
      <c r="E557" s="829"/>
      <c r="F557" s="829"/>
      <c r="G557" s="829"/>
      <c r="H557" s="829"/>
      <c r="I557" s="829"/>
      <c r="J557" s="829"/>
      <c r="K557" s="829"/>
      <c r="L557" s="829"/>
      <c r="M557" s="829"/>
      <c r="N557" s="829"/>
      <c r="O557" s="829"/>
      <c r="P557" s="829"/>
      <c r="Q557" s="829"/>
      <c r="R557" s="829"/>
      <c r="S557" s="829"/>
      <c r="T557" s="829"/>
      <c r="U557" s="829"/>
      <c r="V557" s="829"/>
      <c r="W557" s="829"/>
      <c r="X557" s="829"/>
      <c r="Y557" s="829"/>
      <c r="Z557" s="829"/>
      <c r="AA557" s="829"/>
      <c r="AB557" s="829"/>
      <c r="AC557" s="829"/>
      <c r="AD557" s="829"/>
      <c r="AE557" s="829"/>
      <c r="AF557" s="829"/>
      <c r="AG557" s="829"/>
      <c r="AH557" s="829"/>
      <c r="AI557" s="829"/>
      <c r="AJ557" s="829"/>
      <c r="AK557" s="829"/>
      <c r="AL557" s="829"/>
      <c r="AM557" s="829"/>
      <c r="AN557" s="829"/>
    </row>
    <row r="558" spans="1:40" ht="12.75" x14ac:dyDescent="0.2">
      <c r="A558" s="829"/>
      <c r="B558" s="829"/>
      <c r="C558" s="829"/>
      <c r="D558" s="829"/>
      <c r="E558" s="829"/>
      <c r="F558" s="829"/>
      <c r="G558" s="829"/>
      <c r="H558" s="829"/>
      <c r="I558" s="829"/>
      <c r="J558" s="829"/>
      <c r="K558" s="829"/>
      <c r="L558" s="829"/>
      <c r="M558" s="829"/>
      <c r="N558" s="829"/>
      <c r="O558" s="829"/>
      <c r="P558" s="829"/>
      <c r="Q558" s="829"/>
      <c r="R558" s="829"/>
      <c r="S558" s="829"/>
      <c r="T558" s="829"/>
      <c r="U558" s="829"/>
      <c r="V558" s="829"/>
      <c r="W558" s="829"/>
      <c r="X558" s="829"/>
      <c r="Y558" s="829"/>
      <c r="Z558" s="829"/>
      <c r="AA558" s="829"/>
      <c r="AB558" s="829"/>
      <c r="AC558" s="829"/>
      <c r="AD558" s="829"/>
      <c r="AE558" s="829"/>
      <c r="AF558" s="829"/>
      <c r="AG558" s="829"/>
      <c r="AH558" s="829"/>
      <c r="AI558" s="829"/>
      <c r="AJ558" s="829"/>
      <c r="AK558" s="829"/>
      <c r="AL558" s="829"/>
      <c r="AM558" s="829"/>
      <c r="AN558" s="829"/>
    </row>
    <row r="559" spans="1:40" ht="12.75" x14ac:dyDescent="0.2">
      <c r="A559" s="829"/>
      <c r="B559" s="829"/>
      <c r="C559" s="829"/>
      <c r="D559" s="829"/>
      <c r="E559" s="829"/>
      <c r="F559" s="829"/>
      <c r="G559" s="829"/>
      <c r="H559" s="829"/>
      <c r="I559" s="829"/>
      <c r="J559" s="829"/>
      <c r="K559" s="829"/>
      <c r="L559" s="829"/>
      <c r="M559" s="829"/>
      <c r="N559" s="829"/>
      <c r="O559" s="829"/>
      <c r="P559" s="829"/>
      <c r="Q559" s="829"/>
      <c r="R559" s="829"/>
      <c r="S559" s="829"/>
      <c r="T559" s="829"/>
      <c r="U559" s="829"/>
      <c r="V559" s="829"/>
      <c r="W559" s="829"/>
      <c r="X559" s="829"/>
      <c r="Y559" s="829"/>
      <c r="Z559" s="829"/>
      <c r="AA559" s="829"/>
      <c r="AB559" s="829"/>
      <c r="AC559" s="829"/>
      <c r="AD559" s="829"/>
      <c r="AE559" s="829"/>
      <c r="AF559" s="829"/>
      <c r="AG559" s="829"/>
      <c r="AH559" s="829"/>
      <c r="AI559" s="829"/>
      <c r="AJ559" s="829"/>
      <c r="AK559" s="829"/>
      <c r="AL559" s="829"/>
      <c r="AM559" s="829"/>
      <c r="AN559" s="829"/>
    </row>
    <row r="560" spans="1:40" ht="12.75" x14ac:dyDescent="0.2">
      <c r="A560" s="829"/>
      <c r="B560" s="829"/>
      <c r="C560" s="829"/>
      <c r="D560" s="829"/>
      <c r="E560" s="829"/>
      <c r="F560" s="829"/>
      <c r="G560" s="829"/>
      <c r="H560" s="829"/>
      <c r="I560" s="829"/>
      <c r="J560" s="829"/>
      <c r="K560" s="829"/>
      <c r="L560" s="829"/>
      <c r="M560" s="829"/>
      <c r="N560" s="829"/>
      <c r="O560" s="829"/>
      <c r="P560" s="829"/>
      <c r="Q560" s="829"/>
      <c r="R560" s="829"/>
      <c r="S560" s="829"/>
      <c r="T560" s="829"/>
      <c r="U560" s="829"/>
      <c r="V560" s="829"/>
      <c r="W560" s="829"/>
      <c r="X560" s="829"/>
      <c r="Y560" s="829"/>
      <c r="Z560" s="829"/>
      <c r="AA560" s="829"/>
      <c r="AB560" s="829"/>
      <c r="AC560" s="829"/>
      <c r="AD560" s="829"/>
      <c r="AE560" s="829"/>
      <c r="AF560" s="829"/>
      <c r="AG560" s="829"/>
      <c r="AH560" s="829"/>
      <c r="AI560" s="829"/>
      <c r="AJ560" s="829"/>
      <c r="AK560" s="829"/>
      <c r="AL560" s="829"/>
      <c r="AM560" s="829"/>
      <c r="AN560" s="829"/>
    </row>
    <row r="561" spans="1:40" ht="12.75" x14ac:dyDescent="0.2">
      <c r="A561" s="829"/>
      <c r="B561" s="829"/>
      <c r="C561" s="829"/>
      <c r="D561" s="829"/>
      <c r="E561" s="829"/>
      <c r="F561" s="829"/>
      <c r="G561" s="829"/>
      <c r="H561" s="829"/>
      <c r="I561" s="829"/>
      <c r="J561" s="829"/>
      <c r="K561" s="829"/>
      <c r="L561" s="829"/>
      <c r="M561" s="829"/>
      <c r="N561" s="829"/>
      <c r="O561" s="829"/>
      <c r="P561" s="829"/>
      <c r="Q561" s="829"/>
      <c r="R561" s="829"/>
      <c r="S561" s="829"/>
      <c r="T561" s="829"/>
      <c r="U561" s="829"/>
      <c r="V561" s="829"/>
      <c r="W561" s="829"/>
      <c r="X561" s="829"/>
      <c r="Y561" s="829"/>
      <c r="Z561" s="829"/>
      <c r="AA561" s="829"/>
      <c r="AB561" s="829"/>
      <c r="AC561" s="829"/>
      <c r="AD561" s="829"/>
      <c r="AE561" s="829"/>
      <c r="AF561" s="829"/>
      <c r="AG561" s="829"/>
      <c r="AH561" s="829"/>
      <c r="AI561" s="829"/>
      <c r="AJ561" s="829"/>
      <c r="AK561" s="829"/>
      <c r="AL561" s="829"/>
      <c r="AM561" s="829"/>
      <c r="AN561" s="829"/>
    </row>
    <row r="562" spans="1:40" ht="12.75" x14ac:dyDescent="0.2">
      <c r="A562" s="829"/>
      <c r="B562" s="829"/>
      <c r="C562" s="829"/>
      <c r="D562" s="829"/>
      <c r="E562" s="829"/>
      <c r="F562" s="829"/>
      <c r="G562" s="829"/>
      <c r="H562" s="829"/>
      <c r="I562" s="829"/>
      <c r="J562" s="829"/>
      <c r="K562" s="829"/>
      <c r="L562" s="829"/>
      <c r="M562" s="829"/>
      <c r="N562" s="829"/>
      <c r="O562" s="829"/>
      <c r="P562" s="829"/>
      <c r="Q562" s="829"/>
      <c r="R562" s="829"/>
      <c r="S562" s="829"/>
      <c r="T562" s="829"/>
      <c r="U562" s="829"/>
      <c r="V562" s="829"/>
      <c r="W562" s="829"/>
      <c r="X562" s="829"/>
      <c r="Y562" s="829"/>
      <c r="Z562" s="829"/>
      <c r="AA562" s="829"/>
      <c r="AB562" s="829"/>
      <c r="AC562" s="829"/>
      <c r="AD562" s="829"/>
      <c r="AE562" s="829"/>
      <c r="AF562" s="829"/>
      <c r="AG562" s="829"/>
      <c r="AH562" s="829"/>
      <c r="AI562" s="829"/>
      <c r="AJ562" s="829"/>
      <c r="AK562" s="829"/>
      <c r="AL562" s="829"/>
      <c r="AM562" s="829"/>
      <c r="AN562" s="829"/>
    </row>
    <row r="563" spans="1:40" ht="12.75" x14ac:dyDescent="0.2">
      <c r="A563" s="829"/>
      <c r="B563" s="829"/>
      <c r="C563" s="829"/>
      <c r="D563" s="829"/>
      <c r="E563" s="829"/>
      <c r="F563" s="829"/>
      <c r="G563" s="829"/>
      <c r="H563" s="829"/>
      <c r="I563" s="829"/>
      <c r="J563" s="829"/>
      <c r="K563" s="829"/>
      <c r="L563" s="829"/>
      <c r="M563" s="829"/>
      <c r="N563" s="829"/>
      <c r="O563" s="829"/>
      <c r="P563" s="829"/>
      <c r="Q563" s="829"/>
      <c r="R563" s="829"/>
      <c r="S563" s="829"/>
      <c r="T563" s="829"/>
      <c r="U563" s="829"/>
      <c r="V563" s="829"/>
      <c r="W563" s="829"/>
      <c r="X563" s="829"/>
      <c r="Y563" s="829"/>
      <c r="Z563" s="829"/>
      <c r="AA563" s="829"/>
      <c r="AB563" s="829"/>
      <c r="AC563" s="829"/>
      <c r="AD563" s="829"/>
      <c r="AE563" s="829"/>
      <c r="AF563" s="829"/>
      <c r="AG563" s="829"/>
      <c r="AH563" s="829"/>
      <c r="AI563" s="829"/>
      <c r="AJ563" s="829"/>
      <c r="AK563" s="829"/>
      <c r="AL563" s="829"/>
      <c r="AM563" s="829"/>
      <c r="AN563" s="829"/>
    </row>
    <row r="564" spans="1:40" ht="12.75" x14ac:dyDescent="0.2">
      <c r="A564" s="829"/>
      <c r="B564" s="829"/>
      <c r="C564" s="829"/>
      <c r="D564" s="829"/>
      <c r="E564" s="829"/>
      <c r="F564" s="829"/>
      <c r="G564" s="829"/>
      <c r="H564" s="829"/>
      <c r="I564" s="829"/>
      <c r="J564" s="829"/>
      <c r="K564" s="829"/>
      <c r="L564" s="829"/>
      <c r="M564" s="829"/>
      <c r="N564" s="829"/>
      <c r="O564" s="829"/>
      <c r="P564" s="829"/>
      <c r="Q564" s="829"/>
      <c r="R564" s="829"/>
      <c r="S564" s="829"/>
      <c r="T564" s="829"/>
      <c r="U564" s="829"/>
      <c r="V564" s="829"/>
      <c r="W564" s="829"/>
      <c r="X564" s="829"/>
      <c r="Y564" s="829"/>
      <c r="Z564" s="829"/>
      <c r="AA564" s="829"/>
      <c r="AB564" s="829"/>
      <c r="AC564" s="829"/>
      <c r="AD564" s="829"/>
      <c r="AE564" s="829"/>
      <c r="AF564" s="829"/>
      <c r="AG564" s="829"/>
      <c r="AH564" s="829"/>
      <c r="AI564" s="829"/>
      <c r="AJ564" s="829"/>
      <c r="AK564" s="829"/>
      <c r="AL564" s="829"/>
      <c r="AM564" s="829"/>
      <c r="AN564" s="829"/>
    </row>
    <row r="565" spans="1:40" ht="12.75" x14ac:dyDescent="0.2">
      <c r="A565" s="829"/>
      <c r="B565" s="829"/>
      <c r="C565" s="829"/>
      <c r="D565" s="829"/>
      <c r="E565" s="829"/>
      <c r="F565" s="829"/>
      <c r="G565" s="829"/>
      <c r="H565" s="829"/>
      <c r="I565" s="829"/>
      <c r="J565" s="829"/>
      <c r="K565" s="829"/>
      <c r="L565" s="829"/>
      <c r="M565" s="829"/>
      <c r="N565" s="829"/>
      <c r="O565" s="829"/>
      <c r="P565" s="829"/>
      <c r="Q565" s="829"/>
      <c r="R565" s="829"/>
      <c r="S565" s="829"/>
      <c r="T565" s="829"/>
      <c r="U565" s="829"/>
      <c r="V565" s="829"/>
      <c r="W565" s="829"/>
      <c r="X565" s="829"/>
      <c r="Y565" s="829"/>
      <c r="Z565" s="829"/>
      <c r="AA565" s="829"/>
      <c r="AB565" s="829"/>
      <c r="AC565" s="829"/>
      <c r="AD565" s="829"/>
      <c r="AE565" s="829"/>
      <c r="AF565" s="829"/>
      <c r="AG565" s="829"/>
      <c r="AH565" s="829"/>
      <c r="AI565" s="829"/>
      <c r="AJ565" s="829"/>
      <c r="AK565" s="829"/>
      <c r="AL565" s="829"/>
      <c r="AM565" s="829"/>
      <c r="AN565" s="829"/>
    </row>
    <row r="566" spans="1:40" ht="12.75" x14ac:dyDescent="0.2">
      <c r="A566" s="829"/>
      <c r="B566" s="829"/>
      <c r="C566" s="829"/>
      <c r="D566" s="829"/>
      <c r="E566" s="829"/>
      <c r="F566" s="829"/>
      <c r="G566" s="829"/>
      <c r="H566" s="829"/>
      <c r="I566" s="829"/>
      <c r="J566" s="829"/>
      <c r="K566" s="829"/>
      <c r="L566" s="829"/>
      <c r="M566" s="829"/>
      <c r="N566" s="829"/>
      <c r="O566" s="829"/>
      <c r="P566" s="829"/>
      <c r="Q566" s="829"/>
      <c r="R566" s="829"/>
      <c r="S566" s="829"/>
      <c r="T566" s="829"/>
      <c r="U566" s="829"/>
      <c r="V566" s="829"/>
      <c r="W566" s="829"/>
      <c r="X566" s="829"/>
      <c r="Y566" s="829"/>
      <c r="Z566" s="829"/>
      <c r="AA566" s="829"/>
      <c r="AB566" s="829"/>
      <c r="AC566" s="829"/>
      <c r="AD566" s="829"/>
      <c r="AE566" s="829"/>
      <c r="AF566" s="829"/>
      <c r="AG566" s="829"/>
      <c r="AH566" s="829"/>
      <c r="AI566" s="829"/>
      <c r="AJ566" s="829"/>
      <c r="AK566" s="829"/>
      <c r="AL566" s="829"/>
      <c r="AM566" s="829"/>
      <c r="AN566" s="829"/>
    </row>
    <row r="567" spans="1:40" ht="12.75" x14ac:dyDescent="0.2">
      <c r="A567" s="829"/>
      <c r="B567" s="829"/>
      <c r="C567" s="829"/>
      <c r="D567" s="829"/>
      <c r="E567" s="829"/>
      <c r="F567" s="829"/>
      <c r="G567" s="829"/>
      <c r="H567" s="829"/>
      <c r="I567" s="829"/>
      <c r="J567" s="829"/>
      <c r="K567" s="829"/>
      <c r="L567" s="829"/>
      <c r="M567" s="829"/>
      <c r="N567" s="829"/>
      <c r="O567" s="829"/>
      <c r="P567" s="829"/>
      <c r="Q567" s="829"/>
      <c r="R567" s="829"/>
      <c r="S567" s="829"/>
      <c r="T567" s="829"/>
      <c r="U567" s="829"/>
      <c r="V567" s="829"/>
      <c r="W567" s="829"/>
      <c r="X567" s="829"/>
      <c r="Y567" s="829"/>
      <c r="Z567" s="829"/>
      <c r="AA567" s="829"/>
      <c r="AB567" s="829"/>
      <c r="AC567" s="829"/>
      <c r="AD567" s="829"/>
      <c r="AE567" s="829"/>
      <c r="AF567" s="829"/>
      <c r="AG567" s="829"/>
      <c r="AH567" s="829"/>
      <c r="AI567" s="829"/>
      <c r="AJ567" s="829"/>
      <c r="AK567" s="829"/>
      <c r="AL567" s="829"/>
      <c r="AM567" s="829"/>
      <c r="AN567" s="829"/>
    </row>
    <row r="568" spans="1:40" ht="12.75" x14ac:dyDescent="0.2">
      <c r="A568" s="829"/>
      <c r="B568" s="829"/>
      <c r="C568" s="829"/>
      <c r="D568" s="829"/>
      <c r="E568" s="829"/>
      <c r="F568" s="829"/>
      <c r="G568" s="829"/>
      <c r="H568" s="829"/>
      <c r="I568" s="829"/>
      <c r="J568" s="829"/>
      <c r="K568" s="829"/>
      <c r="L568" s="829"/>
      <c r="M568" s="829"/>
      <c r="N568" s="829"/>
      <c r="O568" s="829"/>
      <c r="P568" s="829"/>
      <c r="Q568" s="829"/>
      <c r="R568" s="829"/>
      <c r="S568" s="829"/>
      <c r="T568" s="829"/>
      <c r="U568" s="829"/>
      <c r="V568" s="829"/>
      <c r="W568" s="829"/>
      <c r="X568" s="829"/>
      <c r="Y568" s="829"/>
      <c r="Z568" s="829"/>
      <c r="AA568" s="829"/>
      <c r="AB568" s="829"/>
      <c r="AC568" s="829"/>
      <c r="AD568" s="829"/>
      <c r="AE568" s="829"/>
      <c r="AF568" s="829"/>
      <c r="AG568" s="829"/>
      <c r="AH568" s="829"/>
      <c r="AI568" s="829"/>
      <c r="AJ568" s="829"/>
      <c r="AK568" s="829"/>
      <c r="AL568" s="829"/>
      <c r="AM568" s="829"/>
      <c r="AN568" s="829"/>
    </row>
    <row r="569" spans="1:40" ht="12.75" x14ac:dyDescent="0.2">
      <c r="A569" s="829"/>
      <c r="B569" s="829"/>
      <c r="C569" s="829"/>
      <c r="D569" s="829"/>
      <c r="E569" s="829"/>
      <c r="F569" s="829"/>
      <c r="G569" s="829"/>
      <c r="H569" s="829"/>
      <c r="I569" s="829"/>
      <c r="J569" s="829"/>
      <c r="K569" s="829"/>
      <c r="L569" s="829"/>
      <c r="M569" s="829"/>
      <c r="N569" s="829"/>
      <c r="O569" s="829"/>
      <c r="P569" s="829"/>
      <c r="Q569" s="829"/>
      <c r="R569" s="829"/>
      <c r="S569" s="829"/>
      <c r="T569" s="829"/>
      <c r="U569" s="829"/>
      <c r="V569" s="829"/>
      <c r="W569" s="829"/>
      <c r="X569" s="829"/>
      <c r="Y569" s="829"/>
      <c r="Z569" s="829"/>
      <c r="AA569" s="829"/>
      <c r="AB569" s="829"/>
      <c r="AC569" s="829"/>
      <c r="AD569" s="829"/>
      <c r="AE569" s="829"/>
      <c r="AF569" s="829"/>
      <c r="AG569" s="829"/>
      <c r="AH569" s="829"/>
      <c r="AI569" s="829"/>
      <c r="AJ569" s="829"/>
      <c r="AK569" s="829"/>
      <c r="AL569" s="829"/>
      <c r="AM569" s="829"/>
      <c r="AN569" s="829"/>
    </row>
    <row r="570" spans="1:40" ht="12.75" x14ac:dyDescent="0.2">
      <c r="A570" s="829"/>
      <c r="B570" s="829"/>
      <c r="C570" s="829"/>
      <c r="D570" s="829"/>
      <c r="E570" s="829"/>
      <c r="F570" s="829"/>
      <c r="G570" s="829"/>
      <c r="H570" s="829"/>
      <c r="I570" s="829"/>
      <c r="J570" s="829"/>
      <c r="K570" s="829"/>
      <c r="L570" s="829"/>
      <c r="M570" s="829"/>
      <c r="N570" s="829"/>
      <c r="O570" s="829"/>
      <c r="P570" s="829"/>
      <c r="Q570" s="829"/>
      <c r="R570" s="829"/>
      <c r="S570" s="829"/>
      <c r="T570" s="829"/>
      <c r="U570" s="829"/>
      <c r="V570" s="829"/>
      <c r="W570" s="829"/>
      <c r="X570" s="829"/>
      <c r="Y570" s="829"/>
      <c r="Z570" s="829"/>
      <c r="AA570" s="829"/>
      <c r="AB570" s="829"/>
      <c r="AC570" s="829"/>
      <c r="AD570" s="829"/>
      <c r="AE570" s="829"/>
      <c r="AF570" s="829"/>
      <c r="AG570" s="829"/>
      <c r="AH570" s="829"/>
      <c r="AI570" s="829"/>
      <c r="AJ570" s="829"/>
      <c r="AK570" s="829"/>
      <c r="AL570" s="829"/>
      <c r="AM570" s="829"/>
      <c r="AN570" s="829"/>
    </row>
    <row r="571" spans="1:40" ht="12.75" x14ac:dyDescent="0.2">
      <c r="A571" s="829"/>
      <c r="B571" s="829"/>
      <c r="C571" s="829"/>
      <c r="D571" s="829"/>
      <c r="E571" s="829"/>
      <c r="F571" s="829"/>
      <c r="G571" s="829"/>
      <c r="H571" s="829"/>
      <c r="I571" s="829"/>
      <c r="J571" s="829"/>
      <c r="K571" s="829"/>
      <c r="L571" s="829"/>
      <c r="M571" s="829"/>
      <c r="N571" s="829"/>
      <c r="O571" s="829"/>
      <c r="P571" s="829"/>
      <c r="Q571" s="829"/>
      <c r="R571" s="829"/>
      <c r="S571" s="829"/>
      <c r="T571" s="829"/>
      <c r="U571" s="829"/>
      <c r="V571" s="829"/>
      <c r="W571" s="829"/>
      <c r="X571" s="829"/>
      <c r="Y571" s="829"/>
      <c r="Z571" s="829"/>
      <c r="AA571" s="829"/>
      <c r="AB571" s="829"/>
      <c r="AC571" s="829"/>
      <c r="AD571" s="829"/>
      <c r="AE571" s="829"/>
      <c r="AF571" s="829"/>
      <c r="AG571" s="829"/>
      <c r="AH571" s="829"/>
      <c r="AI571" s="829"/>
      <c r="AJ571" s="829"/>
      <c r="AK571" s="829"/>
      <c r="AL571" s="829"/>
      <c r="AM571" s="829"/>
      <c r="AN571" s="829"/>
    </row>
    <row r="572" spans="1:40" ht="12.75" x14ac:dyDescent="0.2">
      <c r="A572" s="829"/>
      <c r="B572" s="829"/>
      <c r="C572" s="829"/>
      <c r="D572" s="829"/>
      <c r="E572" s="829"/>
      <c r="F572" s="829"/>
      <c r="G572" s="829"/>
      <c r="H572" s="829"/>
      <c r="I572" s="829"/>
      <c r="J572" s="829"/>
      <c r="K572" s="829"/>
      <c r="L572" s="829"/>
      <c r="M572" s="829"/>
      <c r="N572" s="829"/>
      <c r="O572" s="829"/>
      <c r="P572" s="829"/>
      <c r="Q572" s="829"/>
      <c r="R572" s="829"/>
      <c r="S572" s="829"/>
      <c r="T572" s="829"/>
      <c r="U572" s="829"/>
      <c r="V572" s="829"/>
      <c r="W572" s="829"/>
      <c r="X572" s="829"/>
      <c r="Y572" s="829"/>
      <c r="Z572" s="829"/>
      <c r="AA572" s="829"/>
      <c r="AB572" s="829"/>
      <c r="AC572" s="829"/>
      <c r="AD572" s="829"/>
      <c r="AE572" s="829"/>
      <c r="AF572" s="829"/>
      <c r="AG572" s="829"/>
      <c r="AH572" s="829"/>
      <c r="AI572" s="829"/>
      <c r="AJ572" s="829"/>
      <c r="AK572" s="829"/>
      <c r="AL572" s="829"/>
      <c r="AM572" s="829"/>
      <c r="AN572" s="829"/>
    </row>
    <row r="573" spans="1:40" ht="12.75" x14ac:dyDescent="0.2">
      <c r="A573" s="829"/>
      <c r="B573" s="829"/>
      <c r="C573" s="829"/>
      <c r="D573" s="829"/>
      <c r="E573" s="829"/>
      <c r="F573" s="829"/>
      <c r="G573" s="829"/>
      <c r="H573" s="829"/>
      <c r="I573" s="829"/>
      <c r="J573" s="829"/>
      <c r="K573" s="829"/>
      <c r="L573" s="829"/>
      <c r="M573" s="829"/>
      <c r="N573" s="829"/>
      <c r="O573" s="829"/>
      <c r="P573" s="829"/>
      <c r="Q573" s="829"/>
      <c r="R573" s="829"/>
      <c r="S573" s="829"/>
      <c r="T573" s="829"/>
      <c r="U573" s="829"/>
      <c r="V573" s="829"/>
      <c r="W573" s="829"/>
      <c r="X573" s="829"/>
      <c r="Y573" s="829"/>
      <c r="Z573" s="829"/>
      <c r="AA573" s="829"/>
      <c r="AB573" s="829"/>
      <c r="AC573" s="829"/>
      <c r="AD573" s="829"/>
      <c r="AE573" s="829"/>
      <c r="AF573" s="829"/>
      <c r="AG573" s="829"/>
      <c r="AH573" s="829"/>
      <c r="AI573" s="829"/>
      <c r="AJ573" s="829"/>
      <c r="AK573" s="829"/>
      <c r="AL573" s="829"/>
      <c r="AM573" s="829"/>
      <c r="AN573" s="829"/>
    </row>
    <row r="574" spans="1:40" ht="12.75" x14ac:dyDescent="0.2">
      <c r="A574" s="829"/>
      <c r="B574" s="829"/>
      <c r="C574" s="829"/>
      <c r="D574" s="829"/>
      <c r="E574" s="829"/>
      <c r="F574" s="829"/>
      <c r="G574" s="829"/>
      <c r="H574" s="829"/>
      <c r="I574" s="829"/>
      <c r="J574" s="829"/>
      <c r="K574" s="829"/>
      <c r="L574" s="829"/>
      <c r="M574" s="829"/>
      <c r="N574" s="829"/>
      <c r="O574" s="829"/>
      <c r="P574" s="829"/>
      <c r="Q574" s="829"/>
      <c r="R574" s="829"/>
      <c r="S574" s="829"/>
      <c r="T574" s="829"/>
      <c r="U574" s="829"/>
      <c r="V574" s="829"/>
      <c r="W574" s="829"/>
      <c r="X574" s="829"/>
      <c r="Y574" s="829"/>
      <c r="Z574" s="829"/>
      <c r="AA574" s="829"/>
      <c r="AB574" s="829"/>
      <c r="AC574" s="829"/>
      <c r="AD574" s="829"/>
      <c r="AE574" s="829"/>
      <c r="AF574" s="829"/>
      <c r="AG574" s="829"/>
      <c r="AH574" s="829"/>
      <c r="AI574" s="829"/>
      <c r="AJ574" s="829"/>
      <c r="AK574" s="829"/>
      <c r="AL574" s="829"/>
      <c r="AM574" s="829"/>
      <c r="AN574" s="829"/>
    </row>
    <row r="575" spans="1:40" ht="12.75" x14ac:dyDescent="0.2">
      <c r="A575" s="829"/>
      <c r="B575" s="829"/>
      <c r="C575" s="829"/>
      <c r="D575" s="829"/>
      <c r="E575" s="829"/>
      <c r="F575" s="829"/>
      <c r="G575" s="829"/>
      <c r="H575" s="829"/>
      <c r="I575" s="829"/>
      <c r="J575" s="829"/>
      <c r="K575" s="829"/>
      <c r="L575" s="829"/>
      <c r="M575" s="829"/>
      <c r="N575" s="829"/>
      <c r="O575" s="829"/>
      <c r="P575" s="829"/>
      <c r="Q575" s="829"/>
      <c r="R575" s="829"/>
      <c r="S575" s="829"/>
      <c r="T575" s="829"/>
      <c r="U575" s="829"/>
      <c r="V575" s="829"/>
      <c r="W575" s="829"/>
      <c r="X575" s="829"/>
      <c r="Y575" s="829"/>
      <c r="Z575" s="829"/>
      <c r="AA575" s="829"/>
      <c r="AB575" s="829"/>
      <c r="AC575" s="829"/>
      <c r="AD575" s="829"/>
      <c r="AE575" s="829"/>
      <c r="AF575" s="829"/>
      <c r="AG575" s="829"/>
      <c r="AH575" s="829"/>
      <c r="AI575" s="829"/>
      <c r="AJ575" s="829"/>
      <c r="AK575" s="829"/>
      <c r="AL575" s="829"/>
      <c r="AM575" s="829"/>
      <c r="AN575" s="829"/>
    </row>
    <row r="576" spans="1:40" ht="12.75" x14ac:dyDescent="0.2">
      <c r="A576" s="829"/>
      <c r="B576" s="829"/>
      <c r="C576" s="829"/>
      <c r="D576" s="829"/>
      <c r="E576" s="829"/>
      <c r="F576" s="829"/>
      <c r="G576" s="829"/>
      <c r="H576" s="829"/>
      <c r="I576" s="829"/>
      <c r="J576" s="829"/>
      <c r="K576" s="829"/>
      <c r="L576" s="829"/>
      <c r="M576" s="829"/>
      <c r="N576" s="829"/>
      <c r="O576" s="829"/>
      <c r="P576" s="829"/>
      <c r="Q576" s="829"/>
      <c r="R576" s="829"/>
      <c r="S576" s="829"/>
      <c r="T576" s="829"/>
      <c r="U576" s="829"/>
      <c r="V576" s="829"/>
      <c r="W576" s="829"/>
      <c r="X576" s="829"/>
      <c r="Y576" s="829"/>
      <c r="Z576" s="829"/>
      <c r="AA576" s="829"/>
      <c r="AB576" s="829"/>
      <c r="AC576" s="829"/>
      <c r="AD576" s="829"/>
      <c r="AE576" s="829"/>
      <c r="AF576" s="829"/>
      <c r="AG576" s="829"/>
      <c r="AH576" s="829"/>
      <c r="AI576" s="829"/>
      <c r="AJ576" s="829"/>
      <c r="AK576" s="829"/>
      <c r="AL576" s="829"/>
      <c r="AM576" s="829"/>
      <c r="AN576" s="829"/>
    </row>
    <row r="577" spans="1:40" ht="12.75" x14ac:dyDescent="0.2">
      <c r="A577" s="829"/>
      <c r="B577" s="829"/>
      <c r="C577" s="829"/>
      <c r="D577" s="829"/>
      <c r="E577" s="829"/>
      <c r="F577" s="829"/>
      <c r="G577" s="829"/>
      <c r="H577" s="829"/>
      <c r="I577" s="829"/>
      <c r="J577" s="829"/>
      <c r="K577" s="829"/>
      <c r="L577" s="829"/>
      <c r="M577" s="829"/>
      <c r="N577" s="829"/>
      <c r="O577" s="829"/>
      <c r="P577" s="829"/>
      <c r="Q577" s="829"/>
      <c r="R577" s="829"/>
      <c r="S577" s="829"/>
      <c r="T577" s="829"/>
      <c r="U577" s="829"/>
      <c r="V577" s="829"/>
      <c r="W577" s="829"/>
      <c r="X577" s="829"/>
      <c r="Y577" s="829"/>
      <c r="Z577" s="829"/>
      <c r="AA577" s="829"/>
      <c r="AB577" s="829"/>
      <c r="AC577" s="829"/>
      <c r="AD577" s="829"/>
      <c r="AE577" s="829"/>
      <c r="AF577" s="829"/>
      <c r="AG577" s="829"/>
      <c r="AH577" s="829"/>
      <c r="AI577" s="829"/>
      <c r="AJ577" s="829"/>
      <c r="AK577" s="829"/>
      <c r="AL577" s="829"/>
      <c r="AM577" s="829"/>
      <c r="AN577" s="829"/>
    </row>
    <row r="578" spans="1:40" ht="12.75" x14ac:dyDescent="0.2">
      <c r="A578" s="829"/>
      <c r="B578" s="829"/>
      <c r="C578" s="829"/>
      <c r="D578" s="829"/>
      <c r="E578" s="829"/>
      <c r="F578" s="829"/>
      <c r="G578" s="829"/>
      <c r="H578" s="829"/>
      <c r="I578" s="829"/>
      <c r="J578" s="829"/>
      <c r="K578" s="829"/>
      <c r="L578" s="829"/>
      <c r="M578" s="829"/>
      <c r="N578" s="829"/>
      <c r="O578" s="829"/>
      <c r="P578" s="829"/>
      <c r="Q578" s="829"/>
      <c r="R578" s="829"/>
      <c r="S578" s="829"/>
      <c r="T578" s="829"/>
      <c r="U578" s="829"/>
      <c r="V578" s="829"/>
      <c r="W578" s="829"/>
      <c r="X578" s="829"/>
      <c r="Y578" s="829"/>
      <c r="Z578" s="829"/>
      <c r="AA578" s="829"/>
      <c r="AB578" s="829"/>
      <c r="AC578" s="829"/>
      <c r="AD578" s="829"/>
      <c r="AE578" s="829"/>
      <c r="AF578" s="829"/>
      <c r="AG578" s="829"/>
      <c r="AH578" s="829"/>
      <c r="AI578" s="829"/>
      <c r="AJ578" s="829"/>
      <c r="AK578" s="829"/>
      <c r="AL578" s="829"/>
      <c r="AM578" s="829"/>
      <c r="AN578" s="829"/>
    </row>
    <row r="579" spans="1:40" ht="12.75" x14ac:dyDescent="0.2">
      <c r="A579" s="829"/>
      <c r="B579" s="829"/>
      <c r="C579" s="829"/>
      <c r="D579" s="829"/>
      <c r="E579" s="829"/>
      <c r="F579" s="829"/>
      <c r="G579" s="829"/>
      <c r="H579" s="829"/>
      <c r="I579" s="829"/>
      <c r="J579" s="829"/>
      <c r="K579" s="829"/>
      <c r="L579" s="829"/>
      <c r="M579" s="829"/>
      <c r="N579" s="829"/>
      <c r="O579" s="829"/>
      <c r="P579" s="829"/>
      <c r="Q579" s="829"/>
      <c r="R579" s="829"/>
      <c r="S579" s="829"/>
      <c r="T579" s="829"/>
      <c r="U579" s="829"/>
      <c r="V579" s="829"/>
      <c r="W579" s="829"/>
      <c r="X579" s="829"/>
      <c r="Y579" s="829"/>
      <c r="Z579" s="829"/>
      <c r="AA579" s="829"/>
      <c r="AB579" s="829"/>
      <c r="AC579" s="829"/>
      <c r="AD579" s="829"/>
      <c r="AE579" s="829"/>
      <c r="AF579" s="829"/>
      <c r="AG579" s="829"/>
      <c r="AH579" s="829"/>
      <c r="AI579" s="829"/>
      <c r="AJ579" s="829"/>
      <c r="AK579" s="829"/>
      <c r="AL579" s="829"/>
      <c r="AM579" s="829"/>
      <c r="AN579" s="829"/>
    </row>
    <row r="580" spans="1:40" ht="12.75" x14ac:dyDescent="0.2">
      <c r="A580" s="829"/>
      <c r="B580" s="829"/>
      <c r="C580" s="829"/>
      <c r="D580" s="829"/>
      <c r="E580" s="829"/>
      <c r="F580" s="829"/>
      <c r="G580" s="829"/>
      <c r="H580" s="829"/>
      <c r="I580" s="829"/>
      <c r="J580" s="829"/>
      <c r="K580" s="829"/>
      <c r="L580" s="829"/>
      <c r="M580" s="829"/>
      <c r="N580" s="829"/>
      <c r="O580" s="829"/>
      <c r="P580" s="829"/>
      <c r="Q580" s="829"/>
      <c r="R580" s="829"/>
      <c r="S580" s="829"/>
      <c r="T580" s="829"/>
      <c r="U580" s="829"/>
      <c r="V580" s="829"/>
      <c r="W580" s="829"/>
      <c r="X580" s="829"/>
      <c r="Y580" s="829"/>
      <c r="Z580" s="829"/>
      <c r="AA580" s="829"/>
      <c r="AB580" s="829"/>
      <c r="AC580" s="829"/>
      <c r="AD580" s="829"/>
      <c r="AE580" s="829"/>
      <c r="AF580" s="829"/>
      <c r="AG580" s="829"/>
      <c r="AH580" s="829"/>
      <c r="AI580" s="829"/>
      <c r="AJ580" s="829"/>
      <c r="AK580" s="829"/>
      <c r="AL580" s="829"/>
      <c r="AM580" s="829"/>
      <c r="AN580" s="829"/>
    </row>
    <row r="581" spans="1:40" ht="12.75" x14ac:dyDescent="0.2">
      <c r="A581" s="829"/>
      <c r="B581" s="829"/>
      <c r="C581" s="829"/>
      <c r="D581" s="829"/>
      <c r="E581" s="829"/>
      <c r="F581" s="829"/>
      <c r="G581" s="829"/>
      <c r="H581" s="829"/>
      <c r="I581" s="829"/>
      <c r="J581" s="829"/>
      <c r="K581" s="829"/>
      <c r="L581" s="829"/>
      <c r="M581" s="829"/>
      <c r="N581" s="829"/>
      <c r="O581" s="829"/>
      <c r="P581" s="829"/>
      <c r="Q581" s="829"/>
      <c r="R581" s="829"/>
      <c r="S581" s="829"/>
      <c r="T581" s="829"/>
      <c r="U581" s="829"/>
      <c r="V581" s="829"/>
      <c r="W581" s="829"/>
      <c r="X581" s="829"/>
      <c r="Y581" s="829"/>
      <c r="Z581" s="829"/>
      <c r="AA581" s="829"/>
      <c r="AB581" s="829"/>
      <c r="AC581" s="829"/>
      <c r="AD581" s="829"/>
      <c r="AE581" s="829"/>
      <c r="AF581" s="829"/>
      <c r="AG581" s="829"/>
      <c r="AH581" s="829"/>
      <c r="AI581" s="829"/>
      <c r="AJ581" s="829"/>
      <c r="AK581" s="829"/>
      <c r="AL581" s="829"/>
      <c r="AM581" s="829"/>
      <c r="AN581" s="829"/>
    </row>
    <row r="582" spans="1:40" ht="12.75" x14ac:dyDescent="0.2">
      <c r="A582" s="829"/>
      <c r="B582" s="829"/>
      <c r="C582" s="829"/>
      <c r="D582" s="829"/>
      <c r="E582" s="829"/>
      <c r="F582" s="829"/>
      <c r="G582" s="829"/>
      <c r="H582" s="829"/>
      <c r="I582" s="829"/>
      <c r="J582" s="829"/>
      <c r="K582" s="829"/>
      <c r="L582" s="829"/>
      <c r="M582" s="829"/>
      <c r="N582" s="829"/>
      <c r="O582" s="829"/>
      <c r="P582" s="829"/>
      <c r="Q582" s="829"/>
      <c r="R582" s="829"/>
      <c r="S582" s="829"/>
      <c r="T582" s="829"/>
      <c r="U582" s="829"/>
      <c r="V582" s="829"/>
      <c r="W582" s="829"/>
      <c r="X582" s="829"/>
      <c r="Y582" s="829"/>
      <c r="Z582" s="829"/>
      <c r="AA582" s="829"/>
      <c r="AB582" s="829"/>
      <c r="AC582" s="829"/>
      <c r="AD582" s="829"/>
      <c r="AE582" s="829"/>
      <c r="AF582" s="829"/>
      <c r="AG582" s="829"/>
      <c r="AH582" s="829"/>
      <c r="AI582" s="829"/>
      <c r="AJ582" s="829"/>
      <c r="AK582" s="829"/>
      <c r="AL582" s="829"/>
      <c r="AM582" s="829"/>
      <c r="AN582" s="829"/>
    </row>
    <row r="583" spans="1:40" ht="12.75" x14ac:dyDescent="0.2">
      <c r="A583" s="829"/>
      <c r="B583" s="829"/>
      <c r="C583" s="829"/>
      <c r="D583" s="829"/>
      <c r="E583" s="829"/>
      <c r="F583" s="829"/>
      <c r="G583" s="829"/>
      <c r="H583" s="829"/>
      <c r="I583" s="829"/>
      <c r="J583" s="829"/>
      <c r="K583" s="829"/>
      <c r="L583" s="829"/>
      <c r="M583" s="829"/>
      <c r="N583" s="829"/>
      <c r="O583" s="829"/>
      <c r="P583" s="829"/>
      <c r="Q583" s="829"/>
      <c r="R583" s="829"/>
      <c r="S583" s="829"/>
      <c r="T583" s="829"/>
      <c r="U583" s="829"/>
      <c r="V583" s="829"/>
      <c r="W583" s="829"/>
      <c r="X583" s="829"/>
      <c r="Y583" s="829"/>
      <c r="Z583" s="829"/>
      <c r="AA583" s="829"/>
      <c r="AB583" s="829"/>
      <c r="AC583" s="829"/>
      <c r="AD583" s="829"/>
      <c r="AE583" s="829"/>
      <c r="AF583" s="829"/>
      <c r="AG583" s="829"/>
      <c r="AH583" s="829"/>
      <c r="AI583" s="829"/>
      <c r="AJ583" s="829"/>
      <c r="AK583" s="829"/>
      <c r="AL583" s="829"/>
      <c r="AM583" s="829"/>
      <c r="AN583" s="829"/>
    </row>
    <row r="584" spans="1:40" ht="12.75" x14ac:dyDescent="0.2">
      <c r="A584" s="829"/>
      <c r="B584" s="829"/>
      <c r="C584" s="829"/>
      <c r="D584" s="829"/>
      <c r="E584" s="829"/>
      <c r="F584" s="829"/>
      <c r="G584" s="829"/>
      <c r="H584" s="829"/>
      <c r="I584" s="829"/>
      <c r="J584" s="829"/>
      <c r="K584" s="829"/>
      <c r="L584" s="829"/>
      <c r="M584" s="829"/>
      <c r="N584" s="829"/>
      <c r="O584" s="829"/>
      <c r="P584" s="829"/>
      <c r="Q584" s="829"/>
      <c r="R584" s="829"/>
      <c r="S584" s="829"/>
      <c r="T584" s="829"/>
      <c r="U584" s="829"/>
      <c r="V584" s="829"/>
      <c r="W584" s="829"/>
      <c r="X584" s="829"/>
      <c r="Y584" s="829"/>
      <c r="Z584" s="829"/>
      <c r="AA584" s="829"/>
      <c r="AB584" s="829"/>
      <c r="AC584" s="829"/>
      <c r="AD584" s="829"/>
      <c r="AE584" s="829"/>
      <c r="AF584" s="829"/>
      <c r="AG584" s="829"/>
      <c r="AH584" s="829"/>
      <c r="AI584" s="829"/>
      <c r="AJ584" s="829"/>
      <c r="AK584" s="829"/>
      <c r="AL584" s="829"/>
      <c r="AM584" s="829"/>
      <c r="AN584" s="829"/>
    </row>
    <row r="585" spans="1:40" ht="12.75" x14ac:dyDescent="0.2">
      <c r="A585" s="829"/>
      <c r="B585" s="829"/>
      <c r="C585" s="829"/>
      <c r="D585" s="829"/>
      <c r="E585" s="829"/>
      <c r="F585" s="829"/>
      <c r="G585" s="829"/>
      <c r="H585" s="829"/>
      <c r="I585" s="829"/>
      <c r="J585" s="829"/>
      <c r="K585" s="829"/>
      <c r="L585" s="829"/>
      <c r="M585" s="829"/>
      <c r="N585" s="829"/>
      <c r="O585" s="829"/>
      <c r="P585" s="829"/>
      <c r="Q585" s="829"/>
      <c r="R585" s="829"/>
      <c r="S585" s="829"/>
      <c r="T585" s="829"/>
      <c r="U585" s="829"/>
      <c r="V585" s="829"/>
      <c r="W585" s="829"/>
      <c r="X585" s="829"/>
      <c r="Y585" s="829"/>
      <c r="Z585" s="829"/>
      <c r="AA585" s="829"/>
      <c r="AB585" s="829"/>
      <c r="AC585" s="829"/>
      <c r="AD585" s="829"/>
      <c r="AE585" s="829"/>
      <c r="AF585" s="829"/>
      <c r="AG585" s="829"/>
      <c r="AH585" s="829"/>
      <c r="AI585" s="829"/>
      <c r="AJ585" s="829"/>
      <c r="AK585" s="829"/>
      <c r="AL585" s="829"/>
      <c r="AM585" s="829"/>
      <c r="AN585" s="829"/>
    </row>
    <row r="586" spans="1:40" ht="12.75" x14ac:dyDescent="0.2">
      <c r="A586" s="829"/>
      <c r="B586" s="829"/>
      <c r="C586" s="829"/>
      <c r="D586" s="829"/>
      <c r="E586" s="829"/>
      <c r="F586" s="829"/>
      <c r="G586" s="829"/>
      <c r="H586" s="829"/>
      <c r="I586" s="829"/>
      <c r="J586" s="829"/>
      <c r="K586" s="829"/>
      <c r="L586" s="829"/>
      <c r="M586" s="829"/>
      <c r="N586" s="829"/>
      <c r="O586" s="829"/>
      <c r="P586" s="829"/>
      <c r="Q586" s="829"/>
      <c r="R586" s="829"/>
      <c r="S586" s="829"/>
      <c r="T586" s="829"/>
      <c r="U586" s="829"/>
      <c r="V586" s="829"/>
      <c r="W586" s="829"/>
      <c r="X586" s="829"/>
      <c r="Y586" s="829"/>
      <c r="Z586" s="829"/>
      <c r="AA586" s="829"/>
      <c r="AB586" s="829"/>
      <c r="AC586" s="829"/>
      <c r="AD586" s="829"/>
      <c r="AE586" s="829"/>
      <c r="AF586" s="829"/>
      <c r="AG586" s="829"/>
      <c r="AH586" s="829"/>
      <c r="AI586" s="829"/>
      <c r="AJ586" s="829"/>
      <c r="AK586" s="829"/>
      <c r="AL586" s="829"/>
      <c r="AM586" s="829"/>
      <c r="AN586" s="829"/>
    </row>
    <row r="587" spans="1:40" ht="12.75" x14ac:dyDescent="0.2">
      <c r="A587" s="829"/>
      <c r="B587" s="829"/>
      <c r="C587" s="829"/>
      <c r="D587" s="829"/>
      <c r="E587" s="829"/>
      <c r="F587" s="829"/>
      <c r="G587" s="829"/>
      <c r="H587" s="829"/>
      <c r="I587" s="829"/>
      <c r="J587" s="829"/>
      <c r="K587" s="829"/>
      <c r="L587" s="829"/>
      <c r="M587" s="829"/>
      <c r="N587" s="829"/>
      <c r="O587" s="829"/>
      <c r="P587" s="829"/>
      <c r="Q587" s="829"/>
      <c r="R587" s="829"/>
      <c r="S587" s="829"/>
      <c r="T587" s="829"/>
      <c r="U587" s="829"/>
      <c r="V587" s="829"/>
      <c r="W587" s="829"/>
      <c r="X587" s="829"/>
      <c r="Y587" s="829"/>
      <c r="Z587" s="829"/>
      <c r="AA587" s="829"/>
      <c r="AB587" s="829"/>
      <c r="AC587" s="829"/>
      <c r="AD587" s="829"/>
      <c r="AE587" s="829"/>
      <c r="AF587" s="829"/>
      <c r="AG587" s="829"/>
      <c r="AH587" s="829"/>
      <c r="AI587" s="829"/>
      <c r="AJ587" s="829"/>
      <c r="AK587" s="829"/>
      <c r="AL587" s="829"/>
      <c r="AM587" s="829"/>
      <c r="AN587" s="829"/>
    </row>
    <row r="588" spans="1:40" ht="12.75" x14ac:dyDescent="0.2">
      <c r="A588" s="829"/>
      <c r="B588" s="829"/>
      <c r="C588" s="829"/>
      <c r="D588" s="829"/>
      <c r="E588" s="829"/>
      <c r="F588" s="829"/>
      <c r="G588" s="829"/>
      <c r="H588" s="829"/>
      <c r="I588" s="829"/>
      <c r="J588" s="829"/>
      <c r="K588" s="829"/>
      <c r="L588" s="829"/>
      <c r="M588" s="829"/>
      <c r="N588" s="829"/>
      <c r="O588" s="829"/>
      <c r="P588" s="829"/>
      <c r="Q588" s="829"/>
      <c r="R588" s="829"/>
      <c r="S588" s="829"/>
      <c r="T588" s="829"/>
      <c r="U588" s="829"/>
      <c r="V588" s="829"/>
      <c r="W588" s="829"/>
      <c r="X588" s="829"/>
      <c r="Y588" s="829"/>
      <c r="Z588" s="829"/>
      <c r="AA588" s="829"/>
      <c r="AB588" s="829"/>
      <c r="AC588" s="829"/>
      <c r="AD588" s="829"/>
      <c r="AE588" s="829"/>
      <c r="AF588" s="829"/>
      <c r="AG588" s="829"/>
      <c r="AH588" s="829"/>
      <c r="AI588" s="829"/>
      <c r="AJ588" s="829"/>
      <c r="AK588" s="829"/>
      <c r="AL588" s="829"/>
      <c r="AM588" s="829"/>
      <c r="AN588" s="829"/>
    </row>
    <row r="589" spans="1:40" ht="12.75" x14ac:dyDescent="0.2">
      <c r="A589" s="829"/>
      <c r="B589" s="829"/>
      <c r="C589" s="829"/>
      <c r="D589" s="829"/>
      <c r="E589" s="829"/>
      <c r="F589" s="829"/>
      <c r="G589" s="829"/>
      <c r="H589" s="829"/>
      <c r="I589" s="829"/>
      <c r="J589" s="829"/>
      <c r="K589" s="829"/>
      <c r="L589" s="829"/>
      <c r="M589" s="829"/>
      <c r="N589" s="829"/>
      <c r="O589" s="829"/>
      <c r="P589" s="829"/>
      <c r="Q589" s="829"/>
      <c r="R589" s="829"/>
      <c r="S589" s="829"/>
      <c r="T589" s="829"/>
      <c r="U589" s="829"/>
      <c r="V589" s="829"/>
      <c r="W589" s="829"/>
      <c r="X589" s="829"/>
      <c r="Y589" s="829"/>
      <c r="Z589" s="829"/>
      <c r="AA589" s="829"/>
      <c r="AB589" s="829"/>
      <c r="AC589" s="829"/>
      <c r="AD589" s="829"/>
      <c r="AE589" s="829"/>
      <c r="AF589" s="829"/>
      <c r="AG589" s="829"/>
      <c r="AH589" s="829"/>
      <c r="AI589" s="829"/>
      <c r="AJ589" s="829"/>
      <c r="AK589" s="829"/>
      <c r="AL589" s="829"/>
      <c r="AM589" s="829"/>
      <c r="AN589" s="829"/>
    </row>
    <row r="590" spans="1:40" ht="12.75" x14ac:dyDescent="0.2">
      <c r="A590" s="829"/>
      <c r="B590" s="829"/>
      <c r="C590" s="829"/>
      <c r="D590" s="829"/>
      <c r="E590" s="829"/>
      <c r="F590" s="829"/>
      <c r="G590" s="829"/>
      <c r="H590" s="829"/>
      <c r="I590" s="829"/>
      <c r="J590" s="829"/>
      <c r="K590" s="829"/>
      <c r="L590" s="829"/>
      <c r="M590" s="829"/>
      <c r="N590" s="829"/>
      <c r="O590" s="829"/>
      <c r="P590" s="829"/>
      <c r="Q590" s="829"/>
      <c r="R590" s="829"/>
      <c r="S590" s="829"/>
      <c r="T590" s="829"/>
      <c r="U590" s="829"/>
      <c r="V590" s="829"/>
      <c r="W590" s="829"/>
      <c r="X590" s="829"/>
      <c r="Y590" s="829"/>
      <c r="Z590" s="829"/>
      <c r="AA590" s="829"/>
      <c r="AB590" s="829"/>
      <c r="AC590" s="829"/>
      <c r="AD590" s="829"/>
      <c r="AE590" s="829"/>
      <c r="AF590" s="829"/>
      <c r="AG590" s="829"/>
      <c r="AH590" s="829"/>
      <c r="AI590" s="829"/>
      <c r="AJ590" s="829"/>
      <c r="AK590" s="829"/>
      <c r="AL590" s="829"/>
      <c r="AM590" s="829"/>
      <c r="AN590" s="829"/>
    </row>
    <row r="591" spans="1:40" ht="12.75" x14ac:dyDescent="0.2">
      <c r="A591" s="829"/>
      <c r="B591" s="829"/>
      <c r="C591" s="829"/>
      <c r="D591" s="829"/>
      <c r="E591" s="829"/>
      <c r="F591" s="829"/>
      <c r="G591" s="829"/>
      <c r="H591" s="829"/>
      <c r="I591" s="829"/>
      <c r="J591" s="829"/>
      <c r="K591" s="829"/>
      <c r="L591" s="829"/>
      <c r="M591" s="829"/>
      <c r="N591" s="829"/>
      <c r="O591" s="829"/>
      <c r="P591" s="829"/>
      <c r="Q591" s="829"/>
      <c r="R591" s="829"/>
      <c r="S591" s="829"/>
      <c r="T591" s="829"/>
      <c r="U591" s="829"/>
      <c r="V591" s="829"/>
      <c r="W591" s="829"/>
      <c r="X591" s="829"/>
      <c r="Y591" s="829"/>
      <c r="Z591" s="829"/>
      <c r="AA591" s="829"/>
      <c r="AB591" s="829"/>
      <c r="AC591" s="829"/>
      <c r="AD591" s="829"/>
      <c r="AE591" s="829"/>
      <c r="AF591" s="829"/>
      <c r="AG591" s="829"/>
      <c r="AH591" s="829"/>
      <c r="AI591" s="829"/>
      <c r="AJ591" s="829"/>
      <c r="AK591" s="829"/>
      <c r="AL591" s="829"/>
      <c r="AM591" s="829"/>
      <c r="AN591" s="829"/>
    </row>
    <row r="592" spans="1:40" ht="12.75" x14ac:dyDescent="0.2">
      <c r="A592" s="829"/>
      <c r="B592" s="829"/>
      <c r="C592" s="829"/>
      <c r="D592" s="829"/>
      <c r="E592" s="829"/>
      <c r="F592" s="829"/>
      <c r="G592" s="829"/>
      <c r="H592" s="829"/>
      <c r="I592" s="829"/>
      <c r="J592" s="829"/>
      <c r="K592" s="829"/>
      <c r="L592" s="829"/>
      <c r="M592" s="829"/>
      <c r="N592" s="829"/>
      <c r="O592" s="829"/>
      <c r="P592" s="829"/>
      <c r="Q592" s="829"/>
      <c r="R592" s="829"/>
      <c r="S592" s="829"/>
      <c r="T592" s="829"/>
      <c r="U592" s="829"/>
      <c r="V592" s="829"/>
      <c r="W592" s="829"/>
      <c r="X592" s="829"/>
      <c r="Y592" s="829"/>
      <c r="Z592" s="829"/>
      <c r="AA592" s="829"/>
      <c r="AB592" s="829"/>
      <c r="AC592" s="829"/>
      <c r="AD592" s="829"/>
      <c r="AE592" s="829"/>
      <c r="AF592" s="829"/>
      <c r="AG592" s="829"/>
      <c r="AH592" s="829"/>
      <c r="AI592" s="829"/>
      <c r="AJ592" s="829"/>
      <c r="AK592" s="829"/>
      <c r="AL592" s="829"/>
      <c r="AM592" s="829"/>
      <c r="AN592" s="829"/>
    </row>
    <row r="593" spans="1:40" ht="12.75" x14ac:dyDescent="0.2">
      <c r="A593" s="829"/>
      <c r="B593" s="829"/>
      <c r="C593" s="829"/>
      <c r="D593" s="829"/>
      <c r="E593" s="829"/>
      <c r="F593" s="829"/>
      <c r="G593" s="829"/>
      <c r="H593" s="829"/>
      <c r="I593" s="829"/>
      <c r="J593" s="829"/>
      <c r="K593" s="829"/>
      <c r="L593" s="829"/>
      <c r="M593" s="829"/>
      <c r="N593" s="829"/>
      <c r="O593" s="829"/>
      <c r="P593" s="829"/>
      <c r="Q593" s="829"/>
      <c r="R593" s="829"/>
      <c r="S593" s="829"/>
      <c r="T593" s="829"/>
      <c r="U593" s="829"/>
      <c r="V593" s="829"/>
      <c r="W593" s="829"/>
      <c r="X593" s="829"/>
      <c r="Y593" s="829"/>
      <c r="Z593" s="829"/>
      <c r="AA593" s="829"/>
      <c r="AB593" s="829"/>
      <c r="AC593" s="829"/>
      <c r="AD593" s="829"/>
      <c r="AE593" s="829"/>
      <c r="AF593" s="829"/>
      <c r="AG593" s="829"/>
      <c r="AH593" s="829"/>
      <c r="AI593" s="829"/>
      <c r="AJ593" s="829"/>
      <c r="AK593" s="829"/>
      <c r="AL593" s="829"/>
      <c r="AM593" s="829"/>
      <c r="AN593" s="829"/>
    </row>
    <row r="594" spans="1:40" ht="12.75" x14ac:dyDescent="0.2">
      <c r="A594" s="829"/>
      <c r="B594" s="829"/>
      <c r="C594" s="829"/>
      <c r="D594" s="829"/>
      <c r="E594" s="829"/>
      <c r="F594" s="829"/>
      <c r="G594" s="829"/>
      <c r="H594" s="829"/>
      <c r="I594" s="829"/>
      <c r="J594" s="829"/>
      <c r="K594" s="829"/>
      <c r="L594" s="829"/>
      <c r="M594" s="829"/>
      <c r="N594" s="829"/>
      <c r="O594" s="829"/>
      <c r="P594" s="829"/>
      <c r="Q594" s="829"/>
      <c r="R594" s="829"/>
      <c r="S594" s="829"/>
      <c r="T594" s="829"/>
      <c r="U594" s="829"/>
      <c r="V594" s="829"/>
      <c r="W594" s="829"/>
      <c r="X594" s="829"/>
      <c r="Y594" s="829"/>
      <c r="Z594" s="829"/>
      <c r="AA594" s="829"/>
      <c r="AB594" s="829"/>
      <c r="AC594" s="829"/>
      <c r="AD594" s="829"/>
      <c r="AE594" s="829"/>
      <c r="AF594" s="829"/>
      <c r="AG594" s="829"/>
      <c r="AH594" s="829"/>
      <c r="AI594" s="829"/>
      <c r="AJ594" s="829"/>
      <c r="AK594" s="829"/>
      <c r="AL594" s="829"/>
      <c r="AM594" s="829"/>
      <c r="AN594" s="829"/>
    </row>
    <row r="595" spans="1:40" ht="12.75" x14ac:dyDescent="0.2">
      <c r="A595" s="829"/>
      <c r="B595" s="829"/>
      <c r="C595" s="829"/>
      <c r="D595" s="829"/>
      <c r="E595" s="829"/>
      <c r="F595" s="829"/>
      <c r="G595" s="829"/>
      <c r="H595" s="829"/>
      <c r="I595" s="829"/>
      <c r="J595" s="829"/>
      <c r="K595" s="829"/>
      <c r="L595" s="829"/>
      <c r="M595" s="829"/>
      <c r="N595" s="829"/>
      <c r="O595" s="829"/>
      <c r="P595" s="829"/>
      <c r="Q595" s="829"/>
      <c r="R595" s="829"/>
      <c r="S595" s="829"/>
      <c r="T595" s="829"/>
      <c r="U595" s="829"/>
      <c r="V595" s="829"/>
      <c r="W595" s="829"/>
      <c r="X595" s="829"/>
      <c r="Y595" s="829"/>
      <c r="Z595" s="829"/>
      <c r="AA595" s="829"/>
      <c r="AB595" s="829"/>
      <c r="AC595" s="829"/>
      <c r="AD595" s="829"/>
      <c r="AE595" s="829"/>
      <c r="AF595" s="829"/>
      <c r="AG595" s="829"/>
      <c r="AH595" s="829"/>
      <c r="AI595" s="829"/>
      <c r="AJ595" s="829"/>
      <c r="AK595" s="829"/>
      <c r="AL595" s="829"/>
      <c r="AM595" s="829"/>
      <c r="AN595" s="829"/>
    </row>
    <row r="596" spans="1:40" ht="12.75" x14ac:dyDescent="0.2">
      <c r="A596" s="829"/>
      <c r="B596" s="829"/>
      <c r="C596" s="829"/>
      <c r="D596" s="829"/>
      <c r="E596" s="829"/>
      <c r="F596" s="829"/>
      <c r="G596" s="829"/>
      <c r="H596" s="829"/>
      <c r="I596" s="829"/>
      <c r="J596" s="829"/>
      <c r="K596" s="829"/>
      <c r="L596" s="829"/>
      <c r="M596" s="829"/>
      <c r="N596" s="829"/>
      <c r="O596" s="829"/>
      <c r="P596" s="829"/>
      <c r="Q596" s="829"/>
      <c r="R596" s="829"/>
      <c r="S596" s="829"/>
      <c r="T596" s="829"/>
      <c r="U596" s="829"/>
      <c r="V596" s="829"/>
      <c r="W596" s="829"/>
      <c r="X596" s="829"/>
      <c r="Y596" s="829"/>
      <c r="Z596" s="829"/>
      <c r="AA596" s="829"/>
      <c r="AB596" s="829"/>
      <c r="AC596" s="829"/>
      <c r="AD596" s="829"/>
      <c r="AE596" s="829"/>
      <c r="AF596" s="829"/>
      <c r="AG596" s="829"/>
      <c r="AH596" s="829"/>
      <c r="AI596" s="829"/>
      <c r="AJ596" s="829"/>
      <c r="AK596" s="829"/>
      <c r="AL596" s="829"/>
      <c r="AM596" s="829"/>
      <c r="AN596" s="829"/>
    </row>
    <row r="597" spans="1:40" ht="12.75" x14ac:dyDescent="0.2">
      <c r="A597" s="829"/>
      <c r="B597" s="829"/>
      <c r="C597" s="829"/>
      <c r="D597" s="829"/>
      <c r="E597" s="829"/>
      <c r="F597" s="829"/>
      <c r="G597" s="829"/>
      <c r="H597" s="829"/>
      <c r="I597" s="829"/>
      <c r="J597" s="829"/>
      <c r="K597" s="829"/>
      <c r="L597" s="829"/>
      <c r="M597" s="829"/>
      <c r="N597" s="829"/>
      <c r="O597" s="829"/>
      <c r="P597" s="829"/>
      <c r="Q597" s="829"/>
      <c r="R597" s="829"/>
      <c r="S597" s="829"/>
      <c r="T597" s="829"/>
      <c r="U597" s="829"/>
      <c r="V597" s="829"/>
      <c r="W597" s="829"/>
      <c r="X597" s="829"/>
      <c r="Y597" s="829"/>
      <c r="Z597" s="829"/>
      <c r="AA597" s="829"/>
      <c r="AB597" s="829"/>
      <c r="AC597" s="829"/>
      <c r="AD597" s="829"/>
      <c r="AE597" s="829"/>
      <c r="AF597" s="829"/>
      <c r="AG597" s="829"/>
      <c r="AH597" s="829"/>
      <c r="AI597" s="829"/>
      <c r="AJ597" s="829"/>
      <c r="AK597" s="829"/>
      <c r="AL597" s="829"/>
      <c r="AM597" s="829"/>
      <c r="AN597" s="829"/>
    </row>
    <row r="598" spans="1:40" ht="12.75" x14ac:dyDescent="0.2">
      <c r="A598" s="829"/>
      <c r="B598" s="829"/>
      <c r="C598" s="829"/>
      <c r="D598" s="829"/>
      <c r="E598" s="829"/>
      <c r="F598" s="829"/>
      <c r="G598" s="829"/>
      <c r="H598" s="829"/>
      <c r="I598" s="829"/>
      <c r="J598" s="829"/>
      <c r="K598" s="829"/>
      <c r="L598" s="829"/>
      <c r="M598" s="829"/>
      <c r="N598" s="829"/>
      <c r="O598" s="829"/>
      <c r="P598" s="829"/>
      <c r="Q598" s="829"/>
      <c r="R598" s="829"/>
      <c r="S598" s="829"/>
      <c r="T598" s="829"/>
      <c r="U598" s="829"/>
      <c r="V598" s="829"/>
      <c r="W598" s="829"/>
      <c r="X598" s="829"/>
      <c r="Y598" s="829"/>
      <c r="Z598" s="829"/>
      <c r="AA598" s="829"/>
      <c r="AB598" s="829"/>
      <c r="AC598" s="829"/>
      <c r="AD598" s="829"/>
      <c r="AE598" s="829"/>
      <c r="AF598" s="829"/>
      <c r="AG598" s="829"/>
      <c r="AH598" s="829"/>
      <c r="AI598" s="829"/>
      <c r="AJ598" s="829"/>
      <c r="AK598" s="829"/>
      <c r="AL598" s="829"/>
      <c r="AM598" s="829"/>
      <c r="AN598" s="829"/>
    </row>
    <row r="599" spans="1:40" ht="12.75" x14ac:dyDescent="0.2">
      <c r="A599" s="829"/>
      <c r="B599" s="829"/>
      <c r="C599" s="829"/>
      <c r="D599" s="829"/>
      <c r="E599" s="829"/>
      <c r="F599" s="829"/>
      <c r="G599" s="829"/>
      <c r="H599" s="829"/>
      <c r="I599" s="829"/>
      <c r="J599" s="829"/>
      <c r="K599" s="829"/>
      <c r="L599" s="829"/>
      <c r="M599" s="829"/>
      <c r="N599" s="829"/>
      <c r="O599" s="829"/>
      <c r="P599" s="829"/>
      <c r="Q599" s="829"/>
      <c r="R599" s="829"/>
      <c r="S599" s="829"/>
      <c r="T599" s="829"/>
      <c r="U599" s="829"/>
      <c r="V599" s="829"/>
      <c r="W599" s="829"/>
      <c r="X599" s="829"/>
      <c r="Y599" s="829"/>
      <c r="Z599" s="829"/>
      <c r="AA599" s="829"/>
      <c r="AB599" s="829"/>
      <c r="AC599" s="829"/>
      <c r="AD599" s="829"/>
      <c r="AE599" s="829"/>
      <c r="AF599" s="829"/>
      <c r="AG599" s="829"/>
      <c r="AH599" s="829"/>
      <c r="AI599" s="829"/>
      <c r="AJ599" s="829"/>
      <c r="AK599" s="829"/>
      <c r="AL599" s="829"/>
      <c r="AM599" s="829"/>
      <c r="AN599" s="829"/>
    </row>
    <row r="600" spans="1:40" ht="12.75" x14ac:dyDescent="0.2">
      <c r="A600" s="829"/>
      <c r="B600" s="829"/>
      <c r="C600" s="829"/>
      <c r="D600" s="829"/>
      <c r="E600" s="829"/>
      <c r="F600" s="829"/>
      <c r="G600" s="829"/>
      <c r="H600" s="829"/>
      <c r="I600" s="829"/>
      <c r="J600" s="829"/>
      <c r="K600" s="829"/>
      <c r="L600" s="829"/>
      <c r="M600" s="829"/>
      <c r="N600" s="829"/>
      <c r="O600" s="829"/>
      <c r="P600" s="829"/>
      <c r="Q600" s="829"/>
      <c r="R600" s="829"/>
      <c r="S600" s="829"/>
      <c r="T600" s="829"/>
      <c r="U600" s="829"/>
      <c r="V600" s="829"/>
      <c r="W600" s="829"/>
      <c r="X600" s="829"/>
      <c r="Y600" s="829"/>
      <c r="Z600" s="829"/>
      <c r="AA600" s="829"/>
      <c r="AB600" s="829"/>
      <c r="AC600" s="829"/>
      <c r="AD600" s="829"/>
      <c r="AE600" s="829"/>
      <c r="AF600" s="829"/>
      <c r="AG600" s="829"/>
      <c r="AH600" s="829"/>
      <c r="AI600" s="829"/>
      <c r="AJ600" s="829"/>
      <c r="AK600" s="829"/>
      <c r="AL600" s="829"/>
      <c r="AM600" s="829"/>
      <c r="AN600" s="829"/>
    </row>
    <row r="601" spans="1:40" ht="12.75" x14ac:dyDescent="0.2">
      <c r="A601" s="829"/>
      <c r="B601" s="829"/>
      <c r="C601" s="829"/>
      <c r="D601" s="829"/>
      <c r="E601" s="829"/>
      <c r="F601" s="829"/>
      <c r="G601" s="829"/>
      <c r="H601" s="829"/>
      <c r="I601" s="829"/>
      <c r="J601" s="829"/>
      <c r="K601" s="829"/>
      <c r="L601" s="829"/>
      <c r="M601" s="829"/>
      <c r="N601" s="829"/>
      <c r="O601" s="829"/>
      <c r="P601" s="829"/>
      <c r="Q601" s="829"/>
      <c r="R601" s="829"/>
      <c r="S601" s="829"/>
      <c r="T601" s="829"/>
      <c r="U601" s="829"/>
      <c r="V601" s="829"/>
      <c r="W601" s="829"/>
      <c r="X601" s="829"/>
      <c r="Y601" s="829"/>
      <c r="Z601" s="829"/>
      <c r="AA601" s="829"/>
      <c r="AB601" s="829"/>
      <c r="AC601" s="829"/>
      <c r="AD601" s="829"/>
      <c r="AE601" s="829"/>
      <c r="AF601" s="829"/>
      <c r="AG601" s="829"/>
      <c r="AH601" s="829"/>
      <c r="AI601" s="829"/>
      <c r="AJ601" s="829"/>
      <c r="AK601" s="829"/>
      <c r="AL601" s="829"/>
      <c r="AM601" s="829"/>
      <c r="AN601" s="829"/>
    </row>
    <row r="602" spans="1:40" ht="12.75" x14ac:dyDescent="0.2">
      <c r="A602" s="829"/>
      <c r="B602" s="829"/>
      <c r="C602" s="829"/>
      <c r="D602" s="829"/>
      <c r="E602" s="829"/>
      <c r="F602" s="829"/>
      <c r="G602" s="829"/>
      <c r="H602" s="829"/>
      <c r="I602" s="829"/>
      <c r="J602" s="829"/>
      <c r="K602" s="829"/>
      <c r="L602" s="829"/>
      <c r="M602" s="829"/>
      <c r="N602" s="829"/>
      <c r="O602" s="829"/>
      <c r="P602" s="829"/>
      <c r="Q602" s="829"/>
      <c r="R602" s="829"/>
      <c r="S602" s="829"/>
      <c r="T602" s="829"/>
      <c r="U602" s="829"/>
      <c r="V602" s="829"/>
      <c r="W602" s="829"/>
      <c r="X602" s="829"/>
      <c r="Y602" s="829"/>
      <c r="Z602" s="829"/>
      <c r="AA602" s="829"/>
      <c r="AB602" s="829"/>
      <c r="AC602" s="829"/>
      <c r="AD602" s="829"/>
      <c r="AE602" s="829"/>
      <c r="AF602" s="829"/>
      <c r="AG602" s="829"/>
      <c r="AH602" s="829"/>
      <c r="AI602" s="829"/>
      <c r="AJ602" s="829"/>
      <c r="AK602" s="829"/>
      <c r="AL602" s="829"/>
      <c r="AM602" s="829"/>
      <c r="AN602" s="829"/>
    </row>
    <row r="603" spans="1:40" ht="12.75" x14ac:dyDescent="0.2">
      <c r="A603" s="829"/>
      <c r="B603" s="829"/>
      <c r="C603" s="829"/>
      <c r="D603" s="829"/>
      <c r="E603" s="829"/>
      <c r="F603" s="829"/>
      <c r="G603" s="829"/>
      <c r="H603" s="829"/>
      <c r="I603" s="829"/>
      <c r="J603" s="829"/>
      <c r="K603" s="829"/>
      <c r="L603" s="829"/>
      <c r="M603" s="829"/>
      <c r="N603" s="829"/>
      <c r="O603" s="829"/>
      <c r="P603" s="829"/>
      <c r="Q603" s="829"/>
      <c r="R603" s="829"/>
      <c r="S603" s="829"/>
      <c r="T603" s="829"/>
      <c r="U603" s="829"/>
      <c r="V603" s="829"/>
      <c r="W603" s="829"/>
      <c r="X603" s="829"/>
      <c r="Y603" s="829"/>
      <c r="Z603" s="829"/>
      <c r="AA603" s="829"/>
      <c r="AB603" s="829"/>
      <c r="AC603" s="829"/>
      <c r="AD603" s="829"/>
      <c r="AE603" s="829"/>
      <c r="AF603" s="829"/>
      <c r="AG603" s="829"/>
      <c r="AH603" s="829"/>
      <c r="AI603" s="829"/>
      <c r="AJ603" s="829"/>
      <c r="AK603" s="829"/>
      <c r="AL603" s="829"/>
      <c r="AM603" s="829"/>
      <c r="AN603" s="829"/>
    </row>
    <row r="604" spans="1:40" ht="12.75" x14ac:dyDescent="0.2">
      <c r="A604" s="829"/>
      <c r="B604" s="829"/>
      <c r="C604" s="829"/>
      <c r="D604" s="829"/>
      <c r="E604" s="829"/>
      <c r="F604" s="829"/>
      <c r="G604" s="829"/>
      <c r="H604" s="829"/>
      <c r="I604" s="829"/>
      <c r="J604" s="829"/>
      <c r="K604" s="829"/>
      <c r="L604" s="829"/>
      <c r="M604" s="829"/>
      <c r="N604" s="829"/>
      <c r="O604" s="829"/>
      <c r="P604" s="829"/>
      <c r="Q604" s="829"/>
      <c r="R604" s="829"/>
      <c r="S604" s="829"/>
      <c r="T604" s="829"/>
      <c r="U604" s="829"/>
      <c r="V604" s="829"/>
      <c r="W604" s="829"/>
      <c r="X604" s="829"/>
      <c r="Y604" s="829"/>
      <c r="Z604" s="829"/>
      <c r="AA604" s="829"/>
      <c r="AB604" s="829"/>
      <c r="AC604" s="829"/>
      <c r="AD604" s="829"/>
      <c r="AE604" s="829"/>
      <c r="AF604" s="829"/>
      <c r="AG604" s="829"/>
      <c r="AH604" s="829"/>
      <c r="AI604" s="829"/>
      <c r="AJ604" s="829"/>
      <c r="AK604" s="829"/>
      <c r="AL604" s="829"/>
      <c r="AM604" s="829"/>
      <c r="AN604" s="829"/>
    </row>
    <row r="605" spans="1:40" ht="12.75" x14ac:dyDescent="0.2">
      <c r="A605" s="829"/>
      <c r="B605" s="829"/>
      <c r="C605" s="829"/>
      <c r="D605" s="829"/>
      <c r="E605" s="829"/>
      <c r="F605" s="829"/>
      <c r="G605" s="829"/>
      <c r="H605" s="829"/>
      <c r="I605" s="829"/>
      <c r="J605" s="829"/>
      <c r="K605" s="829"/>
      <c r="L605" s="829"/>
      <c r="M605" s="829"/>
      <c r="N605" s="829"/>
      <c r="O605" s="829"/>
      <c r="P605" s="829"/>
      <c r="Q605" s="829"/>
      <c r="R605" s="829"/>
      <c r="S605" s="829"/>
      <c r="T605" s="829"/>
      <c r="U605" s="829"/>
      <c r="V605" s="829"/>
      <c r="W605" s="829"/>
      <c r="X605" s="829"/>
      <c r="Y605" s="829"/>
      <c r="Z605" s="829"/>
      <c r="AA605" s="829"/>
      <c r="AB605" s="829"/>
      <c r="AC605" s="829"/>
      <c r="AD605" s="829"/>
      <c r="AE605" s="829"/>
      <c r="AF605" s="829"/>
      <c r="AG605" s="829"/>
      <c r="AH605" s="829"/>
      <c r="AI605" s="829"/>
      <c r="AJ605" s="829"/>
      <c r="AK605" s="829"/>
      <c r="AL605" s="829"/>
      <c r="AM605" s="829"/>
      <c r="AN605" s="829"/>
    </row>
    <row r="606" spans="1:40" ht="12.75" x14ac:dyDescent="0.2">
      <c r="A606" s="829"/>
      <c r="B606" s="829"/>
      <c r="C606" s="829"/>
      <c r="D606" s="829"/>
      <c r="E606" s="829"/>
      <c r="F606" s="829"/>
      <c r="G606" s="829"/>
      <c r="H606" s="829"/>
      <c r="I606" s="829"/>
      <c r="J606" s="829"/>
      <c r="K606" s="829"/>
      <c r="L606" s="829"/>
      <c r="M606" s="829"/>
      <c r="N606" s="829"/>
      <c r="O606" s="829"/>
      <c r="P606" s="829"/>
      <c r="Q606" s="829"/>
      <c r="R606" s="829"/>
      <c r="S606" s="829"/>
      <c r="T606" s="829"/>
      <c r="U606" s="829"/>
      <c r="V606" s="829"/>
      <c r="W606" s="829"/>
      <c r="X606" s="829"/>
      <c r="Y606" s="829"/>
      <c r="Z606" s="829"/>
      <c r="AA606" s="829"/>
      <c r="AB606" s="829"/>
      <c r="AC606" s="829"/>
      <c r="AD606" s="829"/>
      <c r="AE606" s="829"/>
      <c r="AF606" s="829"/>
      <c r="AG606" s="829"/>
      <c r="AH606" s="829"/>
      <c r="AI606" s="829"/>
      <c r="AJ606" s="829"/>
      <c r="AK606" s="829"/>
      <c r="AL606" s="829"/>
      <c r="AM606" s="829"/>
      <c r="AN606" s="829"/>
    </row>
    <row r="607" spans="1:40" ht="12.75" x14ac:dyDescent="0.2">
      <c r="A607" s="829"/>
      <c r="B607" s="829"/>
      <c r="C607" s="829"/>
      <c r="D607" s="829"/>
      <c r="E607" s="829"/>
      <c r="F607" s="829"/>
      <c r="G607" s="829"/>
      <c r="H607" s="829"/>
      <c r="I607" s="829"/>
      <c r="J607" s="829"/>
      <c r="K607" s="829"/>
      <c r="L607" s="829"/>
      <c r="M607" s="829"/>
      <c r="N607" s="829"/>
      <c r="O607" s="829"/>
      <c r="P607" s="829"/>
      <c r="Q607" s="829"/>
      <c r="R607" s="829"/>
      <c r="S607" s="829"/>
      <c r="T607" s="829"/>
      <c r="U607" s="829"/>
      <c r="V607" s="829"/>
      <c r="W607" s="829"/>
      <c r="X607" s="829"/>
      <c r="Y607" s="829"/>
      <c r="Z607" s="829"/>
      <c r="AA607" s="829"/>
      <c r="AB607" s="829"/>
      <c r="AC607" s="829"/>
      <c r="AD607" s="829"/>
      <c r="AE607" s="829"/>
      <c r="AF607" s="829"/>
      <c r="AG607" s="829"/>
      <c r="AH607" s="829"/>
      <c r="AI607" s="829"/>
      <c r="AJ607" s="829"/>
      <c r="AK607" s="829"/>
      <c r="AL607" s="829"/>
      <c r="AM607" s="829"/>
      <c r="AN607" s="829"/>
    </row>
    <row r="608" spans="1:40" ht="12.75" x14ac:dyDescent="0.2">
      <c r="A608" s="829"/>
      <c r="B608" s="829"/>
      <c r="C608" s="829"/>
      <c r="D608" s="829"/>
      <c r="E608" s="829"/>
      <c r="F608" s="829"/>
      <c r="G608" s="829"/>
      <c r="H608" s="829"/>
      <c r="I608" s="829"/>
      <c r="J608" s="829"/>
      <c r="K608" s="829"/>
      <c r="L608" s="829"/>
      <c r="M608" s="829"/>
      <c r="N608" s="829"/>
      <c r="O608" s="829"/>
      <c r="P608" s="829"/>
      <c r="Q608" s="829"/>
      <c r="R608" s="829"/>
      <c r="S608" s="829"/>
      <c r="T608" s="829"/>
      <c r="U608" s="829"/>
      <c r="V608" s="829"/>
      <c r="W608" s="829"/>
      <c r="X608" s="829"/>
      <c r="Y608" s="829"/>
      <c r="Z608" s="829"/>
      <c r="AA608" s="829"/>
      <c r="AB608" s="829"/>
      <c r="AC608" s="829"/>
      <c r="AD608" s="829"/>
      <c r="AE608" s="829"/>
      <c r="AF608" s="829"/>
      <c r="AG608" s="829"/>
      <c r="AH608" s="829"/>
      <c r="AI608" s="829"/>
      <c r="AJ608" s="829"/>
      <c r="AK608" s="829"/>
      <c r="AL608" s="829"/>
      <c r="AM608" s="829"/>
      <c r="AN608" s="829"/>
    </row>
    <row r="609" spans="1:40" ht="12.75" x14ac:dyDescent="0.2">
      <c r="A609" s="829"/>
      <c r="B609" s="829"/>
      <c r="C609" s="829"/>
      <c r="D609" s="829"/>
      <c r="E609" s="829"/>
      <c r="F609" s="829"/>
      <c r="G609" s="829"/>
      <c r="H609" s="829"/>
      <c r="I609" s="829"/>
      <c r="J609" s="829"/>
      <c r="K609" s="829"/>
      <c r="L609" s="829"/>
      <c r="M609" s="829"/>
      <c r="N609" s="829"/>
      <c r="O609" s="829"/>
      <c r="P609" s="829"/>
      <c r="Q609" s="829"/>
      <c r="R609" s="829"/>
      <c r="S609" s="829"/>
      <c r="T609" s="829"/>
      <c r="U609" s="829"/>
      <c r="V609" s="829"/>
      <c r="W609" s="829"/>
      <c r="X609" s="829"/>
      <c r="Y609" s="829"/>
      <c r="Z609" s="829"/>
      <c r="AA609" s="829"/>
      <c r="AB609" s="829"/>
      <c r="AC609" s="829"/>
      <c r="AD609" s="829"/>
      <c r="AE609" s="829"/>
      <c r="AF609" s="829"/>
      <c r="AG609" s="829"/>
      <c r="AH609" s="829"/>
      <c r="AI609" s="829"/>
      <c r="AJ609" s="829"/>
      <c r="AK609" s="829"/>
      <c r="AL609" s="829"/>
      <c r="AM609" s="829"/>
      <c r="AN609" s="829"/>
    </row>
    <row r="610" spans="1:40" ht="12.75" x14ac:dyDescent="0.2">
      <c r="A610" s="829"/>
      <c r="B610" s="829"/>
      <c r="C610" s="829"/>
      <c r="D610" s="829"/>
      <c r="E610" s="829"/>
      <c r="F610" s="829"/>
      <c r="G610" s="829"/>
      <c r="H610" s="829"/>
      <c r="I610" s="829"/>
      <c r="J610" s="829"/>
      <c r="K610" s="829"/>
      <c r="L610" s="829"/>
      <c r="M610" s="829"/>
      <c r="N610" s="829"/>
      <c r="O610" s="829"/>
      <c r="P610" s="829"/>
      <c r="Q610" s="829"/>
      <c r="R610" s="829"/>
      <c r="S610" s="829"/>
      <c r="T610" s="829"/>
      <c r="U610" s="829"/>
      <c r="V610" s="829"/>
      <c r="W610" s="829"/>
      <c r="X610" s="829"/>
      <c r="Y610" s="829"/>
      <c r="Z610" s="829"/>
      <c r="AA610" s="829"/>
      <c r="AB610" s="829"/>
      <c r="AC610" s="829"/>
      <c r="AD610" s="829"/>
      <c r="AE610" s="829"/>
      <c r="AF610" s="829"/>
      <c r="AG610" s="829"/>
      <c r="AH610" s="829"/>
      <c r="AI610" s="829"/>
      <c r="AJ610" s="829"/>
      <c r="AK610" s="829"/>
      <c r="AL610" s="829"/>
      <c r="AM610" s="829"/>
      <c r="AN610" s="829"/>
    </row>
    <row r="611" spans="1:40" ht="12.75" x14ac:dyDescent="0.2">
      <c r="A611" s="829"/>
      <c r="B611" s="829"/>
      <c r="C611" s="829"/>
      <c r="D611" s="829"/>
      <c r="E611" s="829"/>
      <c r="F611" s="829"/>
      <c r="G611" s="829"/>
      <c r="H611" s="829"/>
      <c r="I611" s="829"/>
      <c r="J611" s="829"/>
      <c r="K611" s="829"/>
      <c r="L611" s="829"/>
      <c r="M611" s="829"/>
      <c r="N611" s="829"/>
      <c r="O611" s="829"/>
      <c r="P611" s="829"/>
      <c r="Q611" s="829"/>
      <c r="R611" s="829"/>
      <c r="S611" s="829"/>
      <c r="T611" s="829"/>
      <c r="U611" s="829"/>
      <c r="V611" s="829"/>
      <c r="W611" s="829"/>
      <c r="X611" s="829"/>
      <c r="Y611" s="829"/>
      <c r="Z611" s="829"/>
      <c r="AA611" s="829"/>
      <c r="AB611" s="829"/>
      <c r="AC611" s="829"/>
      <c r="AD611" s="829"/>
      <c r="AE611" s="829"/>
      <c r="AF611" s="829"/>
      <c r="AG611" s="829"/>
      <c r="AH611" s="829"/>
      <c r="AI611" s="829"/>
      <c r="AJ611" s="829"/>
      <c r="AK611" s="829"/>
      <c r="AL611" s="829"/>
      <c r="AM611" s="829"/>
      <c r="AN611" s="829"/>
    </row>
    <row r="612" spans="1:40" ht="12.75" x14ac:dyDescent="0.2">
      <c r="A612" s="829"/>
      <c r="B612" s="829"/>
      <c r="C612" s="829"/>
      <c r="D612" s="829"/>
      <c r="E612" s="829"/>
      <c r="F612" s="829"/>
      <c r="G612" s="829"/>
      <c r="H612" s="829"/>
      <c r="I612" s="829"/>
      <c r="J612" s="829"/>
      <c r="K612" s="829"/>
      <c r="L612" s="829"/>
      <c r="M612" s="829"/>
      <c r="N612" s="829"/>
      <c r="O612" s="829"/>
      <c r="P612" s="829"/>
      <c r="Q612" s="829"/>
      <c r="R612" s="829"/>
      <c r="S612" s="829"/>
      <c r="T612" s="829"/>
      <c r="U612" s="829"/>
      <c r="V612" s="829"/>
      <c r="W612" s="829"/>
      <c r="X612" s="829"/>
      <c r="Y612" s="829"/>
      <c r="Z612" s="829"/>
      <c r="AA612" s="829"/>
      <c r="AB612" s="829"/>
      <c r="AC612" s="829"/>
      <c r="AD612" s="829"/>
      <c r="AE612" s="829"/>
      <c r="AF612" s="829"/>
      <c r="AG612" s="829"/>
      <c r="AH612" s="829"/>
      <c r="AI612" s="829"/>
      <c r="AJ612" s="829"/>
      <c r="AK612" s="829"/>
      <c r="AL612" s="829"/>
      <c r="AM612" s="829"/>
      <c r="AN612" s="829"/>
    </row>
    <row r="613" spans="1:40" ht="12.75" x14ac:dyDescent="0.2">
      <c r="A613" s="829"/>
      <c r="B613" s="829"/>
      <c r="C613" s="829"/>
      <c r="D613" s="829"/>
      <c r="E613" s="829"/>
      <c r="F613" s="829"/>
      <c r="G613" s="829"/>
      <c r="H613" s="829"/>
      <c r="I613" s="829"/>
      <c r="J613" s="829"/>
      <c r="K613" s="829"/>
      <c r="L613" s="829"/>
      <c r="M613" s="829"/>
      <c r="N613" s="829"/>
      <c r="O613" s="829"/>
      <c r="P613" s="829"/>
      <c r="Q613" s="829"/>
      <c r="R613" s="829"/>
      <c r="S613" s="829"/>
      <c r="T613" s="829"/>
      <c r="U613" s="829"/>
      <c r="V613" s="829"/>
      <c r="W613" s="829"/>
      <c r="X613" s="829"/>
      <c r="Y613" s="829"/>
      <c r="Z613" s="829"/>
      <c r="AA613" s="829"/>
      <c r="AB613" s="829"/>
      <c r="AC613" s="829"/>
      <c r="AD613" s="829"/>
      <c r="AE613" s="829"/>
      <c r="AF613" s="829"/>
      <c r="AG613" s="829"/>
      <c r="AH613" s="829"/>
      <c r="AI613" s="829"/>
      <c r="AJ613" s="829"/>
      <c r="AK613" s="829"/>
      <c r="AL613" s="829"/>
      <c r="AM613" s="829"/>
      <c r="AN613" s="829"/>
    </row>
    <row r="614" spans="1:40" ht="12.75" x14ac:dyDescent="0.2">
      <c r="A614" s="829"/>
      <c r="B614" s="829"/>
      <c r="C614" s="829"/>
      <c r="D614" s="829"/>
      <c r="E614" s="829"/>
      <c r="F614" s="829"/>
      <c r="G614" s="829"/>
      <c r="H614" s="829"/>
      <c r="I614" s="829"/>
      <c r="J614" s="829"/>
      <c r="K614" s="829"/>
      <c r="L614" s="829"/>
      <c r="M614" s="829"/>
      <c r="N614" s="829"/>
      <c r="O614" s="829"/>
      <c r="P614" s="829"/>
      <c r="Q614" s="829"/>
      <c r="R614" s="829"/>
      <c r="S614" s="829"/>
      <c r="T614" s="829"/>
      <c r="U614" s="829"/>
      <c r="V614" s="829"/>
      <c r="W614" s="829"/>
      <c r="X614" s="829"/>
      <c r="Y614" s="829"/>
      <c r="Z614" s="829"/>
      <c r="AA614" s="829"/>
      <c r="AB614" s="829"/>
      <c r="AC614" s="829"/>
      <c r="AD614" s="829"/>
      <c r="AE614" s="829"/>
      <c r="AF614" s="829"/>
      <c r="AG614" s="829"/>
      <c r="AH614" s="829"/>
      <c r="AI614" s="829"/>
      <c r="AJ614" s="829"/>
      <c r="AK614" s="829"/>
      <c r="AL614" s="829"/>
      <c r="AM614" s="829"/>
      <c r="AN614" s="829"/>
    </row>
    <row r="615" spans="1:40" ht="12.75" x14ac:dyDescent="0.2">
      <c r="A615" s="829"/>
      <c r="B615" s="829"/>
      <c r="C615" s="829"/>
      <c r="D615" s="829"/>
      <c r="E615" s="829"/>
      <c r="F615" s="829"/>
      <c r="G615" s="829"/>
      <c r="H615" s="829"/>
      <c r="I615" s="829"/>
      <c r="J615" s="829"/>
      <c r="K615" s="829"/>
      <c r="L615" s="829"/>
      <c r="M615" s="829"/>
      <c r="N615" s="829"/>
      <c r="O615" s="829"/>
      <c r="P615" s="829"/>
      <c r="Q615" s="829"/>
      <c r="R615" s="829"/>
      <c r="S615" s="829"/>
      <c r="T615" s="829"/>
      <c r="U615" s="829"/>
      <c r="V615" s="829"/>
      <c r="W615" s="829"/>
      <c r="X615" s="829"/>
      <c r="Y615" s="829"/>
      <c r="Z615" s="829"/>
      <c r="AA615" s="829"/>
      <c r="AB615" s="829"/>
      <c r="AC615" s="829"/>
      <c r="AD615" s="829"/>
      <c r="AE615" s="829"/>
      <c r="AF615" s="829"/>
      <c r="AG615" s="829"/>
      <c r="AH615" s="829"/>
      <c r="AI615" s="829"/>
      <c r="AJ615" s="829"/>
      <c r="AK615" s="829"/>
      <c r="AL615" s="829"/>
      <c r="AM615" s="829"/>
      <c r="AN615" s="829"/>
    </row>
    <row r="616" spans="1:40" ht="12.75" x14ac:dyDescent="0.2">
      <c r="A616" s="829"/>
      <c r="B616" s="829"/>
      <c r="C616" s="829"/>
      <c r="D616" s="829"/>
      <c r="E616" s="829"/>
      <c r="F616" s="829"/>
      <c r="G616" s="829"/>
      <c r="H616" s="829"/>
      <c r="I616" s="829"/>
      <c r="J616" s="829"/>
      <c r="K616" s="829"/>
      <c r="L616" s="829"/>
      <c r="M616" s="829"/>
      <c r="N616" s="829"/>
      <c r="O616" s="829"/>
      <c r="P616" s="829"/>
      <c r="Q616" s="829"/>
      <c r="R616" s="829"/>
      <c r="S616" s="829"/>
      <c r="T616" s="829"/>
      <c r="U616" s="829"/>
      <c r="V616" s="829"/>
      <c r="W616" s="829"/>
      <c r="X616" s="829"/>
      <c r="Y616" s="829"/>
      <c r="Z616" s="829"/>
      <c r="AA616" s="829"/>
      <c r="AB616" s="829"/>
      <c r="AC616" s="829"/>
      <c r="AD616" s="829"/>
      <c r="AE616" s="829"/>
      <c r="AF616" s="829"/>
      <c r="AG616" s="829"/>
      <c r="AH616" s="829"/>
      <c r="AI616" s="829"/>
      <c r="AJ616" s="829"/>
      <c r="AK616" s="829"/>
      <c r="AL616" s="829"/>
      <c r="AM616" s="829"/>
      <c r="AN616" s="829"/>
    </row>
    <row r="617" spans="1:40" ht="12.75" x14ac:dyDescent="0.2">
      <c r="A617" s="829"/>
      <c r="B617" s="829"/>
      <c r="C617" s="829"/>
      <c r="D617" s="829"/>
      <c r="E617" s="829"/>
      <c r="F617" s="829"/>
      <c r="G617" s="829"/>
      <c r="H617" s="829"/>
      <c r="I617" s="829"/>
      <c r="J617" s="829"/>
      <c r="K617" s="829"/>
      <c r="L617" s="829"/>
      <c r="M617" s="829"/>
      <c r="N617" s="829"/>
      <c r="O617" s="829"/>
      <c r="P617" s="829"/>
      <c r="Q617" s="829"/>
      <c r="R617" s="829"/>
      <c r="S617" s="829"/>
      <c r="T617" s="829"/>
      <c r="U617" s="829"/>
      <c r="V617" s="829"/>
      <c r="W617" s="829"/>
      <c r="X617" s="829"/>
      <c r="Y617" s="829"/>
      <c r="Z617" s="829"/>
      <c r="AA617" s="829"/>
      <c r="AB617" s="829"/>
      <c r="AC617" s="829"/>
      <c r="AD617" s="829"/>
      <c r="AE617" s="829"/>
      <c r="AF617" s="829"/>
      <c r="AG617" s="829"/>
      <c r="AH617" s="829"/>
      <c r="AI617" s="829"/>
      <c r="AJ617" s="829"/>
      <c r="AK617" s="829"/>
      <c r="AL617" s="829"/>
      <c r="AM617" s="829"/>
      <c r="AN617" s="829"/>
    </row>
    <row r="618" spans="1:40" ht="12.75" x14ac:dyDescent="0.2">
      <c r="A618" s="829"/>
      <c r="B618" s="829"/>
      <c r="C618" s="829"/>
      <c r="D618" s="829"/>
      <c r="E618" s="829"/>
      <c r="F618" s="829"/>
      <c r="G618" s="829"/>
      <c r="H618" s="829"/>
      <c r="I618" s="829"/>
      <c r="J618" s="829"/>
      <c r="K618" s="829"/>
      <c r="L618" s="829"/>
      <c r="M618" s="829"/>
      <c r="N618" s="829"/>
      <c r="O618" s="829"/>
      <c r="P618" s="829"/>
      <c r="Q618" s="829"/>
      <c r="R618" s="829"/>
      <c r="S618" s="829"/>
      <c r="T618" s="829"/>
      <c r="U618" s="829"/>
      <c r="V618" s="829"/>
      <c r="W618" s="829"/>
      <c r="X618" s="829"/>
      <c r="Y618" s="829"/>
      <c r="Z618" s="829"/>
      <c r="AA618" s="829"/>
      <c r="AB618" s="829"/>
      <c r="AC618" s="829"/>
      <c r="AD618" s="829"/>
      <c r="AE618" s="829"/>
      <c r="AF618" s="829"/>
      <c r="AG618" s="829"/>
      <c r="AH618" s="829"/>
      <c r="AI618" s="829"/>
      <c r="AJ618" s="829"/>
      <c r="AK618" s="829"/>
      <c r="AL618" s="829"/>
      <c r="AM618" s="829"/>
      <c r="AN618" s="829"/>
    </row>
    <row r="619" spans="1:40" ht="12.75" x14ac:dyDescent="0.2">
      <c r="A619" s="829"/>
      <c r="B619" s="829"/>
      <c r="C619" s="829"/>
      <c r="D619" s="829"/>
      <c r="E619" s="829"/>
      <c r="F619" s="829"/>
      <c r="G619" s="829"/>
      <c r="H619" s="829"/>
      <c r="I619" s="829"/>
      <c r="J619" s="829"/>
      <c r="K619" s="829"/>
      <c r="L619" s="829"/>
      <c r="M619" s="829"/>
      <c r="N619" s="829"/>
      <c r="O619" s="829"/>
      <c r="P619" s="829"/>
      <c r="Q619" s="829"/>
      <c r="R619" s="829"/>
      <c r="S619" s="829"/>
      <c r="T619" s="829"/>
      <c r="U619" s="829"/>
      <c r="V619" s="829"/>
      <c r="W619" s="829"/>
      <c r="X619" s="829"/>
      <c r="Y619" s="829"/>
      <c r="Z619" s="829"/>
      <c r="AA619" s="829"/>
      <c r="AB619" s="829"/>
      <c r="AC619" s="829"/>
      <c r="AD619" s="829"/>
      <c r="AE619" s="829"/>
      <c r="AF619" s="829"/>
      <c r="AG619" s="829"/>
      <c r="AH619" s="829"/>
      <c r="AI619" s="829"/>
      <c r="AJ619" s="829"/>
      <c r="AK619" s="829"/>
      <c r="AL619" s="829"/>
      <c r="AM619" s="829"/>
      <c r="AN619" s="829"/>
    </row>
    <row r="620" spans="1:40" ht="12.75" x14ac:dyDescent="0.2">
      <c r="A620" s="829"/>
      <c r="B620" s="829"/>
      <c r="C620" s="829"/>
      <c r="D620" s="829"/>
      <c r="E620" s="829"/>
      <c r="F620" s="829"/>
      <c r="G620" s="829"/>
      <c r="H620" s="829"/>
      <c r="I620" s="829"/>
      <c r="J620" s="829"/>
      <c r="K620" s="829"/>
      <c r="L620" s="829"/>
      <c r="M620" s="829"/>
      <c r="N620" s="829"/>
      <c r="O620" s="829"/>
      <c r="P620" s="829"/>
      <c r="Q620" s="829"/>
      <c r="R620" s="829"/>
      <c r="S620" s="829"/>
      <c r="T620" s="829"/>
      <c r="U620" s="829"/>
      <c r="V620" s="829"/>
      <c r="W620" s="829"/>
      <c r="X620" s="829"/>
      <c r="Y620" s="829"/>
      <c r="Z620" s="829"/>
      <c r="AA620" s="829"/>
      <c r="AB620" s="829"/>
      <c r="AC620" s="829"/>
      <c r="AD620" s="829"/>
      <c r="AE620" s="829"/>
      <c r="AF620" s="829"/>
      <c r="AG620" s="829"/>
      <c r="AH620" s="829"/>
      <c r="AI620" s="829"/>
      <c r="AJ620" s="829"/>
      <c r="AK620" s="829"/>
      <c r="AL620" s="829"/>
      <c r="AM620" s="829"/>
      <c r="AN620" s="829"/>
    </row>
    <row r="621" spans="1:40" ht="12.75" x14ac:dyDescent="0.2">
      <c r="A621" s="829"/>
      <c r="B621" s="829"/>
      <c r="C621" s="829"/>
      <c r="D621" s="829"/>
      <c r="E621" s="829"/>
      <c r="F621" s="829"/>
      <c r="G621" s="829"/>
      <c r="H621" s="829"/>
      <c r="I621" s="829"/>
      <c r="J621" s="829"/>
      <c r="K621" s="829"/>
      <c r="L621" s="829"/>
      <c r="M621" s="829"/>
      <c r="N621" s="829"/>
      <c r="O621" s="829"/>
      <c r="P621" s="829"/>
      <c r="Q621" s="829"/>
      <c r="R621" s="829"/>
      <c r="S621" s="829"/>
      <c r="T621" s="829"/>
      <c r="U621" s="829"/>
      <c r="V621" s="829"/>
      <c r="W621" s="829"/>
      <c r="X621" s="829"/>
      <c r="Y621" s="829"/>
      <c r="Z621" s="829"/>
      <c r="AA621" s="829"/>
      <c r="AB621" s="829"/>
      <c r="AC621" s="829"/>
      <c r="AD621" s="829"/>
      <c r="AE621" s="829"/>
      <c r="AF621" s="829"/>
      <c r="AG621" s="829"/>
      <c r="AH621" s="829"/>
      <c r="AI621" s="829"/>
      <c r="AJ621" s="829"/>
      <c r="AK621" s="829"/>
      <c r="AL621" s="829"/>
      <c r="AM621" s="829"/>
      <c r="AN621" s="829"/>
    </row>
    <row r="622" spans="1:40" ht="12.75" x14ac:dyDescent="0.2">
      <c r="A622" s="829"/>
      <c r="B622" s="829"/>
      <c r="C622" s="829"/>
      <c r="D622" s="829"/>
      <c r="E622" s="829"/>
      <c r="F622" s="829"/>
      <c r="G622" s="829"/>
      <c r="H622" s="829"/>
      <c r="I622" s="829"/>
      <c r="J622" s="829"/>
      <c r="K622" s="829"/>
      <c r="L622" s="829"/>
      <c r="M622" s="829"/>
      <c r="N622" s="829"/>
      <c r="O622" s="829"/>
      <c r="P622" s="829"/>
      <c r="Q622" s="829"/>
      <c r="R622" s="829"/>
      <c r="S622" s="829"/>
      <c r="T622" s="829"/>
      <c r="U622" s="829"/>
      <c r="V622" s="829"/>
      <c r="W622" s="829"/>
      <c r="X622" s="829"/>
      <c r="Y622" s="829"/>
      <c r="Z622" s="829"/>
      <c r="AA622" s="829"/>
      <c r="AB622" s="829"/>
      <c r="AC622" s="829"/>
      <c r="AD622" s="829"/>
      <c r="AE622" s="829"/>
      <c r="AF622" s="829"/>
      <c r="AG622" s="829"/>
      <c r="AH622" s="829"/>
      <c r="AI622" s="829"/>
      <c r="AJ622" s="829"/>
      <c r="AK622" s="829"/>
      <c r="AL622" s="829"/>
      <c r="AM622" s="829"/>
      <c r="AN622" s="829"/>
    </row>
    <row r="623" spans="1:40" ht="12.75" x14ac:dyDescent="0.2">
      <c r="A623" s="829"/>
      <c r="B623" s="829"/>
      <c r="C623" s="829"/>
      <c r="D623" s="829"/>
      <c r="E623" s="829"/>
      <c r="F623" s="829"/>
      <c r="G623" s="829"/>
      <c r="H623" s="829"/>
      <c r="I623" s="829"/>
      <c r="J623" s="829"/>
      <c r="K623" s="829"/>
      <c r="L623" s="829"/>
      <c r="M623" s="829"/>
      <c r="N623" s="829"/>
      <c r="O623" s="829"/>
      <c r="P623" s="829"/>
      <c r="Q623" s="829"/>
      <c r="R623" s="829"/>
      <c r="S623" s="829"/>
      <c r="T623" s="829"/>
      <c r="U623" s="829"/>
      <c r="V623" s="829"/>
      <c r="W623" s="829"/>
      <c r="X623" s="829"/>
      <c r="Y623" s="829"/>
      <c r="Z623" s="829"/>
      <c r="AA623" s="829"/>
      <c r="AB623" s="829"/>
      <c r="AC623" s="829"/>
      <c r="AD623" s="829"/>
      <c r="AE623" s="829"/>
      <c r="AF623" s="829"/>
      <c r="AG623" s="829"/>
      <c r="AH623" s="829"/>
      <c r="AI623" s="829"/>
      <c r="AJ623" s="829"/>
      <c r="AK623" s="829"/>
      <c r="AL623" s="829"/>
      <c r="AM623" s="829"/>
      <c r="AN623" s="829"/>
    </row>
    <row r="624" spans="1:40" ht="12.75" x14ac:dyDescent="0.2">
      <c r="A624" s="829"/>
      <c r="B624" s="829"/>
      <c r="C624" s="829"/>
      <c r="D624" s="829"/>
      <c r="E624" s="829"/>
      <c r="F624" s="829"/>
      <c r="G624" s="829"/>
      <c r="H624" s="829"/>
      <c r="I624" s="829"/>
      <c r="J624" s="829"/>
      <c r="K624" s="829"/>
      <c r="L624" s="829"/>
      <c r="M624" s="829"/>
      <c r="N624" s="829"/>
      <c r="O624" s="829"/>
      <c r="P624" s="829"/>
      <c r="Q624" s="829"/>
      <c r="R624" s="829"/>
      <c r="S624" s="829"/>
      <c r="T624" s="829"/>
      <c r="U624" s="829"/>
      <c r="V624" s="829"/>
      <c r="W624" s="829"/>
      <c r="X624" s="829"/>
      <c r="Y624" s="829"/>
      <c r="Z624" s="829"/>
      <c r="AA624" s="829"/>
      <c r="AB624" s="829"/>
      <c r="AC624" s="829"/>
      <c r="AD624" s="829"/>
      <c r="AE624" s="829"/>
      <c r="AF624" s="829"/>
      <c r="AG624" s="829"/>
      <c r="AH624" s="829"/>
      <c r="AI624" s="829"/>
      <c r="AJ624" s="829"/>
      <c r="AK624" s="829"/>
      <c r="AL624" s="829"/>
      <c r="AM624" s="829"/>
      <c r="AN624" s="829"/>
    </row>
    <row r="625" spans="1:40" ht="12.75" x14ac:dyDescent="0.2">
      <c r="A625" s="829"/>
      <c r="B625" s="829"/>
      <c r="C625" s="829"/>
      <c r="D625" s="829"/>
      <c r="E625" s="829"/>
      <c r="F625" s="829"/>
      <c r="G625" s="829"/>
      <c r="H625" s="829"/>
      <c r="I625" s="829"/>
      <c r="J625" s="829"/>
      <c r="K625" s="829"/>
      <c r="L625" s="829"/>
      <c r="M625" s="829"/>
      <c r="N625" s="829"/>
      <c r="O625" s="829"/>
      <c r="P625" s="829"/>
      <c r="Q625" s="829"/>
      <c r="R625" s="829"/>
      <c r="S625" s="829"/>
      <c r="T625" s="829"/>
      <c r="U625" s="829"/>
      <c r="V625" s="829"/>
      <c r="W625" s="829"/>
      <c r="X625" s="829"/>
      <c r="Y625" s="829"/>
      <c r="Z625" s="829"/>
      <c r="AA625" s="829"/>
      <c r="AB625" s="829"/>
      <c r="AC625" s="829"/>
      <c r="AD625" s="829"/>
      <c r="AE625" s="829"/>
      <c r="AF625" s="829"/>
      <c r="AG625" s="829"/>
      <c r="AH625" s="829"/>
      <c r="AI625" s="829"/>
      <c r="AJ625" s="829"/>
      <c r="AK625" s="829"/>
      <c r="AL625" s="829"/>
      <c r="AM625" s="829"/>
      <c r="AN625" s="829"/>
    </row>
    <row r="626" spans="1:40" ht="12.75" x14ac:dyDescent="0.2">
      <c r="A626" s="829"/>
      <c r="B626" s="829"/>
      <c r="C626" s="829"/>
      <c r="D626" s="829"/>
      <c r="E626" s="829"/>
      <c r="F626" s="829"/>
      <c r="G626" s="829"/>
      <c r="H626" s="829"/>
      <c r="I626" s="829"/>
      <c r="J626" s="829"/>
      <c r="K626" s="829"/>
      <c r="L626" s="829"/>
      <c r="M626" s="829"/>
      <c r="N626" s="829"/>
      <c r="O626" s="829"/>
      <c r="P626" s="829"/>
      <c r="Q626" s="829"/>
      <c r="R626" s="829"/>
      <c r="S626" s="829"/>
      <c r="T626" s="829"/>
      <c r="U626" s="829"/>
      <c r="V626" s="829"/>
      <c r="W626" s="829"/>
      <c r="X626" s="829"/>
      <c r="Y626" s="829"/>
      <c r="Z626" s="829"/>
      <c r="AA626" s="829"/>
      <c r="AB626" s="829"/>
      <c r="AC626" s="829"/>
      <c r="AD626" s="829"/>
      <c r="AE626" s="829"/>
      <c r="AF626" s="829"/>
      <c r="AG626" s="829"/>
      <c r="AH626" s="829"/>
      <c r="AI626" s="829"/>
      <c r="AJ626" s="829"/>
      <c r="AK626" s="829"/>
      <c r="AL626" s="829"/>
      <c r="AM626" s="829"/>
      <c r="AN626" s="829"/>
    </row>
    <row r="627" spans="1:40" ht="12.75" x14ac:dyDescent="0.2">
      <c r="A627" s="829"/>
      <c r="B627" s="829"/>
      <c r="C627" s="829"/>
      <c r="D627" s="829"/>
      <c r="E627" s="829"/>
      <c r="F627" s="829"/>
      <c r="G627" s="829"/>
      <c r="H627" s="829"/>
      <c r="I627" s="829"/>
      <c r="J627" s="829"/>
      <c r="K627" s="829"/>
      <c r="L627" s="829"/>
      <c r="M627" s="829"/>
      <c r="N627" s="829"/>
      <c r="O627" s="829"/>
      <c r="P627" s="829"/>
      <c r="Q627" s="829"/>
      <c r="R627" s="829"/>
      <c r="S627" s="829"/>
      <c r="T627" s="829"/>
      <c r="U627" s="829"/>
      <c r="V627" s="829"/>
      <c r="W627" s="829"/>
      <c r="X627" s="829"/>
      <c r="Y627" s="829"/>
      <c r="Z627" s="829"/>
      <c r="AA627" s="829"/>
      <c r="AB627" s="829"/>
      <c r="AC627" s="829"/>
      <c r="AD627" s="829"/>
      <c r="AE627" s="829"/>
      <c r="AF627" s="829"/>
      <c r="AG627" s="829"/>
      <c r="AH627" s="829"/>
      <c r="AI627" s="829"/>
      <c r="AJ627" s="829"/>
      <c r="AK627" s="829"/>
      <c r="AL627" s="829"/>
      <c r="AM627" s="829"/>
      <c r="AN627" s="829"/>
    </row>
    <row r="628" spans="1:40" ht="12.75" x14ac:dyDescent="0.2">
      <c r="A628" s="829"/>
      <c r="B628" s="829"/>
      <c r="C628" s="829"/>
      <c r="D628" s="829"/>
      <c r="E628" s="829"/>
      <c r="F628" s="829"/>
      <c r="G628" s="829"/>
      <c r="H628" s="829"/>
      <c r="I628" s="829"/>
      <c r="J628" s="829"/>
      <c r="K628" s="829"/>
      <c r="L628" s="829"/>
      <c r="M628" s="829"/>
      <c r="N628" s="829"/>
      <c r="O628" s="829"/>
      <c r="P628" s="829"/>
      <c r="Q628" s="829"/>
      <c r="R628" s="829"/>
      <c r="S628" s="829"/>
      <c r="T628" s="829"/>
      <c r="U628" s="829"/>
      <c r="V628" s="829"/>
      <c r="W628" s="829"/>
      <c r="X628" s="829"/>
      <c r="Y628" s="829"/>
      <c r="Z628" s="829"/>
      <c r="AA628" s="829"/>
      <c r="AB628" s="829"/>
      <c r="AC628" s="829"/>
      <c r="AD628" s="829"/>
      <c r="AE628" s="829"/>
      <c r="AF628" s="829"/>
      <c r="AG628" s="829"/>
      <c r="AH628" s="829"/>
      <c r="AI628" s="829"/>
      <c r="AJ628" s="829"/>
      <c r="AK628" s="829"/>
      <c r="AL628" s="829"/>
      <c r="AM628" s="829"/>
      <c r="AN628" s="829"/>
    </row>
    <row r="629" spans="1:40" ht="12.75" x14ac:dyDescent="0.2">
      <c r="A629" s="829"/>
      <c r="B629" s="829"/>
      <c r="C629" s="829"/>
      <c r="D629" s="829"/>
      <c r="E629" s="829"/>
      <c r="F629" s="829"/>
      <c r="G629" s="829"/>
      <c r="H629" s="829"/>
      <c r="I629" s="829"/>
      <c r="J629" s="829"/>
      <c r="K629" s="829"/>
      <c r="L629" s="829"/>
      <c r="M629" s="829"/>
      <c r="N629" s="829"/>
      <c r="O629" s="829"/>
      <c r="P629" s="829"/>
      <c r="Q629" s="829"/>
      <c r="R629" s="829"/>
      <c r="S629" s="829"/>
      <c r="T629" s="829"/>
      <c r="U629" s="829"/>
      <c r="V629" s="829"/>
      <c r="W629" s="829"/>
      <c r="X629" s="829"/>
      <c r="Y629" s="829"/>
      <c r="Z629" s="829"/>
      <c r="AA629" s="829"/>
      <c r="AB629" s="829"/>
      <c r="AC629" s="829"/>
      <c r="AD629" s="829"/>
      <c r="AE629" s="829"/>
      <c r="AF629" s="829"/>
      <c r="AG629" s="829"/>
      <c r="AH629" s="829"/>
      <c r="AI629" s="829"/>
      <c r="AJ629" s="829"/>
      <c r="AK629" s="829"/>
      <c r="AL629" s="829"/>
      <c r="AM629" s="829"/>
      <c r="AN629" s="829"/>
    </row>
    <row r="630" spans="1:40" ht="12.75" x14ac:dyDescent="0.2">
      <c r="A630" s="829"/>
      <c r="B630" s="829"/>
      <c r="C630" s="829"/>
      <c r="D630" s="829"/>
      <c r="E630" s="829"/>
      <c r="F630" s="829"/>
      <c r="G630" s="829"/>
      <c r="H630" s="829"/>
      <c r="I630" s="829"/>
      <c r="J630" s="829"/>
      <c r="K630" s="829"/>
      <c r="L630" s="829"/>
      <c r="M630" s="829"/>
      <c r="N630" s="829"/>
      <c r="O630" s="829"/>
      <c r="P630" s="829"/>
      <c r="Q630" s="829"/>
      <c r="R630" s="829"/>
      <c r="S630" s="829"/>
      <c r="T630" s="829"/>
      <c r="U630" s="829"/>
      <c r="V630" s="829"/>
      <c r="W630" s="829"/>
      <c r="X630" s="829"/>
      <c r="Y630" s="829"/>
      <c r="Z630" s="829"/>
      <c r="AA630" s="829"/>
      <c r="AB630" s="829"/>
      <c r="AC630" s="829"/>
      <c r="AD630" s="829"/>
      <c r="AE630" s="829"/>
      <c r="AF630" s="829"/>
      <c r="AG630" s="829"/>
      <c r="AH630" s="829"/>
      <c r="AI630" s="829"/>
      <c r="AJ630" s="829"/>
      <c r="AK630" s="829"/>
      <c r="AL630" s="829"/>
      <c r="AM630" s="829"/>
      <c r="AN630" s="829"/>
    </row>
    <row r="631" spans="1:40" ht="12.75" x14ac:dyDescent="0.2">
      <c r="A631" s="829"/>
      <c r="B631" s="829"/>
      <c r="C631" s="829"/>
      <c r="D631" s="829"/>
      <c r="E631" s="829"/>
      <c r="F631" s="829"/>
      <c r="G631" s="829"/>
      <c r="H631" s="829"/>
      <c r="I631" s="829"/>
      <c r="J631" s="829"/>
      <c r="K631" s="829"/>
      <c r="L631" s="829"/>
      <c r="M631" s="829"/>
      <c r="N631" s="829"/>
      <c r="O631" s="829"/>
      <c r="P631" s="829"/>
      <c r="Q631" s="829"/>
      <c r="R631" s="829"/>
      <c r="S631" s="829"/>
      <c r="T631" s="829"/>
      <c r="U631" s="829"/>
      <c r="V631" s="829"/>
      <c r="W631" s="829"/>
      <c r="X631" s="829"/>
      <c r="Y631" s="829"/>
      <c r="Z631" s="829"/>
      <c r="AA631" s="829"/>
      <c r="AB631" s="829"/>
      <c r="AC631" s="829"/>
      <c r="AD631" s="829"/>
      <c r="AE631" s="829"/>
      <c r="AF631" s="829"/>
      <c r="AG631" s="829"/>
      <c r="AH631" s="829"/>
      <c r="AI631" s="829"/>
      <c r="AJ631" s="829"/>
      <c r="AK631" s="829"/>
      <c r="AL631" s="829"/>
      <c r="AM631" s="829"/>
      <c r="AN631" s="829"/>
    </row>
    <row r="632" spans="1:40" ht="12.75" x14ac:dyDescent="0.2">
      <c r="A632" s="829"/>
      <c r="B632" s="829"/>
      <c r="C632" s="829"/>
      <c r="D632" s="829"/>
      <c r="E632" s="829"/>
      <c r="F632" s="829"/>
      <c r="G632" s="829"/>
      <c r="H632" s="829"/>
      <c r="I632" s="829"/>
      <c r="J632" s="829"/>
      <c r="K632" s="829"/>
      <c r="L632" s="829"/>
      <c r="M632" s="829"/>
      <c r="N632" s="829"/>
      <c r="O632" s="829"/>
      <c r="P632" s="829"/>
      <c r="Q632" s="829"/>
      <c r="R632" s="829"/>
      <c r="S632" s="829"/>
      <c r="T632" s="829"/>
      <c r="U632" s="829"/>
      <c r="V632" s="829"/>
      <c r="W632" s="829"/>
      <c r="X632" s="829"/>
      <c r="Y632" s="829"/>
      <c r="Z632" s="829"/>
      <c r="AA632" s="829"/>
      <c r="AB632" s="829"/>
      <c r="AC632" s="829"/>
      <c r="AD632" s="829"/>
      <c r="AE632" s="829"/>
      <c r="AF632" s="829"/>
      <c r="AG632" s="829"/>
      <c r="AH632" s="829"/>
      <c r="AI632" s="829"/>
      <c r="AJ632" s="829"/>
      <c r="AK632" s="829"/>
      <c r="AL632" s="829"/>
      <c r="AM632" s="829"/>
      <c r="AN632" s="829"/>
    </row>
    <row r="633" spans="1:40" ht="12.75" x14ac:dyDescent="0.2">
      <c r="A633" s="829"/>
      <c r="B633" s="829"/>
      <c r="C633" s="829"/>
      <c r="D633" s="829"/>
      <c r="E633" s="829"/>
      <c r="F633" s="829"/>
      <c r="G633" s="829"/>
      <c r="H633" s="829"/>
      <c r="I633" s="829"/>
      <c r="J633" s="829"/>
      <c r="K633" s="829"/>
      <c r="L633" s="829"/>
      <c r="M633" s="829"/>
      <c r="N633" s="829"/>
      <c r="O633" s="829"/>
      <c r="P633" s="829"/>
      <c r="Q633" s="829"/>
      <c r="R633" s="829"/>
      <c r="S633" s="829"/>
      <c r="T633" s="829"/>
      <c r="U633" s="829"/>
      <c r="V633" s="829"/>
      <c r="W633" s="829"/>
      <c r="X633" s="829"/>
      <c r="Y633" s="829"/>
      <c r="Z633" s="829"/>
      <c r="AA633" s="829"/>
      <c r="AB633" s="829"/>
      <c r="AC633" s="829"/>
      <c r="AD633" s="829"/>
      <c r="AE633" s="829"/>
      <c r="AF633" s="829"/>
      <c r="AG633" s="829"/>
      <c r="AH633" s="829"/>
      <c r="AI633" s="829"/>
      <c r="AJ633" s="829"/>
      <c r="AK633" s="829"/>
      <c r="AL633" s="829"/>
      <c r="AM633" s="829"/>
      <c r="AN633" s="829"/>
    </row>
    <row r="634" spans="1:40" ht="12.75" x14ac:dyDescent="0.2">
      <c r="A634" s="829"/>
      <c r="B634" s="829"/>
      <c r="C634" s="829"/>
      <c r="D634" s="829"/>
      <c r="E634" s="829"/>
      <c r="F634" s="829"/>
      <c r="G634" s="829"/>
      <c r="H634" s="829"/>
      <c r="I634" s="829"/>
      <c r="J634" s="829"/>
      <c r="K634" s="829"/>
      <c r="L634" s="829"/>
      <c r="M634" s="829"/>
      <c r="N634" s="829"/>
      <c r="O634" s="829"/>
      <c r="P634" s="829"/>
      <c r="Q634" s="829"/>
      <c r="R634" s="829"/>
      <c r="S634" s="829"/>
      <c r="T634" s="829"/>
      <c r="U634" s="829"/>
      <c r="V634" s="829"/>
      <c r="W634" s="829"/>
      <c r="X634" s="829"/>
      <c r="Y634" s="829"/>
      <c r="Z634" s="829"/>
      <c r="AA634" s="829"/>
      <c r="AB634" s="829"/>
      <c r="AC634" s="829"/>
      <c r="AD634" s="829"/>
      <c r="AE634" s="829"/>
      <c r="AF634" s="829"/>
      <c r="AG634" s="829"/>
      <c r="AH634" s="829"/>
      <c r="AI634" s="829"/>
      <c r="AJ634" s="829"/>
      <c r="AK634" s="829"/>
      <c r="AL634" s="829"/>
      <c r="AM634" s="829"/>
      <c r="AN634" s="829"/>
    </row>
    <row r="635" spans="1:40" ht="12.75" x14ac:dyDescent="0.2">
      <c r="A635" s="829"/>
      <c r="B635" s="829"/>
      <c r="C635" s="829"/>
      <c r="D635" s="829"/>
      <c r="E635" s="829"/>
      <c r="F635" s="829"/>
      <c r="G635" s="829"/>
      <c r="H635" s="829"/>
      <c r="I635" s="829"/>
      <c r="J635" s="829"/>
      <c r="K635" s="829"/>
      <c r="L635" s="829"/>
      <c r="M635" s="829"/>
      <c r="N635" s="829"/>
      <c r="O635" s="829"/>
      <c r="P635" s="829"/>
      <c r="Q635" s="829"/>
      <c r="R635" s="829"/>
      <c r="S635" s="829"/>
      <c r="T635" s="829"/>
      <c r="U635" s="829"/>
      <c r="V635" s="829"/>
      <c r="W635" s="829"/>
      <c r="X635" s="829"/>
      <c r="Y635" s="829"/>
      <c r="Z635" s="829"/>
      <c r="AA635" s="829"/>
      <c r="AB635" s="829"/>
      <c r="AC635" s="829"/>
      <c r="AD635" s="829"/>
      <c r="AE635" s="829"/>
      <c r="AF635" s="829"/>
      <c r="AG635" s="829"/>
      <c r="AH635" s="829"/>
      <c r="AI635" s="829"/>
      <c r="AJ635" s="829"/>
      <c r="AK635" s="829"/>
      <c r="AL635" s="829"/>
      <c r="AM635" s="829"/>
      <c r="AN635" s="829"/>
    </row>
    <row r="636" spans="1:40" ht="12.75" x14ac:dyDescent="0.2">
      <c r="A636" s="829"/>
      <c r="B636" s="829"/>
      <c r="C636" s="829"/>
      <c r="D636" s="829"/>
      <c r="E636" s="829"/>
      <c r="F636" s="829"/>
      <c r="G636" s="829"/>
      <c r="H636" s="829"/>
      <c r="I636" s="829"/>
      <c r="J636" s="829"/>
      <c r="K636" s="829"/>
      <c r="L636" s="829"/>
      <c r="M636" s="829"/>
      <c r="N636" s="829"/>
      <c r="O636" s="829"/>
      <c r="P636" s="829"/>
      <c r="Q636" s="829"/>
      <c r="R636" s="829"/>
      <c r="S636" s="829"/>
      <c r="T636" s="829"/>
      <c r="U636" s="829"/>
      <c r="V636" s="829"/>
      <c r="W636" s="829"/>
      <c r="X636" s="829"/>
      <c r="Y636" s="829"/>
      <c r="Z636" s="829"/>
      <c r="AA636" s="829"/>
      <c r="AB636" s="829"/>
      <c r="AC636" s="829"/>
      <c r="AD636" s="829"/>
      <c r="AE636" s="829"/>
      <c r="AF636" s="829"/>
      <c r="AG636" s="829"/>
      <c r="AH636" s="829"/>
      <c r="AI636" s="829"/>
      <c r="AJ636" s="829"/>
      <c r="AK636" s="829"/>
      <c r="AL636" s="829"/>
      <c r="AM636" s="829"/>
      <c r="AN636" s="829"/>
    </row>
    <row r="637" spans="1:40" ht="12.75" x14ac:dyDescent="0.2">
      <c r="A637" s="829"/>
      <c r="B637" s="829"/>
      <c r="C637" s="829"/>
      <c r="D637" s="829"/>
      <c r="E637" s="829"/>
      <c r="F637" s="829"/>
      <c r="G637" s="829"/>
      <c r="H637" s="829"/>
      <c r="I637" s="829"/>
      <c r="J637" s="829"/>
      <c r="K637" s="829"/>
      <c r="L637" s="829"/>
      <c r="M637" s="829"/>
      <c r="N637" s="829"/>
      <c r="O637" s="829"/>
      <c r="P637" s="829"/>
      <c r="Q637" s="829"/>
      <c r="R637" s="829"/>
      <c r="S637" s="829"/>
      <c r="T637" s="829"/>
      <c r="U637" s="829"/>
      <c r="V637" s="829"/>
      <c r="W637" s="829"/>
      <c r="X637" s="829"/>
      <c r="Y637" s="829"/>
      <c r="Z637" s="829"/>
      <c r="AA637" s="829"/>
      <c r="AB637" s="829"/>
      <c r="AC637" s="829"/>
      <c r="AD637" s="829"/>
      <c r="AE637" s="829"/>
      <c r="AF637" s="829"/>
      <c r="AG637" s="829"/>
      <c r="AH637" s="829"/>
      <c r="AI637" s="829"/>
      <c r="AJ637" s="829"/>
      <c r="AK637" s="829"/>
      <c r="AL637" s="829"/>
      <c r="AM637" s="829"/>
      <c r="AN637" s="829"/>
    </row>
    <row r="638" spans="1:40" ht="12.75" x14ac:dyDescent="0.2">
      <c r="A638" s="829"/>
      <c r="B638" s="829"/>
      <c r="C638" s="829"/>
      <c r="D638" s="829"/>
      <c r="E638" s="829"/>
      <c r="F638" s="829"/>
      <c r="G638" s="829"/>
      <c r="H638" s="829"/>
      <c r="I638" s="829"/>
      <c r="J638" s="829"/>
      <c r="K638" s="829"/>
      <c r="L638" s="829"/>
      <c r="M638" s="829"/>
      <c r="N638" s="829"/>
      <c r="O638" s="829"/>
      <c r="P638" s="829"/>
      <c r="Q638" s="829"/>
      <c r="R638" s="829"/>
      <c r="S638" s="829"/>
      <c r="T638" s="829"/>
      <c r="U638" s="829"/>
      <c r="V638" s="829"/>
      <c r="W638" s="829"/>
      <c r="X638" s="829"/>
      <c r="Y638" s="829"/>
      <c r="Z638" s="829"/>
      <c r="AA638" s="829"/>
      <c r="AB638" s="829"/>
      <c r="AC638" s="829"/>
      <c r="AD638" s="829"/>
      <c r="AE638" s="829"/>
      <c r="AF638" s="829"/>
      <c r="AG638" s="829"/>
      <c r="AH638" s="829"/>
      <c r="AI638" s="829"/>
      <c r="AJ638" s="829"/>
      <c r="AK638" s="829"/>
      <c r="AL638" s="829"/>
      <c r="AM638" s="829"/>
      <c r="AN638" s="829"/>
    </row>
    <row r="639" spans="1:40" ht="12.75" x14ac:dyDescent="0.2">
      <c r="A639" s="829"/>
      <c r="B639" s="829"/>
      <c r="C639" s="829"/>
      <c r="D639" s="829"/>
      <c r="E639" s="829"/>
      <c r="F639" s="829"/>
      <c r="G639" s="829"/>
      <c r="H639" s="829"/>
      <c r="I639" s="829"/>
      <c r="J639" s="829"/>
      <c r="K639" s="829"/>
      <c r="L639" s="829"/>
      <c r="M639" s="829"/>
      <c r="N639" s="829"/>
      <c r="O639" s="829"/>
      <c r="P639" s="829"/>
      <c r="Q639" s="829"/>
      <c r="R639" s="829"/>
      <c r="S639" s="829"/>
      <c r="T639" s="829"/>
      <c r="U639" s="829"/>
      <c r="V639" s="829"/>
      <c r="W639" s="829"/>
      <c r="X639" s="829"/>
      <c r="Y639" s="829"/>
      <c r="Z639" s="829"/>
      <c r="AA639" s="829"/>
      <c r="AB639" s="829"/>
      <c r="AC639" s="829"/>
      <c r="AD639" s="829"/>
      <c r="AE639" s="829"/>
      <c r="AF639" s="829"/>
      <c r="AG639" s="829"/>
      <c r="AH639" s="829"/>
      <c r="AI639" s="829"/>
      <c r="AJ639" s="829"/>
      <c r="AK639" s="829"/>
      <c r="AL639" s="829"/>
      <c r="AM639" s="829"/>
      <c r="AN639" s="829"/>
    </row>
    <row r="640" spans="1:40" ht="12.75" x14ac:dyDescent="0.2">
      <c r="A640" s="829"/>
      <c r="B640" s="829"/>
      <c r="C640" s="829"/>
      <c r="D640" s="829"/>
      <c r="E640" s="829"/>
      <c r="F640" s="829"/>
      <c r="G640" s="829"/>
      <c r="H640" s="829"/>
      <c r="I640" s="829"/>
      <c r="J640" s="829"/>
      <c r="K640" s="829"/>
      <c r="L640" s="829"/>
      <c r="M640" s="829"/>
      <c r="N640" s="829"/>
      <c r="O640" s="829"/>
      <c r="P640" s="829"/>
      <c r="Q640" s="829"/>
      <c r="R640" s="829"/>
      <c r="S640" s="829"/>
      <c r="T640" s="829"/>
      <c r="U640" s="829"/>
      <c r="V640" s="829"/>
      <c r="W640" s="829"/>
      <c r="X640" s="829"/>
      <c r="Y640" s="829"/>
      <c r="Z640" s="829"/>
      <c r="AA640" s="829"/>
      <c r="AB640" s="829"/>
      <c r="AC640" s="829"/>
      <c r="AD640" s="829"/>
      <c r="AE640" s="829"/>
      <c r="AF640" s="829"/>
      <c r="AG640" s="829"/>
      <c r="AH640" s="829"/>
      <c r="AI640" s="829"/>
      <c r="AJ640" s="829"/>
      <c r="AK640" s="829"/>
      <c r="AL640" s="829"/>
      <c r="AM640" s="829"/>
      <c r="AN640" s="829"/>
    </row>
    <row r="641" spans="1:40" ht="12.75" x14ac:dyDescent="0.2">
      <c r="A641" s="829"/>
      <c r="B641" s="829"/>
      <c r="C641" s="829"/>
      <c r="D641" s="829"/>
      <c r="E641" s="829"/>
      <c r="F641" s="829"/>
      <c r="G641" s="829"/>
      <c r="H641" s="829"/>
      <c r="I641" s="829"/>
      <c r="J641" s="829"/>
      <c r="K641" s="829"/>
      <c r="L641" s="829"/>
      <c r="M641" s="829"/>
      <c r="N641" s="829"/>
      <c r="O641" s="829"/>
      <c r="P641" s="829"/>
      <c r="Q641" s="829"/>
      <c r="R641" s="829"/>
      <c r="S641" s="829"/>
      <c r="T641" s="829"/>
      <c r="U641" s="829"/>
      <c r="V641" s="829"/>
      <c r="W641" s="829"/>
      <c r="X641" s="829"/>
      <c r="Y641" s="829"/>
      <c r="Z641" s="829"/>
      <c r="AA641" s="829"/>
      <c r="AB641" s="829"/>
      <c r="AC641" s="829"/>
      <c r="AD641" s="829"/>
      <c r="AE641" s="829"/>
      <c r="AF641" s="829"/>
      <c r="AG641" s="829"/>
      <c r="AH641" s="829"/>
      <c r="AI641" s="829"/>
      <c r="AJ641" s="829"/>
      <c r="AK641" s="829"/>
      <c r="AL641" s="829"/>
      <c r="AM641" s="829"/>
      <c r="AN641" s="829"/>
    </row>
    <row r="642" spans="1:40" ht="12.75" x14ac:dyDescent="0.2">
      <c r="A642" s="829"/>
      <c r="B642" s="829"/>
      <c r="C642" s="829"/>
      <c r="D642" s="829"/>
      <c r="E642" s="829"/>
      <c r="F642" s="829"/>
      <c r="G642" s="829"/>
      <c r="H642" s="829"/>
      <c r="I642" s="829"/>
      <c r="J642" s="829"/>
      <c r="K642" s="829"/>
      <c r="L642" s="829"/>
      <c r="M642" s="829"/>
      <c r="N642" s="829"/>
      <c r="O642" s="829"/>
      <c r="P642" s="829"/>
      <c r="Q642" s="829"/>
      <c r="R642" s="829"/>
      <c r="S642" s="829"/>
      <c r="T642" s="829"/>
      <c r="U642" s="829"/>
      <c r="V642" s="829"/>
      <c r="W642" s="829"/>
      <c r="X642" s="829"/>
      <c r="Y642" s="829"/>
      <c r="Z642" s="829"/>
      <c r="AA642" s="829"/>
      <c r="AB642" s="829"/>
      <c r="AC642" s="829"/>
      <c r="AD642" s="829"/>
      <c r="AE642" s="829"/>
      <c r="AF642" s="829"/>
      <c r="AG642" s="829"/>
      <c r="AH642" s="829"/>
      <c r="AI642" s="829"/>
      <c r="AJ642" s="829"/>
      <c r="AK642" s="829"/>
      <c r="AL642" s="829"/>
      <c r="AM642" s="829"/>
      <c r="AN642" s="829"/>
    </row>
    <row r="643" spans="1:40" ht="12.75" x14ac:dyDescent="0.2">
      <c r="A643" s="829"/>
      <c r="B643" s="829"/>
      <c r="C643" s="829"/>
      <c r="D643" s="829"/>
      <c r="E643" s="829"/>
      <c r="F643" s="829"/>
      <c r="G643" s="829"/>
      <c r="H643" s="829"/>
      <c r="I643" s="829"/>
      <c r="J643" s="829"/>
      <c r="K643" s="829"/>
      <c r="L643" s="829"/>
      <c r="M643" s="829"/>
      <c r="N643" s="829"/>
      <c r="O643" s="829"/>
      <c r="P643" s="829"/>
      <c r="Q643" s="829"/>
      <c r="R643" s="829"/>
      <c r="S643" s="829"/>
      <c r="T643" s="829"/>
      <c r="U643" s="829"/>
      <c r="V643" s="829"/>
      <c r="W643" s="829"/>
      <c r="X643" s="829"/>
      <c r="Y643" s="829"/>
      <c r="Z643" s="829"/>
      <c r="AA643" s="829"/>
      <c r="AB643" s="829"/>
      <c r="AC643" s="829"/>
      <c r="AD643" s="829"/>
      <c r="AE643" s="829"/>
      <c r="AF643" s="829"/>
      <c r="AG643" s="829"/>
      <c r="AH643" s="829"/>
      <c r="AI643" s="829"/>
      <c r="AJ643" s="829"/>
      <c r="AK643" s="829"/>
      <c r="AL643" s="829"/>
      <c r="AM643" s="829"/>
      <c r="AN643" s="829"/>
    </row>
    <row r="644" spans="1:40" ht="12.75" x14ac:dyDescent="0.2">
      <c r="A644" s="829"/>
      <c r="B644" s="829"/>
      <c r="C644" s="829"/>
      <c r="D644" s="829"/>
      <c r="E644" s="829"/>
      <c r="F644" s="829"/>
      <c r="G644" s="829"/>
      <c r="H644" s="829"/>
      <c r="I644" s="829"/>
      <c r="J644" s="829"/>
      <c r="K644" s="829"/>
      <c r="L644" s="829"/>
      <c r="M644" s="829"/>
      <c r="N644" s="829"/>
      <c r="O644" s="829"/>
      <c r="P644" s="829"/>
      <c r="Q644" s="829"/>
      <c r="R644" s="829"/>
      <c r="S644" s="829"/>
      <c r="T644" s="829"/>
      <c r="U644" s="829"/>
      <c r="V644" s="829"/>
      <c r="W644" s="829"/>
      <c r="X644" s="829"/>
      <c r="Y644" s="829"/>
      <c r="Z644" s="829"/>
      <c r="AA644" s="829"/>
      <c r="AB644" s="829"/>
      <c r="AC644" s="829"/>
      <c r="AD644" s="829"/>
      <c r="AE644" s="829"/>
      <c r="AF644" s="829"/>
      <c r="AG644" s="829"/>
      <c r="AH644" s="829"/>
      <c r="AI644" s="829"/>
      <c r="AJ644" s="829"/>
      <c r="AK644" s="829"/>
      <c r="AL644" s="829"/>
      <c r="AM644" s="829"/>
      <c r="AN644" s="829"/>
    </row>
    <row r="645" spans="1:40" ht="12.75" x14ac:dyDescent="0.2">
      <c r="A645" s="829"/>
      <c r="B645" s="829"/>
      <c r="C645" s="829"/>
      <c r="D645" s="829"/>
      <c r="E645" s="829"/>
      <c r="F645" s="829"/>
      <c r="G645" s="829"/>
      <c r="H645" s="829"/>
      <c r="I645" s="829"/>
      <c r="J645" s="829"/>
      <c r="K645" s="829"/>
      <c r="L645" s="829"/>
      <c r="M645" s="829"/>
      <c r="N645" s="829"/>
      <c r="O645" s="829"/>
      <c r="P645" s="829"/>
      <c r="Q645" s="829"/>
      <c r="R645" s="829"/>
      <c r="S645" s="829"/>
      <c r="T645" s="829"/>
      <c r="U645" s="829"/>
      <c r="V645" s="829"/>
      <c r="W645" s="829"/>
      <c r="X645" s="829"/>
      <c r="Y645" s="829"/>
      <c r="Z645" s="829"/>
      <c r="AA645" s="829"/>
      <c r="AB645" s="829"/>
      <c r="AC645" s="829"/>
      <c r="AD645" s="829"/>
      <c r="AE645" s="829"/>
      <c r="AF645" s="829"/>
      <c r="AG645" s="829"/>
      <c r="AH645" s="829"/>
      <c r="AI645" s="829"/>
      <c r="AJ645" s="829"/>
      <c r="AK645" s="829"/>
      <c r="AL645" s="829"/>
      <c r="AM645" s="829"/>
      <c r="AN645" s="829"/>
    </row>
    <row r="646" spans="1:40" ht="12.75" x14ac:dyDescent="0.2">
      <c r="A646" s="829"/>
      <c r="B646" s="829"/>
      <c r="C646" s="829"/>
      <c r="D646" s="829"/>
      <c r="E646" s="829"/>
      <c r="F646" s="829"/>
      <c r="G646" s="829"/>
      <c r="H646" s="829"/>
      <c r="I646" s="829"/>
      <c r="J646" s="829"/>
      <c r="K646" s="829"/>
      <c r="L646" s="829"/>
      <c r="M646" s="829"/>
      <c r="N646" s="829"/>
      <c r="O646" s="829"/>
      <c r="P646" s="829"/>
      <c r="Q646" s="829"/>
      <c r="R646" s="829"/>
      <c r="S646" s="829"/>
      <c r="T646" s="829"/>
      <c r="U646" s="829"/>
      <c r="V646" s="829"/>
      <c r="W646" s="829"/>
      <c r="X646" s="829"/>
      <c r="Y646" s="829"/>
      <c r="Z646" s="829"/>
      <c r="AA646" s="829"/>
      <c r="AB646" s="829"/>
      <c r="AC646" s="829"/>
      <c r="AD646" s="829"/>
      <c r="AE646" s="829"/>
      <c r="AF646" s="829"/>
      <c r="AG646" s="829"/>
      <c r="AH646" s="829"/>
      <c r="AI646" s="829"/>
      <c r="AJ646" s="829"/>
      <c r="AK646" s="829"/>
      <c r="AL646" s="829"/>
      <c r="AM646" s="829"/>
      <c r="AN646" s="829"/>
    </row>
    <row r="647" spans="1:40" ht="12.75" x14ac:dyDescent="0.2">
      <c r="A647" s="829"/>
      <c r="B647" s="829"/>
      <c r="C647" s="829"/>
      <c r="D647" s="829"/>
      <c r="E647" s="829"/>
      <c r="F647" s="829"/>
      <c r="G647" s="829"/>
      <c r="H647" s="829"/>
      <c r="I647" s="829"/>
      <c r="J647" s="829"/>
      <c r="K647" s="829"/>
      <c r="L647" s="829"/>
      <c r="M647" s="829"/>
      <c r="N647" s="829"/>
      <c r="O647" s="829"/>
      <c r="P647" s="829"/>
      <c r="Q647" s="829"/>
      <c r="R647" s="829"/>
      <c r="S647" s="829"/>
      <c r="T647" s="829"/>
      <c r="U647" s="829"/>
      <c r="V647" s="829"/>
      <c r="W647" s="829"/>
      <c r="X647" s="829"/>
      <c r="Y647" s="829"/>
      <c r="Z647" s="829"/>
      <c r="AA647" s="829"/>
      <c r="AB647" s="829"/>
      <c r="AC647" s="829"/>
      <c r="AD647" s="829"/>
      <c r="AE647" s="829"/>
      <c r="AF647" s="829"/>
      <c r="AG647" s="829"/>
      <c r="AH647" s="829"/>
      <c r="AI647" s="829"/>
      <c r="AJ647" s="829"/>
      <c r="AK647" s="829"/>
      <c r="AL647" s="829"/>
      <c r="AM647" s="829"/>
      <c r="AN647" s="829"/>
    </row>
    <row r="648" spans="1:40" ht="12.75" x14ac:dyDescent="0.2">
      <c r="A648" s="829"/>
      <c r="B648" s="829"/>
      <c r="C648" s="829"/>
      <c r="D648" s="829"/>
      <c r="E648" s="829"/>
      <c r="F648" s="829"/>
      <c r="G648" s="829"/>
      <c r="H648" s="829"/>
      <c r="I648" s="829"/>
      <c r="J648" s="829"/>
      <c r="K648" s="829"/>
      <c r="L648" s="829"/>
      <c r="M648" s="829"/>
      <c r="N648" s="829"/>
      <c r="O648" s="829"/>
      <c r="P648" s="829"/>
      <c r="Q648" s="829"/>
      <c r="R648" s="829"/>
      <c r="S648" s="829"/>
      <c r="T648" s="829"/>
      <c r="U648" s="829"/>
      <c r="V648" s="829"/>
      <c r="W648" s="829"/>
      <c r="X648" s="829"/>
      <c r="Y648" s="829"/>
      <c r="Z648" s="829"/>
      <c r="AA648" s="829"/>
      <c r="AB648" s="829"/>
      <c r="AC648" s="829"/>
      <c r="AD648" s="829"/>
      <c r="AE648" s="829"/>
      <c r="AF648" s="829"/>
      <c r="AG648" s="829"/>
      <c r="AH648" s="829"/>
      <c r="AI648" s="829"/>
      <c r="AJ648" s="829"/>
      <c r="AK648" s="829"/>
      <c r="AL648" s="829"/>
      <c r="AM648" s="829"/>
      <c r="AN648" s="829"/>
    </row>
    <row r="649" spans="1:40" ht="12.75" x14ac:dyDescent="0.2">
      <c r="A649" s="829"/>
      <c r="B649" s="829"/>
      <c r="C649" s="829"/>
      <c r="D649" s="829"/>
      <c r="E649" s="829"/>
      <c r="F649" s="829"/>
      <c r="G649" s="829"/>
      <c r="H649" s="829"/>
      <c r="I649" s="829"/>
      <c r="J649" s="829"/>
      <c r="K649" s="829"/>
      <c r="L649" s="829"/>
      <c r="M649" s="829"/>
      <c r="N649" s="829"/>
      <c r="O649" s="829"/>
      <c r="P649" s="829"/>
      <c r="Q649" s="829"/>
      <c r="R649" s="829"/>
      <c r="S649" s="829"/>
      <c r="T649" s="829"/>
      <c r="U649" s="829"/>
      <c r="V649" s="829"/>
      <c r="W649" s="829"/>
      <c r="X649" s="829"/>
      <c r="Y649" s="829"/>
      <c r="Z649" s="829"/>
      <c r="AA649" s="829"/>
      <c r="AB649" s="829"/>
      <c r="AC649" s="829"/>
      <c r="AD649" s="829"/>
      <c r="AE649" s="829"/>
      <c r="AF649" s="829"/>
      <c r="AG649" s="829"/>
      <c r="AH649" s="829"/>
      <c r="AI649" s="829"/>
      <c r="AJ649" s="829"/>
      <c r="AK649" s="829"/>
      <c r="AL649" s="829"/>
      <c r="AM649" s="829"/>
      <c r="AN649" s="829"/>
    </row>
    <row r="650" spans="1:40" ht="12.75" x14ac:dyDescent="0.2">
      <c r="A650" s="829"/>
      <c r="B650" s="829"/>
      <c r="C650" s="829"/>
      <c r="D650" s="829"/>
      <c r="E650" s="829"/>
      <c r="F650" s="829"/>
      <c r="G650" s="829"/>
      <c r="H650" s="829"/>
      <c r="I650" s="829"/>
      <c r="J650" s="829"/>
      <c r="K650" s="829"/>
      <c r="L650" s="829"/>
      <c r="M650" s="829"/>
      <c r="N650" s="829"/>
      <c r="O650" s="829"/>
      <c r="P650" s="829"/>
      <c r="Q650" s="829"/>
      <c r="R650" s="829"/>
      <c r="S650" s="829"/>
      <c r="T650" s="829"/>
      <c r="U650" s="829"/>
      <c r="V650" s="829"/>
      <c r="W650" s="829"/>
      <c r="X650" s="829"/>
      <c r="Y650" s="829"/>
      <c r="Z650" s="829"/>
      <c r="AA650" s="829"/>
      <c r="AB650" s="829"/>
      <c r="AC650" s="829"/>
      <c r="AD650" s="829"/>
      <c r="AE650" s="829"/>
      <c r="AF650" s="829"/>
      <c r="AG650" s="829"/>
      <c r="AH650" s="829"/>
      <c r="AI650" s="829"/>
      <c r="AJ650" s="829"/>
      <c r="AK650" s="829"/>
      <c r="AL650" s="829"/>
      <c r="AM650" s="829"/>
      <c r="AN650" s="829"/>
    </row>
    <row r="651" spans="1:40" ht="12.75" x14ac:dyDescent="0.2">
      <c r="A651" s="829"/>
      <c r="B651" s="829"/>
      <c r="C651" s="829"/>
      <c r="D651" s="829"/>
      <c r="E651" s="829"/>
      <c r="F651" s="829"/>
      <c r="G651" s="829"/>
      <c r="H651" s="829"/>
      <c r="I651" s="829"/>
      <c r="J651" s="829"/>
      <c r="K651" s="829"/>
      <c r="L651" s="829"/>
      <c r="M651" s="829"/>
      <c r="N651" s="829"/>
      <c r="O651" s="829"/>
      <c r="P651" s="829"/>
      <c r="Q651" s="829"/>
      <c r="R651" s="829"/>
      <c r="S651" s="829"/>
      <c r="T651" s="829"/>
      <c r="U651" s="829"/>
      <c r="V651" s="829"/>
      <c r="W651" s="829"/>
      <c r="X651" s="829"/>
      <c r="Y651" s="829"/>
      <c r="Z651" s="829"/>
      <c r="AA651" s="829"/>
      <c r="AB651" s="829"/>
      <c r="AC651" s="829"/>
      <c r="AD651" s="829"/>
      <c r="AE651" s="829"/>
      <c r="AF651" s="829"/>
      <c r="AG651" s="829"/>
      <c r="AH651" s="829"/>
      <c r="AI651" s="829"/>
      <c r="AJ651" s="829"/>
      <c r="AK651" s="829"/>
      <c r="AL651" s="829"/>
      <c r="AM651" s="829"/>
      <c r="AN651" s="829"/>
    </row>
    <row r="652" spans="1:40" ht="12.75" x14ac:dyDescent="0.2">
      <c r="A652" s="829"/>
      <c r="B652" s="829"/>
      <c r="C652" s="829"/>
      <c r="D652" s="829"/>
      <c r="E652" s="829"/>
      <c r="F652" s="829"/>
      <c r="G652" s="829"/>
      <c r="H652" s="829"/>
      <c r="I652" s="829"/>
      <c r="J652" s="829"/>
      <c r="K652" s="829"/>
      <c r="L652" s="829"/>
      <c r="M652" s="829"/>
      <c r="N652" s="829"/>
      <c r="O652" s="829"/>
      <c r="P652" s="829"/>
      <c r="Q652" s="829"/>
      <c r="R652" s="829"/>
      <c r="S652" s="829"/>
      <c r="T652" s="829"/>
      <c r="U652" s="829"/>
      <c r="V652" s="829"/>
      <c r="W652" s="829"/>
      <c r="X652" s="829"/>
      <c r="Y652" s="829"/>
      <c r="Z652" s="829"/>
      <c r="AA652" s="829"/>
      <c r="AB652" s="829"/>
      <c r="AC652" s="829"/>
      <c r="AD652" s="829"/>
      <c r="AE652" s="829"/>
      <c r="AF652" s="829"/>
      <c r="AG652" s="829"/>
      <c r="AH652" s="829"/>
      <c r="AI652" s="829"/>
      <c r="AJ652" s="829"/>
      <c r="AK652" s="829"/>
      <c r="AL652" s="829"/>
      <c r="AM652" s="829"/>
      <c r="AN652" s="829"/>
    </row>
    <row r="653" spans="1:40" ht="12.75" x14ac:dyDescent="0.2">
      <c r="A653" s="829"/>
      <c r="B653" s="829"/>
      <c r="C653" s="829"/>
      <c r="D653" s="829"/>
      <c r="E653" s="829"/>
      <c r="F653" s="829"/>
      <c r="G653" s="829"/>
      <c r="H653" s="829"/>
      <c r="I653" s="829"/>
      <c r="J653" s="829"/>
      <c r="K653" s="829"/>
      <c r="L653" s="829"/>
      <c r="M653" s="829"/>
      <c r="N653" s="829"/>
      <c r="O653" s="829"/>
      <c r="P653" s="829"/>
      <c r="Q653" s="829"/>
      <c r="R653" s="829"/>
      <c r="S653" s="829"/>
      <c r="T653" s="829"/>
      <c r="U653" s="829"/>
      <c r="V653" s="829"/>
      <c r="W653" s="829"/>
      <c r="X653" s="829"/>
      <c r="Y653" s="829"/>
      <c r="Z653" s="829"/>
      <c r="AA653" s="829"/>
      <c r="AB653" s="829"/>
      <c r="AC653" s="829"/>
      <c r="AD653" s="829"/>
      <c r="AE653" s="829"/>
      <c r="AF653" s="829"/>
      <c r="AG653" s="829"/>
      <c r="AH653" s="829"/>
      <c r="AI653" s="829"/>
      <c r="AJ653" s="829"/>
      <c r="AK653" s="829"/>
      <c r="AL653" s="829"/>
      <c r="AM653" s="829"/>
      <c r="AN653" s="829"/>
    </row>
    <row r="654" spans="1:40" ht="12.75" x14ac:dyDescent="0.2">
      <c r="A654" s="829"/>
      <c r="B654" s="829"/>
      <c r="C654" s="829"/>
      <c r="D654" s="829"/>
      <c r="E654" s="829"/>
      <c r="F654" s="829"/>
      <c r="G654" s="829"/>
      <c r="H654" s="829"/>
      <c r="I654" s="829"/>
      <c r="J654" s="829"/>
      <c r="K654" s="829"/>
      <c r="L654" s="829"/>
      <c r="M654" s="829"/>
      <c r="N654" s="829"/>
      <c r="O654" s="829"/>
      <c r="P654" s="829"/>
      <c r="Q654" s="829"/>
      <c r="R654" s="829"/>
      <c r="S654" s="829"/>
      <c r="T654" s="829"/>
      <c r="U654" s="829"/>
      <c r="V654" s="829"/>
      <c r="W654" s="829"/>
      <c r="X654" s="829"/>
      <c r="Y654" s="829"/>
      <c r="Z654" s="829"/>
      <c r="AA654" s="829"/>
      <c r="AB654" s="829"/>
      <c r="AC654" s="829"/>
      <c r="AD654" s="829"/>
      <c r="AE654" s="829"/>
      <c r="AF654" s="829"/>
      <c r="AG654" s="829"/>
      <c r="AH654" s="829"/>
      <c r="AI654" s="829"/>
      <c r="AJ654" s="829"/>
      <c r="AK654" s="829"/>
      <c r="AL654" s="829"/>
      <c r="AM654" s="829"/>
      <c r="AN654" s="829"/>
    </row>
    <row r="655" spans="1:40" ht="12.75" x14ac:dyDescent="0.2">
      <c r="A655" s="829"/>
      <c r="B655" s="829"/>
      <c r="C655" s="829"/>
      <c r="D655" s="829"/>
      <c r="E655" s="829"/>
      <c r="F655" s="829"/>
      <c r="G655" s="829"/>
      <c r="H655" s="829"/>
      <c r="I655" s="829"/>
      <c r="J655" s="829"/>
      <c r="K655" s="829"/>
      <c r="L655" s="829"/>
      <c r="M655" s="829"/>
      <c r="N655" s="829"/>
      <c r="O655" s="829"/>
      <c r="P655" s="829"/>
      <c r="Q655" s="829"/>
      <c r="R655" s="829"/>
      <c r="S655" s="829"/>
      <c r="T655" s="829"/>
      <c r="U655" s="829"/>
      <c r="V655" s="829"/>
      <c r="W655" s="829"/>
      <c r="X655" s="829"/>
      <c r="Y655" s="829"/>
      <c r="Z655" s="829"/>
      <c r="AA655" s="829"/>
      <c r="AB655" s="829"/>
      <c r="AC655" s="829"/>
      <c r="AD655" s="829"/>
      <c r="AE655" s="829"/>
      <c r="AF655" s="829"/>
      <c r="AG655" s="829"/>
      <c r="AH655" s="829"/>
      <c r="AI655" s="829"/>
      <c r="AJ655" s="829"/>
      <c r="AK655" s="829"/>
      <c r="AL655" s="829"/>
      <c r="AM655" s="829"/>
      <c r="AN655" s="829"/>
    </row>
    <row r="656" spans="1:40" ht="12.75" x14ac:dyDescent="0.2">
      <c r="A656" s="829"/>
      <c r="B656" s="829"/>
      <c r="C656" s="829"/>
      <c r="D656" s="829"/>
      <c r="E656" s="829"/>
      <c r="F656" s="829"/>
      <c r="G656" s="829"/>
      <c r="H656" s="829"/>
      <c r="I656" s="829"/>
      <c r="J656" s="829"/>
      <c r="K656" s="829"/>
      <c r="L656" s="829"/>
      <c r="M656" s="829"/>
      <c r="N656" s="829"/>
      <c r="O656" s="829"/>
      <c r="P656" s="829"/>
      <c r="Q656" s="829"/>
      <c r="R656" s="829"/>
      <c r="S656" s="829"/>
      <c r="T656" s="829"/>
      <c r="U656" s="829"/>
      <c r="V656" s="829"/>
      <c r="W656" s="829"/>
      <c r="X656" s="829"/>
      <c r="Y656" s="829"/>
      <c r="Z656" s="829"/>
      <c r="AA656" s="829"/>
      <c r="AB656" s="829"/>
      <c r="AC656" s="829"/>
      <c r="AD656" s="829"/>
      <c r="AE656" s="829"/>
      <c r="AF656" s="829"/>
      <c r="AG656" s="829"/>
      <c r="AH656" s="829"/>
      <c r="AI656" s="829"/>
      <c r="AJ656" s="829"/>
      <c r="AK656" s="829"/>
      <c r="AL656" s="829"/>
      <c r="AM656" s="829"/>
      <c r="AN656" s="829"/>
    </row>
    <row r="657" spans="1:40" ht="12.75" x14ac:dyDescent="0.2">
      <c r="A657" s="829"/>
      <c r="B657" s="829"/>
      <c r="C657" s="829"/>
      <c r="D657" s="829"/>
      <c r="E657" s="829"/>
      <c r="F657" s="829"/>
      <c r="G657" s="829"/>
      <c r="H657" s="829"/>
      <c r="I657" s="829"/>
      <c r="J657" s="829"/>
      <c r="K657" s="829"/>
      <c r="L657" s="829"/>
      <c r="M657" s="829"/>
      <c r="N657" s="829"/>
      <c r="O657" s="829"/>
      <c r="P657" s="829"/>
      <c r="Q657" s="829"/>
      <c r="R657" s="829"/>
      <c r="S657" s="829"/>
      <c r="T657" s="829"/>
      <c r="U657" s="829"/>
      <c r="V657" s="829"/>
      <c r="W657" s="829"/>
      <c r="X657" s="829"/>
      <c r="Y657" s="829"/>
      <c r="Z657" s="829"/>
      <c r="AA657" s="829"/>
      <c r="AB657" s="829"/>
      <c r="AC657" s="829"/>
      <c r="AD657" s="829"/>
      <c r="AE657" s="829"/>
      <c r="AF657" s="829"/>
      <c r="AG657" s="829"/>
      <c r="AH657" s="829"/>
      <c r="AI657" s="829"/>
      <c r="AJ657" s="829"/>
      <c r="AK657" s="829"/>
      <c r="AL657" s="829"/>
      <c r="AM657" s="829"/>
      <c r="AN657" s="829"/>
    </row>
    <row r="658" spans="1:40" ht="12.75" x14ac:dyDescent="0.2">
      <c r="A658" s="829"/>
      <c r="B658" s="829"/>
      <c r="C658" s="829"/>
      <c r="D658" s="829"/>
      <c r="E658" s="829"/>
      <c r="F658" s="829"/>
      <c r="G658" s="829"/>
      <c r="H658" s="829"/>
      <c r="I658" s="829"/>
      <c r="J658" s="829"/>
      <c r="K658" s="829"/>
      <c r="L658" s="829"/>
      <c r="M658" s="829"/>
      <c r="N658" s="829"/>
      <c r="O658" s="829"/>
      <c r="P658" s="829"/>
      <c r="Q658" s="829"/>
      <c r="R658" s="829"/>
      <c r="S658" s="829"/>
      <c r="T658" s="829"/>
      <c r="U658" s="829"/>
      <c r="V658" s="829"/>
      <c r="W658" s="829"/>
      <c r="X658" s="829"/>
      <c r="Y658" s="829"/>
      <c r="Z658" s="829"/>
      <c r="AA658" s="829"/>
      <c r="AB658" s="829"/>
      <c r="AC658" s="829"/>
      <c r="AD658" s="829"/>
      <c r="AE658" s="829"/>
      <c r="AF658" s="829"/>
      <c r="AG658" s="829"/>
      <c r="AH658" s="829"/>
      <c r="AI658" s="829"/>
      <c r="AJ658" s="829"/>
      <c r="AK658" s="829"/>
      <c r="AL658" s="829"/>
      <c r="AM658" s="829"/>
      <c r="AN658" s="829"/>
    </row>
    <row r="659" spans="1:40" ht="12.75" x14ac:dyDescent="0.2">
      <c r="A659" s="829"/>
      <c r="B659" s="829"/>
      <c r="C659" s="829"/>
      <c r="D659" s="829"/>
      <c r="E659" s="829"/>
      <c r="F659" s="829"/>
      <c r="G659" s="829"/>
      <c r="H659" s="829"/>
      <c r="I659" s="829"/>
      <c r="J659" s="829"/>
      <c r="K659" s="829"/>
      <c r="L659" s="829"/>
      <c r="M659" s="829"/>
      <c r="N659" s="829"/>
      <c r="O659" s="829"/>
      <c r="P659" s="829"/>
      <c r="Q659" s="829"/>
      <c r="R659" s="829"/>
      <c r="S659" s="829"/>
      <c r="T659" s="829"/>
      <c r="U659" s="829"/>
      <c r="V659" s="829"/>
      <c r="W659" s="829"/>
      <c r="X659" s="829"/>
      <c r="Y659" s="829"/>
      <c r="Z659" s="829"/>
      <c r="AA659" s="829"/>
      <c r="AB659" s="829"/>
      <c r="AC659" s="829"/>
      <c r="AD659" s="829"/>
      <c r="AE659" s="829"/>
      <c r="AF659" s="829"/>
      <c r="AG659" s="829"/>
      <c r="AH659" s="829"/>
      <c r="AI659" s="829"/>
      <c r="AJ659" s="829"/>
      <c r="AK659" s="829"/>
      <c r="AL659" s="829"/>
      <c r="AM659" s="829"/>
      <c r="AN659" s="829"/>
    </row>
    <row r="660" spans="1:40" ht="12.75" x14ac:dyDescent="0.2">
      <c r="A660" s="829"/>
      <c r="B660" s="829"/>
      <c r="C660" s="829"/>
      <c r="D660" s="829"/>
      <c r="E660" s="829"/>
      <c r="F660" s="829"/>
      <c r="G660" s="829"/>
      <c r="H660" s="829"/>
      <c r="I660" s="829"/>
      <c r="J660" s="829"/>
      <c r="K660" s="829"/>
      <c r="L660" s="829"/>
      <c r="M660" s="829"/>
      <c r="N660" s="829"/>
      <c r="O660" s="829"/>
      <c r="P660" s="829"/>
      <c r="Q660" s="829"/>
      <c r="R660" s="829"/>
      <c r="S660" s="829"/>
      <c r="T660" s="829"/>
      <c r="U660" s="829"/>
      <c r="V660" s="829"/>
      <c r="W660" s="829"/>
      <c r="X660" s="829"/>
      <c r="Y660" s="829"/>
      <c r="Z660" s="829"/>
      <c r="AA660" s="829"/>
      <c r="AB660" s="829"/>
      <c r="AC660" s="829"/>
      <c r="AD660" s="829"/>
      <c r="AE660" s="829"/>
      <c r="AF660" s="829"/>
      <c r="AG660" s="829"/>
      <c r="AH660" s="829"/>
      <c r="AI660" s="829"/>
      <c r="AJ660" s="829"/>
      <c r="AK660" s="829"/>
      <c r="AL660" s="829"/>
      <c r="AM660" s="829"/>
      <c r="AN660" s="829"/>
    </row>
    <row r="661" spans="1:40" ht="12.75" x14ac:dyDescent="0.2">
      <c r="A661" s="829"/>
      <c r="B661" s="829"/>
      <c r="C661" s="829"/>
      <c r="D661" s="829"/>
      <c r="E661" s="829"/>
      <c r="F661" s="829"/>
      <c r="G661" s="829"/>
      <c r="H661" s="829"/>
      <c r="I661" s="829"/>
      <c r="J661" s="829"/>
      <c r="K661" s="829"/>
      <c r="L661" s="829"/>
      <c r="M661" s="829"/>
      <c r="N661" s="829"/>
      <c r="O661" s="829"/>
      <c r="P661" s="829"/>
      <c r="Q661" s="829"/>
      <c r="R661" s="829"/>
      <c r="S661" s="829"/>
      <c r="T661" s="829"/>
      <c r="U661" s="829"/>
      <c r="V661" s="829"/>
      <c r="W661" s="829"/>
      <c r="X661" s="829"/>
      <c r="Y661" s="829"/>
      <c r="Z661" s="829"/>
      <c r="AA661" s="829"/>
      <c r="AB661" s="829"/>
      <c r="AC661" s="829"/>
      <c r="AD661" s="829"/>
      <c r="AE661" s="829"/>
      <c r="AF661" s="829"/>
      <c r="AG661" s="829"/>
      <c r="AH661" s="829"/>
      <c r="AI661" s="829"/>
      <c r="AJ661" s="829"/>
      <c r="AK661" s="829"/>
      <c r="AL661" s="829"/>
      <c r="AM661" s="829"/>
      <c r="AN661" s="829"/>
    </row>
    <row r="662" spans="1:40" ht="12.75" x14ac:dyDescent="0.2">
      <c r="A662" s="829"/>
      <c r="B662" s="829"/>
      <c r="C662" s="829"/>
      <c r="D662" s="829"/>
      <c r="E662" s="829"/>
      <c r="F662" s="829"/>
      <c r="G662" s="829"/>
      <c r="H662" s="829"/>
      <c r="I662" s="829"/>
      <c r="J662" s="829"/>
      <c r="K662" s="829"/>
      <c r="L662" s="829"/>
      <c r="M662" s="829"/>
      <c r="N662" s="829"/>
      <c r="O662" s="829"/>
      <c r="P662" s="829"/>
      <c r="Q662" s="829"/>
      <c r="R662" s="829"/>
      <c r="S662" s="829"/>
      <c r="T662" s="829"/>
      <c r="U662" s="829"/>
      <c r="V662" s="829"/>
      <c r="W662" s="829"/>
      <c r="X662" s="829"/>
      <c r="Y662" s="829"/>
      <c r="Z662" s="829"/>
      <c r="AA662" s="829"/>
      <c r="AB662" s="829"/>
      <c r="AC662" s="829"/>
      <c r="AD662" s="829"/>
      <c r="AE662" s="829"/>
      <c r="AF662" s="829"/>
      <c r="AG662" s="829"/>
      <c r="AH662" s="829"/>
      <c r="AI662" s="829"/>
      <c r="AJ662" s="829"/>
      <c r="AK662" s="829"/>
      <c r="AL662" s="829"/>
      <c r="AM662" s="829"/>
      <c r="AN662" s="829"/>
    </row>
    <row r="663" spans="1:40" ht="12.75" x14ac:dyDescent="0.2">
      <c r="A663" s="829"/>
      <c r="B663" s="829"/>
      <c r="C663" s="829"/>
      <c r="D663" s="829"/>
      <c r="E663" s="829"/>
      <c r="F663" s="829"/>
      <c r="G663" s="829"/>
      <c r="H663" s="829"/>
      <c r="I663" s="829"/>
      <c r="J663" s="829"/>
      <c r="K663" s="829"/>
      <c r="L663" s="829"/>
      <c r="M663" s="829"/>
      <c r="N663" s="829"/>
      <c r="O663" s="829"/>
      <c r="P663" s="829"/>
      <c r="Q663" s="829"/>
      <c r="R663" s="829"/>
      <c r="S663" s="829"/>
      <c r="T663" s="829"/>
      <c r="U663" s="829"/>
      <c r="V663" s="829"/>
      <c r="W663" s="829"/>
      <c r="X663" s="829"/>
      <c r="Y663" s="829"/>
      <c r="Z663" s="829"/>
      <c r="AA663" s="829"/>
      <c r="AB663" s="829"/>
      <c r="AC663" s="829"/>
      <c r="AD663" s="829"/>
      <c r="AE663" s="829"/>
      <c r="AF663" s="829"/>
      <c r="AG663" s="829"/>
      <c r="AH663" s="829"/>
      <c r="AI663" s="829"/>
      <c r="AJ663" s="829"/>
      <c r="AK663" s="829"/>
      <c r="AL663" s="829"/>
      <c r="AM663" s="829"/>
      <c r="AN663" s="829"/>
    </row>
    <row r="664" spans="1:40" ht="12.75" x14ac:dyDescent="0.2">
      <c r="A664" s="829"/>
      <c r="B664" s="829"/>
      <c r="C664" s="829"/>
      <c r="D664" s="829"/>
      <c r="E664" s="829"/>
      <c r="F664" s="829"/>
      <c r="G664" s="829"/>
      <c r="H664" s="829"/>
      <c r="I664" s="829"/>
      <c r="J664" s="829"/>
      <c r="K664" s="829"/>
      <c r="L664" s="829"/>
      <c r="M664" s="829"/>
      <c r="N664" s="829"/>
      <c r="O664" s="829"/>
      <c r="P664" s="829"/>
      <c r="Q664" s="829"/>
      <c r="R664" s="829"/>
      <c r="S664" s="829"/>
      <c r="T664" s="829"/>
      <c r="U664" s="829"/>
      <c r="V664" s="829"/>
      <c r="W664" s="829"/>
      <c r="X664" s="829"/>
      <c r="Y664" s="829"/>
      <c r="Z664" s="829"/>
      <c r="AA664" s="829"/>
      <c r="AB664" s="829"/>
      <c r="AC664" s="829"/>
      <c r="AD664" s="829"/>
      <c r="AE664" s="829"/>
      <c r="AF664" s="829"/>
      <c r="AG664" s="829"/>
      <c r="AH664" s="829"/>
      <c r="AI664" s="829"/>
      <c r="AJ664" s="829"/>
      <c r="AK664" s="829"/>
      <c r="AL664" s="829"/>
      <c r="AM664" s="829"/>
      <c r="AN664" s="829"/>
    </row>
    <row r="665" spans="1:40" ht="12.75" x14ac:dyDescent="0.2">
      <c r="A665" s="829"/>
      <c r="B665" s="829"/>
      <c r="C665" s="829"/>
      <c r="D665" s="829"/>
      <c r="E665" s="829"/>
      <c r="F665" s="829"/>
      <c r="G665" s="829"/>
      <c r="H665" s="829"/>
      <c r="I665" s="829"/>
      <c r="J665" s="829"/>
      <c r="K665" s="829"/>
      <c r="L665" s="829"/>
      <c r="M665" s="829"/>
      <c r="N665" s="829"/>
      <c r="O665" s="829"/>
      <c r="P665" s="829"/>
      <c r="Q665" s="829"/>
      <c r="R665" s="829"/>
      <c r="S665" s="829"/>
      <c r="T665" s="829"/>
      <c r="U665" s="829"/>
      <c r="V665" s="829"/>
      <c r="W665" s="829"/>
      <c r="X665" s="829"/>
      <c r="Y665" s="829"/>
      <c r="Z665" s="829"/>
      <c r="AA665" s="829"/>
      <c r="AB665" s="829"/>
      <c r="AC665" s="829"/>
      <c r="AD665" s="829"/>
      <c r="AE665" s="829"/>
      <c r="AF665" s="829"/>
      <c r="AG665" s="829"/>
      <c r="AH665" s="829"/>
      <c r="AI665" s="829"/>
      <c r="AJ665" s="829"/>
      <c r="AK665" s="829"/>
      <c r="AL665" s="829"/>
      <c r="AM665" s="829"/>
      <c r="AN665" s="829"/>
    </row>
    <row r="666" spans="1:40" ht="12.75" x14ac:dyDescent="0.2">
      <c r="A666" s="829"/>
      <c r="B666" s="829"/>
      <c r="C666" s="829"/>
      <c r="D666" s="829"/>
      <c r="E666" s="829"/>
      <c r="F666" s="829"/>
      <c r="G666" s="829"/>
      <c r="H666" s="829"/>
      <c r="I666" s="829"/>
      <c r="J666" s="829"/>
      <c r="K666" s="829"/>
      <c r="L666" s="829"/>
      <c r="M666" s="829"/>
      <c r="N666" s="829"/>
      <c r="O666" s="829"/>
      <c r="P666" s="829"/>
      <c r="Q666" s="829"/>
      <c r="R666" s="829"/>
      <c r="S666" s="829"/>
      <c r="T666" s="829"/>
      <c r="U666" s="829"/>
      <c r="V666" s="829"/>
      <c r="W666" s="829"/>
      <c r="X666" s="829"/>
      <c r="Y666" s="829"/>
      <c r="Z666" s="829"/>
      <c r="AA666" s="829"/>
      <c r="AB666" s="829"/>
      <c r="AC666" s="829"/>
      <c r="AD666" s="829"/>
      <c r="AE666" s="829"/>
      <c r="AF666" s="829"/>
      <c r="AG666" s="829"/>
      <c r="AH666" s="829"/>
      <c r="AI666" s="829"/>
      <c r="AJ666" s="829"/>
      <c r="AK666" s="829"/>
      <c r="AL666" s="829"/>
      <c r="AM666" s="829"/>
      <c r="AN666" s="829"/>
    </row>
    <row r="667" spans="1:40" ht="12.75" x14ac:dyDescent="0.2">
      <c r="A667" s="829"/>
      <c r="B667" s="829"/>
      <c r="C667" s="829"/>
      <c r="D667" s="829"/>
      <c r="E667" s="829"/>
      <c r="F667" s="829"/>
      <c r="G667" s="829"/>
      <c r="H667" s="829"/>
      <c r="I667" s="829"/>
      <c r="J667" s="829"/>
      <c r="K667" s="829"/>
      <c r="L667" s="829"/>
      <c r="M667" s="829"/>
      <c r="N667" s="829"/>
      <c r="O667" s="829"/>
      <c r="P667" s="829"/>
      <c r="Q667" s="829"/>
      <c r="R667" s="829"/>
      <c r="S667" s="829"/>
      <c r="T667" s="829"/>
      <c r="U667" s="829"/>
      <c r="V667" s="829"/>
      <c r="W667" s="829"/>
      <c r="X667" s="829"/>
      <c r="Y667" s="829"/>
      <c r="Z667" s="829"/>
      <c r="AA667" s="829"/>
      <c r="AB667" s="829"/>
      <c r="AC667" s="829"/>
      <c r="AD667" s="829"/>
      <c r="AE667" s="829"/>
      <c r="AF667" s="829"/>
      <c r="AG667" s="829"/>
      <c r="AH667" s="829"/>
      <c r="AI667" s="829"/>
      <c r="AJ667" s="829"/>
      <c r="AK667" s="829"/>
      <c r="AL667" s="829"/>
      <c r="AM667" s="829"/>
      <c r="AN667" s="829"/>
    </row>
    <row r="668" spans="1:40" ht="12.75" x14ac:dyDescent="0.2">
      <c r="A668" s="829"/>
      <c r="B668" s="829"/>
      <c r="C668" s="829"/>
      <c r="D668" s="829"/>
      <c r="E668" s="829"/>
      <c r="F668" s="829"/>
      <c r="G668" s="829"/>
      <c r="H668" s="829"/>
      <c r="I668" s="829"/>
      <c r="J668" s="829"/>
      <c r="K668" s="829"/>
      <c r="L668" s="829"/>
      <c r="M668" s="829"/>
      <c r="N668" s="829"/>
      <c r="O668" s="829"/>
      <c r="P668" s="829"/>
      <c r="Q668" s="829"/>
      <c r="R668" s="829"/>
      <c r="S668" s="829"/>
      <c r="T668" s="829"/>
      <c r="U668" s="829"/>
      <c r="V668" s="829"/>
      <c r="W668" s="829"/>
      <c r="X668" s="829"/>
      <c r="Y668" s="829"/>
      <c r="Z668" s="829"/>
      <c r="AA668" s="829"/>
      <c r="AB668" s="829"/>
      <c r="AC668" s="829"/>
      <c r="AD668" s="829"/>
      <c r="AE668" s="829"/>
      <c r="AF668" s="829"/>
      <c r="AG668" s="829"/>
      <c r="AH668" s="829"/>
      <c r="AI668" s="829"/>
      <c r="AJ668" s="829"/>
      <c r="AK668" s="829"/>
      <c r="AL668" s="829"/>
      <c r="AM668" s="829"/>
      <c r="AN668" s="829"/>
    </row>
    <row r="669" spans="1:40" ht="12.75" x14ac:dyDescent="0.2">
      <c r="A669" s="829"/>
      <c r="B669" s="829"/>
      <c r="C669" s="829"/>
      <c r="D669" s="829"/>
      <c r="E669" s="829"/>
      <c r="F669" s="829"/>
      <c r="G669" s="829"/>
      <c r="H669" s="829"/>
      <c r="I669" s="829"/>
      <c r="J669" s="829"/>
      <c r="K669" s="829"/>
      <c r="L669" s="829"/>
      <c r="M669" s="829"/>
      <c r="N669" s="829"/>
      <c r="O669" s="829"/>
      <c r="P669" s="829"/>
      <c r="Q669" s="829"/>
      <c r="R669" s="829"/>
      <c r="S669" s="829"/>
      <c r="T669" s="829"/>
      <c r="U669" s="829"/>
      <c r="V669" s="829"/>
      <c r="W669" s="829"/>
      <c r="X669" s="829"/>
      <c r="Y669" s="829"/>
      <c r="Z669" s="829"/>
      <c r="AA669" s="829"/>
      <c r="AB669" s="829"/>
      <c r="AC669" s="829"/>
      <c r="AD669" s="829"/>
      <c r="AE669" s="829"/>
      <c r="AF669" s="829"/>
      <c r="AG669" s="829"/>
      <c r="AH669" s="829"/>
      <c r="AI669" s="829"/>
      <c r="AJ669" s="829"/>
      <c r="AK669" s="829"/>
      <c r="AL669" s="829"/>
      <c r="AM669" s="829"/>
      <c r="AN669" s="829"/>
    </row>
    <row r="670" spans="1:40" ht="12.75" x14ac:dyDescent="0.2">
      <c r="A670" s="829"/>
      <c r="B670" s="829"/>
      <c r="C670" s="829"/>
      <c r="D670" s="829"/>
      <c r="E670" s="829"/>
      <c r="F670" s="829"/>
      <c r="G670" s="829"/>
      <c r="H670" s="829"/>
      <c r="I670" s="829"/>
      <c r="J670" s="829"/>
      <c r="K670" s="829"/>
      <c r="L670" s="829"/>
      <c r="M670" s="829"/>
      <c r="N670" s="829"/>
      <c r="O670" s="829"/>
      <c r="P670" s="829"/>
      <c r="Q670" s="829"/>
      <c r="R670" s="829"/>
      <c r="S670" s="829"/>
      <c r="T670" s="829"/>
      <c r="U670" s="829"/>
      <c r="V670" s="829"/>
      <c r="W670" s="829"/>
      <c r="X670" s="829"/>
      <c r="Y670" s="829"/>
      <c r="Z670" s="829"/>
      <c r="AA670" s="829"/>
      <c r="AB670" s="829"/>
      <c r="AC670" s="829"/>
      <c r="AD670" s="829"/>
      <c r="AE670" s="829"/>
      <c r="AF670" s="829"/>
      <c r="AG670" s="829"/>
      <c r="AH670" s="829"/>
      <c r="AI670" s="829"/>
      <c r="AJ670" s="829"/>
      <c r="AK670" s="829"/>
      <c r="AL670" s="829"/>
      <c r="AM670" s="829"/>
      <c r="AN670" s="829"/>
    </row>
    <row r="671" spans="1:40" ht="12.75" x14ac:dyDescent="0.2">
      <c r="A671" s="829"/>
      <c r="B671" s="829"/>
      <c r="C671" s="829"/>
      <c r="D671" s="829"/>
      <c r="E671" s="829"/>
      <c r="F671" s="829"/>
      <c r="G671" s="829"/>
      <c r="H671" s="829"/>
      <c r="I671" s="829"/>
      <c r="J671" s="829"/>
      <c r="K671" s="829"/>
      <c r="L671" s="829"/>
      <c r="M671" s="829"/>
      <c r="N671" s="829"/>
      <c r="O671" s="829"/>
      <c r="P671" s="829"/>
      <c r="Q671" s="829"/>
      <c r="R671" s="829"/>
      <c r="S671" s="829"/>
      <c r="T671" s="829"/>
      <c r="U671" s="829"/>
      <c r="V671" s="829"/>
      <c r="W671" s="829"/>
      <c r="X671" s="829"/>
      <c r="Y671" s="829"/>
      <c r="Z671" s="829"/>
      <c r="AA671" s="829"/>
      <c r="AB671" s="829"/>
      <c r="AC671" s="829"/>
      <c r="AD671" s="829"/>
      <c r="AE671" s="829"/>
      <c r="AF671" s="829"/>
      <c r="AG671" s="829"/>
      <c r="AH671" s="829"/>
      <c r="AI671" s="829"/>
      <c r="AJ671" s="829"/>
      <c r="AK671" s="829"/>
      <c r="AL671" s="829"/>
      <c r="AM671" s="829"/>
      <c r="AN671" s="829"/>
    </row>
    <row r="672" spans="1:40" ht="12.75" x14ac:dyDescent="0.2">
      <c r="A672" s="829"/>
      <c r="B672" s="829"/>
      <c r="C672" s="829"/>
      <c r="D672" s="829"/>
      <c r="E672" s="829"/>
      <c r="F672" s="829"/>
      <c r="G672" s="829"/>
      <c r="H672" s="829"/>
      <c r="I672" s="829"/>
      <c r="J672" s="829"/>
      <c r="K672" s="829"/>
      <c r="L672" s="829"/>
      <c r="M672" s="829"/>
      <c r="N672" s="829"/>
      <c r="O672" s="829"/>
      <c r="P672" s="829"/>
      <c r="Q672" s="829"/>
      <c r="R672" s="829"/>
      <c r="S672" s="829"/>
      <c r="T672" s="829"/>
      <c r="U672" s="829"/>
      <c r="V672" s="829"/>
      <c r="W672" s="829"/>
      <c r="X672" s="829"/>
      <c r="Y672" s="829"/>
      <c r="Z672" s="829"/>
      <c r="AA672" s="829"/>
      <c r="AB672" s="829"/>
      <c r="AC672" s="829"/>
      <c r="AD672" s="829"/>
      <c r="AE672" s="829"/>
      <c r="AF672" s="829"/>
      <c r="AG672" s="829"/>
      <c r="AH672" s="829"/>
      <c r="AI672" s="829"/>
      <c r="AJ672" s="829"/>
      <c r="AK672" s="829"/>
      <c r="AL672" s="829"/>
      <c r="AM672" s="829"/>
      <c r="AN672" s="829"/>
    </row>
    <row r="673" spans="1:40" ht="12.75" x14ac:dyDescent="0.2">
      <c r="A673" s="829"/>
      <c r="B673" s="829"/>
      <c r="C673" s="829"/>
      <c r="D673" s="829"/>
      <c r="E673" s="829"/>
      <c r="F673" s="829"/>
      <c r="G673" s="829"/>
      <c r="H673" s="829"/>
      <c r="I673" s="829"/>
      <c r="J673" s="829"/>
      <c r="K673" s="829"/>
      <c r="L673" s="829"/>
      <c r="M673" s="829"/>
      <c r="N673" s="829"/>
      <c r="O673" s="829"/>
      <c r="P673" s="829"/>
      <c r="Q673" s="829"/>
      <c r="R673" s="829"/>
      <c r="S673" s="829"/>
      <c r="T673" s="829"/>
      <c r="U673" s="829"/>
      <c r="V673" s="829"/>
      <c r="W673" s="829"/>
      <c r="X673" s="829"/>
      <c r="Y673" s="829"/>
      <c r="Z673" s="829"/>
      <c r="AA673" s="829"/>
      <c r="AB673" s="829"/>
      <c r="AC673" s="829"/>
      <c r="AD673" s="829"/>
      <c r="AE673" s="829"/>
      <c r="AF673" s="829"/>
      <c r="AG673" s="829"/>
      <c r="AH673" s="829"/>
      <c r="AI673" s="829"/>
      <c r="AJ673" s="829"/>
      <c r="AK673" s="829"/>
      <c r="AL673" s="829"/>
      <c r="AM673" s="829"/>
      <c r="AN673" s="829"/>
    </row>
    <row r="674" spans="1:40" ht="12.75" x14ac:dyDescent="0.2">
      <c r="A674" s="829"/>
      <c r="B674" s="829"/>
      <c r="C674" s="829"/>
      <c r="D674" s="829"/>
      <c r="E674" s="829"/>
      <c r="F674" s="829"/>
      <c r="G674" s="829"/>
      <c r="H674" s="829"/>
      <c r="I674" s="829"/>
      <c r="J674" s="829"/>
      <c r="K674" s="829"/>
      <c r="L674" s="829"/>
      <c r="M674" s="829"/>
      <c r="N674" s="829"/>
      <c r="O674" s="829"/>
      <c r="P674" s="829"/>
      <c r="Q674" s="829"/>
      <c r="R674" s="829"/>
      <c r="S674" s="829"/>
      <c r="T674" s="829"/>
      <c r="U674" s="829"/>
      <c r="V674" s="829"/>
      <c r="W674" s="829"/>
      <c r="X674" s="829"/>
      <c r="Y674" s="829"/>
      <c r="Z674" s="829"/>
      <c r="AA674" s="829"/>
      <c r="AB674" s="829"/>
      <c r="AC674" s="829"/>
      <c r="AD674" s="829"/>
      <c r="AE674" s="829"/>
      <c r="AF674" s="829"/>
      <c r="AG674" s="829"/>
      <c r="AH674" s="829"/>
      <c r="AI674" s="829"/>
      <c r="AJ674" s="829"/>
      <c r="AK674" s="829"/>
      <c r="AL674" s="829"/>
      <c r="AM674" s="829"/>
      <c r="AN674" s="829"/>
    </row>
    <row r="675" spans="1:40" ht="12.75" x14ac:dyDescent="0.2">
      <c r="A675" s="829"/>
      <c r="B675" s="829"/>
      <c r="C675" s="829"/>
      <c r="D675" s="829"/>
      <c r="E675" s="829"/>
      <c r="F675" s="829"/>
      <c r="G675" s="829"/>
      <c r="H675" s="829"/>
      <c r="I675" s="829"/>
      <c r="J675" s="829"/>
      <c r="K675" s="829"/>
      <c r="L675" s="829"/>
      <c r="M675" s="829"/>
      <c r="N675" s="829"/>
      <c r="O675" s="829"/>
      <c r="P675" s="829"/>
      <c r="Q675" s="829"/>
      <c r="R675" s="829"/>
      <c r="S675" s="829"/>
      <c r="T675" s="829"/>
      <c r="U675" s="829"/>
      <c r="V675" s="829"/>
      <c r="W675" s="829"/>
      <c r="X675" s="829"/>
      <c r="Y675" s="829"/>
      <c r="Z675" s="829"/>
      <c r="AA675" s="829"/>
      <c r="AB675" s="829"/>
      <c r="AC675" s="829"/>
      <c r="AD675" s="829"/>
      <c r="AE675" s="829"/>
      <c r="AF675" s="829"/>
      <c r="AG675" s="829"/>
      <c r="AH675" s="829"/>
      <c r="AI675" s="829"/>
      <c r="AJ675" s="829"/>
      <c r="AK675" s="829"/>
      <c r="AL675" s="829"/>
      <c r="AM675" s="829"/>
      <c r="AN675" s="829"/>
    </row>
    <row r="676" spans="1:40" ht="12.75" x14ac:dyDescent="0.2">
      <c r="A676" s="829"/>
      <c r="B676" s="829"/>
      <c r="C676" s="829"/>
      <c r="D676" s="829"/>
      <c r="E676" s="829"/>
      <c r="F676" s="829"/>
      <c r="G676" s="829"/>
      <c r="H676" s="829"/>
      <c r="I676" s="829"/>
      <c r="J676" s="829"/>
      <c r="K676" s="829"/>
      <c r="L676" s="829"/>
      <c r="M676" s="829"/>
      <c r="N676" s="829"/>
      <c r="O676" s="829"/>
      <c r="P676" s="829"/>
      <c r="Q676" s="829"/>
      <c r="R676" s="829"/>
      <c r="S676" s="829"/>
      <c r="T676" s="829"/>
      <c r="U676" s="829"/>
      <c r="V676" s="829"/>
      <c r="W676" s="829"/>
      <c r="X676" s="829"/>
      <c r="Y676" s="829"/>
      <c r="Z676" s="829"/>
      <c r="AA676" s="829"/>
      <c r="AB676" s="829"/>
      <c r="AC676" s="829"/>
      <c r="AD676" s="829"/>
      <c r="AE676" s="829"/>
      <c r="AF676" s="829"/>
      <c r="AG676" s="829"/>
      <c r="AH676" s="829"/>
      <c r="AI676" s="829"/>
      <c r="AJ676" s="829"/>
      <c r="AK676" s="829"/>
      <c r="AL676" s="829"/>
      <c r="AM676" s="829"/>
      <c r="AN676" s="829"/>
    </row>
    <row r="677" spans="1:40" ht="12.75" x14ac:dyDescent="0.2">
      <c r="A677" s="829"/>
      <c r="B677" s="829"/>
      <c r="C677" s="829"/>
      <c r="D677" s="829"/>
      <c r="E677" s="829"/>
      <c r="F677" s="829"/>
      <c r="G677" s="829"/>
      <c r="H677" s="829"/>
      <c r="I677" s="829"/>
      <c r="J677" s="829"/>
      <c r="K677" s="829"/>
      <c r="L677" s="829"/>
      <c r="M677" s="829"/>
      <c r="N677" s="829"/>
      <c r="O677" s="829"/>
      <c r="P677" s="829"/>
      <c r="Q677" s="829"/>
      <c r="R677" s="829"/>
      <c r="S677" s="829"/>
      <c r="T677" s="829"/>
      <c r="U677" s="829"/>
      <c r="V677" s="829"/>
      <c r="W677" s="829"/>
      <c r="X677" s="829"/>
      <c r="Y677" s="829"/>
      <c r="Z677" s="829"/>
      <c r="AA677" s="829"/>
      <c r="AB677" s="829"/>
      <c r="AC677" s="829"/>
      <c r="AD677" s="829"/>
      <c r="AE677" s="829"/>
      <c r="AF677" s="829"/>
      <c r="AG677" s="829"/>
      <c r="AH677" s="829"/>
      <c r="AI677" s="829"/>
      <c r="AJ677" s="829"/>
      <c r="AK677" s="829"/>
      <c r="AL677" s="829"/>
      <c r="AM677" s="829"/>
      <c r="AN677" s="829"/>
    </row>
    <row r="678" spans="1:40" ht="12.75" x14ac:dyDescent="0.2">
      <c r="A678" s="829"/>
      <c r="B678" s="829"/>
      <c r="C678" s="829"/>
      <c r="D678" s="829"/>
      <c r="E678" s="829"/>
      <c r="F678" s="829"/>
      <c r="G678" s="829"/>
      <c r="H678" s="829"/>
      <c r="I678" s="829"/>
      <c r="J678" s="829"/>
      <c r="K678" s="829"/>
      <c r="L678" s="829"/>
      <c r="M678" s="829"/>
      <c r="N678" s="829"/>
      <c r="O678" s="829"/>
      <c r="P678" s="829"/>
      <c r="Q678" s="829"/>
      <c r="R678" s="829"/>
      <c r="S678" s="829"/>
      <c r="T678" s="829"/>
      <c r="U678" s="829"/>
      <c r="V678" s="829"/>
      <c r="W678" s="829"/>
      <c r="X678" s="829"/>
      <c r="Y678" s="829"/>
      <c r="Z678" s="829"/>
      <c r="AA678" s="829"/>
      <c r="AB678" s="829"/>
      <c r="AC678" s="829"/>
      <c r="AD678" s="829"/>
      <c r="AE678" s="829"/>
      <c r="AF678" s="829"/>
      <c r="AG678" s="829"/>
      <c r="AH678" s="829"/>
      <c r="AI678" s="829"/>
      <c r="AJ678" s="829"/>
      <c r="AK678" s="829"/>
      <c r="AL678" s="829"/>
      <c r="AM678" s="829"/>
      <c r="AN678" s="829"/>
    </row>
    <row r="679" spans="1:40" ht="12.75" x14ac:dyDescent="0.2">
      <c r="A679" s="829"/>
      <c r="B679" s="829"/>
      <c r="C679" s="829"/>
      <c r="D679" s="829"/>
      <c r="E679" s="829"/>
      <c r="F679" s="829"/>
      <c r="G679" s="829"/>
      <c r="H679" s="829"/>
      <c r="I679" s="829"/>
      <c r="J679" s="829"/>
      <c r="K679" s="829"/>
      <c r="L679" s="829"/>
      <c r="M679" s="829"/>
      <c r="N679" s="829"/>
      <c r="O679" s="829"/>
      <c r="P679" s="829"/>
      <c r="Q679" s="829"/>
      <c r="R679" s="829"/>
      <c r="S679" s="829"/>
      <c r="T679" s="829"/>
      <c r="U679" s="829"/>
      <c r="V679" s="829"/>
      <c r="W679" s="829"/>
      <c r="X679" s="829"/>
      <c r="Y679" s="829"/>
      <c r="Z679" s="829"/>
      <c r="AA679" s="829"/>
      <c r="AB679" s="829"/>
      <c r="AC679" s="829"/>
      <c r="AD679" s="829"/>
      <c r="AE679" s="829"/>
      <c r="AF679" s="829"/>
      <c r="AG679" s="829"/>
      <c r="AH679" s="829"/>
      <c r="AI679" s="829"/>
      <c r="AJ679" s="829"/>
      <c r="AK679" s="829"/>
      <c r="AL679" s="829"/>
      <c r="AM679" s="829"/>
      <c r="AN679" s="829"/>
    </row>
    <row r="680" spans="1:40" ht="12.75" x14ac:dyDescent="0.2">
      <c r="A680" s="829"/>
      <c r="B680" s="829"/>
      <c r="C680" s="829"/>
      <c r="D680" s="829"/>
      <c r="E680" s="829"/>
      <c r="F680" s="829"/>
      <c r="G680" s="829"/>
      <c r="H680" s="829"/>
      <c r="I680" s="829"/>
      <c r="J680" s="829"/>
      <c r="K680" s="829"/>
      <c r="L680" s="829"/>
      <c r="M680" s="829"/>
      <c r="N680" s="829"/>
      <c r="O680" s="829"/>
      <c r="P680" s="829"/>
      <c r="Q680" s="829"/>
      <c r="R680" s="829"/>
      <c r="S680" s="829"/>
      <c r="T680" s="829"/>
      <c r="U680" s="829"/>
      <c r="V680" s="829"/>
      <c r="W680" s="829"/>
      <c r="X680" s="829"/>
      <c r="Y680" s="829"/>
      <c r="Z680" s="829"/>
      <c r="AA680" s="829"/>
      <c r="AB680" s="829"/>
      <c r="AC680" s="829"/>
      <c r="AD680" s="829"/>
      <c r="AE680" s="829"/>
      <c r="AF680" s="829"/>
      <c r="AG680" s="829"/>
      <c r="AH680" s="829"/>
      <c r="AI680" s="829"/>
      <c r="AJ680" s="829"/>
      <c r="AK680" s="829"/>
      <c r="AL680" s="829"/>
      <c r="AM680" s="829"/>
      <c r="AN680" s="829"/>
    </row>
    <row r="681" spans="1:40" ht="12.75" x14ac:dyDescent="0.2">
      <c r="A681" s="829"/>
      <c r="B681" s="829"/>
      <c r="C681" s="829"/>
      <c r="D681" s="829"/>
      <c r="E681" s="829"/>
      <c r="F681" s="829"/>
      <c r="G681" s="829"/>
      <c r="H681" s="829"/>
      <c r="I681" s="829"/>
      <c r="J681" s="829"/>
      <c r="K681" s="829"/>
      <c r="L681" s="829"/>
      <c r="M681" s="829"/>
      <c r="N681" s="829"/>
      <c r="O681" s="829"/>
      <c r="P681" s="829"/>
      <c r="Q681" s="829"/>
      <c r="R681" s="829"/>
      <c r="S681" s="829"/>
      <c r="T681" s="829"/>
      <c r="U681" s="829"/>
      <c r="V681" s="829"/>
      <c r="W681" s="829"/>
      <c r="X681" s="829"/>
      <c r="Y681" s="829"/>
      <c r="Z681" s="829"/>
      <c r="AA681" s="829"/>
      <c r="AB681" s="829"/>
      <c r="AC681" s="829"/>
      <c r="AD681" s="829"/>
      <c r="AE681" s="829"/>
      <c r="AF681" s="829"/>
      <c r="AG681" s="829"/>
      <c r="AH681" s="829"/>
      <c r="AI681" s="829"/>
      <c r="AJ681" s="829"/>
      <c r="AK681" s="829"/>
      <c r="AL681" s="829"/>
      <c r="AM681" s="829"/>
      <c r="AN681" s="829"/>
    </row>
    <row r="682" spans="1:40" ht="12.75" x14ac:dyDescent="0.2">
      <c r="A682" s="829"/>
      <c r="B682" s="829"/>
      <c r="C682" s="829"/>
      <c r="D682" s="829"/>
      <c r="E682" s="829"/>
      <c r="F682" s="829"/>
      <c r="G682" s="829"/>
      <c r="H682" s="829"/>
      <c r="I682" s="829"/>
      <c r="J682" s="829"/>
      <c r="K682" s="829"/>
      <c r="L682" s="829"/>
      <c r="M682" s="829"/>
      <c r="N682" s="829"/>
      <c r="O682" s="829"/>
      <c r="P682" s="829"/>
      <c r="Q682" s="829"/>
      <c r="R682" s="829"/>
      <c r="S682" s="829"/>
      <c r="T682" s="829"/>
      <c r="U682" s="829"/>
      <c r="V682" s="829"/>
      <c r="W682" s="829"/>
      <c r="X682" s="829"/>
      <c r="Y682" s="829"/>
      <c r="Z682" s="829"/>
      <c r="AA682" s="829"/>
      <c r="AB682" s="829"/>
      <c r="AC682" s="829"/>
      <c r="AD682" s="829"/>
      <c r="AE682" s="829"/>
      <c r="AF682" s="829"/>
      <c r="AG682" s="829"/>
      <c r="AH682" s="829"/>
      <c r="AI682" s="829"/>
      <c r="AJ682" s="829"/>
      <c r="AK682" s="829"/>
      <c r="AL682" s="829"/>
      <c r="AM682" s="829"/>
      <c r="AN682" s="829"/>
    </row>
    <row r="683" spans="1:40" ht="12.75" x14ac:dyDescent="0.2">
      <c r="A683" s="829"/>
      <c r="B683" s="829"/>
      <c r="C683" s="829"/>
      <c r="D683" s="829"/>
      <c r="E683" s="829"/>
      <c r="F683" s="829"/>
      <c r="G683" s="829"/>
      <c r="H683" s="829"/>
      <c r="I683" s="829"/>
      <c r="J683" s="829"/>
      <c r="K683" s="829"/>
      <c r="L683" s="829"/>
      <c r="M683" s="829"/>
      <c r="N683" s="829"/>
      <c r="O683" s="829"/>
      <c r="P683" s="829"/>
      <c r="Q683" s="829"/>
      <c r="R683" s="829"/>
      <c r="S683" s="829"/>
      <c r="T683" s="829"/>
      <c r="U683" s="829"/>
      <c r="V683" s="829"/>
      <c r="W683" s="829"/>
      <c r="X683" s="829"/>
      <c r="Y683" s="829"/>
      <c r="Z683" s="829"/>
      <c r="AA683" s="829"/>
      <c r="AB683" s="829"/>
      <c r="AC683" s="829"/>
      <c r="AD683" s="829"/>
      <c r="AE683" s="829"/>
      <c r="AF683" s="829"/>
      <c r="AG683" s="829"/>
      <c r="AH683" s="829"/>
      <c r="AI683" s="829"/>
      <c r="AJ683" s="829"/>
      <c r="AK683" s="829"/>
      <c r="AL683" s="829"/>
      <c r="AM683" s="829"/>
      <c r="AN683" s="829"/>
    </row>
    <row r="684" spans="1:40" ht="12.75" x14ac:dyDescent="0.2">
      <c r="A684" s="829"/>
      <c r="B684" s="829"/>
      <c r="C684" s="829"/>
      <c r="D684" s="829"/>
      <c r="E684" s="829"/>
      <c r="F684" s="829"/>
      <c r="G684" s="829"/>
      <c r="H684" s="829"/>
      <c r="I684" s="829"/>
      <c r="J684" s="829"/>
      <c r="K684" s="829"/>
      <c r="L684" s="829"/>
      <c r="M684" s="829"/>
      <c r="N684" s="829"/>
      <c r="O684" s="829"/>
      <c r="P684" s="829"/>
      <c r="Q684" s="829"/>
      <c r="R684" s="829"/>
      <c r="S684" s="829"/>
      <c r="T684" s="829"/>
      <c r="U684" s="829"/>
      <c r="V684" s="829"/>
      <c r="W684" s="829"/>
      <c r="X684" s="829"/>
      <c r="Y684" s="829"/>
      <c r="Z684" s="829"/>
      <c r="AA684" s="829"/>
      <c r="AB684" s="829"/>
      <c r="AC684" s="829"/>
      <c r="AD684" s="829"/>
      <c r="AE684" s="829"/>
      <c r="AF684" s="829"/>
      <c r="AG684" s="829"/>
      <c r="AH684" s="829"/>
      <c r="AI684" s="829"/>
      <c r="AJ684" s="829"/>
      <c r="AK684" s="829"/>
      <c r="AL684" s="829"/>
      <c r="AM684" s="829"/>
      <c r="AN684" s="829"/>
    </row>
    <row r="685" spans="1:40" ht="12.75" x14ac:dyDescent="0.2">
      <c r="A685" s="829"/>
      <c r="B685" s="829"/>
      <c r="C685" s="829"/>
      <c r="D685" s="829"/>
      <c r="E685" s="829"/>
      <c r="F685" s="829"/>
      <c r="G685" s="829"/>
      <c r="H685" s="829"/>
      <c r="I685" s="829"/>
      <c r="J685" s="829"/>
      <c r="K685" s="829"/>
      <c r="L685" s="829"/>
      <c r="M685" s="829"/>
      <c r="N685" s="829"/>
      <c r="O685" s="829"/>
      <c r="P685" s="829"/>
      <c r="Q685" s="829"/>
      <c r="R685" s="829"/>
      <c r="S685" s="829"/>
      <c r="T685" s="829"/>
      <c r="U685" s="829"/>
      <c r="V685" s="829"/>
      <c r="W685" s="829"/>
      <c r="X685" s="829"/>
      <c r="Y685" s="829"/>
      <c r="Z685" s="829"/>
      <c r="AA685" s="829"/>
      <c r="AB685" s="829"/>
      <c r="AC685" s="829"/>
      <c r="AD685" s="829"/>
      <c r="AE685" s="829"/>
      <c r="AF685" s="829"/>
      <c r="AG685" s="829"/>
      <c r="AH685" s="829"/>
      <c r="AI685" s="829"/>
      <c r="AJ685" s="829"/>
      <c r="AK685" s="829"/>
      <c r="AL685" s="829"/>
      <c r="AM685" s="829"/>
      <c r="AN685" s="829"/>
    </row>
    <row r="686" spans="1:40" ht="12.75" x14ac:dyDescent="0.2">
      <c r="A686" s="829"/>
      <c r="B686" s="829"/>
      <c r="C686" s="829"/>
      <c r="D686" s="829"/>
      <c r="E686" s="829"/>
      <c r="F686" s="829"/>
      <c r="G686" s="829"/>
      <c r="H686" s="829"/>
      <c r="I686" s="829"/>
      <c r="J686" s="829"/>
      <c r="K686" s="829"/>
      <c r="L686" s="829"/>
      <c r="M686" s="829"/>
      <c r="N686" s="829"/>
      <c r="O686" s="829"/>
      <c r="P686" s="829"/>
      <c r="Q686" s="829"/>
      <c r="R686" s="829"/>
      <c r="S686" s="829"/>
      <c r="T686" s="829"/>
      <c r="U686" s="829"/>
      <c r="V686" s="829"/>
      <c r="W686" s="829"/>
      <c r="X686" s="829"/>
      <c r="Y686" s="829"/>
      <c r="Z686" s="829"/>
      <c r="AA686" s="829"/>
      <c r="AB686" s="829"/>
      <c r="AC686" s="829"/>
      <c r="AD686" s="829"/>
      <c r="AE686" s="829"/>
      <c r="AF686" s="829"/>
      <c r="AG686" s="829"/>
      <c r="AH686" s="829"/>
      <c r="AI686" s="829"/>
      <c r="AJ686" s="829"/>
      <c r="AK686" s="829"/>
      <c r="AL686" s="829"/>
      <c r="AM686" s="829"/>
      <c r="AN686" s="829"/>
    </row>
    <row r="687" spans="1:40" ht="12.75" x14ac:dyDescent="0.2">
      <c r="A687" s="829"/>
      <c r="B687" s="829"/>
      <c r="C687" s="829"/>
      <c r="D687" s="829"/>
      <c r="E687" s="829"/>
      <c r="F687" s="829"/>
      <c r="G687" s="829"/>
      <c r="H687" s="829"/>
      <c r="I687" s="829"/>
      <c r="J687" s="829"/>
      <c r="K687" s="829"/>
      <c r="L687" s="829"/>
      <c r="M687" s="829"/>
      <c r="N687" s="829"/>
      <c r="O687" s="829"/>
      <c r="P687" s="829"/>
      <c r="Q687" s="829"/>
      <c r="R687" s="829"/>
      <c r="S687" s="829"/>
      <c r="T687" s="829"/>
      <c r="U687" s="829"/>
      <c r="V687" s="829"/>
      <c r="W687" s="829"/>
      <c r="X687" s="829"/>
      <c r="Y687" s="829"/>
      <c r="Z687" s="829"/>
      <c r="AA687" s="829"/>
      <c r="AB687" s="829"/>
      <c r="AC687" s="829"/>
      <c r="AD687" s="829"/>
      <c r="AE687" s="829"/>
      <c r="AF687" s="829"/>
      <c r="AG687" s="829"/>
      <c r="AH687" s="829"/>
      <c r="AI687" s="829"/>
      <c r="AJ687" s="829"/>
      <c r="AK687" s="829"/>
      <c r="AL687" s="829"/>
      <c r="AM687" s="829"/>
      <c r="AN687" s="829"/>
    </row>
    <row r="688" spans="1:40" ht="12.75" x14ac:dyDescent="0.2">
      <c r="A688" s="829"/>
      <c r="B688" s="829"/>
      <c r="C688" s="829"/>
      <c r="D688" s="829"/>
      <c r="E688" s="829"/>
      <c r="F688" s="829"/>
      <c r="G688" s="829"/>
      <c r="H688" s="829"/>
      <c r="I688" s="829"/>
      <c r="J688" s="829"/>
      <c r="K688" s="829"/>
      <c r="L688" s="829"/>
      <c r="M688" s="829"/>
      <c r="N688" s="829"/>
      <c r="O688" s="829"/>
      <c r="P688" s="829"/>
      <c r="Q688" s="829"/>
      <c r="R688" s="829"/>
      <c r="S688" s="829"/>
      <c r="T688" s="829"/>
      <c r="U688" s="829"/>
      <c r="V688" s="829"/>
      <c r="W688" s="829"/>
      <c r="X688" s="829"/>
      <c r="Y688" s="829"/>
      <c r="Z688" s="829"/>
      <c r="AA688" s="829"/>
      <c r="AB688" s="829"/>
      <c r="AC688" s="829"/>
      <c r="AD688" s="829"/>
      <c r="AE688" s="829"/>
      <c r="AF688" s="829"/>
      <c r="AG688" s="829"/>
      <c r="AH688" s="829"/>
      <c r="AI688" s="829"/>
      <c r="AJ688" s="829"/>
      <c r="AK688" s="829"/>
      <c r="AL688" s="829"/>
      <c r="AM688" s="829"/>
      <c r="AN688" s="829"/>
    </row>
    <row r="689" spans="1:40" ht="12.75" x14ac:dyDescent="0.2">
      <c r="A689" s="829"/>
      <c r="B689" s="829"/>
      <c r="C689" s="829"/>
      <c r="D689" s="829"/>
      <c r="E689" s="829"/>
      <c r="F689" s="829"/>
      <c r="G689" s="829"/>
      <c r="H689" s="829"/>
      <c r="I689" s="829"/>
      <c r="J689" s="829"/>
      <c r="K689" s="829"/>
      <c r="L689" s="829"/>
      <c r="M689" s="829"/>
      <c r="N689" s="829"/>
      <c r="O689" s="829"/>
      <c r="P689" s="829"/>
      <c r="Q689" s="829"/>
      <c r="R689" s="829"/>
      <c r="S689" s="829"/>
      <c r="T689" s="829"/>
      <c r="U689" s="829"/>
      <c r="V689" s="829"/>
      <c r="W689" s="829"/>
      <c r="X689" s="829"/>
      <c r="Y689" s="829"/>
      <c r="Z689" s="829"/>
      <c r="AA689" s="829"/>
      <c r="AB689" s="829"/>
      <c r="AC689" s="829"/>
      <c r="AD689" s="829"/>
      <c r="AE689" s="829"/>
      <c r="AF689" s="829"/>
      <c r="AG689" s="829"/>
      <c r="AH689" s="829"/>
      <c r="AI689" s="829"/>
      <c r="AJ689" s="829"/>
      <c r="AK689" s="829"/>
      <c r="AL689" s="829"/>
      <c r="AM689" s="829"/>
      <c r="AN689" s="829"/>
    </row>
    <row r="690" spans="1:40" ht="12.75" x14ac:dyDescent="0.2">
      <c r="A690" s="829"/>
      <c r="B690" s="829"/>
      <c r="C690" s="829"/>
      <c r="D690" s="829"/>
      <c r="E690" s="829"/>
      <c r="F690" s="829"/>
      <c r="G690" s="829"/>
      <c r="H690" s="829"/>
      <c r="I690" s="829"/>
      <c r="J690" s="829"/>
      <c r="K690" s="829"/>
      <c r="L690" s="829"/>
      <c r="M690" s="829"/>
      <c r="N690" s="829"/>
      <c r="O690" s="829"/>
      <c r="P690" s="829"/>
      <c r="Q690" s="829"/>
      <c r="R690" s="829"/>
      <c r="S690" s="829"/>
      <c r="T690" s="829"/>
      <c r="U690" s="829"/>
      <c r="V690" s="829"/>
      <c r="W690" s="829"/>
      <c r="X690" s="829"/>
      <c r="Y690" s="829"/>
      <c r="Z690" s="829"/>
      <c r="AA690" s="829"/>
      <c r="AB690" s="829"/>
      <c r="AC690" s="829"/>
      <c r="AD690" s="829"/>
      <c r="AE690" s="829"/>
      <c r="AF690" s="829"/>
      <c r="AG690" s="829"/>
      <c r="AH690" s="829"/>
      <c r="AI690" s="829"/>
      <c r="AJ690" s="829"/>
      <c r="AK690" s="829"/>
      <c r="AL690" s="829"/>
      <c r="AM690" s="829"/>
      <c r="AN690" s="829"/>
    </row>
    <row r="691" spans="1:40" ht="12.75" x14ac:dyDescent="0.2">
      <c r="A691" s="829"/>
      <c r="B691" s="829"/>
      <c r="C691" s="829"/>
      <c r="D691" s="829"/>
      <c r="E691" s="829"/>
      <c r="F691" s="829"/>
      <c r="G691" s="829"/>
      <c r="H691" s="829"/>
      <c r="I691" s="829"/>
      <c r="J691" s="829"/>
      <c r="K691" s="829"/>
      <c r="L691" s="829"/>
      <c r="M691" s="829"/>
      <c r="N691" s="829"/>
      <c r="O691" s="829"/>
      <c r="P691" s="829"/>
      <c r="Q691" s="829"/>
      <c r="R691" s="829"/>
      <c r="S691" s="829"/>
      <c r="T691" s="829"/>
      <c r="U691" s="829"/>
      <c r="V691" s="829"/>
      <c r="W691" s="829"/>
      <c r="X691" s="829"/>
      <c r="Y691" s="829"/>
      <c r="Z691" s="829"/>
      <c r="AA691" s="829"/>
      <c r="AB691" s="829"/>
      <c r="AC691" s="829"/>
      <c r="AD691" s="829"/>
      <c r="AE691" s="829"/>
      <c r="AF691" s="829"/>
      <c r="AG691" s="829"/>
      <c r="AH691" s="829"/>
      <c r="AI691" s="829"/>
      <c r="AJ691" s="829"/>
      <c r="AK691" s="829"/>
      <c r="AL691" s="829"/>
      <c r="AM691" s="829"/>
      <c r="AN691" s="829"/>
    </row>
    <row r="692" spans="1:40" ht="12.75" x14ac:dyDescent="0.2">
      <c r="A692" s="829"/>
      <c r="B692" s="829"/>
      <c r="C692" s="829"/>
      <c r="D692" s="829"/>
      <c r="E692" s="829"/>
      <c r="F692" s="829"/>
      <c r="G692" s="829"/>
      <c r="H692" s="829"/>
      <c r="I692" s="829"/>
      <c r="J692" s="829"/>
      <c r="K692" s="829"/>
      <c r="L692" s="829"/>
      <c r="M692" s="829"/>
      <c r="N692" s="829"/>
      <c r="O692" s="829"/>
      <c r="P692" s="829"/>
      <c r="Q692" s="829"/>
      <c r="R692" s="829"/>
      <c r="S692" s="829"/>
      <c r="T692" s="829"/>
      <c r="U692" s="829"/>
      <c r="V692" s="829"/>
      <c r="W692" s="829"/>
      <c r="X692" s="829"/>
      <c r="Y692" s="829"/>
      <c r="Z692" s="829"/>
      <c r="AA692" s="829"/>
      <c r="AB692" s="829"/>
      <c r="AC692" s="829"/>
      <c r="AD692" s="829"/>
      <c r="AE692" s="829"/>
      <c r="AF692" s="829"/>
      <c r="AG692" s="829"/>
      <c r="AH692" s="829"/>
      <c r="AI692" s="829"/>
      <c r="AJ692" s="829"/>
      <c r="AK692" s="829"/>
      <c r="AL692" s="829"/>
      <c r="AM692" s="829"/>
      <c r="AN692" s="829"/>
    </row>
    <row r="693" spans="1:40" ht="12.75" x14ac:dyDescent="0.2">
      <c r="A693" s="829"/>
      <c r="B693" s="829"/>
      <c r="C693" s="829"/>
      <c r="D693" s="829"/>
      <c r="E693" s="829"/>
      <c r="F693" s="829"/>
      <c r="G693" s="829"/>
      <c r="H693" s="829"/>
      <c r="I693" s="829"/>
      <c r="J693" s="829"/>
      <c r="K693" s="829"/>
      <c r="L693" s="829"/>
      <c r="M693" s="829"/>
      <c r="N693" s="829"/>
      <c r="O693" s="829"/>
      <c r="P693" s="829"/>
      <c r="Q693" s="829"/>
      <c r="R693" s="829"/>
      <c r="S693" s="829"/>
      <c r="T693" s="829"/>
      <c r="U693" s="829"/>
      <c r="V693" s="829"/>
      <c r="W693" s="829"/>
      <c r="X693" s="829"/>
      <c r="Y693" s="829"/>
      <c r="Z693" s="829"/>
      <c r="AA693" s="829"/>
      <c r="AB693" s="829"/>
      <c r="AC693" s="829"/>
      <c r="AD693" s="829"/>
      <c r="AE693" s="829"/>
      <c r="AF693" s="829"/>
      <c r="AG693" s="829"/>
      <c r="AH693" s="829"/>
      <c r="AI693" s="829"/>
      <c r="AJ693" s="829"/>
      <c r="AK693" s="829"/>
      <c r="AL693" s="829"/>
      <c r="AM693" s="829"/>
      <c r="AN693" s="829"/>
    </row>
    <row r="694" spans="1:40" ht="12.75" x14ac:dyDescent="0.2">
      <c r="A694" s="829"/>
      <c r="B694" s="829"/>
      <c r="C694" s="829"/>
      <c r="D694" s="829"/>
      <c r="E694" s="829"/>
      <c r="F694" s="829"/>
      <c r="G694" s="829"/>
      <c r="H694" s="829"/>
      <c r="I694" s="829"/>
      <c r="J694" s="829"/>
      <c r="K694" s="829"/>
      <c r="L694" s="829"/>
      <c r="M694" s="829"/>
      <c r="N694" s="829"/>
      <c r="O694" s="829"/>
      <c r="P694" s="829"/>
      <c r="Q694" s="829"/>
      <c r="R694" s="829"/>
      <c r="S694" s="829"/>
      <c r="T694" s="829"/>
      <c r="U694" s="829"/>
      <c r="V694" s="829"/>
      <c r="W694" s="829"/>
      <c r="X694" s="829"/>
      <c r="Y694" s="829"/>
      <c r="Z694" s="829"/>
      <c r="AA694" s="829"/>
      <c r="AB694" s="829"/>
      <c r="AC694" s="829"/>
      <c r="AD694" s="829"/>
      <c r="AE694" s="829"/>
      <c r="AF694" s="829"/>
      <c r="AG694" s="829"/>
      <c r="AH694" s="829"/>
      <c r="AI694" s="829"/>
      <c r="AJ694" s="829"/>
      <c r="AK694" s="829"/>
      <c r="AL694" s="829"/>
      <c r="AM694" s="829"/>
      <c r="AN694" s="829"/>
    </row>
    <row r="695" spans="1:40" ht="12.75" x14ac:dyDescent="0.2">
      <c r="A695" s="829"/>
      <c r="B695" s="829"/>
      <c r="C695" s="829"/>
      <c r="D695" s="829"/>
      <c r="E695" s="829"/>
      <c r="F695" s="829"/>
      <c r="G695" s="829"/>
      <c r="H695" s="829"/>
      <c r="I695" s="829"/>
      <c r="J695" s="829"/>
      <c r="K695" s="829"/>
      <c r="L695" s="829"/>
      <c r="M695" s="829"/>
      <c r="N695" s="829"/>
      <c r="O695" s="829"/>
      <c r="P695" s="829"/>
      <c r="Q695" s="829"/>
      <c r="R695" s="829"/>
      <c r="S695" s="829"/>
      <c r="T695" s="829"/>
      <c r="U695" s="829"/>
      <c r="V695" s="829"/>
      <c r="W695" s="829"/>
      <c r="X695" s="829"/>
      <c r="Y695" s="829"/>
      <c r="Z695" s="829"/>
      <c r="AA695" s="829"/>
      <c r="AB695" s="829"/>
      <c r="AC695" s="829"/>
      <c r="AD695" s="829"/>
      <c r="AE695" s="829"/>
      <c r="AF695" s="829"/>
      <c r="AG695" s="829"/>
      <c r="AH695" s="829"/>
      <c r="AI695" s="829"/>
      <c r="AJ695" s="829"/>
      <c r="AK695" s="829"/>
      <c r="AL695" s="829"/>
      <c r="AM695" s="829"/>
      <c r="AN695" s="829"/>
    </row>
    <row r="696" spans="1:40" ht="12.75" x14ac:dyDescent="0.2">
      <c r="A696" s="829"/>
      <c r="B696" s="829"/>
      <c r="C696" s="829"/>
      <c r="D696" s="829"/>
      <c r="E696" s="829"/>
      <c r="F696" s="829"/>
      <c r="G696" s="829"/>
      <c r="H696" s="829"/>
      <c r="I696" s="829"/>
      <c r="J696" s="829"/>
      <c r="K696" s="829"/>
      <c r="L696" s="829"/>
      <c r="M696" s="829"/>
      <c r="N696" s="829"/>
      <c r="O696" s="829"/>
      <c r="P696" s="829"/>
      <c r="Q696" s="829"/>
      <c r="R696" s="829"/>
      <c r="S696" s="829"/>
      <c r="T696" s="829"/>
      <c r="U696" s="829"/>
      <c r="V696" s="829"/>
      <c r="W696" s="829"/>
      <c r="X696" s="829"/>
      <c r="Y696" s="829"/>
      <c r="Z696" s="829"/>
      <c r="AA696" s="829"/>
      <c r="AB696" s="829"/>
      <c r="AC696" s="829"/>
      <c r="AD696" s="829"/>
      <c r="AE696" s="829"/>
      <c r="AF696" s="829"/>
      <c r="AG696" s="829"/>
      <c r="AH696" s="829"/>
      <c r="AI696" s="829"/>
      <c r="AJ696" s="829"/>
      <c r="AK696" s="829"/>
      <c r="AL696" s="829"/>
      <c r="AM696" s="829"/>
      <c r="AN696" s="829"/>
    </row>
    <row r="697" spans="1:40" ht="12.75" x14ac:dyDescent="0.2">
      <c r="A697" s="829"/>
      <c r="B697" s="829"/>
      <c r="C697" s="829"/>
      <c r="D697" s="829"/>
      <c r="E697" s="829"/>
      <c r="F697" s="829"/>
      <c r="G697" s="829"/>
      <c r="H697" s="829"/>
      <c r="I697" s="829"/>
      <c r="J697" s="829"/>
      <c r="K697" s="829"/>
      <c r="L697" s="829"/>
      <c r="M697" s="829"/>
      <c r="N697" s="829"/>
      <c r="O697" s="829"/>
      <c r="P697" s="829"/>
      <c r="Q697" s="829"/>
      <c r="R697" s="829"/>
      <c r="S697" s="829"/>
      <c r="T697" s="829"/>
      <c r="U697" s="829"/>
      <c r="V697" s="829"/>
      <c r="W697" s="829"/>
      <c r="X697" s="829"/>
      <c r="Y697" s="829"/>
      <c r="Z697" s="829"/>
      <c r="AA697" s="829"/>
      <c r="AB697" s="829"/>
      <c r="AC697" s="829"/>
      <c r="AD697" s="829"/>
      <c r="AE697" s="829"/>
      <c r="AF697" s="829"/>
      <c r="AG697" s="829"/>
      <c r="AH697" s="829"/>
      <c r="AI697" s="829"/>
      <c r="AJ697" s="829"/>
      <c r="AK697" s="829"/>
      <c r="AL697" s="829"/>
      <c r="AM697" s="829"/>
      <c r="AN697" s="829"/>
    </row>
    <row r="698" spans="1:40" ht="12.75" x14ac:dyDescent="0.2">
      <c r="A698" s="829"/>
      <c r="B698" s="829"/>
      <c r="C698" s="829"/>
      <c r="D698" s="829"/>
      <c r="E698" s="829"/>
      <c r="F698" s="829"/>
      <c r="G698" s="829"/>
      <c r="H698" s="829"/>
      <c r="I698" s="829"/>
      <c r="J698" s="829"/>
      <c r="K698" s="829"/>
      <c r="L698" s="829"/>
      <c r="M698" s="829"/>
      <c r="N698" s="829"/>
      <c r="O698" s="829"/>
      <c r="P698" s="829"/>
      <c r="Q698" s="829"/>
      <c r="R698" s="829"/>
      <c r="S698" s="829"/>
      <c r="T698" s="829"/>
      <c r="U698" s="829"/>
      <c r="V698" s="829"/>
      <c r="W698" s="829"/>
      <c r="X698" s="829"/>
      <c r="Y698" s="829"/>
      <c r="Z698" s="829"/>
      <c r="AA698" s="829"/>
      <c r="AB698" s="829"/>
      <c r="AC698" s="829"/>
      <c r="AD698" s="829"/>
      <c r="AE698" s="829"/>
      <c r="AF698" s="829"/>
      <c r="AG698" s="829"/>
      <c r="AH698" s="829"/>
      <c r="AI698" s="829"/>
      <c r="AJ698" s="829"/>
      <c r="AK698" s="829"/>
      <c r="AL698" s="829"/>
      <c r="AM698" s="829"/>
      <c r="AN698" s="829"/>
    </row>
    <row r="699" spans="1:40" ht="12.75" x14ac:dyDescent="0.2">
      <c r="A699" s="829"/>
      <c r="B699" s="829"/>
      <c r="C699" s="829"/>
      <c r="D699" s="829"/>
      <c r="E699" s="829"/>
      <c r="F699" s="829"/>
      <c r="G699" s="829"/>
      <c r="H699" s="829"/>
      <c r="I699" s="829"/>
      <c r="J699" s="829"/>
      <c r="K699" s="829"/>
      <c r="L699" s="829"/>
      <c r="M699" s="829"/>
      <c r="N699" s="829"/>
      <c r="O699" s="829"/>
      <c r="P699" s="829"/>
      <c r="Q699" s="829"/>
      <c r="R699" s="829"/>
      <c r="S699" s="829"/>
      <c r="T699" s="829"/>
      <c r="U699" s="829"/>
      <c r="V699" s="829"/>
      <c r="W699" s="829"/>
      <c r="X699" s="829"/>
      <c r="Y699" s="829"/>
      <c r="Z699" s="829"/>
      <c r="AA699" s="829"/>
      <c r="AB699" s="829"/>
      <c r="AC699" s="829"/>
      <c r="AD699" s="829"/>
      <c r="AE699" s="829"/>
      <c r="AF699" s="829"/>
      <c r="AG699" s="829"/>
      <c r="AH699" s="829"/>
      <c r="AI699" s="829"/>
      <c r="AJ699" s="829"/>
      <c r="AK699" s="829"/>
      <c r="AL699" s="829"/>
      <c r="AM699" s="829"/>
      <c r="AN699" s="829"/>
    </row>
    <row r="700" spans="1:40" ht="12.75" x14ac:dyDescent="0.2">
      <c r="A700" s="829"/>
      <c r="B700" s="829"/>
      <c r="C700" s="829"/>
      <c r="D700" s="829"/>
      <c r="E700" s="829"/>
      <c r="F700" s="829"/>
      <c r="G700" s="829"/>
      <c r="H700" s="829"/>
      <c r="I700" s="829"/>
      <c r="J700" s="829"/>
      <c r="K700" s="829"/>
      <c r="L700" s="829"/>
      <c r="M700" s="829"/>
      <c r="N700" s="829"/>
      <c r="O700" s="829"/>
      <c r="P700" s="829"/>
      <c r="Q700" s="829"/>
      <c r="R700" s="829"/>
      <c r="S700" s="829"/>
      <c r="T700" s="829"/>
      <c r="U700" s="829"/>
      <c r="V700" s="829"/>
      <c r="W700" s="829"/>
      <c r="X700" s="829"/>
      <c r="Y700" s="829"/>
      <c r="Z700" s="829"/>
      <c r="AA700" s="829"/>
      <c r="AB700" s="829"/>
      <c r="AC700" s="829"/>
      <c r="AD700" s="829"/>
      <c r="AE700" s="829"/>
      <c r="AF700" s="829"/>
      <c r="AG700" s="829"/>
      <c r="AH700" s="829"/>
      <c r="AI700" s="829"/>
      <c r="AJ700" s="829"/>
      <c r="AK700" s="829"/>
      <c r="AL700" s="829"/>
      <c r="AM700" s="829"/>
      <c r="AN700" s="829"/>
    </row>
    <row r="701" spans="1:40" ht="12.75" x14ac:dyDescent="0.2">
      <c r="A701" s="829"/>
      <c r="B701" s="829"/>
      <c r="C701" s="829"/>
      <c r="D701" s="829"/>
      <c r="E701" s="829"/>
      <c r="F701" s="829"/>
      <c r="G701" s="829"/>
      <c r="H701" s="829"/>
      <c r="I701" s="829"/>
      <c r="J701" s="829"/>
      <c r="K701" s="829"/>
      <c r="L701" s="829"/>
      <c r="M701" s="829"/>
      <c r="N701" s="829"/>
      <c r="O701" s="829"/>
      <c r="P701" s="829"/>
      <c r="Q701" s="829"/>
      <c r="R701" s="829"/>
      <c r="S701" s="829"/>
      <c r="T701" s="829"/>
      <c r="U701" s="829"/>
      <c r="V701" s="829"/>
      <c r="W701" s="829"/>
      <c r="X701" s="829"/>
      <c r="Y701" s="829"/>
      <c r="Z701" s="829"/>
      <c r="AA701" s="829"/>
      <c r="AB701" s="829"/>
      <c r="AC701" s="829"/>
      <c r="AD701" s="829"/>
      <c r="AE701" s="829"/>
      <c r="AF701" s="829"/>
      <c r="AG701" s="829"/>
      <c r="AH701" s="829"/>
      <c r="AI701" s="829"/>
      <c r="AJ701" s="829"/>
      <c r="AK701" s="829"/>
      <c r="AL701" s="829"/>
      <c r="AM701" s="829"/>
      <c r="AN701" s="829"/>
    </row>
    <row r="702" spans="1:40" ht="12.75" x14ac:dyDescent="0.2">
      <c r="A702" s="829"/>
      <c r="B702" s="829"/>
      <c r="C702" s="829"/>
      <c r="D702" s="829"/>
      <c r="E702" s="829"/>
      <c r="F702" s="829"/>
      <c r="G702" s="829"/>
      <c r="H702" s="829"/>
      <c r="I702" s="829"/>
      <c r="J702" s="829"/>
      <c r="K702" s="829"/>
      <c r="L702" s="829"/>
      <c r="M702" s="829"/>
      <c r="N702" s="829"/>
      <c r="O702" s="829"/>
      <c r="P702" s="829"/>
      <c r="Q702" s="829"/>
      <c r="R702" s="829"/>
      <c r="S702" s="829"/>
      <c r="T702" s="829"/>
      <c r="U702" s="829"/>
      <c r="V702" s="829"/>
      <c r="W702" s="829"/>
      <c r="X702" s="829"/>
      <c r="Y702" s="829"/>
      <c r="Z702" s="829"/>
      <c r="AA702" s="829"/>
      <c r="AB702" s="829"/>
      <c r="AC702" s="829"/>
      <c r="AD702" s="829"/>
      <c r="AE702" s="829"/>
      <c r="AF702" s="829"/>
      <c r="AG702" s="829"/>
      <c r="AH702" s="829"/>
      <c r="AI702" s="829"/>
      <c r="AJ702" s="829"/>
      <c r="AK702" s="829"/>
      <c r="AL702" s="829"/>
      <c r="AM702" s="829"/>
      <c r="AN702" s="829"/>
    </row>
    <row r="703" spans="1:40" ht="12.75" x14ac:dyDescent="0.2">
      <c r="A703" s="829"/>
      <c r="B703" s="829"/>
      <c r="C703" s="829"/>
      <c r="D703" s="829"/>
      <c r="E703" s="829"/>
      <c r="F703" s="829"/>
      <c r="G703" s="829"/>
      <c r="H703" s="829"/>
      <c r="I703" s="829"/>
      <c r="J703" s="829"/>
      <c r="K703" s="829"/>
      <c r="L703" s="829"/>
      <c r="M703" s="829"/>
      <c r="N703" s="829"/>
      <c r="O703" s="829"/>
      <c r="P703" s="829"/>
      <c r="Q703" s="829"/>
      <c r="R703" s="829"/>
      <c r="S703" s="829"/>
      <c r="T703" s="829"/>
      <c r="U703" s="829"/>
      <c r="V703" s="829"/>
      <c r="W703" s="829"/>
      <c r="X703" s="829"/>
      <c r="Y703" s="829"/>
      <c r="Z703" s="829"/>
      <c r="AA703" s="829"/>
      <c r="AB703" s="829"/>
      <c r="AC703" s="829"/>
      <c r="AD703" s="829"/>
      <c r="AE703" s="829"/>
      <c r="AF703" s="829"/>
      <c r="AG703" s="829"/>
      <c r="AH703" s="829"/>
      <c r="AI703" s="829"/>
      <c r="AJ703" s="829"/>
      <c r="AK703" s="829"/>
      <c r="AL703" s="829"/>
      <c r="AM703" s="829"/>
      <c r="AN703" s="829"/>
    </row>
    <row r="704" spans="1:40" ht="12.75" x14ac:dyDescent="0.2">
      <c r="A704" s="829"/>
      <c r="B704" s="829"/>
      <c r="C704" s="829"/>
      <c r="D704" s="829"/>
      <c r="E704" s="829"/>
      <c r="F704" s="829"/>
      <c r="G704" s="829"/>
      <c r="H704" s="829"/>
      <c r="I704" s="829"/>
      <c r="J704" s="829"/>
      <c r="K704" s="829"/>
      <c r="L704" s="829"/>
      <c r="M704" s="829"/>
      <c r="N704" s="829"/>
      <c r="O704" s="829"/>
      <c r="P704" s="829"/>
      <c r="Q704" s="829"/>
      <c r="R704" s="829"/>
      <c r="S704" s="829"/>
      <c r="T704" s="829"/>
      <c r="U704" s="829"/>
      <c r="V704" s="829"/>
      <c r="W704" s="829"/>
      <c r="X704" s="829"/>
      <c r="Y704" s="829"/>
      <c r="Z704" s="829"/>
      <c r="AA704" s="829"/>
      <c r="AB704" s="829"/>
      <c r="AC704" s="829"/>
      <c r="AD704" s="829"/>
      <c r="AE704" s="829"/>
      <c r="AF704" s="829"/>
      <c r="AG704" s="829"/>
      <c r="AH704" s="829"/>
      <c r="AI704" s="829"/>
      <c r="AJ704" s="829"/>
      <c r="AK704" s="829"/>
      <c r="AL704" s="829"/>
      <c r="AM704" s="829"/>
      <c r="AN704" s="829"/>
    </row>
    <row r="705" spans="1:40" ht="12.75" x14ac:dyDescent="0.2">
      <c r="A705" s="829"/>
      <c r="B705" s="829"/>
      <c r="C705" s="829"/>
      <c r="D705" s="829"/>
      <c r="E705" s="829"/>
      <c r="F705" s="829"/>
      <c r="G705" s="829"/>
      <c r="H705" s="829"/>
      <c r="I705" s="829"/>
      <c r="J705" s="829"/>
      <c r="K705" s="829"/>
      <c r="L705" s="829"/>
      <c r="M705" s="829"/>
      <c r="N705" s="829"/>
      <c r="O705" s="829"/>
      <c r="P705" s="829"/>
      <c r="Q705" s="829"/>
      <c r="R705" s="829"/>
      <c r="S705" s="829"/>
      <c r="T705" s="829"/>
      <c r="U705" s="829"/>
      <c r="V705" s="829"/>
      <c r="W705" s="829"/>
      <c r="X705" s="829"/>
      <c r="Y705" s="829"/>
      <c r="Z705" s="829"/>
      <c r="AA705" s="829"/>
      <c r="AB705" s="829"/>
      <c r="AC705" s="829"/>
      <c r="AD705" s="829"/>
      <c r="AE705" s="829"/>
      <c r="AF705" s="829"/>
      <c r="AG705" s="829"/>
      <c r="AH705" s="829"/>
      <c r="AI705" s="829"/>
      <c r="AJ705" s="829"/>
      <c r="AK705" s="829"/>
      <c r="AL705" s="829"/>
      <c r="AM705" s="829"/>
      <c r="AN705" s="829"/>
    </row>
    <row r="706" spans="1:40" ht="12.75" x14ac:dyDescent="0.2">
      <c r="A706" s="829"/>
      <c r="B706" s="829"/>
      <c r="C706" s="829"/>
      <c r="D706" s="829"/>
      <c r="E706" s="829"/>
      <c r="F706" s="829"/>
      <c r="G706" s="829"/>
      <c r="H706" s="829"/>
      <c r="I706" s="829"/>
      <c r="J706" s="829"/>
      <c r="K706" s="829"/>
      <c r="L706" s="829"/>
      <c r="M706" s="829"/>
      <c r="N706" s="829"/>
      <c r="O706" s="829"/>
      <c r="P706" s="829"/>
      <c r="Q706" s="829"/>
      <c r="R706" s="829"/>
      <c r="S706" s="829"/>
      <c r="T706" s="829"/>
      <c r="U706" s="829"/>
      <c r="V706" s="829"/>
      <c r="W706" s="829"/>
      <c r="X706" s="829"/>
      <c r="Y706" s="829"/>
      <c r="Z706" s="829"/>
      <c r="AA706" s="829"/>
      <c r="AB706" s="829"/>
      <c r="AC706" s="829"/>
      <c r="AD706" s="829"/>
      <c r="AE706" s="829"/>
      <c r="AF706" s="829"/>
      <c r="AG706" s="829"/>
      <c r="AH706" s="829"/>
      <c r="AI706" s="829"/>
      <c r="AJ706" s="829"/>
      <c r="AK706" s="829"/>
      <c r="AL706" s="829"/>
      <c r="AM706" s="829"/>
      <c r="AN706" s="829"/>
    </row>
    <row r="707" spans="1:40" ht="12.75" x14ac:dyDescent="0.2">
      <c r="A707" s="829"/>
      <c r="B707" s="829"/>
      <c r="C707" s="829"/>
      <c r="D707" s="829"/>
      <c r="E707" s="829"/>
      <c r="F707" s="829"/>
      <c r="G707" s="829"/>
      <c r="H707" s="829"/>
      <c r="I707" s="829"/>
      <c r="J707" s="829"/>
      <c r="K707" s="829"/>
      <c r="L707" s="829"/>
      <c r="M707" s="829"/>
      <c r="N707" s="829"/>
      <c r="O707" s="829"/>
      <c r="P707" s="829"/>
      <c r="Q707" s="829"/>
      <c r="R707" s="829"/>
      <c r="S707" s="829"/>
      <c r="T707" s="829"/>
      <c r="U707" s="829"/>
      <c r="V707" s="829"/>
      <c r="W707" s="829"/>
      <c r="X707" s="829"/>
      <c r="Y707" s="829"/>
      <c r="Z707" s="829"/>
      <c r="AA707" s="829"/>
      <c r="AB707" s="829"/>
      <c r="AC707" s="829"/>
      <c r="AD707" s="829"/>
      <c r="AE707" s="829"/>
      <c r="AF707" s="829"/>
      <c r="AG707" s="829"/>
      <c r="AH707" s="829"/>
      <c r="AI707" s="829"/>
      <c r="AJ707" s="829"/>
      <c r="AK707" s="829"/>
      <c r="AL707" s="829"/>
      <c r="AM707" s="829"/>
      <c r="AN707" s="829"/>
    </row>
    <row r="708" spans="1:40" ht="12.75" x14ac:dyDescent="0.2">
      <c r="A708" s="829"/>
      <c r="B708" s="829"/>
      <c r="C708" s="829"/>
      <c r="D708" s="829"/>
      <c r="E708" s="829"/>
      <c r="F708" s="829"/>
      <c r="G708" s="829"/>
      <c r="H708" s="829"/>
      <c r="I708" s="829"/>
      <c r="J708" s="829"/>
      <c r="K708" s="829"/>
      <c r="L708" s="829"/>
      <c r="M708" s="829"/>
      <c r="N708" s="829"/>
      <c r="O708" s="829"/>
      <c r="P708" s="829"/>
      <c r="Q708" s="829"/>
      <c r="R708" s="829"/>
      <c r="S708" s="829"/>
      <c r="T708" s="829"/>
      <c r="U708" s="829"/>
      <c r="V708" s="829"/>
      <c r="W708" s="829"/>
      <c r="X708" s="829"/>
      <c r="Y708" s="829"/>
      <c r="Z708" s="829"/>
      <c r="AA708" s="829"/>
      <c r="AB708" s="829"/>
      <c r="AC708" s="829"/>
      <c r="AD708" s="829"/>
      <c r="AE708" s="829"/>
      <c r="AF708" s="829"/>
      <c r="AG708" s="829"/>
      <c r="AH708" s="829"/>
      <c r="AI708" s="829"/>
      <c r="AJ708" s="829"/>
      <c r="AK708" s="829"/>
      <c r="AL708" s="829"/>
      <c r="AM708" s="829"/>
      <c r="AN708" s="829"/>
    </row>
    <row r="709" spans="1:40" ht="12.75" x14ac:dyDescent="0.2">
      <c r="A709" s="829"/>
      <c r="B709" s="829"/>
      <c r="C709" s="829"/>
      <c r="D709" s="829"/>
      <c r="E709" s="829"/>
      <c r="F709" s="829"/>
      <c r="G709" s="829"/>
      <c r="H709" s="829"/>
      <c r="I709" s="829"/>
      <c r="J709" s="829"/>
      <c r="K709" s="829"/>
      <c r="L709" s="829"/>
      <c r="M709" s="829"/>
      <c r="N709" s="829"/>
      <c r="O709" s="829"/>
      <c r="P709" s="829"/>
      <c r="Q709" s="829"/>
      <c r="R709" s="829"/>
      <c r="S709" s="829"/>
      <c r="T709" s="829"/>
      <c r="U709" s="829"/>
      <c r="V709" s="829"/>
      <c r="W709" s="829"/>
      <c r="X709" s="829"/>
      <c r="Y709" s="829"/>
      <c r="Z709" s="829"/>
      <c r="AA709" s="829"/>
      <c r="AB709" s="829"/>
      <c r="AC709" s="829"/>
      <c r="AD709" s="829"/>
      <c r="AE709" s="829"/>
      <c r="AF709" s="829"/>
      <c r="AG709" s="829"/>
      <c r="AH709" s="829"/>
      <c r="AI709" s="829"/>
      <c r="AJ709" s="829"/>
      <c r="AK709" s="829"/>
      <c r="AL709" s="829"/>
      <c r="AM709" s="829"/>
      <c r="AN709" s="829"/>
    </row>
    <row r="710" spans="1:40" ht="12.75" x14ac:dyDescent="0.2">
      <c r="A710" s="829"/>
      <c r="B710" s="829"/>
      <c r="C710" s="829"/>
      <c r="D710" s="829"/>
      <c r="E710" s="829"/>
      <c r="F710" s="829"/>
      <c r="G710" s="829"/>
      <c r="H710" s="829"/>
      <c r="I710" s="829"/>
      <c r="J710" s="829"/>
      <c r="K710" s="829"/>
      <c r="L710" s="829"/>
      <c r="M710" s="829"/>
      <c r="N710" s="829"/>
      <c r="O710" s="829"/>
      <c r="P710" s="829"/>
      <c r="Q710" s="829"/>
      <c r="R710" s="829"/>
      <c r="S710" s="829"/>
      <c r="T710" s="829"/>
      <c r="U710" s="829"/>
      <c r="V710" s="829"/>
      <c r="W710" s="829"/>
      <c r="X710" s="829"/>
      <c r="Y710" s="829"/>
      <c r="Z710" s="829"/>
      <c r="AA710" s="829"/>
      <c r="AB710" s="829"/>
      <c r="AC710" s="829"/>
      <c r="AD710" s="829"/>
      <c r="AE710" s="829"/>
      <c r="AF710" s="829"/>
      <c r="AG710" s="829"/>
      <c r="AH710" s="829"/>
      <c r="AI710" s="829"/>
      <c r="AJ710" s="829"/>
      <c r="AK710" s="829"/>
      <c r="AL710" s="829"/>
      <c r="AM710" s="829"/>
      <c r="AN710" s="829"/>
    </row>
    <row r="711" spans="1:40" ht="12.75" x14ac:dyDescent="0.2">
      <c r="A711" s="829"/>
      <c r="B711" s="829"/>
      <c r="C711" s="829"/>
      <c r="D711" s="829"/>
      <c r="E711" s="829"/>
      <c r="F711" s="829"/>
      <c r="G711" s="829"/>
      <c r="H711" s="829"/>
      <c r="I711" s="829"/>
      <c r="J711" s="829"/>
      <c r="K711" s="829"/>
      <c r="L711" s="829"/>
      <c r="M711" s="829"/>
      <c r="N711" s="829"/>
      <c r="O711" s="829"/>
      <c r="P711" s="829"/>
      <c r="Q711" s="829"/>
      <c r="R711" s="829"/>
      <c r="S711" s="829"/>
      <c r="T711" s="829"/>
      <c r="U711" s="829"/>
      <c r="V711" s="829"/>
      <c r="W711" s="829"/>
      <c r="X711" s="829"/>
      <c r="Y711" s="829"/>
      <c r="Z711" s="829"/>
      <c r="AA711" s="829"/>
      <c r="AB711" s="829"/>
      <c r="AC711" s="829"/>
      <c r="AD711" s="829"/>
      <c r="AE711" s="829"/>
      <c r="AF711" s="829"/>
      <c r="AG711" s="829"/>
      <c r="AH711" s="829"/>
      <c r="AI711" s="829"/>
      <c r="AJ711" s="829"/>
      <c r="AK711" s="829"/>
      <c r="AL711" s="829"/>
      <c r="AM711" s="829"/>
      <c r="AN711" s="829"/>
    </row>
    <row r="712" spans="1:40" ht="12.75" x14ac:dyDescent="0.2">
      <c r="A712" s="829"/>
      <c r="B712" s="829"/>
      <c r="C712" s="829"/>
      <c r="D712" s="829"/>
      <c r="E712" s="829"/>
      <c r="F712" s="829"/>
      <c r="G712" s="829"/>
      <c r="H712" s="829"/>
      <c r="I712" s="829"/>
      <c r="J712" s="829"/>
      <c r="K712" s="829"/>
      <c r="L712" s="829"/>
      <c r="M712" s="829"/>
      <c r="N712" s="829"/>
      <c r="O712" s="829"/>
      <c r="P712" s="829"/>
      <c r="Q712" s="829"/>
      <c r="R712" s="829"/>
      <c r="S712" s="829"/>
      <c r="T712" s="829"/>
      <c r="U712" s="829"/>
      <c r="V712" s="829"/>
      <c r="W712" s="829"/>
      <c r="X712" s="829"/>
      <c r="Y712" s="829"/>
      <c r="Z712" s="829"/>
      <c r="AA712" s="829"/>
      <c r="AB712" s="829"/>
      <c r="AC712" s="829"/>
      <c r="AD712" s="829"/>
      <c r="AE712" s="829"/>
      <c r="AF712" s="829"/>
      <c r="AG712" s="829"/>
      <c r="AH712" s="829"/>
      <c r="AI712" s="829"/>
      <c r="AJ712" s="829"/>
      <c r="AK712" s="829"/>
      <c r="AL712" s="829"/>
      <c r="AM712" s="829"/>
      <c r="AN712" s="829"/>
    </row>
    <row r="713" spans="1:40" ht="12.75" x14ac:dyDescent="0.2">
      <c r="A713" s="829"/>
      <c r="B713" s="829"/>
      <c r="C713" s="829"/>
      <c r="D713" s="829"/>
      <c r="E713" s="829"/>
      <c r="F713" s="829"/>
      <c r="G713" s="829"/>
      <c r="H713" s="829"/>
      <c r="I713" s="829"/>
      <c r="J713" s="829"/>
      <c r="K713" s="829"/>
      <c r="L713" s="829"/>
      <c r="M713" s="829"/>
      <c r="N713" s="829"/>
      <c r="O713" s="829"/>
      <c r="P713" s="829"/>
      <c r="Q713" s="829"/>
      <c r="R713" s="829"/>
      <c r="S713" s="829"/>
      <c r="T713" s="829"/>
      <c r="U713" s="829"/>
      <c r="V713" s="829"/>
      <c r="W713" s="829"/>
      <c r="X713" s="829"/>
      <c r="Y713" s="829"/>
      <c r="Z713" s="829"/>
      <c r="AA713" s="829"/>
      <c r="AB713" s="829"/>
      <c r="AC713" s="829"/>
      <c r="AD713" s="829"/>
      <c r="AE713" s="829"/>
      <c r="AF713" s="829"/>
      <c r="AG713" s="829"/>
      <c r="AH713" s="829"/>
      <c r="AI713" s="829"/>
      <c r="AJ713" s="829"/>
      <c r="AK713" s="829"/>
      <c r="AL713" s="829"/>
      <c r="AM713" s="829"/>
      <c r="AN713" s="829"/>
    </row>
    <row r="714" spans="1:40" ht="12.75" x14ac:dyDescent="0.2">
      <c r="A714" s="829"/>
      <c r="B714" s="829"/>
      <c r="C714" s="829"/>
      <c r="D714" s="829"/>
      <c r="E714" s="829"/>
      <c r="F714" s="829"/>
      <c r="G714" s="829"/>
      <c r="H714" s="829"/>
      <c r="I714" s="829"/>
      <c r="J714" s="829"/>
      <c r="K714" s="829"/>
      <c r="L714" s="829"/>
      <c r="M714" s="829"/>
      <c r="N714" s="829"/>
      <c r="O714" s="829"/>
      <c r="P714" s="829"/>
      <c r="Q714" s="829"/>
      <c r="R714" s="829"/>
      <c r="S714" s="829"/>
      <c r="T714" s="829"/>
      <c r="U714" s="829"/>
      <c r="V714" s="829"/>
      <c r="W714" s="829"/>
      <c r="X714" s="829"/>
      <c r="Y714" s="829"/>
      <c r="Z714" s="829"/>
      <c r="AA714" s="829"/>
      <c r="AB714" s="829"/>
      <c r="AC714" s="829"/>
      <c r="AD714" s="829"/>
      <c r="AE714" s="829"/>
      <c r="AF714" s="829"/>
      <c r="AG714" s="829"/>
      <c r="AH714" s="829"/>
      <c r="AI714" s="829"/>
      <c r="AJ714" s="829"/>
      <c r="AK714" s="829"/>
      <c r="AL714" s="829"/>
      <c r="AM714" s="829"/>
      <c r="AN714" s="829"/>
    </row>
    <row r="715" spans="1:40" ht="12.75" x14ac:dyDescent="0.2">
      <c r="A715" s="829"/>
      <c r="B715" s="829"/>
      <c r="C715" s="829"/>
      <c r="D715" s="829"/>
      <c r="E715" s="829"/>
      <c r="F715" s="829"/>
      <c r="G715" s="829"/>
      <c r="H715" s="829"/>
      <c r="I715" s="829"/>
      <c r="J715" s="829"/>
      <c r="K715" s="829"/>
      <c r="L715" s="829"/>
      <c r="M715" s="829"/>
      <c r="N715" s="829"/>
      <c r="O715" s="829"/>
      <c r="P715" s="829"/>
      <c r="Q715" s="829"/>
      <c r="R715" s="829"/>
      <c r="S715" s="829"/>
      <c r="T715" s="829"/>
      <c r="U715" s="829"/>
      <c r="V715" s="829"/>
      <c r="W715" s="829"/>
      <c r="X715" s="829"/>
      <c r="Y715" s="829"/>
      <c r="Z715" s="829"/>
      <c r="AA715" s="829"/>
      <c r="AB715" s="829"/>
      <c r="AC715" s="829"/>
      <c r="AD715" s="829"/>
      <c r="AE715" s="829"/>
      <c r="AF715" s="829"/>
      <c r="AG715" s="829"/>
      <c r="AH715" s="829"/>
      <c r="AI715" s="829"/>
      <c r="AJ715" s="829"/>
      <c r="AK715" s="829"/>
      <c r="AL715" s="829"/>
      <c r="AM715" s="829"/>
      <c r="AN715" s="829"/>
    </row>
    <row r="716" spans="1:40" ht="12.75" x14ac:dyDescent="0.2">
      <c r="A716" s="829"/>
      <c r="B716" s="829"/>
      <c r="C716" s="829"/>
      <c r="D716" s="829"/>
      <c r="E716" s="829"/>
      <c r="F716" s="829"/>
      <c r="G716" s="829"/>
      <c r="H716" s="829"/>
      <c r="I716" s="829"/>
      <c r="J716" s="829"/>
      <c r="K716" s="829"/>
      <c r="L716" s="829"/>
      <c r="M716" s="829"/>
      <c r="N716" s="829"/>
      <c r="O716" s="829"/>
      <c r="P716" s="829"/>
      <c r="Q716" s="829"/>
      <c r="R716" s="829"/>
      <c r="S716" s="829"/>
      <c r="T716" s="829"/>
      <c r="U716" s="829"/>
      <c r="V716" s="829"/>
      <c r="W716" s="829"/>
      <c r="X716" s="829"/>
      <c r="Y716" s="829"/>
      <c r="Z716" s="829"/>
      <c r="AA716" s="829"/>
      <c r="AB716" s="829"/>
      <c r="AC716" s="829"/>
      <c r="AD716" s="829"/>
      <c r="AE716" s="829"/>
      <c r="AF716" s="829"/>
      <c r="AG716" s="829"/>
      <c r="AH716" s="829"/>
      <c r="AI716" s="829"/>
      <c r="AJ716" s="829"/>
      <c r="AK716" s="829"/>
      <c r="AL716" s="829"/>
      <c r="AM716" s="829"/>
      <c r="AN716" s="829"/>
    </row>
    <row r="717" spans="1:40" ht="12.75" x14ac:dyDescent="0.2">
      <c r="A717" s="829"/>
      <c r="B717" s="829"/>
      <c r="C717" s="829"/>
      <c r="D717" s="829"/>
      <c r="E717" s="829"/>
      <c r="F717" s="829"/>
      <c r="G717" s="829"/>
      <c r="H717" s="829"/>
      <c r="I717" s="829"/>
      <c r="J717" s="829"/>
      <c r="K717" s="829"/>
      <c r="L717" s="829"/>
      <c r="M717" s="829"/>
      <c r="N717" s="829"/>
      <c r="O717" s="829"/>
      <c r="P717" s="829"/>
      <c r="Q717" s="829"/>
      <c r="R717" s="829"/>
      <c r="S717" s="829"/>
      <c r="T717" s="829"/>
      <c r="U717" s="829"/>
      <c r="V717" s="829"/>
      <c r="W717" s="829"/>
      <c r="X717" s="829"/>
      <c r="Y717" s="829"/>
      <c r="Z717" s="829"/>
      <c r="AA717" s="829"/>
      <c r="AB717" s="829"/>
      <c r="AC717" s="829"/>
      <c r="AD717" s="829"/>
      <c r="AE717" s="829"/>
      <c r="AF717" s="829"/>
      <c r="AG717" s="829"/>
      <c r="AH717" s="829"/>
      <c r="AI717" s="829"/>
      <c r="AJ717" s="829"/>
      <c r="AK717" s="829"/>
      <c r="AL717" s="829"/>
      <c r="AM717" s="829"/>
      <c r="AN717" s="829"/>
    </row>
    <row r="718" spans="1:40" ht="12.75" x14ac:dyDescent="0.2">
      <c r="A718" s="829"/>
      <c r="B718" s="829"/>
      <c r="C718" s="829"/>
      <c r="D718" s="829"/>
      <c r="E718" s="829"/>
      <c r="F718" s="829"/>
      <c r="G718" s="829"/>
      <c r="H718" s="829"/>
      <c r="I718" s="829"/>
      <c r="J718" s="829"/>
      <c r="K718" s="829"/>
      <c r="L718" s="829"/>
      <c r="M718" s="829"/>
      <c r="N718" s="829"/>
      <c r="O718" s="829"/>
      <c r="P718" s="829"/>
      <c r="Q718" s="829"/>
      <c r="R718" s="829"/>
      <c r="S718" s="829"/>
      <c r="T718" s="829"/>
      <c r="U718" s="829"/>
      <c r="V718" s="829"/>
      <c r="W718" s="829"/>
      <c r="X718" s="829"/>
      <c r="Y718" s="829"/>
      <c r="Z718" s="829"/>
      <c r="AA718" s="829"/>
      <c r="AB718" s="829"/>
      <c r="AC718" s="829"/>
      <c r="AD718" s="829"/>
      <c r="AE718" s="829"/>
      <c r="AF718" s="829"/>
      <c r="AG718" s="829"/>
      <c r="AH718" s="829"/>
      <c r="AI718" s="829"/>
      <c r="AJ718" s="829"/>
      <c r="AK718" s="829"/>
      <c r="AL718" s="829"/>
      <c r="AM718" s="829"/>
      <c r="AN718" s="829"/>
    </row>
    <row r="719" spans="1:40" ht="12.75" x14ac:dyDescent="0.2">
      <c r="A719" s="829"/>
      <c r="B719" s="829"/>
      <c r="C719" s="829"/>
      <c r="D719" s="829"/>
      <c r="E719" s="829"/>
      <c r="F719" s="829"/>
      <c r="G719" s="829"/>
      <c r="H719" s="829"/>
      <c r="I719" s="829"/>
      <c r="J719" s="829"/>
      <c r="K719" s="829"/>
      <c r="L719" s="829"/>
      <c r="M719" s="829"/>
      <c r="N719" s="829"/>
      <c r="O719" s="829"/>
      <c r="P719" s="829"/>
      <c r="Q719" s="829"/>
      <c r="R719" s="829"/>
      <c r="S719" s="829"/>
      <c r="T719" s="829"/>
      <c r="U719" s="829"/>
      <c r="V719" s="829"/>
      <c r="W719" s="829"/>
      <c r="X719" s="829"/>
      <c r="Y719" s="829"/>
      <c r="Z719" s="829"/>
      <c r="AA719" s="829"/>
      <c r="AB719" s="829"/>
      <c r="AC719" s="829"/>
      <c r="AD719" s="829"/>
      <c r="AE719" s="829"/>
      <c r="AF719" s="829"/>
      <c r="AG719" s="829"/>
      <c r="AH719" s="829"/>
      <c r="AI719" s="829"/>
      <c r="AJ719" s="829"/>
      <c r="AK719" s="829"/>
      <c r="AL719" s="829"/>
      <c r="AM719" s="829"/>
      <c r="AN719" s="829"/>
    </row>
    <row r="720" spans="1:40" ht="12.75" x14ac:dyDescent="0.2">
      <c r="A720" s="829"/>
      <c r="B720" s="829"/>
      <c r="C720" s="829"/>
      <c r="D720" s="829"/>
      <c r="E720" s="829"/>
      <c r="F720" s="829"/>
      <c r="G720" s="829"/>
      <c r="H720" s="829"/>
      <c r="I720" s="829"/>
      <c r="J720" s="829"/>
      <c r="K720" s="829"/>
      <c r="L720" s="829"/>
      <c r="M720" s="829"/>
      <c r="N720" s="829"/>
      <c r="O720" s="829"/>
      <c r="P720" s="829"/>
      <c r="Q720" s="829"/>
      <c r="R720" s="829"/>
      <c r="S720" s="829"/>
      <c r="T720" s="829"/>
      <c r="U720" s="829"/>
      <c r="V720" s="829"/>
      <c r="W720" s="829"/>
      <c r="X720" s="829"/>
      <c r="Y720" s="829"/>
      <c r="Z720" s="829"/>
      <c r="AA720" s="829"/>
      <c r="AB720" s="829"/>
      <c r="AC720" s="829"/>
      <c r="AD720" s="829"/>
      <c r="AE720" s="829"/>
      <c r="AF720" s="829"/>
      <c r="AG720" s="829"/>
      <c r="AH720" s="829"/>
      <c r="AI720" s="829"/>
      <c r="AJ720" s="829"/>
      <c r="AK720" s="829"/>
      <c r="AL720" s="829"/>
      <c r="AM720" s="829"/>
      <c r="AN720" s="829"/>
    </row>
    <row r="721" spans="1:40" ht="12.75" x14ac:dyDescent="0.2">
      <c r="A721" s="829"/>
      <c r="B721" s="829"/>
      <c r="C721" s="829"/>
      <c r="D721" s="829"/>
      <c r="E721" s="829"/>
      <c r="F721" s="829"/>
      <c r="G721" s="829"/>
      <c r="H721" s="829"/>
      <c r="I721" s="829"/>
      <c r="J721" s="829"/>
      <c r="K721" s="829"/>
      <c r="L721" s="829"/>
      <c r="M721" s="829"/>
      <c r="N721" s="829"/>
      <c r="O721" s="829"/>
      <c r="P721" s="829"/>
      <c r="Q721" s="829"/>
      <c r="R721" s="829"/>
      <c r="S721" s="829"/>
      <c r="T721" s="829"/>
      <c r="U721" s="829"/>
      <c r="V721" s="829"/>
      <c r="W721" s="829"/>
      <c r="X721" s="829"/>
      <c r="Y721" s="829"/>
      <c r="Z721" s="829"/>
      <c r="AA721" s="829"/>
      <c r="AB721" s="829"/>
      <c r="AC721" s="829"/>
      <c r="AD721" s="829"/>
      <c r="AE721" s="829"/>
      <c r="AF721" s="829"/>
      <c r="AG721" s="829"/>
      <c r="AH721" s="829"/>
      <c r="AI721" s="829"/>
      <c r="AJ721" s="829"/>
      <c r="AK721" s="829"/>
      <c r="AL721" s="829"/>
      <c r="AM721" s="829"/>
      <c r="AN721" s="829"/>
    </row>
    <row r="722" spans="1:40" ht="12.75" x14ac:dyDescent="0.2">
      <c r="A722" s="829"/>
      <c r="B722" s="829"/>
      <c r="C722" s="829"/>
      <c r="D722" s="829"/>
      <c r="E722" s="829"/>
      <c r="F722" s="829"/>
      <c r="G722" s="829"/>
      <c r="H722" s="829"/>
      <c r="I722" s="829"/>
      <c r="J722" s="829"/>
      <c r="K722" s="829"/>
      <c r="L722" s="829"/>
      <c r="M722" s="829"/>
      <c r="N722" s="829"/>
      <c r="O722" s="829"/>
      <c r="P722" s="829"/>
      <c r="Q722" s="829"/>
      <c r="R722" s="829"/>
      <c r="S722" s="829"/>
      <c r="T722" s="829"/>
      <c r="U722" s="829"/>
      <c r="V722" s="829"/>
      <c r="W722" s="829"/>
      <c r="X722" s="829"/>
      <c r="Y722" s="829"/>
      <c r="Z722" s="829"/>
      <c r="AA722" s="829"/>
      <c r="AB722" s="829"/>
      <c r="AC722" s="829"/>
      <c r="AD722" s="829"/>
      <c r="AE722" s="829"/>
      <c r="AF722" s="829"/>
      <c r="AG722" s="829"/>
      <c r="AH722" s="829"/>
      <c r="AI722" s="829"/>
      <c r="AJ722" s="829"/>
      <c r="AK722" s="829"/>
      <c r="AL722" s="829"/>
      <c r="AM722" s="829"/>
      <c r="AN722" s="829"/>
    </row>
    <row r="723" spans="1:40" ht="12.75" x14ac:dyDescent="0.2">
      <c r="A723" s="829"/>
      <c r="B723" s="829"/>
      <c r="C723" s="829"/>
      <c r="D723" s="829"/>
      <c r="E723" s="829"/>
      <c r="F723" s="829"/>
      <c r="G723" s="829"/>
      <c r="H723" s="829"/>
      <c r="I723" s="829"/>
      <c r="J723" s="829"/>
      <c r="K723" s="829"/>
      <c r="L723" s="829"/>
      <c r="M723" s="829"/>
      <c r="N723" s="829"/>
      <c r="O723" s="829"/>
      <c r="P723" s="829"/>
      <c r="Q723" s="829"/>
      <c r="R723" s="829"/>
      <c r="S723" s="829"/>
      <c r="T723" s="829"/>
      <c r="U723" s="829"/>
      <c r="V723" s="829"/>
      <c r="W723" s="829"/>
      <c r="X723" s="829"/>
      <c r="Y723" s="829"/>
      <c r="Z723" s="829"/>
      <c r="AA723" s="829"/>
      <c r="AB723" s="829"/>
      <c r="AC723" s="829"/>
      <c r="AD723" s="829"/>
      <c r="AE723" s="829"/>
      <c r="AF723" s="829"/>
      <c r="AG723" s="829"/>
      <c r="AH723" s="829"/>
      <c r="AI723" s="829"/>
      <c r="AJ723" s="829"/>
      <c r="AK723" s="829"/>
      <c r="AL723" s="829"/>
      <c r="AM723" s="829"/>
      <c r="AN723" s="829"/>
    </row>
    <row r="724" spans="1:40" ht="12.75" x14ac:dyDescent="0.2">
      <c r="A724" s="829"/>
      <c r="B724" s="829"/>
      <c r="C724" s="829"/>
      <c r="D724" s="829"/>
      <c r="E724" s="829"/>
      <c r="F724" s="829"/>
      <c r="G724" s="829"/>
      <c r="H724" s="829"/>
      <c r="I724" s="829"/>
      <c r="J724" s="829"/>
      <c r="K724" s="829"/>
      <c r="L724" s="829"/>
      <c r="M724" s="829"/>
      <c r="N724" s="829"/>
      <c r="O724" s="829"/>
      <c r="P724" s="829"/>
      <c r="Q724" s="829"/>
      <c r="R724" s="829"/>
      <c r="S724" s="829"/>
      <c r="T724" s="829"/>
      <c r="U724" s="829"/>
      <c r="V724" s="829"/>
      <c r="W724" s="829"/>
      <c r="X724" s="829"/>
      <c r="Y724" s="829"/>
      <c r="Z724" s="829"/>
      <c r="AA724" s="829"/>
      <c r="AB724" s="829"/>
      <c r="AC724" s="829"/>
      <c r="AD724" s="829"/>
      <c r="AE724" s="829"/>
      <c r="AF724" s="829"/>
      <c r="AG724" s="829"/>
      <c r="AH724" s="829"/>
      <c r="AI724" s="829"/>
      <c r="AJ724" s="829"/>
      <c r="AK724" s="829"/>
      <c r="AL724" s="829"/>
      <c r="AM724" s="829"/>
      <c r="AN724" s="829"/>
    </row>
    <row r="725" spans="1:40" ht="12.75" x14ac:dyDescent="0.2">
      <c r="A725" s="829"/>
      <c r="B725" s="829"/>
      <c r="C725" s="829"/>
      <c r="D725" s="829"/>
      <c r="E725" s="829"/>
      <c r="F725" s="829"/>
      <c r="G725" s="829"/>
      <c r="H725" s="829"/>
      <c r="I725" s="829"/>
      <c r="J725" s="829"/>
      <c r="K725" s="829"/>
      <c r="L725" s="829"/>
      <c r="M725" s="829"/>
      <c r="N725" s="829"/>
      <c r="O725" s="829"/>
      <c r="P725" s="829"/>
      <c r="Q725" s="829"/>
      <c r="R725" s="829"/>
      <c r="S725" s="829"/>
      <c r="T725" s="829"/>
      <c r="U725" s="829"/>
      <c r="V725" s="829"/>
      <c r="W725" s="829"/>
      <c r="X725" s="829"/>
      <c r="Y725" s="829"/>
      <c r="Z725" s="829"/>
      <c r="AA725" s="829"/>
      <c r="AB725" s="829"/>
      <c r="AC725" s="829"/>
      <c r="AD725" s="829"/>
      <c r="AE725" s="829"/>
      <c r="AF725" s="829"/>
      <c r="AG725" s="829"/>
      <c r="AH725" s="829"/>
      <c r="AI725" s="829"/>
      <c r="AJ725" s="829"/>
      <c r="AK725" s="829"/>
      <c r="AL725" s="829"/>
      <c r="AM725" s="829"/>
      <c r="AN725" s="829"/>
    </row>
    <row r="726" spans="1:40" ht="12.75" x14ac:dyDescent="0.2">
      <c r="A726" s="829"/>
      <c r="B726" s="829"/>
      <c r="C726" s="829"/>
      <c r="D726" s="829"/>
      <c r="E726" s="829"/>
      <c r="F726" s="829"/>
      <c r="G726" s="829"/>
      <c r="H726" s="829"/>
      <c r="I726" s="829"/>
      <c r="J726" s="829"/>
      <c r="K726" s="829"/>
      <c r="L726" s="829"/>
      <c r="M726" s="829"/>
      <c r="N726" s="829"/>
      <c r="O726" s="829"/>
      <c r="P726" s="829"/>
      <c r="Q726" s="829"/>
      <c r="R726" s="829"/>
      <c r="S726" s="829"/>
      <c r="T726" s="829"/>
      <c r="U726" s="829"/>
      <c r="V726" s="829"/>
      <c r="W726" s="829"/>
      <c r="X726" s="829"/>
      <c r="Y726" s="829"/>
      <c r="Z726" s="829"/>
      <c r="AA726" s="829"/>
      <c r="AB726" s="829"/>
      <c r="AC726" s="829"/>
      <c r="AD726" s="829"/>
      <c r="AE726" s="829"/>
      <c r="AF726" s="829"/>
      <c r="AG726" s="829"/>
      <c r="AH726" s="829"/>
      <c r="AI726" s="829"/>
      <c r="AJ726" s="829"/>
      <c r="AK726" s="829"/>
      <c r="AL726" s="829"/>
      <c r="AM726" s="829"/>
      <c r="AN726" s="829"/>
    </row>
    <row r="727" spans="1:40" ht="12.75" x14ac:dyDescent="0.2">
      <c r="A727" s="829"/>
      <c r="B727" s="829"/>
      <c r="C727" s="829"/>
      <c r="D727" s="829"/>
      <c r="E727" s="829"/>
      <c r="F727" s="829"/>
      <c r="G727" s="829"/>
      <c r="H727" s="829"/>
      <c r="I727" s="829"/>
      <c r="J727" s="829"/>
      <c r="K727" s="829"/>
      <c r="L727" s="829"/>
      <c r="M727" s="829"/>
      <c r="N727" s="829"/>
      <c r="O727" s="829"/>
      <c r="P727" s="829"/>
      <c r="Q727" s="829"/>
      <c r="R727" s="829"/>
      <c r="S727" s="829"/>
      <c r="T727" s="829"/>
      <c r="U727" s="829"/>
      <c r="V727" s="829"/>
      <c r="W727" s="829"/>
      <c r="X727" s="829"/>
      <c r="Y727" s="829"/>
      <c r="Z727" s="829"/>
      <c r="AA727" s="829"/>
      <c r="AB727" s="829"/>
      <c r="AC727" s="829"/>
      <c r="AD727" s="829"/>
      <c r="AE727" s="829"/>
      <c r="AF727" s="829"/>
      <c r="AG727" s="829"/>
      <c r="AH727" s="829"/>
      <c r="AI727" s="829"/>
      <c r="AJ727" s="829"/>
      <c r="AK727" s="829"/>
      <c r="AL727" s="829"/>
      <c r="AM727" s="829"/>
      <c r="AN727" s="829"/>
    </row>
    <row r="728" spans="1:40" ht="12.75" x14ac:dyDescent="0.2">
      <c r="A728" s="829"/>
      <c r="B728" s="829"/>
      <c r="C728" s="829"/>
      <c r="D728" s="829"/>
      <c r="E728" s="829"/>
      <c r="F728" s="829"/>
      <c r="G728" s="829"/>
      <c r="H728" s="829"/>
      <c r="I728" s="829"/>
      <c r="J728" s="829"/>
      <c r="K728" s="829"/>
      <c r="L728" s="829"/>
      <c r="M728" s="829"/>
      <c r="N728" s="829"/>
      <c r="O728" s="829"/>
      <c r="P728" s="829"/>
      <c r="Q728" s="829"/>
      <c r="R728" s="829"/>
      <c r="S728" s="829"/>
      <c r="T728" s="829"/>
      <c r="U728" s="829"/>
      <c r="V728" s="829"/>
      <c r="W728" s="829"/>
      <c r="X728" s="829"/>
      <c r="Y728" s="829"/>
      <c r="Z728" s="829"/>
      <c r="AA728" s="829"/>
      <c r="AB728" s="829"/>
      <c r="AC728" s="829"/>
      <c r="AD728" s="829"/>
      <c r="AE728" s="829"/>
      <c r="AF728" s="829"/>
      <c r="AG728" s="829"/>
      <c r="AH728" s="829"/>
      <c r="AI728" s="829"/>
      <c r="AJ728" s="829"/>
      <c r="AK728" s="829"/>
      <c r="AL728" s="829"/>
      <c r="AM728" s="829"/>
      <c r="AN728" s="829"/>
    </row>
    <row r="729" spans="1:40" ht="12.75" x14ac:dyDescent="0.2">
      <c r="A729" s="829"/>
      <c r="B729" s="829"/>
      <c r="C729" s="829"/>
      <c r="D729" s="829"/>
      <c r="E729" s="829"/>
      <c r="F729" s="829"/>
      <c r="G729" s="829"/>
      <c r="H729" s="829"/>
      <c r="I729" s="829"/>
      <c r="J729" s="829"/>
      <c r="K729" s="829"/>
      <c r="L729" s="829"/>
      <c r="M729" s="829"/>
      <c r="N729" s="829"/>
      <c r="O729" s="829"/>
      <c r="P729" s="829"/>
      <c r="Q729" s="829"/>
      <c r="R729" s="829"/>
      <c r="S729" s="829"/>
      <c r="T729" s="829"/>
      <c r="U729" s="829"/>
      <c r="V729" s="829"/>
      <c r="W729" s="829"/>
      <c r="X729" s="829"/>
      <c r="Y729" s="829"/>
      <c r="Z729" s="829"/>
      <c r="AA729" s="829"/>
      <c r="AB729" s="829"/>
      <c r="AC729" s="829"/>
      <c r="AD729" s="829"/>
      <c r="AE729" s="829"/>
      <c r="AF729" s="829"/>
      <c r="AG729" s="829"/>
      <c r="AH729" s="829"/>
      <c r="AI729" s="829"/>
      <c r="AJ729" s="829"/>
      <c r="AK729" s="829"/>
      <c r="AL729" s="829"/>
      <c r="AM729" s="829"/>
      <c r="AN729" s="829"/>
    </row>
    <row r="730" spans="1:40" ht="12.75" x14ac:dyDescent="0.2">
      <c r="A730" s="829"/>
      <c r="B730" s="829"/>
      <c r="C730" s="829"/>
      <c r="D730" s="829"/>
      <c r="E730" s="829"/>
      <c r="F730" s="829"/>
      <c r="G730" s="829"/>
      <c r="H730" s="829"/>
      <c r="I730" s="829"/>
      <c r="J730" s="829"/>
      <c r="K730" s="829"/>
      <c r="L730" s="829"/>
      <c r="M730" s="829"/>
      <c r="N730" s="829"/>
      <c r="O730" s="829"/>
      <c r="P730" s="829"/>
      <c r="Q730" s="829"/>
      <c r="R730" s="829"/>
      <c r="S730" s="829"/>
      <c r="T730" s="829"/>
      <c r="U730" s="829"/>
      <c r="V730" s="829"/>
      <c r="W730" s="829"/>
      <c r="X730" s="829"/>
      <c r="Y730" s="829"/>
      <c r="Z730" s="829"/>
      <c r="AA730" s="829"/>
      <c r="AB730" s="829"/>
      <c r="AC730" s="829"/>
      <c r="AD730" s="829"/>
      <c r="AE730" s="829"/>
      <c r="AF730" s="829"/>
      <c r="AG730" s="829"/>
      <c r="AH730" s="829"/>
      <c r="AI730" s="829"/>
      <c r="AJ730" s="829"/>
      <c r="AK730" s="829"/>
      <c r="AL730" s="829"/>
      <c r="AM730" s="829"/>
      <c r="AN730" s="829"/>
    </row>
    <row r="731" spans="1:40" ht="12.75" x14ac:dyDescent="0.2">
      <c r="A731" s="829"/>
      <c r="B731" s="829"/>
      <c r="C731" s="829"/>
      <c r="D731" s="829"/>
      <c r="E731" s="829"/>
      <c r="F731" s="829"/>
      <c r="G731" s="829"/>
      <c r="H731" s="829"/>
      <c r="I731" s="829"/>
      <c r="J731" s="829"/>
      <c r="K731" s="829"/>
      <c r="L731" s="829"/>
      <c r="M731" s="829"/>
      <c r="N731" s="829"/>
      <c r="O731" s="829"/>
      <c r="P731" s="829"/>
      <c r="Q731" s="829"/>
      <c r="R731" s="829"/>
      <c r="S731" s="829"/>
      <c r="T731" s="829"/>
      <c r="U731" s="829"/>
      <c r="V731" s="829"/>
      <c r="W731" s="829"/>
      <c r="X731" s="829"/>
      <c r="Y731" s="829"/>
      <c r="Z731" s="829"/>
      <c r="AA731" s="829"/>
      <c r="AB731" s="829"/>
      <c r="AC731" s="829"/>
      <c r="AD731" s="829"/>
      <c r="AE731" s="829"/>
      <c r="AF731" s="829"/>
      <c r="AG731" s="829"/>
      <c r="AH731" s="829"/>
      <c r="AI731" s="829"/>
      <c r="AJ731" s="829"/>
      <c r="AK731" s="829"/>
      <c r="AL731" s="829"/>
      <c r="AM731" s="829"/>
      <c r="AN731" s="829"/>
    </row>
    <row r="732" spans="1:40" ht="12.75" x14ac:dyDescent="0.2">
      <c r="A732" s="829"/>
      <c r="B732" s="829"/>
      <c r="C732" s="829"/>
      <c r="D732" s="829"/>
      <c r="E732" s="829"/>
      <c r="F732" s="829"/>
      <c r="G732" s="829"/>
      <c r="H732" s="829"/>
      <c r="I732" s="829"/>
      <c r="J732" s="829"/>
      <c r="K732" s="829"/>
      <c r="L732" s="829"/>
      <c r="M732" s="829"/>
      <c r="N732" s="829"/>
      <c r="O732" s="829"/>
      <c r="P732" s="829"/>
      <c r="Q732" s="829"/>
      <c r="R732" s="829"/>
      <c r="S732" s="829"/>
      <c r="T732" s="829"/>
      <c r="U732" s="829"/>
      <c r="V732" s="829"/>
      <c r="W732" s="829"/>
      <c r="X732" s="829"/>
      <c r="Y732" s="829"/>
      <c r="Z732" s="829"/>
      <c r="AA732" s="829"/>
      <c r="AB732" s="829"/>
      <c r="AC732" s="829"/>
      <c r="AD732" s="829"/>
      <c r="AE732" s="829"/>
      <c r="AF732" s="829"/>
      <c r="AG732" s="829"/>
      <c r="AH732" s="829"/>
      <c r="AI732" s="829"/>
      <c r="AJ732" s="829"/>
      <c r="AK732" s="829"/>
      <c r="AL732" s="829"/>
      <c r="AM732" s="829"/>
      <c r="AN732" s="829"/>
    </row>
    <row r="733" spans="1:40" ht="12.75" x14ac:dyDescent="0.2">
      <c r="A733" s="829"/>
      <c r="B733" s="829"/>
      <c r="C733" s="829"/>
      <c r="D733" s="829"/>
      <c r="E733" s="829"/>
      <c r="F733" s="829"/>
      <c r="G733" s="829"/>
      <c r="H733" s="829"/>
      <c r="I733" s="829"/>
      <c r="J733" s="829"/>
      <c r="K733" s="829"/>
      <c r="L733" s="829"/>
      <c r="M733" s="829"/>
      <c r="N733" s="829"/>
      <c r="O733" s="829"/>
      <c r="P733" s="829"/>
      <c r="Q733" s="829"/>
      <c r="R733" s="829"/>
      <c r="S733" s="829"/>
      <c r="T733" s="829"/>
      <c r="U733" s="829"/>
      <c r="V733" s="829"/>
      <c r="W733" s="829"/>
      <c r="X733" s="829"/>
      <c r="Y733" s="829"/>
      <c r="Z733" s="829"/>
      <c r="AA733" s="829"/>
      <c r="AB733" s="829"/>
      <c r="AC733" s="829"/>
      <c r="AD733" s="829"/>
      <c r="AE733" s="829"/>
      <c r="AF733" s="829"/>
      <c r="AG733" s="829"/>
      <c r="AH733" s="829"/>
      <c r="AI733" s="829"/>
      <c r="AJ733" s="829"/>
      <c r="AK733" s="829"/>
      <c r="AL733" s="829"/>
      <c r="AM733" s="829"/>
      <c r="AN733" s="829"/>
    </row>
    <row r="734" spans="1:40" ht="12.75" x14ac:dyDescent="0.2">
      <c r="A734" s="829"/>
      <c r="B734" s="829"/>
      <c r="C734" s="829"/>
      <c r="D734" s="829"/>
      <c r="E734" s="829"/>
      <c r="F734" s="829"/>
      <c r="G734" s="829"/>
      <c r="H734" s="829"/>
      <c r="I734" s="829"/>
      <c r="J734" s="829"/>
      <c r="K734" s="829"/>
      <c r="L734" s="829"/>
      <c r="M734" s="829"/>
      <c r="N734" s="829"/>
      <c r="O734" s="829"/>
      <c r="P734" s="829"/>
      <c r="Q734" s="829"/>
      <c r="R734" s="829"/>
      <c r="S734" s="829"/>
      <c r="T734" s="829"/>
      <c r="U734" s="829"/>
      <c r="V734" s="829"/>
      <c r="W734" s="829"/>
      <c r="X734" s="829"/>
      <c r="Y734" s="829"/>
      <c r="Z734" s="829"/>
      <c r="AA734" s="829"/>
      <c r="AB734" s="829"/>
      <c r="AC734" s="829"/>
      <c r="AD734" s="829"/>
      <c r="AE734" s="829"/>
      <c r="AF734" s="829"/>
      <c r="AG734" s="829"/>
      <c r="AH734" s="829"/>
      <c r="AI734" s="829"/>
      <c r="AJ734" s="829"/>
      <c r="AK734" s="829"/>
      <c r="AL734" s="829"/>
      <c r="AM734" s="829"/>
      <c r="AN734" s="829"/>
    </row>
    <row r="735" spans="1:40" ht="12.75" x14ac:dyDescent="0.2">
      <c r="A735" s="829"/>
      <c r="B735" s="829"/>
      <c r="C735" s="829"/>
      <c r="D735" s="829"/>
      <c r="E735" s="829"/>
      <c r="F735" s="829"/>
      <c r="G735" s="829"/>
      <c r="H735" s="829"/>
      <c r="I735" s="829"/>
      <c r="J735" s="829"/>
      <c r="K735" s="829"/>
      <c r="L735" s="829"/>
      <c r="M735" s="829"/>
      <c r="N735" s="829"/>
      <c r="O735" s="829"/>
      <c r="P735" s="829"/>
      <c r="Q735" s="829"/>
      <c r="R735" s="829"/>
      <c r="S735" s="829"/>
      <c r="T735" s="829"/>
      <c r="U735" s="829"/>
      <c r="V735" s="829"/>
      <c r="W735" s="829"/>
      <c r="X735" s="829"/>
      <c r="Y735" s="829"/>
      <c r="Z735" s="829"/>
      <c r="AA735" s="829"/>
      <c r="AB735" s="829"/>
      <c r="AC735" s="829"/>
      <c r="AD735" s="829"/>
      <c r="AE735" s="829"/>
      <c r="AF735" s="829"/>
      <c r="AG735" s="829"/>
      <c r="AH735" s="829"/>
      <c r="AI735" s="829"/>
      <c r="AJ735" s="829"/>
      <c r="AK735" s="829"/>
      <c r="AL735" s="829"/>
      <c r="AM735" s="829"/>
      <c r="AN735" s="829"/>
    </row>
    <row r="736" spans="1:40" ht="12.75" x14ac:dyDescent="0.2">
      <c r="A736" s="829"/>
      <c r="B736" s="829"/>
      <c r="C736" s="829"/>
      <c r="D736" s="829"/>
      <c r="E736" s="829"/>
      <c r="F736" s="829"/>
      <c r="G736" s="829"/>
      <c r="H736" s="829"/>
      <c r="I736" s="829"/>
      <c r="J736" s="829"/>
      <c r="K736" s="829"/>
      <c r="L736" s="829"/>
      <c r="M736" s="829"/>
      <c r="N736" s="829"/>
      <c r="O736" s="829"/>
      <c r="P736" s="829"/>
      <c r="Q736" s="829"/>
      <c r="R736" s="829"/>
      <c r="S736" s="829"/>
      <c r="T736" s="829"/>
      <c r="U736" s="829"/>
      <c r="V736" s="829"/>
      <c r="W736" s="829"/>
      <c r="X736" s="829"/>
      <c r="Y736" s="829"/>
      <c r="Z736" s="829"/>
      <c r="AA736" s="829"/>
      <c r="AB736" s="829"/>
      <c r="AC736" s="829"/>
      <c r="AD736" s="829"/>
      <c r="AE736" s="829"/>
      <c r="AF736" s="829"/>
      <c r="AG736" s="829"/>
      <c r="AH736" s="829"/>
      <c r="AI736" s="829"/>
      <c r="AJ736" s="829"/>
      <c r="AK736" s="829"/>
      <c r="AL736" s="829"/>
      <c r="AM736" s="829"/>
      <c r="AN736" s="829"/>
    </row>
    <row r="737" spans="1:40" ht="12.75" x14ac:dyDescent="0.2">
      <c r="A737" s="829"/>
      <c r="B737" s="829"/>
      <c r="C737" s="829"/>
      <c r="D737" s="829"/>
      <c r="E737" s="829"/>
      <c r="F737" s="829"/>
      <c r="G737" s="829"/>
      <c r="H737" s="829"/>
      <c r="I737" s="829"/>
      <c r="J737" s="829"/>
      <c r="K737" s="829"/>
      <c r="L737" s="829"/>
      <c r="M737" s="829"/>
      <c r="N737" s="829"/>
      <c r="O737" s="829"/>
      <c r="P737" s="829"/>
      <c r="Q737" s="829"/>
      <c r="R737" s="829"/>
      <c r="S737" s="829"/>
      <c r="T737" s="829"/>
      <c r="U737" s="829"/>
      <c r="V737" s="829"/>
      <c r="W737" s="829"/>
      <c r="X737" s="829"/>
      <c r="Y737" s="829"/>
      <c r="Z737" s="829"/>
      <c r="AA737" s="829"/>
      <c r="AB737" s="829"/>
      <c r="AC737" s="829"/>
      <c r="AD737" s="829"/>
      <c r="AE737" s="829"/>
      <c r="AF737" s="829"/>
      <c r="AG737" s="829"/>
      <c r="AH737" s="829"/>
      <c r="AI737" s="829"/>
      <c r="AJ737" s="829"/>
      <c r="AK737" s="829"/>
      <c r="AL737" s="829"/>
      <c r="AM737" s="829"/>
      <c r="AN737" s="829"/>
    </row>
    <row r="738" spans="1:40" ht="12.75" x14ac:dyDescent="0.2">
      <c r="A738" s="829"/>
      <c r="B738" s="829"/>
      <c r="C738" s="829"/>
      <c r="D738" s="829"/>
      <c r="E738" s="829"/>
      <c r="F738" s="829"/>
      <c r="G738" s="829"/>
      <c r="H738" s="829"/>
      <c r="I738" s="829"/>
      <c r="J738" s="829"/>
      <c r="K738" s="829"/>
      <c r="L738" s="829"/>
      <c r="M738" s="829"/>
      <c r="N738" s="829"/>
      <c r="O738" s="829"/>
      <c r="P738" s="829"/>
      <c r="Q738" s="829"/>
      <c r="R738" s="829"/>
      <c r="S738" s="829"/>
      <c r="T738" s="829"/>
      <c r="U738" s="829"/>
      <c r="V738" s="829"/>
      <c r="W738" s="829"/>
      <c r="X738" s="829"/>
      <c r="Y738" s="829"/>
      <c r="Z738" s="829"/>
      <c r="AA738" s="829"/>
      <c r="AB738" s="829"/>
      <c r="AC738" s="829"/>
      <c r="AD738" s="829"/>
      <c r="AE738" s="829"/>
      <c r="AF738" s="829"/>
      <c r="AG738" s="829"/>
      <c r="AH738" s="829"/>
      <c r="AI738" s="829"/>
      <c r="AJ738" s="829"/>
      <c r="AK738" s="829"/>
      <c r="AL738" s="829"/>
      <c r="AM738" s="829"/>
      <c r="AN738" s="829"/>
    </row>
    <row r="739" spans="1:40" ht="12.75" x14ac:dyDescent="0.2">
      <c r="A739" s="829"/>
      <c r="B739" s="829"/>
      <c r="C739" s="829"/>
      <c r="D739" s="829"/>
      <c r="E739" s="829"/>
      <c r="F739" s="829"/>
      <c r="G739" s="829"/>
      <c r="H739" s="829"/>
      <c r="I739" s="829"/>
      <c r="J739" s="829"/>
      <c r="K739" s="829"/>
      <c r="L739" s="829"/>
      <c r="M739" s="829"/>
      <c r="N739" s="829"/>
      <c r="O739" s="829"/>
      <c r="P739" s="829"/>
      <c r="Q739" s="829"/>
      <c r="R739" s="829"/>
      <c r="S739" s="829"/>
      <c r="T739" s="829"/>
      <c r="U739" s="829"/>
      <c r="V739" s="829"/>
      <c r="W739" s="829"/>
      <c r="X739" s="829"/>
      <c r="Y739" s="829"/>
      <c r="Z739" s="829"/>
      <c r="AA739" s="829"/>
      <c r="AB739" s="829"/>
      <c r="AC739" s="829"/>
      <c r="AD739" s="829"/>
      <c r="AE739" s="829"/>
      <c r="AF739" s="829"/>
      <c r="AG739" s="829"/>
      <c r="AH739" s="829"/>
      <c r="AI739" s="829"/>
      <c r="AJ739" s="829"/>
      <c r="AK739" s="829"/>
      <c r="AL739" s="829"/>
      <c r="AM739" s="829"/>
      <c r="AN739" s="829"/>
    </row>
    <row r="740" spans="1:40" ht="12.75" x14ac:dyDescent="0.2">
      <c r="A740" s="829"/>
      <c r="B740" s="829"/>
      <c r="C740" s="829"/>
      <c r="D740" s="829"/>
      <c r="E740" s="829"/>
      <c r="F740" s="829"/>
      <c r="G740" s="829"/>
      <c r="H740" s="829"/>
      <c r="I740" s="829"/>
      <c r="J740" s="829"/>
      <c r="K740" s="829"/>
      <c r="L740" s="829"/>
      <c r="M740" s="829"/>
      <c r="N740" s="829"/>
      <c r="O740" s="829"/>
      <c r="P740" s="829"/>
      <c r="Q740" s="829"/>
      <c r="R740" s="829"/>
      <c r="S740" s="829"/>
      <c r="T740" s="829"/>
      <c r="U740" s="829"/>
      <c r="V740" s="829"/>
      <c r="W740" s="829"/>
      <c r="X740" s="829"/>
      <c r="Y740" s="829"/>
      <c r="Z740" s="829"/>
      <c r="AA740" s="829"/>
      <c r="AB740" s="829"/>
      <c r="AC740" s="829"/>
      <c r="AD740" s="829"/>
      <c r="AE740" s="829"/>
      <c r="AF740" s="829"/>
      <c r="AG740" s="829"/>
      <c r="AH740" s="829"/>
      <c r="AI740" s="829"/>
      <c r="AJ740" s="829"/>
      <c r="AK740" s="829"/>
      <c r="AL740" s="829"/>
      <c r="AM740" s="829"/>
      <c r="AN740" s="829"/>
    </row>
    <row r="741" spans="1:40" ht="12.75" x14ac:dyDescent="0.2">
      <c r="A741" s="829"/>
      <c r="B741" s="829"/>
      <c r="C741" s="829"/>
      <c r="D741" s="829"/>
      <c r="E741" s="829"/>
      <c r="F741" s="829"/>
      <c r="G741" s="829"/>
      <c r="H741" s="829"/>
      <c r="I741" s="829"/>
      <c r="J741" s="829"/>
      <c r="K741" s="829"/>
      <c r="L741" s="829"/>
      <c r="M741" s="829"/>
      <c r="N741" s="829"/>
      <c r="O741" s="829"/>
      <c r="P741" s="829"/>
      <c r="Q741" s="829"/>
      <c r="R741" s="829"/>
      <c r="S741" s="829"/>
      <c r="T741" s="829"/>
      <c r="U741" s="829"/>
      <c r="V741" s="829"/>
      <c r="W741" s="829"/>
      <c r="X741" s="829"/>
      <c r="Y741" s="829"/>
      <c r="Z741" s="829"/>
      <c r="AA741" s="829"/>
      <c r="AB741" s="829"/>
      <c r="AC741" s="829"/>
      <c r="AD741" s="829"/>
      <c r="AE741" s="829"/>
      <c r="AF741" s="829"/>
      <c r="AG741" s="829"/>
      <c r="AH741" s="829"/>
      <c r="AI741" s="829"/>
      <c r="AJ741" s="829"/>
      <c r="AK741" s="829"/>
      <c r="AL741" s="829"/>
      <c r="AM741" s="829"/>
      <c r="AN741" s="829"/>
    </row>
    <row r="742" spans="1:40" ht="12.75" x14ac:dyDescent="0.2">
      <c r="A742" s="829"/>
      <c r="B742" s="829"/>
      <c r="C742" s="829"/>
      <c r="D742" s="829"/>
      <c r="E742" s="829"/>
      <c r="F742" s="829"/>
      <c r="G742" s="829"/>
      <c r="H742" s="829"/>
      <c r="I742" s="829"/>
      <c r="J742" s="829"/>
      <c r="K742" s="829"/>
      <c r="L742" s="829"/>
      <c r="M742" s="829"/>
      <c r="N742" s="829"/>
      <c r="O742" s="829"/>
      <c r="P742" s="829"/>
      <c r="Q742" s="829"/>
      <c r="R742" s="829"/>
      <c r="S742" s="829"/>
      <c r="T742" s="829"/>
      <c r="U742" s="829"/>
      <c r="V742" s="829"/>
      <c r="W742" s="829"/>
      <c r="X742" s="829"/>
      <c r="Y742" s="829"/>
      <c r="Z742" s="829"/>
      <c r="AA742" s="829"/>
      <c r="AB742" s="829"/>
      <c r="AC742" s="829"/>
      <c r="AD742" s="829"/>
      <c r="AE742" s="829"/>
      <c r="AF742" s="829"/>
      <c r="AG742" s="829"/>
      <c r="AH742" s="829"/>
      <c r="AI742" s="829"/>
      <c r="AJ742" s="829"/>
      <c r="AK742" s="829"/>
      <c r="AL742" s="829"/>
      <c r="AM742" s="829"/>
      <c r="AN742" s="829"/>
    </row>
    <row r="743" spans="1:40" ht="12.75" x14ac:dyDescent="0.2">
      <c r="A743" s="829"/>
      <c r="B743" s="829"/>
      <c r="C743" s="829"/>
      <c r="D743" s="829"/>
      <c r="E743" s="829"/>
      <c r="F743" s="829"/>
      <c r="G743" s="829"/>
      <c r="H743" s="829"/>
      <c r="I743" s="829"/>
      <c r="J743" s="829"/>
      <c r="K743" s="829"/>
      <c r="L743" s="829"/>
      <c r="M743" s="829"/>
      <c r="N743" s="829"/>
      <c r="O743" s="829"/>
      <c r="P743" s="829"/>
      <c r="Q743" s="829"/>
      <c r="R743" s="829"/>
      <c r="S743" s="829"/>
      <c r="T743" s="829"/>
      <c r="U743" s="829"/>
      <c r="V743" s="829"/>
      <c r="W743" s="829"/>
      <c r="X743" s="829"/>
      <c r="Y743" s="829"/>
      <c r="Z743" s="829"/>
      <c r="AA743" s="829"/>
      <c r="AB743" s="829"/>
      <c r="AC743" s="829"/>
      <c r="AD743" s="829"/>
      <c r="AE743" s="829"/>
      <c r="AF743" s="829"/>
      <c r="AG743" s="829"/>
      <c r="AH743" s="829"/>
      <c r="AI743" s="829"/>
      <c r="AJ743" s="829"/>
      <c r="AK743" s="829"/>
      <c r="AL743" s="829"/>
      <c r="AM743" s="829"/>
      <c r="AN743" s="829"/>
    </row>
    <row r="744" spans="1:40" ht="12.75" x14ac:dyDescent="0.2">
      <c r="A744" s="829"/>
      <c r="B744" s="829"/>
      <c r="C744" s="829"/>
      <c r="D744" s="829"/>
      <c r="E744" s="829"/>
      <c r="F744" s="829"/>
      <c r="G744" s="829"/>
      <c r="H744" s="829"/>
      <c r="I744" s="829"/>
      <c r="J744" s="829"/>
      <c r="K744" s="829"/>
      <c r="L744" s="829"/>
      <c r="M744" s="829"/>
      <c r="N744" s="829"/>
      <c r="O744" s="829"/>
      <c r="P744" s="829"/>
      <c r="Q744" s="829"/>
      <c r="R744" s="829"/>
      <c r="S744" s="829"/>
      <c r="T744" s="829"/>
      <c r="U744" s="829"/>
      <c r="V744" s="829"/>
      <c r="W744" s="829"/>
      <c r="X744" s="829"/>
      <c r="Y744" s="829"/>
      <c r="Z744" s="829"/>
      <c r="AA744" s="829"/>
      <c r="AB744" s="829"/>
      <c r="AC744" s="829"/>
      <c r="AD744" s="829"/>
      <c r="AE744" s="829"/>
      <c r="AF744" s="829"/>
      <c r="AG744" s="829"/>
      <c r="AH744" s="829"/>
      <c r="AI744" s="829"/>
      <c r="AJ744" s="829"/>
      <c r="AK744" s="829"/>
      <c r="AL744" s="829"/>
      <c r="AM744" s="829"/>
      <c r="AN744" s="829"/>
    </row>
    <row r="745" spans="1:40" ht="12.75" x14ac:dyDescent="0.2">
      <c r="A745" s="829"/>
      <c r="B745" s="829"/>
      <c r="C745" s="829"/>
      <c r="D745" s="829"/>
      <c r="E745" s="829"/>
      <c r="F745" s="829"/>
      <c r="G745" s="829"/>
      <c r="H745" s="829"/>
      <c r="I745" s="829"/>
      <c r="J745" s="829"/>
      <c r="K745" s="829"/>
      <c r="L745" s="829"/>
      <c r="M745" s="829"/>
      <c r="N745" s="829"/>
      <c r="O745" s="829"/>
      <c r="P745" s="829"/>
      <c r="Q745" s="829"/>
      <c r="R745" s="829"/>
      <c r="S745" s="829"/>
      <c r="T745" s="829"/>
      <c r="U745" s="829"/>
      <c r="V745" s="829"/>
      <c r="W745" s="829"/>
      <c r="X745" s="829"/>
      <c r="Y745" s="829"/>
      <c r="Z745" s="829"/>
      <c r="AA745" s="829"/>
      <c r="AB745" s="829"/>
      <c r="AC745" s="829"/>
      <c r="AD745" s="829"/>
      <c r="AE745" s="829"/>
      <c r="AF745" s="829"/>
      <c r="AG745" s="829"/>
      <c r="AH745" s="829"/>
      <c r="AI745" s="829"/>
      <c r="AJ745" s="829"/>
      <c r="AK745" s="829"/>
      <c r="AL745" s="829"/>
      <c r="AM745" s="829"/>
      <c r="AN745" s="829"/>
    </row>
    <row r="746" spans="1:40" ht="12.75" x14ac:dyDescent="0.2">
      <c r="A746" s="829"/>
      <c r="B746" s="829"/>
      <c r="C746" s="829"/>
      <c r="D746" s="829"/>
      <c r="E746" s="829"/>
      <c r="F746" s="829"/>
      <c r="G746" s="829"/>
      <c r="H746" s="829"/>
      <c r="I746" s="829"/>
      <c r="J746" s="829"/>
      <c r="K746" s="829"/>
      <c r="L746" s="829"/>
      <c r="M746" s="829"/>
      <c r="N746" s="829"/>
      <c r="O746" s="829"/>
      <c r="P746" s="829"/>
      <c r="Q746" s="829"/>
      <c r="R746" s="829"/>
      <c r="S746" s="829"/>
      <c r="T746" s="829"/>
      <c r="U746" s="829"/>
      <c r="V746" s="829"/>
      <c r="W746" s="829"/>
      <c r="X746" s="829"/>
      <c r="Y746" s="829"/>
      <c r="Z746" s="829"/>
      <c r="AA746" s="829"/>
      <c r="AB746" s="829"/>
      <c r="AC746" s="829"/>
      <c r="AD746" s="829"/>
      <c r="AE746" s="829"/>
      <c r="AF746" s="829"/>
      <c r="AG746" s="829"/>
      <c r="AH746" s="829"/>
      <c r="AI746" s="829"/>
      <c r="AJ746" s="829"/>
      <c r="AK746" s="829"/>
      <c r="AL746" s="829"/>
      <c r="AM746" s="829"/>
      <c r="AN746" s="829"/>
    </row>
    <row r="747" spans="1:40" ht="12.75" x14ac:dyDescent="0.2">
      <c r="A747" s="829"/>
      <c r="B747" s="829"/>
      <c r="C747" s="829"/>
      <c r="D747" s="829"/>
      <c r="E747" s="829"/>
      <c r="F747" s="829"/>
      <c r="G747" s="829"/>
      <c r="H747" s="829"/>
      <c r="I747" s="829"/>
      <c r="J747" s="829"/>
      <c r="K747" s="829"/>
      <c r="L747" s="829"/>
      <c r="M747" s="829"/>
      <c r="N747" s="829"/>
      <c r="O747" s="829"/>
      <c r="P747" s="829"/>
      <c r="Q747" s="829"/>
      <c r="R747" s="829"/>
      <c r="S747" s="829"/>
      <c r="T747" s="829"/>
      <c r="U747" s="829"/>
      <c r="V747" s="829"/>
      <c r="W747" s="829"/>
      <c r="X747" s="829"/>
      <c r="Y747" s="829"/>
      <c r="Z747" s="829"/>
      <c r="AA747" s="829"/>
      <c r="AB747" s="829"/>
      <c r="AC747" s="829"/>
      <c r="AD747" s="829"/>
      <c r="AE747" s="829"/>
      <c r="AF747" s="829"/>
      <c r="AG747" s="829"/>
      <c r="AH747" s="829"/>
      <c r="AI747" s="829"/>
      <c r="AJ747" s="829"/>
      <c r="AK747" s="829"/>
      <c r="AL747" s="829"/>
      <c r="AM747" s="829"/>
      <c r="AN747" s="829"/>
    </row>
    <row r="748" spans="1:40" ht="12.75" x14ac:dyDescent="0.2">
      <c r="A748" s="829"/>
      <c r="B748" s="829"/>
      <c r="C748" s="829"/>
      <c r="D748" s="829"/>
      <c r="E748" s="829"/>
      <c r="F748" s="829"/>
      <c r="G748" s="829"/>
      <c r="H748" s="829"/>
      <c r="I748" s="829"/>
      <c r="J748" s="829"/>
      <c r="K748" s="829"/>
      <c r="L748" s="829"/>
      <c r="M748" s="829"/>
      <c r="N748" s="829"/>
      <c r="O748" s="829"/>
      <c r="P748" s="829"/>
      <c r="Q748" s="829"/>
      <c r="R748" s="829"/>
      <c r="S748" s="829"/>
      <c r="T748" s="829"/>
      <c r="U748" s="829"/>
      <c r="V748" s="829"/>
      <c r="W748" s="829"/>
      <c r="X748" s="829"/>
      <c r="Y748" s="829"/>
      <c r="Z748" s="829"/>
      <c r="AA748" s="829"/>
      <c r="AB748" s="829"/>
      <c r="AC748" s="829"/>
      <c r="AD748" s="829"/>
      <c r="AE748" s="829"/>
      <c r="AF748" s="829"/>
      <c r="AG748" s="829"/>
      <c r="AH748" s="829"/>
      <c r="AI748" s="829"/>
      <c r="AJ748" s="829"/>
      <c r="AK748" s="829"/>
      <c r="AL748" s="829"/>
      <c r="AM748" s="829"/>
      <c r="AN748" s="829"/>
    </row>
    <row r="749" spans="1:40" ht="12.75" x14ac:dyDescent="0.2">
      <c r="A749" s="829"/>
      <c r="B749" s="829"/>
      <c r="C749" s="829"/>
      <c r="D749" s="829"/>
      <c r="E749" s="829"/>
      <c r="F749" s="829"/>
      <c r="G749" s="829"/>
      <c r="H749" s="829"/>
      <c r="I749" s="829"/>
      <c r="J749" s="829"/>
      <c r="K749" s="829"/>
      <c r="L749" s="829"/>
      <c r="M749" s="829"/>
      <c r="N749" s="829"/>
      <c r="O749" s="829"/>
      <c r="P749" s="829"/>
      <c r="Q749" s="829"/>
      <c r="R749" s="829"/>
      <c r="S749" s="829"/>
      <c r="T749" s="829"/>
      <c r="U749" s="829"/>
      <c r="V749" s="829"/>
      <c r="W749" s="829"/>
      <c r="X749" s="829"/>
      <c r="Y749" s="829"/>
      <c r="Z749" s="829"/>
      <c r="AA749" s="829"/>
      <c r="AB749" s="829"/>
      <c r="AC749" s="829"/>
      <c r="AD749" s="829"/>
      <c r="AE749" s="829"/>
      <c r="AF749" s="829"/>
      <c r="AG749" s="829"/>
      <c r="AH749" s="829"/>
      <c r="AI749" s="829"/>
      <c r="AJ749" s="829"/>
      <c r="AK749" s="829"/>
      <c r="AL749" s="829"/>
      <c r="AM749" s="829"/>
      <c r="AN749" s="829"/>
    </row>
    <row r="750" spans="1:40" ht="12.75" x14ac:dyDescent="0.2">
      <c r="A750" s="829"/>
      <c r="B750" s="829"/>
      <c r="C750" s="829"/>
      <c r="D750" s="829"/>
      <c r="E750" s="829"/>
      <c r="F750" s="829"/>
      <c r="G750" s="829"/>
      <c r="H750" s="829"/>
      <c r="I750" s="829"/>
      <c r="J750" s="829"/>
      <c r="K750" s="829"/>
      <c r="L750" s="829"/>
      <c r="M750" s="829"/>
      <c r="N750" s="829"/>
      <c r="O750" s="829"/>
      <c r="P750" s="829"/>
      <c r="Q750" s="829"/>
      <c r="R750" s="829"/>
      <c r="S750" s="829"/>
      <c r="T750" s="829"/>
      <c r="U750" s="829"/>
      <c r="V750" s="829"/>
      <c r="W750" s="829"/>
      <c r="X750" s="829"/>
      <c r="Y750" s="829"/>
      <c r="Z750" s="829"/>
      <c r="AA750" s="829"/>
      <c r="AB750" s="829"/>
      <c r="AC750" s="829"/>
      <c r="AD750" s="829"/>
      <c r="AE750" s="829"/>
      <c r="AF750" s="829"/>
      <c r="AG750" s="829"/>
      <c r="AH750" s="829"/>
      <c r="AI750" s="829"/>
      <c r="AJ750" s="829"/>
      <c r="AK750" s="829"/>
      <c r="AL750" s="829"/>
      <c r="AM750" s="829"/>
      <c r="AN750" s="829"/>
    </row>
    <row r="751" spans="1:40" ht="12.75" x14ac:dyDescent="0.2">
      <c r="A751" s="829"/>
      <c r="B751" s="829"/>
      <c r="C751" s="829"/>
      <c r="D751" s="829"/>
      <c r="E751" s="829"/>
      <c r="F751" s="829"/>
      <c r="G751" s="829"/>
      <c r="H751" s="829"/>
      <c r="I751" s="829"/>
      <c r="J751" s="829"/>
      <c r="K751" s="829"/>
      <c r="L751" s="829"/>
      <c r="M751" s="829"/>
      <c r="N751" s="829"/>
      <c r="O751" s="829"/>
      <c r="P751" s="829"/>
      <c r="Q751" s="829"/>
      <c r="R751" s="829"/>
      <c r="S751" s="829"/>
      <c r="T751" s="829"/>
      <c r="U751" s="829"/>
      <c r="V751" s="829"/>
      <c r="W751" s="829"/>
      <c r="X751" s="829"/>
      <c r="Y751" s="829"/>
      <c r="Z751" s="829"/>
      <c r="AA751" s="829"/>
      <c r="AB751" s="829"/>
      <c r="AC751" s="829"/>
      <c r="AD751" s="829"/>
      <c r="AE751" s="829"/>
      <c r="AF751" s="829"/>
      <c r="AG751" s="829"/>
      <c r="AH751" s="829"/>
      <c r="AI751" s="829"/>
      <c r="AJ751" s="829"/>
      <c r="AK751" s="829"/>
      <c r="AL751" s="829"/>
      <c r="AM751" s="829"/>
      <c r="AN751" s="829"/>
    </row>
    <row r="752" spans="1:40" ht="12.75" x14ac:dyDescent="0.2">
      <c r="A752" s="829"/>
      <c r="B752" s="829"/>
      <c r="C752" s="829"/>
      <c r="D752" s="829"/>
      <c r="E752" s="829"/>
      <c r="F752" s="829"/>
      <c r="G752" s="829"/>
      <c r="H752" s="829"/>
      <c r="I752" s="829"/>
      <c r="J752" s="829"/>
      <c r="K752" s="829"/>
      <c r="L752" s="829"/>
      <c r="M752" s="829"/>
      <c r="N752" s="829"/>
      <c r="O752" s="829"/>
      <c r="P752" s="829"/>
      <c r="Q752" s="829"/>
      <c r="R752" s="829"/>
      <c r="S752" s="829"/>
      <c r="T752" s="829"/>
      <c r="U752" s="829"/>
      <c r="V752" s="829"/>
      <c r="W752" s="829"/>
      <c r="X752" s="829"/>
      <c r="Y752" s="829"/>
      <c r="Z752" s="829"/>
      <c r="AA752" s="829"/>
      <c r="AB752" s="829"/>
      <c r="AC752" s="829"/>
      <c r="AD752" s="829"/>
      <c r="AE752" s="829"/>
      <c r="AF752" s="829"/>
      <c r="AG752" s="829"/>
      <c r="AH752" s="829"/>
      <c r="AI752" s="829"/>
      <c r="AJ752" s="829"/>
      <c r="AK752" s="829"/>
      <c r="AL752" s="829"/>
      <c r="AM752" s="829"/>
      <c r="AN752" s="829"/>
    </row>
    <row r="753" spans="1:40" ht="12.75" x14ac:dyDescent="0.2">
      <c r="A753" s="829"/>
      <c r="B753" s="829"/>
      <c r="C753" s="829"/>
      <c r="D753" s="829"/>
      <c r="E753" s="829"/>
      <c r="F753" s="829"/>
      <c r="G753" s="829"/>
      <c r="H753" s="829"/>
      <c r="I753" s="829"/>
      <c r="J753" s="829"/>
      <c r="K753" s="829"/>
      <c r="L753" s="829"/>
      <c r="M753" s="829"/>
      <c r="N753" s="829"/>
      <c r="O753" s="829"/>
      <c r="P753" s="829"/>
      <c r="Q753" s="829"/>
      <c r="R753" s="829"/>
      <c r="S753" s="829"/>
      <c r="T753" s="829"/>
      <c r="U753" s="829"/>
      <c r="V753" s="829"/>
      <c r="W753" s="829"/>
      <c r="X753" s="829"/>
      <c r="Y753" s="829"/>
      <c r="Z753" s="829"/>
      <c r="AA753" s="829"/>
      <c r="AB753" s="829"/>
      <c r="AC753" s="829"/>
      <c r="AD753" s="829"/>
      <c r="AE753" s="829"/>
      <c r="AF753" s="829"/>
      <c r="AG753" s="829"/>
      <c r="AH753" s="829"/>
      <c r="AI753" s="829"/>
      <c r="AJ753" s="829"/>
      <c r="AK753" s="829"/>
      <c r="AL753" s="829"/>
      <c r="AM753" s="829"/>
      <c r="AN753" s="829"/>
    </row>
    <row r="754" spans="1:40" ht="12.75" x14ac:dyDescent="0.2">
      <c r="A754" s="829"/>
      <c r="B754" s="829"/>
      <c r="C754" s="829"/>
      <c r="D754" s="829"/>
      <c r="E754" s="829"/>
      <c r="F754" s="829"/>
      <c r="G754" s="829"/>
      <c r="H754" s="829"/>
      <c r="I754" s="829"/>
      <c r="J754" s="829"/>
      <c r="K754" s="829"/>
      <c r="L754" s="829"/>
      <c r="M754" s="829"/>
      <c r="N754" s="829"/>
      <c r="O754" s="829"/>
      <c r="P754" s="829"/>
      <c r="Q754" s="829"/>
      <c r="R754" s="829"/>
      <c r="S754" s="829"/>
      <c r="T754" s="829"/>
      <c r="U754" s="829"/>
      <c r="V754" s="829"/>
      <c r="W754" s="829"/>
      <c r="X754" s="829"/>
      <c r="Y754" s="829"/>
      <c r="Z754" s="829"/>
      <c r="AA754" s="829"/>
      <c r="AB754" s="829"/>
      <c r="AC754" s="829"/>
      <c r="AD754" s="829"/>
      <c r="AE754" s="829"/>
      <c r="AF754" s="829"/>
      <c r="AG754" s="829"/>
      <c r="AH754" s="829"/>
      <c r="AI754" s="829"/>
      <c r="AJ754" s="829"/>
      <c r="AK754" s="829"/>
      <c r="AL754" s="829"/>
      <c r="AM754" s="829"/>
      <c r="AN754" s="829"/>
    </row>
    <row r="755" spans="1:40" ht="12.75" x14ac:dyDescent="0.2">
      <c r="A755" s="829"/>
      <c r="B755" s="829"/>
      <c r="C755" s="829"/>
      <c r="D755" s="829"/>
      <c r="E755" s="829"/>
      <c r="F755" s="829"/>
      <c r="G755" s="829"/>
      <c r="H755" s="829"/>
      <c r="I755" s="829"/>
      <c r="J755" s="829"/>
      <c r="K755" s="829"/>
      <c r="L755" s="829"/>
      <c r="M755" s="829"/>
      <c r="N755" s="829"/>
      <c r="O755" s="829"/>
      <c r="P755" s="829"/>
      <c r="Q755" s="829"/>
      <c r="R755" s="829"/>
      <c r="S755" s="829"/>
      <c r="T755" s="829"/>
      <c r="U755" s="829"/>
      <c r="V755" s="829"/>
      <c r="W755" s="829"/>
      <c r="X755" s="829"/>
      <c r="Y755" s="829"/>
      <c r="Z755" s="829"/>
      <c r="AA755" s="829"/>
      <c r="AB755" s="829"/>
      <c r="AC755" s="829"/>
      <c r="AD755" s="829"/>
      <c r="AE755" s="829"/>
      <c r="AF755" s="829"/>
      <c r="AG755" s="829"/>
      <c r="AH755" s="829"/>
      <c r="AI755" s="829"/>
      <c r="AJ755" s="829"/>
      <c r="AK755" s="829"/>
      <c r="AL755" s="829"/>
      <c r="AM755" s="829"/>
      <c r="AN755" s="829"/>
    </row>
    <row r="756" spans="1:40" ht="12.75" x14ac:dyDescent="0.2">
      <c r="A756" s="829"/>
      <c r="B756" s="829"/>
      <c r="C756" s="829"/>
      <c r="D756" s="829"/>
      <c r="E756" s="829"/>
      <c r="F756" s="829"/>
      <c r="G756" s="829"/>
      <c r="H756" s="829"/>
      <c r="I756" s="829"/>
      <c r="J756" s="829"/>
      <c r="K756" s="829"/>
      <c r="L756" s="829"/>
      <c r="M756" s="829"/>
      <c r="N756" s="829"/>
      <c r="O756" s="829"/>
      <c r="P756" s="829"/>
      <c r="Q756" s="829"/>
      <c r="R756" s="829"/>
      <c r="S756" s="829"/>
      <c r="T756" s="829"/>
      <c r="U756" s="829"/>
      <c r="V756" s="829"/>
      <c r="W756" s="829"/>
      <c r="X756" s="829"/>
      <c r="Y756" s="829"/>
      <c r="Z756" s="829"/>
      <c r="AA756" s="829"/>
      <c r="AB756" s="829"/>
      <c r="AC756" s="829"/>
      <c r="AD756" s="829"/>
      <c r="AE756" s="829"/>
      <c r="AF756" s="829"/>
      <c r="AG756" s="829"/>
      <c r="AH756" s="829"/>
      <c r="AI756" s="829"/>
      <c r="AJ756" s="829"/>
      <c r="AK756" s="829"/>
      <c r="AL756" s="829"/>
      <c r="AM756" s="829"/>
      <c r="AN756" s="829"/>
    </row>
    <row r="757" spans="1:40" ht="12.75" x14ac:dyDescent="0.2">
      <c r="A757" s="829"/>
      <c r="B757" s="829"/>
      <c r="C757" s="829"/>
      <c r="D757" s="829"/>
      <c r="E757" s="829"/>
      <c r="F757" s="829"/>
      <c r="G757" s="829"/>
      <c r="H757" s="829"/>
      <c r="I757" s="829"/>
      <c r="J757" s="829"/>
      <c r="K757" s="829"/>
      <c r="L757" s="829"/>
      <c r="M757" s="829"/>
      <c r="N757" s="829"/>
      <c r="O757" s="829"/>
      <c r="P757" s="829"/>
      <c r="Q757" s="829"/>
      <c r="R757" s="829"/>
      <c r="S757" s="829"/>
      <c r="T757" s="829"/>
      <c r="U757" s="829"/>
      <c r="V757" s="829"/>
      <c r="W757" s="829"/>
      <c r="X757" s="829"/>
      <c r="Y757" s="829"/>
      <c r="Z757" s="829"/>
      <c r="AA757" s="829"/>
      <c r="AB757" s="829"/>
      <c r="AC757" s="829"/>
      <c r="AD757" s="829"/>
      <c r="AE757" s="829"/>
      <c r="AF757" s="829"/>
      <c r="AG757" s="829"/>
      <c r="AH757" s="829"/>
      <c r="AI757" s="829"/>
      <c r="AJ757" s="829"/>
      <c r="AK757" s="829"/>
      <c r="AL757" s="829"/>
      <c r="AM757" s="829"/>
      <c r="AN757" s="829"/>
    </row>
    <row r="758" spans="1:40" ht="12.75" x14ac:dyDescent="0.2">
      <c r="A758" s="829"/>
      <c r="B758" s="829"/>
      <c r="C758" s="829"/>
      <c r="D758" s="829"/>
      <c r="E758" s="829"/>
      <c r="F758" s="829"/>
      <c r="G758" s="829"/>
      <c r="H758" s="829"/>
      <c r="I758" s="829"/>
      <c r="J758" s="829"/>
      <c r="K758" s="829"/>
      <c r="L758" s="829"/>
      <c r="M758" s="829"/>
      <c r="N758" s="829"/>
      <c r="O758" s="829"/>
      <c r="P758" s="829"/>
      <c r="Q758" s="829"/>
      <c r="R758" s="829"/>
      <c r="S758" s="829"/>
      <c r="T758" s="829"/>
      <c r="U758" s="829"/>
      <c r="V758" s="829"/>
      <c r="W758" s="829"/>
      <c r="X758" s="829"/>
      <c r="Y758" s="829"/>
      <c r="Z758" s="829"/>
      <c r="AA758" s="829"/>
      <c r="AB758" s="829"/>
      <c r="AC758" s="829"/>
      <c r="AD758" s="829"/>
      <c r="AE758" s="829"/>
      <c r="AF758" s="829"/>
      <c r="AG758" s="829"/>
      <c r="AH758" s="829"/>
      <c r="AI758" s="829"/>
      <c r="AJ758" s="829"/>
      <c r="AK758" s="829"/>
      <c r="AL758" s="829"/>
      <c r="AM758" s="829"/>
      <c r="AN758" s="829"/>
    </row>
    <row r="759" spans="1:40" ht="12.75" x14ac:dyDescent="0.2">
      <c r="A759" s="829"/>
      <c r="B759" s="829"/>
      <c r="C759" s="829"/>
      <c r="D759" s="829"/>
      <c r="E759" s="829"/>
      <c r="F759" s="829"/>
      <c r="G759" s="829"/>
      <c r="H759" s="829"/>
      <c r="I759" s="829"/>
      <c r="J759" s="829"/>
      <c r="K759" s="829"/>
      <c r="L759" s="829"/>
      <c r="M759" s="829"/>
      <c r="N759" s="829"/>
      <c r="O759" s="829"/>
      <c r="P759" s="829"/>
      <c r="Q759" s="829"/>
      <c r="R759" s="829"/>
      <c r="S759" s="829"/>
      <c r="T759" s="829"/>
      <c r="U759" s="829"/>
      <c r="V759" s="829"/>
      <c r="W759" s="829"/>
      <c r="X759" s="829"/>
      <c r="Y759" s="829"/>
      <c r="Z759" s="829"/>
      <c r="AA759" s="829"/>
      <c r="AB759" s="829"/>
      <c r="AC759" s="829"/>
      <c r="AD759" s="829"/>
      <c r="AE759" s="829"/>
      <c r="AF759" s="829"/>
      <c r="AG759" s="829"/>
      <c r="AH759" s="829"/>
      <c r="AI759" s="829"/>
      <c r="AJ759" s="829"/>
      <c r="AK759" s="829"/>
      <c r="AL759" s="829"/>
      <c r="AM759" s="829"/>
      <c r="AN759" s="829"/>
    </row>
    <row r="760" spans="1:40" ht="12.75" x14ac:dyDescent="0.2">
      <c r="A760" s="829"/>
      <c r="B760" s="829"/>
      <c r="C760" s="829"/>
      <c r="D760" s="829"/>
      <c r="E760" s="829"/>
      <c r="F760" s="829"/>
      <c r="G760" s="829"/>
      <c r="H760" s="829"/>
      <c r="I760" s="829"/>
      <c r="J760" s="829"/>
      <c r="K760" s="829"/>
      <c r="L760" s="829"/>
      <c r="M760" s="829"/>
      <c r="N760" s="829"/>
      <c r="O760" s="829"/>
      <c r="P760" s="829"/>
      <c r="Q760" s="829"/>
      <c r="R760" s="829"/>
      <c r="S760" s="829"/>
      <c r="T760" s="829"/>
      <c r="U760" s="829"/>
      <c r="V760" s="829"/>
      <c r="W760" s="829"/>
      <c r="X760" s="829"/>
      <c r="Y760" s="829"/>
      <c r="Z760" s="829"/>
      <c r="AA760" s="829"/>
      <c r="AB760" s="829"/>
      <c r="AC760" s="829"/>
      <c r="AD760" s="829"/>
      <c r="AE760" s="829"/>
      <c r="AF760" s="829"/>
      <c r="AG760" s="829"/>
      <c r="AH760" s="829"/>
      <c r="AI760" s="829"/>
      <c r="AJ760" s="829"/>
      <c r="AK760" s="829"/>
      <c r="AL760" s="829"/>
      <c r="AM760" s="829"/>
      <c r="AN760" s="829"/>
    </row>
    <row r="761" spans="1:40" ht="12.75" x14ac:dyDescent="0.2">
      <c r="A761" s="829"/>
      <c r="B761" s="829"/>
      <c r="C761" s="829"/>
      <c r="D761" s="829"/>
      <c r="E761" s="829"/>
      <c r="F761" s="829"/>
      <c r="G761" s="829"/>
      <c r="H761" s="829"/>
      <c r="I761" s="829"/>
      <c r="J761" s="829"/>
      <c r="K761" s="829"/>
      <c r="L761" s="829"/>
      <c r="M761" s="829"/>
      <c r="N761" s="829"/>
      <c r="O761" s="829"/>
      <c r="P761" s="829"/>
      <c r="Q761" s="829"/>
      <c r="R761" s="829"/>
      <c r="S761" s="829"/>
      <c r="T761" s="829"/>
      <c r="U761" s="829"/>
      <c r="V761" s="829"/>
      <c r="W761" s="829"/>
      <c r="X761" s="829"/>
      <c r="Y761" s="829"/>
      <c r="Z761" s="829"/>
      <c r="AA761" s="829"/>
      <c r="AB761" s="829"/>
      <c r="AC761" s="829"/>
      <c r="AD761" s="829"/>
      <c r="AE761" s="829"/>
      <c r="AF761" s="829"/>
      <c r="AG761" s="829"/>
      <c r="AH761" s="829"/>
      <c r="AI761" s="829"/>
      <c r="AJ761" s="829"/>
      <c r="AK761" s="829"/>
      <c r="AL761" s="829"/>
      <c r="AM761" s="829"/>
      <c r="AN761" s="829"/>
    </row>
    <row r="762" spans="1:40" ht="12.75" x14ac:dyDescent="0.2">
      <c r="A762" s="829"/>
      <c r="B762" s="829"/>
      <c r="C762" s="829"/>
      <c r="D762" s="829"/>
      <c r="E762" s="829"/>
      <c r="F762" s="829"/>
      <c r="G762" s="829"/>
      <c r="H762" s="829"/>
      <c r="I762" s="829"/>
      <c r="J762" s="829"/>
      <c r="K762" s="829"/>
      <c r="L762" s="829"/>
      <c r="M762" s="829"/>
      <c r="N762" s="829"/>
      <c r="O762" s="829"/>
      <c r="P762" s="829"/>
      <c r="Q762" s="829"/>
      <c r="R762" s="829"/>
      <c r="S762" s="829"/>
      <c r="T762" s="829"/>
      <c r="U762" s="829"/>
      <c r="V762" s="829"/>
      <c r="W762" s="829"/>
      <c r="X762" s="829"/>
      <c r="Y762" s="829"/>
      <c r="Z762" s="829"/>
      <c r="AA762" s="829"/>
      <c r="AB762" s="829"/>
      <c r="AC762" s="829"/>
      <c r="AD762" s="829"/>
      <c r="AE762" s="829"/>
      <c r="AF762" s="829"/>
      <c r="AG762" s="829"/>
      <c r="AH762" s="829"/>
      <c r="AI762" s="829"/>
      <c r="AJ762" s="829"/>
      <c r="AK762" s="829"/>
      <c r="AL762" s="829"/>
      <c r="AM762" s="829"/>
      <c r="AN762" s="829"/>
    </row>
    <row r="763" spans="1:40" ht="12.75" x14ac:dyDescent="0.2">
      <c r="A763" s="829"/>
      <c r="B763" s="829"/>
      <c r="C763" s="829"/>
      <c r="D763" s="829"/>
      <c r="E763" s="829"/>
      <c r="F763" s="829"/>
      <c r="G763" s="829"/>
      <c r="H763" s="829"/>
      <c r="I763" s="829"/>
      <c r="J763" s="829"/>
      <c r="K763" s="829"/>
      <c r="L763" s="829"/>
      <c r="M763" s="829"/>
      <c r="N763" s="829"/>
      <c r="O763" s="829"/>
      <c r="P763" s="829"/>
      <c r="Q763" s="829"/>
      <c r="R763" s="829"/>
      <c r="S763" s="829"/>
      <c r="T763" s="829"/>
      <c r="U763" s="829"/>
      <c r="V763" s="829"/>
      <c r="W763" s="829"/>
      <c r="X763" s="829"/>
      <c r="Y763" s="829"/>
      <c r="Z763" s="829"/>
      <c r="AA763" s="829"/>
      <c r="AB763" s="829"/>
      <c r="AC763" s="829"/>
      <c r="AD763" s="829"/>
      <c r="AE763" s="829"/>
      <c r="AF763" s="829"/>
      <c r="AG763" s="829"/>
      <c r="AH763" s="829"/>
      <c r="AI763" s="829"/>
      <c r="AJ763" s="829"/>
      <c r="AK763" s="829"/>
      <c r="AL763" s="829"/>
      <c r="AM763" s="829"/>
      <c r="AN763" s="829"/>
    </row>
    <row r="764" spans="1:40" ht="12.75" x14ac:dyDescent="0.2">
      <c r="A764" s="829"/>
      <c r="B764" s="829"/>
      <c r="C764" s="829"/>
      <c r="D764" s="829"/>
      <c r="E764" s="829"/>
      <c r="F764" s="829"/>
      <c r="G764" s="829"/>
      <c r="H764" s="829"/>
      <c r="I764" s="829"/>
      <c r="J764" s="829"/>
      <c r="K764" s="829"/>
      <c r="L764" s="829"/>
      <c r="M764" s="829"/>
      <c r="N764" s="829"/>
      <c r="O764" s="829"/>
      <c r="P764" s="829"/>
      <c r="Q764" s="829"/>
      <c r="R764" s="829"/>
      <c r="S764" s="829"/>
      <c r="T764" s="829"/>
      <c r="U764" s="829"/>
      <c r="V764" s="829"/>
      <c r="W764" s="829"/>
      <c r="X764" s="829"/>
      <c r="Y764" s="829"/>
      <c r="Z764" s="829"/>
      <c r="AA764" s="829"/>
      <c r="AB764" s="829"/>
      <c r="AC764" s="829"/>
      <c r="AD764" s="829"/>
      <c r="AE764" s="829"/>
      <c r="AF764" s="829"/>
      <c r="AG764" s="829"/>
      <c r="AH764" s="829"/>
      <c r="AI764" s="829"/>
      <c r="AJ764" s="829"/>
      <c r="AK764" s="829"/>
      <c r="AL764" s="829"/>
      <c r="AM764" s="829"/>
      <c r="AN764" s="829"/>
    </row>
    <row r="765" spans="1:40" ht="12.75" x14ac:dyDescent="0.2">
      <c r="A765" s="829"/>
      <c r="B765" s="829"/>
      <c r="C765" s="829"/>
      <c r="D765" s="829"/>
      <c r="E765" s="829"/>
      <c r="F765" s="829"/>
      <c r="G765" s="829"/>
      <c r="H765" s="829"/>
      <c r="I765" s="829"/>
      <c r="J765" s="829"/>
      <c r="K765" s="829"/>
      <c r="L765" s="829"/>
      <c r="M765" s="829"/>
      <c r="N765" s="829"/>
      <c r="O765" s="829"/>
      <c r="P765" s="829"/>
      <c r="Q765" s="829"/>
      <c r="R765" s="829"/>
      <c r="S765" s="829"/>
      <c r="T765" s="829"/>
      <c r="U765" s="829"/>
      <c r="V765" s="829"/>
      <c r="W765" s="829"/>
      <c r="X765" s="829"/>
      <c r="Y765" s="829"/>
      <c r="Z765" s="829"/>
      <c r="AA765" s="829"/>
      <c r="AB765" s="829"/>
      <c r="AC765" s="829"/>
      <c r="AD765" s="829"/>
      <c r="AE765" s="829"/>
      <c r="AF765" s="829"/>
      <c r="AG765" s="829"/>
      <c r="AH765" s="829"/>
      <c r="AI765" s="829"/>
      <c r="AJ765" s="829"/>
      <c r="AK765" s="829"/>
      <c r="AL765" s="829"/>
      <c r="AM765" s="829"/>
      <c r="AN765" s="829"/>
    </row>
    <row r="766" spans="1:40" ht="12.75" x14ac:dyDescent="0.2">
      <c r="A766" s="829"/>
      <c r="B766" s="829"/>
      <c r="C766" s="829"/>
      <c r="D766" s="829"/>
      <c r="E766" s="829"/>
      <c r="F766" s="829"/>
      <c r="G766" s="829"/>
      <c r="H766" s="829"/>
      <c r="I766" s="829"/>
      <c r="J766" s="829"/>
      <c r="K766" s="829"/>
      <c r="L766" s="829"/>
      <c r="M766" s="829"/>
      <c r="N766" s="829"/>
      <c r="O766" s="829"/>
      <c r="P766" s="829"/>
      <c r="Q766" s="829"/>
      <c r="R766" s="829"/>
      <c r="S766" s="829"/>
      <c r="T766" s="829"/>
      <c r="U766" s="829"/>
      <c r="V766" s="829"/>
      <c r="W766" s="829"/>
      <c r="X766" s="829"/>
      <c r="Y766" s="829"/>
      <c r="Z766" s="829"/>
      <c r="AA766" s="829"/>
      <c r="AB766" s="829"/>
      <c r="AC766" s="829"/>
      <c r="AD766" s="829"/>
      <c r="AE766" s="829"/>
      <c r="AF766" s="829"/>
      <c r="AG766" s="829"/>
      <c r="AH766" s="829"/>
      <c r="AI766" s="829"/>
      <c r="AJ766" s="829"/>
      <c r="AK766" s="829"/>
      <c r="AL766" s="829"/>
      <c r="AM766" s="829"/>
      <c r="AN766" s="829"/>
    </row>
    <row r="767" spans="1:40" ht="12.75" x14ac:dyDescent="0.2">
      <c r="A767" s="829"/>
      <c r="B767" s="829"/>
      <c r="C767" s="829"/>
      <c r="D767" s="829"/>
      <c r="E767" s="829"/>
      <c r="F767" s="829"/>
      <c r="G767" s="829"/>
      <c r="H767" s="829"/>
      <c r="I767" s="829"/>
      <c r="J767" s="829"/>
      <c r="K767" s="829"/>
      <c r="L767" s="829"/>
      <c r="M767" s="829"/>
      <c r="N767" s="829"/>
      <c r="O767" s="829"/>
      <c r="P767" s="829"/>
      <c r="Q767" s="829"/>
      <c r="R767" s="829"/>
      <c r="S767" s="829"/>
      <c r="T767" s="829"/>
      <c r="U767" s="829"/>
      <c r="V767" s="829"/>
      <c r="W767" s="829"/>
      <c r="X767" s="829"/>
      <c r="Y767" s="829"/>
      <c r="Z767" s="829"/>
      <c r="AA767" s="829"/>
      <c r="AB767" s="829"/>
      <c r="AC767" s="829"/>
      <c r="AD767" s="829"/>
      <c r="AE767" s="829"/>
      <c r="AF767" s="829"/>
      <c r="AG767" s="829"/>
      <c r="AH767" s="829"/>
      <c r="AI767" s="829"/>
      <c r="AJ767" s="829"/>
      <c r="AK767" s="829"/>
      <c r="AL767" s="829"/>
      <c r="AM767" s="829"/>
      <c r="AN767" s="829"/>
    </row>
    <row r="768" spans="1:40" ht="12.75" x14ac:dyDescent="0.2">
      <c r="A768" s="829"/>
      <c r="B768" s="829"/>
      <c r="C768" s="829"/>
      <c r="D768" s="829"/>
      <c r="E768" s="829"/>
      <c r="F768" s="829"/>
      <c r="G768" s="829"/>
      <c r="H768" s="829"/>
      <c r="I768" s="829"/>
      <c r="J768" s="829"/>
      <c r="K768" s="829"/>
      <c r="L768" s="829"/>
      <c r="M768" s="829"/>
      <c r="N768" s="829"/>
      <c r="O768" s="829"/>
      <c r="P768" s="829"/>
      <c r="Q768" s="829"/>
      <c r="R768" s="829"/>
      <c r="S768" s="829"/>
      <c r="T768" s="829"/>
      <c r="U768" s="829"/>
      <c r="V768" s="829"/>
      <c r="W768" s="829"/>
      <c r="X768" s="829"/>
      <c r="Y768" s="829"/>
      <c r="Z768" s="829"/>
      <c r="AA768" s="829"/>
      <c r="AB768" s="829"/>
      <c r="AC768" s="829"/>
      <c r="AD768" s="829"/>
      <c r="AE768" s="829"/>
      <c r="AF768" s="829"/>
      <c r="AG768" s="829"/>
      <c r="AH768" s="829"/>
      <c r="AI768" s="829"/>
      <c r="AJ768" s="829"/>
      <c r="AK768" s="829"/>
      <c r="AL768" s="829"/>
      <c r="AM768" s="829"/>
      <c r="AN768" s="829"/>
    </row>
    <row r="769" spans="1:40" ht="12.75" x14ac:dyDescent="0.2">
      <c r="A769" s="829"/>
      <c r="B769" s="829"/>
      <c r="C769" s="829"/>
      <c r="D769" s="829"/>
      <c r="E769" s="829"/>
      <c r="F769" s="829"/>
      <c r="G769" s="829"/>
      <c r="H769" s="829"/>
      <c r="I769" s="829"/>
      <c r="J769" s="829"/>
      <c r="K769" s="829"/>
      <c r="L769" s="829"/>
      <c r="M769" s="829"/>
      <c r="N769" s="829"/>
      <c r="O769" s="829"/>
      <c r="P769" s="829"/>
      <c r="Q769" s="829"/>
      <c r="R769" s="829"/>
      <c r="S769" s="829"/>
      <c r="T769" s="829"/>
      <c r="U769" s="829"/>
      <c r="V769" s="829"/>
      <c r="W769" s="829"/>
      <c r="X769" s="829"/>
      <c r="Y769" s="829"/>
      <c r="Z769" s="829"/>
      <c r="AA769" s="829"/>
      <c r="AB769" s="829"/>
      <c r="AC769" s="829"/>
      <c r="AD769" s="829"/>
      <c r="AE769" s="829"/>
      <c r="AF769" s="829"/>
      <c r="AG769" s="829"/>
      <c r="AH769" s="829"/>
      <c r="AI769" s="829"/>
      <c r="AJ769" s="829"/>
      <c r="AK769" s="829"/>
      <c r="AL769" s="829"/>
      <c r="AM769" s="829"/>
      <c r="AN769" s="829"/>
    </row>
    <row r="770" spans="1:40" ht="12.75" x14ac:dyDescent="0.2">
      <c r="A770" s="829"/>
      <c r="B770" s="829"/>
      <c r="C770" s="829"/>
      <c r="D770" s="829"/>
      <c r="E770" s="829"/>
      <c r="F770" s="829"/>
      <c r="G770" s="829"/>
      <c r="H770" s="829"/>
      <c r="I770" s="829"/>
      <c r="J770" s="829"/>
      <c r="K770" s="829"/>
      <c r="L770" s="829"/>
      <c r="M770" s="829"/>
      <c r="N770" s="829"/>
      <c r="O770" s="829"/>
      <c r="P770" s="829"/>
      <c r="Q770" s="829"/>
      <c r="R770" s="829"/>
      <c r="S770" s="829"/>
      <c r="T770" s="829"/>
      <c r="U770" s="829"/>
      <c r="V770" s="829"/>
      <c r="W770" s="829"/>
      <c r="X770" s="829"/>
      <c r="Y770" s="829"/>
      <c r="Z770" s="829"/>
      <c r="AA770" s="829"/>
      <c r="AB770" s="829"/>
      <c r="AC770" s="829"/>
      <c r="AD770" s="829"/>
      <c r="AE770" s="829"/>
      <c r="AF770" s="829"/>
      <c r="AG770" s="829"/>
      <c r="AH770" s="829"/>
      <c r="AI770" s="829"/>
      <c r="AJ770" s="829"/>
      <c r="AK770" s="829"/>
      <c r="AL770" s="829"/>
      <c r="AM770" s="829"/>
      <c r="AN770" s="829"/>
    </row>
    <row r="771" spans="1:40" ht="12.75" x14ac:dyDescent="0.2">
      <c r="A771" s="829"/>
      <c r="B771" s="829"/>
      <c r="C771" s="829"/>
      <c r="D771" s="829"/>
      <c r="E771" s="829"/>
      <c r="F771" s="829"/>
      <c r="G771" s="829"/>
      <c r="H771" s="829"/>
      <c r="I771" s="829"/>
      <c r="J771" s="829"/>
      <c r="K771" s="829"/>
      <c r="L771" s="829"/>
      <c r="M771" s="829"/>
      <c r="N771" s="829"/>
      <c r="O771" s="829"/>
      <c r="P771" s="829"/>
      <c r="Q771" s="829"/>
      <c r="R771" s="829"/>
      <c r="S771" s="829"/>
      <c r="T771" s="829"/>
      <c r="U771" s="829"/>
      <c r="V771" s="829"/>
      <c r="W771" s="829"/>
      <c r="X771" s="829"/>
      <c r="Y771" s="829"/>
      <c r="Z771" s="829"/>
      <c r="AA771" s="829"/>
      <c r="AB771" s="829"/>
      <c r="AC771" s="829"/>
      <c r="AD771" s="829"/>
      <c r="AE771" s="829"/>
      <c r="AF771" s="829"/>
      <c r="AG771" s="829"/>
      <c r="AH771" s="829"/>
      <c r="AI771" s="829"/>
      <c r="AJ771" s="829"/>
      <c r="AK771" s="829"/>
      <c r="AL771" s="829"/>
      <c r="AM771" s="829"/>
      <c r="AN771" s="829"/>
    </row>
    <row r="772" spans="1:40" ht="12.75" x14ac:dyDescent="0.2">
      <c r="A772" s="829"/>
      <c r="B772" s="829"/>
      <c r="C772" s="829"/>
      <c r="D772" s="829"/>
      <c r="E772" s="829"/>
      <c r="F772" s="829"/>
      <c r="G772" s="829"/>
      <c r="H772" s="829"/>
      <c r="I772" s="829"/>
      <c r="J772" s="829"/>
      <c r="K772" s="829"/>
      <c r="L772" s="829"/>
      <c r="M772" s="829"/>
      <c r="N772" s="829"/>
      <c r="O772" s="829"/>
      <c r="P772" s="829"/>
      <c r="Q772" s="829"/>
      <c r="R772" s="829"/>
      <c r="S772" s="829"/>
      <c r="T772" s="829"/>
      <c r="U772" s="829"/>
      <c r="V772" s="829"/>
      <c r="W772" s="829"/>
      <c r="X772" s="829"/>
      <c r="Y772" s="829"/>
      <c r="Z772" s="829"/>
      <c r="AA772" s="829"/>
      <c r="AB772" s="829"/>
      <c r="AC772" s="829"/>
      <c r="AD772" s="829"/>
      <c r="AE772" s="829"/>
      <c r="AF772" s="829"/>
      <c r="AG772" s="829"/>
      <c r="AH772" s="829"/>
      <c r="AI772" s="829"/>
      <c r="AJ772" s="829"/>
      <c r="AK772" s="829"/>
      <c r="AL772" s="829"/>
      <c r="AM772" s="829"/>
      <c r="AN772" s="829"/>
    </row>
    <row r="773" spans="1:40" ht="12.75" x14ac:dyDescent="0.2">
      <c r="A773" s="829"/>
      <c r="B773" s="829"/>
      <c r="C773" s="829"/>
      <c r="D773" s="829"/>
      <c r="E773" s="829"/>
      <c r="F773" s="829"/>
      <c r="G773" s="829"/>
      <c r="H773" s="829"/>
      <c r="I773" s="829"/>
      <c r="J773" s="829"/>
      <c r="K773" s="829"/>
      <c r="L773" s="829"/>
      <c r="M773" s="829"/>
      <c r="N773" s="829"/>
      <c r="O773" s="829"/>
      <c r="P773" s="829"/>
      <c r="Q773" s="829"/>
      <c r="R773" s="829"/>
      <c r="S773" s="829"/>
      <c r="T773" s="829"/>
      <c r="U773" s="829"/>
      <c r="V773" s="829"/>
      <c r="W773" s="829"/>
      <c r="X773" s="829"/>
      <c r="Y773" s="829"/>
      <c r="Z773" s="829"/>
      <c r="AA773" s="829"/>
      <c r="AB773" s="829"/>
      <c r="AC773" s="829"/>
      <c r="AD773" s="829"/>
      <c r="AE773" s="829"/>
      <c r="AF773" s="829"/>
      <c r="AG773" s="829"/>
      <c r="AH773" s="829"/>
      <c r="AI773" s="829"/>
      <c r="AJ773" s="829"/>
      <c r="AK773" s="829"/>
      <c r="AL773" s="829"/>
      <c r="AM773" s="829"/>
      <c r="AN773" s="829"/>
    </row>
    <row r="774" spans="1:40" ht="12.75" x14ac:dyDescent="0.2">
      <c r="A774" s="829"/>
      <c r="B774" s="829"/>
      <c r="C774" s="829"/>
      <c r="D774" s="829"/>
      <c r="E774" s="829"/>
      <c r="F774" s="829"/>
      <c r="G774" s="829"/>
      <c r="H774" s="829"/>
      <c r="I774" s="829"/>
      <c r="J774" s="829"/>
      <c r="K774" s="829"/>
      <c r="L774" s="829"/>
      <c r="M774" s="829"/>
      <c r="N774" s="829"/>
      <c r="O774" s="829"/>
      <c r="P774" s="829"/>
      <c r="Q774" s="829"/>
      <c r="R774" s="829"/>
      <c r="S774" s="829"/>
      <c r="T774" s="829"/>
      <c r="U774" s="829"/>
      <c r="V774" s="829"/>
      <c r="W774" s="829"/>
      <c r="X774" s="829"/>
      <c r="Y774" s="829"/>
      <c r="Z774" s="829"/>
      <c r="AA774" s="829"/>
      <c r="AB774" s="829"/>
      <c r="AC774" s="829"/>
      <c r="AD774" s="829"/>
      <c r="AE774" s="829"/>
      <c r="AF774" s="829"/>
      <c r="AG774" s="829"/>
      <c r="AH774" s="829"/>
      <c r="AI774" s="829"/>
      <c r="AJ774" s="829"/>
      <c r="AK774" s="829"/>
      <c r="AL774" s="829"/>
      <c r="AM774" s="829"/>
      <c r="AN774" s="829"/>
    </row>
    <row r="775" spans="1:40" ht="12.75" x14ac:dyDescent="0.2">
      <c r="A775" s="829"/>
      <c r="B775" s="829"/>
      <c r="C775" s="829"/>
      <c r="D775" s="829"/>
      <c r="E775" s="829"/>
      <c r="F775" s="829"/>
      <c r="G775" s="829"/>
      <c r="H775" s="829"/>
      <c r="I775" s="829"/>
      <c r="J775" s="829"/>
      <c r="K775" s="829"/>
      <c r="L775" s="829"/>
      <c r="M775" s="829"/>
      <c r="N775" s="829"/>
      <c r="O775" s="829"/>
      <c r="P775" s="829"/>
      <c r="Q775" s="829"/>
      <c r="R775" s="829"/>
      <c r="S775" s="829"/>
      <c r="T775" s="829"/>
      <c r="U775" s="829"/>
      <c r="V775" s="829"/>
      <c r="W775" s="829"/>
      <c r="X775" s="829"/>
      <c r="Y775" s="829"/>
      <c r="Z775" s="829"/>
      <c r="AA775" s="829"/>
      <c r="AB775" s="829"/>
      <c r="AC775" s="829"/>
      <c r="AD775" s="829"/>
      <c r="AE775" s="829"/>
      <c r="AF775" s="829"/>
      <c r="AG775" s="829"/>
      <c r="AH775" s="829"/>
      <c r="AI775" s="829"/>
      <c r="AJ775" s="829"/>
      <c r="AK775" s="829"/>
      <c r="AL775" s="829"/>
      <c r="AM775" s="829"/>
      <c r="AN775" s="829"/>
    </row>
    <row r="776" spans="1:40" ht="12.75" x14ac:dyDescent="0.2">
      <c r="A776" s="829"/>
      <c r="B776" s="829"/>
      <c r="C776" s="829"/>
      <c r="D776" s="829"/>
      <c r="E776" s="829"/>
      <c r="F776" s="829"/>
      <c r="G776" s="829"/>
      <c r="H776" s="829"/>
      <c r="I776" s="829"/>
      <c r="J776" s="829"/>
      <c r="K776" s="829"/>
      <c r="L776" s="829"/>
      <c r="M776" s="829"/>
      <c r="N776" s="829"/>
      <c r="O776" s="829"/>
      <c r="P776" s="829"/>
      <c r="Q776" s="829"/>
      <c r="R776" s="829"/>
      <c r="S776" s="829"/>
      <c r="T776" s="829"/>
      <c r="U776" s="829"/>
      <c r="V776" s="829"/>
      <c r="W776" s="829"/>
      <c r="X776" s="829"/>
      <c r="Y776" s="829"/>
      <c r="Z776" s="829"/>
      <c r="AA776" s="829"/>
      <c r="AB776" s="829"/>
      <c r="AC776" s="829"/>
      <c r="AD776" s="829"/>
      <c r="AE776" s="829"/>
      <c r="AF776" s="829"/>
      <c r="AG776" s="829"/>
      <c r="AH776" s="829"/>
      <c r="AI776" s="829"/>
      <c r="AJ776" s="829"/>
      <c r="AK776" s="829"/>
      <c r="AL776" s="829"/>
      <c r="AM776" s="829"/>
      <c r="AN776" s="829"/>
    </row>
    <row r="777" spans="1:40" ht="12.75" x14ac:dyDescent="0.2">
      <c r="A777" s="829"/>
      <c r="B777" s="829"/>
      <c r="C777" s="829"/>
      <c r="D777" s="829"/>
      <c r="E777" s="829"/>
      <c r="F777" s="829"/>
      <c r="G777" s="829"/>
      <c r="H777" s="829"/>
      <c r="I777" s="829"/>
      <c r="J777" s="829"/>
      <c r="K777" s="829"/>
      <c r="L777" s="829"/>
      <c r="M777" s="829"/>
      <c r="N777" s="829"/>
      <c r="O777" s="829"/>
      <c r="P777" s="829"/>
      <c r="Q777" s="829"/>
      <c r="R777" s="829"/>
      <c r="S777" s="829"/>
      <c r="T777" s="829"/>
      <c r="U777" s="829"/>
      <c r="V777" s="829"/>
      <c r="W777" s="829"/>
      <c r="X777" s="829"/>
      <c r="Y777" s="829"/>
      <c r="Z777" s="829"/>
      <c r="AA777" s="829"/>
      <c r="AB777" s="829"/>
      <c r="AC777" s="829"/>
      <c r="AD777" s="829"/>
      <c r="AE777" s="829"/>
      <c r="AF777" s="829"/>
      <c r="AG777" s="829"/>
      <c r="AH777" s="829"/>
      <c r="AI777" s="829"/>
      <c r="AJ777" s="829"/>
      <c r="AK777" s="829"/>
      <c r="AL777" s="829"/>
      <c r="AM777" s="829"/>
      <c r="AN777" s="829"/>
    </row>
    <row r="778" spans="1:40" ht="12.75" x14ac:dyDescent="0.2">
      <c r="A778" s="829"/>
      <c r="B778" s="829"/>
      <c r="C778" s="829"/>
      <c r="D778" s="829"/>
      <c r="E778" s="829"/>
      <c r="F778" s="829"/>
      <c r="G778" s="829"/>
      <c r="H778" s="829"/>
      <c r="I778" s="829"/>
      <c r="J778" s="829"/>
      <c r="K778" s="829"/>
      <c r="L778" s="829"/>
      <c r="M778" s="829"/>
      <c r="N778" s="829"/>
      <c r="O778" s="829"/>
      <c r="P778" s="829"/>
      <c r="Q778" s="829"/>
      <c r="R778" s="829"/>
      <c r="S778" s="829"/>
      <c r="T778" s="829"/>
      <c r="U778" s="829"/>
      <c r="V778" s="829"/>
      <c r="W778" s="829"/>
      <c r="X778" s="829"/>
      <c r="Y778" s="829"/>
      <c r="Z778" s="829"/>
      <c r="AA778" s="829"/>
      <c r="AB778" s="829"/>
      <c r="AC778" s="829"/>
      <c r="AD778" s="829"/>
      <c r="AE778" s="829"/>
      <c r="AF778" s="829"/>
      <c r="AG778" s="829"/>
      <c r="AH778" s="829"/>
      <c r="AI778" s="829"/>
      <c r="AJ778" s="829"/>
      <c r="AK778" s="829"/>
      <c r="AL778" s="829"/>
      <c r="AM778" s="829"/>
      <c r="AN778" s="829"/>
    </row>
    <row r="779" spans="1:40" ht="12.75" x14ac:dyDescent="0.2">
      <c r="A779" s="829"/>
      <c r="B779" s="829"/>
      <c r="C779" s="829"/>
      <c r="D779" s="829"/>
      <c r="E779" s="829"/>
      <c r="F779" s="829"/>
      <c r="G779" s="829"/>
      <c r="H779" s="829"/>
      <c r="I779" s="829"/>
      <c r="J779" s="829"/>
      <c r="K779" s="829"/>
      <c r="L779" s="829"/>
      <c r="M779" s="829"/>
      <c r="N779" s="829"/>
      <c r="O779" s="829"/>
      <c r="P779" s="829"/>
      <c r="Q779" s="829"/>
      <c r="R779" s="829"/>
      <c r="S779" s="829"/>
      <c r="T779" s="829"/>
      <c r="U779" s="829"/>
      <c r="V779" s="829"/>
      <c r="W779" s="829"/>
      <c r="X779" s="829"/>
      <c r="Y779" s="829"/>
      <c r="Z779" s="829"/>
      <c r="AA779" s="829"/>
      <c r="AB779" s="829"/>
      <c r="AC779" s="829"/>
      <c r="AD779" s="829"/>
      <c r="AE779" s="829"/>
      <c r="AF779" s="829"/>
      <c r="AG779" s="829"/>
      <c r="AH779" s="829"/>
      <c r="AI779" s="829"/>
      <c r="AJ779" s="829"/>
      <c r="AK779" s="829"/>
      <c r="AL779" s="829"/>
      <c r="AM779" s="829"/>
      <c r="AN779" s="829"/>
    </row>
    <row r="780" spans="1:40" ht="12.75" x14ac:dyDescent="0.2">
      <c r="A780" s="829"/>
      <c r="B780" s="829"/>
      <c r="C780" s="829"/>
      <c r="D780" s="829"/>
      <c r="E780" s="829"/>
      <c r="F780" s="829"/>
      <c r="G780" s="829"/>
      <c r="H780" s="829"/>
      <c r="I780" s="829"/>
      <c r="J780" s="829"/>
      <c r="K780" s="829"/>
      <c r="L780" s="829"/>
      <c r="M780" s="829"/>
      <c r="N780" s="829"/>
      <c r="O780" s="829"/>
      <c r="P780" s="829"/>
      <c r="Q780" s="829"/>
      <c r="R780" s="829"/>
      <c r="S780" s="829"/>
      <c r="T780" s="829"/>
      <c r="U780" s="829"/>
      <c r="V780" s="829"/>
      <c r="W780" s="829"/>
      <c r="X780" s="829"/>
      <c r="Y780" s="829"/>
      <c r="Z780" s="829"/>
      <c r="AA780" s="829"/>
      <c r="AB780" s="829"/>
      <c r="AC780" s="829"/>
      <c r="AD780" s="829"/>
      <c r="AE780" s="829"/>
      <c r="AF780" s="829"/>
      <c r="AG780" s="829"/>
      <c r="AH780" s="829"/>
      <c r="AI780" s="829"/>
      <c r="AJ780" s="829"/>
      <c r="AK780" s="829"/>
      <c r="AL780" s="829"/>
      <c r="AM780" s="829"/>
      <c r="AN780" s="829"/>
    </row>
    <row r="781" spans="1:40" ht="12.75" x14ac:dyDescent="0.2">
      <c r="A781" s="829"/>
      <c r="B781" s="829"/>
      <c r="C781" s="829"/>
      <c r="D781" s="829"/>
      <c r="E781" s="829"/>
      <c r="F781" s="829"/>
      <c r="G781" s="829"/>
      <c r="H781" s="829"/>
      <c r="I781" s="829"/>
      <c r="J781" s="829"/>
      <c r="K781" s="829"/>
      <c r="L781" s="829"/>
      <c r="M781" s="829"/>
      <c r="N781" s="829"/>
      <c r="O781" s="829"/>
      <c r="P781" s="829"/>
      <c r="Q781" s="829"/>
      <c r="R781" s="829"/>
      <c r="S781" s="829"/>
      <c r="T781" s="829"/>
      <c r="U781" s="829"/>
      <c r="V781" s="829"/>
      <c r="W781" s="829"/>
      <c r="X781" s="829"/>
      <c r="Y781" s="829"/>
      <c r="Z781" s="829"/>
      <c r="AA781" s="829"/>
      <c r="AB781" s="829"/>
      <c r="AC781" s="829"/>
      <c r="AD781" s="829"/>
      <c r="AE781" s="829"/>
      <c r="AF781" s="829"/>
      <c r="AG781" s="829"/>
      <c r="AH781" s="829"/>
      <c r="AI781" s="829"/>
      <c r="AJ781" s="829"/>
      <c r="AK781" s="829"/>
      <c r="AL781" s="829"/>
      <c r="AM781" s="829"/>
      <c r="AN781" s="829"/>
    </row>
    <row r="782" spans="1:40" ht="12.75" x14ac:dyDescent="0.2">
      <c r="A782" s="829"/>
      <c r="B782" s="829"/>
      <c r="C782" s="829"/>
      <c r="D782" s="829"/>
      <c r="E782" s="829"/>
      <c r="F782" s="829"/>
      <c r="G782" s="829"/>
      <c r="H782" s="829"/>
      <c r="I782" s="829"/>
      <c r="J782" s="829"/>
      <c r="K782" s="829"/>
      <c r="L782" s="829"/>
      <c r="M782" s="829"/>
      <c r="N782" s="829"/>
      <c r="O782" s="829"/>
      <c r="P782" s="829"/>
      <c r="Q782" s="829"/>
      <c r="R782" s="829"/>
      <c r="S782" s="829"/>
      <c r="T782" s="829"/>
      <c r="U782" s="829"/>
      <c r="V782" s="829"/>
      <c r="W782" s="829"/>
      <c r="X782" s="829"/>
      <c r="Y782" s="829"/>
      <c r="Z782" s="829"/>
      <c r="AA782" s="829"/>
      <c r="AB782" s="829"/>
      <c r="AC782" s="829"/>
      <c r="AD782" s="829"/>
      <c r="AE782" s="829"/>
      <c r="AF782" s="829"/>
      <c r="AG782" s="829"/>
      <c r="AH782" s="829"/>
      <c r="AI782" s="829"/>
      <c r="AJ782" s="829"/>
      <c r="AK782" s="829"/>
      <c r="AL782" s="829"/>
      <c r="AM782" s="829"/>
      <c r="AN782" s="829"/>
    </row>
    <row r="783" spans="1:40" ht="12.75" x14ac:dyDescent="0.2">
      <c r="A783" s="829"/>
      <c r="B783" s="829"/>
      <c r="C783" s="829"/>
      <c r="D783" s="829"/>
      <c r="E783" s="829"/>
      <c r="F783" s="829"/>
      <c r="G783" s="829"/>
      <c r="H783" s="829"/>
      <c r="I783" s="829"/>
      <c r="J783" s="829"/>
      <c r="K783" s="829"/>
      <c r="L783" s="829"/>
      <c r="M783" s="829"/>
      <c r="N783" s="829"/>
      <c r="O783" s="829"/>
      <c r="P783" s="829"/>
      <c r="Q783" s="829"/>
      <c r="R783" s="829"/>
      <c r="S783" s="829"/>
      <c r="T783" s="829"/>
      <c r="U783" s="829"/>
      <c r="V783" s="829"/>
      <c r="W783" s="829"/>
      <c r="X783" s="829"/>
      <c r="Y783" s="829"/>
      <c r="Z783" s="829"/>
      <c r="AA783" s="829"/>
      <c r="AB783" s="829"/>
      <c r="AC783" s="829"/>
      <c r="AD783" s="829"/>
      <c r="AE783" s="829"/>
      <c r="AF783" s="829"/>
      <c r="AG783" s="829"/>
      <c r="AH783" s="829"/>
      <c r="AI783" s="829"/>
      <c r="AJ783" s="829"/>
      <c r="AK783" s="829"/>
      <c r="AL783" s="829"/>
      <c r="AM783" s="829"/>
      <c r="AN783" s="829"/>
    </row>
    <row r="784" spans="1:40" ht="12.75" x14ac:dyDescent="0.2">
      <c r="A784" s="829"/>
      <c r="B784" s="829"/>
      <c r="C784" s="829"/>
      <c r="D784" s="829"/>
      <c r="E784" s="829"/>
      <c r="F784" s="829"/>
      <c r="G784" s="829"/>
      <c r="H784" s="829"/>
      <c r="I784" s="829"/>
      <c r="J784" s="829"/>
      <c r="K784" s="829"/>
      <c r="L784" s="829"/>
      <c r="M784" s="829"/>
      <c r="N784" s="829"/>
      <c r="O784" s="829"/>
      <c r="P784" s="829"/>
      <c r="Q784" s="829"/>
      <c r="R784" s="829"/>
      <c r="S784" s="829"/>
      <c r="T784" s="829"/>
      <c r="U784" s="829"/>
      <c r="V784" s="829"/>
      <c r="W784" s="829"/>
      <c r="X784" s="829"/>
      <c r="Y784" s="829"/>
      <c r="Z784" s="829"/>
      <c r="AA784" s="829"/>
      <c r="AB784" s="829"/>
      <c r="AC784" s="829"/>
      <c r="AD784" s="829"/>
      <c r="AE784" s="829"/>
      <c r="AF784" s="829"/>
      <c r="AG784" s="829"/>
      <c r="AH784" s="829"/>
      <c r="AI784" s="829"/>
      <c r="AJ784" s="829"/>
      <c r="AK784" s="829"/>
      <c r="AL784" s="829"/>
      <c r="AM784" s="829"/>
      <c r="AN784" s="829"/>
    </row>
    <row r="785" spans="1:40" ht="12.75" x14ac:dyDescent="0.2">
      <c r="A785" s="829"/>
      <c r="B785" s="829"/>
      <c r="C785" s="829"/>
      <c r="D785" s="829"/>
      <c r="E785" s="829"/>
      <c r="F785" s="829"/>
      <c r="G785" s="829"/>
      <c r="H785" s="829"/>
      <c r="I785" s="829"/>
      <c r="J785" s="829"/>
      <c r="K785" s="829"/>
      <c r="L785" s="829"/>
      <c r="M785" s="829"/>
      <c r="N785" s="829"/>
      <c r="O785" s="829"/>
      <c r="P785" s="829"/>
      <c r="Q785" s="829"/>
      <c r="R785" s="829"/>
      <c r="S785" s="829"/>
      <c r="T785" s="829"/>
      <c r="U785" s="829"/>
      <c r="V785" s="829"/>
      <c r="W785" s="829"/>
      <c r="X785" s="829"/>
      <c r="Y785" s="829"/>
      <c r="Z785" s="829"/>
      <c r="AA785" s="829"/>
      <c r="AB785" s="829"/>
      <c r="AC785" s="829"/>
      <c r="AD785" s="829"/>
      <c r="AE785" s="829"/>
      <c r="AF785" s="829"/>
      <c r="AG785" s="829"/>
      <c r="AH785" s="829"/>
      <c r="AI785" s="829"/>
      <c r="AJ785" s="829"/>
      <c r="AK785" s="829"/>
      <c r="AL785" s="829"/>
      <c r="AM785" s="829"/>
      <c r="AN785" s="829"/>
    </row>
    <row r="786" spans="1:40" ht="12.75" x14ac:dyDescent="0.2">
      <c r="A786" s="829"/>
      <c r="B786" s="829"/>
      <c r="C786" s="829"/>
      <c r="D786" s="829"/>
      <c r="E786" s="829"/>
      <c r="F786" s="829"/>
      <c r="G786" s="829"/>
      <c r="H786" s="829"/>
      <c r="I786" s="829"/>
      <c r="J786" s="829"/>
      <c r="K786" s="829"/>
      <c r="L786" s="829"/>
      <c r="M786" s="829"/>
      <c r="N786" s="829"/>
      <c r="O786" s="829"/>
      <c r="P786" s="829"/>
      <c r="Q786" s="829"/>
      <c r="R786" s="829"/>
      <c r="S786" s="829"/>
      <c r="T786" s="829"/>
      <c r="U786" s="829"/>
      <c r="V786" s="829"/>
      <c r="W786" s="829"/>
      <c r="X786" s="829"/>
      <c r="Y786" s="829"/>
      <c r="Z786" s="829"/>
      <c r="AA786" s="829"/>
      <c r="AB786" s="829"/>
      <c r="AC786" s="829"/>
      <c r="AD786" s="829"/>
      <c r="AE786" s="829"/>
      <c r="AF786" s="829"/>
      <c r="AG786" s="829"/>
      <c r="AH786" s="829"/>
      <c r="AI786" s="829"/>
      <c r="AJ786" s="829"/>
      <c r="AK786" s="829"/>
      <c r="AL786" s="829"/>
      <c r="AM786" s="829"/>
      <c r="AN786" s="829"/>
    </row>
    <row r="787" spans="1:40" ht="12.75" x14ac:dyDescent="0.2">
      <c r="A787" s="829"/>
      <c r="B787" s="829"/>
      <c r="C787" s="829"/>
      <c r="D787" s="829"/>
      <c r="E787" s="829"/>
      <c r="F787" s="829"/>
      <c r="G787" s="829"/>
      <c r="H787" s="829"/>
      <c r="I787" s="829"/>
      <c r="J787" s="829"/>
      <c r="K787" s="829"/>
      <c r="L787" s="829"/>
      <c r="M787" s="829"/>
      <c r="N787" s="829"/>
      <c r="O787" s="829"/>
      <c r="P787" s="829"/>
      <c r="Q787" s="829"/>
      <c r="R787" s="829"/>
      <c r="S787" s="829"/>
      <c r="T787" s="829"/>
      <c r="U787" s="829"/>
      <c r="V787" s="829"/>
      <c r="W787" s="829"/>
      <c r="X787" s="829"/>
      <c r="Y787" s="829"/>
      <c r="Z787" s="829"/>
      <c r="AA787" s="829"/>
      <c r="AB787" s="829"/>
      <c r="AC787" s="829"/>
      <c r="AD787" s="829"/>
      <c r="AE787" s="829"/>
      <c r="AF787" s="829"/>
      <c r="AG787" s="829"/>
      <c r="AH787" s="829"/>
      <c r="AI787" s="829"/>
      <c r="AJ787" s="829"/>
      <c r="AK787" s="829"/>
      <c r="AL787" s="829"/>
      <c r="AM787" s="829"/>
      <c r="AN787" s="829"/>
    </row>
    <row r="788" spans="1:40" ht="12.75" x14ac:dyDescent="0.2">
      <c r="A788" s="829"/>
      <c r="B788" s="829"/>
      <c r="C788" s="829"/>
      <c r="D788" s="829"/>
      <c r="E788" s="829"/>
      <c r="F788" s="829"/>
      <c r="G788" s="829"/>
      <c r="H788" s="829"/>
      <c r="I788" s="829"/>
      <c r="J788" s="829"/>
      <c r="K788" s="829"/>
      <c r="L788" s="829"/>
      <c r="M788" s="829"/>
      <c r="N788" s="829"/>
      <c r="O788" s="829"/>
      <c r="P788" s="829"/>
      <c r="Q788" s="829"/>
      <c r="R788" s="829"/>
      <c r="S788" s="829"/>
      <c r="T788" s="829"/>
      <c r="U788" s="829"/>
      <c r="V788" s="829"/>
      <c r="W788" s="829"/>
      <c r="X788" s="829"/>
      <c r="Y788" s="829"/>
      <c r="Z788" s="829"/>
      <c r="AA788" s="829"/>
      <c r="AB788" s="829"/>
      <c r="AC788" s="829"/>
      <c r="AD788" s="829"/>
      <c r="AE788" s="829"/>
      <c r="AF788" s="829"/>
      <c r="AG788" s="829"/>
      <c r="AH788" s="829"/>
      <c r="AI788" s="829"/>
      <c r="AJ788" s="829"/>
      <c r="AK788" s="829"/>
      <c r="AL788" s="829"/>
      <c r="AM788" s="829"/>
      <c r="AN788" s="829"/>
    </row>
    <row r="789" spans="1:40" ht="12.75" x14ac:dyDescent="0.2">
      <c r="A789" s="829"/>
      <c r="B789" s="829"/>
      <c r="C789" s="829"/>
      <c r="D789" s="829"/>
      <c r="E789" s="829"/>
      <c r="F789" s="829"/>
      <c r="G789" s="829"/>
      <c r="H789" s="829"/>
      <c r="I789" s="829"/>
      <c r="J789" s="829"/>
      <c r="K789" s="829"/>
      <c r="L789" s="829"/>
      <c r="M789" s="829"/>
      <c r="N789" s="829"/>
      <c r="O789" s="829"/>
      <c r="P789" s="829"/>
      <c r="Q789" s="829"/>
      <c r="R789" s="829"/>
      <c r="S789" s="829"/>
      <c r="T789" s="829"/>
      <c r="U789" s="829"/>
      <c r="V789" s="829"/>
      <c r="W789" s="829"/>
      <c r="X789" s="829"/>
      <c r="Y789" s="829"/>
      <c r="Z789" s="829"/>
      <c r="AA789" s="829"/>
      <c r="AB789" s="829"/>
      <c r="AC789" s="829"/>
      <c r="AD789" s="829"/>
      <c r="AE789" s="829"/>
      <c r="AF789" s="829"/>
      <c r="AG789" s="829"/>
      <c r="AH789" s="829"/>
      <c r="AI789" s="829"/>
      <c r="AJ789" s="829"/>
      <c r="AK789" s="829"/>
      <c r="AL789" s="829"/>
      <c r="AM789" s="829"/>
      <c r="AN789" s="829"/>
    </row>
    <row r="790" spans="1:40" ht="12.75" x14ac:dyDescent="0.2">
      <c r="A790" s="829"/>
      <c r="B790" s="829"/>
      <c r="C790" s="829"/>
      <c r="D790" s="829"/>
      <c r="E790" s="829"/>
      <c r="F790" s="829"/>
      <c r="G790" s="829"/>
      <c r="H790" s="829"/>
      <c r="I790" s="829"/>
      <c r="J790" s="829"/>
      <c r="K790" s="829"/>
      <c r="L790" s="829"/>
      <c r="M790" s="829"/>
      <c r="N790" s="829"/>
      <c r="O790" s="829"/>
      <c r="P790" s="829"/>
      <c r="Q790" s="829"/>
      <c r="R790" s="829"/>
      <c r="S790" s="829"/>
      <c r="T790" s="829"/>
      <c r="U790" s="829"/>
      <c r="V790" s="829"/>
      <c r="W790" s="829"/>
      <c r="X790" s="829"/>
      <c r="Y790" s="829"/>
      <c r="Z790" s="829"/>
      <c r="AA790" s="829"/>
      <c r="AB790" s="829"/>
      <c r="AC790" s="829"/>
      <c r="AD790" s="829"/>
      <c r="AE790" s="829"/>
      <c r="AF790" s="829"/>
      <c r="AG790" s="829"/>
      <c r="AH790" s="829"/>
      <c r="AI790" s="829"/>
      <c r="AJ790" s="829"/>
      <c r="AK790" s="829"/>
      <c r="AL790" s="829"/>
      <c r="AM790" s="829"/>
      <c r="AN790" s="829"/>
    </row>
    <row r="791" spans="1:40" ht="12.75" x14ac:dyDescent="0.2">
      <c r="A791" s="829"/>
      <c r="B791" s="829"/>
      <c r="C791" s="829"/>
      <c r="D791" s="829"/>
      <c r="E791" s="829"/>
      <c r="F791" s="829"/>
      <c r="G791" s="829"/>
      <c r="H791" s="829"/>
      <c r="I791" s="829"/>
      <c r="J791" s="829"/>
      <c r="K791" s="829"/>
      <c r="L791" s="829"/>
      <c r="M791" s="829"/>
      <c r="N791" s="829"/>
      <c r="O791" s="829"/>
      <c r="P791" s="829"/>
      <c r="Q791" s="829"/>
      <c r="R791" s="829"/>
      <c r="S791" s="829"/>
      <c r="T791" s="829"/>
      <c r="U791" s="829"/>
      <c r="V791" s="829"/>
      <c r="W791" s="829"/>
      <c r="X791" s="829"/>
      <c r="Y791" s="829"/>
      <c r="Z791" s="829"/>
      <c r="AA791" s="829"/>
      <c r="AB791" s="829"/>
      <c r="AC791" s="829"/>
      <c r="AD791" s="829"/>
      <c r="AE791" s="829"/>
      <c r="AF791" s="829"/>
      <c r="AG791" s="829"/>
      <c r="AH791" s="829"/>
      <c r="AI791" s="829"/>
      <c r="AJ791" s="829"/>
      <c r="AK791" s="829"/>
      <c r="AL791" s="829"/>
      <c r="AM791" s="829"/>
      <c r="AN791" s="829"/>
    </row>
    <row r="792" spans="1:40" ht="12.75" x14ac:dyDescent="0.2">
      <c r="A792" s="829"/>
      <c r="B792" s="829"/>
      <c r="C792" s="829"/>
      <c r="D792" s="829"/>
      <c r="E792" s="829"/>
      <c r="F792" s="829"/>
      <c r="G792" s="829"/>
      <c r="H792" s="829"/>
      <c r="I792" s="829"/>
      <c r="J792" s="829"/>
      <c r="K792" s="829"/>
      <c r="L792" s="829"/>
      <c r="M792" s="829"/>
      <c r="N792" s="829"/>
      <c r="O792" s="829"/>
      <c r="P792" s="829"/>
      <c r="Q792" s="829"/>
      <c r="R792" s="829"/>
      <c r="S792" s="829"/>
      <c r="T792" s="829"/>
      <c r="U792" s="829"/>
      <c r="V792" s="829"/>
      <c r="W792" s="829"/>
      <c r="X792" s="829"/>
      <c r="Y792" s="829"/>
      <c r="Z792" s="829"/>
      <c r="AA792" s="829"/>
      <c r="AB792" s="829"/>
      <c r="AC792" s="829"/>
      <c r="AD792" s="829"/>
      <c r="AE792" s="829"/>
      <c r="AF792" s="829"/>
      <c r="AG792" s="829"/>
      <c r="AH792" s="829"/>
      <c r="AI792" s="829"/>
      <c r="AJ792" s="829"/>
      <c r="AK792" s="829"/>
      <c r="AL792" s="829"/>
      <c r="AM792" s="829"/>
      <c r="AN792" s="829"/>
    </row>
    <row r="793" spans="1:40" ht="12.75" x14ac:dyDescent="0.2">
      <c r="A793" s="829"/>
      <c r="B793" s="829"/>
      <c r="C793" s="829"/>
      <c r="D793" s="829"/>
      <c r="E793" s="829"/>
      <c r="F793" s="829"/>
      <c r="G793" s="829"/>
      <c r="H793" s="829"/>
      <c r="I793" s="829"/>
      <c r="J793" s="829"/>
      <c r="K793" s="829"/>
      <c r="L793" s="829"/>
      <c r="M793" s="829"/>
      <c r="N793" s="829"/>
      <c r="O793" s="829"/>
      <c r="P793" s="829"/>
      <c r="Q793" s="829"/>
      <c r="R793" s="829"/>
      <c r="S793" s="829"/>
      <c r="T793" s="829"/>
      <c r="U793" s="829"/>
      <c r="V793" s="829"/>
      <c r="W793" s="829"/>
      <c r="X793" s="829"/>
      <c r="Y793" s="829"/>
      <c r="Z793" s="829"/>
      <c r="AA793" s="829"/>
      <c r="AB793" s="829"/>
      <c r="AC793" s="829"/>
      <c r="AD793" s="829"/>
      <c r="AE793" s="829"/>
      <c r="AF793" s="829"/>
      <c r="AG793" s="829"/>
      <c r="AH793" s="829"/>
      <c r="AI793" s="829"/>
      <c r="AJ793" s="829"/>
      <c r="AK793" s="829"/>
      <c r="AL793" s="829"/>
      <c r="AM793" s="829"/>
      <c r="AN793" s="829"/>
    </row>
    <row r="794" spans="1:40" ht="12.75" x14ac:dyDescent="0.2">
      <c r="A794" s="829"/>
      <c r="B794" s="829"/>
      <c r="C794" s="829"/>
      <c r="D794" s="829"/>
      <c r="E794" s="829"/>
      <c r="F794" s="829"/>
      <c r="G794" s="829"/>
      <c r="H794" s="829"/>
      <c r="I794" s="829"/>
      <c r="J794" s="829"/>
      <c r="K794" s="829"/>
      <c r="L794" s="829"/>
      <c r="M794" s="829"/>
      <c r="N794" s="829"/>
      <c r="O794" s="829"/>
      <c r="P794" s="829"/>
      <c r="Q794" s="829"/>
      <c r="R794" s="829"/>
      <c r="S794" s="829"/>
      <c r="T794" s="829"/>
      <c r="U794" s="829"/>
      <c r="V794" s="829"/>
      <c r="W794" s="829"/>
      <c r="X794" s="829"/>
      <c r="Y794" s="829"/>
      <c r="Z794" s="829"/>
      <c r="AA794" s="829"/>
      <c r="AB794" s="829"/>
      <c r="AC794" s="829"/>
      <c r="AD794" s="829"/>
      <c r="AE794" s="829"/>
      <c r="AF794" s="829"/>
      <c r="AG794" s="829"/>
      <c r="AH794" s="829"/>
      <c r="AI794" s="829"/>
      <c r="AJ794" s="829"/>
      <c r="AK794" s="829"/>
      <c r="AL794" s="829"/>
      <c r="AM794" s="829"/>
      <c r="AN794" s="829"/>
    </row>
    <row r="795" spans="1:40" ht="12.75" x14ac:dyDescent="0.2">
      <c r="A795" s="829"/>
      <c r="B795" s="829"/>
      <c r="C795" s="829"/>
      <c r="D795" s="829"/>
      <c r="E795" s="829"/>
      <c r="F795" s="829"/>
      <c r="G795" s="829"/>
      <c r="H795" s="829"/>
      <c r="I795" s="829"/>
      <c r="J795" s="829"/>
      <c r="K795" s="829"/>
      <c r="L795" s="829"/>
      <c r="M795" s="829"/>
      <c r="N795" s="829"/>
      <c r="O795" s="829"/>
      <c r="P795" s="829"/>
      <c r="Q795" s="829"/>
      <c r="R795" s="829"/>
      <c r="S795" s="829"/>
      <c r="T795" s="829"/>
      <c r="U795" s="829"/>
      <c r="V795" s="829"/>
      <c r="W795" s="829"/>
      <c r="X795" s="829"/>
      <c r="Y795" s="829"/>
      <c r="Z795" s="829"/>
      <c r="AA795" s="829"/>
      <c r="AB795" s="829"/>
      <c r="AC795" s="829"/>
      <c r="AD795" s="829"/>
      <c r="AE795" s="829"/>
      <c r="AF795" s="829"/>
      <c r="AG795" s="829"/>
      <c r="AH795" s="829"/>
      <c r="AI795" s="829"/>
      <c r="AJ795" s="829"/>
      <c r="AK795" s="829"/>
      <c r="AL795" s="829"/>
      <c r="AM795" s="829"/>
      <c r="AN795" s="829"/>
    </row>
    <row r="796" spans="1:40" ht="12.75" x14ac:dyDescent="0.2">
      <c r="A796" s="829"/>
      <c r="B796" s="829"/>
      <c r="C796" s="829"/>
      <c r="D796" s="829"/>
      <c r="E796" s="829"/>
      <c r="F796" s="829"/>
      <c r="G796" s="829"/>
      <c r="H796" s="829"/>
      <c r="I796" s="829"/>
      <c r="J796" s="829"/>
      <c r="K796" s="829"/>
      <c r="L796" s="829"/>
      <c r="M796" s="829"/>
      <c r="N796" s="829"/>
      <c r="O796" s="829"/>
      <c r="P796" s="829"/>
      <c r="Q796" s="829"/>
      <c r="R796" s="829"/>
      <c r="S796" s="829"/>
      <c r="T796" s="829"/>
      <c r="U796" s="829"/>
      <c r="V796" s="829"/>
      <c r="W796" s="829"/>
      <c r="X796" s="829"/>
      <c r="Y796" s="829"/>
      <c r="Z796" s="829"/>
      <c r="AA796" s="829"/>
      <c r="AB796" s="829"/>
      <c r="AC796" s="829"/>
      <c r="AD796" s="829"/>
      <c r="AE796" s="829"/>
      <c r="AF796" s="829"/>
      <c r="AG796" s="829"/>
      <c r="AH796" s="829"/>
      <c r="AI796" s="829"/>
      <c r="AJ796" s="829"/>
      <c r="AK796" s="829"/>
      <c r="AL796" s="829"/>
      <c r="AM796" s="829"/>
      <c r="AN796" s="829"/>
    </row>
    <row r="797" spans="1:40" ht="12.75" x14ac:dyDescent="0.2">
      <c r="A797" s="829"/>
      <c r="B797" s="829"/>
      <c r="C797" s="829"/>
      <c r="D797" s="829"/>
      <c r="E797" s="829"/>
      <c r="F797" s="829"/>
      <c r="G797" s="829"/>
      <c r="H797" s="829"/>
      <c r="I797" s="829"/>
      <c r="J797" s="829"/>
      <c r="K797" s="829"/>
      <c r="L797" s="829"/>
      <c r="M797" s="829"/>
      <c r="N797" s="829"/>
      <c r="O797" s="829"/>
      <c r="P797" s="829"/>
      <c r="Q797" s="829"/>
      <c r="R797" s="829"/>
      <c r="S797" s="829"/>
      <c r="T797" s="829"/>
      <c r="U797" s="829"/>
      <c r="V797" s="829"/>
      <c r="W797" s="829"/>
      <c r="X797" s="829"/>
      <c r="Y797" s="829"/>
      <c r="Z797" s="829"/>
      <c r="AA797" s="829"/>
      <c r="AB797" s="829"/>
      <c r="AC797" s="829"/>
      <c r="AD797" s="829"/>
      <c r="AE797" s="829"/>
      <c r="AF797" s="829"/>
      <c r="AG797" s="829"/>
      <c r="AH797" s="829"/>
      <c r="AI797" s="829"/>
      <c r="AJ797" s="829"/>
      <c r="AK797" s="829"/>
      <c r="AL797" s="829"/>
      <c r="AM797" s="829"/>
      <c r="AN797" s="829"/>
    </row>
    <row r="798" spans="1:40" ht="12.75" x14ac:dyDescent="0.2">
      <c r="A798" s="829"/>
      <c r="B798" s="829"/>
      <c r="C798" s="829"/>
      <c r="D798" s="829"/>
      <c r="E798" s="829"/>
      <c r="F798" s="829"/>
      <c r="G798" s="829"/>
      <c r="H798" s="829"/>
      <c r="I798" s="829"/>
      <c r="J798" s="829"/>
      <c r="K798" s="829"/>
      <c r="L798" s="829"/>
      <c r="M798" s="829"/>
      <c r="N798" s="829"/>
      <c r="O798" s="829"/>
      <c r="P798" s="829"/>
      <c r="Q798" s="829"/>
      <c r="R798" s="829"/>
      <c r="S798" s="829"/>
      <c r="T798" s="829"/>
      <c r="U798" s="829"/>
      <c r="V798" s="829"/>
      <c r="W798" s="829"/>
      <c r="X798" s="829"/>
      <c r="Y798" s="829"/>
      <c r="Z798" s="829"/>
      <c r="AA798" s="829"/>
      <c r="AB798" s="829"/>
      <c r="AC798" s="829"/>
      <c r="AD798" s="829"/>
      <c r="AE798" s="829"/>
      <c r="AF798" s="829"/>
      <c r="AG798" s="829"/>
      <c r="AH798" s="829"/>
      <c r="AI798" s="829"/>
      <c r="AJ798" s="829"/>
      <c r="AK798" s="829"/>
      <c r="AL798" s="829"/>
      <c r="AM798" s="829"/>
      <c r="AN798" s="829"/>
    </row>
    <row r="799" spans="1:40" ht="12.75" x14ac:dyDescent="0.2">
      <c r="A799" s="829"/>
      <c r="B799" s="829"/>
      <c r="C799" s="829"/>
      <c r="D799" s="829"/>
      <c r="E799" s="829"/>
      <c r="F799" s="829"/>
      <c r="G799" s="829"/>
      <c r="H799" s="829"/>
      <c r="I799" s="829"/>
      <c r="J799" s="829"/>
      <c r="K799" s="829"/>
      <c r="L799" s="829"/>
      <c r="M799" s="829"/>
      <c r="N799" s="829"/>
      <c r="O799" s="829"/>
      <c r="P799" s="829"/>
      <c r="Q799" s="829"/>
      <c r="R799" s="829"/>
      <c r="S799" s="829"/>
      <c r="T799" s="829"/>
      <c r="U799" s="829"/>
      <c r="V799" s="829"/>
      <c r="W799" s="829"/>
      <c r="X799" s="829"/>
      <c r="Y799" s="829"/>
      <c r="Z799" s="829"/>
      <c r="AA799" s="829"/>
      <c r="AB799" s="829"/>
      <c r="AC799" s="829"/>
      <c r="AD799" s="829"/>
      <c r="AE799" s="829"/>
      <c r="AF799" s="829"/>
      <c r="AG799" s="829"/>
      <c r="AH799" s="829"/>
      <c r="AI799" s="829"/>
      <c r="AJ799" s="829"/>
      <c r="AK799" s="829"/>
      <c r="AL799" s="829"/>
      <c r="AM799" s="829"/>
      <c r="AN799" s="829"/>
    </row>
    <row r="800" spans="1:40" ht="12.75" x14ac:dyDescent="0.2">
      <c r="A800" s="829"/>
      <c r="B800" s="829"/>
      <c r="C800" s="829"/>
      <c r="D800" s="829"/>
      <c r="E800" s="829"/>
      <c r="F800" s="829"/>
      <c r="G800" s="829"/>
      <c r="H800" s="829"/>
      <c r="I800" s="829"/>
      <c r="J800" s="829"/>
      <c r="K800" s="829"/>
      <c r="L800" s="829"/>
      <c r="M800" s="829"/>
      <c r="N800" s="829"/>
      <c r="O800" s="829"/>
      <c r="P800" s="829"/>
      <c r="Q800" s="829"/>
      <c r="R800" s="829"/>
      <c r="S800" s="829"/>
      <c r="T800" s="829"/>
      <c r="U800" s="829"/>
      <c r="V800" s="829"/>
      <c r="W800" s="829"/>
      <c r="X800" s="829"/>
      <c r="Y800" s="829"/>
      <c r="Z800" s="829"/>
      <c r="AA800" s="829"/>
      <c r="AB800" s="829"/>
      <c r="AC800" s="829"/>
      <c r="AD800" s="829"/>
      <c r="AE800" s="829"/>
      <c r="AF800" s="829"/>
      <c r="AG800" s="829"/>
      <c r="AH800" s="829"/>
      <c r="AI800" s="829"/>
      <c r="AJ800" s="829"/>
      <c r="AK800" s="829"/>
      <c r="AL800" s="829"/>
      <c r="AM800" s="829"/>
      <c r="AN800" s="829"/>
    </row>
    <row r="801" spans="1:40" ht="12.75" x14ac:dyDescent="0.2">
      <c r="A801" s="829"/>
      <c r="B801" s="829"/>
      <c r="C801" s="829"/>
      <c r="D801" s="829"/>
      <c r="E801" s="829"/>
      <c r="F801" s="829"/>
      <c r="G801" s="829"/>
      <c r="H801" s="829"/>
      <c r="I801" s="829"/>
      <c r="J801" s="829"/>
      <c r="K801" s="829"/>
      <c r="L801" s="829"/>
      <c r="M801" s="829"/>
      <c r="N801" s="829"/>
      <c r="O801" s="829"/>
      <c r="P801" s="829"/>
      <c r="Q801" s="829"/>
      <c r="R801" s="829"/>
      <c r="S801" s="829"/>
      <c r="T801" s="829"/>
      <c r="U801" s="829"/>
      <c r="V801" s="829"/>
      <c r="W801" s="829"/>
      <c r="X801" s="829"/>
      <c r="Y801" s="829"/>
      <c r="Z801" s="829"/>
      <c r="AA801" s="829"/>
      <c r="AB801" s="829"/>
      <c r="AC801" s="829"/>
      <c r="AD801" s="829"/>
      <c r="AE801" s="829"/>
      <c r="AF801" s="829"/>
      <c r="AG801" s="829"/>
      <c r="AH801" s="829"/>
      <c r="AI801" s="829"/>
      <c r="AJ801" s="829"/>
      <c r="AK801" s="829"/>
      <c r="AL801" s="829"/>
      <c r="AM801" s="829"/>
      <c r="AN801" s="829"/>
    </row>
    <row r="802" spans="1:40" ht="12.75" x14ac:dyDescent="0.2">
      <c r="A802" s="829"/>
      <c r="B802" s="829"/>
      <c r="C802" s="829"/>
      <c r="D802" s="829"/>
      <c r="E802" s="829"/>
      <c r="F802" s="829"/>
      <c r="G802" s="829"/>
      <c r="H802" s="829"/>
      <c r="I802" s="829"/>
      <c r="J802" s="829"/>
      <c r="K802" s="829"/>
      <c r="L802" s="829"/>
      <c r="M802" s="829"/>
      <c r="N802" s="829"/>
      <c r="O802" s="829"/>
      <c r="P802" s="829"/>
      <c r="Q802" s="829"/>
      <c r="R802" s="829"/>
      <c r="S802" s="829"/>
      <c r="T802" s="829"/>
      <c r="U802" s="829"/>
      <c r="V802" s="829"/>
      <c r="W802" s="829"/>
      <c r="X802" s="829"/>
      <c r="Y802" s="829"/>
      <c r="Z802" s="829"/>
      <c r="AA802" s="829"/>
      <c r="AB802" s="829"/>
      <c r="AC802" s="829"/>
      <c r="AD802" s="829"/>
      <c r="AE802" s="829"/>
      <c r="AF802" s="829"/>
      <c r="AG802" s="829"/>
      <c r="AH802" s="829"/>
      <c r="AI802" s="829"/>
      <c r="AJ802" s="829"/>
      <c r="AK802" s="829"/>
      <c r="AL802" s="829"/>
      <c r="AM802" s="829"/>
      <c r="AN802" s="829"/>
    </row>
    <row r="803" spans="1:40" ht="12.75" x14ac:dyDescent="0.2">
      <c r="A803" s="829"/>
      <c r="B803" s="829"/>
      <c r="C803" s="829"/>
      <c r="D803" s="829"/>
      <c r="E803" s="829"/>
      <c r="F803" s="829"/>
      <c r="G803" s="829"/>
      <c r="H803" s="829"/>
      <c r="I803" s="829"/>
      <c r="J803" s="829"/>
      <c r="K803" s="829"/>
      <c r="L803" s="829"/>
      <c r="M803" s="829"/>
      <c r="N803" s="829"/>
      <c r="O803" s="829"/>
      <c r="P803" s="829"/>
      <c r="Q803" s="829"/>
      <c r="R803" s="829"/>
      <c r="S803" s="829"/>
      <c r="T803" s="829"/>
      <c r="U803" s="829"/>
      <c r="V803" s="829"/>
      <c r="W803" s="829"/>
      <c r="X803" s="829"/>
      <c r="Y803" s="829"/>
      <c r="Z803" s="829"/>
      <c r="AA803" s="829"/>
      <c r="AB803" s="829"/>
      <c r="AC803" s="829"/>
      <c r="AD803" s="829"/>
      <c r="AE803" s="829"/>
      <c r="AF803" s="829"/>
      <c r="AG803" s="829"/>
      <c r="AH803" s="829"/>
      <c r="AI803" s="829"/>
      <c r="AJ803" s="829"/>
      <c r="AK803" s="829"/>
      <c r="AL803" s="829"/>
      <c r="AM803" s="829"/>
      <c r="AN803" s="829"/>
    </row>
    <row r="804" spans="1:40" ht="12.75" x14ac:dyDescent="0.2">
      <c r="A804" s="829"/>
      <c r="B804" s="829"/>
      <c r="C804" s="829"/>
      <c r="D804" s="829"/>
      <c r="E804" s="829"/>
      <c r="F804" s="829"/>
      <c r="G804" s="829"/>
      <c r="H804" s="829"/>
      <c r="I804" s="829"/>
      <c r="J804" s="829"/>
      <c r="K804" s="829"/>
      <c r="L804" s="829"/>
      <c r="M804" s="829"/>
      <c r="N804" s="829"/>
      <c r="O804" s="829"/>
      <c r="P804" s="829"/>
      <c r="Q804" s="829"/>
      <c r="R804" s="829"/>
      <c r="S804" s="829"/>
      <c r="T804" s="829"/>
      <c r="U804" s="829"/>
      <c r="V804" s="829"/>
      <c r="W804" s="829"/>
      <c r="X804" s="829"/>
      <c r="Y804" s="829"/>
      <c r="Z804" s="829"/>
      <c r="AA804" s="829"/>
      <c r="AB804" s="829"/>
      <c r="AC804" s="829"/>
      <c r="AD804" s="829"/>
      <c r="AE804" s="829"/>
      <c r="AF804" s="829"/>
      <c r="AG804" s="829"/>
      <c r="AH804" s="829"/>
      <c r="AI804" s="829"/>
      <c r="AJ804" s="829"/>
      <c r="AK804" s="829"/>
      <c r="AL804" s="829"/>
      <c r="AM804" s="829"/>
      <c r="AN804" s="829"/>
    </row>
    <row r="805" spans="1:40" ht="12.75" x14ac:dyDescent="0.2">
      <c r="A805" s="829"/>
      <c r="B805" s="829"/>
      <c r="C805" s="829"/>
      <c r="D805" s="829"/>
      <c r="E805" s="829"/>
      <c r="F805" s="829"/>
      <c r="G805" s="829"/>
      <c r="H805" s="829"/>
      <c r="I805" s="829"/>
      <c r="J805" s="829"/>
      <c r="K805" s="829"/>
      <c r="L805" s="829"/>
      <c r="M805" s="829"/>
      <c r="N805" s="829"/>
      <c r="O805" s="829"/>
      <c r="P805" s="829"/>
      <c r="Q805" s="829"/>
      <c r="R805" s="829"/>
      <c r="S805" s="829"/>
      <c r="T805" s="829"/>
      <c r="U805" s="829"/>
      <c r="V805" s="829"/>
      <c r="W805" s="829"/>
      <c r="X805" s="829"/>
      <c r="Y805" s="829"/>
      <c r="Z805" s="829"/>
      <c r="AA805" s="829"/>
      <c r="AB805" s="829"/>
      <c r="AC805" s="829"/>
      <c r="AD805" s="829"/>
      <c r="AE805" s="829"/>
      <c r="AF805" s="829"/>
      <c r="AG805" s="829"/>
      <c r="AH805" s="829"/>
      <c r="AI805" s="829"/>
      <c r="AJ805" s="829"/>
      <c r="AK805" s="829"/>
      <c r="AL805" s="829"/>
      <c r="AM805" s="829"/>
      <c r="AN805" s="829"/>
    </row>
    <row r="806" spans="1:40" ht="12.75" x14ac:dyDescent="0.2">
      <c r="A806" s="829"/>
      <c r="B806" s="829"/>
      <c r="C806" s="829"/>
      <c r="D806" s="829"/>
      <c r="E806" s="829"/>
      <c r="F806" s="829"/>
      <c r="G806" s="829"/>
      <c r="H806" s="829"/>
      <c r="I806" s="829"/>
      <c r="J806" s="829"/>
      <c r="K806" s="829"/>
      <c r="L806" s="829"/>
      <c r="M806" s="829"/>
      <c r="N806" s="829"/>
      <c r="O806" s="829"/>
      <c r="P806" s="829"/>
      <c r="Q806" s="829"/>
      <c r="R806" s="829"/>
      <c r="S806" s="829"/>
      <c r="T806" s="829"/>
      <c r="U806" s="829"/>
      <c r="V806" s="829"/>
      <c r="W806" s="829"/>
      <c r="X806" s="829"/>
      <c r="Y806" s="829"/>
      <c r="Z806" s="829"/>
      <c r="AA806" s="829"/>
      <c r="AB806" s="829"/>
      <c r="AC806" s="829"/>
      <c r="AD806" s="829"/>
      <c r="AE806" s="829"/>
      <c r="AF806" s="829"/>
      <c r="AG806" s="829"/>
      <c r="AH806" s="829"/>
      <c r="AI806" s="829"/>
      <c r="AJ806" s="829"/>
      <c r="AK806" s="829"/>
      <c r="AL806" s="829"/>
      <c r="AM806" s="829"/>
      <c r="AN806" s="829"/>
    </row>
    <row r="807" spans="1:40" ht="12.75" x14ac:dyDescent="0.2">
      <c r="A807" s="829"/>
      <c r="B807" s="829"/>
      <c r="C807" s="829"/>
      <c r="D807" s="829"/>
      <c r="E807" s="829"/>
      <c r="F807" s="829"/>
      <c r="G807" s="829"/>
      <c r="H807" s="829"/>
      <c r="I807" s="829"/>
      <c r="J807" s="829"/>
      <c r="K807" s="829"/>
      <c r="L807" s="829"/>
      <c r="M807" s="829"/>
      <c r="N807" s="829"/>
      <c r="O807" s="829"/>
      <c r="P807" s="829"/>
      <c r="Q807" s="829"/>
      <c r="R807" s="829"/>
      <c r="S807" s="829"/>
      <c r="T807" s="829"/>
      <c r="U807" s="829"/>
      <c r="V807" s="829"/>
      <c r="W807" s="829"/>
      <c r="X807" s="829"/>
      <c r="Y807" s="829"/>
      <c r="Z807" s="829"/>
      <c r="AA807" s="829"/>
      <c r="AB807" s="829"/>
      <c r="AC807" s="829"/>
      <c r="AD807" s="829"/>
      <c r="AE807" s="829"/>
      <c r="AF807" s="829"/>
      <c r="AG807" s="829"/>
      <c r="AH807" s="829"/>
      <c r="AI807" s="829"/>
      <c r="AJ807" s="829"/>
      <c r="AK807" s="829"/>
      <c r="AL807" s="829"/>
      <c r="AM807" s="829"/>
      <c r="AN807" s="829"/>
    </row>
    <row r="808" spans="1:40" ht="12.75" x14ac:dyDescent="0.2">
      <c r="A808" s="829"/>
      <c r="B808" s="829"/>
      <c r="C808" s="829"/>
      <c r="D808" s="829"/>
      <c r="E808" s="829"/>
      <c r="F808" s="829"/>
      <c r="G808" s="829"/>
      <c r="H808" s="829"/>
      <c r="I808" s="829"/>
      <c r="J808" s="829"/>
      <c r="K808" s="829"/>
      <c r="L808" s="829"/>
      <c r="M808" s="829"/>
      <c r="N808" s="829"/>
      <c r="O808" s="829"/>
      <c r="P808" s="829"/>
      <c r="Q808" s="829"/>
      <c r="R808" s="829"/>
      <c r="S808" s="829"/>
      <c r="T808" s="829"/>
      <c r="U808" s="829"/>
      <c r="V808" s="829"/>
      <c r="W808" s="829"/>
      <c r="X808" s="829"/>
      <c r="Y808" s="829"/>
      <c r="Z808" s="829"/>
      <c r="AA808" s="829"/>
      <c r="AB808" s="829"/>
      <c r="AC808" s="829"/>
      <c r="AD808" s="829"/>
      <c r="AE808" s="829"/>
      <c r="AF808" s="829"/>
      <c r="AG808" s="829"/>
      <c r="AH808" s="829"/>
      <c r="AI808" s="829"/>
      <c r="AJ808" s="829"/>
      <c r="AK808" s="829"/>
      <c r="AL808" s="829"/>
      <c r="AM808" s="829"/>
      <c r="AN808" s="829"/>
    </row>
    <row r="809" spans="1:40" ht="12.75" x14ac:dyDescent="0.2">
      <c r="A809" s="829"/>
      <c r="B809" s="829"/>
      <c r="C809" s="829"/>
      <c r="D809" s="829"/>
      <c r="E809" s="829"/>
      <c r="F809" s="829"/>
      <c r="G809" s="829"/>
      <c r="H809" s="829"/>
      <c r="I809" s="829"/>
      <c r="J809" s="829"/>
      <c r="K809" s="829"/>
      <c r="L809" s="829"/>
      <c r="M809" s="829"/>
      <c r="N809" s="829"/>
      <c r="O809" s="829"/>
      <c r="P809" s="829"/>
      <c r="Q809" s="829"/>
      <c r="R809" s="829"/>
      <c r="S809" s="829"/>
      <c r="T809" s="829"/>
      <c r="U809" s="829"/>
      <c r="V809" s="829"/>
      <c r="W809" s="829"/>
      <c r="X809" s="829"/>
      <c r="Y809" s="829"/>
      <c r="Z809" s="829"/>
      <c r="AA809" s="829"/>
      <c r="AB809" s="829"/>
      <c r="AC809" s="829"/>
      <c r="AD809" s="829"/>
      <c r="AE809" s="829"/>
      <c r="AF809" s="829"/>
      <c r="AG809" s="829"/>
      <c r="AH809" s="829"/>
      <c r="AI809" s="829"/>
      <c r="AJ809" s="829"/>
      <c r="AK809" s="829"/>
      <c r="AL809" s="829"/>
      <c r="AM809" s="829"/>
      <c r="AN809" s="829"/>
    </row>
    <row r="810" spans="1:40" ht="12.75" x14ac:dyDescent="0.2">
      <c r="A810" s="829"/>
      <c r="B810" s="829"/>
      <c r="C810" s="829"/>
      <c r="D810" s="829"/>
      <c r="E810" s="829"/>
      <c r="F810" s="829"/>
      <c r="G810" s="829"/>
      <c r="H810" s="829"/>
      <c r="I810" s="829"/>
      <c r="J810" s="829"/>
      <c r="K810" s="829"/>
      <c r="L810" s="829"/>
      <c r="M810" s="829"/>
      <c r="N810" s="829"/>
      <c r="O810" s="829"/>
      <c r="P810" s="829"/>
      <c r="Q810" s="829"/>
      <c r="R810" s="829"/>
      <c r="S810" s="829"/>
      <c r="T810" s="829"/>
      <c r="U810" s="829"/>
      <c r="V810" s="829"/>
      <c r="W810" s="829"/>
      <c r="X810" s="829"/>
      <c r="Y810" s="829"/>
      <c r="Z810" s="829"/>
      <c r="AA810" s="829"/>
      <c r="AB810" s="829"/>
      <c r="AC810" s="829"/>
      <c r="AD810" s="829"/>
      <c r="AE810" s="829"/>
      <c r="AF810" s="829"/>
      <c r="AG810" s="829"/>
      <c r="AH810" s="829"/>
      <c r="AI810" s="829"/>
      <c r="AJ810" s="829"/>
      <c r="AK810" s="829"/>
      <c r="AL810" s="829"/>
      <c r="AM810" s="829"/>
      <c r="AN810" s="829"/>
    </row>
    <row r="811" spans="1:40" ht="12.75" x14ac:dyDescent="0.2">
      <c r="A811" s="829"/>
      <c r="B811" s="829"/>
      <c r="C811" s="829"/>
      <c r="D811" s="829"/>
      <c r="E811" s="829"/>
      <c r="F811" s="829"/>
      <c r="G811" s="829"/>
      <c r="H811" s="829"/>
      <c r="I811" s="829"/>
      <c r="J811" s="829"/>
      <c r="K811" s="829"/>
      <c r="L811" s="829"/>
      <c r="M811" s="829"/>
      <c r="N811" s="829"/>
      <c r="O811" s="829"/>
      <c r="P811" s="829"/>
      <c r="Q811" s="829"/>
      <c r="R811" s="829"/>
      <c r="S811" s="829"/>
      <c r="T811" s="829"/>
      <c r="U811" s="829"/>
      <c r="V811" s="829"/>
      <c r="W811" s="829"/>
      <c r="X811" s="829"/>
      <c r="Y811" s="829"/>
      <c r="Z811" s="829"/>
      <c r="AA811" s="829"/>
      <c r="AB811" s="829"/>
      <c r="AC811" s="829"/>
      <c r="AD811" s="829"/>
      <c r="AE811" s="829"/>
      <c r="AF811" s="829"/>
      <c r="AG811" s="829"/>
      <c r="AH811" s="829"/>
      <c r="AI811" s="829"/>
      <c r="AJ811" s="829"/>
      <c r="AK811" s="829"/>
      <c r="AL811" s="829"/>
      <c r="AM811" s="829"/>
      <c r="AN811" s="829"/>
    </row>
    <row r="812" spans="1:40" ht="12.75" x14ac:dyDescent="0.2">
      <c r="A812" s="829"/>
      <c r="B812" s="829"/>
      <c r="C812" s="829"/>
      <c r="D812" s="829"/>
      <c r="E812" s="829"/>
      <c r="F812" s="829"/>
      <c r="G812" s="829"/>
      <c r="H812" s="829"/>
      <c r="I812" s="829"/>
      <c r="J812" s="829"/>
      <c r="K812" s="829"/>
      <c r="L812" s="829"/>
      <c r="M812" s="829"/>
      <c r="N812" s="829"/>
      <c r="O812" s="829"/>
      <c r="P812" s="829"/>
      <c r="Q812" s="829"/>
      <c r="R812" s="829"/>
      <c r="S812" s="829"/>
      <c r="T812" s="829"/>
      <c r="U812" s="829"/>
      <c r="V812" s="829"/>
      <c r="W812" s="829"/>
      <c r="X812" s="829"/>
      <c r="Y812" s="829"/>
      <c r="Z812" s="829"/>
      <c r="AA812" s="829"/>
      <c r="AB812" s="829"/>
      <c r="AC812" s="829"/>
      <c r="AD812" s="829"/>
      <c r="AE812" s="829"/>
      <c r="AF812" s="829"/>
      <c r="AG812" s="829"/>
      <c r="AH812" s="829"/>
      <c r="AI812" s="829"/>
      <c r="AJ812" s="829"/>
      <c r="AK812" s="829"/>
      <c r="AL812" s="829"/>
      <c r="AM812" s="829"/>
      <c r="AN812" s="829"/>
    </row>
    <row r="813" spans="1:40" ht="12.75" x14ac:dyDescent="0.2">
      <c r="A813" s="829"/>
      <c r="B813" s="829"/>
      <c r="C813" s="829"/>
      <c r="D813" s="829"/>
      <c r="E813" s="829"/>
      <c r="F813" s="829"/>
      <c r="G813" s="829"/>
      <c r="H813" s="829"/>
      <c r="I813" s="829"/>
      <c r="J813" s="829"/>
      <c r="K813" s="829"/>
      <c r="L813" s="829"/>
      <c r="M813" s="829"/>
      <c r="N813" s="829"/>
      <c r="O813" s="829"/>
      <c r="P813" s="829"/>
      <c r="Q813" s="829"/>
      <c r="R813" s="829"/>
      <c r="S813" s="829"/>
      <c r="T813" s="829"/>
      <c r="U813" s="829"/>
      <c r="V813" s="829"/>
      <c r="W813" s="829"/>
      <c r="X813" s="829"/>
      <c r="Y813" s="829"/>
      <c r="Z813" s="829"/>
      <c r="AA813" s="829"/>
      <c r="AB813" s="829"/>
      <c r="AC813" s="829"/>
      <c r="AD813" s="829"/>
      <c r="AE813" s="829"/>
      <c r="AF813" s="829"/>
      <c r="AG813" s="829"/>
      <c r="AH813" s="829"/>
      <c r="AI813" s="829"/>
      <c r="AJ813" s="829"/>
      <c r="AK813" s="829"/>
      <c r="AL813" s="829"/>
      <c r="AM813" s="829"/>
      <c r="AN813" s="829"/>
    </row>
    <row r="814" spans="1:40" ht="12.75" x14ac:dyDescent="0.2">
      <c r="A814" s="829"/>
      <c r="B814" s="829"/>
      <c r="C814" s="829"/>
      <c r="D814" s="829"/>
      <c r="E814" s="829"/>
      <c r="F814" s="829"/>
      <c r="G814" s="829"/>
      <c r="H814" s="829"/>
      <c r="I814" s="829"/>
      <c r="J814" s="829"/>
      <c r="K814" s="829"/>
      <c r="L814" s="829"/>
      <c r="M814" s="829"/>
      <c r="N814" s="829"/>
      <c r="O814" s="829"/>
      <c r="P814" s="829"/>
      <c r="Q814" s="829"/>
      <c r="R814" s="829"/>
      <c r="S814" s="829"/>
      <c r="T814" s="829"/>
      <c r="U814" s="829"/>
      <c r="V814" s="829"/>
      <c r="W814" s="829"/>
      <c r="X814" s="829"/>
      <c r="Y814" s="829"/>
      <c r="Z814" s="829"/>
      <c r="AA814" s="829"/>
      <c r="AB814" s="829"/>
      <c r="AC814" s="829"/>
      <c r="AD814" s="829"/>
      <c r="AE814" s="829"/>
      <c r="AF814" s="829"/>
      <c r="AG814" s="829"/>
      <c r="AH814" s="829"/>
      <c r="AI814" s="829"/>
      <c r="AJ814" s="829"/>
      <c r="AK814" s="829"/>
      <c r="AL814" s="829"/>
      <c r="AM814" s="829"/>
      <c r="AN814" s="829"/>
    </row>
    <row r="815" spans="1:40" ht="12.75" x14ac:dyDescent="0.2">
      <c r="A815" s="829"/>
      <c r="B815" s="829"/>
      <c r="C815" s="829"/>
      <c r="D815" s="829"/>
      <c r="E815" s="829"/>
      <c r="F815" s="829"/>
      <c r="G815" s="829"/>
      <c r="H815" s="829"/>
      <c r="I815" s="829"/>
      <c r="J815" s="829"/>
      <c r="K815" s="829"/>
      <c r="L815" s="829"/>
      <c r="M815" s="829"/>
      <c r="N815" s="829"/>
      <c r="O815" s="829"/>
      <c r="P815" s="829"/>
      <c r="Q815" s="829"/>
      <c r="R815" s="829"/>
      <c r="S815" s="829"/>
      <c r="T815" s="829"/>
      <c r="U815" s="829"/>
      <c r="V815" s="829"/>
      <c r="W815" s="829"/>
      <c r="X815" s="829"/>
      <c r="Y815" s="829"/>
      <c r="Z815" s="829"/>
      <c r="AA815" s="829"/>
      <c r="AB815" s="829"/>
      <c r="AC815" s="829"/>
      <c r="AD815" s="829"/>
      <c r="AE815" s="829"/>
      <c r="AF815" s="829"/>
      <c r="AG815" s="829"/>
      <c r="AH815" s="829"/>
      <c r="AI815" s="829"/>
      <c r="AJ815" s="829"/>
      <c r="AK815" s="829"/>
      <c r="AL815" s="829"/>
      <c r="AM815" s="829"/>
      <c r="AN815" s="829"/>
    </row>
    <row r="816" spans="1:40" ht="12.75" x14ac:dyDescent="0.2">
      <c r="A816" s="829"/>
      <c r="B816" s="829"/>
      <c r="C816" s="829"/>
      <c r="D816" s="829"/>
      <c r="E816" s="829"/>
      <c r="F816" s="829"/>
      <c r="G816" s="829"/>
      <c r="H816" s="829"/>
      <c r="I816" s="829"/>
      <c r="J816" s="829"/>
      <c r="K816" s="829"/>
      <c r="L816" s="829"/>
      <c r="M816" s="829"/>
      <c r="N816" s="829"/>
      <c r="O816" s="829"/>
      <c r="P816" s="829"/>
      <c r="Q816" s="829"/>
      <c r="R816" s="829"/>
      <c r="S816" s="829"/>
      <c r="T816" s="829"/>
      <c r="U816" s="829"/>
      <c r="V816" s="829"/>
      <c r="W816" s="829"/>
      <c r="X816" s="829"/>
      <c r="Y816" s="829"/>
      <c r="Z816" s="829"/>
      <c r="AA816" s="829"/>
      <c r="AB816" s="829"/>
      <c r="AC816" s="829"/>
      <c r="AD816" s="829"/>
      <c r="AE816" s="829"/>
      <c r="AF816" s="829"/>
      <c r="AG816" s="829"/>
      <c r="AH816" s="829"/>
      <c r="AI816" s="829"/>
      <c r="AJ816" s="829"/>
      <c r="AK816" s="829"/>
      <c r="AL816" s="829"/>
      <c r="AM816" s="829"/>
      <c r="AN816" s="829"/>
    </row>
    <row r="817" spans="1:40" ht="12.75" x14ac:dyDescent="0.2">
      <c r="A817" s="829"/>
      <c r="B817" s="829"/>
      <c r="C817" s="829"/>
      <c r="D817" s="829"/>
      <c r="E817" s="829"/>
      <c r="F817" s="829"/>
      <c r="G817" s="829"/>
      <c r="H817" s="829"/>
      <c r="I817" s="829"/>
      <c r="J817" s="829"/>
      <c r="K817" s="829"/>
      <c r="L817" s="829"/>
      <c r="M817" s="829"/>
      <c r="N817" s="829"/>
      <c r="O817" s="829"/>
      <c r="P817" s="829"/>
      <c r="Q817" s="829"/>
      <c r="R817" s="829"/>
      <c r="S817" s="829"/>
      <c r="T817" s="829"/>
      <c r="U817" s="829"/>
      <c r="V817" s="829"/>
      <c r="W817" s="829"/>
      <c r="X817" s="829"/>
      <c r="Y817" s="829"/>
      <c r="Z817" s="829"/>
      <c r="AA817" s="829"/>
      <c r="AB817" s="829"/>
      <c r="AC817" s="829"/>
      <c r="AD817" s="829"/>
      <c r="AE817" s="829"/>
      <c r="AF817" s="829"/>
      <c r="AG817" s="829"/>
      <c r="AH817" s="829"/>
      <c r="AI817" s="829"/>
      <c r="AJ817" s="829"/>
      <c r="AK817" s="829"/>
      <c r="AL817" s="829"/>
      <c r="AM817" s="829"/>
      <c r="AN817" s="829"/>
    </row>
    <row r="818" spans="1:40" ht="12.75" x14ac:dyDescent="0.2">
      <c r="A818" s="829"/>
      <c r="B818" s="829"/>
      <c r="C818" s="829"/>
      <c r="D818" s="829"/>
      <c r="E818" s="829"/>
      <c r="F818" s="829"/>
      <c r="G818" s="829"/>
      <c r="H818" s="829"/>
      <c r="I818" s="829"/>
      <c r="J818" s="829"/>
      <c r="K818" s="829"/>
      <c r="L818" s="829"/>
      <c r="M818" s="829"/>
      <c r="N818" s="829"/>
      <c r="O818" s="829"/>
      <c r="P818" s="829"/>
      <c r="Q818" s="829"/>
      <c r="R818" s="829"/>
      <c r="S818" s="829"/>
      <c r="T818" s="829"/>
      <c r="U818" s="829"/>
      <c r="V818" s="829"/>
      <c r="W818" s="829"/>
      <c r="X818" s="829"/>
      <c r="Y818" s="829"/>
      <c r="Z818" s="829"/>
      <c r="AA818" s="829"/>
      <c r="AB818" s="829"/>
      <c r="AC818" s="829"/>
      <c r="AD818" s="829"/>
      <c r="AE818" s="829"/>
      <c r="AF818" s="829"/>
      <c r="AG818" s="829"/>
      <c r="AH818" s="829"/>
      <c r="AI818" s="829"/>
      <c r="AJ818" s="829"/>
      <c r="AK818" s="829"/>
      <c r="AL818" s="829"/>
      <c r="AM818" s="829"/>
      <c r="AN818" s="829"/>
    </row>
    <row r="819" spans="1:40" ht="12.75" x14ac:dyDescent="0.2">
      <c r="A819" s="829"/>
      <c r="B819" s="829"/>
      <c r="C819" s="829"/>
      <c r="D819" s="829"/>
      <c r="E819" s="829"/>
      <c r="F819" s="829"/>
      <c r="G819" s="829"/>
      <c r="H819" s="829"/>
      <c r="I819" s="829"/>
      <c r="J819" s="829"/>
      <c r="K819" s="829"/>
      <c r="L819" s="829"/>
      <c r="M819" s="829"/>
      <c r="N819" s="829"/>
      <c r="O819" s="829"/>
      <c r="P819" s="829"/>
      <c r="Q819" s="829"/>
      <c r="R819" s="829"/>
      <c r="S819" s="829"/>
      <c r="T819" s="829"/>
      <c r="U819" s="829"/>
      <c r="V819" s="829"/>
      <c r="W819" s="829"/>
      <c r="X819" s="829"/>
      <c r="Y819" s="829"/>
      <c r="Z819" s="829"/>
      <c r="AA819" s="829"/>
      <c r="AB819" s="829"/>
      <c r="AC819" s="829"/>
      <c r="AD819" s="829"/>
      <c r="AE819" s="829"/>
      <c r="AF819" s="829"/>
      <c r="AG819" s="829"/>
      <c r="AH819" s="829"/>
      <c r="AI819" s="829"/>
      <c r="AJ819" s="829"/>
      <c r="AK819" s="829"/>
      <c r="AL819" s="829"/>
      <c r="AM819" s="829"/>
      <c r="AN819" s="829"/>
    </row>
    <row r="820" spans="1:40" ht="12.75" x14ac:dyDescent="0.2">
      <c r="A820" s="829"/>
      <c r="B820" s="829"/>
      <c r="C820" s="829"/>
      <c r="D820" s="829"/>
      <c r="E820" s="829"/>
      <c r="F820" s="829"/>
      <c r="G820" s="829"/>
      <c r="H820" s="829"/>
      <c r="I820" s="829"/>
      <c r="J820" s="829"/>
      <c r="K820" s="829"/>
      <c r="L820" s="829"/>
      <c r="M820" s="829"/>
      <c r="N820" s="829"/>
      <c r="O820" s="829"/>
      <c r="P820" s="829"/>
      <c r="Q820" s="829"/>
      <c r="R820" s="829"/>
      <c r="S820" s="829"/>
      <c r="T820" s="829"/>
      <c r="U820" s="829"/>
      <c r="V820" s="829"/>
      <c r="W820" s="829"/>
      <c r="X820" s="829"/>
      <c r="Y820" s="829"/>
      <c r="Z820" s="829"/>
      <c r="AA820" s="829"/>
      <c r="AB820" s="829"/>
      <c r="AC820" s="829"/>
      <c r="AD820" s="829"/>
      <c r="AE820" s="829"/>
      <c r="AF820" s="829"/>
      <c r="AG820" s="829"/>
      <c r="AH820" s="829"/>
      <c r="AI820" s="829"/>
      <c r="AJ820" s="829"/>
      <c r="AK820" s="829"/>
      <c r="AL820" s="829"/>
      <c r="AM820" s="829"/>
      <c r="AN820" s="829"/>
    </row>
    <row r="821" spans="1:40" ht="12.75" x14ac:dyDescent="0.2">
      <c r="A821" s="829"/>
      <c r="B821" s="829"/>
      <c r="C821" s="829"/>
      <c r="D821" s="829"/>
      <c r="E821" s="829"/>
      <c r="F821" s="829"/>
      <c r="G821" s="829"/>
      <c r="H821" s="829"/>
      <c r="I821" s="829"/>
      <c r="J821" s="829"/>
      <c r="K821" s="829"/>
      <c r="L821" s="829"/>
      <c r="M821" s="829"/>
      <c r="N821" s="829"/>
      <c r="O821" s="829"/>
      <c r="P821" s="829"/>
      <c r="Q821" s="829"/>
      <c r="R821" s="829"/>
      <c r="S821" s="829"/>
      <c r="T821" s="829"/>
      <c r="U821" s="829"/>
      <c r="V821" s="829"/>
      <c r="W821" s="829"/>
      <c r="X821" s="829"/>
      <c r="Y821" s="829"/>
      <c r="Z821" s="829"/>
      <c r="AA821" s="829"/>
      <c r="AB821" s="829"/>
      <c r="AC821" s="829"/>
      <c r="AD821" s="829"/>
      <c r="AE821" s="829"/>
      <c r="AF821" s="829"/>
      <c r="AG821" s="829"/>
      <c r="AH821" s="829"/>
      <c r="AI821" s="829"/>
      <c r="AJ821" s="829"/>
      <c r="AK821" s="829"/>
      <c r="AL821" s="829"/>
      <c r="AM821" s="829"/>
      <c r="AN821" s="829"/>
    </row>
    <row r="822" spans="1:40" ht="12.75" x14ac:dyDescent="0.2">
      <c r="A822" s="829"/>
      <c r="B822" s="829"/>
      <c r="C822" s="829"/>
      <c r="D822" s="829"/>
      <c r="E822" s="829"/>
      <c r="F822" s="829"/>
      <c r="G822" s="829"/>
      <c r="H822" s="829"/>
      <c r="I822" s="829"/>
      <c r="J822" s="829"/>
      <c r="K822" s="829"/>
      <c r="L822" s="829"/>
      <c r="M822" s="829"/>
      <c r="N822" s="829"/>
      <c r="O822" s="829"/>
      <c r="P822" s="829"/>
      <c r="Q822" s="829"/>
      <c r="R822" s="829"/>
      <c r="S822" s="829"/>
      <c r="T822" s="829"/>
      <c r="U822" s="829"/>
      <c r="V822" s="829"/>
      <c r="W822" s="829"/>
      <c r="X822" s="829"/>
      <c r="Y822" s="829"/>
      <c r="Z822" s="829"/>
      <c r="AA822" s="829"/>
      <c r="AB822" s="829"/>
      <c r="AC822" s="829"/>
      <c r="AD822" s="829"/>
      <c r="AE822" s="829"/>
      <c r="AF822" s="829"/>
      <c r="AG822" s="829"/>
      <c r="AH822" s="829"/>
      <c r="AI822" s="829"/>
      <c r="AJ822" s="829"/>
      <c r="AK822" s="829"/>
      <c r="AL822" s="829"/>
      <c r="AM822" s="829"/>
      <c r="AN822" s="829"/>
    </row>
    <row r="823" spans="1:40" ht="12.75" x14ac:dyDescent="0.2">
      <c r="A823" s="829"/>
      <c r="B823" s="829"/>
      <c r="C823" s="829"/>
      <c r="D823" s="829"/>
      <c r="E823" s="829"/>
      <c r="F823" s="829"/>
      <c r="G823" s="829"/>
      <c r="H823" s="829"/>
      <c r="I823" s="829"/>
      <c r="J823" s="829"/>
      <c r="K823" s="829"/>
      <c r="L823" s="829"/>
      <c r="M823" s="829"/>
      <c r="N823" s="829"/>
      <c r="O823" s="829"/>
      <c r="P823" s="829"/>
      <c r="Q823" s="829"/>
      <c r="R823" s="829"/>
      <c r="S823" s="829"/>
      <c r="T823" s="829"/>
      <c r="U823" s="829"/>
      <c r="V823" s="829"/>
      <c r="W823" s="829"/>
      <c r="X823" s="829"/>
      <c r="Y823" s="829"/>
      <c r="Z823" s="829"/>
      <c r="AA823" s="829"/>
      <c r="AB823" s="829"/>
      <c r="AC823" s="829"/>
      <c r="AD823" s="829"/>
      <c r="AE823" s="829"/>
      <c r="AF823" s="829"/>
      <c r="AG823" s="829"/>
      <c r="AH823" s="829"/>
      <c r="AI823" s="829"/>
      <c r="AJ823" s="829"/>
      <c r="AK823" s="829"/>
      <c r="AL823" s="829"/>
      <c r="AM823" s="829"/>
      <c r="AN823" s="829"/>
    </row>
    <row r="824" spans="1:40" ht="12.75" x14ac:dyDescent="0.2">
      <c r="A824" s="829"/>
      <c r="B824" s="829"/>
      <c r="C824" s="829"/>
      <c r="D824" s="829"/>
      <c r="E824" s="829"/>
      <c r="F824" s="829"/>
      <c r="G824" s="829"/>
      <c r="H824" s="829"/>
      <c r="I824" s="829"/>
      <c r="J824" s="829"/>
      <c r="K824" s="829"/>
      <c r="L824" s="829"/>
      <c r="M824" s="829"/>
      <c r="N824" s="829"/>
      <c r="O824" s="829"/>
      <c r="P824" s="829"/>
      <c r="Q824" s="829"/>
      <c r="R824" s="829"/>
      <c r="S824" s="829"/>
      <c r="T824" s="829"/>
      <c r="U824" s="829"/>
      <c r="V824" s="829"/>
      <c r="W824" s="829"/>
      <c r="X824" s="829"/>
      <c r="Y824" s="829"/>
      <c r="Z824" s="829"/>
      <c r="AA824" s="829"/>
      <c r="AB824" s="829"/>
      <c r="AC824" s="829"/>
      <c r="AD824" s="829"/>
      <c r="AE824" s="829"/>
      <c r="AF824" s="829"/>
      <c r="AG824" s="829"/>
      <c r="AH824" s="829"/>
      <c r="AI824" s="829"/>
      <c r="AJ824" s="829"/>
      <c r="AK824" s="829"/>
      <c r="AL824" s="829"/>
      <c r="AM824" s="829"/>
      <c r="AN824" s="829"/>
    </row>
    <row r="825" spans="1:40" ht="12.75" x14ac:dyDescent="0.2">
      <c r="A825" s="829"/>
      <c r="B825" s="829"/>
      <c r="C825" s="829"/>
      <c r="D825" s="829"/>
      <c r="E825" s="829"/>
      <c r="F825" s="829"/>
      <c r="G825" s="829"/>
      <c r="H825" s="829"/>
      <c r="I825" s="829"/>
      <c r="J825" s="829"/>
      <c r="K825" s="829"/>
      <c r="L825" s="829"/>
      <c r="M825" s="829"/>
      <c r="N825" s="829"/>
      <c r="O825" s="829"/>
      <c r="P825" s="829"/>
      <c r="Q825" s="829"/>
      <c r="R825" s="829"/>
      <c r="S825" s="829"/>
      <c r="T825" s="829"/>
      <c r="U825" s="829"/>
      <c r="V825" s="829"/>
      <c r="W825" s="829"/>
      <c r="X825" s="829"/>
      <c r="Y825" s="829"/>
      <c r="Z825" s="829"/>
      <c r="AA825" s="829"/>
      <c r="AB825" s="829"/>
      <c r="AC825" s="829"/>
      <c r="AD825" s="829"/>
      <c r="AE825" s="829"/>
      <c r="AF825" s="829"/>
      <c r="AG825" s="829"/>
      <c r="AH825" s="829"/>
      <c r="AI825" s="829"/>
      <c r="AJ825" s="829"/>
      <c r="AK825" s="829"/>
      <c r="AL825" s="829"/>
      <c r="AM825" s="829"/>
      <c r="AN825" s="829"/>
    </row>
    <row r="826" spans="1:40" ht="12.75" x14ac:dyDescent="0.2">
      <c r="A826" s="829"/>
      <c r="B826" s="829"/>
      <c r="C826" s="829"/>
      <c r="D826" s="829"/>
      <c r="E826" s="829"/>
      <c r="F826" s="829"/>
      <c r="G826" s="829"/>
      <c r="H826" s="829"/>
      <c r="I826" s="829"/>
      <c r="J826" s="829"/>
      <c r="K826" s="829"/>
      <c r="L826" s="829"/>
      <c r="M826" s="829"/>
      <c r="N826" s="829"/>
      <c r="O826" s="829"/>
      <c r="P826" s="829"/>
      <c r="Q826" s="829"/>
      <c r="R826" s="829"/>
      <c r="S826" s="829"/>
      <c r="T826" s="829"/>
      <c r="U826" s="829"/>
      <c r="V826" s="829"/>
      <c r="W826" s="829"/>
      <c r="X826" s="829"/>
      <c r="Y826" s="829"/>
      <c r="Z826" s="829"/>
      <c r="AA826" s="829"/>
      <c r="AB826" s="829"/>
      <c r="AC826" s="829"/>
      <c r="AD826" s="829"/>
      <c r="AE826" s="829"/>
      <c r="AF826" s="829"/>
      <c r="AG826" s="829"/>
      <c r="AH826" s="829"/>
      <c r="AI826" s="829"/>
      <c r="AJ826" s="829"/>
      <c r="AK826" s="829"/>
      <c r="AL826" s="829"/>
      <c r="AM826" s="829"/>
      <c r="AN826" s="829"/>
    </row>
    <row r="827" spans="1:40" ht="12.75" x14ac:dyDescent="0.2">
      <c r="A827" s="829"/>
      <c r="B827" s="829"/>
      <c r="C827" s="829"/>
      <c r="D827" s="829"/>
      <c r="E827" s="829"/>
      <c r="F827" s="829"/>
      <c r="G827" s="829"/>
      <c r="H827" s="829"/>
      <c r="I827" s="829"/>
      <c r="J827" s="829"/>
      <c r="K827" s="829"/>
      <c r="L827" s="829"/>
      <c r="M827" s="829"/>
      <c r="N827" s="829"/>
      <c r="O827" s="829"/>
      <c r="P827" s="829"/>
      <c r="Q827" s="829"/>
      <c r="R827" s="829"/>
      <c r="S827" s="829"/>
      <c r="T827" s="829"/>
      <c r="U827" s="829"/>
      <c r="V827" s="829"/>
      <c r="W827" s="829"/>
      <c r="X827" s="829"/>
      <c r="Y827" s="829"/>
      <c r="Z827" s="829"/>
      <c r="AA827" s="829"/>
      <c r="AB827" s="829"/>
      <c r="AC827" s="829"/>
      <c r="AD827" s="829"/>
      <c r="AE827" s="829"/>
      <c r="AF827" s="829"/>
      <c r="AG827" s="829"/>
      <c r="AH827" s="829"/>
      <c r="AI827" s="829"/>
      <c r="AJ827" s="829"/>
      <c r="AK827" s="829"/>
      <c r="AL827" s="829"/>
      <c r="AM827" s="829"/>
      <c r="AN827" s="829"/>
    </row>
    <row r="828" spans="1:40" ht="12.75" x14ac:dyDescent="0.2">
      <c r="A828" s="829"/>
      <c r="B828" s="829"/>
      <c r="C828" s="829"/>
      <c r="D828" s="829"/>
      <c r="E828" s="829"/>
      <c r="F828" s="829"/>
      <c r="G828" s="829"/>
      <c r="H828" s="829"/>
      <c r="I828" s="829"/>
      <c r="J828" s="829"/>
      <c r="K828" s="829"/>
      <c r="L828" s="829"/>
      <c r="M828" s="829"/>
      <c r="N828" s="829"/>
      <c r="O828" s="829"/>
      <c r="P828" s="829"/>
      <c r="Q828" s="829"/>
      <c r="R828" s="829"/>
      <c r="S828" s="829"/>
      <c r="T828" s="829"/>
      <c r="U828" s="829"/>
      <c r="V828" s="829"/>
      <c r="W828" s="829"/>
      <c r="X828" s="829"/>
      <c r="Y828" s="829"/>
      <c r="Z828" s="829"/>
      <c r="AA828" s="829"/>
      <c r="AB828" s="829"/>
      <c r="AC828" s="829"/>
      <c r="AD828" s="829"/>
      <c r="AE828" s="829"/>
      <c r="AF828" s="829"/>
      <c r="AG828" s="829"/>
      <c r="AH828" s="829"/>
      <c r="AI828" s="829"/>
      <c r="AJ828" s="829"/>
      <c r="AK828" s="829"/>
      <c r="AL828" s="829"/>
      <c r="AM828" s="829"/>
      <c r="AN828" s="829"/>
    </row>
    <row r="829" spans="1:40" ht="12.75" x14ac:dyDescent="0.2">
      <c r="A829" s="829"/>
      <c r="B829" s="829"/>
      <c r="C829" s="829"/>
      <c r="D829" s="829"/>
      <c r="E829" s="829"/>
      <c r="F829" s="829"/>
      <c r="G829" s="829"/>
      <c r="H829" s="829"/>
      <c r="I829" s="829"/>
      <c r="J829" s="829"/>
      <c r="K829" s="829"/>
      <c r="L829" s="829"/>
      <c r="M829" s="829"/>
      <c r="N829" s="829"/>
      <c r="O829" s="829"/>
      <c r="P829" s="829"/>
      <c r="Q829" s="829"/>
      <c r="R829" s="829"/>
      <c r="S829" s="829"/>
      <c r="T829" s="829"/>
      <c r="U829" s="829"/>
      <c r="V829" s="829"/>
      <c r="W829" s="829"/>
      <c r="X829" s="829"/>
      <c r="Y829" s="829"/>
      <c r="Z829" s="829"/>
      <c r="AA829" s="829"/>
      <c r="AB829" s="829"/>
      <c r="AC829" s="829"/>
      <c r="AD829" s="829"/>
      <c r="AE829" s="829"/>
      <c r="AF829" s="829"/>
      <c r="AG829" s="829"/>
      <c r="AH829" s="829"/>
      <c r="AI829" s="829"/>
      <c r="AJ829" s="829"/>
      <c r="AK829" s="829"/>
      <c r="AL829" s="829"/>
      <c r="AM829" s="829"/>
      <c r="AN829" s="829"/>
    </row>
    <row r="830" spans="1:40" ht="12.75" x14ac:dyDescent="0.2">
      <c r="A830" s="829"/>
      <c r="B830" s="829"/>
      <c r="C830" s="829"/>
      <c r="D830" s="829"/>
      <c r="E830" s="829"/>
      <c r="F830" s="829"/>
      <c r="G830" s="829"/>
      <c r="H830" s="829"/>
      <c r="I830" s="829"/>
      <c r="J830" s="829"/>
      <c r="K830" s="829"/>
      <c r="L830" s="829"/>
      <c r="M830" s="829"/>
      <c r="N830" s="829"/>
      <c r="O830" s="829"/>
      <c r="P830" s="829"/>
      <c r="Q830" s="829"/>
      <c r="R830" s="829"/>
      <c r="S830" s="829"/>
      <c r="T830" s="829"/>
      <c r="U830" s="829"/>
      <c r="V830" s="829"/>
      <c r="W830" s="829"/>
      <c r="X830" s="829"/>
      <c r="Y830" s="829"/>
      <c r="Z830" s="829"/>
      <c r="AA830" s="829"/>
      <c r="AB830" s="829"/>
      <c r="AC830" s="829"/>
      <c r="AD830" s="829"/>
      <c r="AE830" s="829"/>
      <c r="AF830" s="829"/>
      <c r="AG830" s="829"/>
      <c r="AH830" s="829"/>
      <c r="AI830" s="829"/>
      <c r="AJ830" s="829"/>
      <c r="AK830" s="829"/>
      <c r="AL830" s="829"/>
      <c r="AM830" s="829"/>
      <c r="AN830" s="829"/>
    </row>
    <row r="831" spans="1:40" ht="12.75" x14ac:dyDescent="0.2">
      <c r="A831" s="829"/>
      <c r="B831" s="829"/>
      <c r="C831" s="829"/>
      <c r="D831" s="829"/>
      <c r="E831" s="829"/>
      <c r="F831" s="829"/>
      <c r="G831" s="829"/>
      <c r="H831" s="829"/>
      <c r="I831" s="829"/>
      <c r="J831" s="829"/>
      <c r="K831" s="829"/>
      <c r="L831" s="829"/>
      <c r="M831" s="829"/>
      <c r="N831" s="829"/>
      <c r="O831" s="829"/>
      <c r="P831" s="829"/>
      <c r="Q831" s="829"/>
      <c r="R831" s="829"/>
      <c r="S831" s="829"/>
      <c r="T831" s="829"/>
      <c r="U831" s="829"/>
      <c r="V831" s="829"/>
      <c r="W831" s="829"/>
      <c r="X831" s="829"/>
      <c r="Y831" s="829"/>
      <c r="Z831" s="829"/>
      <c r="AA831" s="829"/>
      <c r="AB831" s="829"/>
      <c r="AC831" s="829"/>
      <c r="AD831" s="829"/>
      <c r="AE831" s="829"/>
      <c r="AF831" s="829"/>
      <c r="AG831" s="829"/>
      <c r="AH831" s="829"/>
      <c r="AI831" s="829"/>
      <c r="AJ831" s="829"/>
      <c r="AK831" s="829"/>
      <c r="AL831" s="829"/>
      <c r="AM831" s="829"/>
      <c r="AN831" s="829"/>
    </row>
    <row r="832" spans="1:40" ht="12.75" x14ac:dyDescent="0.2">
      <c r="A832" s="829"/>
      <c r="B832" s="829"/>
      <c r="C832" s="829"/>
      <c r="D832" s="829"/>
      <c r="E832" s="829"/>
      <c r="F832" s="829"/>
      <c r="G832" s="829"/>
      <c r="H832" s="829"/>
      <c r="I832" s="829"/>
      <c r="J832" s="829"/>
      <c r="K832" s="829"/>
      <c r="L832" s="829"/>
      <c r="M832" s="829"/>
      <c r="N832" s="829"/>
      <c r="O832" s="829"/>
      <c r="P832" s="829"/>
      <c r="Q832" s="829"/>
      <c r="R832" s="829"/>
      <c r="S832" s="829"/>
      <c r="T832" s="829"/>
      <c r="U832" s="829"/>
      <c r="V832" s="829"/>
      <c r="W832" s="829"/>
      <c r="X832" s="829"/>
      <c r="Y832" s="829"/>
      <c r="Z832" s="829"/>
      <c r="AA832" s="829"/>
      <c r="AB832" s="829"/>
      <c r="AC832" s="829"/>
      <c r="AD832" s="829"/>
      <c r="AE832" s="829"/>
      <c r="AF832" s="829"/>
      <c r="AG832" s="829"/>
      <c r="AH832" s="829"/>
      <c r="AI832" s="829"/>
      <c r="AJ832" s="829"/>
      <c r="AK832" s="829"/>
      <c r="AL832" s="829"/>
      <c r="AM832" s="829"/>
      <c r="AN832" s="829"/>
    </row>
    <row r="833" spans="1:40" ht="12.75" x14ac:dyDescent="0.2">
      <c r="A833" s="829"/>
      <c r="B833" s="829"/>
      <c r="C833" s="829"/>
      <c r="D833" s="829"/>
      <c r="E833" s="829"/>
      <c r="F833" s="829"/>
      <c r="G833" s="829"/>
      <c r="H833" s="829"/>
      <c r="I833" s="829"/>
      <c r="J833" s="829"/>
      <c r="K833" s="829"/>
      <c r="L833" s="829"/>
      <c r="M833" s="829"/>
      <c r="N833" s="829"/>
      <c r="O833" s="829"/>
      <c r="P833" s="829"/>
      <c r="Q833" s="829"/>
      <c r="R833" s="829"/>
      <c r="S833" s="829"/>
      <c r="T833" s="829"/>
      <c r="U833" s="829"/>
      <c r="V833" s="829"/>
      <c r="W833" s="829"/>
      <c r="X833" s="829"/>
      <c r="Y833" s="829"/>
      <c r="Z833" s="829"/>
      <c r="AA833" s="829"/>
      <c r="AB833" s="829"/>
      <c r="AC833" s="829"/>
      <c r="AD833" s="829"/>
      <c r="AE833" s="829"/>
      <c r="AF833" s="829"/>
      <c r="AG833" s="829"/>
      <c r="AH833" s="829"/>
      <c r="AI833" s="829"/>
      <c r="AJ833" s="829"/>
      <c r="AK833" s="829"/>
      <c r="AL833" s="829"/>
      <c r="AM833" s="829"/>
      <c r="AN833" s="829"/>
    </row>
    <row r="834" spans="1:40" ht="12.75" x14ac:dyDescent="0.2">
      <c r="A834" s="829"/>
      <c r="B834" s="829"/>
      <c r="C834" s="829"/>
      <c r="D834" s="829"/>
      <c r="E834" s="829"/>
      <c r="F834" s="829"/>
      <c r="G834" s="829"/>
      <c r="H834" s="829"/>
      <c r="I834" s="829"/>
      <c r="J834" s="829"/>
      <c r="K834" s="829"/>
      <c r="L834" s="829"/>
      <c r="M834" s="829"/>
      <c r="N834" s="829"/>
      <c r="O834" s="829"/>
      <c r="P834" s="829"/>
      <c r="Q834" s="829"/>
      <c r="R834" s="829"/>
      <c r="S834" s="829"/>
      <c r="T834" s="829"/>
      <c r="U834" s="829"/>
      <c r="V834" s="829"/>
      <c r="W834" s="829"/>
      <c r="X834" s="829"/>
      <c r="Y834" s="829"/>
      <c r="Z834" s="829"/>
      <c r="AA834" s="829"/>
      <c r="AB834" s="829"/>
      <c r="AC834" s="829"/>
      <c r="AD834" s="829"/>
      <c r="AE834" s="829"/>
      <c r="AF834" s="829"/>
      <c r="AG834" s="829"/>
      <c r="AH834" s="829"/>
      <c r="AI834" s="829"/>
      <c r="AJ834" s="829"/>
      <c r="AK834" s="829"/>
      <c r="AL834" s="829"/>
      <c r="AM834" s="829"/>
      <c r="AN834" s="829"/>
    </row>
    <row r="835" spans="1:40" ht="12.75" x14ac:dyDescent="0.2">
      <c r="A835" s="829"/>
      <c r="B835" s="829"/>
      <c r="C835" s="829"/>
      <c r="D835" s="829"/>
      <c r="E835" s="829"/>
      <c r="F835" s="829"/>
      <c r="G835" s="829"/>
      <c r="H835" s="829"/>
      <c r="I835" s="829"/>
      <c r="J835" s="829"/>
      <c r="K835" s="829"/>
      <c r="L835" s="829"/>
      <c r="M835" s="829"/>
      <c r="N835" s="829"/>
      <c r="O835" s="829"/>
      <c r="P835" s="829"/>
      <c r="Q835" s="829"/>
      <c r="R835" s="829"/>
      <c r="S835" s="829"/>
      <c r="T835" s="829"/>
      <c r="U835" s="829"/>
      <c r="V835" s="829"/>
      <c r="W835" s="829"/>
      <c r="X835" s="829"/>
      <c r="Y835" s="829"/>
      <c r="Z835" s="829"/>
      <c r="AA835" s="829"/>
      <c r="AB835" s="829"/>
      <c r="AC835" s="829"/>
      <c r="AD835" s="829"/>
      <c r="AE835" s="829"/>
      <c r="AF835" s="829"/>
      <c r="AG835" s="829"/>
      <c r="AH835" s="829"/>
      <c r="AI835" s="829"/>
      <c r="AJ835" s="829"/>
      <c r="AK835" s="829"/>
      <c r="AL835" s="829"/>
      <c r="AM835" s="829"/>
      <c r="AN835" s="829"/>
    </row>
    <row r="836" spans="1:40" ht="12.75" x14ac:dyDescent="0.2">
      <c r="A836" s="829"/>
      <c r="B836" s="829"/>
      <c r="C836" s="829"/>
      <c r="D836" s="829"/>
      <c r="E836" s="829"/>
      <c r="F836" s="829"/>
      <c r="G836" s="829"/>
      <c r="H836" s="829"/>
      <c r="I836" s="829"/>
      <c r="J836" s="829"/>
      <c r="K836" s="829"/>
      <c r="L836" s="829"/>
      <c r="M836" s="829"/>
      <c r="N836" s="829"/>
      <c r="O836" s="829"/>
      <c r="P836" s="829"/>
      <c r="Q836" s="829"/>
      <c r="R836" s="829"/>
      <c r="S836" s="829"/>
      <c r="T836" s="829"/>
      <c r="U836" s="829"/>
      <c r="V836" s="829"/>
      <c r="W836" s="829"/>
      <c r="X836" s="829"/>
      <c r="Y836" s="829"/>
      <c r="Z836" s="829"/>
      <c r="AA836" s="829"/>
      <c r="AB836" s="829"/>
      <c r="AC836" s="829"/>
      <c r="AD836" s="829"/>
      <c r="AE836" s="829"/>
      <c r="AF836" s="829"/>
      <c r="AG836" s="829"/>
      <c r="AH836" s="829"/>
      <c r="AI836" s="829"/>
      <c r="AJ836" s="829"/>
      <c r="AK836" s="829"/>
      <c r="AL836" s="829"/>
      <c r="AM836" s="829"/>
      <c r="AN836" s="829"/>
    </row>
    <row r="837" spans="1:40" ht="12.75" x14ac:dyDescent="0.2">
      <c r="A837" s="829"/>
      <c r="B837" s="829"/>
      <c r="C837" s="829"/>
      <c r="D837" s="829"/>
      <c r="E837" s="829"/>
      <c r="F837" s="829"/>
      <c r="G837" s="829"/>
      <c r="H837" s="829"/>
      <c r="I837" s="829"/>
      <c r="J837" s="829"/>
      <c r="K837" s="829"/>
      <c r="L837" s="829"/>
      <c r="M837" s="829"/>
      <c r="N837" s="829"/>
      <c r="O837" s="829"/>
      <c r="P837" s="829"/>
      <c r="Q837" s="829"/>
      <c r="R837" s="829"/>
      <c r="S837" s="829"/>
      <c r="T837" s="829"/>
      <c r="U837" s="829"/>
      <c r="V837" s="829"/>
      <c r="W837" s="829"/>
      <c r="X837" s="829"/>
      <c r="Y837" s="829"/>
      <c r="Z837" s="829"/>
      <c r="AA837" s="829"/>
      <c r="AB837" s="829"/>
      <c r="AC837" s="829"/>
      <c r="AD837" s="829"/>
      <c r="AE837" s="829"/>
      <c r="AF837" s="829"/>
      <c r="AG837" s="829"/>
      <c r="AH837" s="829"/>
      <c r="AI837" s="829"/>
      <c r="AJ837" s="829"/>
      <c r="AK837" s="829"/>
      <c r="AL837" s="829"/>
      <c r="AM837" s="829"/>
      <c r="AN837" s="829"/>
    </row>
    <row r="838" spans="1:40" ht="12.75" x14ac:dyDescent="0.2">
      <c r="A838" s="829"/>
      <c r="B838" s="829"/>
      <c r="C838" s="829"/>
      <c r="D838" s="829"/>
      <c r="E838" s="829"/>
      <c r="F838" s="829"/>
      <c r="G838" s="829"/>
      <c r="H838" s="829"/>
      <c r="I838" s="829"/>
      <c r="J838" s="829"/>
      <c r="K838" s="829"/>
      <c r="L838" s="829"/>
      <c r="M838" s="829"/>
      <c r="N838" s="829"/>
      <c r="O838" s="829"/>
      <c r="P838" s="829"/>
      <c r="Q838" s="829"/>
      <c r="R838" s="829"/>
      <c r="S838" s="829"/>
      <c r="T838" s="829"/>
      <c r="U838" s="829"/>
      <c r="V838" s="829"/>
      <c r="W838" s="829"/>
      <c r="X838" s="829"/>
      <c r="Y838" s="829"/>
      <c r="Z838" s="829"/>
      <c r="AA838" s="829"/>
      <c r="AB838" s="829"/>
      <c r="AC838" s="829"/>
      <c r="AD838" s="829"/>
      <c r="AE838" s="829"/>
      <c r="AF838" s="829"/>
      <c r="AG838" s="829"/>
      <c r="AH838" s="829"/>
      <c r="AI838" s="829"/>
      <c r="AJ838" s="829"/>
      <c r="AK838" s="829"/>
      <c r="AL838" s="829"/>
      <c r="AM838" s="829"/>
      <c r="AN838" s="829"/>
    </row>
    <row r="839" spans="1:40" ht="12.75" x14ac:dyDescent="0.2">
      <c r="A839" s="829"/>
      <c r="B839" s="829"/>
      <c r="C839" s="829"/>
      <c r="D839" s="829"/>
      <c r="E839" s="829"/>
      <c r="F839" s="829"/>
      <c r="G839" s="829"/>
      <c r="H839" s="829"/>
      <c r="I839" s="829"/>
      <c r="J839" s="829"/>
      <c r="K839" s="829"/>
      <c r="L839" s="829"/>
      <c r="M839" s="829"/>
      <c r="N839" s="829"/>
      <c r="O839" s="829"/>
      <c r="P839" s="829"/>
      <c r="Q839" s="829"/>
      <c r="R839" s="829"/>
      <c r="S839" s="829"/>
      <c r="T839" s="829"/>
      <c r="U839" s="829"/>
      <c r="V839" s="829"/>
      <c r="W839" s="829"/>
      <c r="X839" s="829"/>
      <c r="Y839" s="829"/>
      <c r="Z839" s="829"/>
      <c r="AA839" s="829"/>
      <c r="AB839" s="829"/>
      <c r="AC839" s="829"/>
      <c r="AD839" s="829"/>
      <c r="AE839" s="829"/>
      <c r="AF839" s="829"/>
      <c r="AG839" s="829"/>
      <c r="AH839" s="829"/>
      <c r="AI839" s="829"/>
      <c r="AJ839" s="829"/>
      <c r="AK839" s="829"/>
      <c r="AL839" s="829"/>
      <c r="AM839" s="829"/>
      <c r="AN839" s="829"/>
    </row>
    <row r="840" spans="1:40" ht="12.75" x14ac:dyDescent="0.2">
      <c r="A840" s="829"/>
      <c r="B840" s="829"/>
      <c r="C840" s="829"/>
      <c r="D840" s="829"/>
      <c r="E840" s="829"/>
      <c r="F840" s="829"/>
      <c r="G840" s="829"/>
      <c r="H840" s="829"/>
      <c r="I840" s="829"/>
      <c r="J840" s="829"/>
      <c r="K840" s="829"/>
      <c r="L840" s="829"/>
      <c r="M840" s="829"/>
      <c r="N840" s="829"/>
      <c r="O840" s="829"/>
      <c r="P840" s="829"/>
      <c r="Q840" s="829"/>
      <c r="R840" s="829"/>
      <c r="S840" s="829"/>
      <c r="T840" s="829"/>
      <c r="U840" s="829"/>
      <c r="V840" s="829"/>
      <c r="W840" s="829"/>
      <c r="X840" s="829"/>
      <c r="Y840" s="829"/>
      <c r="Z840" s="829"/>
      <c r="AA840" s="829"/>
      <c r="AB840" s="829"/>
      <c r="AC840" s="829"/>
      <c r="AD840" s="829"/>
      <c r="AE840" s="829"/>
      <c r="AF840" s="829"/>
      <c r="AG840" s="829"/>
      <c r="AH840" s="829"/>
      <c r="AI840" s="829"/>
      <c r="AJ840" s="829"/>
      <c r="AK840" s="829"/>
      <c r="AL840" s="829"/>
      <c r="AM840" s="829"/>
      <c r="AN840" s="829"/>
    </row>
    <row r="841" spans="1:40" ht="12.75" x14ac:dyDescent="0.2">
      <c r="A841" s="829"/>
      <c r="B841" s="829"/>
      <c r="C841" s="829"/>
      <c r="D841" s="829"/>
      <c r="E841" s="829"/>
      <c r="F841" s="829"/>
      <c r="G841" s="829"/>
      <c r="H841" s="829"/>
      <c r="I841" s="829"/>
      <c r="J841" s="829"/>
      <c r="K841" s="829"/>
      <c r="L841" s="829"/>
      <c r="M841" s="829"/>
      <c r="N841" s="829"/>
      <c r="O841" s="829"/>
      <c r="P841" s="829"/>
      <c r="Q841" s="829"/>
      <c r="R841" s="829"/>
      <c r="S841" s="829"/>
      <c r="T841" s="829"/>
      <c r="U841" s="829"/>
      <c r="V841" s="829"/>
      <c r="W841" s="829"/>
      <c r="X841" s="829"/>
      <c r="Y841" s="829"/>
      <c r="Z841" s="829"/>
      <c r="AA841" s="829"/>
      <c r="AB841" s="829"/>
      <c r="AC841" s="829"/>
      <c r="AD841" s="829"/>
      <c r="AE841" s="829"/>
      <c r="AF841" s="829"/>
      <c r="AG841" s="829"/>
      <c r="AH841" s="829"/>
      <c r="AI841" s="829"/>
      <c r="AJ841" s="829"/>
      <c r="AK841" s="829"/>
      <c r="AL841" s="829"/>
      <c r="AM841" s="829"/>
      <c r="AN841" s="829"/>
    </row>
    <row r="842" spans="1:40" ht="12.75" x14ac:dyDescent="0.2">
      <c r="A842" s="829"/>
      <c r="B842" s="829"/>
      <c r="C842" s="829"/>
      <c r="D842" s="829"/>
      <c r="E842" s="829"/>
      <c r="F842" s="829"/>
      <c r="G842" s="829"/>
      <c r="H842" s="829"/>
      <c r="I842" s="829"/>
      <c r="J842" s="829"/>
      <c r="K842" s="829"/>
      <c r="L842" s="829"/>
      <c r="M842" s="829"/>
      <c r="N842" s="829"/>
      <c r="O842" s="829"/>
      <c r="P842" s="829"/>
      <c r="Q842" s="829"/>
      <c r="R842" s="829"/>
      <c r="S842" s="829"/>
      <c r="T842" s="829"/>
      <c r="U842" s="829"/>
      <c r="V842" s="829"/>
      <c r="W842" s="829"/>
      <c r="X842" s="829"/>
      <c r="Y842" s="829"/>
      <c r="Z842" s="829"/>
      <c r="AA842" s="829"/>
      <c r="AB842" s="829"/>
      <c r="AC842" s="829"/>
      <c r="AD842" s="829"/>
      <c r="AE842" s="829"/>
      <c r="AF842" s="829"/>
      <c r="AG842" s="829"/>
      <c r="AH842" s="829"/>
      <c r="AI842" s="829"/>
      <c r="AJ842" s="829"/>
      <c r="AK842" s="829"/>
      <c r="AL842" s="829"/>
      <c r="AM842" s="829"/>
      <c r="AN842" s="829"/>
    </row>
    <row r="843" spans="1:40" ht="12.75" x14ac:dyDescent="0.2">
      <c r="A843" s="829"/>
      <c r="B843" s="829"/>
      <c r="C843" s="829"/>
      <c r="D843" s="829"/>
      <c r="E843" s="829"/>
      <c r="F843" s="829"/>
      <c r="G843" s="829"/>
      <c r="H843" s="829"/>
      <c r="I843" s="829"/>
      <c r="J843" s="829"/>
      <c r="K843" s="829"/>
      <c r="L843" s="829"/>
      <c r="M843" s="829"/>
      <c r="N843" s="829"/>
      <c r="O843" s="829"/>
      <c r="P843" s="829"/>
      <c r="Q843" s="829"/>
      <c r="R843" s="829"/>
      <c r="S843" s="829"/>
      <c r="T843" s="829"/>
      <c r="U843" s="829"/>
      <c r="V843" s="829"/>
      <c r="W843" s="829"/>
      <c r="X843" s="829"/>
      <c r="Y843" s="829"/>
      <c r="Z843" s="829"/>
      <c r="AA843" s="829"/>
      <c r="AB843" s="829"/>
      <c r="AC843" s="829"/>
      <c r="AD843" s="829"/>
      <c r="AE843" s="829"/>
      <c r="AF843" s="829"/>
      <c r="AG843" s="829"/>
      <c r="AH843" s="829"/>
      <c r="AI843" s="829"/>
      <c r="AJ843" s="829"/>
      <c r="AK843" s="829"/>
      <c r="AL843" s="829"/>
      <c r="AM843" s="829"/>
      <c r="AN843" s="829"/>
    </row>
    <row r="844" spans="1:40" ht="12.75" x14ac:dyDescent="0.2">
      <c r="A844" s="829"/>
      <c r="B844" s="829"/>
      <c r="C844" s="829"/>
      <c r="D844" s="829"/>
      <c r="E844" s="829"/>
      <c r="F844" s="829"/>
      <c r="G844" s="829"/>
      <c r="H844" s="829"/>
      <c r="I844" s="829"/>
      <c r="J844" s="829"/>
      <c r="K844" s="829"/>
      <c r="L844" s="829"/>
      <c r="M844" s="829"/>
      <c r="N844" s="829"/>
      <c r="O844" s="829"/>
      <c r="P844" s="829"/>
      <c r="Q844" s="829"/>
      <c r="R844" s="829"/>
      <c r="S844" s="829"/>
      <c r="T844" s="829"/>
      <c r="U844" s="829"/>
      <c r="V844" s="829"/>
      <c r="W844" s="829"/>
      <c r="X844" s="829"/>
      <c r="Y844" s="829"/>
      <c r="Z844" s="829"/>
      <c r="AA844" s="829"/>
      <c r="AB844" s="829"/>
      <c r="AC844" s="829"/>
      <c r="AD844" s="829"/>
      <c r="AE844" s="829"/>
      <c r="AF844" s="829"/>
      <c r="AG844" s="829"/>
      <c r="AH844" s="829"/>
      <c r="AI844" s="829"/>
      <c r="AJ844" s="829"/>
      <c r="AK844" s="829"/>
      <c r="AL844" s="829"/>
      <c r="AM844" s="829"/>
      <c r="AN844" s="829"/>
    </row>
    <row r="845" spans="1:40" ht="12.75" x14ac:dyDescent="0.2">
      <c r="A845" s="829"/>
      <c r="B845" s="829"/>
      <c r="C845" s="829"/>
      <c r="D845" s="829"/>
      <c r="E845" s="829"/>
      <c r="F845" s="829"/>
      <c r="G845" s="829"/>
      <c r="H845" s="829"/>
      <c r="I845" s="829"/>
      <c r="J845" s="829"/>
      <c r="K845" s="829"/>
      <c r="L845" s="829"/>
      <c r="M845" s="829"/>
      <c r="N845" s="829"/>
      <c r="O845" s="829"/>
      <c r="P845" s="829"/>
      <c r="Q845" s="829"/>
      <c r="R845" s="829"/>
      <c r="S845" s="829"/>
      <c r="T845" s="829"/>
      <c r="U845" s="829"/>
      <c r="V845" s="829"/>
      <c r="W845" s="829"/>
      <c r="X845" s="829"/>
      <c r="Y845" s="829"/>
      <c r="Z845" s="829"/>
      <c r="AA845" s="829"/>
      <c r="AB845" s="829"/>
      <c r="AC845" s="829"/>
      <c r="AD845" s="829"/>
      <c r="AE845" s="829"/>
      <c r="AF845" s="829"/>
      <c r="AG845" s="829"/>
      <c r="AH845" s="829"/>
      <c r="AI845" s="829"/>
      <c r="AJ845" s="829"/>
      <c r="AK845" s="829"/>
      <c r="AL845" s="829"/>
      <c r="AM845" s="829"/>
      <c r="AN845" s="829"/>
    </row>
    <row r="846" spans="1:40" ht="12.75" x14ac:dyDescent="0.2">
      <c r="A846" s="829"/>
      <c r="B846" s="829"/>
      <c r="C846" s="829"/>
      <c r="D846" s="829"/>
      <c r="E846" s="829"/>
      <c r="F846" s="829"/>
      <c r="G846" s="829"/>
      <c r="H846" s="829"/>
      <c r="I846" s="829"/>
      <c r="J846" s="829"/>
      <c r="K846" s="829"/>
      <c r="L846" s="829"/>
      <c r="M846" s="829"/>
      <c r="N846" s="829"/>
      <c r="O846" s="829"/>
      <c r="P846" s="829"/>
      <c r="Q846" s="829"/>
      <c r="R846" s="829"/>
      <c r="S846" s="829"/>
      <c r="T846" s="829"/>
      <c r="U846" s="829"/>
      <c r="V846" s="829"/>
      <c r="W846" s="829"/>
      <c r="X846" s="829"/>
      <c r="Y846" s="829"/>
      <c r="Z846" s="829"/>
      <c r="AA846" s="829"/>
      <c r="AB846" s="829"/>
      <c r="AC846" s="829"/>
      <c r="AD846" s="829"/>
      <c r="AE846" s="829"/>
      <c r="AF846" s="829"/>
      <c r="AG846" s="829"/>
      <c r="AH846" s="829"/>
      <c r="AI846" s="829"/>
      <c r="AJ846" s="829"/>
      <c r="AK846" s="829"/>
      <c r="AL846" s="829"/>
      <c r="AM846" s="829"/>
      <c r="AN846" s="829"/>
    </row>
    <row r="847" spans="1:40" ht="12.75" x14ac:dyDescent="0.2">
      <c r="A847" s="829"/>
      <c r="B847" s="829"/>
      <c r="C847" s="829"/>
      <c r="D847" s="829"/>
      <c r="E847" s="829"/>
      <c r="F847" s="829"/>
      <c r="G847" s="829"/>
      <c r="H847" s="829"/>
      <c r="I847" s="829"/>
      <c r="J847" s="829"/>
      <c r="K847" s="829"/>
      <c r="L847" s="829"/>
      <c r="M847" s="829"/>
      <c r="N847" s="829"/>
      <c r="O847" s="829"/>
      <c r="P847" s="829"/>
      <c r="Q847" s="829"/>
      <c r="R847" s="829"/>
      <c r="S847" s="829"/>
      <c r="T847" s="829"/>
      <c r="U847" s="829"/>
      <c r="V847" s="829"/>
      <c r="W847" s="829"/>
      <c r="X847" s="829"/>
      <c r="Y847" s="829"/>
      <c r="Z847" s="829"/>
      <c r="AA847" s="829"/>
      <c r="AB847" s="829"/>
      <c r="AC847" s="829"/>
      <c r="AD847" s="829"/>
      <c r="AE847" s="829"/>
      <c r="AF847" s="829"/>
      <c r="AG847" s="829"/>
      <c r="AH847" s="829"/>
      <c r="AI847" s="829"/>
      <c r="AJ847" s="829"/>
      <c r="AK847" s="829"/>
      <c r="AL847" s="829"/>
      <c r="AM847" s="829"/>
      <c r="AN847" s="829"/>
    </row>
    <row r="848" spans="1:40" ht="12.75" x14ac:dyDescent="0.2">
      <c r="A848" s="829"/>
      <c r="B848" s="829"/>
      <c r="C848" s="829"/>
      <c r="D848" s="829"/>
      <c r="E848" s="829"/>
      <c r="F848" s="829"/>
      <c r="G848" s="829"/>
      <c r="H848" s="829"/>
      <c r="I848" s="829"/>
      <c r="J848" s="829"/>
      <c r="K848" s="829"/>
      <c r="L848" s="829"/>
      <c r="M848" s="829"/>
      <c r="N848" s="829"/>
      <c r="O848" s="829"/>
      <c r="P848" s="829"/>
      <c r="Q848" s="829"/>
      <c r="R848" s="829"/>
      <c r="S848" s="829"/>
      <c r="T848" s="829"/>
      <c r="U848" s="829"/>
      <c r="V848" s="829"/>
      <c r="W848" s="829"/>
      <c r="X848" s="829"/>
      <c r="Y848" s="829"/>
      <c r="Z848" s="829"/>
      <c r="AA848" s="829"/>
      <c r="AB848" s="829"/>
      <c r="AC848" s="829"/>
      <c r="AD848" s="829"/>
      <c r="AE848" s="829"/>
      <c r="AF848" s="829"/>
      <c r="AG848" s="829"/>
      <c r="AH848" s="829"/>
      <c r="AI848" s="829"/>
      <c r="AJ848" s="829"/>
      <c r="AK848" s="829"/>
      <c r="AL848" s="829"/>
      <c r="AM848" s="829"/>
      <c r="AN848" s="829"/>
    </row>
    <row r="849" spans="1:40" ht="12.75" x14ac:dyDescent="0.2">
      <c r="A849" s="829"/>
      <c r="B849" s="829"/>
      <c r="C849" s="829"/>
      <c r="D849" s="829"/>
      <c r="E849" s="829"/>
      <c r="F849" s="829"/>
      <c r="G849" s="829"/>
      <c r="H849" s="829"/>
      <c r="I849" s="829"/>
      <c r="J849" s="829"/>
      <c r="K849" s="829"/>
      <c r="L849" s="829"/>
      <c r="M849" s="829"/>
      <c r="N849" s="829"/>
      <c r="O849" s="829"/>
      <c r="P849" s="829"/>
      <c r="Q849" s="829"/>
      <c r="R849" s="829"/>
      <c r="S849" s="829"/>
      <c r="T849" s="829"/>
      <c r="U849" s="829"/>
      <c r="V849" s="829"/>
      <c r="W849" s="829"/>
      <c r="X849" s="829"/>
      <c r="Y849" s="829"/>
      <c r="Z849" s="829"/>
      <c r="AA849" s="829"/>
      <c r="AB849" s="829"/>
      <c r="AC849" s="829"/>
      <c r="AD849" s="829"/>
      <c r="AE849" s="829"/>
      <c r="AF849" s="829"/>
      <c r="AG849" s="829"/>
      <c r="AH849" s="829"/>
      <c r="AI849" s="829"/>
      <c r="AJ849" s="829"/>
      <c r="AK849" s="829"/>
      <c r="AL849" s="829"/>
      <c r="AM849" s="829"/>
      <c r="AN849" s="829"/>
    </row>
    <row r="850" spans="1:40" ht="12.75" x14ac:dyDescent="0.2">
      <c r="A850" s="829"/>
      <c r="B850" s="829"/>
      <c r="C850" s="829"/>
      <c r="D850" s="829"/>
      <c r="E850" s="829"/>
      <c r="F850" s="829"/>
      <c r="G850" s="829"/>
      <c r="H850" s="829"/>
      <c r="I850" s="829"/>
      <c r="J850" s="829"/>
      <c r="K850" s="829"/>
      <c r="L850" s="829"/>
      <c r="M850" s="829"/>
      <c r="N850" s="829"/>
      <c r="O850" s="829"/>
      <c r="P850" s="829"/>
      <c r="Q850" s="829"/>
      <c r="R850" s="829"/>
      <c r="S850" s="829"/>
      <c r="T850" s="829"/>
      <c r="U850" s="829"/>
      <c r="V850" s="829"/>
      <c r="W850" s="829"/>
      <c r="X850" s="829"/>
      <c r="Y850" s="829"/>
      <c r="Z850" s="829"/>
      <c r="AA850" s="829"/>
      <c r="AB850" s="829"/>
      <c r="AC850" s="829"/>
      <c r="AD850" s="829"/>
      <c r="AE850" s="829"/>
      <c r="AF850" s="829"/>
      <c r="AG850" s="829"/>
      <c r="AH850" s="829"/>
      <c r="AI850" s="829"/>
      <c r="AJ850" s="829"/>
      <c r="AK850" s="829"/>
      <c r="AL850" s="829"/>
      <c r="AM850" s="829"/>
      <c r="AN850" s="829"/>
    </row>
    <row r="851" spans="1:40" ht="12.75" x14ac:dyDescent="0.2">
      <c r="A851" s="829"/>
      <c r="B851" s="829"/>
      <c r="C851" s="829"/>
      <c r="D851" s="829"/>
      <c r="E851" s="829"/>
      <c r="F851" s="829"/>
      <c r="G851" s="829"/>
      <c r="H851" s="829"/>
      <c r="I851" s="829"/>
      <c r="J851" s="829"/>
      <c r="K851" s="829"/>
      <c r="L851" s="829"/>
      <c r="M851" s="829"/>
      <c r="N851" s="829"/>
      <c r="O851" s="829"/>
      <c r="P851" s="829"/>
      <c r="Q851" s="829"/>
      <c r="R851" s="829"/>
      <c r="S851" s="829"/>
      <c r="T851" s="829"/>
      <c r="U851" s="829"/>
      <c r="V851" s="829"/>
      <c r="W851" s="829"/>
      <c r="X851" s="829"/>
      <c r="Y851" s="829"/>
      <c r="Z851" s="829"/>
      <c r="AA851" s="829"/>
      <c r="AB851" s="829"/>
      <c r="AC851" s="829"/>
      <c r="AD851" s="829"/>
      <c r="AE851" s="829"/>
      <c r="AF851" s="829"/>
      <c r="AG851" s="829"/>
      <c r="AH851" s="829"/>
      <c r="AI851" s="829"/>
      <c r="AJ851" s="829"/>
      <c r="AK851" s="829"/>
      <c r="AL851" s="829"/>
      <c r="AM851" s="829"/>
      <c r="AN851" s="829"/>
    </row>
    <row r="852" spans="1:40" ht="12.75" x14ac:dyDescent="0.2">
      <c r="A852" s="829"/>
      <c r="B852" s="829"/>
      <c r="C852" s="829"/>
      <c r="D852" s="829"/>
      <c r="E852" s="829"/>
      <c r="F852" s="829"/>
      <c r="G852" s="829"/>
      <c r="H852" s="829"/>
      <c r="I852" s="829"/>
      <c r="J852" s="829"/>
      <c r="K852" s="829"/>
      <c r="L852" s="829"/>
      <c r="M852" s="829"/>
      <c r="N852" s="829"/>
      <c r="O852" s="829"/>
      <c r="P852" s="829"/>
      <c r="Q852" s="829"/>
      <c r="R852" s="829"/>
      <c r="S852" s="829"/>
      <c r="T852" s="829"/>
      <c r="U852" s="829"/>
      <c r="V852" s="829"/>
      <c r="W852" s="829"/>
      <c r="X852" s="829"/>
      <c r="Y852" s="829"/>
      <c r="Z852" s="829"/>
      <c r="AA852" s="829"/>
      <c r="AB852" s="829"/>
      <c r="AC852" s="829"/>
      <c r="AD852" s="829"/>
      <c r="AE852" s="829"/>
      <c r="AF852" s="829"/>
      <c r="AG852" s="829"/>
      <c r="AH852" s="829"/>
      <c r="AI852" s="829"/>
      <c r="AJ852" s="829"/>
      <c r="AK852" s="829"/>
      <c r="AL852" s="829"/>
      <c r="AM852" s="829"/>
      <c r="AN852" s="829"/>
    </row>
    <row r="853" spans="1:40" ht="12.75" x14ac:dyDescent="0.2">
      <c r="A853" s="829"/>
      <c r="B853" s="829"/>
      <c r="C853" s="829"/>
      <c r="D853" s="829"/>
      <c r="E853" s="829"/>
      <c r="F853" s="829"/>
      <c r="G853" s="829"/>
      <c r="H853" s="829"/>
      <c r="I853" s="829"/>
      <c r="J853" s="829"/>
      <c r="K853" s="829"/>
      <c r="L853" s="829"/>
      <c r="M853" s="829"/>
      <c r="N853" s="829"/>
      <c r="O853" s="829"/>
      <c r="P853" s="829"/>
      <c r="Q853" s="829"/>
      <c r="R853" s="829"/>
      <c r="S853" s="829"/>
      <c r="T853" s="829"/>
      <c r="U853" s="829"/>
      <c r="V853" s="829"/>
      <c r="W853" s="829"/>
      <c r="X853" s="829"/>
      <c r="Y853" s="829"/>
      <c r="Z853" s="829"/>
      <c r="AA853" s="829"/>
      <c r="AB853" s="829"/>
      <c r="AC853" s="829"/>
      <c r="AD853" s="829"/>
      <c r="AE853" s="829"/>
      <c r="AF853" s="829"/>
      <c r="AG853" s="829"/>
      <c r="AH853" s="829"/>
      <c r="AI853" s="829"/>
      <c r="AJ853" s="829"/>
      <c r="AK853" s="829"/>
      <c r="AL853" s="829"/>
      <c r="AM853" s="829"/>
      <c r="AN853" s="829"/>
    </row>
    <row r="854" spans="1:40" ht="12.75" x14ac:dyDescent="0.2">
      <c r="A854" s="829"/>
      <c r="B854" s="829"/>
      <c r="C854" s="829"/>
      <c r="D854" s="829"/>
      <c r="E854" s="829"/>
      <c r="F854" s="829"/>
      <c r="G854" s="829"/>
      <c r="H854" s="829"/>
      <c r="I854" s="829"/>
      <c r="J854" s="829"/>
      <c r="K854" s="829"/>
      <c r="L854" s="829"/>
      <c r="M854" s="829"/>
      <c r="N854" s="829"/>
      <c r="O854" s="829"/>
      <c r="P854" s="829"/>
      <c r="Q854" s="829"/>
      <c r="R854" s="829"/>
      <c r="S854" s="829"/>
      <c r="T854" s="829"/>
      <c r="U854" s="829"/>
      <c r="V854" s="829"/>
      <c r="W854" s="829"/>
      <c r="X854" s="829"/>
      <c r="Y854" s="829"/>
      <c r="Z854" s="829"/>
      <c r="AA854" s="829"/>
      <c r="AB854" s="829"/>
      <c r="AC854" s="829"/>
      <c r="AD854" s="829"/>
      <c r="AE854" s="829"/>
      <c r="AF854" s="829"/>
      <c r="AG854" s="829"/>
      <c r="AH854" s="829"/>
      <c r="AI854" s="829"/>
      <c r="AJ854" s="829"/>
      <c r="AK854" s="829"/>
      <c r="AL854" s="829"/>
      <c r="AM854" s="829"/>
      <c r="AN854" s="829"/>
    </row>
    <row r="855" spans="1:40" ht="12.75" x14ac:dyDescent="0.2">
      <c r="A855" s="829"/>
      <c r="B855" s="829"/>
      <c r="C855" s="829"/>
      <c r="D855" s="829"/>
      <c r="E855" s="829"/>
      <c r="F855" s="829"/>
      <c r="G855" s="829"/>
      <c r="H855" s="829"/>
      <c r="I855" s="829"/>
      <c r="J855" s="829"/>
      <c r="K855" s="829"/>
      <c r="L855" s="829"/>
      <c r="M855" s="829"/>
      <c r="N855" s="829"/>
      <c r="O855" s="829"/>
      <c r="P855" s="829"/>
      <c r="Q855" s="829"/>
      <c r="R855" s="829"/>
      <c r="S855" s="829"/>
      <c r="T855" s="829"/>
      <c r="U855" s="829"/>
      <c r="V855" s="829"/>
      <c r="W855" s="829"/>
      <c r="X855" s="829"/>
      <c r="Y855" s="829"/>
      <c r="Z855" s="829"/>
      <c r="AA855" s="829"/>
      <c r="AB855" s="829"/>
      <c r="AC855" s="829"/>
      <c r="AD855" s="829"/>
      <c r="AE855" s="829"/>
      <c r="AF855" s="829"/>
      <c r="AG855" s="829"/>
      <c r="AH855" s="829"/>
      <c r="AI855" s="829"/>
      <c r="AJ855" s="829"/>
      <c r="AK855" s="829"/>
      <c r="AL855" s="829"/>
      <c r="AM855" s="829"/>
      <c r="AN855" s="829"/>
    </row>
    <row r="856" spans="1:40" ht="12.75" x14ac:dyDescent="0.2">
      <c r="A856" s="829"/>
      <c r="B856" s="829"/>
      <c r="C856" s="829"/>
      <c r="D856" s="829"/>
      <c r="E856" s="829"/>
      <c r="F856" s="829"/>
      <c r="G856" s="829"/>
      <c r="H856" s="829"/>
      <c r="I856" s="829"/>
      <c r="J856" s="829"/>
      <c r="K856" s="829"/>
      <c r="L856" s="829"/>
      <c r="M856" s="829"/>
      <c r="N856" s="829"/>
      <c r="O856" s="829"/>
      <c r="P856" s="829"/>
      <c r="Q856" s="829"/>
      <c r="R856" s="829"/>
      <c r="S856" s="829"/>
      <c r="T856" s="829"/>
      <c r="U856" s="829"/>
      <c r="V856" s="829"/>
      <c r="W856" s="829"/>
      <c r="X856" s="829"/>
      <c r="Y856" s="829"/>
      <c r="Z856" s="829"/>
      <c r="AA856" s="829"/>
      <c r="AB856" s="829"/>
      <c r="AC856" s="829"/>
      <c r="AD856" s="829"/>
      <c r="AE856" s="829"/>
      <c r="AF856" s="829"/>
      <c r="AG856" s="829"/>
      <c r="AH856" s="829"/>
      <c r="AI856" s="829"/>
      <c r="AJ856" s="829"/>
      <c r="AK856" s="829"/>
      <c r="AL856" s="829"/>
      <c r="AM856" s="829"/>
      <c r="AN856" s="829"/>
    </row>
    <row r="857" spans="1:40" ht="12.75" x14ac:dyDescent="0.2">
      <c r="A857" s="829"/>
      <c r="B857" s="829"/>
      <c r="C857" s="829"/>
      <c r="D857" s="829"/>
      <c r="E857" s="829"/>
      <c r="F857" s="829"/>
      <c r="G857" s="829"/>
      <c r="H857" s="829"/>
      <c r="I857" s="829"/>
      <c r="J857" s="829"/>
      <c r="K857" s="829"/>
      <c r="L857" s="829"/>
      <c r="M857" s="829"/>
      <c r="N857" s="829"/>
      <c r="O857" s="829"/>
      <c r="P857" s="829"/>
      <c r="Q857" s="829"/>
      <c r="R857" s="829"/>
      <c r="S857" s="829"/>
      <c r="T857" s="829"/>
      <c r="U857" s="829"/>
      <c r="V857" s="829"/>
      <c r="W857" s="829"/>
      <c r="X857" s="829"/>
      <c r="Y857" s="829"/>
      <c r="Z857" s="829"/>
      <c r="AA857" s="829"/>
      <c r="AB857" s="829"/>
      <c r="AC857" s="829"/>
      <c r="AD857" s="829"/>
      <c r="AE857" s="829"/>
      <c r="AF857" s="829"/>
      <c r="AG857" s="829"/>
      <c r="AH857" s="829"/>
      <c r="AI857" s="829"/>
      <c r="AJ857" s="829"/>
      <c r="AK857" s="829"/>
      <c r="AL857" s="829"/>
      <c r="AM857" s="829"/>
      <c r="AN857" s="829"/>
    </row>
    <row r="858" spans="1:40" ht="12.75" x14ac:dyDescent="0.2">
      <c r="A858" s="829"/>
      <c r="B858" s="829"/>
      <c r="C858" s="829"/>
      <c r="D858" s="829"/>
      <c r="E858" s="829"/>
      <c r="F858" s="829"/>
      <c r="G858" s="829"/>
      <c r="H858" s="829"/>
      <c r="I858" s="829"/>
      <c r="J858" s="829"/>
      <c r="K858" s="829"/>
      <c r="L858" s="829"/>
      <c r="M858" s="829"/>
      <c r="N858" s="829"/>
      <c r="O858" s="829"/>
      <c r="P858" s="829"/>
      <c r="Q858" s="829"/>
      <c r="R858" s="829"/>
      <c r="S858" s="829"/>
      <c r="T858" s="829"/>
      <c r="U858" s="829"/>
      <c r="V858" s="829"/>
      <c r="W858" s="829"/>
      <c r="X858" s="829"/>
      <c r="Y858" s="829"/>
      <c r="Z858" s="829"/>
      <c r="AA858" s="829"/>
      <c r="AB858" s="829"/>
      <c r="AC858" s="829"/>
      <c r="AD858" s="829"/>
      <c r="AE858" s="829"/>
      <c r="AF858" s="829"/>
      <c r="AG858" s="829"/>
      <c r="AH858" s="829"/>
      <c r="AI858" s="829"/>
      <c r="AJ858" s="829"/>
      <c r="AK858" s="829"/>
      <c r="AL858" s="829"/>
      <c r="AM858" s="829"/>
      <c r="AN858" s="829"/>
    </row>
    <row r="859" spans="1:40" ht="12.75" x14ac:dyDescent="0.2">
      <c r="A859" s="829"/>
      <c r="B859" s="829"/>
      <c r="C859" s="829"/>
      <c r="D859" s="829"/>
      <c r="E859" s="829"/>
      <c r="F859" s="829"/>
      <c r="G859" s="829"/>
      <c r="H859" s="829"/>
      <c r="I859" s="829"/>
      <c r="J859" s="829"/>
      <c r="K859" s="829"/>
      <c r="L859" s="829"/>
      <c r="M859" s="829"/>
      <c r="N859" s="829"/>
      <c r="O859" s="829"/>
      <c r="P859" s="829"/>
      <c r="Q859" s="829"/>
      <c r="R859" s="829"/>
      <c r="S859" s="829"/>
      <c r="T859" s="829"/>
      <c r="U859" s="829"/>
      <c r="V859" s="829"/>
      <c r="W859" s="829"/>
      <c r="X859" s="829"/>
      <c r="Y859" s="829"/>
      <c r="Z859" s="829"/>
      <c r="AA859" s="829"/>
      <c r="AB859" s="829"/>
      <c r="AC859" s="829"/>
      <c r="AD859" s="829"/>
      <c r="AE859" s="829"/>
      <c r="AF859" s="829"/>
      <c r="AG859" s="829"/>
      <c r="AH859" s="829"/>
      <c r="AI859" s="829"/>
      <c r="AJ859" s="829"/>
      <c r="AK859" s="829"/>
      <c r="AL859" s="829"/>
      <c r="AM859" s="829"/>
      <c r="AN859" s="829"/>
    </row>
    <row r="860" spans="1:40" ht="12.75" x14ac:dyDescent="0.2">
      <c r="A860" s="829"/>
      <c r="B860" s="829"/>
      <c r="C860" s="829"/>
      <c r="D860" s="829"/>
      <c r="E860" s="829"/>
      <c r="F860" s="829"/>
      <c r="G860" s="829"/>
      <c r="H860" s="829"/>
      <c r="I860" s="829"/>
      <c r="J860" s="829"/>
      <c r="K860" s="829"/>
      <c r="L860" s="829"/>
      <c r="M860" s="829"/>
      <c r="N860" s="829"/>
      <c r="O860" s="829"/>
      <c r="P860" s="829"/>
      <c r="Q860" s="829"/>
      <c r="R860" s="829"/>
      <c r="S860" s="829"/>
      <c r="T860" s="829"/>
      <c r="U860" s="829"/>
      <c r="V860" s="829"/>
      <c r="W860" s="829"/>
      <c r="X860" s="829"/>
      <c r="Y860" s="829"/>
      <c r="Z860" s="829"/>
      <c r="AA860" s="829"/>
      <c r="AB860" s="829"/>
      <c r="AC860" s="829"/>
      <c r="AD860" s="829"/>
      <c r="AE860" s="829"/>
      <c r="AF860" s="829"/>
      <c r="AG860" s="829"/>
      <c r="AH860" s="829"/>
      <c r="AI860" s="829"/>
      <c r="AJ860" s="829"/>
      <c r="AK860" s="829"/>
      <c r="AL860" s="829"/>
      <c r="AM860" s="829"/>
      <c r="AN860" s="829"/>
    </row>
    <row r="861" spans="1:40" ht="12.75" x14ac:dyDescent="0.2">
      <c r="A861" s="829"/>
      <c r="B861" s="829"/>
      <c r="C861" s="829"/>
      <c r="D861" s="829"/>
      <c r="E861" s="829"/>
      <c r="F861" s="829"/>
      <c r="G861" s="829"/>
      <c r="H861" s="829"/>
      <c r="I861" s="829"/>
      <c r="J861" s="829"/>
      <c r="K861" s="829"/>
      <c r="L861" s="829"/>
      <c r="M861" s="829"/>
      <c r="N861" s="829"/>
      <c r="O861" s="829"/>
      <c r="P861" s="829"/>
      <c r="Q861" s="829"/>
      <c r="R861" s="829"/>
      <c r="S861" s="829"/>
      <c r="T861" s="829"/>
      <c r="U861" s="829"/>
      <c r="V861" s="829"/>
      <c r="W861" s="829"/>
      <c r="X861" s="829"/>
      <c r="Y861" s="829"/>
      <c r="Z861" s="829"/>
      <c r="AA861" s="829"/>
      <c r="AB861" s="829"/>
      <c r="AC861" s="829"/>
      <c r="AD861" s="829"/>
      <c r="AE861" s="829"/>
      <c r="AF861" s="829"/>
      <c r="AG861" s="829"/>
      <c r="AH861" s="829"/>
      <c r="AI861" s="829"/>
      <c r="AJ861" s="829"/>
      <c r="AK861" s="829"/>
      <c r="AL861" s="829"/>
      <c r="AM861" s="829"/>
      <c r="AN861" s="829"/>
    </row>
    <row r="862" spans="1:40" ht="12.75" x14ac:dyDescent="0.2">
      <c r="A862" s="829"/>
      <c r="B862" s="829"/>
      <c r="C862" s="829"/>
      <c r="D862" s="829"/>
      <c r="E862" s="829"/>
      <c r="F862" s="829"/>
      <c r="G862" s="829"/>
      <c r="H862" s="829"/>
      <c r="I862" s="829"/>
      <c r="J862" s="829"/>
      <c r="K862" s="829"/>
      <c r="L862" s="829"/>
      <c r="M862" s="829"/>
      <c r="N862" s="829"/>
      <c r="O862" s="829"/>
      <c r="P862" s="829"/>
      <c r="Q862" s="829"/>
      <c r="R862" s="829"/>
      <c r="S862" s="829"/>
      <c r="T862" s="829"/>
      <c r="U862" s="829"/>
      <c r="V862" s="829"/>
      <c r="W862" s="829"/>
      <c r="X862" s="829"/>
      <c r="Y862" s="829"/>
      <c r="Z862" s="829"/>
      <c r="AA862" s="829"/>
      <c r="AB862" s="829"/>
      <c r="AC862" s="829"/>
      <c r="AD862" s="829"/>
      <c r="AE862" s="829"/>
      <c r="AF862" s="829"/>
      <c r="AG862" s="829"/>
      <c r="AH862" s="829"/>
      <c r="AI862" s="829"/>
      <c r="AJ862" s="829"/>
      <c r="AK862" s="829"/>
      <c r="AL862" s="829"/>
      <c r="AM862" s="829"/>
      <c r="AN862" s="829"/>
    </row>
    <row r="863" spans="1:40" ht="12.75" x14ac:dyDescent="0.2">
      <c r="A863" s="829"/>
      <c r="B863" s="829"/>
      <c r="C863" s="829"/>
      <c r="D863" s="829"/>
      <c r="E863" s="829"/>
      <c r="F863" s="829"/>
      <c r="G863" s="829"/>
      <c r="H863" s="829"/>
      <c r="I863" s="829"/>
      <c r="J863" s="829"/>
      <c r="K863" s="829"/>
      <c r="L863" s="829"/>
      <c r="M863" s="829"/>
      <c r="N863" s="829"/>
      <c r="O863" s="829"/>
      <c r="P863" s="829"/>
      <c r="Q863" s="829"/>
      <c r="R863" s="829"/>
      <c r="S863" s="829"/>
      <c r="T863" s="829"/>
      <c r="U863" s="829"/>
      <c r="V863" s="829"/>
      <c r="W863" s="829"/>
      <c r="X863" s="829"/>
      <c r="Y863" s="829"/>
      <c r="Z863" s="829"/>
      <c r="AA863" s="829"/>
      <c r="AB863" s="829"/>
      <c r="AC863" s="829"/>
      <c r="AD863" s="829"/>
      <c r="AE863" s="829"/>
      <c r="AF863" s="829"/>
      <c r="AG863" s="829"/>
      <c r="AH863" s="829"/>
      <c r="AI863" s="829"/>
      <c r="AJ863" s="829"/>
      <c r="AK863" s="829"/>
      <c r="AL863" s="829"/>
      <c r="AM863" s="829"/>
      <c r="AN863" s="829"/>
    </row>
    <row r="864" spans="1:40" ht="12.75" x14ac:dyDescent="0.2">
      <c r="A864" s="829"/>
      <c r="B864" s="829"/>
      <c r="C864" s="829"/>
      <c r="D864" s="829"/>
      <c r="E864" s="829"/>
      <c r="F864" s="829"/>
      <c r="G864" s="829"/>
      <c r="H864" s="829"/>
      <c r="I864" s="829"/>
      <c r="J864" s="829"/>
      <c r="K864" s="829"/>
      <c r="L864" s="829"/>
      <c r="M864" s="829"/>
      <c r="N864" s="829"/>
      <c r="O864" s="829"/>
      <c r="P864" s="829"/>
      <c r="Q864" s="829"/>
      <c r="R864" s="829"/>
      <c r="S864" s="829"/>
      <c r="T864" s="829"/>
      <c r="U864" s="829"/>
      <c r="V864" s="829"/>
      <c r="W864" s="829"/>
      <c r="X864" s="829"/>
      <c r="Y864" s="829"/>
      <c r="Z864" s="829"/>
      <c r="AA864" s="829"/>
      <c r="AB864" s="829"/>
      <c r="AC864" s="829"/>
      <c r="AD864" s="829"/>
      <c r="AE864" s="829"/>
      <c r="AF864" s="829"/>
      <c r="AG864" s="829"/>
      <c r="AH864" s="829"/>
      <c r="AI864" s="829"/>
      <c r="AJ864" s="829"/>
      <c r="AK864" s="829"/>
      <c r="AL864" s="829"/>
      <c r="AM864" s="829"/>
      <c r="AN864" s="829"/>
    </row>
    <row r="865" spans="1:40" ht="12.75" x14ac:dyDescent="0.2">
      <c r="A865" s="829"/>
      <c r="B865" s="829"/>
      <c r="C865" s="829"/>
      <c r="D865" s="829"/>
      <c r="E865" s="829"/>
      <c r="F865" s="829"/>
      <c r="G865" s="829"/>
      <c r="H865" s="829"/>
      <c r="I865" s="829"/>
      <c r="J865" s="829"/>
      <c r="K865" s="829"/>
      <c r="L865" s="829"/>
      <c r="M865" s="829"/>
      <c r="N865" s="829"/>
      <c r="O865" s="829"/>
      <c r="P865" s="829"/>
      <c r="Q865" s="829"/>
      <c r="R865" s="829"/>
      <c r="S865" s="829"/>
      <c r="T865" s="829"/>
      <c r="U865" s="829"/>
      <c r="V865" s="829"/>
      <c r="W865" s="829"/>
      <c r="X865" s="829"/>
      <c r="Y865" s="829"/>
      <c r="Z865" s="829"/>
      <c r="AA865" s="829"/>
      <c r="AB865" s="829"/>
      <c r="AC865" s="829"/>
      <c r="AD865" s="829"/>
      <c r="AE865" s="829"/>
      <c r="AF865" s="829"/>
      <c r="AG865" s="829"/>
      <c r="AH865" s="829"/>
      <c r="AI865" s="829"/>
      <c r="AJ865" s="829"/>
      <c r="AK865" s="829"/>
      <c r="AL865" s="829"/>
      <c r="AM865" s="829"/>
      <c r="AN865" s="829"/>
    </row>
    <row r="866" spans="1:40" ht="12.75" x14ac:dyDescent="0.2">
      <c r="A866" s="829"/>
      <c r="B866" s="829"/>
      <c r="C866" s="829"/>
      <c r="D866" s="829"/>
      <c r="E866" s="829"/>
      <c r="F866" s="829"/>
      <c r="G866" s="829"/>
      <c r="H866" s="829"/>
      <c r="I866" s="829"/>
      <c r="J866" s="829"/>
      <c r="K866" s="829"/>
      <c r="L866" s="829"/>
      <c r="M866" s="829"/>
      <c r="N866" s="829"/>
      <c r="O866" s="829"/>
      <c r="P866" s="829"/>
      <c r="Q866" s="829"/>
      <c r="R866" s="829"/>
      <c r="S866" s="829"/>
      <c r="T866" s="829"/>
      <c r="U866" s="829"/>
      <c r="V866" s="829"/>
      <c r="W866" s="829"/>
      <c r="X866" s="829"/>
      <c r="Y866" s="829"/>
      <c r="Z866" s="829"/>
      <c r="AA866" s="829"/>
      <c r="AB866" s="829"/>
      <c r="AC866" s="829"/>
      <c r="AD866" s="829"/>
      <c r="AE866" s="829"/>
      <c r="AF866" s="829"/>
      <c r="AG866" s="829"/>
      <c r="AH866" s="829"/>
      <c r="AI866" s="829"/>
      <c r="AJ866" s="829"/>
      <c r="AK866" s="829"/>
      <c r="AL866" s="829"/>
      <c r="AM866" s="829"/>
      <c r="AN866" s="829"/>
    </row>
    <row r="867" spans="1:40" ht="12.75" x14ac:dyDescent="0.2">
      <c r="A867" s="829"/>
      <c r="B867" s="829"/>
      <c r="C867" s="829"/>
      <c r="D867" s="829"/>
      <c r="E867" s="829"/>
      <c r="F867" s="829"/>
      <c r="G867" s="829"/>
      <c r="H867" s="829"/>
      <c r="I867" s="829"/>
      <c r="J867" s="829"/>
      <c r="K867" s="829"/>
      <c r="L867" s="829"/>
      <c r="M867" s="829"/>
      <c r="N867" s="829"/>
      <c r="O867" s="829"/>
      <c r="P867" s="829"/>
      <c r="Q867" s="829"/>
      <c r="R867" s="829"/>
      <c r="S867" s="829"/>
      <c r="T867" s="829"/>
      <c r="U867" s="829"/>
      <c r="V867" s="829"/>
      <c r="W867" s="829"/>
      <c r="X867" s="829"/>
      <c r="Y867" s="829"/>
      <c r="Z867" s="829"/>
      <c r="AA867" s="829"/>
      <c r="AB867" s="829"/>
      <c r="AC867" s="829"/>
      <c r="AD867" s="829"/>
      <c r="AE867" s="829"/>
      <c r="AF867" s="829"/>
      <c r="AG867" s="829"/>
      <c r="AH867" s="829"/>
      <c r="AI867" s="829"/>
      <c r="AJ867" s="829"/>
      <c r="AK867" s="829"/>
      <c r="AL867" s="829"/>
      <c r="AM867" s="829"/>
      <c r="AN867" s="829"/>
    </row>
    <row r="868" spans="1:40" ht="12.75" x14ac:dyDescent="0.2">
      <c r="A868" s="829"/>
      <c r="B868" s="829"/>
      <c r="C868" s="829"/>
      <c r="D868" s="829"/>
      <c r="E868" s="829"/>
      <c r="F868" s="829"/>
      <c r="G868" s="829"/>
      <c r="H868" s="829"/>
      <c r="I868" s="829"/>
      <c r="J868" s="829"/>
      <c r="K868" s="829"/>
      <c r="L868" s="829"/>
      <c r="M868" s="829"/>
      <c r="N868" s="829"/>
      <c r="O868" s="829"/>
      <c r="P868" s="829"/>
      <c r="Q868" s="829"/>
      <c r="R868" s="829"/>
      <c r="S868" s="829"/>
      <c r="T868" s="829"/>
      <c r="U868" s="829"/>
      <c r="V868" s="829"/>
      <c r="W868" s="829"/>
      <c r="X868" s="829"/>
      <c r="Y868" s="829"/>
      <c r="Z868" s="829"/>
      <c r="AA868" s="829"/>
      <c r="AB868" s="829"/>
      <c r="AC868" s="829"/>
      <c r="AD868" s="829"/>
      <c r="AE868" s="829"/>
      <c r="AF868" s="829"/>
      <c r="AG868" s="829"/>
      <c r="AH868" s="829"/>
      <c r="AI868" s="829"/>
      <c r="AJ868" s="829"/>
      <c r="AK868" s="829"/>
      <c r="AL868" s="829"/>
      <c r="AM868" s="829"/>
      <c r="AN868" s="829"/>
    </row>
    <row r="869" spans="1:40" ht="12.75" x14ac:dyDescent="0.2">
      <c r="A869" s="829"/>
      <c r="B869" s="829"/>
      <c r="C869" s="829"/>
      <c r="D869" s="829"/>
      <c r="E869" s="829"/>
      <c r="F869" s="829"/>
      <c r="G869" s="829"/>
      <c r="H869" s="829"/>
      <c r="I869" s="829"/>
      <c r="J869" s="829"/>
      <c r="K869" s="829"/>
      <c r="L869" s="829"/>
      <c r="M869" s="829"/>
      <c r="N869" s="829"/>
      <c r="O869" s="829"/>
      <c r="P869" s="829"/>
      <c r="Q869" s="829"/>
      <c r="R869" s="829"/>
      <c r="S869" s="829"/>
      <c r="T869" s="829"/>
      <c r="U869" s="829"/>
      <c r="V869" s="829"/>
      <c r="W869" s="829"/>
      <c r="X869" s="829"/>
      <c r="Y869" s="829"/>
      <c r="Z869" s="829"/>
      <c r="AA869" s="829"/>
      <c r="AB869" s="829"/>
      <c r="AC869" s="829"/>
      <c r="AD869" s="829"/>
      <c r="AE869" s="829"/>
      <c r="AF869" s="829"/>
      <c r="AG869" s="829"/>
      <c r="AH869" s="829"/>
      <c r="AI869" s="829"/>
      <c r="AJ869" s="829"/>
      <c r="AK869" s="829"/>
      <c r="AL869" s="829"/>
      <c r="AM869" s="829"/>
      <c r="AN869" s="829"/>
    </row>
    <row r="870" spans="1:40" ht="12.75" x14ac:dyDescent="0.2">
      <c r="A870" s="829"/>
      <c r="B870" s="829"/>
      <c r="C870" s="829"/>
      <c r="D870" s="829"/>
      <c r="E870" s="829"/>
      <c r="F870" s="829"/>
      <c r="G870" s="829"/>
      <c r="H870" s="829"/>
      <c r="I870" s="829"/>
      <c r="J870" s="829"/>
      <c r="K870" s="829"/>
      <c r="L870" s="829"/>
      <c r="M870" s="829"/>
      <c r="N870" s="829"/>
      <c r="O870" s="829"/>
      <c r="P870" s="829"/>
      <c r="Q870" s="829"/>
      <c r="R870" s="829"/>
      <c r="S870" s="829"/>
      <c r="T870" s="829"/>
      <c r="U870" s="829"/>
      <c r="V870" s="829"/>
      <c r="W870" s="829"/>
      <c r="X870" s="829"/>
      <c r="Y870" s="829"/>
      <c r="Z870" s="829"/>
      <c r="AA870" s="829"/>
      <c r="AB870" s="829"/>
      <c r="AC870" s="829"/>
      <c r="AD870" s="829"/>
      <c r="AE870" s="829"/>
      <c r="AF870" s="829"/>
      <c r="AG870" s="829"/>
      <c r="AH870" s="829"/>
      <c r="AI870" s="829"/>
      <c r="AJ870" s="829"/>
      <c r="AK870" s="829"/>
      <c r="AL870" s="829"/>
      <c r="AM870" s="829"/>
      <c r="AN870" s="829"/>
    </row>
    <row r="871" spans="1:40" ht="12.75" x14ac:dyDescent="0.2">
      <c r="A871" s="829"/>
      <c r="B871" s="829"/>
      <c r="C871" s="829"/>
      <c r="D871" s="829"/>
      <c r="E871" s="829"/>
      <c r="F871" s="829"/>
      <c r="G871" s="829"/>
      <c r="H871" s="829"/>
      <c r="I871" s="829"/>
      <c r="J871" s="829"/>
      <c r="K871" s="829"/>
      <c r="L871" s="829"/>
      <c r="M871" s="829"/>
      <c r="N871" s="829"/>
      <c r="O871" s="829"/>
      <c r="P871" s="829"/>
      <c r="Q871" s="829"/>
      <c r="R871" s="829"/>
      <c r="S871" s="829"/>
      <c r="T871" s="829"/>
      <c r="U871" s="829"/>
      <c r="V871" s="829"/>
      <c r="W871" s="829"/>
      <c r="X871" s="829"/>
      <c r="Y871" s="829"/>
      <c r="Z871" s="829"/>
      <c r="AA871" s="829"/>
      <c r="AB871" s="829"/>
      <c r="AC871" s="829"/>
      <c r="AD871" s="829"/>
      <c r="AE871" s="829"/>
      <c r="AF871" s="829"/>
      <c r="AG871" s="829"/>
      <c r="AH871" s="829"/>
      <c r="AI871" s="829"/>
      <c r="AJ871" s="829"/>
      <c r="AK871" s="829"/>
      <c r="AL871" s="829"/>
      <c r="AM871" s="829"/>
      <c r="AN871" s="829"/>
    </row>
    <row r="872" spans="1:40" ht="12.75" x14ac:dyDescent="0.2">
      <c r="A872" s="829"/>
      <c r="B872" s="829"/>
      <c r="C872" s="829"/>
      <c r="D872" s="829"/>
      <c r="E872" s="829"/>
      <c r="F872" s="829"/>
      <c r="G872" s="829"/>
      <c r="H872" s="829"/>
      <c r="I872" s="829"/>
      <c r="J872" s="829"/>
      <c r="K872" s="829"/>
      <c r="L872" s="829"/>
      <c r="M872" s="829"/>
      <c r="N872" s="829"/>
      <c r="O872" s="829"/>
      <c r="P872" s="829"/>
      <c r="Q872" s="829"/>
      <c r="R872" s="829"/>
      <c r="S872" s="829"/>
      <c r="T872" s="829"/>
      <c r="U872" s="829"/>
      <c r="V872" s="829"/>
      <c r="W872" s="829"/>
      <c r="X872" s="829"/>
      <c r="Y872" s="829"/>
      <c r="Z872" s="829"/>
      <c r="AA872" s="829"/>
      <c r="AB872" s="829"/>
      <c r="AC872" s="829"/>
      <c r="AD872" s="829"/>
      <c r="AE872" s="829"/>
      <c r="AF872" s="829"/>
      <c r="AG872" s="829"/>
      <c r="AH872" s="829"/>
      <c r="AI872" s="829"/>
      <c r="AJ872" s="829"/>
      <c r="AK872" s="829"/>
      <c r="AL872" s="829"/>
      <c r="AM872" s="829"/>
      <c r="AN872" s="829"/>
    </row>
    <row r="873" spans="1:40" ht="12.75" x14ac:dyDescent="0.2">
      <c r="A873" s="829"/>
      <c r="B873" s="829"/>
      <c r="C873" s="829"/>
      <c r="D873" s="829"/>
      <c r="E873" s="829"/>
      <c r="F873" s="829"/>
      <c r="G873" s="829"/>
      <c r="H873" s="829"/>
      <c r="I873" s="829"/>
      <c r="J873" s="829"/>
      <c r="K873" s="829"/>
      <c r="L873" s="829"/>
      <c r="M873" s="829"/>
      <c r="N873" s="829"/>
      <c r="O873" s="829"/>
      <c r="P873" s="829"/>
      <c r="Q873" s="829"/>
      <c r="R873" s="829"/>
      <c r="S873" s="829"/>
      <c r="T873" s="829"/>
      <c r="U873" s="829"/>
      <c r="V873" s="829"/>
      <c r="W873" s="829"/>
      <c r="X873" s="829"/>
      <c r="Y873" s="829"/>
      <c r="Z873" s="829"/>
      <c r="AA873" s="829"/>
      <c r="AB873" s="829"/>
      <c r="AC873" s="829"/>
      <c r="AD873" s="829"/>
      <c r="AE873" s="829"/>
      <c r="AF873" s="829"/>
      <c r="AG873" s="829"/>
      <c r="AH873" s="829"/>
      <c r="AI873" s="829"/>
      <c r="AJ873" s="829"/>
      <c r="AK873" s="829"/>
      <c r="AL873" s="829"/>
      <c r="AM873" s="829"/>
      <c r="AN873" s="829"/>
    </row>
    <row r="874" spans="1:40" ht="12.75" x14ac:dyDescent="0.2">
      <c r="A874" s="829"/>
      <c r="B874" s="829"/>
      <c r="C874" s="829"/>
      <c r="D874" s="829"/>
      <c r="E874" s="829"/>
      <c r="F874" s="829"/>
      <c r="G874" s="829"/>
      <c r="H874" s="829"/>
      <c r="I874" s="829"/>
      <c r="J874" s="829"/>
      <c r="K874" s="829"/>
      <c r="L874" s="829"/>
      <c r="M874" s="829"/>
      <c r="N874" s="829"/>
      <c r="O874" s="829"/>
      <c r="P874" s="829"/>
      <c r="Q874" s="829"/>
      <c r="R874" s="829"/>
      <c r="S874" s="829"/>
      <c r="T874" s="829"/>
      <c r="U874" s="829"/>
      <c r="V874" s="829"/>
      <c r="W874" s="829"/>
      <c r="X874" s="829"/>
      <c r="Y874" s="829"/>
      <c r="Z874" s="829"/>
      <c r="AA874" s="829"/>
      <c r="AB874" s="829"/>
      <c r="AC874" s="829"/>
      <c r="AD874" s="829"/>
      <c r="AE874" s="829"/>
      <c r="AF874" s="829"/>
      <c r="AG874" s="829"/>
      <c r="AH874" s="829"/>
      <c r="AI874" s="829"/>
      <c r="AJ874" s="829"/>
      <c r="AK874" s="829"/>
      <c r="AL874" s="829"/>
      <c r="AM874" s="829"/>
      <c r="AN874" s="829"/>
    </row>
    <row r="875" spans="1:40" ht="12.75" x14ac:dyDescent="0.2">
      <c r="A875" s="829"/>
      <c r="B875" s="829"/>
      <c r="C875" s="829"/>
      <c r="D875" s="829"/>
      <c r="E875" s="829"/>
      <c r="F875" s="829"/>
      <c r="G875" s="829"/>
      <c r="H875" s="829"/>
      <c r="I875" s="829"/>
      <c r="J875" s="829"/>
      <c r="K875" s="829"/>
      <c r="L875" s="829"/>
      <c r="M875" s="829"/>
      <c r="N875" s="829"/>
      <c r="O875" s="829"/>
      <c r="P875" s="829"/>
      <c r="Q875" s="829"/>
      <c r="R875" s="829"/>
      <c r="S875" s="829"/>
      <c r="T875" s="829"/>
      <c r="U875" s="829"/>
      <c r="V875" s="829"/>
      <c r="W875" s="829"/>
      <c r="X875" s="829"/>
      <c r="Y875" s="829"/>
      <c r="Z875" s="829"/>
      <c r="AA875" s="829"/>
      <c r="AB875" s="829"/>
      <c r="AC875" s="829"/>
      <c r="AD875" s="829"/>
      <c r="AE875" s="829"/>
      <c r="AF875" s="829"/>
      <c r="AG875" s="829"/>
      <c r="AH875" s="829"/>
      <c r="AI875" s="829"/>
      <c r="AJ875" s="829"/>
      <c r="AK875" s="829"/>
      <c r="AL875" s="829"/>
      <c r="AM875" s="829"/>
      <c r="AN875" s="829"/>
    </row>
    <row r="876" spans="1:40" ht="12.75" x14ac:dyDescent="0.2">
      <c r="A876" s="829"/>
      <c r="B876" s="829"/>
      <c r="C876" s="829"/>
      <c r="D876" s="829"/>
      <c r="E876" s="829"/>
      <c r="F876" s="829"/>
      <c r="G876" s="829"/>
      <c r="H876" s="829"/>
      <c r="I876" s="829"/>
      <c r="J876" s="829"/>
      <c r="K876" s="829"/>
      <c r="L876" s="829"/>
      <c r="M876" s="829"/>
      <c r="N876" s="829"/>
      <c r="O876" s="829"/>
      <c r="P876" s="829"/>
      <c r="Q876" s="829"/>
      <c r="R876" s="829"/>
      <c r="S876" s="829"/>
      <c r="T876" s="829"/>
      <c r="U876" s="829"/>
      <c r="V876" s="829"/>
      <c r="W876" s="829"/>
      <c r="X876" s="829"/>
      <c r="Y876" s="829"/>
      <c r="Z876" s="829"/>
      <c r="AA876" s="829"/>
      <c r="AB876" s="829"/>
      <c r="AC876" s="829"/>
      <c r="AD876" s="829"/>
      <c r="AE876" s="829"/>
      <c r="AF876" s="829"/>
      <c r="AG876" s="829"/>
      <c r="AH876" s="829"/>
      <c r="AI876" s="829"/>
      <c r="AJ876" s="829"/>
      <c r="AK876" s="829"/>
      <c r="AL876" s="829"/>
      <c r="AM876" s="829"/>
      <c r="AN876" s="829"/>
    </row>
    <row r="877" spans="1:40" ht="12.75" x14ac:dyDescent="0.2">
      <c r="A877" s="829"/>
      <c r="B877" s="829"/>
      <c r="C877" s="829"/>
      <c r="D877" s="829"/>
      <c r="E877" s="829"/>
      <c r="F877" s="829"/>
      <c r="G877" s="829"/>
      <c r="H877" s="829"/>
      <c r="I877" s="829"/>
      <c r="J877" s="829"/>
      <c r="K877" s="829"/>
      <c r="L877" s="829"/>
      <c r="M877" s="829"/>
      <c r="N877" s="829"/>
      <c r="O877" s="829"/>
      <c r="P877" s="829"/>
      <c r="Q877" s="829"/>
      <c r="R877" s="829"/>
      <c r="S877" s="829"/>
      <c r="T877" s="829"/>
      <c r="U877" s="829"/>
      <c r="V877" s="829"/>
      <c r="W877" s="829"/>
      <c r="X877" s="829"/>
      <c r="Y877" s="829"/>
      <c r="Z877" s="829"/>
      <c r="AA877" s="829"/>
      <c r="AB877" s="829"/>
      <c r="AC877" s="829"/>
      <c r="AD877" s="829"/>
      <c r="AE877" s="829"/>
      <c r="AF877" s="829"/>
      <c r="AG877" s="829"/>
      <c r="AH877" s="829"/>
      <c r="AI877" s="829"/>
      <c r="AJ877" s="829"/>
      <c r="AK877" s="829"/>
      <c r="AL877" s="829"/>
      <c r="AM877" s="829"/>
      <c r="AN877" s="829"/>
    </row>
    <row r="878" spans="1:40" ht="12.75" x14ac:dyDescent="0.2">
      <c r="A878" s="829"/>
      <c r="B878" s="829"/>
      <c r="C878" s="829"/>
      <c r="D878" s="829"/>
      <c r="E878" s="829"/>
      <c r="F878" s="829"/>
      <c r="G878" s="829"/>
      <c r="H878" s="829"/>
      <c r="I878" s="829"/>
      <c r="J878" s="829"/>
      <c r="K878" s="829"/>
      <c r="L878" s="829"/>
      <c r="M878" s="829"/>
      <c r="N878" s="829"/>
      <c r="O878" s="829"/>
      <c r="P878" s="829"/>
      <c r="Q878" s="829"/>
      <c r="R878" s="829"/>
      <c r="S878" s="829"/>
      <c r="T878" s="829"/>
      <c r="U878" s="829"/>
      <c r="V878" s="829"/>
      <c r="W878" s="829"/>
      <c r="X878" s="829"/>
      <c r="Y878" s="829"/>
      <c r="Z878" s="829"/>
      <c r="AA878" s="829"/>
      <c r="AB878" s="829"/>
      <c r="AC878" s="829"/>
      <c r="AD878" s="829"/>
      <c r="AE878" s="829"/>
      <c r="AF878" s="829"/>
      <c r="AG878" s="829"/>
      <c r="AH878" s="829"/>
      <c r="AI878" s="829"/>
      <c r="AJ878" s="829"/>
      <c r="AK878" s="829"/>
      <c r="AL878" s="829"/>
      <c r="AM878" s="829"/>
      <c r="AN878" s="829"/>
    </row>
    <row r="879" spans="1:40" ht="12.75" x14ac:dyDescent="0.2">
      <c r="A879" s="829"/>
      <c r="B879" s="829"/>
      <c r="C879" s="829"/>
      <c r="D879" s="829"/>
      <c r="E879" s="829"/>
      <c r="F879" s="829"/>
      <c r="G879" s="829"/>
      <c r="H879" s="829"/>
      <c r="I879" s="829"/>
      <c r="J879" s="829"/>
      <c r="K879" s="829"/>
      <c r="L879" s="829"/>
      <c r="M879" s="829"/>
      <c r="N879" s="829"/>
      <c r="O879" s="829"/>
      <c r="P879" s="829"/>
      <c r="Q879" s="829"/>
      <c r="R879" s="829"/>
      <c r="S879" s="829"/>
      <c r="T879" s="829"/>
      <c r="U879" s="829"/>
      <c r="V879" s="829"/>
      <c r="W879" s="829"/>
      <c r="X879" s="829"/>
      <c r="Y879" s="829"/>
      <c r="Z879" s="829"/>
      <c r="AA879" s="829"/>
      <c r="AB879" s="829"/>
      <c r="AC879" s="829"/>
      <c r="AD879" s="829"/>
      <c r="AE879" s="829"/>
      <c r="AF879" s="829"/>
      <c r="AG879" s="829"/>
      <c r="AH879" s="829"/>
      <c r="AI879" s="829"/>
      <c r="AJ879" s="829"/>
      <c r="AK879" s="829"/>
      <c r="AL879" s="829"/>
      <c r="AM879" s="829"/>
      <c r="AN879" s="829"/>
    </row>
    <row r="880" spans="1:40" ht="12.75" x14ac:dyDescent="0.2">
      <c r="A880" s="829"/>
      <c r="B880" s="829"/>
      <c r="C880" s="829"/>
      <c r="D880" s="829"/>
      <c r="E880" s="829"/>
      <c r="F880" s="829"/>
      <c r="G880" s="829"/>
      <c r="H880" s="829"/>
      <c r="I880" s="829"/>
      <c r="J880" s="829"/>
      <c r="K880" s="829"/>
      <c r="L880" s="829"/>
      <c r="M880" s="829"/>
      <c r="N880" s="829"/>
      <c r="O880" s="829"/>
      <c r="P880" s="829"/>
      <c r="Q880" s="829"/>
      <c r="R880" s="829"/>
      <c r="S880" s="829"/>
      <c r="T880" s="829"/>
      <c r="U880" s="829"/>
      <c r="V880" s="829"/>
      <c r="W880" s="829"/>
      <c r="X880" s="829"/>
      <c r="Y880" s="829"/>
      <c r="Z880" s="829"/>
      <c r="AA880" s="829"/>
      <c r="AB880" s="829"/>
      <c r="AC880" s="829"/>
      <c r="AD880" s="829"/>
      <c r="AE880" s="829"/>
      <c r="AF880" s="829"/>
      <c r="AG880" s="829"/>
      <c r="AH880" s="829"/>
      <c r="AI880" s="829"/>
      <c r="AJ880" s="829"/>
      <c r="AK880" s="829"/>
      <c r="AL880" s="829"/>
      <c r="AM880" s="829"/>
      <c r="AN880" s="829"/>
    </row>
    <row r="881" spans="1:40" ht="12.75" x14ac:dyDescent="0.2">
      <c r="A881" s="829"/>
      <c r="B881" s="829"/>
      <c r="C881" s="829"/>
      <c r="D881" s="829"/>
      <c r="E881" s="829"/>
      <c r="F881" s="829"/>
      <c r="G881" s="829"/>
      <c r="H881" s="829"/>
      <c r="I881" s="829"/>
      <c r="J881" s="829"/>
      <c r="K881" s="829"/>
      <c r="L881" s="829"/>
      <c r="M881" s="829"/>
      <c r="N881" s="829"/>
      <c r="O881" s="829"/>
      <c r="P881" s="829"/>
      <c r="Q881" s="829"/>
      <c r="R881" s="829"/>
      <c r="S881" s="829"/>
      <c r="T881" s="829"/>
      <c r="U881" s="829"/>
      <c r="V881" s="829"/>
      <c r="W881" s="829"/>
      <c r="X881" s="829"/>
      <c r="Y881" s="829"/>
      <c r="Z881" s="829"/>
      <c r="AA881" s="829"/>
      <c r="AB881" s="829"/>
      <c r="AC881" s="829"/>
      <c r="AD881" s="829"/>
      <c r="AE881" s="829"/>
      <c r="AF881" s="829"/>
      <c r="AG881" s="829"/>
      <c r="AH881" s="829"/>
      <c r="AI881" s="829"/>
      <c r="AJ881" s="829"/>
      <c r="AK881" s="829"/>
      <c r="AL881" s="829"/>
      <c r="AM881" s="829"/>
      <c r="AN881" s="829"/>
    </row>
    <row r="882" spans="1:40" ht="12.75" x14ac:dyDescent="0.2">
      <c r="A882" s="829"/>
      <c r="B882" s="829"/>
      <c r="C882" s="829"/>
      <c r="D882" s="829"/>
      <c r="E882" s="829"/>
      <c r="F882" s="829"/>
      <c r="G882" s="829"/>
      <c r="H882" s="829"/>
      <c r="I882" s="829"/>
      <c r="J882" s="829"/>
      <c r="K882" s="829"/>
      <c r="L882" s="829"/>
      <c r="M882" s="829"/>
      <c r="N882" s="829"/>
      <c r="O882" s="829"/>
      <c r="P882" s="829"/>
      <c r="Q882" s="829"/>
      <c r="R882" s="829"/>
      <c r="S882" s="829"/>
      <c r="T882" s="829"/>
      <c r="U882" s="829"/>
      <c r="V882" s="829"/>
      <c r="W882" s="829"/>
      <c r="X882" s="829"/>
      <c r="Y882" s="829"/>
      <c r="Z882" s="829"/>
      <c r="AA882" s="829"/>
      <c r="AB882" s="829"/>
      <c r="AC882" s="829"/>
      <c r="AD882" s="829"/>
      <c r="AE882" s="829"/>
      <c r="AF882" s="829"/>
      <c r="AG882" s="829"/>
      <c r="AH882" s="829"/>
      <c r="AI882" s="829"/>
      <c r="AJ882" s="829"/>
      <c r="AK882" s="829"/>
      <c r="AL882" s="829"/>
      <c r="AM882" s="829"/>
      <c r="AN882" s="829"/>
    </row>
    <row r="883" spans="1:40" ht="12.75" x14ac:dyDescent="0.2">
      <c r="A883" s="829"/>
      <c r="B883" s="829"/>
      <c r="C883" s="829"/>
      <c r="D883" s="829"/>
      <c r="E883" s="829"/>
      <c r="F883" s="829"/>
      <c r="G883" s="829"/>
      <c r="H883" s="829"/>
      <c r="I883" s="829"/>
      <c r="J883" s="829"/>
      <c r="K883" s="829"/>
      <c r="L883" s="829"/>
      <c r="M883" s="829"/>
      <c r="N883" s="829"/>
      <c r="O883" s="829"/>
      <c r="P883" s="829"/>
      <c r="Q883" s="829"/>
      <c r="R883" s="829"/>
      <c r="S883" s="829"/>
      <c r="T883" s="829"/>
      <c r="U883" s="829"/>
      <c r="V883" s="829"/>
      <c r="W883" s="829"/>
      <c r="X883" s="829"/>
      <c r="Y883" s="829"/>
      <c r="Z883" s="829"/>
      <c r="AA883" s="829"/>
      <c r="AB883" s="829"/>
      <c r="AC883" s="829"/>
      <c r="AD883" s="829"/>
      <c r="AE883" s="829"/>
      <c r="AF883" s="829"/>
      <c r="AG883" s="829"/>
      <c r="AH883" s="829"/>
      <c r="AI883" s="829"/>
      <c r="AJ883" s="829"/>
      <c r="AK883" s="829"/>
      <c r="AL883" s="829"/>
      <c r="AM883" s="829"/>
      <c r="AN883" s="829"/>
    </row>
    <row r="884" spans="1:40" ht="12.75" x14ac:dyDescent="0.2">
      <c r="A884" s="829"/>
      <c r="B884" s="829"/>
      <c r="C884" s="829"/>
      <c r="D884" s="829"/>
      <c r="E884" s="829"/>
      <c r="F884" s="829"/>
      <c r="G884" s="829"/>
      <c r="H884" s="829"/>
      <c r="I884" s="829"/>
      <c r="J884" s="829"/>
      <c r="K884" s="829"/>
      <c r="L884" s="829"/>
      <c r="M884" s="829"/>
      <c r="N884" s="829"/>
      <c r="O884" s="829"/>
      <c r="P884" s="829"/>
      <c r="Q884" s="829"/>
      <c r="R884" s="829"/>
      <c r="S884" s="829"/>
      <c r="T884" s="829"/>
      <c r="U884" s="829"/>
      <c r="V884" s="829"/>
      <c r="W884" s="829"/>
      <c r="X884" s="829"/>
      <c r="Y884" s="829"/>
      <c r="Z884" s="829"/>
      <c r="AA884" s="829"/>
      <c r="AB884" s="829"/>
      <c r="AC884" s="829"/>
      <c r="AD884" s="829"/>
      <c r="AE884" s="829"/>
      <c r="AF884" s="829"/>
      <c r="AG884" s="829"/>
      <c r="AH884" s="829"/>
      <c r="AI884" s="829"/>
      <c r="AJ884" s="829"/>
      <c r="AK884" s="829"/>
      <c r="AL884" s="829"/>
      <c r="AM884" s="829"/>
      <c r="AN884" s="829"/>
    </row>
    <row r="885" spans="1:40" ht="12.75" x14ac:dyDescent="0.2">
      <c r="A885" s="829"/>
      <c r="B885" s="829"/>
      <c r="C885" s="829"/>
      <c r="D885" s="829"/>
      <c r="E885" s="829"/>
      <c r="F885" s="829"/>
      <c r="G885" s="829"/>
      <c r="H885" s="829"/>
      <c r="I885" s="829"/>
      <c r="J885" s="829"/>
      <c r="K885" s="829"/>
      <c r="L885" s="829"/>
      <c r="M885" s="829"/>
      <c r="N885" s="829"/>
      <c r="O885" s="829"/>
      <c r="P885" s="829"/>
      <c r="Q885" s="829"/>
      <c r="R885" s="829"/>
      <c r="S885" s="829"/>
      <c r="T885" s="829"/>
      <c r="U885" s="829"/>
      <c r="V885" s="829"/>
      <c r="W885" s="829"/>
      <c r="X885" s="829"/>
      <c r="Y885" s="829"/>
      <c r="Z885" s="829"/>
      <c r="AA885" s="829"/>
      <c r="AB885" s="829"/>
      <c r="AC885" s="829"/>
      <c r="AD885" s="829"/>
      <c r="AE885" s="829"/>
      <c r="AF885" s="829"/>
      <c r="AG885" s="829"/>
      <c r="AH885" s="829"/>
      <c r="AI885" s="829"/>
      <c r="AJ885" s="829"/>
      <c r="AK885" s="829"/>
      <c r="AL885" s="829"/>
      <c r="AM885" s="829"/>
      <c r="AN885" s="829"/>
    </row>
    <row r="886" spans="1:40" ht="12.75" x14ac:dyDescent="0.2">
      <c r="A886" s="829"/>
      <c r="B886" s="829"/>
      <c r="C886" s="829"/>
      <c r="D886" s="829"/>
      <c r="E886" s="829"/>
      <c r="F886" s="829"/>
      <c r="G886" s="829"/>
      <c r="H886" s="829"/>
      <c r="I886" s="829"/>
      <c r="J886" s="829"/>
      <c r="K886" s="829"/>
      <c r="L886" s="829"/>
      <c r="M886" s="829"/>
      <c r="N886" s="829"/>
      <c r="O886" s="829"/>
      <c r="P886" s="829"/>
      <c r="Q886" s="829"/>
      <c r="R886" s="829"/>
      <c r="S886" s="829"/>
      <c r="T886" s="829"/>
      <c r="U886" s="829"/>
      <c r="V886" s="829"/>
      <c r="W886" s="829"/>
      <c r="X886" s="829"/>
      <c r="Y886" s="829"/>
      <c r="Z886" s="829"/>
      <c r="AA886" s="829"/>
      <c r="AB886" s="829"/>
      <c r="AC886" s="829"/>
      <c r="AD886" s="829"/>
      <c r="AE886" s="829"/>
      <c r="AF886" s="829"/>
      <c r="AG886" s="829"/>
      <c r="AH886" s="829"/>
      <c r="AI886" s="829"/>
      <c r="AJ886" s="829"/>
      <c r="AK886" s="829"/>
      <c r="AL886" s="829"/>
      <c r="AM886" s="829"/>
      <c r="AN886" s="829"/>
    </row>
    <row r="887" spans="1:40" ht="12.75" x14ac:dyDescent="0.2">
      <c r="A887" s="829"/>
      <c r="B887" s="829"/>
      <c r="C887" s="829"/>
      <c r="D887" s="829"/>
      <c r="E887" s="829"/>
      <c r="F887" s="829"/>
      <c r="G887" s="829"/>
      <c r="H887" s="829"/>
      <c r="I887" s="829"/>
      <c r="J887" s="829"/>
      <c r="K887" s="829"/>
      <c r="L887" s="829"/>
      <c r="M887" s="829"/>
      <c r="N887" s="829"/>
      <c r="O887" s="829"/>
      <c r="P887" s="829"/>
      <c r="Q887" s="829"/>
      <c r="R887" s="829"/>
      <c r="S887" s="829"/>
      <c r="T887" s="829"/>
      <c r="U887" s="829"/>
      <c r="V887" s="829"/>
      <c r="W887" s="829"/>
      <c r="X887" s="829"/>
      <c r="Y887" s="829"/>
      <c r="Z887" s="829"/>
      <c r="AA887" s="829"/>
      <c r="AB887" s="829"/>
      <c r="AC887" s="829"/>
      <c r="AD887" s="829"/>
      <c r="AE887" s="829"/>
      <c r="AF887" s="829"/>
      <c r="AG887" s="829"/>
      <c r="AH887" s="829"/>
      <c r="AI887" s="829"/>
      <c r="AJ887" s="829"/>
      <c r="AK887" s="829"/>
      <c r="AL887" s="829"/>
      <c r="AM887" s="829"/>
      <c r="AN887" s="829"/>
    </row>
    <row r="888" spans="1:40" ht="12.75" x14ac:dyDescent="0.2">
      <c r="A888" s="829"/>
      <c r="B888" s="829"/>
      <c r="C888" s="829"/>
      <c r="D888" s="829"/>
      <c r="E888" s="829"/>
      <c r="F888" s="829"/>
      <c r="G888" s="829"/>
      <c r="H888" s="829"/>
      <c r="I888" s="829"/>
      <c r="J888" s="829"/>
      <c r="K888" s="829"/>
      <c r="L888" s="829"/>
      <c r="M888" s="829"/>
      <c r="N888" s="829"/>
      <c r="O888" s="829"/>
      <c r="P888" s="829"/>
      <c r="Q888" s="829"/>
      <c r="R888" s="829"/>
      <c r="S888" s="829"/>
      <c r="T888" s="829"/>
      <c r="U888" s="829"/>
      <c r="V888" s="829"/>
      <c r="W888" s="829"/>
      <c r="X888" s="829"/>
      <c r="Y888" s="829"/>
      <c r="Z888" s="829"/>
      <c r="AA888" s="829"/>
      <c r="AB888" s="829"/>
      <c r="AC888" s="829"/>
      <c r="AD888" s="829"/>
      <c r="AE888" s="829"/>
      <c r="AF888" s="829"/>
      <c r="AG888" s="829"/>
      <c r="AH888" s="829"/>
      <c r="AI888" s="829"/>
      <c r="AJ888" s="829"/>
      <c r="AK888" s="829"/>
      <c r="AL888" s="829"/>
      <c r="AM888" s="829"/>
      <c r="AN888" s="829"/>
    </row>
    <row r="889" spans="1:40" ht="12.75" x14ac:dyDescent="0.2">
      <c r="A889" s="829"/>
      <c r="B889" s="829"/>
      <c r="C889" s="829"/>
      <c r="D889" s="829"/>
      <c r="E889" s="829"/>
      <c r="F889" s="829"/>
      <c r="G889" s="829"/>
      <c r="H889" s="829"/>
      <c r="I889" s="829"/>
      <c r="J889" s="829"/>
      <c r="K889" s="829"/>
      <c r="L889" s="829"/>
      <c r="M889" s="829"/>
      <c r="N889" s="829"/>
      <c r="O889" s="829"/>
      <c r="P889" s="829"/>
      <c r="Q889" s="829"/>
      <c r="R889" s="829"/>
      <c r="S889" s="829"/>
      <c r="T889" s="829"/>
      <c r="U889" s="829"/>
      <c r="V889" s="829"/>
      <c r="W889" s="829"/>
      <c r="X889" s="829"/>
      <c r="Y889" s="829"/>
      <c r="Z889" s="829"/>
      <c r="AA889" s="829"/>
      <c r="AB889" s="829"/>
      <c r="AC889" s="829"/>
      <c r="AD889" s="829"/>
      <c r="AE889" s="829"/>
      <c r="AF889" s="829"/>
      <c r="AG889" s="829"/>
      <c r="AH889" s="829"/>
      <c r="AI889" s="829"/>
      <c r="AJ889" s="829"/>
      <c r="AK889" s="829"/>
      <c r="AL889" s="829"/>
      <c r="AM889" s="829"/>
      <c r="AN889" s="829"/>
    </row>
    <row r="890" spans="1:40" ht="12.75" x14ac:dyDescent="0.2">
      <c r="A890" s="829"/>
      <c r="B890" s="829"/>
      <c r="C890" s="829"/>
      <c r="D890" s="829"/>
      <c r="E890" s="829"/>
      <c r="F890" s="829"/>
      <c r="G890" s="829"/>
      <c r="H890" s="829"/>
      <c r="I890" s="829"/>
      <c r="J890" s="829"/>
      <c r="K890" s="829"/>
      <c r="L890" s="829"/>
      <c r="M890" s="829"/>
      <c r="N890" s="829"/>
      <c r="O890" s="829"/>
      <c r="P890" s="829"/>
      <c r="Q890" s="829"/>
      <c r="R890" s="829"/>
      <c r="S890" s="829"/>
      <c r="T890" s="829"/>
      <c r="U890" s="829"/>
      <c r="V890" s="829"/>
      <c r="W890" s="829"/>
      <c r="X890" s="829"/>
      <c r="Y890" s="829"/>
      <c r="Z890" s="829"/>
      <c r="AA890" s="829"/>
      <c r="AB890" s="829"/>
      <c r="AC890" s="829"/>
      <c r="AD890" s="829"/>
      <c r="AE890" s="829"/>
      <c r="AF890" s="829"/>
      <c r="AG890" s="829"/>
      <c r="AH890" s="829"/>
      <c r="AI890" s="829"/>
      <c r="AJ890" s="829"/>
      <c r="AK890" s="829"/>
      <c r="AL890" s="829"/>
      <c r="AM890" s="829"/>
      <c r="AN890" s="829"/>
    </row>
    <row r="891" spans="1:40" ht="12.75" x14ac:dyDescent="0.2">
      <c r="A891" s="829"/>
      <c r="B891" s="829"/>
      <c r="C891" s="829"/>
      <c r="D891" s="829"/>
      <c r="E891" s="829"/>
      <c r="F891" s="829"/>
      <c r="G891" s="829"/>
      <c r="H891" s="829"/>
      <c r="I891" s="829"/>
      <c r="J891" s="829"/>
      <c r="K891" s="829"/>
      <c r="L891" s="829"/>
      <c r="M891" s="829"/>
      <c r="N891" s="829"/>
      <c r="O891" s="829"/>
      <c r="P891" s="829"/>
      <c r="Q891" s="829"/>
      <c r="R891" s="829"/>
      <c r="S891" s="829"/>
      <c r="T891" s="829"/>
      <c r="U891" s="829"/>
      <c r="V891" s="829"/>
      <c r="W891" s="829"/>
      <c r="X891" s="829"/>
      <c r="Y891" s="829"/>
      <c r="Z891" s="829"/>
      <c r="AA891" s="829"/>
      <c r="AB891" s="829"/>
      <c r="AC891" s="829"/>
      <c r="AD891" s="829"/>
      <c r="AE891" s="829"/>
      <c r="AF891" s="829"/>
      <c r="AG891" s="829"/>
      <c r="AH891" s="829"/>
      <c r="AI891" s="829"/>
      <c r="AJ891" s="829"/>
      <c r="AK891" s="829"/>
      <c r="AL891" s="829"/>
      <c r="AM891" s="829"/>
      <c r="AN891" s="829"/>
    </row>
    <row r="892" spans="1:40" ht="12.75" x14ac:dyDescent="0.2">
      <c r="A892" s="829"/>
      <c r="B892" s="829"/>
      <c r="C892" s="829"/>
      <c r="D892" s="829"/>
      <c r="E892" s="829"/>
      <c r="F892" s="829"/>
      <c r="G892" s="829"/>
      <c r="H892" s="829"/>
      <c r="I892" s="829"/>
      <c r="J892" s="829"/>
      <c r="K892" s="829"/>
      <c r="L892" s="829"/>
      <c r="M892" s="829"/>
      <c r="N892" s="829"/>
      <c r="O892" s="829"/>
      <c r="P892" s="829"/>
      <c r="Q892" s="829"/>
      <c r="R892" s="829"/>
      <c r="S892" s="829"/>
      <c r="T892" s="829"/>
      <c r="U892" s="829"/>
      <c r="V892" s="829"/>
      <c r="W892" s="829"/>
      <c r="X892" s="829"/>
      <c r="Y892" s="829"/>
      <c r="Z892" s="829"/>
      <c r="AA892" s="829"/>
      <c r="AB892" s="829"/>
      <c r="AC892" s="829"/>
      <c r="AD892" s="829"/>
      <c r="AE892" s="829"/>
      <c r="AF892" s="829"/>
      <c r="AG892" s="829"/>
      <c r="AH892" s="829"/>
      <c r="AI892" s="829"/>
      <c r="AJ892" s="829"/>
      <c r="AK892" s="829"/>
      <c r="AL892" s="829"/>
      <c r="AM892" s="829"/>
      <c r="AN892" s="829"/>
    </row>
    <row r="893" spans="1:40" ht="12.75" x14ac:dyDescent="0.2">
      <c r="A893" s="829"/>
      <c r="B893" s="829"/>
      <c r="C893" s="829"/>
      <c r="D893" s="829"/>
      <c r="E893" s="829"/>
      <c r="F893" s="829"/>
      <c r="G893" s="829"/>
      <c r="H893" s="829"/>
      <c r="I893" s="829"/>
      <c r="J893" s="829"/>
      <c r="K893" s="829"/>
      <c r="L893" s="829"/>
      <c r="M893" s="829"/>
      <c r="N893" s="829"/>
      <c r="O893" s="829"/>
      <c r="P893" s="829"/>
      <c r="Q893" s="829"/>
      <c r="R893" s="829"/>
      <c r="S893" s="829"/>
      <c r="T893" s="829"/>
      <c r="U893" s="829"/>
      <c r="V893" s="829"/>
      <c r="W893" s="829"/>
      <c r="X893" s="829"/>
      <c r="Y893" s="829"/>
      <c r="Z893" s="829"/>
      <c r="AA893" s="829"/>
      <c r="AB893" s="829"/>
      <c r="AC893" s="829"/>
      <c r="AD893" s="829"/>
      <c r="AE893" s="829"/>
      <c r="AF893" s="829"/>
      <c r="AG893" s="829"/>
      <c r="AH893" s="829"/>
      <c r="AI893" s="829"/>
      <c r="AJ893" s="829"/>
      <c r="AK893" s="829"/>
      <c r="AL893" s="829"/>
      <c r="AM893" s="829"/>
      <c r="AN893" s="829"/>
    </row>
    <row r="894" spans="1:40" ht="12.75" x14ac:dyDescent="0.2">
      <c r="A894" s="829"/>
      <c r="B894" s="829"/>
      <c r="C894" s="829"/>
      <c r="D894" s="829"/>
      <c r="E894" s="829"/>
      <c r="F894" s="829"/>
      <c r="G894" s="829"/>
      <c r="H894" s="829"/>
      <c r="I894" s="829"/>
      <c r="J894" s="829"/>
      <c r="K894" s="829"/>
      <c r="L894" s="829"/>
      <c r="M894" s="829"/>
      <c r="N894" s="829"/>
      <c r="O894" s="829"/>
      <c r="P894" s="829"/>
      <c r="Q894" s="829"/>
      <c r="R894" s="829"/>
      <c r="S894" s="829"/>
      <c r="T894" s="829"/>
      <c r="U894" s="829"/>
      <c r="V894" s="829"/>
      <c r="W894" s="829"/>
      <c r="X894" s="829"/>
      <c r="Y894" s="829"/>
      <c r="Z894" s="829"/>
      <c r="AA894" s="829"/>
      <c r="AB894" s="829"/>
      <c r="AC894" s="829"/>
      <c r="AD894" s="829"/>
      <c r="AE894" s="829"/>
      <c r="AF894" s="829"/>
      <c r="AG894" s="829"/>
      <c r="AH894" s="829"/>
      <c r="AI894" s="829"/>
      <c r="AJ894" s="829"/>
      <c r="AK894" s="829"/>
      <c r="AL894" s="829"/>
      <c r="AM894" s="829"/>
      <c r="AN894" s="829"/>
    </row>
    <row r="895" spans="1:40" ht="12.75" x14ac:dyDescent="0.2">
      <c r="A895" s="829"/>
      <c r="B895" s="829"/>
      <c r="C895" s="829"/>
      <c r="D895" s="829"/>
      <c r="E895" s="829"/>
      <c r="F895" s="829"/>
      <c r="G895" s="829"/>
      <c r="H895" s="829"/>
      <c r="I895" s="829"/>
      <c r="J895" s="829"/>
      <c r="K895" s="829"/>
      <c r="L895" s="829"/>
      <c r="M895" s="829"/>
      <c r="N895" s="829"/>
      <c r="O895" s="829"/>
      <c r="P895" s="829"/>
      <c r="Q895" s="829"/>
      <c r="R895" s="829"/>
      <c r="S895" s="829"/>
      <c r="T895" s="829"/>
      <c r="U895" s="829"/>
      <c r="V895" s="829"/>
      <c r="W895" s="829"/>
      <c r="X895" s="829"/>
      <c r="Y895" s="829"/>
      <c r="Z895" s="829"/>
      <c r="AA895" s="829"/>
      <c r="AB895" s="829"/>
      <c r="AC895" s="829"/>
      <c r="AD895" s="829"/>
      <c r="AE895" s="829"/>
      <c r="AF895" s="829"/>
      <c r="AG895" s="829"/>
      <c r="AH895" s="829"/>
      <c r="AI895" s="829"/>
      <c r="AJ895" s="829"/>
      <c r="AK895" s="829"/>
      <c r="AL895" s="829"/>
      <c r="AM895" s="829"/>
      <c r="AN895" s="829"/>
    </row>
    <row r="896" spans="1:40" ht="12.75" x14ac:dyDescent="0.2">
      <c r="A896" s="829"/>
      <c r="B896" s="829"/>
      <c r="C896" s="829"/>
      <c r="D896" s="829"/>
      <c r="E896" s="829"/>
      <c r="F896" s="829"/>
      <c r="G896" s="829"/>
      <c r="H896" s="829"/>
      <c r="I896" s="829"/>
      <c r="J896" s="829"/>
      <c r="K896" s="829"/>
      <c r="L896" s="829"/>
      <c r="M896" s="829"/>
      <c r="N896" s="829"/>
      <c r="O896" s="829"/>
      <c r="P896" s="829"/>
      <c r="Q896" s="829"/>
      <c r="R896" s="829"/>
      <c r="S896" s="829"/>
      <c r="T896" s="829"/>
      <c r="U896" s="829"/>
      <c r="V896" s="829"/>
      <c r="W896" s="829"/>
      <c r="X896" s="829"/>
      <c r="Y896" s="829"/>
      <c r="Z896" s="829"/>
      <c r="AA896" s="829"/>
      <c r="AB896" s="829"/>
      <c r="AC896" s="829"/>
      <c r="AD896" s="829"/>
      <c r="AE896" s="829"/>
      <c r="AF896" s="829"/>
      <c r="AG896" s="829"/>
      <c r="AH896" s="829"/>
      <c r="AI896" s="829"/>
      <c r="AJ896" s="829"/>
      <c r="AK896" s="829"/>
      <c r="AL896" s="829"/>
      <c r="AM896" s="829"/>
      <c r="AN896" s="829"/>
    </row>
    <row r="897" spans="1:40" ht="12.75" x14ac:dyDescent="0.2">
      <c r="A897" s="829"/>
      <c r="B897" s="829"/>
      <c r="C897" s="829"/>
      <c r="D897" s="829"/>
      <c r="E897" s="829"/>
      <c r="F897" s="829"/>
      <c r="G897" s="829"/>
      <c r="H897" s="829"/>
      <c r="I897" s="829"/>
      <c r="J897" s="829"/>
      <c r="K897" s="829"/>
      <c r="L897" s="829"/>
      <c r="M897" s="829"/>
      <c r="N897" s="829"/>
      <c r="O897" s="829"/>
      <c r="P897" s="829"/>
      <c r="Q897" s="829"/>
      <c r="R897" s="829"/>
      <c r="S897" s="829"/>
      <c r="T897" s="829"/>
      <c r="U897" s="829"/>
      <c r="V897" s="829"/>
      <c r="W897" s="829"/>
      <c r="X897" s="829"/>
      <c r="Y897" s="829"/>
      <c r="Z897" s="829"/>
      <c r="AA897" s="829"/>
      <c r="AB897" s="829"/>
      <c r="AC897" s="829"/>
      <c r="AD897" s="829"/>
      <c r="AE897" s="829"/>
      <c r="AF897" s="829"/>
      <c r="AG897" s="829"/>
      <c r="AH897" s="829"/>
      <c r="AI897" s="829"/>
      <c r="AJ897" s="829"/>
      <c r="AK897" s="829"/>
      <c r="AL897" s="829"/>
      <c r="AM897" s="829"/>
      <c r="AN897" s="829"/>
    </row>
    <row r="898" spans="1:40" ht="12.75" x14ac:dyDescent="0.2">
      <c r="A898" s="829"/>
      <c r="B898" s="829"/>
      <c r="C898" s="829"/>
      <c r="D898" s="829"/>
      <c r="E898" s="829"/>
      <c r="F898" s="829"/>
      <c r="G898" s="829"/>
      <c r="H898" s="829"/>
      <c r="I898" s="829"/>
      <c r="J898" s="829"/>
      <c r="K898" s="829"/>
      <c r="L898" s="829"/>
      <c r="M898" s="829"/>
      <c r="N898" s="829"/>
      <c r="O898" s="829"/>
      <c r="P898" s="829"/>
      <c r="Q898" s="829"/>
      <c r="R898" s="829"/>
      <c r="S898" s="829"/>
      <c r="T898" s="829"/>
      <c r="U898" s="829"/>
      <c r="V898" s="829"/>
      <c r="W898" s="829"/>
      <c r="X898" s="829"/>
      <c r="Y898" s="829"/>
      <c r="Z898" s="829"/>
      <c r="AA898" s="829"/>
      <c r="AB898" s="829"/>
      <c r="AC898" s="829"/>
      <c r="AD898" s="829"/>
      <c r="AE898" s="829"/>
      <c r="AF898" s="829"/>
      <c r="AG898" s="829"/>
      <c r="AH898" s="829"/>
      <c r="AI898" s="829"/>
      <c r="AJ898" s="829"/>
      <c r="AK898" s="829"/>
      <c r="AL898" s="829"/>
      <c r="AM898" s="829"/>
      <c r="AN898" s="829"/>
    </row>
    <row r="899" spans="1:40" ht="12.75" x14ac:dyDescent="0.2">
      <c r="A899" s="829"/>
      <c r="B899" s="829"/>
      <c r="C899" s="829"/>
      <c r="D899" s="829"/>
      <c r="E899" s="829"/>
      <c r="F899" s="829"/>
      <c r="G899" s="829"/>
      <c r="H899" s="829"/>
      <c r="I899" s="829"/>
      <c r="J899" s="829"/>
      <c r="K899" s="829"/>
      <c r="L899" s="829"/>
      <c r="M899" s="829"/>
      <c r="N899" s="829"/>
      <c r="O899" s="829"/>
      <c r="P899" s="829"/>
      <c r="Q899" s="829"/>
      <c r="R899" s="829"/>
      <c r="S899" s="829"/>
      <c r="T899" s="829"/>
      <c r="U899" s="829"/>
      <c r="V899" s="829"/>
      <c r="W899" s="829"/>
      <c r="X899" s="829"/>
      <c r="Y899" s="829"/>
      <c r="Z899" s="829"/>
      <c r="AA899" s="829"/>
      <c r="AB899" s="829"/>
      <c r="AC899" s="829"/>
      <c r="AD899" s="829"/>
      <c r="AE899" s="829"/>
      <c r="AF899" s="829"/>
      <c r="AG899" s="829"/>
      <c r="AH899" s="829"/>
      <c r="AI899" s="829"/>
      <c r="AJ899" s="829"/>
      <c r="AK899" s="829"/>
      <c r="AL899" s="829"/>
      <c r="AM899" s="829"/>
      <c r="AN899" s="829"/>
    </row>
    <row r="900" spans="1:40" ht="12.75" x14ac:dyDescent="0.2">
      <c r="A900" s="829"/>
      <c r="B900" s="829"/>
      <c r="C900" s="829"/>
      <c r="D900" s="829"/>
      <c r="E900" s="829"/>
      <c r="F900" s="829"/>
      <c r="G900" s="829"/>
      <c r="H900" s="829"/>
      <c r="I900" s="829"/>
      <c r="J900" s="829"/>
      <c r="K900" s="829"/>
      <c r="L900" s="829"/>
      <c r="M900" s="829"/>
      <c r="N900" s="829"/>
      <c r="O900" s="829"/>
      <c r="P900" s="829"/>
      <c r="Q900" s="829"/>
      <c r="R900" s="829"/>
      <c r="S900" s="829"/>
      <c r="T900" s="829"/>
      <c r="U900" s="829"/>
      <c r="V900" s="829"/>
      <c r="W900" s="829"/>
      <c r="X900" s="829"/>
      <c r="Y900" s="829"/>
      <c r="Z900" s="829"/>
      <c r="AA900" s="829"/>
      <c r="AB900" s="829"/>
      <c r="AC900" s="829"/>
      <c r="AD900" s="829"/>
      <c r="AE900" s="829"/>
      <c r="AF900" s="829"/>
      <c r="AG900" s="829"/>
      <c r="AH900" s="829"/>
      <c r="AI900" s="829"/>
      <c r="AJ900" s="829"/>
      <c r="AK900" s="829"/>
      <c r="AL900" s="829"/>
      <c r="AM900" s="829"/>
      <c r="AN900" s="829"/>
    </row>
    <row r="901" spans="1:40" ht="12.75" x14ac:dyDescent="0.2">
      <c r="A901" s="829"/>
      <c r="B901" s="829"/>
      <c r="C901" s="829"/>
      <c r="D901" s="829"/>
      <c r="E901" s="829"/>
      <c r="F901" s="829"/>
      <c r="G901" s="829"/>
      <c r="H901" s="829"/>
      <c r="I901" s="829"/>
      <c r="J901" s="829"/>
      <c r="K901" s="829"/>
      <c r="L901" s="829"/>
      <c r="M901" s="829"/>
      <c r="N901" s="829"/>
      <c r="O901" s="829"/>
      <c r="P901" s="829"/>
      <c r="Q901" s="829"/>
      <c r="R901" s="829"/>
      <c r="S901" s="829"/>
      <c r="T901" s="829"/>
      <c r="U901" s="829"/>
      <c r="V901" s="829"/>
      <c r="W901" s="829"/>
      <c r="X901" s="829"/>
      <c r="Y901" s="829"/>
      <c r="Z901" s="829"/>
      <c r="AA901" s="829"/>
      <c r="AB901" s="829"/>
      <c r="AC901" s="829"/>
      <c r="AD901" s="829"/>
      <c r="AE901" s="829"/>
      <c r="AF901" s="829"/>
      <c r="AG901" s="829"/>
      <c r="AH901" s="829"/>
      <c r="AI901" s="829"/>
      <c r="AJ901" s="829"/>
      <c r="AK901" s="829"/>
      <c r="AL901" s="829"/>
      <c r="AM901" s="829"/>
      <c r="AN901" s="829"/>
    </row>
    <row r="902" spans="1:40" ht="12.75" x14ac:dyDescent="0.2">
      <c r="A902" s="829"/>
      <c r="B902" s="829"/>
      <c r="C902" s="829"/>
      <c r="D902" s="829"/>
      <c r="E902" s="829"/>
      <c r="F902" s="829"/>
      <c r="G902" s="829"/>
      <c r="H902" s="829"/>
      <c r="I902" s="829"/>
      <c r="J902" s="829"/>
      <c r="K902" s="829"/>
      <c r="L902" s="829"/>
      <c r="M902" s="829"/>
      <c r="N902" s="829"/>
      <c r="O902" s="829"/>
      <c r="P902" s="829"/>
      <c r="Q902" s="829"/>
      <c r="R902" s="829"/>
      <c r="S902" s="829"/>
      <c r="T902" s="829"/>
      <c r="U902" s="829"/>
      <c r="V902" s="829"/>
      <c r="W902" s="829"/>
      <c r="X902" s="829"/>
      <c r="Y902" s="829"/>
      <c r="Z902" s="829"/>
      <c r="AA902" s="829"/>
      <c r="AB902" s="829"/>
      <c r="AC902" s="829"/>
      <c r="AD902" s="829"/>
      <c r="AE902" s="829"/>
      <c r="AF902" s="829"/>
      <c r="AG902" s="829"/>
      <c r="AH902" s="829"/>
      <c r="AI902" s="829"/>
      <c r="AJ902" s="829"/>
      <c r="AK902" s="829"/>
      <c r="AL902" s="829"/>
      <c r="AM902" s="829"/>
      <c r="AN902" s="829"/>
    </row>
    <row r="903" spans="1:40" ht="12.75" x14ac:dyDescent="0.2">
      <c r="A903" s="829"/>
      <c r="B903" s="829"/>
      <c r="C903" s="829"/>
      <c r="D903" s="829"/>
      <c r="E903" s="829"/>
      <c r="F903" s="829"/>
      <c r="G903" s="829"/>
      <c r="H903" s="829"/>
      <c r="I903" s="829"/>
      <c r="J903" s="829"/>
      <c r="K903" s="829"/>
      <c r="L903" s="829"/>
      <c r="M903" s="829"/>
      <c r="N903" s="829"/>
      <c r="O903" s="829"/>
      <c r="P903" s="829"/>
      <c r="Q903" s="829"/>
      <c r="R903" s="829"/>
      <c r="S903" s="829"/>
      <c r="T903" s="829"/>
      <c r="U903" s="829"/>
      <c r="V903" s="829"/>
      <c r="W903" s="829"/>
      <c r="X903" s="829"/>
      <c r="Y903" s="829"/>
      <c r="Z903" s="829"/>
      <c r="AA903" s="829"/>
      <c r="AB903" s="829"/>
      <c r="AC903" s="829"/>
      <c r="AD903" s="829"/>
      <c r="AE903" s="829"/>
      <c r="AF903" s="829"/>
      <c r="AG903" s="829"/>
      <c r="AH903" s="829"/>
      <c r="AI903" s="829"/>
      <c r="AJ903" s="829"/>
      <c r="AK903" s="829"/>
      <c r="AL903" s="829"/>
      <c r="AM903" s="829"/>
      <c r="AN903" s="829"/>
    </row>
    <row r="904" spans="1:40" ht="12.75" x14ac:dyDescent="0.2">
      <c r="A904" s="829"/>
      <c r="B904" s="829"/>
      <c r="C904" s="829"/>
      <c r="D904" s="829"/>
      <c r="E904" s="829"/>
      <c r="F904" s="829"/>
      <c r="G904" s="829"/>
      <c r="H904" s="829"/>
      <c r="I904" s="829"/>
      <c r="J904" s="829"/>
      <c r="K904" s="829"/>
      <c r="L904" s="829"/>
      <c r="M904" s="829"/>
      <c r="N904" s="829"/>
      <c r="O904" s="829"/>
      <c r="P904" s="829"/>
      <c r="Q904" s="829"/>
      <c r="R904" s="829"/>
      <c r="S904" s="829"/>
      <c r="T904" s="829"/>
      <c r="U904" s="829"/>
      <c r="V904" s="829"/>
      <c r="W904" s="829"/>
      <c r="X904" s="829"/>
      <c r="Y904" s="829"/>
      <c r="Z904" s="829"/>
      <c r="AA904" s="829"/>
      <c r="AB904" s="829"/>
      <c r="AC904" s="829"/>
      <c r="AD904" s="829"/>
      <c r="AE904" s="829"/>
      <c r="AF904" s="829"/>
      <c r="AG904" s="829"/>
      <c r="AH904" s="829"/>
      <c r="AI904" s="829"/>
      <c r="AJ904" s="829"/>
      <c r="AK904" s="829"/>
      <c r="AL904" s="829"/>
      <c r="AM904" s="829"/>
      <c r="AN904" s="829"/>
    </row>
    <row r="905" spans="1:40" ht="12.75" x14ac:dyDescent="0.2">
      <c r="A905" s="829"/>
      <c r="B905" s="829"/>
      <c r="C905" s="829"/>
      <c r="D905" s="829"/>
      <c r="E905" s="829"/>
      <c r="F905" s="829"/>
      <c r="G905" s="829"/>
      <c r="H905" s="829"/>
      <c r="I905" s="829"/>
      <c r="J905" s="829"/>
      <c r="K905" s="829"/>
      <c r="L905" s="829"/>
      <c r="M905" s="829"/>
      <c r="N905" s="829"/>
      <c r="O905" s="829"/>
      <c r="P905" s="829"/>
      <c r="Q905" s="829"/>
      <c r="R905" s="829"/>
      <c r="S905" s="829"/>
      <c r="T905" s="829"/>
      <c r="U905" s="829"/>
      <c r="V905" s="829"/>
      <c r="W905" s="829"/>
      <c r="X905" s="829"/>
      <c r="Y905" s="829"/>
      <c r="Z905" s="829"/>
      <c r="AA905" s="829"/>
      <c r="AB905" s="829"/>
      <c r="AC905" s="829"/>
      <c r="AD905" s="829"/>
      <c r="AE905" s="829"/>
      <c r="AF905" s="829"/>
      <c r="AG905" s="829"/>
      <c r="AH905" s="829"/>
      <c r="AI905" s="829"/>
      <c r="AJ905" s="829"/>
      <c r="AK905" s="829"/>
      <c r="AL905" s="829"/>
      <c r="AM905" s="829"/>
      <c r="AN905" s="829"/>
    </row>
    <row r="906" spans="1:40" ht="12.75" x14ac:dyDescent="0.2">
      <c r="A906" s="829"/>
      <c r="B906" s="829"/>
      <c r="C906" s="829"/>
      <c r="D906" s="829"/>
      <c r="E906" s="829"/>
      <c r="F906" s="829"/>
      <c r="G906" s="829"/>
      <c r="H906" s="829"/>
      <c r="I906" s="829"/>
      <c r="J906" s="829"/>
      <c r="K906" s="829"/>
      <c r="L906" s="829"/>
      <c r="M906" s="829"/>
      <c r="N906" s="829"/>
      <c r="O906" s="829"/>
      <c r="P906" s="829"/>
      <c r="Q906" s="829"/>
      <c r="R906" s="829"/>
      <c r="S906" s="829"/>
      <c r="T906" s="829"/>
      <c r="U906" s="829"/>
      <c r="V906" s="829"/>
      <c r="W906" s="829"/>
      <c r="X906" s="829"/>
      <c r="Y906" s="829"/>
      <c r="Z906" s="829"/>
      <c r="AA906" s="829"/>
      <c r="AB906" s="829"/>
      <c r="AC906" s="829"/>
      <c r="AD906" s="829"/>
      <c r="AE906" s="829"/>
      <c r="AF906" s="829"/>
      <c r="AG906" s="829"/>
      <c r="AH906" s="829"/>
      <c r="AI906" s="829"/>
      <c r="AJ906" s="829"/>
      <c r="AK906" s="829"/>
      <c r="AL906" s="829"/>
      <c r="AM906" s="829"/>
      <c r="AN906" s="829"/>
    </row>
    <row r="907" spans="1:40" ht="12.75" x14ac:dyDescent="0.2">
      <c r="A907" s="829"/>
      <c r="B907" s="829"/>
      <c r="C907" s="829"/>
      <c r="D907" s="829"/>
      <c r="E907" s="829"/>
      <c r="F907" s="829"/>
      <c r="G907" s="829"/>
      <c r="H907" s="829"/>
      <c r="I907" s="829"/>
      <c r="J907" s="829"/>
      <c r="K907" s="829"/>
      <c r="L907" s="829"/>
      <c r="M907" s="829"/>
      <c r="N907" s="829"/>
      <c r="O907" s="829"/>
      <c r="P907" s="829"/>
      <c r="Q907" s="829"/>
      <c r="R907" s="829"/>
      <c r="S907" s="829"/>
      <c r="T907" s="829"/>
      <c r="U907" s="829"/>
      <c r="V907" s="829"/>
      <c r="W907" s="829"/>
      <c r="X907" s="829"/>
      <c r="Y907" s="829"/>
      <c r="Z907" s="829"/>
      <c r="AA907" s="829"/>
      <c r="AB907" s="829"/>
      <c r="AC907" s="829"/>
      <c r="AD907" s="829"/>
      <c r="AE907" s="829"/>
      <c r="AF907" s="829"/>
      <c r="AG907" s="829"/>
      <c r="AH907" s="829"/>
      <c r="AI907" s="829"/>
      <c r="AJ907" s="829"/>
      <c r="AK907" s="829"/>
      <c r="AL907" s="829"/>
      <c r="AM907" s="829"/>
      <c r="AN907" s="829"/>
    </row>
    <row r="908" spans="1:40" ht="12.75" x14ac:dyDescent="0.2">
      <c r="A908" s="829"/>
      <c r="B908" s="829"/>
      <c r="C908" s="829"/>
      <c r="D908" s="829"/>
      <c r="E908" s="829"/>
      <c r="F908" s="829"/>
      <c r="G908" s="829"/>
      <c r="H908" s="829"/>
      <c r="I908" s="829"/>
      <c r="J908" s="829"/>
      <c r="K908" s="829"/>
      <c r="L908" s="829"/>
      <c r="M908" s="829"/>
      <c r="N908" s="829"/>
      <c r="O908" s="829"/>
      <c r="P908" s="829"/>
      <c r="Q908" s="829"/>
      <c r="R908" s="829"/>
      <c r="S908" s="829"/>
      <c r="T908" s="829"/>
      <c r="U908" s="829"/>
      <c r="V908" s="829"/>
      <c r="W908" s="829"/>
      <c r="X908" s="829"/>
      <c r="Y908" s="829"/>
      <c r="Z908" s="829"/>
      <c r="AA908" s="829"/>
      <c r="AB908" s="829"/>
      <c r="AC908" s="829"/>
      <c r="AD908" s="829"/>
      <c r="AE908" s="829"/>
      <c r="AF908" s="829"/>
      <c r="AG908" s="829"/>
      <c r="AH908" s="829"/>
      <c r="AI908" s="829"/>
      <c r="AJ908" s="829"/>
      <c r="AK908" s="829"/>
      <c r="AL908" s="829"/>
      <c r="AM908" s="829"/>
      <c r="AN908" s="829"/>
    </row>
    <row r="909" spans="1:40" ht="12.75" x14ac:dyDescent="0.2">
      <c r="A909" s="829"/>
      <c r="B909" s="829"/>
      <c r="C909" s="829"/>
      <c r="D909" s="829"/>
      <c r="E909" s="829"/>
      <c r="F909" s="829"/>
      <c r="G909" s="829"/>
      <c r="H909" s="829"/>
      <c r="I909" s="829"/>
      <c r="J909" s="829"/>
      <c r="K909" s="829"/>
      <c r="L909" s="829"/>
      <c r="M909" s="829"/>
      <c r="N909" s="829"/>
      <c r="O909" s="829"/>
      <c r="P909" s="829"/>
      <c r="Q909" s="829"/>
      <c r="R909" s="829"/>
      <c r="S909" s="829"/>
      <c r="T909" s="829"/>
      <c r="U909" s="829"/>
      <c r="V909" s="829"/>
      <c r="W909" s="829"/>
      <c r="X909" s="829"/>
      <c r="Y909" s="829"/>
      <c r="Z909" s="829"/>
      <c r="AA909" s="829"/>
      <c r="AB909" s="829"/>
      <c r="AC909" s="829"/>
      <c r="AD909" s="829"/>
      <c r="AE909" s="829"/>
      <c r="AF909" s="829"/>
      <c r="AG909" s="829"/>
      <c r="AH909" s="829"/>
      <c r="AI909" s="829"/>
      <c r="AJ909" s="829"/>
      <c r="AK909" s="829"/>
      <c r="AL909" s="829"/>
      <c r="AM909" s="829"/>
      <c r="AN909" s="829"/>
    </row>
    <row r="910" spans="1:40" ht="12.75" x14ac:dyDescent="0.2">
      <c r="A910" s="829"/>
      <c r="B910" s="829"/>
      <c r="C910" s="829"/>
      <c r="D910" s="829"/>
      <c r="E910" s="829"/>
      <c r="F910" s="829"/>
      <c r="G910" s="829"/>
      <c r="H910" s="829"/>
      <c r="I910" s="829"/>
      <c r="J910" s="829"/>
      <c r="K910" s="829"/>
      <c r="L910" s="829"/>
      <c r="M910" s="829"/>
      <c r="N910" s="829"/>
      <c r="O910" s="829"/>
      <c r="P910" s="829"/>
      <c r="Q910" s="829"/>
      <c r="R910" s="829"/>
      <c r="S910" s="829"/>
      <c r="T910" s="829"/>
      <c r="U910" s="829"/>
      <c r="V910" s="829"/>
      <c r="W910" s="829"/>
      <c r="X910" s="829"/>
      <c r="Y910" s="829"/>
      <c r="Z910" s="829"/>
      <c r="AA910" s="829"/>
      <c r="AB910" s="829"/>
      <c r="AC910" s="829"/>
      <c r="AD910" s="829"/>
      <c r="AE910" s="829"/>
      <c r="AF910" s="829"/>
      <c r="AG910" s="829"/>
      <c r="AH910" s="829"/>
      <c r="AI910" s="829"/>
      <c r="AJ910" s="829"/>
      <c r="AK910" s="829"/>
      <c r="AL910" s="829"/>
      <c r="AM910" s="829"/>
      <c r="AN910" s="829"/>
    </row>
    <row r="911" spans="1:40" ht="12.75" x14ac:dyDescent="0.2">
      <c r="A911" s="829"/>
      <c r="B911" s="829"/>
      <c r="C911" s="829"/>
      <c r="D911" s="829"/>
      <c r="E911" s="829"/>
      <c r="F911" s="829"/>
      <c r="G911" s="829"/>
      <c r="H911" s="829"/>
      <c r="I911" s="829"/>
      <c r="J911" s="829"/>
      <c r="K911" s="829"/>
      <c r="L911" s="829"/>
      <c r="M911" s="829"/>
      <c r="N911" s="829"/>
      <c r="O911" s="829"/>
      <c r="P911" s="829"/>
      <c r="Q911" s="829"/>
      <c r="R911" s="829"/>
      <c r="S911" s="829"/>
      <c r="T911" s="829"/>
      <c r="U911" s="829"/>
      <c r="V911" s="829"/>
      <c r="W911" s="829"/>
      <c r="X911" s="829"/>
      <c r="Y911" s="829"/>
      <c r="Z911" s="829"/>
      <c r="AA911" s="829"/>
      <c r="AB911" s="829"/>
      <c r="AC911" s="829"/>
      <c r="AD911" s="829"/>
      <c r="AE911" s="829"/>
      <c r="AF911" s="829"/>
      <c r="AG911" s="829"/>
      <c r="AH911" s="829"/>
      <c r="AI911" s="829"/>
      <c r="AJ911" s="829"/>
      <c r="AK911" s="829"/>
      <c r="AL911" s="829"/>
      <c r="AM911" s="829"/>
      <c r="AN911" s="829"/>
    </row>
    <row r="912" spans="1:40" ht="12.75" x14ac:dyDescent="0.2">
      <c r="A912" s="829"/>
      <c r="B912" s="829"/>
      <c r="C912" s="829"/>
      <c r="D912" s="829"/>
      <c r="E912" s="829"/>
      <c r="F912" s="829"/>
      <c r="G912" s="829"/>
      <c r="H912" s="829"/>
      <c r="I912" s="829"/>
      <c r="J912" s="829"/>
      <c r="K912" s="829"/>
      <c r="L912" s="829"/>
      <c r="M912" s="829"/>
      <c r="N912" s="829"/>
      <c r="O912" s="829"/>
      <c r="P912" s="829"/>
      <c r="Q912" s="829"/>
      <c r="R912" s="829"/>
      <c r="S912" s="829"/>
      <c r="T912" s="829"/>
      <c r="U912" s="829"/>
      <c r="V912" s="829"/>
      <c r="W912" s="829"/>
      <c r="X912" s="829"/>
      <c r="Y912" s="829"/>
      <c r="Z912" s="829"/>
      <c r="AA912" s="829"/>
      <c r="AB912" s="829"/>
      <c r="AC912" s="829"/>
      <c r="AD912" s="829"/>
      <c r="AE912" s="829"/>
      <c r="AF912" s="829"/>
      <c r="AG912" s="829"/>
      <c r="AH912" s="829"/>
      <c r="AI912" s="829"/>
      <c r="AJ912" s="829"/>
      <c r="AK912" s="829"/>
      <c r="AL912" s="829"/>
      <c r="AM912" s="829"/>
      <c r="AN912" s="829"/>
    </row>
    <row r="913" spans="1:40" ht="12.75" x14ac:dyDescent="0.2">
      <c r="A913" s="829"/>
      <c r="B913" s="829"/>
      <c r="C913" s="829"/>
      <c r="D913" s="829"/>
      <c r="E913" s="829"/>
      <c r="F913" s="829"/>
      <c r="G913" s="829"/>
      <c r="H913" s="829"/>
      <c r="I913" s="829"/>
      <c r="J913" s="829"/>
      <c r="K913" s="829"/>
      <c r="L913" s="829"/>
      <c r="M913" s="829"/>
      <c r="N913" s="829"/>
      <c r="O913" s="829"/>
      <c r="P913" s="829"/>
      <c r="Q913" s="829"/>
      <c r="R913" s="829"/>
      <c r="S913" s="829"/>
      <c r="T913" s="829"/>
      <c r="U913" s="829"/>
      <c r="V913" s="829"/>
      <c r="W913" s="829"/>
      <c r="X913" s="829"/>
      <c r="Y913" s="829"/>
      <c r="Z913" s="829"/>
      <c r="AA913" s="829"/>
      <c r="AB913" s="829"/>
      <c r="AC913" s="829"/>
      <c r="AD913" s="829"/>
      <c r="AE913" s="829"/>
      <c r="AF913" s="829"/>
      <c r="AG913" s="829"/>
      <c r="AH913" s="829"/>
      <c r="AI913" s="829"/>
      <c r="AJ913" s="829"/>
      <c r="AK913" s="829"/>
      <c r="AL913" s="829"/>
      <c r="AM913" s="829"/>
      <c r="AN913" s="829"/>
    </row>
    <row r="914" spans="1:40" ht="12.75" x14ac:dyDescent="0.2">
      <c r="A914" s="829"/>
      <c r="B914" s="829"/>
      <c r="C914" s="829"/>
      <c r="D914" s="829"/>
      <c r="E914" s="829"/>
      <c r="F914" s="829"/>
      <c r="G914" s="829"/>
      <c r="H914" s="829"/>
      <c r="I914" s="829"/>
      <c r="J914" s="829"/>
      <c r="K914" s="829"/>
      <c r="L914" s="829"/>
      <c r="M914" s="829"/>
      <c r="N914" s="829"/>
      <c r="O914" s="829"/>
      <c r="P914" s="829"/>
      <c r="Q914" s="829"/>
      <c r="R914" s="829"/>
      <c r="S914" s="829"/>
      <c r="T914" s="829"/>
      <c r="U914" s="829"/>
      <c r="V914" s="829"/>
      <c r="W914" s="829"/>
      <c r="X914" s="829"/>
      <c r="Y914" s="829"/>
      <c r="Z914" s="829"/>
      <c r="AA914" s="829"/>
      <c r="AB914" s="829"/>
      <c r="AC914" s="829"/>
      <c r="AD914" s="829"/>
      <c r="AE914" s="829"/>
      <c r="AF914" s="829"/>
      <c r="AG914" s="829"/>
      <c r="AH914" s="829"/>
      <c r="AI914" s="829"/>
      <c r="AJ914" s="829"/>
      <c r="AK914" s="829"/>
      <c r="AL914" s="829"/>
      <c r="AM914" s="829"/>
      <c r="AN914" s="829"/>
    </row>
    <row r="915" spans="1:40" ht="12.75" x14ac:dyDescent="0.2">
      <c r="A915" s="829"/>
      <c r="B915" s="829"/>
      <c r="C915" s="829"/>
      <c r="D915" s="829"/>
      <c r="E915" s="829"/>
      <c r="F915" s="829"/>
      <c r="G915" s="829"/>
      <c r="H915" s="829"/>
      <c r="I915" s="829"/>
      <c r="J915" s="829"/>
      <c r="K915" s="829"/>
      <c r="L915" s="829"/>
      <c r="M915" s="829"/>
      <c r="N915" s="829"/>
      <c r="O915" s="829"/>
      <c r="P915" s="829"/>
      <c r="Q915" s="829"/>
      <c r="R915" s="829"/>
      <c r="S915" s="829"/>
      <c r="T915" s="829"/>
      <c r="U915" s="829"/>
      <c r="V915" s="829"/>
      <c r="W915" s="829"/>
      <c r="X915" s="829"/>
      <c r="Y915" s="829"/>
      <c r="Z915" s="829"/>
      <c r="AA915" s="829"/>
      <c r="AB915" s="829"/>
      <c r="AC915" s="829"/>
      <c r="AD915" s="829"/>
      <c r="AE915" s="829"/>
      <c r="AF915" s="829"/>
      <c r="AG915" s="829"/>
      <c r="AH915" s="829"/>
      <c r="AI915" s="829"/>
      <c r="AJ915" s="829"/>
      <c r="AK915" s="829"/>
      <c r="AL915" s="829"/>
      <c r="AM915" s="829"/>
      <c r="AN915" s="829"/>
    </row>
    <row r="916" spans="1:40" ht="12.75" x14ac:dyDescent="0.2">
      <c r="A916" s="829"/>
      <c r="B916" s="829"/>
      <c r="C916" s="829"/>
      <c r="D916" s="829"/>
      <c r="E916" s="829"/>
      <c r="F916" s="829"/>
      <c r="G916" s="829"/>
      <c r="H916" s="829"/>
      <c r="I916" s="829"/>
      <c r="J916" s="829"/>
      <c r="K916" s="829"/>
      <c r="L916" s="829"/>
      <c r="M916" s="829"/>
      <c r="N916" s="829"/>
      <c r="O916" s="829"/>
      <c r="P916" s="829"/>
      <c r="Q916" s="829"/>
      <c r="R916" s="829"/>
      <c r="S916" s="829"/>
      <c r="T916" s="829"/>
      <c r="U916" s="829"/>
      <c r="V916" s="829"/>
      <c r="W916" s="829"/>
      <c r="X916" s="829"/>
      <c r="Y916" s="829"/>
      <c r="Z916" s="829"/>
      <c r="AA916" s="829"/>
      <c r="AB916" s="829"/>
      <c r="AC916" s="829"/>
      <c r="AD916" s="829"/>
      <c r="AE916" s="829"/>
      <c r="AF916" s="829"/>
      <c r="AG916" s="829"/>
      <c r="AH916" s="829"/>
      <c r="AI916" s="829"/>
      <c r="AJ916" s="829"/>
      <c r="AK916" s="829"/>
      <c r="AL916" s="829"/>
      <c r="AM916" s="829"/>
      <c r="AN916" s="829"/>
    </row>
    <row r="917" spans="1:40" ht="12.75" x14ac:dyDescent="0.2">
      <c r="A917" s="829"/>
      <c r="B917" s="829"/>
      <c r="C917" s="829"/>
      <c r="D917" s="829"/>
      <c r="E917" s="829"/>
      <c r="F917" s="829"/>
      <c r="G917" s="829"/>
      <c r="H917" s="829"/>
      <c r="I917" s="829"/>
      <c r="J917" s="829"/>
      <c r="K917" s="829"/>
      <c r="L917" s="829"/>
      <c r="M917" s="829"/>
      <c r="N917" s="829"/>
      <c r="O917" s="829"/>
      <c r="P917" s="829"/>
      <c r="Q917" s="829"/>
      <c r="R917" s="829"/>
      <c r="S917" s="829"/>
      <c r="T917" s="829"/>
      <c r="U917" s="829"/>
      <c r="V917" s="829"/>
      <c r="W917" s="829"/>
      <c r="X917" s="829"/>
      <c r="Y917" s="829"/>
      <c r="Z917" s="829"/>
      <c r="AA917" s="829"/>
      <c r="AB917" s="829"/>
      <c r="AC917" s="829"/>
      <c r="AD917" s="829"/>
      <c r="AE917" s="829"/>
      <c r="AF917" s="829"/>
      <c r="AG917" s="829"/>
      <c r="AH917" s="829"/>
      <c r="AI917" s="829"/>
      <c r="AJ917" s="829"/>
      <c r="AK917" s="829"/>
      <c r="AL917" s="829"/>
      <c r="AM917" s="829"/>
      <c r="AN917" s="829"/>
    </row>
    <row r="918" spans="1:40" ht="12.75" x14ac:dyDescent="0.2">
      <c r="A918" s="829"/>
      <c r="B918" s="829"/>
      <c r="C918" s="829"/>
      <c r="D918" s="829"/>
      <c r="E918" s="829"/>
      <c r="F918" s="829"/>
      <c r="G918" s="829"/>
      <c r="H918" s="829"/>
      <c r="I918" s="829"/>
      <c r="J918" s="829"/>
      <c r="K918" s="829"/>
      <c r="L918" s="829"/>
      <c r="M918" s="829"/>
      <c r="N918" s="829"/>
      <c r="O918" s="829"/>
      <c r="P918" s="829"/>
      <c r="Q918" s="829"/>
      <c r="R918" s="829"/>
      <c r="S918" s="829"/>
      <c r="T918" s="829"/>
      <c r="U918" s="829"/>
      <c r="V918" s="829"/>
      <c r="W918" s="829"/>
      <c r="X918" s="829"/>
      <c r="Y918" s="829"/>
      <c r="Z918" s="829"/>
      <c r="AA918" s="829"/>
      <c r="AB918" s="829"/>
      <c r="AC918" s="829"/>
      <c r="AD918" s="829"/>
      <c r="AE918" s="829"/>
      <c r="AF918" s="829"/>
      <c r="AG918" s="829"/>
      <c r="AH918" s="829"/>
      <c r="AI918" s="829"/>
      <c r="AJ918" s="829"/>
      <c r="AK918" s="829"/>
      <c r="AL918" s="829"/>
      <c r="AM918" s="829"/>
      <c r="AN918" s="829"/>
    </row>
    <row r="919" spans="1:40" ht="12.75" x14ac:dyDescent="0.2">
      <c r="A919" s="829"/>
      <c r="B919" s="829"/>
      <c r="C919" s="829"/>
      <c r="D919" s="829"/>
      <c r="E919" s="829"/>
      <c r="F919" s="829"/>
      <c r="G919" s="829"/>
      <c r="H919" s="829"/>
      <c r="I919" s="829"/>
      <c r="J919" s="829"/>
      <c r="K919" s="829"/>
      <c r="L919" s="829"/>
      <c r="M919" s="829"/>
      <c r="N919" s="829"/>
      <c r="O919" s="829"/>
      <c r="P919" s="829"/>
      <c r="Q919" s="829"/>
      <c r="R919" s="829"/>
      <c r="S919" s="829"/>
      <c r="T919" s="829"/>
      <c r="U919" s="829"/>
      <c r="V919" s="829"/>
      <c r="W919" s="829"/>
      <c r="X919" s="829"/>
      <c r="Y919" s="829"/>
      <c r="Z919" s="829"/>
      <c r="AA919" s="829"/>
      <c r="AB919" s="829"/>
      <c r="AC919" s="829"/>
      <c r="AD919" s="829"/>
      <c r="AE919" s="829"/>
      <c r="AF919" s="829"/>
      <c r="AG919" s="829"/>
      <c r="AH919" s="829"/>
      <c r="AI919" s="829"/>
      <c r="AJ919" s="829"/>
      <c r="AK919" s="829"/>
      <c r="AL919" s="829"/>
      <c r="AM919" s="829"/>
      <c r="AN919" s="829"/>
    </row>
    <row r="920" spans="1:40" ht="12.75" x14ac:dyDescent="0.2">
      <c r="A920" s="829"/>
      <c r="B920" s="829"/>
      <c r="C920" s="829"/>
      <c r="D920" s="829"/>
      <c r="E920" s="829"/>
      <c r="F920" s="829"/>
      <c r="G920" s="829"/>
      <c r="H920" s="829"/>
      <c r="I920" s="829"/>
      <c r="J920" s="829"/>
      <c r="K920" s="829"/>
      <c r="L920" s="829"/>
      <c r="M920" s="829"/>
      <c r="N920" s="829"/>
      <c r="O920" s="829"/>
      <c r="P920" s="829"/>
      <c r="Q920" s="829"/>
      <c r="R920" s="829"/>
      <c r="S920" s="829"/>
      <c r="T920" s="829"/>
      <c r="U920" s="829"/>
      <c r="V920" s="829"/>
      <c r="W920" s="829"/>
      <c r="X920" s="829"/>
      <c r="Y920" s="829"/>
      <c r="Z920" s="829"/>
      <c r="AA920" s="829"/>
      <c r="AB920" s="829"/>
      <c r="AC920" s="829"/>
      <c r="AD920" s="829"/>
      <c r="AE920" s="829"/>
      <c r="AF920" s="829"/>
      <c r="AG920" s="829"/>
      <c r="AH920" s="829"/>
      <c r="AI920" s="829"/>
      <c r="AJ920" s="829"/>
      <c r="AK920" s="829"/>
      <c r="AL920" s="829"/>
      <c r="AM920" s="829"/>
      <c r="AN920" s="829"/>
    </row>
    <row r="921" spans="1:40" ht="12.75" x14ac:dyDescent="0.2">
      <c r="A921" s="829"/>
      <c r="B921" s="829"/>
      <c r="C921" s="829"/>
      <c r="D921" s="829"/>
      <c r="E921" s="829"/>
      <c r="F921" s="829"/>
      <c r="G921" s="829"/>
      <c r="H921" s="829"/>
      <c r="I921" s="829"/>
      <c r="J921" s="829"/>
      <c r="K921" s="829"/>
      <c r="L921" s="829"/>
      <c r="M921" s="829"/>
      <c r="N921" s="829"/>
      <c r="O921" s="829"/>
      <c r="P921" s="829"/>
      <c r="Q921" s="829"/>
      <c r="R921" s="829"/>
      <c r="S921" s="829"/>
      <c r="T921" s="829"/>
      <c r="U921" s="829"/>
      <c r="V921" s="829"/>
      <c r="W921" s="829"/>
      <c r="X921" s="829"/>
      <c r="Y921" s="829"/>
      <c r="Z921" s="829"/>
      <c r="AA921" s="829"/>
      <c r="AB921" s="829"/>
      <c r="AC921" s="829"/>
      <c r="AD921" s="829"/>
      <c r="AE921" s="829"/>
      <c r="AF921" s="829"/>
      <c r="AG921" s="829"/>
      <c r="AH921" s="829"/>
      <c r="AI921" s="829"/>
      <c r="AJ921" s="829"/>
      <c r="AK921" s="829"/>
      <c r="AL921" s="829"/>
      <c r="AM921" s="829"/>
      <c r="AN921" s="829"/>
    </row>
    <row r="922" spans="1:40" ht="12.75" x14ac:dyDescent="0.2">
      <c r="A922" s="829"/>
      <c r="B922" s="829"/>
      <c r="C922" s="829"/>
      <c r="D922" s="829"/>
      <c r="E922" s="829"/>
      <c r="F922" s="829"/>
      <c r="G922" s="829"/>
      <c r="H922" s="829"/>
      <c r="I922" s="829"/>
      <c r="J922" s="829"/>
      <c r="K922" s="829"/>
      <c r="L922" s="829"/>
      <c r="M922" s="829"/>
      <c r="N922" s="829"/>
      <c r="O922" s="829"/>
      <c r="P922" s="829"/>
      <c r="Q922" s="829"/>
      <c r="R922" s="829"/>
      <c r="S922" s="829"/>
      <c r="T922" s="829"/>
      <c r="U922" s="829"/>
      <c r="V922" s="829"/>
      <c r="W922" s="829"/>
      <c r="X922" s="829"/>
      <c r="Y922" s="829"/>
      <c r="Z922" s="829"/>
      <c r="AA922" s="829"/>
      <c r="AB922" s="829"/>
      <c r="AC922" s="829"/>
      <c r="AD922" s="829"/>
      <c r="AE922" s="829"/>
      <c r="AF922" s="829"/>
      <c r="AG922" s="829"/>
      <c r="AH922" s="829"/>
      <c r="AI922" s="829"/>
      <c r="AJ922" s="829"/>
      <c r="AK922" s="829"/>
      <c r="AL922" s="829"/>
      <c r="AM922" s="829"/>
      <c r="AN922" s="829"/>
    </row>
    <row r="923" spans="1:40" ht="12.75" x14ac:dyDescent="0.2">
      <c r="A923" s="829"/>
      <c r="B923" s="829"/>
      <c r="C923" s="829"/>
      <c r="D923" s="829"/>
      <c r="E923" s="829"/>
      <c r="F923" s="829"/>
      <c r="G923" s="829"/>
      <c r="H923" s="829"/>
      <c r="I923" s="829"/>
      <c r="J923" s="829"/>
      <c r="K923" s="829"/>
      <c r="L923" s="829"/>
      <c r="M923" s="829"/>
      <c r="N923" s="829"/>
      <c r="O923" s="829"/>
      <c r="P923" s="829"/>
      <c r="Q923" s="829"/>
      <c r="R923" s="829"/>
      <c r="S923" s="829"/>
      <c r="T923" s="829"/>
      <c r="U923" s="829"/>
      <c r="V923" s="829"/>
      <c r="W923" s="829"/>
      <c r="X923" s="829"/>
      <c r="Y923" s="829"/>
      <c r="Z923" s="829"/>
      <c r="AA923" s="829"/>
      <c r="AB923" s="829"/>
      <c r="AC923" s="829"/>
      <c r="AD923" s="829"/>
      <c r="AE923" s="829"/>
      <c r="AF923" s="829"/>
      <c r="AG923" s="829"/>
      <c r="AH923" s="829"/>
      <c r="AI923" s="829"/>
      <c r="AJ923" s="829"/>
      <c r="AK923" s="829"/>
      <c r="AL923" s="829"/>
      <c r="AM923" s="829"/>
      <c r="AN923" s="829"/>
    </row>
    <row r="924" spans="1:40" ht="12.75" x14ac:dyDescent="0.2">
      <c r="A924" s="829"/>
      <c r="B924" s="829"/>
      <c r="C924" s="829"/>
      <c r="D924" s="829"/>
      <c r="E924" s="829"/>
      <c r="F924" s="829"/>
      <c r="G924" s="829"/>
      <c r="H924" s="829"/>
      <c r="I924" s="829"/>
      <c r="J924" s="829"/>
      <c r="K924" s="829"/>
      <c r="L924" s="829"/>
      <c r="M924" s="829"/>
      <c r="N924" s="829"/>
      <c r="O924" s="829"/>
      <c r="P924" s="829"/>
      <c r="Q924" s="829"/>
      <c r="R924" s="829"/>
      <c r="S924" s="829"/>
      <c r="T924" s="829"/>
      <c r="U924" s="829"/>
      <c r="V924" s="829"/>
      <c r="W924" s="829"/>
      <c r="X924" s="829"/>
      <c r="Y924" s="829"/>
      <c r="Z924" s="829"/>
      <c r="AA924" s="829"/>
      <c r="AB924" s="829"/>
      <c r="AC924" s="829"/>
      <c r="AD924" s="829"/>
      <c r="AE924" s="829"/>
      <c r="AF924" s="829"/>
      <c r="AG924" s="829"/>
      <c r="AH924" s="829"/>
      <c r="AI924" s="829"/>
      <c r="AJ924" s="829"/>
      <c r="AK924" s="829"/>
      <c r="AL924" s="829"/>
      <c r="AM924" s="829"/>
      <c r="AN924" s="829"/>
    </row>
    <row r="925" spans="1:40" ht="12.75" x14ac:dyDescent="0.2">
      <c r="A925" s="829"/>
      <c r="B925" s="829"/>
      <c r="C925" s="829"/>
      <c r="D925" s="829"/>
      <c r="E925" s="829"/>
      <c r="F925" s="829"/>
      <c r="G925" s="829"/>
      <c r="H925" s="829"/>
      <c r="I925" s="829"/>
      <c r="J925" s="829"/>
      <c r="K925" s="829"/>
      <c r="L925" s="829"/>
      <c r="M925" s="829"/>
      <c r="N925" s="829"/>
      <c r="O925" s="829"/>
      <c r="P925" s="829"/>
      <c r="Q925" s="829"/>
      <c r="R925" s="829"/>
      <c r="S925" s="829"/>
      <c r="T925" s="829"/>
      <c r="U925" s="829"/>
      <c r="V925" s="829"/>
      <c r="W925" s="829"/>
      <c r="X925" s="829"/>
      <c r="Y925" s="829"/>
      <c r="Z925" s="829"/>
      <c r="AA925" s="829"/>
      <c r="AB925" s="829"/>
      <c r="AC925" s="829"/>
      <c r="AD925" s="829"/>
      <c r="AE925" s="829"/>
      <c r="AF925" s="829"/>
      <c r="AG925" s="829"/>
      <c r="AH925" s="829"/>
      <c r="AI925" s="829"/>
      <c r="AJ925" s="829"/>
      <c r="AK925" s="829"/>
      <c r="AL925" s="829"/>
      <c r="AM925" s="829"/>
      <c r="AN925" s="829"/>
    </row>
    <row r="926" spans="1:40" ht="12.75" x14ac:dyDescent="0.2">
      <c r="A926" s="829"/>
      <c r="B926" s="829"/>
      <c r="C926" s="829"/>
      <c r="D926" s="829"/>
      <c r="E926" s="829"/>
      <c r="F926" s="829"/>
      <c r="G926" s="829"/>
      <c r="H926" s="829"/>
      <c r="I926" s="829"/>
      <c r="J926" s="829"/>
      <c r="K926" s="829"/>
      <c r="L926" s="829"/>
      <c r="M926" s="829"/>
      <c r="N926" s="829"/>
      <c r="O926" s="829"/>
      <c r="P926" s="829"/>
      <c r="Q926" s="829"/>
      <c r="R926" s="829"/>
      <c r="S926" s="829"/>
      <c r="T926" s="829"/>
      <c r="U926" s="829"/>
      <c r="V926" s="829"/>
      <c r="W926" s="829"/>
      <c r="X926" s="829"/>
      <c r="Y926" s="829"/>
      <c r="Z926" s="829"/>
      <c r="AA926" s="829"/>
      <c r="AB926" s="829"/>
      <c r="AC926" s="829"/>
      <c r="AD926" s="829"/>
      <c r="AE926" s="829"/>
      <c r="AF926" s="829"/>
      <c r="AG926" s="829"/>
      <c r="AH926" s="829"/>
      <c r="AI926" s="829"/>
      <c r="AJ926" s="829"/>
      <c r="AK926" s="829"/>
      <c r="AL926" s="829"/>
      <c r="AM926" s="829"/>
      <c r="AN926" s="829"/>
    </row>
    <row r="927" spans="1:40" ht="12.75" x14ac:dyDescent="0.2">
      <c r="A927" s="829"/>
      <c r="B927" s="829"/>
      <c r="C927" s="829"/>
      <c r="D927" s="829"/>
      <c r="E927" s="829"/>
      <c r="F927" s="829"/>
      <c r="G927" s="829"/>
      <c r="H927" s="829"/>
      <c r="I927" s="829"/>
      <c r="J927" s="829"/>
      <c r="K927" s="829"/>
      <c r="L927" s="829"/>
      <c r="M927" s="829"/>
      <c r="N927" s="829"/>
      <c r="O927" s="829"/>
      <c r="P927" s="829"/>
      <c r="Q927" s="829"/>
      <c r="R927" s="829"/>
      <c r="S927" s="829"/>
      <c r="T927" s="829"/>
      <c r="U927" s="829"/>
      <c r="V927" s="829"/>
      <c r="W927" s="829"/>
      <c r="X927" s="829"/>
      <c r="Y927" s="829"/>
      <c r="Z927" s="829"/>
      <c r="AA927" s="829"/>
      <c r="AB927" s="829"/>
      <c r="AC927" s="829"/>
      <c r="AD927" s="829"/>
      <c r="AE927" s="829"/>
      <c r="AF927" s="829"/>
      <c r="AG927" s="829"/>
      <c r="AH927" s="829"/>
      <c r="AI927" s="829"/>
      <c r="AJ927" s="829"/>
      <c r="AK927" s="829"/>
      <c r="AL927" s="829"/>
      <c r="AM927" s="829"/>
      <c r="AN927" s="829"/>
    </row>
    <row r="928" spans="1:40" ht="12.75" x14ac:dyDescent="0.2">
      <c r="A928" s="829"/>
      <c r="B928" s="829"/>
      <c r="C928" s="829"/>
      <c r="D928" s="829"/>
      <c r="E928" s="829"/>
      <c r="F928" s="829"/>
      <c r="G928" s="829"/>
      <c r="H928" s="829"/>
      <c r="I928" s="829"/>
      <c r="J928" s="829"/>
      <c r="K928" s="829"/>
      <c r="L928" s="829"/>
      <c r="M928" s="829"/>
      <c r="N928" s="829"/>
      <c r="O928" s="829"/>
      <c r="P928" s="829"/>
      <c r="Q928" s="829"/>
      <c r="R928" s="829"/>
      <c r="S928" s="829"/>
      <c r="T928" s="829"/>
      <c r="U928" s="829"/>
      <c r="V928" s="829"/>
      <c r="W928" s="829"/>
      <c r="X928" s="829"/>
      <c r="Y928" s="829"/>
      <c r="Z928" s="829"/>
      <c r="AA928" s="829"/>
      <c r="AB928" s="829"/>
      <c r="AC928" s="829"/>
      <c r="AD928" s="829"/>
      <c r="AE928" s="829"/>
      <c r="AF928" s="829"/>
      <c r="AG928" s="829"/>
      <c r="AH928" s="829"/>
      <c r="AI928" s="829"/>
      <c r="AJ928" s="829"/>
      <c r="AK928" s="829"/>
      <c r="AL928" s="829"/>
      <c r="AM928" s="829"/>
      <c r="AN928" s="829"/>
    </row>
    <row r="929" spans="1:40" ht="12.75" x14ac:dyDescent="0.2">
      <c r="A929" s="829"/>
      <c r="B929" s="829"/>
      <c r="C929" s="829"/>
      <c r="D929" s="829"/>
      <c r="E929" s="829"/>
      <c r="F929" s="829"/>
      <c r="G929" s="829"/>
      <c r="H929" s="829"/>
      <c r="I929" s="829"/>
      <c r="J929" s="829"/>
      <c r="K929" s="829"/>
      <c r="L929" s="829"/>
      <c r="M929" s="829"/>
      <c r="N929" s="829"/>
      <c r="O929" s="829"/>
      <c r="P929" s="829"/>
      <c r="Q929" s="829"/>
      <c r="R929" s="829"/>
      <c r="S929" s="829"/>
      <c r="T929" s="829"/>
      <c r="U929" s="829"/>
      <c r="V929" s="829"/>
      <c r="W929" s="829"/>
      <c r="X929" s="829"/>
      <c r="Y929" s="829"/>
      <c r="Z929" s="829"/>
      <c r="AA929" s="829"/>
      <c r="AB929" s="829"/>
      <c r="AC929" s="829"/>
      <c r="AD929" s="829"/>
      <c r="AE929" s="829"/>
      <c r="AF929" s="829"/>
      <c r="AG929" s="829"/>
      <c r="AH929" s="829"/>
      <c r="AI929" s="829"/>
      <c r="AJ929" s="829"/>
      <c r="AK929" s="829"/>
      <c r="AL929" s="829"/>
      <c r="AM929" s="829"/>
      <c r="AN929" s="829"/>
    </row>
    <row r="930" spans="1:40" ht="12.75" x14ac:dyDescent="0.2">
      <c r="A930" s="829"/>
      <c r="B930" s="829"/>
      <c r="C930" s="829"/>
      <c r="D930" s="829"/>
      <c r="E930" s="829"/>
      <c r="F930" s="829"/>
      <c r="G930" s="829"/>
      <c r="H930" s="829"/>
      <c r="I930" s="829"/>
      <c r="J930" s="829"/>
      <c r="K930" s="829"/>
      <c r="L930" s="829"/>
      <c r="M930" s="829"/>
      <c r="N930" s="829"/>
      <c r="O930" s="829"/>
      <c r="P930" s="829"/>
      <c r="Q930" s="829"/>
      <c r="R930" s="829"/>
      <c r="S930" s="829"/>
      <c r="T930" s="829"/>
      <c r="U930" s="829"/>
      <c r="V930" s="829"/>
      <c r="W930" s="829"/>
      <c r="X930" s="829"/>
      <c r="Y930" s="829"/>
      <c r="Z930" s="829"/>
      <c r="AA930" s="829"/>
      <c r="AB930" s="829"/>
      <c r="AC930" s="829"/>
      <c r="AD930" s="829"/>
      <c r="AE930" s="829"/>
      <c r="AF930" s="829"/>
      <c r="AG930" s="829"/>
      <c r="AH930" s="829"/>
      <c r="AI930" s="829"/>
      <c r="AJ930" s="829"/>
      <c r="AK930" s="829"/>
      <c r="AL930" s="829"/>
      <c r="AM930" s="829"/>
      <c r="AN930" s="829"/>
    </row>
    <row r="931" spans="1:40" ht="12.75" x14ac:dyDescent="0.2">
      <c r="A931" s="829"/>
      <c r="B931" s="829"/>
      <c r="C931" s="829"/>
      <c r="D931" s="829"/>
      <c r="E931" s="829"/>
      <c r="F931" s="829"/>
      <c r="G931" s="829"/>
      <c r="H931" s="829"/>
      <c r="I931" s="829"/>
      <c r="J931" s="829"/>
      <c r="K931" s="829"/>
      <c r="L931" s="829"/>
      <c r="M931" s="829"/>
      <c r="N931" s="829"/>
      <c r="O931" s="829"/>
      <c r="P931" s="829"/>
      <c r="Q931" s="829"/>
      <c r="R931" s="829"/>
      <c r="S931" s="829"/>
      <c r="T931" s="829"/>
      <c r="U931" s="829"/>
      <c r="V931" s="829"/>
      <c r="W931" s="829"/>
      <c r="X931" s="829"/>
      <c r="Y931" s="829"/>
      <c r="Z931" s="829"/>
      <c r="AA931" s="829"/>
      <c r="AB931" s="829"/>
      <c r="AC931" s="829"/>
      <c r="AD931" s="829"/>
      <c r="AE931" s="829"/>
      <c r="AF931" s="829"/>
      <c r="AG931" s="829"/>
      <c r="AH931" s="829"/>
      <c r="AI931" s="829"/>
      <c r="AJ931" s="829"/>
      <c r="AK931" s="829"/>
      <c r="AL931" s="829"/>
      <c r="AM931" s="829"/>
      <c r="AN931" s="829"/>
    </row>
    <row r="932" spans="1:40" ht="12.75" x14ac:dyDescent="0.2">
      <c r="A932" s="829"/>
      <c r="B932" s="829"/>
      <c r="C932" s="829"/>
      <c r="D932" s="829"/>
      <c r="E932" s="829"/>
      <c r="F932" s="829"/>
      <c r="G932" s="829"/>
      <c r="H932" s="829"/>
      <c r="I932" s="829"/>
      <c r="J932" s="829"/>
      <c r="K932" s="829"/>
      <c r="L932" s="829"/>
      <c r="M932" s="829"/>
      <c r="N932" s="829"/>
      <c r="O932" s="829"/>
      <c r="P932" s="829"/>
      <c r="Q932" s="829"/>
      <c r="R932" s="829"/>
      <c r="S932" s="829"/>
      <c r="T932" s="829"/>
      <c r="U932" s="829"/>
      <c r="V932" s="829"/>
      <c r="W932" s="829"/>
      <c r="X932" s="829"/>
      <c r="Y932" s="829"/>
      <c r="Z932" s="829"/>
      <c r="AA932" s="829"/>
      <c r="AB932" s="829"/>
      <c r="AC932" s="829"/>
      <c r="AD932" s="829"/>
      <c r="AE932" s="829"/>
      <c r="AF932" s="829"/>
      <c r="AG932" s="829"/>
      <c r="AH932" s="829"/>
      <c r="AI932" s="829"/>
      <c r="AJ932" s="829"/>
      <c r="AK932" s="829"/>
      <c r="AL932" s="829"/>
      <c r="AM932" s="829"/>
      <c r="AN932" s="829"/>
    </row>
    <row r="933" spans="1:40" ht="12.75" x14ac:dyDescent="0.2">
      <c r="A933" s="829"/>
      <c r="B933" s="829"/>
      <c r="C933" s="829"/>
      <c r="D933" s="829"/>
      <c r="E933" s="829"/>
      <c r="F933" s="829"/>
      <c r="G933" s="829"/>
      <c r="H933" s="829"/>
      <c r="I933" s="829"/>
      <c r="J933" s="829"/>
      <c r="K933" s="829"/>
      <c r="L933" s="829"/>
      <c r="M933" s="829"/>
      <c r="N933" s="829"/>
      <c r="O933" s="829"/>
      <c r="P933" s="829"/>
      <c r="Q933" s="829"/>
      <c r="R933" s="829"/>
      <c r="S933" s="829"/>
      <c r="T933" s="829"/>
      <c r="U933" s="829"/>
      <c r="V933" s="829"/>
      <c r="W933" s="829"/>
      <c r="X933" s="829"/>
      <c r="Y933" s="829"/>
      <c r="Z933" s="829"/>
      <c r="AA933" s="829"/>
      <c r="AB933" s="829"/>
      <c r="AC933" s="829"/>
      <c r="AD933" s="829"/>
      <c r="AE933" s="829"/>
      <c r="AF933" s="829"/>
      <c r="AG933" s="829"/>
      <c r="AH933" s="829"/>
      <c r="AI933" s="829"/>
      <c r="AJ933" s="829"/>
      <c r="AK933" s="829"/>
      <c r="AL933" s="829"/>
      <c r="AM933" s="829"/>
      <c r="AN933" s="829"/>
    </row>
    <row r="934" spans="1:40" ht="12.75" x14ac:dyDescent="0.2">
      <c r="A934" s="829"/>
      <c r="B934" s="829"/>
      <c r="C934" s="829"/>
      <c r="D934" s="829"/>
      <c r="E934" s="829"/>
      <c r="F934" s="829"/>
      <c r="G934" s="829"/>
      <c r="H934" s="829"/>
      <c r="I934" s="829"/>
      <c r="J934" s="829"/>
      <c r="K934" s="829"/>
      <c r="L934" s="829"/>
      <c r="M934" s="829"/>
      <c r="N934" s="829"/>
      <c r="O934" s="829"/>
      <c r="P934" s="829"/>
      <c r="Q934" s="829"/>
      <c r="R934" s="829"/>
      <c r="S934" s="829"/>
      <c r="T934" s="829"/>
      <c r="U934" s="829"/>
      <c r="V934" s="829"/>
      <c r="W934" s="829"/>
      <c r="X934" s="829"/>
      <c r="Y934" s="829"/>
      <c r="Z934" s="829"/>
      <c r="AA934" s="829"/>
      <c r="AB934" s="829"/>
      <c r="AC934" s="829"/>
      <c r="AD934" s="829"/>
      <c r="AE934" s="829"/>
      <c r="AF934" s="829"/>
      <c r="AG934" s="829"/>
      <c r="AH934" s="829"/>
      <c r="AI934" s="829"/>
      <c r="AJ934" s="829"/>
      <c r="AK934" s="829"/>
      <c r="AL934" s="829"/>
      <c r="AM934" s="829"/>
      <c r="AN934" s="829"/>
    </row>
    <row r="935" spans="1:40" ht="12.75" x14ac:dyDescent="0.2">
      <c r="A935" s="829"/>
      <c r="B935" s="829"/>
      <c r="C935" s="829"/>
      <c r="D935" s="829"/>
      <c r="E935" s="829"/>
      <c r="F935" s="829"/>
      <c r="G935" s="829"/>
      <c r="H935" s="829"/>
      <c r="I935" s="829"/>
      <c r="J935" s="829"/>
      <c r="K935" s="829"/>
      <c r="L935" s="829"/>
      <c r="M935" s="829"/>
      <c r="N935" s="829"/>
      <c r="O935" s="829"/>
      <c r="P935" s="829"/>
      <c r="Q935" s="829"/>
      <c r="R935" s="829"/>
      <c r="S935" s="829"/>
      <c r="T935" s="829"/>
      <c r="U935" s="829"/>
      <c r="V935" s="829"/>
      <c r="W935" s="829"/>
      <c r="X935" s="829"/>
      <c r="Y935" s="829"/>
      <c r="Z935" s="829"/>
      <c r="AA935" s="829"/>
      <c r="AB935" s="829"/>
      <c r="AC935" s="829"/>
      <c r="AD935" s="829"/>
      <c r="AE935" s="829"/>
      <c r="AF935" s="829"/>
      <c r="AG935" s="829"/>
      <c r="AH935" s="829"/>
      <c r="AI935" s="829"/>
      <c r="AJ935" s="829"/>
      <c r="AK935" s="829"/>
      <c r="AL935" s="829"/>
      <c r="AM935" s="829"/>
      <c r="AN935" s="829"/>
    </row>
    <row r="936" spans="1:40" ht="12.75" x14ac:dyDescent="0.2">
      <c r="A936" s="829"/>
      <c r="B936" s="829"/>
      <c r="C936" s="829"/>
      <c r="D936" s="829"/>
      <c r="E936" s="829"/>
      <c r="F936" s="829"/>
      <c r="G936" s="829"/>
      <c r="H936" s="829"/>
      <c r="I936" s="829"/>
      <c r="J936" s="829"/>
      <c r="K936" s="829"/>
      <c r="L936" s="829"/>
      <c r="M936" s="829"/>
      <c r="N936" s="829"/>
      <c r="O936" s="829"/>
      <c r="P936" s="829"/>
      <c r="Q936" s="829"/>
      <c r="R936" s="829"/>
      <c r="S936" s="829"/>
      <c r="T936" s="829"/>
      <c r="U936" s="829"/>
      <c r="V936" s="829"/>
      <c r="W936" s="829"/>
      <c r="X936" s="829"/>
      <c r="Y936" s="829"/>
      <c r="Z936" s="829"/>
      <c r="AA936" s="829"/>
      <c r="AB936" s="829"/>
      <c r="AC936" s="829"/>
      <c r="AD936" s="829"/>
      <c r="AE936" s="829"/>
      <c r="AF936" s="829"/>
      <c r="AG936" s="829"/>
      <c r="AH936" s="829"/>
      <c r="AI936" s="829"/>
      <c r="AJ936" s="829"/>
      <c r="AK936" s="829"/>
      <c r="AL936" s="829"/>
      <c r="AM936" s="829"/>
      <c r="AN936" s="829"/>
    </row>
    <row r="937" spans="1:40" ht="12.75" x14ac:dyDescent="0.2">
      <c r="A937" s="829"/>
      <c r="B937" s="829"/>
      <c r="C937" s="829"/>
      <c r="D937" s="829"/>
      <c r="E937" s="829"/>
      <c r="F937" s="829"/>
      <c r="G937" s="829"/>
      <c r="H937" s="829"/>
      <c r="I937" s="829"/>
      <c r="J937" s="829"/>
      <c r="K937" s="829"/>
      <c r="L937" s="829"/>
      <c r="M937" s="829"/>
      <c r="N937" s="829"/>
      <c r="O937" s="829"/>
      <c r="P937" s="829"/>
      <c r="Q937" s="829"/>
      <c r="R937" s="829"/>
      <c r="S937" s="829"/>
      <c r="T937" s="829"/>
      <c r="U937" s="829"/>
      <c r="V937" s="829"/>
      <c r="W937" s="829"/>
      <c r="X937" s="829"/>
      <c r="Y937" s="829"/>
      <c r="Z937" s="829"/>
      <c r="AA937" s="829"/>
      <c r="AB937" s="829"/>
      <c r="AC937" s="829"/>
      <c r="AD937" s="829"/>
      <c r="AE937" s="829"/>
      <c r="AF937" s="829"/>
      <c r="AG937" s="829"/>
      <c r="AH937" s="829"/>
      <c r="AI937" s="829"/>
      <c r="AJ937" s="829"/>
      <c r="AK937" s="829"/>
      <c r="AL937" s="829"/>
      <c r="AM937" s="829"/>
      <c r="AN937" s="829"/>
    </row>
    <row r="938" spans="1:40" ht="12.75" x14ac:dyDescent="0.2">
      <c r="A938" s="829"/>
      <c r="B938" s="829"/>
      <c r="C938" s="829"/>
      <c r="D938" s="829"/>
      <c r="E938" s="829"/>
      <c r="F938" s="829"/>
      <c r="G938" s="829"/>
      <c r="H938" s="829"/>
      <c r="I938" s="829"/>
      <c r="J938" s="829"/>
      <c r="K938" s="829"/>
      <c r="L938" s="829"/>
      <c r="M938" s="829"/>
      <c r="N938" s="829"/>
      <c r="O938" s="829"/>
      <c r="P938" s="829"/>
      <c r="Q938" s="829"/>
      <c r="R938" s="829"/>
      <c r="S938" s="829"/>
      <c r="T938" s="829"/>
      <c r="U938" s="829"/>
      <c r="V938" s="829"/>
      <c r="W938" s="829"/>
      <c r="X938" s="829"/>
      <c r="Y938" s="829"/>
      <c r="Z938" s="829"/>
      <c r="AA938" s="829"/>
      <c r="AB938" s="829"/>
      <c r="AC938" s="829"/>
      <c r="AD938" s="829"/>
      <c r="AE938" s="829"/>
      <c r="AF938" s="829"/>
      <c r="AG938" s="829"/>
      <c r="AH938" s="829"/>
      <c r="AI938" s="829"/>
      <c r="AJ938" s="829"/>
      <c r="AK938" s="829"/>
      <c r="AL938" s="829"/>
      <c r="AM938" s="829"/>
      <c r="AN938" s="829"/>
    </row>
    <row r="939" spans="1:40" ht="12.75" x14ac:dyDescent="0.2">
      <c r="A939" s="829"/>
      <c r="B939" s="829"/>
      <c r="C939" s="829"/>
      <c r="D939" s="829"/>
      <c r="E939" s="829"/>
      <c r="F939" s="829"/>
      <c r="G939" s="829"/>
      <c r="H939" s="829"/>
      <c r="I939" s="829"/>
      <c r="J939" s="829"/>
      <c r="K939" s="829"/>
      <c r="L939" s="829"/>
      <c r="M939" s="829"/>
      <c r="N939" s="829"/>
      <c r="O939" s="829"/>
      <c r="P939" s="829"/>
      <c r="Q939" s="829"/>
      <c r="R939" s="829"/>
      <c r="S939" s="829"/>
      <c r="T939" s="829"/>
      <c r="U939" s="829"/>
      <c r="V939" s="829"/>
      <c r="W939" s="829"/>
      <c r="X939" s="829"/>
      <c r="Y939" s="829"/>
      <c r="Z939" s="829"/>
      <c r="AA939" s="829"/>
      <c r="AB939" s="829"/>
      <c r="AC939" s="829"/>
      <c r="AD939" s="829"/>
      <c r="AE939" s="829"/>
      <c r="AF939" s="829"/>
      <c r="AG939" s="829"/>
      <c r="AH939" s="829"/>
      <c r="AI939" s="829"/>
      <c r="AJ939" s="829"/>
      <c r="AK939" s="829"/>
      <c r="AL939" s="829"/>
      <c r="AM939" s="829"/>
      <c r="AN939" s="829"/>
    </row>
    <row r="940" spans="1:40" ht="12.75" x14ac:dyDescent="0.2">
      <c r="A940" s="829"/>
      <c r="B940" s="829"/>
      <c r="C940" s="829"/>
      <c r="D940" s="829"/>
      <c r="E940" s="829"/>
      <c r="F940" s="829"/>
      <c r="G940" s="829"/>
      <c r="H940" s="829"/>
      <c r="I940" s="829"/>
      <c r="J940" s="829"/>
      <c r="K940" s="829"/>
      <c r="L940" s="829"/>
      <c r="M940" s="829"/>
      <c r="N940" s="829"/>
      <c r="O940" s="829"/>
      <c r="P940" s="829"/>
      <c r="Q940" s="829"/>
      <c r="R940" s="829"/>
      <c r="S940" s="829"/>
      <c r="T940" s="829"/>
      <c r="U940" s="829"/>
      <c r="V940" s="829"/>
      <c r="W940" s="829"/>
      <c r="X940" s="829"/>
      <c r="Y940" s="829"/>
      <c r="Z940" s="829"/>
      <c r="AA940" s="829"/>
      <c r="AB940" s="829"/>
      <c r="AC940" s="829"/>
      <c r="AD940" s="829"/>
      <c r="AE940" s="829"/>
      <c r="AF940" s="829"/>
      <c r="AG940" s="829"/>
      <c r="AH940" s="829"/>
      <c r="AI940" s="829"/>
      <c r="AJ940" s="829"/>
      <c r="AK940" s="829"/>
      <c r="AL940" s="829"/>
      <c r="AM940" s="829"/>
      <c r="AN940" s="829"/>
    </row>
    <row r="941" spans="1:40" ht="12.75" x14ac:dyDescent="0.2">
      <c r="A941" s="829"/>
      <c r="B941" s="829"/>
      <c r="C941" s="829"/>
      <c r="D941" s="829"/>
      <c r="E941" s="829"/>
      <c r="F941" s="829"/>
      <c r="G941" s="829"/>
      <c r="H941" s="829"/>
      <c r="I941" s="829"/>
      <c r="J941" s="829"/>
      <c r="K941" s="829"/>
      <c r="L941" s="829"/>
      <c r="M941" s="829"/>
      <c r="N941" s="829"/>
      <c r="O941" s="829"/>
      <c r="P941" s="829"/>
      <c r="Q941" s="829"/>
      <c r="R941" s="829"/>
      <c r="S941" s="829"/>
      <c r="T941" s="829"/>
      <c r="U941" s="829"/>
      <c r="V941" s="829"/>
      <c r="W941" s="829"/>
      <c r="X941" s="829"/>
      <c r="Y941" s="829"/>
      <c r="Z941" s="829"/>
      <c r="AA941" s="829"/>
      <c r="AB941" s="829"/>
      <c r="AC941" s="829"/>
      <c r="AD941" s="829"/>
      <c r="AE941" s="829"/>
      <c r="AF941" s="829"/>
      <c r="AG941" s="829"/>
      <c r="AH941" s="829"/>
      <c r="AI941" s="829"/>
      <c r="AJ941" s="829"/>
      <c r="AK941" s="829"/>
      <c r="AL941" s="829"/>
      <c r="AM941" s="829"/>
      <c r="AN941" s="829"/>
    </row>
    <row r="942" spans="1:40" ht="12.75" x14ac:dyDescent="0.2">
      <c r="A942" s="829"/>
      <c r="B942" s="829"/>
      <c r="C942" s="829"/>
      <c r="D942" s="829"/>
      <c r="E942" s="829"/>
      <c r="F942" s="829"/>
      <c r="G942" s="829"/>
      <c r="H942" s="829"/>
      <c r="I942" s="829"/>
      <c r="J942" s="829"/>
      <c r="K942" s="829"/>
      <c r="L942" s="829"/>
      <c r="M942" s="829"/>
      <c r="N942" s="829"/>
      <c r="O942" s="829"/>
      <c r="P942" s="829"/>
      <c r="Q942" s="829"/>
      <c r="R942" s="829"/>
      <c r="S942" s="829"/>
      <c r="T942" s="829"/>
      <c r="U942" s="829"/>
      <c r="V942" s="829"/>
      <c r="W942" s="829"/>
      <c r="X942" s="829"/>
      <c r="Y942" s="829"/>
      <c r="Z942" s="829"/>
      <c r="AA942" s="829"/>
      <c r="AB942" s="829"/>
      <c r="AC942" s="829"/>
      <c r="AD942" s="829"/>
      <c r="AE942" s="829"/>
      <c r="AF942" s="829"/>
      <c r="AG942" s="829"/>
      <c r="AH942" s="829"/>
      <c r="AI942" s="829"/>
      <c r="AJ942" s="829"/>
      <c r="AK942" s="829"/>
      <c r="AL942" s="829"/>
      <c r="AM942" s="829"/>
      <c r="AN942" s="829"/>
    </row>
    <row r="943" spans="1:40" ht="12.75" x14ac:dyDescent="0.2">
      <c r="A943" s="829"/>
      <c r="B943" s="829"/>
      <c r="C943" s="829"/>
      <c r="D943" s="829"/>
      <c r="E943" s="829"/>
      <c r="F943" s="829"/>
      <c r="G943" s="829"/>
      <c r="H943" s="829"/>
      <c r="I943" s="829"/>
      <c r="J943" s="829"/>
      <c r="K943" s="829"/>
      <c r="L943" s="829"/>
      <c r="M943" s="829"/>
      <c r="N943" s="829"/>
      <c r="O943" s="829"/>
      <c r="P943" s="829"/>
      <c r="Q943" s="829"/>
      <c r="R943" s="829"/>
      <c r="S943" s="829"/>
      <c r="T943" s="829"/>
      <c r="U943" s="829"/>
      <c r="V943" s="829"/>
      <c r="W943" s="829"/>
      <c r="X943" s="829"/>
      <c r="Y943" s="829"/>
      <c r="Z943" s="829"/>
      <c r="AA943" s="829"/>
      <c r="AB943" s="829"/>
      <c r="AC943" s="829"/>
      <c r="AD943" s="829"/>
      <c r="AE943" s="829"/>
      <c r="AF943" s="829"/>
      <c r="AG943" s="829"/>
      <c r="AH943" s="829"/>
      <c r="AI943" s="829"/>
      <c r="AJ943" s="829"/>
      <c r="AK943" s="829"/>
      <c r="AL943" s="829"/>
      <c r="AM943" s="829"/>
      <c r="AN943" s="829"/>
    </row>
    <row r="944" spans="1:40" ht="12.75" x14ac:dyDescent="0.2">
      <c r="A944" s="829"/>
      <c r="B944" s="829"/>
      <c r="C944" s="829"/>
      <c r="D944" s="829"/>
      <c r="E944" s="829"/>
      <c r="F944" s="829"/>
      <c r="G944" s="829"/>
      <c r="H944" s="829"/>
      <c r="I944" s="829"/>
      <c r="J944" s="829"/>
      <c r="K944" s="829"/>
      <c r="L944" s="829"/>
      <c r="M944" s="829"/>
      <c r="N944" s="829"/>
      <c r="O944" s="829"/>
      <c r="P944" s="829"/>
      <c r="Q944" s="829"/>
      <c r="R944" s="829"/>
      <c r="S944" s="829"/>
      <c r="T944" s="829"/>
      <c r="U944" s="829"/>
      <c r="V944" s="829"/>
      <c r="W944" s="829"/>
      <c r="X944" s="829"/>
      <c r="Y944" s="829"/>
      <c r="Z944" s="829"/>
      <c r="AA944" s="829"/>
      <c r="AB944" s="829"/>
      <c r="AC944" s="829"/>
      <c r="AD944" s="829"/>
      <c r="AE944" s="829"/>
      <c r="AF944" s="829"/>
      <c r="AG944" s="829"/>
      <c r="AH944" s="829"/>
      <c r="AI944" s="829"/>
      <c r="AJ944" s="829"/>
      <c r="AK944" s="829"/>
      <c r="AL944" s="829"/>
      <c r="AM944" s="829"/>
      <c r="AN944" s="829"/>
    </row>
    <row r="945" spans="1:40" ht="12.75" x14ac:dyDescent="0.2">
      <c r="A945" s="829"/>
      <c r="B945" s="829"/>
      <c r="C945" s="829"/>
      <c r="D945" s="829"/>
      <c r="E945" s="829"/>
      <c r="F945" s="829"/>
      <c r="G945" s="829"/>
      <c r="H945" s="829"/>
      <c r="I945" s="829"/>
      <c r="J945" s="829"/>
      <c r="K945" s="829"/>
      <c r="L945" s="829"/>
      <c r="M945" s="829"/>
      <c r="N945" s="829"/>
      <c r="O945" s="829"/>
      <c r="P945" s="829"/>
      <c r="Q945" s="829"/>
      <c r="R945" s="829"/>
      <c r="S945" s="829"/>
      <c r="T945" s="829"/>
      <c r="U945" s="829"/>
      <c r="V945" s="829"/>
      <c r="W945" s="829"/>
      <c r="X945" s="829"/>
      <c r="Y945" s="829"/>
      <c r="Z945" s="829"/>
      <c r="AA945" s="829"/>
      <c r="AB945" s="829"/>
      <c r="AC945" s="829"/>
      <c r="AD945" s="829"/>
      <c r="AE945" s="829"/>
      <c r="AF945" s="829"/>
      <c r="AG945" s="829"/>
      <c r="AH945" s="829"/>
      <c r="AI945" s="829"/>
      <c r="AJ945" s="829"/>
      <c r="AK945" s="829"/>
      <c r="AL945" s="829"/>
      <c r="AM945" s="829"/>
      <c r="AN945" s="829"/>
    </row>
    <row r="946" spans="1:40" ht="12.75" x14ac:dyDescent="0.2">
      <c r="A946" s="829"/>
      <c r="B946" s="829"/>
      <c r="C946" s="829"/>
      <c r="D946" s="829"/>
      <c r="E946" s="829"/>
      <c r="F946" s="829"/>
      <c r="G946" s="829"/>
      <c r="H946" s="829"/>
      <c r="I946" s="829"/>
      <c r="J946" s="829"/>
      <c r="K946" s="829"/>
      <c r="L946" s="829"/>
      <c r="M946" s="829"/>
      <c r="N946" s="829"/>
      <c r="O946" s="829"/>
      <c r="P946" s="829"/>
      <c r="Q946" s="829"/>
      <c r="R946" s="829"/>
      <c r="S946" s="829"/>
      <c r="T946" s="829"/>
      <c r="U946" s="829"/>
      <c r="V946" s="829"/>
      <c r="W946" s="829"/>
      <c r="X946" s="829"/>
      <c r="Y946" s="829"/>
      <c r="Z946" s="829"/>
      <c r="AA946" s="829"/>
      <c r="AB946" s="829"/>
      <c r="AC946" s="829"/>
      <c r="AD946" s="829"/>
      <c r="AE946" s="829"/>
      <c r="AF946" s="829"/>
      <c r="AG946" s="829"/>
      <c r="AH946" s="829"/>
      <c r="AI946" s="829"/>
      <c r="AJ946" s="829"/>
      <c r="AK946" s="829"/>
      <c r="AL946" s="829"/>
      <c r="AM946" s="829"/>
      <c r="AN946" s="829"/>
    </row>
    <row r="947" spans="1:40" ht="12.75" x14ac:dyDescent="0.2">
      <c r="A947" s="829"/>
      <c r="B947" s="829"/>
      <c r="C947" s="829"/>
      <c r="D947" s="829"/>
      <c r="E947" s="829"/>
      <c r="F947" s="829"/>
      <c r="G947" s="829"/>
      <c r="H947" s="829"/>
      <c r="I947" s="829"/>
      <c r="J947" s="829"/>
      <c r="K947" s="829"/>
      <c r="L947" s="829"/>
      <c r="M947" s="829"/>
      <c r="N947" s="829"/>
      <c r="O947" s="829"/>
      <c r="P947" s="829"/>
      <c r="Q947" s="829"/>
      <c r="R947" s="829"/>
      <c r="S947" s="829"/>
      <c r="T947" s="829"/>
      <c r="U947" s="829"/>
      <c r="V947" s="829"/>
      <c r="W947" s="829"/>
      <c r="X947" s="829"/>
      <c r="Y947" s="829"/>
      <c r="Z947" s="829"/>
      <c r="AA947" s="829"/>
      <c r="AB947" s="829"/>
      <c r="AC947" s="829"/>
      <c r="AD947" s="829"/>
      <c r="AE947" s="829"/>
      <c r="AF947" s="829"/>
      <c r="AG947" s="829"/>
      <c r="AH947" s="829"/>
      <c r="AI947" s="829"/>
      <c r="AJ947" s="829"/>
      <c r="AK947" s="829"/>
      <c r="AL947" s="829"/>
      <c r="AM947" s="829"/>
      <c r="AN947" s="829"/>
    </row>
    <row r="948" spans="1:40" ht="12.75" x14ac:dyDescent="0.2">
      <c r="A948" s="829"/>
      <c r="B948" s="829"/>
      <c r="C948" s="829"/>
      <c r="D948" s="829"/>
      <c r="E948" s="829"/>
      <c r="F948" s="829"/>
      <c r="G948" s="829"/>
      <c r="H948" s="829"/>
      <c r="I948" s="829"/>
      <c r="J948" s="829"/>
      <c r="K948" s="829"/>
      <c r="L948" s="829"/>
      <c r="M948" s="829"/>
      <c r="N948" s="829"/>
      <c r="O948" s="829"/>
      <c r="P948" s="829"/>
      <c r="Q948" s="829"/>
      <c r="R948" s="829"/>
      <c r="S948" s="829"/>
      <c r="T948" s="829"/>
      <c r="U948" s="829"/>
      <c r="V948" s="829"/>
      <c r="W948" s="829"/>
      <c r="X948" s="829"/>
      <c r="Y948" s="829"/>
      <c r="Z948" s="829"/>
      <c r="AA948" s="829"/>
      <c r="AB948" s="829"/>
      <c r="AC948" s="829"/>
      <c r="AD948" s="829"/>
      <c r="AE948" s="829"/>
      <c r="AF948" s="829"/>
      <c r="AG948" s="829"/>
      <c r="AH948" s="829"/>
      <c r="AI948" s="829"/>
      <c r="AJ948" s="829"/>
      <c r="AK948" s="829"/>
      <c r="AL948" s="829"/>
      <c r="AM948" s="829"/>
      <c r="AN948" s="829"/>
    </row>
    <row r="949" spans="1:40" ht="12.75" x14ac:dyDescent="0.2">
      <c r="A949" s="829"/>
      <c r="B949" s="829"/>
      <c r="C949" s="829"/>
      <c r="D949" s="829"/>
      <c r="E949" s="829"/>
      <c r="F949" s="829"/>
      <c r="G949" s="829"/>
      <c r="H949" s="829"/>
      <c r="I949" s="829"/>
      <c r="J949" s="829"/>
      <c r="K949" s="829"/>
      <c r="L949" s="829"/>
      <c r="M949" s="829"/>
      <c r="N949" s="829"/>
      <c r="O949" s="829"/>
      <c r="P949" s="829"/>
      <c r="Q949" s="829"/>
      <c r="R949" s="829"/>
      <c r="S949" s="829"/>
      <c r="T949" s="829"/>
      <c r="U949" s="829"/>
      <c r="V949" s="829"/>
      <c r="W949" s="829"/>
      <c r="X949" s="829"/>
      <c r="Y949" s="829"/>
      <c r="Z949" s="829"/>
      <c r="AA949" s="829"/>
      <c r="AB949" s="829"/>
      <c r="AC949" s="829"/>
      <c r="AD949" s="829"/>
      <c r="AE949" s="829"/>
      <c r="AF949" s="829"/>
      <c r="AG949" s="829"/>
      <c r="AH949" s="829"/>
      <c r="AI949" s="829"/>
      <c r="AJ949" s="829"/>
      <c r="AK949" s="829"/>
      <c r="AL949" s="829"/>
      <c r="AM949" s="829"/>
      <c r="AN949" s="829"/>
    </row>
    <row r="950" spans="1:40" ht="12.75" x14ac:dyDescent="0.2">
      <c r="A950" s="829"/>
      <c r="B950" s="829"/>
      <c r="C950" s="829"/>
      <c r="D950" s="829"/>
      <c r="E950" s="829"/>
      <c r="F950" s="829"/>
      <c r="G950" s="829"/>
      <c r="H950" s="829"/>
      <c r="I950" s="829"/>
      <c r="J950" s="829"/>
      <c r="K950" s="829"/>
      <c r="L950" s="829"/>
      <c r="M950" s="829"/>
      <c r="N950" s="829"/>
      <c r="O950" s="829"/>
      <c r="P950" s="829"/>
      <c r="Q950" s="829"/>
      <c r="R950" s="829"/>
      <c r="S950" s="829"/>
      <c r="T950" s="829"/>
      <c r="U950" s="829"/>
      <c r="V950" s="829"/>
      <c r="W950" s="829"/>
      <c r="X950" s="829"/>
      <c r="Y950" s="829"/>
      <c r="Z950" s="829"/>
      <c r="AA950" s="829"/>
      <c r="AB950" s="829"/>
      <c r="AC950" s="829"/>
      <c r="AD950" s="829"/>
      <c r="AE950" s="829"/>
      <c r="AF950" s="829"/>
      <c r="AG950" s="829"/>
      <c r="AH950" s="829"/>
      <c r="AI950" s="829"/>
      <c r="AJ950" s="829"/>
      <c r="AK950" s="829"/>
      <c r="AL950" s="829"/>
      <c r="AM950" s="829"/>
      <c r="AN950" s="829"/>
    </row>
    <row r="951" spans="1:40" ht="12.75" x14ac:dyDescent="0.2">
      <c r="A951" s="829"/>
      <c r="B951" s="829"/>
      <c r="C951" s="829"/>
      <c r="D951" s="829"/>
      <c r="E951" s="829"/>
      <c r="F951" s="829"/>
      <c r="G951" s="829"/>
      <c r="H951" s="829"/>
      <c r="I951" s="829"/>
      <c r="J951" s="829"/>
      <c r="K951" s="829"/>
      <c r="L951" s="829"/>
      <c r="M951" s="829"/>
      <c r="N951" s="829"/>
      <c r="O951" s="829"/>
      <c r="P951" s="829"/>
      <c r="Q951" s="829"/>
      <c r="R951" s="829"/>
      <c r="S951" s="829"/>
      <c r="T951" s="829"/>
      <c r="U951" s="829"/>
      <c r="V951" s="829"/>
      <c r="W951" s="829"/>
      <c r="X951" s="829"/>
      <c r="Y951" s="829"/>
      <c r="Z951" s="829"/>
      <c r="AA951" s="829"/>
      <c r="AB951" s="829"/>
      <c r="AC951" s="829"/>
      <c r="AD951" s="829"/>
      <c r="AE951" s="829"/>
      <c r="AF951" s="829"/>
      <c r="AG951" s="829"/>
      <c r="AH951" s="829"/>
      <c r="AI951" s="829"/>
      <c r="AJ951" s="829"/>
      <c r="AK951" s="829"/>
      <c r="AL951" s="829"/>
      <c r="AM951" s="829"/>
      <c r="AN951" s="829"/>
    </row>
    <row r="952" spans="1:40" ht="12.75" x14ac:dyDescent="0.2">
      <c r="A952" s="829"/>
      <c r="B952" s="829"/>
      <c r="C952" s="829"/>
      <c r="D952" s="829"/>
      <c r="E952" s="829"/>
      <c r="F952" s="829"/>
      <c r="G952" s="829"/>
      <c r="H952" s="829"/>
      <c r="I952" s="829"/>
      <c r="J952" s="829"/>
      <c r="K952" s="829"/>
      <c r="L952" s="829"/>
      <c r="M952" s="829"/>
      <c r="N952" s="829"/>
      <c r="O952" s="829"/>
      <c r="P952" s="829"/>
      <c r="Q952" s="829"/>
      <c r="R952" s="829"/>
      <c r="S952" s="829"/>
      <c r="T952" s="829"/>
      <c r="U952" s="829"/>
      <c r="V952" s="829"/>
      <c r="W952" s="829"/>
      <c r="X952" s="829"/>
      <c r="Y952" s="829"/>
      <c r="Z952" s="829"/>
      <c r="AA952" s="829"/>
      <c r="AB952" s="829"/>
      <c r="AC952" s="829"/>
      <c r="AD952" s="829"/>
      <c r="AE952" s="829"/>
      <c r="AF952" s="829"/>
      <c r="AG952" s="829"/>
      <c r="AH952" s="829"/>
      <c r="AI952" s="829"/>
      <c r="AJ952" s="829"/>
      <c r="AK952" s="829"/>
      <c r="AL952" s="829"/>
      <c r="AM952" s="829"/>
      <c r="AN952" s="829"/>
    </row>
    <row r="953" spans="1:40" ht="12.75" x14ac:dyDescent="0.2">
      <c r="A953" s="829"/>
      <c r="B953" s="829"/>
      <c r="C953" s="829"/>
      <c r="D953" s="829"/>
      <c r="E953" s="829"/>
      <c r="F953" s="829"/>
      <c r="G953" s="829"/>
      <c r="H953" s="829"/>
      <c r="I953" s="829"/>
      <c r="J953" s="829"/>
      <c r="K953" s="829"/>
      <c r="L953" s="829"/>
      <c r="M953" s="829"/>
      <c r="N953" s="829"/>
      <c r="O953" s="829"/>
      <c r="P953" s="829"/>
      <c r="Q953" s="829"/>
      <c r="R953" s="829"/>
      <c r="S953" s="829"/>
      <c r="T953" s="829"/>
      <c r="U953" s="829"/>
      <c r="V953" s="829"/>
      <c r="W953" s="829"/>
      <c r="X953" s="829"/>
      <c r="Y953" s="829"/>
      <c r="Z953" s="829"/>
      <c r="AA953" s="829"/>
      <c r="AB953" s="829"/>
      <c r="AC953" s="829"/>
      <c r="AD953" s="829"/>
      <c r="AE953" s="829"/>
      <c r="AF953" s="829"/>
      <c r="AG953" s="829"/>
      <c r="AH953" s="829"/>
      <c r="AI953" s="829"/>
      <c r="AJ953" s="829"/>
      <c r="AK953" s="829"/>
      <c r="AL953" s="829"/>
      <c r="AM953" s="829"/>
      <c r="AN953" s="829"/>
    </row>
    <row r="954" spans="1:40" ht="12.75" x14ac:dyDescent="0.2">
      <c r="A954" s="829"/>
      <c r="B954" s="829"/>
      <c r="C954" s="829"/>
      <c r="D954" s="829"/>
      <c r="E954" s="829"/>
      <c r="F954" s="829"/>
      <c r="G954" s="829"/>
      <c r="H954" s="829"/>
      <c r="I954" s="829"/>
      <c r="J954" s="829"/>
      <c r="K954" s="829"/>
      <c r="L954" s="829"/>
      <c r="M954" s="829"/>
      <c r="N954" s="829"/>
      <c r="O954" s="829"/>
      <c r="P954" s="829"/>
      <c r="Q954" s="829"/>
      <c r="R954" s="829"/>
      <c r="S954" s="829"/>
      <c r="T954" s="829"/>
      <c r="U954" s="829"/>
      <c r="V954" s="829"/>
      <c r="W954" s="829"/>
      <c r="X954" s="829"/>
      <c r="Y954" s="829"/>
      <c r="Z954" s="829"/>
      <c r="AA954" s="829"/>
      <c r="AB954" s="829"/>
      <c r="AC954" s="829"/>
      <c r="AD954" s="829"/>
      <c r="AE954" s="829"/>
      <c r="AF954" s="829"/>
      <c r="AG954" s="829"/>
      <c r="AH954" s="829"/>
      <c r="AI954" s="829"/>
      <c r="AJ954" s="829"/>
      <c r="AK954" s="829"/>
      <c r="AL954" s="829"/>
      <c r="AM954" s="829"/>
      <c r="AN954" s="829"/>
    </row>
    <row r="955" spans="1:40" ht="12.75" x14ac:dyDescent="0.2">
      <c r="A955" s="829"/>
      <c r="B955" s="829"/>
      <c r="C955" s="829"/>
      <c r="D955" s="829"/>
      <c r="E955" s="829"/>
      <c r="F955" s="829"/>
      <c r="G955" s="829"/>
      <c r="H955" s="829"/>
      <c r="I955" s="829"/>
      <c r="J955" s="829"/>
      <c r="K955" s="829"/>
      <c r="L955" s="829"/>
      <c r="M955" s="829"/>
      <c r="N955" s="829"/>
      <c r="O955" s="829"/>
      <c r="P955" s="829"/>
      <c r="Q955" s="829"/>
      <c r="R955" s="829"/>
      <c r="S955" s="829"/>
      <c r="T955" s="829"/>
      <c r="U955" s="829"/>
      <c r="V955" s="829"/>
      <c r="W955" s="829"/>
      <c r="X955" s="829"/>
      <c r="Y955" s="829"/>
      <c r="Z955" s="829"/>
      <c r="AA955" s="829"/>
      <c r="AB955" s="829"/>
      <c r="AC955" s="829"/>
      <c r="AD955" s="829"/>
      <c r="AE955" s="829"/>
      <c r="AF955" s="829"/>
      <c r="AG955" s="829"/>
      <c r="AH955" s="829"/>
      <c r="AI955" s="829"/>
      <c r="AJ955" s="829"/>
      <c r="AK955" s="829"/>
      <c r="AL955" s="829"/>
      <c r="AM955" s="829"/>
      <c r="AN955" s="829"/>
    </row>
    <row r="956" spans="1:40" ht="12.75" x14ac:dyDescent="0.2">
      <c r="A956" s="829"/>
      <c r="B956" s="829"/>
      <c r="C956" s="829"/>
      <c r="D956" s="829"/>
      <c r="E956" s="829"/>
      <c r="F956" s="829"/>
      <c r="G956" s="829"/>
      <c r="H956" s="829"/>
      <c r="I956" s="829"/>
      <c r="J956" s="829"/>
      <c r="K956" s="829"/>
      <c r="L956" s="829"/>
      <c r="M956" s="829"/>
      <c r="N956" s="829"/>
      <c r="O956" s="829"/>
      <c r="P956" s="829"/>
      <c r="Q956" s="829"/>
      <c r="R956" s="829"/>
      <c r="S956" s="829"/>
      <c r="T956" s="829"/>
      <c r="U956" s="829"/>
      <c r="V956" s="829"/>
      <c r="W956" s="829"/>
      <c r="X956" s="829"/>
      <c r="Y956" s="829"/>
      <c r="Z956" s="829"/>
      <c r="AA956" s="829"/>
      <c r="AB956" s="829"/>
      <c r="AC956" s="829"/>
      <c r="AD956" s="829"/>
      <c r="AE956" s="829"/>
      <c r="AF956" s="829"/>
      <c r="AG956" s="829"/>
      <c r="AH956" s="829"/>
      <c r="AI956" s="829"/>
      <c r="AJ956" s="829"/>
      <c r="AK956" s="829"/>
      <c r="AL956" s="829"/>
      <c r="AM956" s="829"/>
      <c r="AN956" s="829"/>
    </row>
    <row r="957" spans="1:40" ht="12.75" x14ac:dyDescent="0.2">
      <c r="A957" s="829"/>
      <c r="B957" s="829"/>
      <c r="C957" s="829"/>
      <c r="D957" s="829"/>
      <c r="E957" s="829"/>
      <c r="F957" s="829"/>
      <c r="G957" s="829"/>
      <c r="H957" s="829"/>
      <c r="I957" s="829"/>
      <c r="J957" s="829"/>
      <c r="K957" s="829"/>
      <c r="L957" s="829"/>
      <c r="M957" s="829"/>
      <c r="N957" s="829"/>
      <c r="O957" s="829"/>
      <c r="P957" s="829"/>
      <c r="Q957" s="829"/>
      <c r="R957" s="829"/>
      <c r="S957" s="829"/>
      <c r="T957" s="829"/>
      <c r="U957" s="829"/>
      <c r="V957" s="829"/>
      <c r="W957" s="829"/>
      <c r="X957" s="829"/>
      <c r="Y957" s="829"/>
      <c r="Z957" s="829"/>
      <c r="AA957" s="829"/>
      <c r="AB957" s="829"/>
      <c r="AC957" s="829"/>
      <c r="AD957" s="829"/>
      <c r="AE957" s="829"/>
      <c r="AF957" s="829"/>
      <c r="AG957" s="829"/>
      <c r="AH957" s="829"/>
      <c r="AI957" s="829"/>
      <c r="AJ957" s="829"/>
      <c r="AK957" s="829"/>
      <c r="AL957" s="829"/>
      <c r="AM957" s="829"/>
      <c r="AN957" s="829"/>
    </row>
    <row r="958" spans="1:40" ht="12.75" x14ac:dyDescent="0.2">
      <c r="A958" s="829"/>
      <c r="B958" s="829"/>
      <c r="C958" s="829"/>
      <c r="D958" s="829"/>
      <c r="E958" s="829"/>
      <c r="F958" s="829"/>
      <c r="G958" s="829"/>
      <c r="H958" s="829"/>
      <c r="I958" s="829"/>
      <c r="J958" s="829"/>
      <c r="K958" s="829"/>
      <c r="L958" s="829"/>
      <c r="M958" s="829"/>
      <c r="N958" s="829"/>
      <c r="O958" s="829"/>
      <c r="P958" s="829"/>
      <c r="Q958" s="829"/>
      <c r="R958" s="829"/>
      <c r="S958" s="829"/>
      <c r="T958" s="829"/>
      <c r="U958" s="829"/>
      <c r="V958" s="829"/>
      <c r="W958" s="829"/>
      <c r="X958" s="829"/>
      <c r="Y958" s="829"/>
      <c r="Z958" s="829"/>
      <c r="AA958" s="829"/>
      <c r="AB958" s="829"/>
      <c r="AC958" s="829"/>
      <c r="AD958" s="829"/>
      <c r="AE958" s="829"/>
      <c r="AF958" s="829"/>
      <c r="AG958" s="829"/>
      <c r="AH958" s="829"/>
      <c r="AI958" s="829"/>
      <c r="AJ958" s="829"/>
      <c r="AK958" s="829"/>
      <c r="AL958" s="829"/>
      <c r="AM958" s="829"/>
      <c r="AN958" s="829"/>
    </row>
    <row r="959" spans="1:40" ht="12.75" x14ac:dyDescent="0.2">
      <c r="A959" s="829"/>
      <c r="B959" s="829"/>
      <c r="C959" s="829"/>
      <c r="D959" s="829"/>
      <c r="E959" s="829"/>
      <c r="F959" s="829"/>
      <c r="G959" s="829"/>
      <c r="H959" s="829"/>
      <c r="I959" s="829"/>
      <c r="J959" s="829"/>
      <c r="K959" s="829"/>
      <c r="L959" s="829"/>
      <c r="M959" s="829"/>
      <c r="N959" s="829"/>
      <c r="O959" s="829"/>
      <c r="P959" s="829"/>
      <c r="Q959" s="829"/>
      <c r="R959" s="829"/>
      <c r="S959" s="829"/>
      <c r="T959" s="829"/>
      <c r="U959" s="829"/>
      <c r="V959" s="829"/>
      <c r="W959" s="829"/>
      <c r="X959" s="829"/>
      <c r="Y959" s="829"/>
      <c r="Z959" s="829"/>
      <c r="AA959" s="829"/>
      <c r="AB959" s="829"/>
      <c r="AC959" s="829"/>
      <c r="AD959" s="829"/>
      <c r="AE959" s="829"/>
      <c r="AF959" s="829"/>
      <c r="AG959" s="829"/>
      <c r="AH959" s="829"/>
      <c r="AI959" s="829"/>
      <c r="AJ959" s="829"/>
      <c r="AK959" s="829"/>
      <c r="AL959" s="829"/>
      <c r="AM959" s="829"/>
      <c r="AN959" s="829"/>
    </row>
    <row r="960" spans="1:40" ht="12.75" x14ac:dyDescent="0.2">
      <c r="A960" s="829"/>
      <c r="B960" s="829"/>
      <c r="C960" s="829"/>
      <c r="D960" s="829"/>
      <c r="E960" s="829"/>
      <c r="F960" s="829"/>
      <c r="G960" s="829"/>
      <c r="H960" s="829"/>
      <c r="I960" s="829"/>
      <c r="J960" s="829"/>
      <c r="K960" s="829"/>
      <c r="L960" s="829"/>
      <c r="M960" s="829"/>
      <c r="N960" s="829"/>
      <c r="O960" s="829"/>
      <c r="P960" s="829"/>
      <c r="Q960" s="829"/>
      <c r="R960" s="829"/>
      <c r="S960" s="829"/>
      <c r="T960" s="829"/>
      <c r="U960" s="829"/>
      <c r="V960" s="829"/>
      <c r="W960" s="829"/>
      <c r="X960" s="829"/>
      <c r="Y960" s="829"/>
      <c r="Z960" s="829"/>
      <c r="AA960" s="829"/>
      <c r="AB960" s="829"/>
      <c r="AC960" s="829"/>
      <c r="AD960" s="829"/>
      <c r="AE960" s="829"/>
      <c r="AF960" s="829"/>
      <c r="AG960" s="829"/>
      <c r="AH960" s="829"/>
      <c r="AI960" s="829"/>
      <c r="AJ960" s="829"/>
      <c r="AK960" s="829"/>
      <c r="AL960" s="829"/>
      <c r="AM960" s="829"/>
      <c r="AN960" s="829"/>
    </row>
    <row r="961" spans="1:40" ht="12.75" x14ac:dyDescent="0.2">
      <c r="A961" s="829"/>
      <c r="B961" s="829"/>
      <c r="C961" s="829"/>
      <c r="D961" s="829"/>
      <c r="E961" s="829"/>
      <c r="F961" s="829"/>
      <c r="G961" s="829"/>
      <c r="H961" s="829"/>
      <c r="I961" s="829"/>
      <c r="J961" s="829"/>
      <c r="K961" s="829"/>
      <c r="L961" s="829"/>
      <c r="M961" s="829"/>
      <c r="N961" s="829"/>
      <c r="O961" s="829"/>
      <c r="P961" s="829"/>
      <c r="Q961" s="829"/>
      <c r="R961" s="829"/>
      <c r="S961" s="829"/>
      <c r="T961" s="829"/>
      <c r="U961" s="829"/>
      <c r="V961" s="829"/>
      <c r="W961" s="829"/>
      <c r="X961" s="829"/>
      <c r="Y961" s="829"/>
      <c r="Z961" s="829"/>
      <c r="AA961" s="829"/>
      <c r="AB961" s="829"/>
      <c r="AC961" s="829"/>
      <c r="AD961" s="829"/>
      <c r="AE961" s="829"/>
      <c r="AF961" s="829"/>
      <c r="AG961" s="829"/>
      <c r="AH961" s="829"/>
      <c r="AI961" s="829"/>
      <c r="AJ961" s="829"/>
      <c r="AK961" s="829"/>
      <c r="AL961" s="829"/>
      <c r="AM961" s="829"/>
      <c r="AN961" s="829"/>
    </row>
    <row r="962" spans="1:40" ht="12.75" x14ac:dyDescent="0.2">
      <c r="A962" s="829"/>
      <c r="B962" s="829"/>
      <c r="C962" s="829"/>
      <c r="D962" s="829"/>
      <c r="E962" s="829"/>
      <c r="F962" s="829"/>
      <c r="G962" s="829"/>
      <c r="H962" s="829"/>
      <c r="I962" s="829"/>
      <c r="J962" s="829"/>
      <c r="K962" s="829"/>
      <c r="L962" s="829"/>
      <c r="M962" s="829"/>
      <c r="N962" s="829"/>
      <c r="O962" s="829"/>
      <c r="P962" s="829"/>
      <c r="Q962" s="829"/>
      <c r="R962" s="829"/>
      <c r="S962" s="829"/>
      <c r="T962" s="829"/>
      <c r="U962" s="829"/>
      <c r="V962" s="829"/>
      <c r="W962" s="829"/>
      <c r="X962" s="829"/>
      <c r="Y962" s="829"/>
      <c r="Z962" s="829"/>
      <c r="AA962" s="829"/>
      <c r="AB962" s="829"/>
      <c r="AC962" s="829"/>
      <c r="AD962" s="829"/>
      <c r="AE962" s="829"/>
      <c r="AF962" s="829"/>
      <c r="AG962" s="829"/>
      <c r="AH962" s="829"/>
      <c r="AI962" s="829"/>
      <c r="AJ962" s="829"/>
      <c r="AK962" s="829"/>
      <c r="AL962" s="829"/>
      <c r="AM962" s="829"/>
      <c r="AN962" s="829"/>
    </row>
    <row r="963" spans="1:40" ht="12.75" x14ac:dyDescent="0.2">
      <c r="A963" s="829"/>
      <c r="B963" s="829"/>
      <c r="C963" s="829"/>
      <c r="D963" s="829"/>
      <c r="E963" s="829"/>
      <c r="F963" s="829"/>
      <c r="G963" s="829"/>
      <c r="H963" s="829"/>
      <c r="I963" s="829"/>
      <c r="J963" s="829"/>
      <c r="K963" s="829"/>
      <c r="L963" s="829"/>
      <c r="M963" s="829"/>
      <c r="N963" s="829"/>
      <c r="O963" s="829"/>
      <c r="P963" s="829"/>
      <c r="Q963" s="829"/>
      <c r="R963" s="829"/>
      <c r="S963" s="829"/>
      <c r="T963" s="829"/>
      <c r="U963" s="829"/>
      <c r="V963" s="829"/>
      <c r="W963" s="829"/>
      <c r="X963" s="829"/>
      <c r="Y963" s="829"/>
      <c r="Z963" s="829"/>
      <c r="AA963" s="829"/>
      <c r="AB963" s="829"/>
      <c r="AC963" s="829"/>
      <c r="AD963" s="829"/>
      <c r="AE963" s="829"/>
      <c r="AF963" s="829"/>
      <c r="AG963" s="829"/>
      <c r="AH963" s="829"/>
      <c r="AI963" s="829"/>
      <c r="AJ963" s="829"/>
      <c r="AK963" s="829"/>
      <c r="AL963" s="829"/>
      <c r="AM963" s="829"/>
      <c r="AN963" s="829"/>
    </row>
    <row r="964" spans="1:40" ht="12.75" x14ac:dyDescent="0.2">
      <c r="A964" s="829"/>
      <c r="B964" s="829"/>
      <c r="C964" s="829"/>
      <c r="D964" s="829"/>
      <c r="E964" s="829"/>
      <c r="F964" s="829"/>
      <c r="G964" s="829"/>
      <c r="H964" s="829"/>
      <c r="I964" s="829"/>
      <c r="J964" s="829"/>
      <c r="K964" s="829"/>
      <c r="L964" s="829"/>
      <c r="M964" s="829"/>
      <c r="N964" s="829"/>
      <c r="O964" s="829"/>
      <c r="P964" s="829"/>
      <c r="Q964" s="829"/>
      <c r="R964" s="829"/>
      <c r="S964" s="829"/>
      <c r="T964" s="829"/>
      <c r="U964" s="829"/>
      <c r="V964" s="829"/>
      <c r="W964" s="829"/>
      <c r="X964" s="829"/>
      <c r="Y964" s="829"/>
      <c r="Z964" s="829"/>
      <c r="AA964" s="829"/>
      <c r="AB964" s="829"/>
      <c r="AC964" s="829"/>
      <c r="AD964" s="829"/>
      <c r="AE964" s="829"/>
      <c r="AF964" s="829"/>
      <c r="AG964" s="829"/>
      <c r="AH964" s="829"/>
      <c r="AI964" s="829"/>
      <c r="AJ964" s="829"/>
      <c r="AK964" s="829"/>
      <c r="AL964" s="829"/>
      <c r="AM964" s="829"/>
      <c r="AN964" s="829"/>
    </row>
    <row r="965" spans="1:40" ht="12.75" x14ac:dyDescent="0.2">
      <c r="A965" s="829"/>
      <c r="B965" s="829"/>
      <c r="C965" s="829"/>
      <c r="D965" s="829"/>
      <c r="E965" s="829"/>
      <c r="F965" s="829"/>
      <c r="G965" s="829"/>
      <c r="H965" s="829"/>
      <c r="I965" s="829"/>
      <c r="J965" s="829"/>
      <c r="K965" s="829"/>
      <c r="L965" s="829"/>
      <c r="M965" s="829"/>
      <c r="N965" s="829"/>
      <c r="O965" s="829"/>
      <c r="P965" s="829"/>
      <c r="Q965" s="829"/>
      <c r="R965" s="829"/>
      <c r="S965" s="829"/>
      <c r="T965" s="829"/>
      <c r="U965" s="829"/>
      <c r="V965" s="829"/>
      <c r="W965" s="829"/>
      <c r="X965" s="829"/>
      <c r="Y965" s="829"/>
      <c r="Z965" s="829"/>
      <c r="AA965" s="829"/>
      <c r="AB965" s="829"/>
      <c r="AC965" s="829"/>
      <c r="AD965" s="829"/>
      <c r="AE965" s="829"/>
      <c r="AF965" s="829"/>
      <c r="AG965" s="829"/>
      <c r="AH965" s="829"/>
      <c r="AI965" s="829"/>
      <c r="AJ965" s="829"/>
      <c r="AK965" s="829"/>
      <c r="AL965" s="829"/>
      <c r="AM965" s="829"/>
      <c r="AN965" s="829"/>
    </row>
    <row r="966" spans="1:40" ht="12.75" x14ac:dyDescent="0.2">
      <c r="A966" s="829"/>
      <c r="B966" s="829"/>
      <c r="C966" s="829"/>
      <c r="D966" s="829"/>
      <c r="E966" s="829"/>
      <c r="F966" s="829"/>
      <c r="G966" s="829"/>
      <c r="H966" s="829"/>
      <c r="I966" s="829"/>
      <c r="J966" s="829"/>
      <c r="K966" s="829"/>
      <c r="L966" s="829"/>
      <c r="M966" s="829"/>
      <c r="N966" s="829"/>
      <c r="O966" s="829"/>
      <c r="P966" s="829"/>
      <c r="Q966" s="829"/>
      <c r="R966" s="829"/>
      <c r="S966" s="829"/>
      <c r="T966" s="829"/>
      <c r="U966" s="829"/>
      <c r="V966" s="829"/>
      <c r="W966" s="829"/>
      <c r="X966" s="829"/>
      <c r="Y966" s="829"/>
      <c r="Z966" s="829"/>
      <c r="AA966" s="829"/>
      <c r="AB966" s="829"/>
      <c r="AC966" s="829"/>
      <c r="AD966" s="829"/>
      <c r="AE966" s="829"/>
      <c r="AF966" s="829"/>
      <c r="AG966" s="829"/>
      <c r="AH966" s="829"/>
      <c r="AI966" s="829"/>
      <c r="AJ966" s="829"/>
      <c r="AK966" s="829"/>
      <c r="AL966" s="829"/>
      <c r="AM966" s="829"/>
      <c r="AN966" s="829"/>
    </row>
    <row r="967" spans="1:40" ht="12.75" x14ac:dyDescent="0.2">
      <c r="A967" s="829"/>
      <c r="B967" s="829"/>
      <c r="C967" s="829"/>
      <c r="D967" s="829"/>
      <c r="E967" s="829"/>
      <c r="F967" s="829"/>
      <c r="G967" s="829"/>
      <c r="H967" s="829"/>
      <c r="I967" s="829"/>
      <c r="J967" s="829"/>
      <c r="K967" s="829"/>
      <c r="L967" s="829"/>
      <c r="M967" s="829"/>
      <c r="N967" s="829"/>
      <c r="O967" s="829"/>
      <c r="P967" s="829"/>
      <c r="Q967" s="829"/>
      <c r="R967" s="829"/>
      <c r="S967" s="829"/>
      <c r="T967" s="829"/>
      <c r="U967" s="829"/>
      <c r="V967" s="829"/>
      <c r="W967" s="829"/>
      <c r="X967" s="829"/>
      <c r="Y967" s="829"/>
      <c r="Z967" s="829"/>
      <c r="AA967" s="829"/>
      <c r="AB967" s="829"/>
      <c r="AC967" s="829"/>
      <c r="AD967" s="829"/>
      <c r="AE967" s="829"/>
      <c r="AF967" s="829"/>
      <c r="AG967" s="829"/>
      <c r="AH967" s="829"/>
      <c r="AI967" s="829"/>
      <c r="AJ967" s="829"/>
      <c r="AK967" s="829"/>
      <c r="AL967" s="829"/>
      <c r="AM967" s="829"/>
      <c r="AN967" s="829"/>
    </row>
    <row r="968" spans="1:40" ht="12.75" x14ac:dyDescent="0.2">
      <c r="A968" s="829"/>
      <c r="B968" s="829"/>
      <c r="C968" s="829"/>
      <c r="D968" s="829"/>
      <c r="E968" s="829"/>
      <c r="F968" s="829"/>
      <c r="G968" s="829"/>
      <c r="H968" s="829"/>
      <c r="I968" s="829"/>
      <c r="J968" s="829"/>
      <c r="K968" s="829"/>
      <c r="L968" s="829"/>
      <c r="M968" s="829"/>
      <c r="N968" s="829"/>
      <c r="O968" s="829"/>
      <c r="P968" s="829"/>
      <c r="Q968" s="829"/>
      <c r="R968" s="829"/>
      <c r="S968" s="829"/>
      <c r="T968" s="829"/>
      <c r="U968" s="829"/>
      <c r="V968" s="829"/>
      <c r="W968" s="829"/>
      <c r="X968" s="829"/>
      <c r="Y968" s="829"/>
      <c r="Z968" s="829"/>
      <c r="AA968" s="829"/>
      <c r="AB968" s="829"/>
      <c r="AC968" s="829"/>
      <c r="AD968" s="829"/>
      <c r="AE968" s="829"/>
      <c r="AF968" s="829"/>
      <c r="AG968" s="829"/>
      <c r="AH968" s="829"/>
      <c r="AI968" s="829"/>
      <c r="AJ968" s="829"/>
      <c r="AK968" s="829"/>
      <c r="AL968" s="829"/>
      <c r="AM968" s="829"/>
      <c r="AN968" s="829"/>
    </row>
    <row r="969" spans="1:40" ht="12.75" x14ac:dyDescent="0.2">
      <c r="A969" s="829"/>
      <c r="B969" s="829"/>
      <c r="C969" s="829"/>
      <c r="D969" s="829"/>
      <c r="E969" s="829"/>
      <c r="F969" s="829"/>
      <c r="G969" s="829"/>
      <c r="H969" s="829"/>
      <c r="I969" s="829"/>
      <c r="J969" s="829"/>
      <c r="K969" s="829"/>
      <c r="L969" s="829"/>
      <c r="M969" s="829"/>
      <c r="N969" s="829"/>
      <c r="O969" s="829"/>
      <c r="P969" s="829"/>
      <c r="Q969" s="829"/>
      <c r="R969" s="829"/>
      <c r="S969" s="829"/>
      <c r="T969" s="829"/>
      <c r="U969" s="829"/>
      <c r="V969" s="829"/>
      <c r="W969" s="829"/>
      <c r="X969" s="829"/>
      <c r="Y969" s="829"/>
      <c r="Z969" s="829"/>
      <c r="AA969" s="829"/>
      <c r="AB969" s="829"/>
      <c r="AC969" s="829"/>
      <c r="AD969" s="829"/>
      <c r="AE969" s="829"/>
      <c r="AF969" s="829"/>
      <c r="AG969" s="829"/>
      <c r="AH969" s="829"/>
      <c r="AI969" s="829"/>
      <c r="AJ969" s="829"/>
      <c r="AK969" s="829"/>
      <c r="AL969" s="829"/>
      <c r="AM969" s="829"/>
      <c r="AN969" s="829"/>
    </row>
    <row r="970" spans="1:40" ht="12.75" x14ac:dyDescent="0.2">
      <c r="A970" s="829"/>
      <c r="B970" s="829"/>
      <c r="C970" s="829"/>
      <c r="D970" s="829"/>
      <c r="E970" s="829"/>
      <c r="F970" s="829"/>
      <c r="G970" s="829"/>
      <c r="H970" s="829"/>
      <c r="I970" s="829"/>
      <c r="J970" s="829"/>
      <c r="K970" s="829"/>
      <c r="L970" s="829"/>
      <c r="M970" s="829"/>
      <c r="N970" s="829"/>
      <c r="O970" s="829"/>
      <c r="P970" s="829"/>
      <c r="Q970" s="829"/>
      <c r="R970" s="829"/>
      <c r="S970" s="829"/>
      <c r="T970" s="829"/>
      <c r="U970" s="829"/>
      <c r="V970" s="829"/>
      <c r="W970" s="829"/>
      <c r="X970" s="829"/>
      <c r="Y970" s="829"/>
      <c r="Z970" s="829"/>
      <c r="AA970" s="829"/>
      <c r="AB970" s="829"/>
      <c r="AC970" s="829"/>
      <c r="AD970" s="829"/>
      <c r="AE970" s="829"/>
      <c r="AF970" s="829"/>
      <c r="AG970" s="829"/>
      <c r="AH970" s="829"/>
      <c r="AI970" s="829"/>
      <c r="AJ970" s="829"/>
      <c r="AK970" s="829"/>
      <c r="AL970" s="829"/>
      <c r="AM970" s="829"/>
      <c r="AN970" s="829"/>
    </row>
    <row r="971" spans="1:40" ht="12.75" x14ac:dyDescent="0.2">
      <c r="A971" s="829"/>
      <c r="B971" s="829"/>
      <c r="C971" s="829"/>
      <c r="D971" s="829"/>
      <c r="E971" s="829"/>
      <c r="F971" s="829"/>
      <c r="G971" s="829"/>
      <c r="H971" s="829"/>
      <c r="I971" s="829"/>
      <c r="J971" s="829"/>
      <c r="K971" s="829"/>
      <c r="L971" s="829"/>
      <c r="M971" s="829"/>
      <c r="N971" s="829"/>
      <c r="O971" s="829"/>
      <c r="P971" s="829"/>
      <c r="Q971" s="829"/>
      <c r="R971" s="829"/>
      <c r="S971" s="829"/>
      <c r="T971" s="829"/>
      <c r="U971" s="829"/>
      <c r="V971" s="829"/>
      <c r="W971" s="829"/>
      <c r="X971" s="829"/>
      <c r="Y971" s="829"/>
      <c r="Z971" s="829"/>
      <c r="AA971" s="829"/>
      <c r="AB971" s="829"/>
      <c r="AC971" s="829"/>
      <c r="AD971" s="829"/>
      <c r="AE971" s="829"/>
      <c r="AF971" s="829"/>
      <c r="AG971" s="829"/>
      <c r="AH971" s="829"/>
      <c r="AI971" s="829"/>
      <c r="AJ971" s="829"/>
      <c r="AK971" s="829"/>
      <c r="AL971" s="829"/>
      <c r="AM971" s="829"/>
      <c r="AN971" s="829"/>
    </row>
    <row r="972" spans="1:40" ht="12.75" x14ac:dyDescent="0.2">
      <c r="A972" s="829"/>
      <c r="B972" s="829"/>
      <c r="C972" s="829"/>
      <c r="D972" s="829"/>
      <c r="E972" s="829"/>
      <c r="F972" s="829"/>
      <c r="G972" s="829"/>
      <c r="H972" s="829"/>
      <c r="I972" s="829"/>
      <c r="J972" s="829"/>
      <c r="K972" s="829"/>
      <c r="L972" s="829"/>
      <c r="M972" s="829"/>
      <c r="N972" s="829"/>
      <c r="O972" s="829"/>
      <c r="P972" s="829"/>
      <c r="Q972" s="829"/>
      <c r="R972" s="829"/>
      <c r="S972" s="829"/>
      <c r="T972" s="829"/>
      <c r="U972" s="829"/>
      <c r="V972" s="829"/>
      <c r="W972" s="829"/>
      <c r="X972" s="829"/>
      <c r="Y972" s="829"/>
      <c r="Z972" s="829"/>
      <c r="AA972" s="829"/>
      <c r="AB972" s="829"/>
      <c r="AC972" s="829"/>
      <c r="AD972" s="829"/>
      <c r="AE972" s="829"/>
      <c r="AF972" s="829"/>
      <c r="AG972" s="829"/>
      <c r="AH972" s="829"/>
      <c r="AI972" s="829"/>
      <c r="AJ972" s="829"/>
      <c r="AK972" s="829"/>
      <c r="AL972" s="829"/>
      <c r="AM972" s="829"/>
      <c r="AN972" s="829"/>
    </row>
    <row r="973" spans="1:40" ht="12.75" x14ac:dyDescent="0.2">
      <c r="A973" s="829"/>
      <c r="B973" s="829"/>
      <c r="C973" s="829"/>
      <c r="D973" s="829"/>
      <c r="E973" s="829"/>
      <c r="F973" s="829"/>
      <c r="G973" s="829"/>
      <c r="H973" s="829"/>
      <c r="I973" s="829"/>
      <c r="J973" s="829"/>
      <c r="K973" s="829"/>
      <c r="L973" s="829"/>
      <c r="M973" s="829"/>
      <c r="N973" s="829"/>
      <c r="O973" s="829"/>
      <c r="P973" s="829"/>
      <c r="Q973" s="829"/>
      <c r="R973" s="829"/>
      <c r="S973" s="829"/>
      <c r="T973" s="829"/>
      <c r="U973" s="829"/>
      <c r="V973" s="829"/>
      <c r="W973" s="829"/>
      <c r="X973" s="829"/>
      <c r="Y973" s="829"/>
      <c r="Z973" s="829"/>
      <c r="AA973" s="829"/>
      <c r="AB973" s="829"/>
      <c r="AC973" s="829"/>
      <c r="AD973" s="829"/>
      <c r="AE973" s="829"/>
      <c r="AF973" s="829"/>
      <c r="AG973" s="829"/>
      <c r="AH973" s="829"/>
      <c r="AI973" s="829"/>
      <c r="AJ973" s="829"/>
      <c r="AK973" s="829"/>
      <c r="AL973" s="829"/>
      <c r="AM973" s="829"/>
      <c r="AN973" s="829"/>
    </row>
    <row r="974" spans="1:40" ht="12.75" x14ac:dyDescent="0.2">
      <c r="A974" s="829"/>
      <c r="B974" s="829"/>
      <c r="C974" s="829"/>
      <c r="D974" s="829"/>
      <c r="E974" s="829"/>
      <c r="F974" s="829"/>
      <c r="G974" s="829"/>
      <c r="H974" s="829"/>
      <c r="I974" s="829"/>
      <c r="J974" s="829"/>
      <c r="K974" s="829"/>
      <c r="L974" s="829"/>
      <c r="M974" s="829"/>
      <c r="N974" s="829"/>
      <c r="O974" s="829"/>
      <c r="P974" s="829"/>
      <c r="Q974" s="829"/>
      <c r="R974" s="829"/>
      <c r="S974" s="829"/>
      <c r="T974" s="829"/>
      <c r="U974" s="829"/>
      <c r="V974" s="829"/>
      <c r="W974" s="829"/>
      <c r="X974" s="829"/>
      <c r="Y974" s="829"/>
      <c r="Z974" s="829"/>
      <c r="AA974" s="829"/>
      <c r="AB974" s="829"/>
      <c r="AC974" s="829"/>
      <c r="AD974" s="829"/>
      <c r="AE974" s="829"/>
      <c r="AF974" s="829"/>
      <c r="AG974" s="829"/>
      <c r="AH974" s="829"/>
      <c r="AI974" s="829"/>
      <c r="AJ974" s="829"/>
      <c r="AK974" s="829"/>
      <c r="AL974" s="829"/>
      <c r="AM974" s="829"/>
      <c r="AN974" s="829"/>
    </row>
    <row r="975" spans="1:40" ht="12.75" x14ac:dyDescent="0.2">
      <c r="A975" s="829"/>
      <c r="B975" s="829"/>
      <c r="C975" s="829"/>
      <c r="D975" s="829"/>
      <c r="E975" s="829"/>
      <c r="F975" s="829"/>
      <c r="G975" s="829"/>
      <c r="H975" s="829"/>
      <c r="I975" s="829"/>
      <c r="J975" s="829"/>
      <c r="K975" s="829"/>
      <c r="L975" s="829"/>
      <c r="M975" s="829"/>
      <c r="N975" s="829"/>
      <c r="O975" s="829"/>
      <c r="P975" s="829"/>
      <c r="Q975" s="829"/>
      <c r="R975" s="829"/>
      <c r="S975" s="829"/>
      <c r="T975" s="829"/>
      <c r="U975" s="829"/>
      <c r="V975" s="829"/>
      <c r="W975" s="829"/>
      <c r="X975" s="829"/>
      <c r="Y975" s="829"/>
      <c r="Z975" s="829"/>
      <c r="AA975" s="829"/>
      <c r="AB975" s="829"/>
      <c r="AC975" s="829"/>
      <c r="AD975" s="829"/>
      <c r="AE975" s="829"/>
      <c r="AF975" s="829"/>
      <c r="AG975" s="829"/>
      <c r="AH975" s="829"/>
      <c r="AI975" s="829"/>
      <c r="AJ975" s="829"/>
      <c r="AK975" s="829"/>
      <c r="AL975" s="829"/>
      <c r="AM975" s="829"/>
      <c r="AN975" s="829"/>
    </row>
    <row r="976" spans="1:40" ht="12.75" x14ac:dyDescent="0.2">
      <c r="A976" s="829"/>
      <c r="B976" s="829"/>
      <c r="C976" s="829"/>
      <c r="D976" s="829"/>
      <c r="E976" s="829"/>
      <c r="F976" s="829"/>
      <c r="G976" s="829"/>
      <c r="H976" s="829"/>
      <c r="I976" s="829"/>
      <c r="J976" s="829"/>
      <c r="K976" s="829"/>
      <c r="L976" s="829"/>
      <c r="M976" s="829"/>
      <c r="N976" s="829"/>
      <c r="O976" s="829"/>
      <c r="P976" s="829"/>
      <c r="Q976" s="829"/>
      <c r="R976" s="829"/>
      <c r="S976" s="829"/>
      <c r="T976" s="829"/>
      <c r="U976" s="829"/>
      <c r="V976" s="829"/>
      <c r="W976" s="829"/>
      <c r="X976" s="829"/>
      <c r="Y976" s="829"/>
      <c r="Z976" s="829"/>
      <c r="AA976" s="829"/>
      <c r="AB976" s="829"/>
      <c r="AC976" s="829"/>
      <c r="AD976" s="829"/>
      <c r="AE976" s="829"/>
      <c r="AF976" s="829"/>
      <c r="AG976" s="829"/>
      <c r="AH976" s="829"/>
      <c r="AI976" s="829"/>
      <c r="AJ976" s="829"/>
      <c r="AK976" s="829"/>
      <c r="AL976" s="829"/>
      <c r="AM976" s="829"/>
      <c r="AN976" s="829"/>
    </row>
    <row r="977" spans="1:40" ht="12.75" x14ac:dyDescent="0.2">
      <c r="A977" s="829"/>
      <c r="B977" s="829"/>
      <c r="C977" s="829"/>
      <c r="D977" s="829"/>
      <c r="E977" s="829"/>
      <c r="F977" s="829"/>
      <c r="G977" s="829"/>
      <c r="H977" s="829"/>
      <c r="I977" s="829"/>
      <c r="J977" s="829"/>
      <c r="K977" s="829"/>
      <c r="L977" s="829"/>
      <c r="M977" s="829"/>
      <c r="N977" s="829"/>
      <c r="O977" s="829"/>
      <c r="P977" s="829"/>
      <c r="Q977" s="829"/>
      <c r="R977" s="829"/>
      <c r="S977" s="829"/>
      <c r="T977" s="829"/>
      <c r="U977" s="829"/>
      <c r="V977" s="829"/>
      <c r="W977" s="829"/>
      <c r="X977" s="829"/>
      <c r="Y977" s="829"/>
      <c r="Z977" s="829"/>
      <c r="AA977" s="829"/>
      <c r="AB977" s="829"/>
      <c r="AC977" s="829"/>
      <c r="AD977" s="829"/>
      <c r="AE977" s="829"/>
      <c r="AF977" s="829"/>
      <c r="AG977" s="829"/>
      <c r="AH977" s="829"/>
      <c r="AI977" s="829"/>
      <c r="AJ977" s="829"/>
      <c r="AK977" s="829"/>
      <c r="AL977" s="829"/>
      <c r="AM977" s="829"/>
      <c r="AN977" s="829"/>
    </row>
    <row r="978" spans="1:40" ht="12.75" x14ac:dyDescent="0.2">
      <c r="A978" s="829"/>
      <c r="B978" s="829"/>
      <c r="C978" s="829"/>
      <c r="D978" s="829"/>
      <c r="E978" s="829"/>
      <c r="F978" s="829"/>
      <c r="G978" s="829"/>
      <c r="H978" s="829"/>
      <c r="I978" s="829"/>
      <c r="J978" s="829"/>
      <c r="K978" s="829"/>
      <c r="L978" s="829"/>
      <c r="M978" s="829"/>
      <c r="N978" s="829"/>
      <c r="O978" s="829"/>
      <c r="P978" s="829"/>
      <c r="Q978" s="829"/>
      <c r="R978" s="829"/>
      <c r="S978" s="829"/>
      <c r="T978" s="829"/>
      <c r="U978" s="829"/>
      <c r="V978" s="829"/>
      <c r="W978" s="829"/>
      <c r="X978" s="829"/>
      <c r="Y978" s="829"/>
      <c r="Z978" s="829"/>
      <c r="AA978" s="829"/>
      <c r="AB978" s="829"/>
      <c r="AC978" s="829"/>
      <c r="AD978" s="829"/>
      <c r="AE978" s="829"/>
      <c r="AF978" s="829"/>
      <c r="AG978" s="829"/>
      <c r="AH978" s="829"/>
      <c r="AI978" s="829"/>
      <c r="AJ978" s="829"/>
      <c r="AK978" s="829"/>
      <c r="AL978" s="829"/>
      <c r="AM978" s="829"/>
      <c r="AN978" s="829"/>
    </row>
    <row r="979" spans="1:40" ht="12.75" x14ac:dyDescent="0.2">
      <c r="A979" s="829"/>
      <c r="B979" s="829"/>
      <c r="C979" s="829"/>
      <c r="D979" s="829"/>
      <c r="E979" s="829"/>
      <c r="F979" s="829"/>
      <c r="G979" s="829"/>
      <c r="H979" s="829"/>
      <c r="I979" s="829"/>
      <c r="J979" s="829"/>
      <c r="K979" s="829"/>
      <c r="L979" s="829"/>
      <c r="M979" s="829"/>
      <c r="N979" s="829"/>
      <c r="O979" s="829"/>
      <c r="P979" s="829"/>
      <c r="Q979" s="829"/>
      <c r="R979" s="829"/>
      <c r="S979" s="829"/>
      <c r="T979" s="829"/>
      <c r="U979" s="829"/>
      <c r="V979" s="829"/>
      <c r="W979" s="829"/>
      <c r="X979" s="829"/>
      <c r="Y979" s="829"/>
      <c r="Z979" s="829"/>
      <c r="AA979" s="829"/>
      <c r="AB979" s="829"/>
      <c r="AC979" s="829"/>
      <c r="AD979" s="829"/>
      <c r="AE979" s="829"/>
      <c r="AF979" s="829"/>
      <c r="AG979" s="829"/>
      <c r="AH979" s="829"/>
      <c r="AI979" s="829"/>
      <c r="AJ979" s="829"/>
      <c r="AK979" s="829"/>
      <c r="AL979" s="829"/>
      <c r="AM979" s="829"/>
      <c r="AN979" s="829"/>
    </row>
    <row r="980" spans="1:40" ht="12.75" x14ac:dyDescent="0.2">
      <c r="A980" s="829"/>
      <c r="B980" s="829"/>
      <c r="C980" s="829"/>
      <c r="D980" s="829"/>
      <c r="E980" s="829"/>
      <c r="F980" s="829"/>
      <c r="G980" s="829"/>
      <c r="H980" s="829"/>
      <c r="I980" s="829"/>
      <c r="J980" s="829"/>
      <c r="K980" s="829"/>
      <c r="L980" s="829"/>
      <c r="M980" s="829"/>
      <c r="N980" s="829"/>
      <c r="O980" s="829"/>
      <c r="P980" s="829"/>
      <c r="Q980" s="829"/>
      <c r="R980" s="829"/>
      <c r="S980" s="829"/>
      <c r="T980" s="829"/>
      <c r="U980" s="829"/>
      <c r="V980" s="829"/>
      <c r="W980" s="829"/>
      <c r="X980" s="829"/>
      <c r="Y980" s="829"/>
      <c r="Z980" s="829"/>
      <c r="AA980" s="829"/>
      <c r="AB980" s="829"/>
      <c r="AC980" s="829"/>
      <c r="AD980" s="829"/>
      <c r="AE980" s="829"/>
      <c r="AF980" s="829"/>
      <c r="AG980" s="829"/>
      <c r="AH980" s="829"/>
      <c r="AI980" s="829"/>
      <c r="AJ980" s="829"/>
      <c r="AK980" s="829"/>
      <c r="AL980" s="829"/>
      <c r="AM980" s="829"/>
      <c r="AN980" s="829"/>
    </row>
    <row r="981" spans="1:40" ht="12.75" x14ac:dyDescent="0.2">
      <c r="A981" s="829"/>
      <c r="B981" s="829"/>
      <c r="C981" s="829"/>
      <c r="D981" s="829"/>
      <c r="E981" s="829"/>
      <c r="F981" s="829"/>
      <c r="G981" s="829"/>
      <c r="H981" s="829"/>
      <c r="I981" s="829"/>
      <c r="J981" s="829"/>
      <c r="K981" s="829"/>
      <c r="L981" s="829"/>
      <c r="M981" s="829"/>
      <c r="N981" s="829"/>
      <c r="O981" s="829"/>
      <c r="P981" s="829"/>
      <c r="Q981" s="829"/>
      <c r="R981" s="829"/>
      <c r="S981" s="829"/>
      <c r="T981" s="829"/>
      <c r="U981" s="829"/>
      <c r="V981" s="829"/>
      <c r="W981" s="829"/>
      <c r="X981" s="829"/>
      <c r="Y981" s="829"/>
      <c r="Z981" s="829"/>
      <c r="AA981" s="829"/>
      <c r="AB981" s="829"/>
      <c r="AC981" s="829"/>
      <c r="AD981" s="829"/>
      <c r="AE981" s="829"/>
      <c r="AF981" s="829"/>
      <c r="AG981" s="829"/>
      <c r="AH981" s="829"/>
      <c r="AI981" s="829"/>
      <c r="AJ981" s="829"/>
      <c r="AK981" s="829"/>
      <c r="AL981" s="829"/>
      <c r="AM981" s="829"/>
      <c r="AN981" s="829"/>
    </row>
    <row r="982" spans="1:40" ht="12.75" x14ac:dyDescent="0.2">
      <c r="A982" s="829"/>
      <c r="B982" s="829"/>
      <c r="C982" s="829"/>
      <c r="D982" s="829"/>
      <c r="E982" s="829"/>
      <c r="F982" s="829"/>
      <c r="G982" s="829"/>
      <c r="H982" s="829"/>
      <c r="I982" s="829"/>
      <c r="J982" s="829"/>
      <c r="K982" s="829"/>
      <c r="L982" s="829"/>
      <c r="M982" s="829"/>
      <c r="N982" s="829"/>
      <c r="O982" s="829"/>
      <c r="P982" s="829"/>
      <c r="Q982" s="829"/>
      <c r="R982" s="829"/>
      <c r="S982" s="829"/>
      <c r="T982" s="829"/>
      <c r="U982" s="829"/>
      <c r="V982" s="829"/>
      <c r="W982" s="829"/>
      <c r="X982" s="829"/>
      <c r="Y982" s="829"/>
      <c r="Z982" s="829"/>
      <c r="AA982" s="829"/>
      <c r="AB982" s="829"/>
      <c r="AC982" s="829"/>
      <c r="AD982" s="829"/>
      <c r="AE982" s="829"/>
      <c r="AF982" s="829"/>
      <c r="AG982" s="829"/>
      <c r="AH982" s="829"/>
      <c r="AI982" s="829"/>
      <c r="AJ982" s="829"/>
      <c r="AK982" s="829"/>
      <c r="AL982" s="829"/>
      <c r="AM982" s="829"/>
      <c r="AN982" s="829"/>
    </row>
    <row r="983" spans="1:40" ht="12.75" x14ac:dyDescent="0.2">
      <c r="A983" s="829"/>
      <c r="B983" s="829"/>
      <c r="C983" s="829"/>
      <c r="D983" s="829"/>
      <c r="E983" s="829"/>
      <c r="F983" s="829"/>
      <c r="G983" s="829"/>
      <c r="H983" s="829"/>
      <c r="I983" s="829"/>
      <c r="J983" s="829"/>
      <c r="K983" s="829"/>
      <c r="L983" s="829"/>
      <c r="M983" s="829"/>
      <c r="N983" s="829"/>
      <c r="O983" s="829"/>
      <c r="P983" s="829"/>
      <c r="Q983" s="829"/>
      <c r="R983" s="829"/>
      <c r="S983" s="829"/>
      <c r="T983" s="829"/>
      <c r="U983" s="829"/>
      <c r="V983" s="829"/>
      <c r="W983" s="829"/>
      <c r="X983" s="829"/>
      <c r="Y983" s="829"/>
      <c r="Z983" s="829"/>
      <c r="AA983" s="829"/>
      <c r="AB983" s="829"/>
      <c r="AC983" s="829"/>
      <c r="AD983" s="829"/>
      <c r="AE983" s="829"/>
      <c r="AF983" s="829"/>
      <c r="AG983" s="829"/>
      <c r="AH983" s="829"/>
      <c r="AI983" s="829"/>
      <c r="AJ983" s="829"/>
      <c r="AK983" s="829"/>
      <c r="AL983" s="829"/>
      <c r="AM983" s="829"/>
      <c r="AN983" s="829"/>
    </row>
    <row r="984" spans="1:40" ht="12.75" x14ac:dyDescent="0.2">
      <c r="A984" s="829"/>
      <c r="B984" s="829"/>
      <c r="C984" s="829"/>
      <c r="D984" s="829"/>
      <c r="E984" s="829"/>
      <c r="F984" s="829"/>
      <c r="G984" s="829"/>
      <c r="H984" s="829"/>
      <c r="I984" s="829"/>
      <c r="J984" s="829"/>
      <c r="K984" s="829"/>
      <c r="L984" s="829"/>
      <c r="M984" s="829"/>
      <c r="N984" s="829"/>
      <c r="O984" s="829"/>
      <c r="P984" s="829"/>
      <c r="Q984" s="829"/>
      <c r="R984" s="829"/>
      <c r="S984" s="829"/>
      <c r="T984" s="829"/>
      <c r="U984" s="829"/>
      <c r="V984" s="829"/>
      <c r="W984" s="829"/>
      <c r="X984" s="829"/>
      <c r="Y984" s="829"/>
      <c r="Z984" s="829"/>
      <c r="AA984" s="829"/>
      <c r="AB984" s="829"/>
      <c r="AC984" s="829"/>
      <c r="AD984" s="829"/>
      <c r="AE984" s="829"/>
      <c r="AF984" s="829"/>
      <c r="AG984" s="829"/>
      <c r="AH984" s="829"/>
      <c r="AI984" s="829"/>
      <c r="AJ984" s="829"/>
      <c r="AK984" s="829"/>
      <c r="AL984" s="829"/>
      <c r="AM984" s="829"/>
      <c r="AN984" s="829"/>
    </row>
    <row r="985" spans="1:40" ht="12.75" x14ac:dyDescent="0.2">
      <c r="A985" s="829"/>
      <c r="B985" s="829"/>
      <c r="C985" s="829"/>
      <c r="D985" s="829"/>
      <c r="E985" s="829"/>
      <c r="F985" s="829"/>
      <c r="G985" s="829"/>
      <c r="H985" s="829"/>
      <c r="I985" s="829"/>
      <c r="J985" s="829"/>
      <c r="K985" s="829"/>
      <c r="L985" s="829"/>
      <c r="M985" s="829"/>
      <c r="N985" s="829"/>
      <c r="O985" s="829"/>
      <c r="P985" s="829"/>
      <c r="Q985" s="829"/>
      <c r="R985" s="829"/>
      <c r="S985" s="829"/>
      <c r="T985" s="829"/>
      <c r="U985" s="829"/>
      <c r="V985" s="829"/>
      <c r="W985" s="829"/>
      <c r="X985" s="829"/>
      <c r="Y985" s="829"/>
      <c r="Z985" s="829"/>
      <c r="AA985" s="829"/>
      <c r="AB985" s="829"/>
      <c r="AC985" s="829"/>
      <c r="AD985" s="829"/>
      <c r="AE985" s="829"/>
      <c r="AF985" s="829"/>
      <c r="AG985" s="829"/>
      <c r="AH985" s="829"/>
      <c r="AI985" s="829"/>
      <c r="AJ985" s="829"/>
      <c r="AK985" s="829"/>
      <c r="AL985" s="829"/>
      <c r="AM985" s="829"/>
      <c r="AN985" s="829"/>
    </row>
    <row r="986" spans="1:40" ht="12.75" x14ac:dyDescent="0.2">
      <c r="A986" s="829"/>
      <c r="B986" s="829"/>
      <c r="C986" s="829"/>
      <c r="D986" s="829"/>
      <c r="E986" s="829"/>
      <c r="F986" s="829"/>
      <c r="G986" s="829"/>
      <c r="H986" s="829"/>
      <c r="I986" s="829"/>
      <c r="J986" s="829"/>
      <c r="K986" s="829"/>
      <c r="L986" s="829"/>
      <c r="M986" s="829"/>
      <c r="N986" s="829"/>
      <c r="O986" s="829"/>
      <c r="P986" s="829"/>
      <c r="Q986" s="829"/>
      <c r="R986" s="829"/>
      <c r="S986" s="829"/>
      <c r="T986" s="829"/>
      <c r="U986" s="829"/>
      <c r="V986" s="829"/>
      <c r="W986" s="829"/>
      <c r="X986" s="829"/>
      <c r="Y986" s="829"/>
      <c r="Z986" s="829"/>
      <c r="AA986" s="829"/>
      <c r="AB986" s="829"/>
      <c r="AC986" s="829"/>
      <c r="AD986" s="829"/>
      <c r="AE986" s="829"/>
      <c r="AF986" s="829"/>
      <c r="AG986" s="829"/>
      <c r="AH986" s="829"/>
      <c r="AI986" s="829"/>
      <c r="AJ986" s="829"/>
      <c r="AK986" s="829"/>
      <c r="AL986" s="829"/>
      <c r="AM986" s="829"/>
      <c r="AN986" s="829"/>
    </row>
    <row r="987" spans="1:40" ht="12.75" x14ac:dyDescent="0.2">
      <c r="A987" s="829"/>
      <c r="B987" s="829"/>
      <c r="C987" s="829"/>
      <c r="D987" s="829"/>
      <c r="E987" s="829"/>
      <c r="F987" s="829"/>
      <c r="G987" s="829"/>
      <c r="H987" s="829"/>
      <c r="I987" s="829"/>
      <c r="J987" s="829"/>
      <c r="K987" s="829"/>
      <c r="L987" s="829"/>
      <c r="M987" s="829"/>
      <c r="N987" s="829"/>
      <c r="O987" s="829"/>
      <c r="P987" s="829"/>
      <c r="Q987" s="829"/>
      <c r="R987" s="829"/>
      <c r="S987" s="829"/>
      <c r="T987" s="829"/>
      <c r="U987" s="829"/>
      <c r="V987" s="829"/>
      <c r="W987" s="829"/>
      <c r="X987" s="829"/>
      <c r="Y987" s="829"/>
      <c r="Z987" s="829"/>
      <c r="AA987" s="829"/>
      <c r="AB987" s="829"/>
      <c r="AC987" s="829"/>
      <c r="AD987" s="829"/>
      <c r="AE987" s="829"/>
      <c r="AF987" s="829"/>
      <c r="AG987" s="829"/>
      <c r="AH987" s="829"/>
      <c r="AI987" s="829"/>
      <c r="AJ987" s="829"/>
      <c r="AK987" s="829"/>
      <c r="AL987" s="829"/>
      <c r="AM987" s="829"/>
      <c r="AN987" s="829"/>
    </row>
    <row r="988" spans="1:40" ht="12.75" x14ac:dyDescent="0.2">
      <c r="A988" s="829"/>
      <c r="B988" s="829"/>
      <c r="C988" s="829"/>
      <c r="D988" s="829"/>
      <c r="E988" s="829"/>
      <c r="F988" s="829"/>
      <c r="G988" s="829"/>
      <c r="H988" s="829"/>
      <c r="I988" s="829"/>
      <c r="J988" s="829"/>
      <c r="K988" s="829"/>
      <c r="L988" s="829"/>
      <c r="M988" s="829"/>
      <c r="N988" s="829"/>
      <c r="O988" s="829"/>
      <c r="P988" s="829"/>
      <c r="Q988" s="829"/>
      <c r="R988" s="829"/>
      <c r="S988" s="829"/>
      <c r="T988" s="829"/>
      <c r="U988" s="829"/>
      <c r="V988" s="829"/>
      <c r="W988" s="829"/>
      <c r="X988" s="829"/>
      <c r="Y988" s="829"/>
      <c r="Z988" s="829"/>
      <c r="AA988" s="829"/>
      <c r="AB988" s="829"/>
      <c r="AC988" s="829"/>
      <c r="AD988" s="829"/>
      <c r="AE988" s="829"/>
      <c r="AF988" s="829"/>
      <c r="AG988" s="829"/>
      <c r="AH988" s="829"/>
      <c r="AI988" s="829"/>
      <c r="AJ988" s="829"/>
      <c r="AK988" s="829"/>
      <c r="AL988" s="829"/>
      <c r="AM988" s="829"/>
      <c r="AN988" s="829"/>
    </row>
    <row r="989" spans="1:40" ht="12.75" x14ac:dyDescent="0.2">
      <c r="A989" s="829"/>
      <c r="B989" s="829"/>
      <c r="C989" s="829"/>
      <c r="D989" s="829"/>
      <c r="E989" s="829"/>
      <c r="F989" s="829"/>
      <c r="G989" s="829"/>
      <c r="H989" s="829"/>
      <c r="I989" s="829"/>
      <c r="J989" s="829"/>
      <c r="K989" s="829"/>
      <c r="L989" s="829"/>
      <c r="M989" s="829"/>
      <c r="N989" s="829"/>
      <c r="O989" s="829"/>
      <c r="P989" s="829"/>
      <c r="Q989" s="829"/>
      <c r="R989" s="829"/>
      <c r="S989" s="829"/>
      <c r="T989" s="829"/>
      <c r="U989" s="829"/>
      <c r="V989" s="829"/>
      <c r="W989" s="829"/>
      <c r="X989" s="829"/>
      <c r="Y989" s="829"/>
      <c r="Z989" s="829"/>
      <c r="AA989" s="829"/>
      <c r="AB989" s="829"/>
      <c r="AC989" s="829"/>
      <c r="AD989" s="829"/>
      <c r="AE989" s="829"/>
      <c r="AF989" s="829"/>
      <c r="AG989" s="829"/>
      <c r="AH989" s="829"/>
      <c r="AI989" s="829"/>
      <c r="AJ989" s="829"/>
      <c r="AK989" s="829"/>
      <c r="AL989" s="829"/>
      <c r="AM989" s="829"/>
      <c r="AN989" s="829"/>
    </row>
    <row r="990" spans="1:40" ht="12.75" x14ac:dyDescent="0.2">
      <c r="A990" s="829"/>
      <c r="B990" s="829"/>
      <c r="C990" s="829"/>
      <c r="D990" s="829"/>
      <c r="E990" s="829"/>
      <c r="F990" s="829"/>
      <c r="G990" s="829"/>
      <c r="H990" s="829"/>
      <c r="I990" s="829"/>
      <c r="J990" s="829"/>
      <c r="K990" s="829"/>
      <c r="L990" s="829"/>
      <c r="M990" s="829"/>
      <c r="N990" s="829"/>
      <c r="O990" s="829"/>
      <c r="P990" s="829"/>
      <c r="Q990" s="829"/>
      <c r="R990" s="829"/>
      <c r="S990" s="829"/>
      <c r="T990" s="829"/>
      <c r="U990" s="829"/>
      <c r="V990" s="829"/>
      <c r="W990" s="829"/>
      <c r="X990" s="829"/>
      <c r="Y990" s="829"/>
      <c r="Z990" s="829"/>
      <c r="AA990" s="829"/>
      <c r="AB990" s="829"/>
      <c r="AC990" s="829"/>
      <c r="AD990" s="829"/>
      <c r="AE990" s="829"/>
      <c r="AF990" s="829"/>
      <c r="AG990" s="829"/>
      <c r="AH990" s="829"/>
      <c r="AI990" s="829"/>
      <c r="AJ990" s="829"/>
      <c r="AK990" s="829"/>
      <c r="AL990" s="829"/>
      <c r="AM990" s="829"/>
      <c r="AN990" s="829"/>
    </row>
    <row r="991" spans="1:40" ht="12.75" x14ac:dyDescent="0.2">
      <c r="A991" s="829"/>
      <c r="B991" s="829"/>
      <c r="C991" s="829"/>
      <c r="D991" s="829"/>
      <c r="E991" s="829"/>
      <c r="F991" s="829"/>
      <c r="G991" s="829"/>
      <c r="H991" s="829"/>
      <c r="I991" s="829"/>
      <c r="J991" s="829"/>
      <c r="K991" s="829"/>
      <c r="L991" s="829"/>
      <c r="M991" s="829"/>
      <c r="N991" s="829"/>
      <c r="O991" s="829"/>
      <c r="P991" s="829"/>
      <c r="Q991" s="829"/>
      <c r="R991" s="829"/>
      <c r="S991" s="829"/>
      <c r="T991" s="829"/>
      <c r="U991" s="829"/>
      <c r="V991" s="829"/>
      <c r="W991" s="829"/>
      <c r="X991" s="829"/>
      <c r="Y991" s="829"/>
      <c r="Z991" s="829"/>
      <c r="AA991" s="829"/>
      <c r="AB991" s="829"/>
      <c r="AC991" s="829"/>
      <c r="AD991" s="829"/>
      <c r="AE991" s="829"/>
      <c r="AF991" s="829"/>
      <c r="AG991" s="829"/>
      <c r="AH991" s="829"/>
      <c r="AI991" s="829"/>
      <c r="AJ991" s="829"/>
      <c r="AK991" s="829"/>
      <c r="AL991" s="829"/>
      <c r="AM991" s="829"/>
      <c r="AN991" s="829"/>
    </row>
    <row r="992" spans="1:40" ht="12.75" x14ac:dyDescent="0.2">
      <c r="A992" s="829"/>
      <c r="B992" s="829"/>
      <c r="C992" s="829"/>
      <c r="D992" s="829"/>
      <c r="E992" s="829"/>
      <c r="F992" s="829"/>
      <c r="G992" s="829"/>
      <c r="H992" s="829"/>
      <c r="I992" s="829"/>
      <c r="J992" s="829"/>
      <c r="K992" s="829"/>
      <c r="L992" s="829"/>
      <c r="M992" s="829"/>
      <c r="N992" s="829"/>
      <c r="O992" s="829"/>
      <c r="P992" s="829"/>
      <c r="Q992" s="829"/>
      <c r="R992" s="829"/>
      <c r="S992" s="829"/>
      <c r="T992" s="829"/>
      <c r="U992" s="829"/>
      <c r="V992" s="829"/>
      <c r="W992" s="829"/>
      <c r="X992" s="829"/>
      <c r="Y992" s="829"/>
      <c r="Z992" s="829"/>
      <c r="AA992" s="829"/>
      <c r="AB992" s="829"/>
      <c r="AC992" s="829"/>
      <c r="AD992" s="829"/>
      <c r="AE992" s="829"/>
      <c r="AF992" s="829"/>
      <c r="AG992" s="829"/>
      <c r="AH992" s="829"/>
      <c r="AI992" s="829"/>
      <c r="AJ992" s="829"/>
      <c r="AK992" s="829"/>
      <c r="AL992" s="829"/>
      <c r="AM992" s="829"/>
      <c r="AN992" s="829"/>
    </row>
    <row r="993" spans="1:40" ht="12.75" x14ac:dyDescent="0.2">
      <c r="A993" s="829"/>
      <c r="B993" s="829"/>
      <c r="C993" s="829"/>
      <c r="D993" s="829"/>
      <c r="E993" s="829"/>
      <c r="F993" s="829"/>
      <c r="G993" s="829"/>
      <c r="H993" s="829"/>
      <c r="I993" s="829"/>
      <c r="J993" s="829"/>
      <c r="K993" s="829"/>
      <c r="L993" s="829"/>
      <c r="M993" s="829"/>
      <c r="N993" s="829"/>
      <c r="O993" s="829"/>
      <c r="P993" s="829"/>
      <c r="Q993" s="829"/>
      <c r="R993" s="829"/>
      <c r="S993" s="829"/>
      <c r="T993" s="829"/>
      <c r="U993" s="829"/>
      <c r="V993" s="829"/>
      <c r="W993" s="829"/>
      <c r="X993" s="829"/>
      <c r="Y993" s="829"/>
      <c r="Z993" s="829"/>
      <c r="AA993" s="829"/>
      <c r="AB993" s="829"/>
      <c r="AC993" s="829"/>
      <c r="AD993" s="829"/>
      <c r="AE993" s="829"/>
      <c r="AF993" s="829"/>
      <c r="AG993" s="829"/>
      <c r="AH993" s="829"/>
      <c r="AI993" s="829"/>
      <c r="AJ993" s="829"/>
      <c r="AK993" s="829"/>
      <c r="AL993" s="829"/>
      <c r="AM993" s="829"/>
      <c r="AN993" s="829"/>
    </row>
    <row r="994" spans="1:40" ht="12.75" x14ac:dyDescent="0.2">
      <c r="A994" s="829"/>
      <c r="B994" s="829"/>
      <c r="C994" s="829"/>
      <c r="D994" s="829"/>
      <c r="E994" s="829"/>
      <c r="F994" s="829"/>
      <c r="G994" s="829"/>
      <c r="H994" s="829"/>
      <c r="I994" s="829"/>
      <c r="J994" s="829"/>
      <c r="K994" s="829"/>
      <c r="L994" s="829"/>
      <c r="M994" s="829"/>
      <c r="N994" s="829"/>
      <c r="O994" s="829"/>
      <c r="P994" s="829"/>
      <c r="Q994" s="829"/>
      <c r="R994" s="829"/>
      <c r="S994" s="829"/>
      <c r="T994" s="829"/>
      <c r="U994" s="829"/>
      <c r="V994" s="829"/>
      <c r="W994" s="829"/>
      <c r="X994" s="829"/>
      <c r="Y994" s="829"/>
      <c r="Z994" s="829"/>
      <c r="AA994" s="829"/>
      <c r="AB994" s="829"/>
      <c r="AC994" s="829"/>
      <c r="AD994" s="829"/>
      <c r="AE994" s="829"/>
      <c r="AF994" s="829"/>
      <c r="AG994" s="829"/>
      <c r="AH994" s="829"/>
      <c r="AI994" s="829"/>
      <c r="AJ994" s="829"/>
      <c r="AK994" s="829"/>
      <c r="AL994" s="829"/>
      <c r="AM994" s="829"/>
      <c r="AN994" s="829"/>
    </row>
    <row r="995" spans="1:40" ht="12.75" x14ac:dyDescent="0.2">
      <c r="A995" s="829"/>
      <c r="B995" s="829"/>
      <c r="C995" s="829"/>
      <c r="D995" s="829"/>
      <c r="E995" s="829"/>
      <c r="F995" s="829"/>
      <c r="G995" s="829"/>
      <c r="H995" s="829"/>
      <c r="I995" s="829"/>
      <c r="J995" s="829"/>
      <c r="K995" s="829"/>
      <c r="L995" s="829"/>
      <c r="M995" s="829"/>
      <c r="N995" s="829"/>
      <c r="O995" s="829"/>
      <c r="P995" s="829"/>
      <c r="Q995" s="829"/>
      <c r="R995" s="829"/>
      <c r="S995" s="829"/>
      <c r="T995" s="829"/>
      <c r="U995" s="829"/>
      <c r="V995" s="829"/>
      <c r="W995" s="829"/>
      <c r="X995" s="829"/>
      <c r="Y995" s="829"/>
      <c r="Z995" s="829"/>
      <c r="AA995" s="829"/>
      <c r="AB995" s="829"/>
      <c r="AC995" s="829"/>
      <c r="AD995" s="829"/>
      <c r="AE995" s="829"/>
      <c r="AF995" s="829"/>
      <c r="AG995" s="829"/>
      <c r="AH995" s="829"/>
      <c r="AI995" s="829"/>
      <c r="AJ995" s="829"/>
      <c r="AK995" s="829"/>
      <c r="AL995" s="829"/>
      <c r="AM995" s="829"/>
      <c r="AN995" s="829"/>
    </row>
    <row r="996" spans="1:40" ht="12.75" x14ac:dyDescent="0.2">
      <c r="A996" s="829"/>
      <c r="B996" s="829"/>
      <c r="C996" s="829"/>
      <c r="D996" s="829"/>
      <c r="E996" s="829"/>
      <c r="F996" s="829"/>
      <c r="G996" s="829"/>
      <c r="H996" s="829"/>
      <c r="I996" s="829"/>
      <c r="J996" s="829"/>
      <c r="K996" s="829"/>
      <c r="L996" s="829"/>
      <c r="M996" s="829"/>
      <c r="N996" s="829"/>
      <c r="O996" s="829"/>
      <c r="P996" s="829"/>
      <c r="Q996" s="829"/>
      <c r="R996" s="829"/>
      <c r="S996" s="829"/>
      <c r="T996" s="829"/>
      <c r="U996" s="829"/>
      <c r="V996" s="829"/>
      <c r="W996" s="829"/>
      <c r="X996" s="829"/>
      <c r="Y996" s="829"/>
      <c r="Z996" s="829"/>
      <c r="AA996" s="829"/>
      <c r="AB996" s="829"/>
      <c r="AC996" s="829"/>
      <c r="AD996" s="829"/>
      <c r="AE996" s="829"/>
      <c r="AF996" s="829"/>
      <c r="AG996" s="829"/>
      <c r="AH996" s="829"/>
      <c r="AI996" s="829"/>
      <c r="AJ996" s="829"/>
      <c r="AK996" s="829"/>
      <c r="AL996" s="829"/>
      <c r="AM996" s="829"/>
      <c r="AN996" s="829"/>
    </row>
    <row r="997" spans="1:40" ht="12.75" x14ac:dyDescent="0.2">
      <c r="A997" s="829"/>
      <c r="B997" s="829"/>
      <c r="C997" s="829"/>
      <c r="D997" s="829"/>
      <c r="E997" s="829"/>
      <c r="F997" s="829"/>
      <c r="G997" s="829"/>
      <c r="H997" s="829"/>
      <c r="I997" s="829"/>
      <c r="J997" s="829"/>
      <c r="K997" s="829"/>
      <c r="L997" s="829"/>
      <c r="M997" s="829"/>
      <c r="N997" s="829"/>
      <c r="O997" s="829"/>
      <c r="P997" s="829"/>
      <c r="Q997" s="829"/>
      <c r="R997" s="829"/>
      <c r="S997" s="829"/>
      <c r="T997" s="829"/>
      <c r="U997" s="829"/>
      <c r="V997" s="829"/>
      <c r="W997" s="829"/>
      <c r="X997" s="829"/>
      <c r="Y997" s="829"/>
      <c r="Z997" s="829"/>
      <c r="AA997" s="829"/>
      <c r="AB997" s="829"/>
      <c r="AC997" s="829"/>
      <c r="AD997" s="829"/>
      <c r="AE997" s="829"/>
      <c r="AF997" s="829"/>
      <c r="AG997" s="829"/>
      <c r="AH997" s="829"/>
      <c r="AI997" s="829"/>
      <c r="AJ997" s="829"/>
      <c r="AK997" s="829"/>
      <c r="AL997" s="829"/>
      <c r="AM997" s="829"/>
      <c r="AN997" s="829"/>
    </row>
    <row r="998" spans="1:40" ht="12.75" x14ac:dyDescent="0.2">
      <c r="A998" s="829"/>
      <c r="B998" s="829"/>
      <c r="C998" s="829"/>
      <c r="D998" s="829"/>
      <c r="E998" s="829"/>
      <c r="F998" s="829"/>
      <c r="G998" s="829"/>
      <c r="H998" s="829"/>
      <c r="I998" s="829"/>
      <c r="J998" s="829"/>
      <c r="K998" s="829"/>
      <c r="L998" s="829"/>
      <c r="M998" s="829"/>
      <c r="N998" s="829"/>
      <c r="O998" s="829"/>
      <c r="P998" s="829"/>
      <c r="Q998" s="829"/>
      <c r="R998" s="829"/>
      <c r="S998" s="829"/>
      <c r="T998" s="829"/>
      <c r="U998" s="829"/>
      <c r="V998" s="829"/>
      <c r="W998" s="829"/>
      <c r="X998" s="829"/>
      <c r="Y998" s="829"/>
      <c r="Z998" s="829"/>
      <c r="AA998" s="829"/>
      <c r="AB998" s="829"/>
      <c r="AC998" s="829"/>
      <c r="AD998" s="829"/>
      <c r="AE998" s="829"/>
      <c r="AF998" s="829"/>
      <c r="AG998" s="829"/>
      <c r="AH998" s="829"/>
      <c r="AI998" s="829"/>
      <c r="AJ998" s="829"/>
      <c r="AK998" s="829"/>
      <c r="AL998" s="829"/>
      <c r="AM998" s="829"/>
      <c r="AN998" s="829"/>
    </row>
    <row r="999" spans="1:40" ht="12.75" x14ac:dyDescent="0.2">
      <c r="A999" s="829"/>
      <c r="B999" s="829"/>
      <c r="C999" s="829"/>
      <c r="D999" s="829"/>
      <c r="E999" s="829"/>
      <c r="F999" s="829"/>
      <c r="G999" s="829"/>
      <c r="H999" s="829"/>
      <c r="I999" s="829"/>
      <c r="J999" s="829"/>
      <c r="K999" s="829"/>
      <c r="L999" s="829"/>
      <c r="M999" s="829"/>
      <c r="N999" s="829"/>
      <c r="O999" s="829"/>
      <c r="P999" s="829"/>
      <c r="Q999" s="829"/>
      <c r="R999" s="829"/>
      <c r="S999" s="829"/>
      <c r="T999" s="829"/>
      <c r="U999" s="829"/>
      <c r="V999" s="829"/>
      <c r="W999" s="829"/>
      <c r="X999" s="829"/>
      <c r="Y999" s="829"/>
      <c r="Z999" s="829"/>
      <c r="AA999" s="829"/>
      <c r="AB999" s="829"/>
      <c r="AC999" s="829"/>
      <c r="AD999" s="829"/>
      <c r="AE999" s="829"/>
      <c r="AF999" s="829"/>
      <c r="AG999" s="829"/>
      <c r="AH999" s="829"/>
      <c r="AI999" s="829"/>
      <c r="AJ999" s="829"/>
      <c r="AK999" s="829"/>
      <c r="AL999" s="829"/>
      <c r="AM999" s="829"/>
      <c r="AN999" s="829"/>
    </row>
    <row r="1000" spans="1:40" ht="12.75" x14ac:dyDescent="0.2">
      <c r="A1000" s="829"/>
      <c r="B1000" s="829"/>
      <c r="C1000" s="829"/>
      <c r="D1000" s="829"/>
      <c r="E1000" s="829"/>
      <c r="F1000" s="829"/>
      <c r="G1000" s="829"/>
      <c r="H1000" s="829"/>
      <c r="I1000" s="829"/>
      <c r="J1000" s="829"/>
      <c r="K1000" s="829"/>
      <c r="L1000" s="829"/>
      <c r="M1000" s="829"/>
      <c r="N1000" s="829"/>
      <c r="O1000" s="829"/>
      <c r="P1000" s="829"/>
      <c r="Q1000" s="829"/>
      <c r="R1000" s="829"/>
      <c r="S1000" s="829"/>
      <c r="T1000" s="829"/>
      <c r="U1000" s="829"/>
      <c r="V1000" s="829"/>
      <c r="W1000" s="829"/>
      <c r="X1000" s="829"/>
      <c r="Y1000" s="829"/>
      <c r="Z1000" s="829"/>
      <c r="AA1000" s="829"/>
      <c r="AB1000" s="829"/>
      <c r="AC1000" s="829"/>
      <c r="AD1000" s="829"/>
      <c r="AE1000" s="829"/>
      <c r="AF1000" s="829"/>
      <c r="AG1000" s="829"/>
      <c r="AH1000" s="829"/>
      <c r="AI1000" s="829"/>
      <c r="AJ1000" s="829"/>
      <c r="AK1000" s="829"/>
      <c r="AL1000" s="829"/>
      <c r="AM1000" s="829"/>
      <c r="AN1000" s="829"/>
    </row>
    <row r="1001" spans="1:40" ht="12.75" x14ac:dyDescent="0.2">
      <c r="A1001" s="829"/>
      <c r="B1001" s="829"/>
      <c r="C1001" s="829"/>
      <c r="D1001" s="829"/>
      <c r="E1001" s="829"/>
      <c r="F1001" s="829"/>
      <c r="G1001" s="829"/>
      <c r="H1001" s="829"/>
      <c r="I1001" s="829"/>
      <c r="J1001" s="829"/>
      <c r="K1001" s="829"/>
      <c r="L1001" s="829"/>
      <c r="M1001" s="829"/>
      <c r="N1001" s="829"/>
      <c r="O1001" s="829"/>
      <c r="P1001" s="829"/>
      <c r="Q1001" s="829"/>
      <c r="R1001" s="829"/>
      <c r="S1001" s="829"/>
      <c r="T1001" s="829"/>
      <c r="U1001" s="829"/>
      <c r="V1001" s="829"/>
      <c r="W1001" s="829"/>
      <c r="X1001" s="829"/>
      <c r="Y1001" s="829"/>
      <c r="Z1001" s="829"/>
      <c r="AA1001" s="829"/>
      <c r="AB1001" s="829"/>
      <c r="AC1001" s="829"/>
      <c r="AD1001" s="829"/>
      <c r="AE1001" s="829"/>
      <c r="AF1001" s="829"/>
      <c r="AG1001" s="829"/>
      <c r="AH1001" s="829"/>
      <c r="AI1001" s="829"/>
      <c r="AJ1001" s="829"/>
      <c r="AK1001" s="829"/>
      <c r="AL1001" s="829"/>
      <c r="AM1001" s="829"/>
      <c r="AN1001" s="829"/>
    </row>
    <row r="1002" spans="1:40" ht="12.75" x14ac:dyDescent="0.2">
      <c r="A1002" s="829"/>
      <c r="B1002" s="829"/>
      <c r="C1002" s="829"/>
      <c r="D1002" s="829"/>
      <c r="E1002" s="829"/>
      <c r="F1002" s="829"/>
      <c r="G1002" s="829"/>
      <c r="H1002" s="829"/>
      <c r="I1002" s="829"/>
      <c r="J1002" s="829"/>
      <c r="K1002" s="829"/>
      <c r="L1002" s="829"/>
      <c r="M1002" s="829"/>
      <c r="N1002" s="829"/>
      <c r="O1002" s="829"/>
      <c r="P1002" s="829"/>
      <c r="Q1002" s="829"/>
      <c r="R1002" s="829"/>
      <c r="S1002" s="829"/>
      <c r="T1002" s="829"/>
      <c r="U1002" s="829"/>
      <c r="V1002" s="829"/>
      <c r="W1002" s="829"/>
      <c r="X1002" s="829"/>
      <c r="Y1002" s="829"/>
      <c r="Z1002" s="829"/>
      <c r="AA1002" s="829"/>
      <c r="AB1002" s="829"/>
      <c r="AC1002" s="829"/>
      <c r="AD1002" s="829"/>
      <c r="AE1002" s="829"/>
      <c r="AF1002" s="829"/>
      <c r="AG1002" s="829"/>
      <c r="AH1002" s="829"/>
      <c r="AI1002" s="829"/>
      <c r="AJ1002" s="829"/>
      <c r="AK1002" s="829"/>
      <c r="AL1002" s="829"/>
      <c r="AM1002" s="829"/>
      <c r="AN1002" s="829"/>
    </row>
    <row r="1003" spans="1:40" ht="12.75" x14ac:dyDescent="0.2">
      <c r="A1003" s="829"/>
      <c r="B1003" s="829"/>
      <c r="C1003" s="829"/>
      <c r="D1003" s="829"/>
      <c r="E1003" s="829"/>
      <c r="F1003" s="829"/>
      <c r="G1003" s="829"/>
      <c r="H1003" s="829"/>
      <c r="I1003" s="829"/>
      <c r="J1003" s="829"/>
      <c r="K1003" s="829"/>
      <c r="L1003" s="829"/>
      <c r="M1003" s="829"/>
      <c r="N1003" s="829"/>
      <c r="O1003" s="829"/>
      <c r="P1003" s="829"/>
      <c r="Q1003" s="829"/>
      <c r="R1003" s="829"/>
      <c r="S1003" s="829"/>
      <c r="T1003" s="829"/>
      <c r="U1003" s="829"/>
      <c r="V1003" s="829"/>
      <c r="W1003" s="829"/>
      <c r="X1003" s="829"/>
      <c r="Y1003" s="829"/>
      <c r="Z1003" s="829"/>
      <c r="AA1003" s="829"/>
      <c r="AB1003" s="829"/>
      <c r="AC1003" s="829"/>
      <c r="AD1003" s="829"/>
      <c r="AE1003" s="829"/>
      <c r="AF1003" s="829"/>
      <c r="AG1003" s="829"/>
      <c r="AH1003" s="829"/>
      <c r="AI1003" s="829"/>
      <c r="AJ1003" s="829"/>
      <c r="AK1003" s="829"/>
      <c r="AL1003" s="829"/>
      <c r="AM1003" s="829"/>
      <c r="AN1003" s="829"/>
    </row>
    <row r="1004" spans="1:40" ht="12.75" x14ac:dyDescent="0.2">
      <c r="A1004" s="829"/>
      <c r="B1004" s="829"/>
      <c r="C1004" s="829"/>
      <c r="D1004" s="829"/>
      <c r="E1004" s="829"/>
      <c r="F1004" s="829"/>
      <c r="G1004" s="829"/>
      <c r="H1004" s="829"/>
      <c r="I1004" s="829"/>
      <c r="J1004" s="829"/>
      <c r="K1004" s="829"/>
      <c r="L1004" s="829"/>
      <c r="M1004" s="829"/>
      <c r="N1004" s="829"/>
      <c r="O1004" s="829"/>
      <c r="P1004" s="829"/>
      <c r="Q1004" s="829"/>
      <c r="R1004" s="829"/>
      <c r="S1004" s="829"/>
      <c r="T1004" s="829"/>
      <c r="U1004" s="829"/>
      <c r="V1004" s="829"/>
      <c r="W1004" s="829"/>
      <c r="X1004" s="829"/>
      <c r="Y1004" s="829"/>
      <c r="Z1004" s="829"/>
      <c r="AA1004" s="829"/>
      <c r="AB1004" s="829"/>
      <c r="AC1004" s="829"/>
      <c r="AD1004" s="829"/>
      <c r="AE1004" s="829"/>
      <c r="AF1004" s="829"/>
      <c r="AG1004" s="829"/>
      <c r="AH1004" s="829"/>
      <c r="AI1004" s="829"/>
      <c r="AJ1004" s="829"/>
      <c r="AK1004" s="829"/>
      <c r="AL1004" s="829"/>
      <c r="AM1004" s="829"/>
      <c r="AN1004" s="829"/>
    </row>
    <row r="1005" spans="1:40" ht="12.75" x14ac:dyDescent="0.2">
      <c r="A1005" s="829"/>
      <c r="B1005" s="829"/>
      <c r="C1005" s="829"/>
      <c r="D1005" s="829"/>
      <c r="E1005" s="829"/>
      <c r="F1005" s="829"/>
      <c r="G1005" s="829"/>
      <c r="H1005" s="829"/>
      <c r="I1005" s="829"/>
      <c r="J1005" s="829"/>
      <c r="K1005" s="829"/>
      <c r="L1005" s="829"/>
      <c r="M1005" s="829"/>
      <c r="N1005" s="829"/>
      <c r="O1005" s="829"/>
      <c r="P1005" s="829"/>
      <c r="Q1005" s="829"/>
      <c r="R1005" s="829"/>
      <c r="S1005" s="829"/>
      <c r="T1005" s="829"/>
      <c r="U1005" s="829"/>
      <c r="V1005" s="829"/>
      <c r="W1005" s="829"/>
      <c r="X1005" s="829"/>
      <c r="Y1005" s="829"/>
      <c r="Z1005" s="829"/>
      <c r="AA1005" s="829"/>
      <c r="AB1005" s="829"/>
      <c r="AC1005" s="829"/>
      <c r="AD1005" s="829"/>
      <c r="AE1005" s="829"/>
      <c r="AF1005" s="829"/>
      <c r="AG1005" s="829"/>
      <c r="AH1005" s="829"/>
      <c r="AI1005" s="829"/>
      <c r="AJ1005" s="829"/>
      <c r="AK1005" s="829"/>
      <c r="AL1005" s="829"/>
      <c r="AM1005" s="829"/>
      <c r="AN1005" s="829"/>
    </row>
    <row r="1006" spans="1:40" ht="12.75" x14ac:dyDescent="0.2">
      <c r="A1006" s="829"/>
      <c r="B1006" s="829"/>
      <c r="C1006" s="829"/>
      <c r="D1006" s="829"/>
      <c r="E1006" s="829"/>
      <c r="F1006" s="829"/>
      <c r="G1006" s="829"/>
      <c r="H1006" s="829"/>
      <c r="I1006" s="829"/>
      <c r="J1006" s="829"/>
      <c r="K1006" s="829"/>
      <c r="L1006" s="829"/>
      <c r="M1006" s="829"/>
      <c r="N1006" s="829"/>
      <c r="O1006" s="829"/>
      <c r="P1006" s="829"/>
      <c r="Q1006" s="829"/>
      <c r="R1006" s="829"/>
      <c r="S1006" s="829"/>
      <c r="T1006" s="829"/>
      <c r="U1006" s="829"/>
      <c r="V1006" s="829"/>
      <c r="W1006" s="829"/>
      <c r="X1006" s="829"/>
      <c r="Y1006" s="829"/>
      <c r="Z1006" s="829"/>
      <c r="AA1006" s="829"/>
      <c r="AB1006" s="829"/>
      <c r="AC1006" s="829"/>
      <c r="AD1006" s="829"/>
      <c r="AE1006" s="829"/>
      <c r="AF1006" s="829"/>
      <c r="AG1006" s="829"/>
      <c r="AH1006" s="829"/>
      <c r="AI1006" s="829"/>
      <c r="AJ1006" s="829"/>
      <c r="AK1006" s="829"/>
      <c r="AL1006" s="829"/>
      <c r="AM1006" s="829"/>
      <c r="AN1006" s="829"/>
    </row>
    <row r="1007" spans="1:40" ht="12.75" x14ac:dyDescent="0.2">
      <c r="A1007" s="829"/>
      <c r="B1007" s="829"/>
      <c r="C1007" s="829"/>
      <c r="D1007" s="829"/>
      <c r="E1007" s="829"/>
      <c r="F1007" s="829"/>
      <c r="G1007" s="829"/>
      <c r="H1007" s="829"/>
      <c r="I1007" s="829"/>
      <c r="J1007" s="829"/>
      <c r="K1007" s="829"/>
      <c r="L1007" s="829"/>
      <c r="M1007" s="829"/>
      <c r="N1007" s="829"/>
      <c r="O1007" s="829"/>
      <c r="P1007" s="829"/>
      <c r="Q1007" s="829"/>
      <c r="R1007" s="829"/>
      <c r="S1007" s="829"/>
      <c r="T1007" s="829"/>
      <c r="U1007" s="829"/>
      <c r="V1007" s="829"/>
      <c r="W1007" s="829"/>
      <c r="X1007" s="829"/>
      <c r="Y1007" s="829"/>
      <c r="Z1007" s="829"/>
      <c r="AA1007" s="829"/>
      <c r="AB1007" s="829"/>
      <c r="AC1007" s="829"/>
      <c r="AD1007" s="829"/>
      <c r="AE1007" s="829"/>
      <c r="AF1007" s="829"/>
      <c r="AG1007" s="829"/>
      <c r="AH1007" s="829"/>
      <c r="AI1007" s="829"/>
      <c r="AJ1007" s="829"/>
      <c r="AK1007" s="829"/>
      <c r="AL1007" s="829"/>
      <c r="AM1007" s="829"/>
      <c r="AN1007" s="829"/>
    </row>
    <row r="1008" spans="1:40" ht="12.75" x14ac:dyDescent="0.2">
      <c r="A1008" s="829"/>
      <c r="B1008" s="829"/>
      <c r="C1008" s="829"/>
      <c r="D1008" s="829"/>
      <c r="E1008" s="829"/>
      <c r="F1008" s="829"/>
      <c r="G1008" s="829"/>
      <c r="H1008" s="829"/>
      <c r="I1008" s="829"/>
      <c r="J1008" s="829"/>
      <c r="K1008" s="829"/>
      <c r="L1008" s="829"/>
      <c r="M1008" s="829"/>
      <c r="N1008" s="829"/>
      <c r="O1008" s="829"/>
      <c r="P1008" s="829"/>
      <c r="Q1008" s="829"/>
      <c r="R1008" s="829"/>
      <c r="S1008" s="829"/>
      <c r="T1008" s="829"/>
      <c r="U1008" s="829"/>
      <c r="V1008" s="829"/>
      <c r="W1008" s="829"/>
      <c r="X1008" s="829"/>
      <c r="Y1008" s="829"/>
      <c r="Z1008" s="829"/>
      <c r="AA1008" s="829"/>
      <c r="AB1008" s="829"/>
      <c r="AC1008" s="829"/>
      <c r="AD1008" s="829"/>
      <c r="AE1008" s="829"/>
      <c r="AF1008" s="829"/>
      <c r="AG1008" s="829"/>
      <c r="AH1008" s="829"/>
      <c r="AI1008" s="829"/>
      <c r="AJ1008" s="829"/>
      <c r="AK1008" s="829"/>
      <c r="AL1008" s="829"/>
      <c r="AM1008" s="829"/>
      <c r="AN1008" s="829"/>
    </row>
    <row r="1009" spans="1:40" ht="12.75" x14ac:dyDescent="0.2">
      <c r="A1009" s="829"/>
      <c r="B1009" s="829"/>
      <c r="C1009" s="829"/>
      <c r="D1009" s="829"/>
      <c r="E1009" s="829"/>
      <c r="F1009" s="829"/>
      <c r="G1009" s="829"/>
      <c r="H1009" s="829"/>
      <c r="I1009" s="829"/>
      <c r="J1009" s="829"/>
      <c r="K1009" s="829"/>
      <c r="L1009" s="829"/>
      <c r="M1009" s="829"/>
      <c r="N1009" s="829"/>
      <c r="O1009" s="829"/>
      <c r="P1009" s="829"/>
      <c r="Q1009" s="829"/>
      <c r="R1009" s="829"/>
      <c r="S1009" s="829"/>
      <c r="T1009" s="829"/>
      <c r="U1009" s="829"/>
      <c r="V1009" s="829"/>
      <c r="W1009" s="829"/>
      <c r="X1009" s="829"/>
      <c r="Y1009" s="829"/>
      <c r="Z1009" s="829"/>
      <c r="AA1009" s="829"/>
      <c r="AB1009" s="829"/>
      <c r="AC1009" s="829"/>
      <c r="AD1009" s="829"/>
      <c r="AE1009" s="829"/>
      <c r="AF1009" s="829"/>
      <c r="AG1009" s="829"/>
      <c r="AH1009" s="829"/>
      <c r="AI1009" s="829"/>
      <c r="AJ1009" s="829"/>
      <c r="AK1009" s="829"/>
      <c r="AL1009" s="829"/>
      <c r="AM1009" s="829"/>
      <c r="AN1009" s="829"/>
    </row>
    <row r="1010" spans="1:40" ht="12.75" x14ac:dyDescent="0.2">
      <c r="A1010" s="829"/>
      <c r="B1010" s="829"/>
      <c r="C1010" s="829"/>
      <c r="D1010" s="829"/>
      <c r="E1010" s="829"/>
      <c r="F1010" s="829"/>
      <c r="G1010" s="829"/>
      <c r="H1010" s="829"/>
      <c r="I1010" s="829"/>
      <c r="J1010" s="829"/>
      <c r="K1010" s="829"/>
      <c r="L1010" s="829"/>
      <c r="M1010" s="829"/>
      <c r="N1010" s="829"/>
      <c r="O1010" s="829"/>
      <c r="P1010" s="829"/>
      <c r="Q1010" s="829"/>
      <c r="R1010" s="829"/>
      <c r="S1010" s="829"/>
      <c r="T1010" s="829"/>
      <c r="U1010" s="829"/>
      <c r="V1010" s="829"/>
      <c r="W1010" s="829"/>
      <c r="X1010" s="829"/>
      <c r="Y1010" s="829"/>
      <c r="Z1010" s="829"/>
      <c r="AA1010" s="829"/>
      <c r="AB1010" s="829"/>
      <c r="AC1010" s="829"/>
      <c r="AD1010" s="829"/>
      <c r="AE1010" s="829"/>
      <c r="AF1010" s="829"/>
      <c r="AG1010" s="829"/>
      <c r="AH1010" s="829"/>
      <c r="AI1010" s="829"/>
      <c r="AJ1010" s="829"/>
      <c r="AK1010" s="829"/>
      <c r="AL1010" s="829"/>
      <c r="AM1010" s="829"/>
      <c r="AN1010" s="829"/>
    </row>
    <row r="1011" spans="1:40" ht="12.75" x14ac:dyDescent="0.2">
      <c r="A1011" s="829"/>
      <c r="B1011" s="829"/>
      <c r="C1011" s="829"/>
      <c r="D1011" s="829"/>
      <c r="E1011" s="829"/>
      <c r="F1011" s="829"/>
      <c r="G1011" s="829"/>
      <c r="H1011" s="829"/>
      <c r="I1011" s="829"/>
      <c r="J1011" s="829"/>
      <c r="K1011" s="829"/>
      <c r="L1011" s="829"/>
      <c r="M1011" s="829"/>
      <c r="N1011" s="829"/>
      <c r="O1011" s="829"/>
      <c r="P1011" s="829"/>
      <c r="Q1011" s="829"/>
      <c r="R1011" s="829"/>
      <c r="S1011" s="829"/>
      <c r="T1011" s="829"/>
      <c r="U1011" s="829"/>
      <c r="V1011" s="829"/>
      <c r="W1011" s="829"/>
      <c r="X1011" s="829"/>
      <c r="Y1011" s="829"/>
      <c r="Z1011" s="829"/>
      <c r="AA1011" s="829"/>
      <c r="AB1011" s="829"/>
      <c r="AC1011" s="829"/>
      <c r="AD1011" s="829"/>
      <c r="AE1011" s="829"/>
      <c r="AF1011" s="829"/>
      <c r="AG1011" s="829"/>
      <c r="AH1011" s="829"/>
      <c r="AI1011" s="829"/>
      <c r="AJ1011" s="829"/>
      <c r="AK1011" s="829"/>
      <c r="AL1011" s="829"/>
      <c r="AM1011" s="829"/>
      <c r="AN1011" s="829"/>
    </row>
    <row r="1012" spans="1:40" ht="12.75" x14ac:dyDescent="0.2">
      <c r="A1012" s="829"/>
      <c r="B1012" s="829"/>
      <c r="C1012" s="829"/>
      <c r="D1012" s="829"/>
      <c r="E1012" s="829"/>
      <c r="F1012" s="829"/>
      <c r="G1012" s="829"/>
      <c r="H1012" s="829"/>
      <c r="I1012" s="829"/>
      <c r="J1012" s="829"/>
      <c r="K1012" s="829"/>
      <c r="L1012" s="829"/>
      <c r="M1012" s="829"/>
      <c r="N1012" s="829"/>
      <c r="O1012" s="829"/>
      <c r="P1012" s="829"/>
      <c r="Q1012" s="829"/>
      <c r="R1012" s="829"/>
      <c r="S1012" s="829"/>
      <c r="T1012" s="829"/>
      <c r="U1012" s="829"/>
      <c r="V1012" s="829"/>
      <c r="W1012" s="829"/>
      <c r="X1012" s="829"/>
      <c r="Y1012" s="829"/>
      <c r="Z1012" s="829"/>
      <c r="AA1012" s="829"/>
      <c r="AB1012" s="829"/>
      <c r="AC1012" s="829"/>
      <c r="AD1012" s="829"/>
      <c r="AE1012" s="829"/>
      <c r="AF1012" s="829"/>
      <c r="AG1012" s="829"/>
      <c r="AH1012" s="829"/>
      <c r="AI1012" s="829"/>
      <c r="AJ1012" s="829"/>
      <c r="AK1012" s="829"/>
      <c r="AL1012" s="829"/>
      <c r="AM1012" s="829"/>
      <c r="AN1012" s="829"/>
    </row>
    <row r="1013" spans="1:40" ht="12.75" x14ac:dyDescent="0.2">
      <c r="A1013" s="829"/>
      <c r="B1013" s="829"/>
      <c r="C1013" s="829"/>
      <c r="D1013" s="829"/>
      <c r="E1013" s="829"/>
      <c r="F1013" s="829"/>
      <c r="G1013" s="829"/>
      <c r="H1013" s="829"/>
      <c r="I1013" s="829"/>
      <c r="J1013" s="829"/>
      <c r="K1013" s="829"/>
      <c r="L1013" s="829"/>
      <c r="M1013" s="829"/>
      <c r="N1013" s="829"/>
      <c r="O1013" s="829"/>
      <c r="P1013" s="829"/>
      <c r="Q1013" s="829"/>
      <c r="R1013" s="829"/>
      <c r="S1013" s="829"/>
      <c r="T1013" s="829"/>
      <c r="U1013" s="829"/>
      <c r="V1013" s="829"/>
      <c r="W1013" s="829"/>
      <c r="X1013" s="829"/>
      <c r="Y1013" s="829"/>
      <c r="Z1013" s="829"/>
      <c r="AA1013" s="829"/>
      <c r="AB1013" s="829"/>
      <c r="AC1013" s="829"/>
      <c r="AD1013" s="829"/>
      <c r="AE1013" s="829"/>
      <c r="AF1013" s="829"/>
      <c r="AG1013" s="829"/>
      <c r="AH1013" s="829"/>
      <c r="AI1013" s="829"/>
      <c r="AJ1013" s="829"/>
      <c r="AK1013" s="829"/>
      <c r="AL1013" s="829"/>
      <c r="AM1013" s="829"/>
      <c r="AN1013" s="829"/>
    </row>
    <row r="1014" spans="1:40" ht="12.75" x14ac:dyDescent="0.2">
      <c r="A1014" s="829"/>
      <c r="B1014" s="829"/>
      <c r="C1014" s="829"/>
      <c r="D1014" s="829"/>
      <c r="E1014" s="829"/>
      <c r="F1014" s="829"/>
      <c r="G1014" s="829"/>
      <c r="H1014" s="829"/>
      <c r="I1014" s="829"/>
      <c r="J1014" s="829"/>
      <c r="K1014" s="829"/>
      <c r="L1014" s="829"/>
      <c r="M1014" s="829"/>
      <c r="N1014" s="829"/>
      <c r="O1014" s="829"/>
      <c r="P1014" s="829"/>
      <c r="Q1014" s="829"/>
      <c r="R1014" s="829"/>
      <c r="S1014" s="829"/>
      <c r="T1014" s="829"/>
      <c r="U1014" s="829"/>
      <c r="V1014" s="829"/>
      <c r="W1014" s="829"/>
      <c r="X1014" s="829"/>
      <c r="Y1014" s="829"/>
      <c r="Z1014" s="829"/>
      <c r="AA1014" s="829"/>
      <c r="AB1014" s="829"/>
      <c r="AC1014" s="829"/>
      <c r="AD1014" s="829"/>
      <c r="AE1014" s="829"/>
      <c r="AF1014" s="829"/>
      <c r="AG1014" s="829"/>
      <c r="AH1014" s="829"/>
      <c r="AI1014" s="829"/>
      <c r="AJ1014" s="829"/>
      <c r="AK1014" s="829"/>
      <c r="AL1014" s="829"/>
      <c r="AM1014" s="829"/>
      <c r="AN1014" s="829"/>
    </row>
    <row r="1015" spans="1:40" ht="12.75" x14ac:dyDescent="0.2">
      <c r="A1015" s="829"/>
      <c r="B1015" s="829"/>
      <c r="C1015" s="829"/>
      <c r="D1015" s="829"/>
      <c r="E1015" s="829"/>
      <c r="F1015" s="829"/>
      <c r="G1015" s="829"/>
      <c r="H1015" s="829"/>
      <c r="I1015" s="829"/>
      <c r="J1015" s="829"/>
      <c r="K1015" s="829"/>
      <c r="L1015" s="829"/>
      <c r="M1015" s="829"/>
      <c r="N1015" s="829"/>
      <c r="O1015" s="829"/>
      <c r="P1015" s="829"/>
      <c r="Q1015" s="829"/>
      <c r="R1015" s="829"/>
      <c r="S1015" s="829"/>
      <c r="T1015" s="829"/>
      <c r="U1015" s="829"/>
      <c r="V1015" s="829"/>
      <c r="W1015" s="829"/>
      <c r="X1015" s="829"/>
      <c r="Y1015" s="829"/>
      <c r="Z1015" s="829"/>
      <c r="AA1015" s="829"/>
      <c r="AB1015" s="829"/>
      <c r="AC1015" s="829"/>
      <c r="AD1015" s="829"/>
      <c r="AE1015" s="829"/>
      <c r="AF1015" s="829"/>
      <c r="AG1015" s="829"/>
      <c r="AH1015" s="829"/>
      <c r="AI1015" s="829"/>
      <c r="AJ1015" s="829"/>
      <c r="AK1015" s="829"/>
      <c r="AL1015" s="829"/>
      <c r="AM1015" s="829"/>
      <c r="AN1015" s="829"/>
    </row>
    <row r="1016" spans="1:40" ht="12.75" x14ac:dyDescent="0.2">
      <c r="A1016" s="829"/>
      <c r="B1016" s="829"/>
      <c r="C1016" s="829"/>
      <c r="D1016" s="829"/>
      <c r="E1016" s="829"/>
      <c r="F1016" s="829"/>
      <c r="G1016" s="829"/>
      <c r="H1016" s="829"/>
      <c r="I1016" s="829"/>
      <c r="J1016" s="829"/>
      <c r="K1016" s="829"/>
      <c r="L1016" s="829"/>
      <c r="M1016" s="829"/>
      <c r="N1016" s="829"/>
      <c r="O1016" s="829"/>
      <c r="P1016" s="829"/>
      <c r="Q1016" s="829"/>
      <c r="R1016" s="829"/>
      <c r="S1016" s="829"/>
      <c r="T1016" s="829"/>
      <c r="U1016" s="829"/>
      <c r="V1016" s="829"/>
      <c r="W1016" s="829"/>
      <c r="X1016" s="829"/>
      <c r="Y1016" s="829"/>
      <c r="Z1016" s="829"/>
      <c r="AA1016" s="829"/>
      <c r="AB1016" s="829"/>
      <c r="AC1016" s="829"/>
      <c r="AD1016" s="829"/>
      <c r="AE1016" s="829"/>
      <c r="AF1016" s="829"/>
      <c r="AG1016" s="829"/>
      <c r="AH1016" s="829"/>
      <c r="AI1016" s="829"/>
      <c r="AJ1016" s="829"/>
      <c r="AK1016" s="829"/>
      <c r="AL1016" s="829"/>
      <c r="AM1016" s="829"/>
      <c r="AN1016" s="829"/>
    </row>
    <row r="1017" spans="1:40" ht="12.75" x14ac:dyDescent="0.2">
      <c r="A1017" s="829"/>
      <c r="B1017" s="829"/>
      <c r="C1017" s="829"/>
      <c r="D1017" s="829"/>
      <c r="E1017" s="829"/>
      <c r="F1017" s="829"/>
      <c r="G1017" s="829"/>
      <c r="H1017" s="829"/>
      <c r="I1017" s="829"/>
      <c r="J1017" s="829"/>
      <c r="K1017" s="829"/>
      <c r="L1017" s="829"/>
      <c r="M1017" s="829"/>
      <c r="N1017" s="829"/>
      <c r="O1017" s="829"/>
      <c r="P1017" s="829"/>
      <c r="Q1017" s="829"/>
      <c r="R1017" s="829"/>
      <c r="S1017" s="829"/>
      <c r="T1017" s="829"/>
      <c r="U1017" s="829"/>
      <c r="V1017" s="829"/>
      <c r="W1017" s="829"/>
      <c r="X1017" s="829"/>
      <c r="Y1017" s="829"/>
      <c r="Z1017" s="829"/>
      <c r="AA1017" s="829"/>
      <c r="AB1017" s="829"/>
      <c r="AC1017" s="829"/>
      <c r="AD1017" s="829"/>
      <c r="AE1017" s="829"/>
      <c r="AF1017" s="829"/>
      <c r="AG1017" s="829"/>
      <c r="AH1017" s="829"/>
      <c r="AI1017" s="829"/>
      <c r="AJ1017" s="829"/>
      <c r="AK1017" s="829"/>
      <c r="AL1017" s="829"/>
      <c r="AM1017" s="829"/>
      <c r="AN1017" s="829"/>
    </row>
  </sheetData>
  <mergeCells count="47">
    <mergeCell ref="A79:A80"/>
    <mergeCell ref="A82:A83"/>
    <mergeCell ref="AC73:AE73"/>
    <mergeCell ref="AF73:AH73"/>
    <mergeCell ref="AI73:AK73"/>
    <mergeCell ref="E73:G73"/>
    <mergeCell ref="H73:J73"/>
    <mergeCell ref="AF4:AH4"/>
    <mergeCell ref="AI4:AK4"/>
    <mergeCell ref="AL49:AN49"/>
    <mergeCell ref="W73:Y73"/>
    <mergeCell ref="Z73:AB73"/>
    <mergeCell ref="AL73:AN73"/>
    <mergeCell ref="Q72:AB72"/>
    <mergeCell ref="AC72:AN72"/>
    <mergeCell ref="T49:V49"/>
    <mergeCell ref="W49:Y49"/>
    <mergeCell ref="AC49:AE49"/>
    <mergeCell ref="AF49:AH49"/>
    <mergeCell ref="AI49:AK49"/>
    <mergeCell ref="AL4:AN4"/>
    <mergeCell ref="AC48:AN48"/>
    <mergeCell ref="E3:P3"/>
    <mergeCell ref="Q3:AB3"/>
    <mergeCell ref="AC3:AN3"/>
    <mergeCell ref="E4:G4"/>
    <mergeCell ref="H4:J4"/>
    <mergeCell ref="K4:M4"/>
    <mergeCell ref="N4:P4"/>
    <mergeCell ref="Q4:S4"/>
    <mergeCell ref="T4:V4"/>
    <mergeCell ref="E48:P48"/>
    <mergeCell ref="Q48:AB48"/>
    <mergeCell ref="W4:Y4"/>
    <mergeCell ref="Z4:AB4"/>
    <mergeCell ref="AC4:AE4"/>
    <mergeCell ref="E49:G49"/>
    <mergeCell ref="H49:J49"/>
    <mergeCell ref="K49:M49"/>
    <mergeCell ref="Z49:AB49"/>
    <mergeCell ref="K73:M73"/>
    <mergeCell ref="N73:P73"/>
    <mergeCell ref="Q73:S73"/>
    <mergeCell ref="T73:V73"/>
    <mergeCell ref="N49:P49"/>
    <mergeCell ref="Q49:S49"/>
    <mergeCell ref="E72:P72"/>
  </mergeCells>
  <conditionalFormatting sqref="A84:AN92">
    <cfRule type="cellIs" dxfId="9" priority="2" operator="equal">
      <formula>0</formula>
    </cfRule>
  </conditionalFormatting>
  <conditionalFormatting sqref="E51:E56 F51:AN68 E58:E59 E61:E68">
    <cfRule type="cellIs" dxfId="8" priority="1" operator="equal">
      <formula>0</formula>
    </cfRule>
  </conditionalFormatting>
  <hyperlinks>
    <hyperlink ref="B1" r:id="rId1" xr:uid="{00000000-0004-0000-08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D9EEB"/>
    <outlinePr summaryBelow="0" summaryRight="0"/>
  </sheetPr>
  <dimension ref="A1:AI96"/>
  <sheetViews>
    <sheetView tabSelected="1" zoomScale="55" zoomScaleNormal="55" workbookViewId="0">
      <selection activeCell="B34" sqref="B34"/>
    </sheetView>
  </sheetViews>
  <sheetFormatPr defaultColWidth="12.5703125" defaultRowHeight="15.75" customHeight="1" x14ac:dyDescent="0.2"/>
  <cols>
    <col min="2" max="2" width="31" customWidth="1"/>
    <col min="4" max="4" width="13.42578125" customWidth="1"/>
    <col min="7" max="7" width="15.85546875" customWidth="1"/>
    <col min="8" max="8" width="16.7109375" hidden="1" customWidth="1"/>
    <col min="9" max="12" width="12.5703125" hidden="1" customWidth="1"/>
    <col min="13" max="13" width="16.7109375" customWidth="1"/>
    <col min="15" max="15" width="14.28515625" bestFit="1" customWidth="1"/>
    <col min="16" max="17" width="12.5703125" hidden="1"/>
    <col min="21" max="22" width="12.5703125" hidden="1"/>
    <col min="26" max="32" width="12.5703125" hidden="1"/>
  </cols>
  <sheetData>
    <row r="1" spans="1:35" ht="14.25" x14ac:dyDescent="0.2">
      <c r="A1" s="1433" t="s">
        <v>284</v>
      </c>
      <c r="B1" s="1380"/>
      <c r="C1" s="1380"/>
      <c r="D1" s="1434"/>
      <c r="E1" s="243"/>
      <c r="F1" s="972"/>
      <c r="G1" s="243"/>
      <c r="H1" s="243"/>
      <c r="I1" s="243"/>
      <c r="J1" s="243"/>
      <c r="K1" s="243"/>
      <c r="L1" s="243"/>
      <c r="M1" s="973" t="s">
        <v>285</v>
      </c>
      <c r="N1" s="974" t="s">
        <v>286</v>
      </c>
      <c r="O1" s="973" t="s">
        <v>287</v>
      </c>
      <c r="P1" s="243"/>
      <c r="Q1" s="243"/>
      <c r="R1" s="973" t="s">
        <v>285</v>
      </c>
      <c r="S1" s="974" t="s">
        <v>286</v>
      </c>
      <c r="T1" s="973" t="s">
        <v>287</v>
      </c>
      <c r="U1" s="243"/>
      <c r="V1" s="243"/>
      <c r="W1" s="973" t="s">
        <v>285</v>
      </c>
      <c r="X1" s="974" t="s">
        <v>286</v>
      </c>
      <c r="Y1" s="243" t="s">
        <v>287</v>
      </c>
      <c r="Z1" s="243"/>
      <c r="AA1" s="243"/>
      <c r="AB1" s="973" t="s">
        <v>285</v>
      </c>
      <c r="AC1" s="974" t="s">
        <v>286</v>
      </c>
      <c r="AD1" s="973" t="s">
        <v>287</v>
      </c>
      <c r="AE1" s="243"/>
      <c r="AF1" s="243"/>
      <c r="AG1" s="223"/>
      <c r="AH1" s="224"/>
      <c r="AI1" s="975"/>
    </row>
    <row r="2" spans="1:35" ht="15" x14ac:dyDescent="0.2">
      <c r="A2" s="1381"/>
      <c r="B2" s="1343"/>
      <c r="C2" s="1343"/>
      <c r="D2" s="1373"/>
      <c r="E2" s="243"/>
      <c r="F2" s="976" t="s">
        <v>288</v>
      </c>
      <c r="G2" s="977">
        <f t="shared" ref="G2:G10" si="0">SUMIF($C$18:$C96,$F2,D$18:D96)</f>
        <v>9340000000</v>
      </c>
      <c r="H2" s="978"/>
      <c r="I2" s="979"/>
      <c r="J2" s="979"/>
      <c r="K2" s="979"/>
      <c r="L2" s="979"/>
      <c r="M2" s="980">
        <f t="shared" ref="M2:M10" ca="1" si="1">SUMIF($C$18:$C96,$F2,N$18:N96)</f>
        <v>2753164774.9510765</v>
      </c>
      <c r="N2" s="981">
        <f t="shared" ref="N2:N10" si="2">SUMIF($C$18:$C96,$F2,J$18:J96)</f>
        <v>0</v>
      </c>
      <c r="O2" s="982">
        <f t="shared" ref="O2:O10" ca="1" si="3">SUMIF($C$18:$C96,$F2,O$18:O96)</f>
        <v>2753164774.9510765</v>
      </c>
      <c r="P2" s="243"/>
      <c r="Q2" s="243"/>
      <c r="R2" s="980">
        <f t="shared" ref="R2:R10" ca="1" si="4">SUMIF($C$18:$C96,$F2,S$18:S96)</f>
        <v>3029428571.4285712</v>
      </c>
      <c r="S2" s="981">
        <f t="shared" ref="S2:S10" ca="1" si="5">SUMIF($C$18:$C96,$F2,O$18:O96)</f>
        <v>2753164774.9510765</v>
      </c>
      <c r="T2" s="982">
        <f t="shared" ref="T2:T10" ca="1" si="6">SUMIF($C$18:$C96,$F2,T$18:T96)</f>
        <v>5782593346.3796473</v>
      </c>
      <c r="U2" s="243"/>
      <c r="V2" s="243"/>
      <c r="W2" s="980">
        <f t="shared" ref="W2:W10" ca="1" si="7">SUMIF($C$18:$C96,$F2,X$18:X96)</f>
        <v>3029428571.4285712</v>
      </c>
      <c r="X2" s="981">
        <f t="shared" ref="X2:X10" ca="1" si="8">SUMIF($C$18:$C96,$F2,T$18:T96)</f>
        <v>5782593346.3796473</v>
      </c>
      <c r="Y2" s="982">
        <f t="shared" ref="Y2:Y10" ca="1" si="9">SUMIF($C$18:$C96,$F2,Y$18:Y96)</f>
        <v>8812021917.808218</v>
      </c>
      <c r="Z2" s="243"/>
      <c r="AA2" s="243"/>
      <c r="AB2" s="983">
        <f t="shared" ref="AB2:AB10" si="10">SUMIF($C$18:$C96,$F2,AC$18:AC96)</f>
        <v>0</v>
      </c>
      <c r="AC2" s="983">
        <f t="shared" ref="AC2:AC10" ca="1" si="11">SUMIF($C$18:$C96,$F2,Y$18:Y96)</f>
        <v>8812021917.808218</v>
      </c>
      <c r="AD2" s="983">
        <f t="shared" ref="AD2:AD10" si="12">SUMIF($C$18:$C96,$F2,AD$18:AD96)</f>
        <v>0</v>
      </c>
      <c r="AE2" s="243"/>
      <c r="AF2" s="243"/>
      <c r="AG2" s="227"/>
      <c r="AH2" s="225"/>
      <c r="AI2" s="226"/>
    </row>
    <row r="3" spans="1:35" ht="15" x14ac:dyDescent="0.2">
      <c r="A3" s="1381"/>
      <c r="B3" s="1343"/>
      <c r="C3" s="1343"/>
      <c r="D3" s="1373"/>
      <c r="E3" s="243"/>
      <c r="F3" s="976" t="s">
        <v>289</v>
      </c>
      <c r="G3" s="984">
        <f t="shared" si="0"/>
        <v>440000000</v>
      </c>
      <c r="H3" s="978"/>
      <c r="I3" s="979"/>
      <c r="J3" s="979"/>
      <c r="K3" s="979"/>
      <c r="L3" s="979"/>
      <c r="M3" s="985">
        <f t="shared" ca="1" si="1"/>
        <v>70400000</v>
      </c>
      <c r="N3" s="983">
        <f t="shared" si="2"/>
        <v>0</v>
      </c>
      <c r="O3" s="986">
        <f t="shared" ca="1" si="3"/>
        <v>70400000</v>
      </c>
      <c r="P3" s="243"/>
      <c r="Q3" s="243"/>
      <c r="R3" s="985">
        <f t="shared" ca="1" si="4"/>
        <v>88000000</v>
      </c>
      <c r="S3" s="983">
        <f t="shared" ca="1" si="5"/>
        <v>70400000</v>
      </c>
      <c r="T3" s="986">
        <f t="shared" ca="1" si="6"/>
        <v>158400000</v>
      </c>
      <c r="U3" s="243"/>
      <c r="V3" s="243"/>
      <c r="W3" s="985">
        <f t="shared" ca="1" si="7"/>
        <v>88000000</v>
      </c>
      <c r="X3" s="983">
        <f t="shared" ca="1" si="8"/>
        <v>158400000</v>
      </c>
      <c r="Y3" s="986">
        <f t="shared" ca="1" si="9"/>
        <v>246400000</v>
      </c>
      <c r="Z3" s="243"/>
      <c r="AA3" s="243"/>
      <c r="AB3" s="983">
        <f t="shared" si="10"/>
        <v>0</v>
      </c>
      <c r="AC3" s="983">
        <f t="shared" ca="1" si="11"/>
        <v>246400000</v>
      </c>
      <c r="AD3" s="983">
        <f t="shared" si="12"/>
        <v>0</v>
      </c>
      <c r="AE3" s="243"/>
      <c r="AF3" s="243"/>
      <c r="AG3" s="227"/>
      <c r="AH3" s="225"/>
      <c r="AI3" s="226"/>
    </row>
    <row r="4" spans="1:35" ht="15" x14ac:dyDescent="0.2">
      <c r="A4" s="1381"/>
      <c r="B4" s="1343"/>
      <c r="C4" s="1343"/>
      <c r="D4" s="1373"/>
      <c r="E4" s="243"/>
      <c r="F4" s="976" t="s">
        <v>290</v>
      </c>
      <c r="G4" s="984">
        <f t="shared" si="0"/>
        <v>60000000</v>
      </c>
      <c r="H4" s="978"/>
      <c r="I4" s="979"/>
      <c r="J4" s="979"/>
      <c r="K4" s="979"/>
      <c r="L4" s="979"/>
      <c r="M4" s="985">
        <f t="shared" ca="1" si="1"/>
        <v>16000000</v>
      </c>
      <c r="N4" s="983">
        <f t="shared" si="2"/>
        <v>0</v>
      </c>
      <c r="O4" s="986">
        <f t="shared" ca="1" si="3"/>
        <v>16000000</v>
      </c>
      <c r="P4" s="243"/>
      <c r="Q4" s="243"/>
      <c r="R4" s="985">
        <f t="shared" ca="1" si="4"/>
        <v>20000000</v>
      </c>
      <c r="S4" s="983">
        <f t="shared" ca="1" si="5"/>
        <v>16000000</v>
      </c>
      <c r="T4" s="986">
        <f t="shared" ca="1" si="6"/>
        <v>36000000</v>
      </c>
      <c r="U4" s="243"/>
      <c r="V4" s="243"/>
      <c r="W4" s="985">
        <f t="shared" ca="1" si="7"/>
        <v>20000000</v>
      </c>
      <c r="X4" s="983">
        <f t="shared" ca="1" si="8"/>
        <v>36000000</v>
      </c>
      <c r="Y4" s="986">
        <f t="shared" ca="1" si="9"/>
        <v>56000000</v>
      </c>
      <c r="Z4" s="243"/>
      <c r="AA4" s="243"/>
      <c r="AB4" s="983">
        <f t="shared" si="10"/>
        <v>0</v>
      </c>
      <c r="AC4" s="983">
        <f t="shared" ca="1" si="11"/>
        <v>56000000</v>
      </c>
      <c r="AD4" s="983">
        <f t="shared" si="12"/>
        <v>0</v>
      </c>
      <c r="AE4" s="243"/>
      <c r="AF4" s="243"/>
      <c r="AG4" s="227"/>
      <c r="AH4" s="225"/>
      <c r="AI4" s="226"/>
    </row>
    <row r="5" spans="1:35" ht="15" x14ac:dyDescent="0.2">
      <c r="A5" s="1381"/>
      <c r="B5" s="1343"/>
      <c r="C5" s="1343"/>
      <c r="D5" s="1373"/>
      <c r="E5" s="243"/>
      <c r="F5" s="976" t="s">
        <v>291</v>
      </c>
      <c r="G5" s="984">
        <f t="shared" si="0"/>
        <v>12600000000</v>
      </c>
      <c r="H5" s="978"/>
      <c r="I5" s="979"/>
      <c r="J5" s="979"/>
      <c r="K5" s="979"/>
      <c r="L5" s="979"/>
      <c r="M5" s="985">
        <f t="shared" ca="1" si="1"/>
        <v>683041095.89041102</v>
      </c>
      <c r="N5" s="983">
        <f t="shared" si="2"/>
        <v>0</v>
      </c>
      <c r="O5" s="986">
        <f t="shared" ca="1" si="3"/>
        <v>683041095.89041102</v>
      </c>
      <c r="P5" s="243"/>
      <c r="Q5" s="243"/>
      <c r="R5" s="985">
        <f t="shared" ca="1" si="4"/>
        <v>1165000000</v>
      </c>
      <c r="S5" s="983">
        <f t="shared" ca="1" si="5"/>
        <v>683041095.89041102</v>
      </c>
      <c r="T5" s="986">
        <f t="shared" ca="1" si="6"/>
        <v>1848041095.8904111</v>
      </c>
      <c r="U5" s="243"/>
      <c r="V5" s="243"/>
      <c r="W5" s="985">
        <f t="shared" ca="1" si="7"/>
        <v>1165000000</v>
      </c>
      <c r="X5" s="983">
        <f t="shared" ca="1" si="8"/>
        <v>1848041095.8904111</v>
      </c>
      <c r="Y5" s="986">
        <f t="shared" ca="1" si="9"/>
        <v>3013041095.8904114</v>
      </c>
      <c r="Z5" s="243"/>
      <c r="AA5" s="243"/>
      <c r="AB5" s="983">
        <f t="shared" si="10"/>
        <v>0</v>
      </c>
      <c r="AC5" s="983">
        <f t="shared" ca="1" si="11"/>
        <v>3013041095.8904114</v>
      </c>
      <c r="AD5" s="983">
        <f t="shared" si="12"/>
        <v>0</v>
      </c>
      <c r="AE5" s="243"/>
      <c r="AF5" s="243"/>
      <c r="AG5" s="227"/>
      <c r="AH5" s="225"/>
      <c r="AI5" s="226"/>
    </row>
    <row r="6" spans="1:35" ht="15" x14ac:dyDescent="0.2">
      <c r="A6" s="1381"/>
      <c r="B6" s="1343"/>
      <c r="C6" s="1343"/>
      <c r="D6" s="1373"/>
      <c r="E6" s="243"/>
      <c r="F6" s="976" t="s">
        <v>292</v>
      </c>
      <c r="G6" s="984">
        <f t="shared" si="0"/>
        <v>1080000000</v>
      </c>
      <c r="H6" s="978"/>
      <c r="I6" s="979"/>
      <c r="J6" s="979"/>
      <c r="K6" s="979"/>
      <c r="L6" s="979"/>
      <c r="M6" s="985">
        <f t="shared" ca="1" si="1"/>
        <v>84896281.800391376</v>
      </c>
      <c r="N6" s="983">
        <f t="shared" si="2"/>
        <v>0</v>
      </c>
      <c r="O6" s="986">
        <f t="shared" ca="1" si="3"/>
        <v>84896281.800391376</v>
      </c>
      <c r="P6" s="243"/>
      <c r="Q6" s="243"/>
      <c r="R6" s="985">
        <f t="shared" ca="1" si="4"/>
        <v>129285714.2857143</v>
      </c>
      <c r="S6" s="983">
        <f t="shared" ca="1" si="5"/>
        <v>84896281.800391376</v>
      </c>
      <c r="T6" s="986">
        <f t="shared" ca="1" si="6"/>
        <v>214181996.08610567</v>
      </c>
      <c r="U6" s="243"/>
      <c r="V6" s="243"/>
      <c r="W6" s="985">
        <f t="shared" ca="1" si="7"/>
        <v>129285714.28571428</v>
      </c>
      <c r="X6" s="983">
        <f t="shared" ca="1" si="8"/>
        <v>214181996.08610567</v>
      </c>
      <c r="Y6" s="986">
        <f t="shared" ca="1" si="9"/>
        <v>343467710.37181997</v>
      </c>
      <c r="Z6" s="243"/>
      <c r="AA6" s="243"/>
      <c r="AB6" s="983">
        <f t="shared" si="10"/>
        <v>0</v>
      </c>
      <c r="AC6" s="983">
        <f t="shared" ca="1" si="11"/>
        <v>343467710.37181997</v>
      </c>
      <c r="AD6" s="983">
        <f t="shared" si="12"/>
        <v>0</v>
      </c>
      <c r="AE6" s="243"/>
      <c r="AF6" s="243"/>
      <c r="AG6" s="227"/>
      <c r="AH6" s="225"/>
      <c r="AI6" s="226"/>
    </row>
    <row r="7" spans="1:35" ht="49.5" x14ac:dyDescent="0.2">
      <c r="A7" s="987"/>
      <c r="B7" s="987"/>
      <c r="C7" s="987"/>
      <c r="D7" s="987"/>
      <c r="E7" s="243"/>
      <c r="F7" s="976" t="s">
        <v>293</v>
      </c>
      <c r="G7" s="984">
        <f t="shared" si="0"/>
        <v>14400000000</v>
      </c>
      <c r="H7" s="978"/>
      <c r="I7" s="979"/>
      <c r="J7" s="979"/>
      <c r="K7" s="979"/>
      <c r="L7" s="979"/>
      <c r="M7" s="985">
        <f t="shared" ca="1" si="1"/>
        <v>680109589.04109597</v>
      </c>
      <c r="N7" s="983">
        <f t="shared" si="2"/>
        <v>0</v>
      </c>
      <c r="O7" s="986">
        <f t="shared" ca="1" si="3"/>
        <v>680109589.04109597</v>
      </c>
      <c r="P7" s="243"/>
      <c r="Q7" s="243"/>
      <c r="R7" s="985">
        <f t="shared" ca="1" si="4"/>
        <v>1160000000</v>
      </c>
      <c r="S7" s="983">
        <f t="shared" ca="1" si="5"/>
        <v>680109589.04109597</v>
      </c>
      <c r="T7" s="986">
        <f t="shared" ca="1" si="6"/>
        <v>1840109589.041096</v>
      </c>
      <c r="U7" s="243"/>
      <c r="V7" s="243"/>
      <c r="W7" s="985">
        <f t="shared" ca="1" si="7"/>
        <v>1160000000</v>
      </c>
      <c r="X7" s="983">
        <f t="shared" ca="1" si="8"/>
        <v>1840109589.041096</v>
      </c>
      <c r="Y7" s="986">
        <f t="shared" ca="1" si="9"/>
        <v>3000109589.0410957</v>
      </c>
      <c r="Z7" s="243"/>
      <c r="AA7" s="243"/>
      <c r="AB7" s="983">
        <f t="shared" si="10"/>
        <v>0</v>
      </c>
      <c r="AC7" s="983">
        <f t="shared" ca="1" si="11"/>
        <v>3000109589.0410957</v>
      </c>
      <c r="AD7" s="983">
        <f t="shared" si="12"/>
        <v>0</v>
      </c>
      <c r="AE7" s="243"/>
      <c r="AF7" s="243"/>
      <c r="AG7" s="227"/>
      <c r="AH7" s="225"/>
      <c r="AI7" s="226"/>
    </row>
    <row r="8" spans="1:35" ht="15" x14ac:dyDescent="0.2">
      <c r="A8" s="243"/>
      <c r="B8" s="988"/>
      <c r="C8" s="243"/>
      <c r="D8" s="989"/>
      <c r="E8" s="243"/>
      <c r="F8" s="976" t="s">
        <v>294</v>
      </c>
      <c r="G8" s="984">
        <f t="shared" si="0"/>
        <v>158000000</v>
      </c>
      <c r="H8" s="978"/>
      <c r="I8" s="979"/>
      <c r="J8" s="979"/>
      <c r="K8" s="979"/>
      <c r="L8" s="979"/>
      <c r="M8" s="985">
        <f t="shared" ca="1" si="1"/>
        <v>37808219.17808219</v>
      </c>
      <c r="N8" s="983">
        <f t="shared" si="2"/>
        <v>0</v>
      </c>
      <c r="O8" s="986">
        <f t="shared" ca="1" si="3"/>
        <v>37808219.17808219</v>
      </c>
      <c r="P8" s="243"/>
      <c r="Q8" s="243"/>
      <c r="R8" s="985">
        <f t="shared" ca="1" si="4"/>
        <v>46000000</v>
      </c>
      <c r="S8" s="983">
        <f t="shared" ca="1" si="5"/>
        <v>37808219.17808219</v>
      </c>
      <c r="T8" s="986">
        <f t="shared" ca="1" si="6"/>
        <v>83808219.178082198</v>
      </c>
      <c r="U8" s="243"/>
      <c r="V8" s="243"/>
      <c r="W8" s="985">
        <f t="shared" ca="1" si="7"/>
        <v>46000000</v>
      </c>
      <c r="X8" s="983">
        <f t="shared" ca="1" si="8"/>
        <v>83808219.178082198</v>
      </c>
      <c r="Y8" s="986">
        <f t="shared" ca="1" si="9"/>
        <v>129808219.1780822</v>
      </c>
      <c r="Z8" s="243"/>
      <c r="AA8" s="243"/>
      <c r="AB8" s="983">
        <f t="shared" si="10"/>
        <v>0</v>
      </c>
      <c r="AC8" s="983">
        <f t="shared" ca="1" si="11"/>
        <v>129808219.1780822</v>
      </c>
      <c r="AD8" s="983">
        <f t="shared" si="12"/>
        <v>0</v>
      </c>
      <c r="AE8" s="243"/>
      <c r="AF8" s="243"/>
      <c r="AG8" s="227"/>
      <c r="AH8" s="225"/>
      <c r="AI8" s="226"/>
    </row>
    <row r="9" spans="1:35" ht="15" x14ac:dyDescent="0.2">
      <c r="A9" s="243"/>
      <c r="B9" s="988"/>
      <c r="C9" s="243"/>
      <c r="D9" s="989"/>
      <c r="E9" s="243"/>
      <c r="F9" s="976" t="s">
        <v>295</v>
      </c>
      <c r="G9" s="984">
        <f t="shared" si="0"/>
        <v>0</v>
      </c>
      <c r="H9" s="978"/>
      <c r="I9" s="979"/>
      <c r="J9" s="979"/>
      <c r="K9" s="979"/>
      <c r="L9" s="979"/>
      <c r="M9" s="985">
        <f t="shared" si="1"/>
        <v>0</v>
      </c>
      <c r="N9" s="983">
        <f t="shared" si="2"/>
        <v>0</v>
      </c>
      <c r="O9" s="986">
        <f t="shared" si="3"/>
        <v>0</v>
      </c>
      <c r="P9" s="243"/>
      <c r="Q9" s="243"/>
      <c r="R9" s="985">
        <f t="shared" si="4"/>
        <v>0</v>
      </c>
      <c r="S9" s="983">
        <f t="shared" si="5"/>
        <v>0</v>
      </c>
      <c r="T9" s="986">
        <f t="shared" si="6"/>
        <v>0</v>
      </c>
      <c r="U9" s="243"/>
      <c r="V9" s="243"/>
      <c r="W9" s="985">
        <f t="shared" si="7"/>
        <v>0</v>
      </c>
      <c r="X9" s="983">
        <f t="shared" si="8"/>
        <v>0</v>
      </c>
      <c r="Y9" s="986">
        <f t="shared" si="9"/>
        <v>0</v>
      </c>
      <c r="Z9" s="243"/>
      <c r="AA9" s="243"/>
      <c r="AB9" s="983">
        <f t="shared" si="10"/>
        <v>0</v>
      </c>
      <c r="AC9" s="983">
        <f t="shared" si="11"/>
        <v>0</v>
      </c>
      <c r="AD9" s="983">
        <f t="shared" si="12"/>
        <v>0</v>
      </c>
      <c r="AE9" s="243"/>
      <c r="AF9" s="243"/>
      <c r="AG9" s="227"/>
      <c r="AH9" s="225"/>
      <c r="AI9" s="226"/>
    </row>
    <row r="10" spans="1:35" ht="15" x14ac:dyDescent="0.2">
      <c r="A10" s="243"/>
      <c r="B10" s="243"/>
      <c r="C10" s="243"/>
      <c r="D10" s="989"/>
      <c r="E10" s="243"/>
      <c r="F10" s="976" t="s">
        <v>296</v>
      </c>
      <c r="G10" s="984">
        <f t="shared" si="0"/>
        <v>13500000000</v>
      </c>
      <c r="H10" s="978"/>
      <c r="I10" s="979"/>
      <c r="J10" s="979"/>
      <c r="K10" s="979"/>
      <c r="L10" s="979"/>
      <c r="M10" s="990">
        <f t="shared" ca="1" si="1"/>
        <v>983454011.74168301</v>
      </c>
      <c r="N10" s="991">
        <f t="shared" si="2"/>
        <v>0</v>
      </c>
      <c r="O10" s="992">
        <f t="shared" ca="1" si="3"/>
        <v>983454011.74168301</v>
      </c>
      <c r="P10" s="243"/>
      <c r="Q10" s="243"/>
      <c r="R10" s="990">
        <f t="shared" ca="1" si="4"/>
        <v>1708928571.4285715</v>
      </c>
      <c r="S10" s="991">
        <f t="shared" ca="1" si="5"/>
        <v>983454011.74168301</v>
      </c>
      <c r="T10" s="992">
        <f t="shared" ca="1" si="6"/>
        <v>2692382583.1702547</v>
      </c>
      <c r="U10" s="243"/>
      <c r="V10" s="243"/>
      <c r="W10" s="990">
        <f t="shared" ca="1" si="7"/>
        <v>1708928571.4285715</v>
      </c>
      <c r="X10" s="991">
        <f t="shared" ca="1" si="8"/>
        <v>2692382583.1702547</v>
      </c>
      <c r="Y10" s="992">
        <f t="shared" ca="1" si="9"/>
        <v>4401311154.5988255</v>
      </c>
      <c r="Z10" s="243"/>
      <c r="AA10" s="243"/>
      <c r="AB10" s="983">
        <f t="shared" si="10"/>
        <v>0</v>
      </c>
      <c r="AC10" s="983">
        <f t="shared" ca="1" si="11"/>
        <v>4401311154.5988255</v>
      </c>
      <c r="AD10" s="983">
        <f t="shared" si="12"/>
        <v>0</v>
      </c>
      <c r="AE10" s="243"/>
      <c r="AF10" s="243"/>
      <c r="AG10" s="227"/>
      <c r="AH10" s="225"/>
      <c r="AI10" s="226"/>
    </row>
    <row r="11" spans="1:35" ht="15.75" customHeight="1" x14ac:dyDescent="0.25">
      <c r="A11" s="993"/>
      <c r="B11" s="243"/>
      <c r="C11" s="243"/>
      <c r="D11" s="989"/>
      <c r="E11" s="243"/>
      <c r="F11" s="994" t="s">
        <v>43</v>
      </c>
      <c r="G11" s="250">
        <f>SUM(G2:G10)</f>
        <v>51578000000</v>
      </c>
      <c r="H11" s="249"/>
      <c r="I11" s="249"/>
      <c r="J11" s="249"/>
      <c r="K11" s="249"/>
      <c r="L11" s="249"/>
      <c r="M11" s="995">
        <f t="shared" ref="M11:Y11" ca="1" si="13">SUM(M2:M10)</f>
        <v>5308873972.6027403</v>
      </c>
      <c r="N11" s="995">
        <f t="shared" si="13"/>
        <v>0</v>
      </c>
      <c r="O11" s="995">
        <f t="shared" ca="1" si="13"/>
        <v>5308873972.6027403</v>
      </c>
      <c r="P11" s="249">
        <f t="shared" si="13"/>
        <v>0</v>
      </c>
      <c r="Q11" s="249">
        <f t="shared" si="13"/>
        <v>0</v>
      </c>
      <c r="R11" s="995">
        <f t="shared" ca="1" si="13"/>
        <v>7346642857.1428576</v>
      </c>
      <c r="S11" s="995">
        <f t="shared" ca="1" si="13"/>
        <v>5308873972.6027403</v>
      </c>
      <c r="T11" s="995">
        <f t="shared" ca="1" si="13"/>
        <v>12655516829.745598</v>
      </c>
      <c r="U11" s="249">
        <f t="shared" si="13"/>
        <v>0</v>
      </c>
      <c r="V11" s="249">
        <f t="shared" si="13"/>
        <v>0</v>
      </c>
      <c r="W11" s="995">
        <f t="shared" ca="1" si="13"/>
        <v>7346642857.1428576</v>
      </c>
      <c r="X11" s="995">
        <f t="shared" ca="1" si="13"/>
        <v>12655516829.745598</v>
      </c>
      <c r="Y11" s="996">
        <f t="shared" ca="1" si="13"/>
        <v>20002159686.888451</v>
      </c>
      <c r="Z11" s="243"/>
      <c r="AA11" s="243"/>
      <c r="AB11" s="243"/>
      <c r="AC11" s="243"/>
      <c r="AD11" s="243"/>
      <c r="AE11" s="243"/>
      <c r="AF11" s="243"/>
      <c r="AG11" s="227"/>
      <c r="AH11" s="225"/>
      <c r="AI11" s="226"/>
    </row>
    <row r="12" spans="1:35" ht="12.75" x14ac:dyDescent="0.2">
      <c r="A12" s="243"/>
      <c r="B12" s="243"/>
      <c r="C12" s="243"/>
      <c r="D12" s="989"/>
      <c r="E12" s="243"/>
      <c r="F12" s="997"/>
      <c r="G12" s="243"/>
      <c r="H12" s="243"/>
      <c r="I12" s="243"/>
      <c r="J12" s="243"/>
      <c r="K12" s="243"/>
      <c r="L12" s="243"/>
      <c r="M12" s="243"/>
      <c r="N12" s="989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27"/>
      <c r="AH12" s="225"/>
      <c r="AI12" s="226"/>
    </row>
    <row r="13" spans="1:35" ht="12.75" x14ac:dyDescent="0.2">
      <c r="A13" s="1379" t="s">
        <v>297</v>
      </c>
      <c r="B13" s="1380"/>
      <c r="C13" s="1380"/>
      <c r="D13" s="1380"/>
      <c r="E13" s="1380"/>
      <c r="F13" s="1380"/>
      <c r="G13" s="1380"/>
      <c r="H13" s="243"/>
      <c r="I13" s="243"/>
      <c r="J13" s="243"/>
      <c r="K13" s="243"/>
      <c r="L13" s="243"/>
      <c r="M13" s="243"/>
      <c r="N13" s="989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27"/>
      <c r="AH13" s="225"/>
      <c r="AI13" s="226"/>
    </row>
    <row r="14" spans="1:35" ht="12.75" x14ac:dyDescent="0.2">
      <c r="A14" s="1381"/>
      <c r="B14" s="1343"/>
      <c r="C14" s="1343"/>
      <c r="D14" s="1343"/>
      <c r="E14" s="1343"/>
      <c r="F14" s="1343"/>
      <c r="G14" s="1343"/>
      <c r="H14" s="243"/>
      <c r="I14" s="243"/>
      <c r="J14" s="243"/>
      <c r="K14" s="243"/>
      <c r="L14" s="243"/>
      <c r="M14" s="243"/>
      <c r="N14" s="989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27"/>
      <c r="AH14" s="225"/>
      <c r="AI14" s="226"/>
    </row>
    <row r="15" spans="1:35" ht="12.75" x14ac:dyDescent="0.2">
      <c r="A15" s="1416"/>
      <c r="B15" s="1417"/>
      <c r="C15" s="1417"/>
      <c r="D15" s="1417"/>
      <c r="E15" s="1417"/>
      <c r="F15" s="1417"/>
      <c r="G15" s="1417"/>
      <c r="H15" s="243"/>
      <c r="I15" s="243"/>
      <c r="J15" s="243"/>
      <c r="K15" s="243"/>
      <c r="L15" s="243"/>
      <c r="M15" s="243"/>
      <c r="N15" s="989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27"/>
      <c r="AH15" s="225"/>
      <c r="AI15" s="226"/>
    </row>
    <row r="16" spans="1:35" ht="12.75" x14ac:dyDescent="0.2">
      <c r="A16" s="235"/>
      <c r="B16" s="998"/>
      <c r="C16" s="235"/>
      <c r="D16" s="999"/>
      <c r="E16" s="235"/>
      <c r="F16" s="235"/>
      <c r="G16" s="235"/>
      <c r="H16" s="1432">
        <v>45657</v>
      </c>
      <c r="I16" s="1345"/>
      <c r="J16" s="1345"/>
      <c r="K16" s="1345"/>
      <c r="L16" s="1346"/>
      <c r="M16" s="1432">
        <v>46022</v>
      </c>
      <c r="N16" s="1345"/>
      <c r="O16" s="1345"/>
      <c r="P16" s="1345"/>
      <c r="Q16" s="1346"/>
      <c r="R16" s="1432">
        <v>46387</v>
      </c>
      <c r="S16" s="1345"/>
      <c r="T16" s="1345"/>
      <c r="U16" s="1345"/>
      <c r="V16" s="1346"/>
      <c r="W16" s="1432">
        <v>46752</v>
      </c>
      <c r="X16" s="1345"/>
      <c r="Y16" s="1345"/>
      <c r="Z16" s="1345"/>
      <c r="AA16" s="1346"/>
      <c r="AB16" s="1432">
        <v>47118</v>
      </c>
      <c r="AC16" s="1345"/>
      <c r="AD16" s="1345"/>
      <c r="AE16" s="1345"/>
      <c r="AF16" s="1346"/>
      <c r="AG16" s="227"/>
      <c r="AH16" s="225"/>
      <c r="AI16" s="226"/>
    </row>
    <row r="17" spans="1:35" ht="12.75" x14ac:dyDescent="0.2">
      <c r="A17" s="317" t="s">
        <v>298</v>
      </c>
      <c r="B17" s="317" t="s">
        <v>299</v>
      </c>
      <c r="C17" s="317" t="s">
        <v>300</v>
      </c>
      <c r="D17" s="1000" t="s">
        <v>301</v>
      </c>
      <c r="E17" s="317" t="s">
        <v>302</v>
      </c>
      <c r="F17" s="317" t="s">
        <v>303</v>
      </c>
      <c r="G17" s="317" t="s">
        <v>304</v>
      </c>
      <c r="H17" s="1001" t="s">
        <v>305</v>
      </c>
      <c r="I17" s="1000" t="s">
        <v>306</v>
      </c>
      <c r="J17" s="317" t="s">
        <v>307</v>
      </c>
      <c r="K17" s="317" t="s">
        <v>308</v>
      </c>
      <c r="L17" s="1002" t="s">
        <v>309</v>
      </c>
      <c r="M17" s="1001" t="s">
        <v>305</v>
      </c>
      <c r="N17" s="1000" t="s">
        <v>306</v>
      </c>
      <c r="O17" s="317" t="s">
        <v>307</v>
      </c>
      <c r="P17" s="317" t="s">
        <v>310</v>
      </c>
      <c r="Q17" s="1002" t="s">
        <v>309</v>
      </c>
      <c r="R17" s="1001" t="s">
        <v>311</v>
      </c>
      <c r="S17" s="1000" t="s">
        <v>306</v>
      </c>
      <c r="T17" s="317" t="s">
        <v>307</v>
      </c>
      <c r="U17" s="317" t="s">
        <v>310</v>
      </c>
      <c r="V17" s="1002" t="s">
        <v>309</v>
      </c>
      <c r="W17" s="1001" t="s">
        <v>311</v>
      </c>
      <c r="X17" s="1000" t="s">
        <v>306</v>
      </c>
      <c r="Y17" s="317" t="s">
        <v>307</v>
      </c>
      <c r="Z17" s="317" t="s">
        <v>310</v>
      </c>
      <c r="AA17" s="1002" t="s">
        <v>309</v>
      </c>
      <c r="AB17" s="1001" t="s">
        <v>311</v>
      </c>
      <c r="AC17" s="1000" t="s">
        <v>306</v>
      </c>
      <c r="AD17" s="317" t="s">
        <v>307</v>
      </c>
      <c r="AE17" s="317" t="s">
        <v>310</v>
      </c>
      <c r="AF17" s="317" t="s">
        <v>309</v>
      </c>
      <c r="AG17" s="1003"/>
      <c r="AH17" s="225"/>
      <c r="AI17" s="226"/>
    </row>
    <row r="18" spans="1:35" ht="12.75" x14ac:dyDescent="0.2">
      <c r="A18" s="1004"/>
      <c r="B18" s="243"/>
      <c r="C18" s="243"/>
      <c r="D18" s="989"/>
      <c r="E18" s="243"/>
      <c r="F18" s="1004"/>
      <c r="G18" s="243"/>
      <c r="H18" s="1005"/>
      <c r="I18" s="243"/>
      <c r="J18" s="243"/>
      <c r="K18" s="243"/>
      <c r="L18" s="197"/>
      <c r="M18" s="1006"/>
      <c r="N18" s="1007"/>
      <c r="O18" s="258"/>
      <c r="P18" s="258"/>
      <c r="Q18" s="197"/>
      <c r="R18" s="1006"/>
      <c r="S18" s="1007"/>
      <c r="T18" s="258"/>
      <c r="U18" s="258"/>
      <c r="V18" s="197"/>
      <c r="W18" s="1006"/>
      <c r="X18" s="1007"/>
      <c r="Y18" s="1008"/>
      <c r="Z18" s="258"/>
      <c r="AA18" s="197"/>
      <c r="AB18" s="1009"/>
      <c r="AC18" s="258"/>
      <c r="AD18" s="258"/>
      <c r="AE18" s="243"/>
      <c r="AF18" s="243"/>
      <c r="AG18" s="227"/>
      <c r="AH18" s="225"/>
      <c r="AI18" s="226"/>
    </row>
    <row r="19" spans="1:35" ht="12.75" x14ac:dyDescent="0.2">
      <c r="A19" s="1010">
        <v>45792</v>
      </c>
      <c r="B19" s="243" t="s">
        <v>312</v>
      </c>
      <c r="C19" s="243" t="s">
        <v>293</v>
      </c>
      <c r="D19" s="989">
        <f>1600000000*3</f>
        <v>4800000000</v>
      </c>
      <c r="E19" s="243">
        <v>15</v>
      </c>
      <c r="F19" s="1004">
        <v>45809</v>
      </c>
      <c r="G19" s="243" t="s">
        <v>313</v>
      </c>
      <c r="H19" s="1005" t="e">
        <f t="shared" ref="H19:H96" si="14">IF(DATEDIF($F19,H$16,"D")+1&lt;#REF!*365,
     IF(DATEDIF($F19,H$16,"D")+1&lt;0, "Not yet",
                                               IF(DATEDIF($F19,H$16,"D")+1&lt;365, DATEDIF($F19,H$16,"D")+1,365)),
     IF(DATEDIF($M$16,H$16,"D")+DATEDIF(D$16,H$16,"D")-(DATEDIF($F19,H$16,"D")+1)&gt;0,
        DATEDIF($M$16,H$16,"D")+DATEDIF(D$16,H$16,"D")-(DATEDIF($F19,H$16,"D")+1), "Expired"
))</f>
        <v>#NUM!</v>
      </c>
      <c r="I19" s="243"/>
      <c r="J19" s="243"/>
      <c r="K19" s="243"/>
      <c r="L19" s="197">
        <f t="shared" ref="L19:L96" si="15">E19*365</f>
        <v>5475</v>
      </c>
      <c r="M19" s="1006">
        <f t="shared" ref="M19:M96" si="16">IFERROR(
IF(
    DATEDIF($F19, M$16, "D") + 1 &lt; 0, "Not yet",
       IF(
          DATEDIF($F19,M$16,"D") &lt; DATEDIF(H$16,M$16,"D"),
             DATEDIF($F19,M$16,"D") + 1, DATEDIF(H$16,M$16,"D") + MIN(0,L19-DATEDIF(H$16,M$16,"D")))),0)</f>
        <v>214</v>
      </c>
      <c r="N19" s="1007">
        <f t="shared" ref="N19:N96" ca="1" si="17">O19-J19</f>
        <v>187616438.3561644</v>
      </c>
      <c r="O19" s="258">
        <f ca="1">IF(NOT(L19=0),
IFERROR(_xlfn.SWITCH(
    $G19,
    "SLN", SLN($D19,, $E19*365) * ($L19-Q19),
    "DDB", SUM(DDB($D19,, $E19*365, SEQUENCE(DATEDIF($F20,M$16,"D")+1), IF($E19&lt;=4,1.5,2))),
    ""
), ""),
"--")</f>
        <v>187616438.3561644</v>
      </c>
      <c r="P19" s="258"/>
      <c r="Q19" s="197">
        <f t="shared" ref="Q19:Q96" si="18">IFERROR(L19-M19,$L19)</f>
        <v>5261</v>
      </c>
      <c r="R19" s="1006">
        <f t="shared" ref="R19:R96" si="19">IFERROR(
IF(
    DATEDIF($F19, R$16, "D") + 1 &lt; 0, "Not yet",
       IF(
          DATEDIF($F19,R$16,"D") &lt; DATEDIF(M$16,R$16,"D"),
             DATEDIF($F19,R$16,"D") + 1, DATEDIF(M$16,R$16,"D") + MIN(0,Q19-DATEDIF(M$16,R$16,"D")))),0)</f>
        <v>365</v>
      </c>
      <c r="S19" s="1007">
        <f t="shared" ref="S19:S96" ca="1" si="20">T19-O19</f>
        <v>320000000</v>
      </c>
      <c r="T19" s="258">
        <f ca="1">IF(NOT(Q19=0),
IFERROR(_xlfn.SWITCH(
    $G19,
    "SLN", SLN($D19,, $E19*365) * ($L19-V19),
    "DDB", SUM(DDB($D19,, $E19*365, SEQUENCE(DATEDIF($F20,R$16,"D")+1), IF($E19&lt;=4,1.5,2))),
    ""
), ""),
"--")</f>
        <v>507616438.3561644</v>
      </c>
      <c r="U19" s="258"/>
      <c r="V19" s="197">
        <f t="shared" ref="V19:V96" si="21">Q19-R19</f>
        <v>4896</v>
      </c>
      <c r="W19" s="1006">
        <f t="shared" ref="W19:W96" si="22">IFERROR(
IF(
    DATEDIF($F19, W$16, "D") + 1 &lt; 0, "Not yet",
       IF(
          DATEDIF($F19,W$16,"D") &lt; DATEDIF(R$16,W$16,"D"),
             DATEDIF($F19,W$16,"D") + 1, DATEDIF(R$16,W$16,"D") + MIN(0,V19-DATEDIF(R$16,W$16,"D")))),0)</f>
        <v>365</v>
      </c>
      <c r="X19" s="1007">
        <f t="shared" ref="X19:X96" ca="1" si="23">Y19-T19</f>
        <v>319999999.99999994</v>
      </c>
      <c r="Y19" s="258">
        <f ca="1">IF(NOT(V19=0),
IFERROR(_xlfn.SWITCH(
    $G19,
    "SLN", SLN($D19,, $E19*365) * ($L19-AA19),
    "DDB", SUM(DDB($D19,, $E19*365, SEQUENCE(DATEDIF($F20,W$16,"D")+1), IF($E19&lt;=4,1.5,2))),
    ""
), ""),
"--")</f>
        <v>827616438.35616434</v>
      </c>
      <c r="Z19" s="258"/>
      <c r="AA19" s="197">
        <f t="shared" ref="AA19:AA96" si="24">V19-W19</f>
        <v>4531</v>
      </c>
      <c r="AB19" s="1009"/>
      <c r="AC19" s="258"/>
      <c r="AD19" s="258"/>
      <c r="AE19" s="243"/>
      <c r="AF19" s="243"/>
      <c r="AG19" s="227"/>
      <c r="AH19" s="225"/>
      <c r="AI19" s="226"/>
    </row>
    <row r="20" spans="1:35" ht="12.75" x14ac:dyDescent="0.2">
      <c r="A20" s="1010">
        <v>45792</v>
      </c>
      <c r="B20" s="243" t="s">
        <v>314</v>
      </c>
      <c r="C20" s="243" t="s">
        <v>293</v>
      </c>
      <c r="D20" s="989">
        <f>1200000000*3</f>
        <v>3600000000</v>
      </c>
      <c r="E20" s="243">
        <v>15</v>
      </c>
      <c r="F20" s="1004">
        <v>45809</v>
      </c>
      <c r="G20" s="243" t="s">
        <v>313</v>
      </c>
      <c r="H20" s="1005" t="e">
        <f t="shared" si="14"/>
        <v>#NUM!</v>
      </c>
      <c r="I20" s="243"/>
      <c r="J20" s="243"/>
      <c r="K20" s="243"/>
      <c r="L20" s="197">
        <f t="shared" si="15"/>
        <v>5475</v>
      </c>
      <c r="M20" s="1006">
        <f t="shared" si="16"/>
        <v>214</v>
      </c>
      <c r="N20" s="1007">
        <f t="shared" ca="1" si="17"/>
        <v>140712328.76712328</v>
      </c>
      <c r="O20" s="258">
        <f t="shared" ref="O20:O83" ca="1" si="25">IF(NOT(L20=0),
IFERROR(_xlfn.SWITCH(
    $G20,
    "SLN", SLN($D20,, $E20*365) * ($L20-Q20),
    "DDB", SUM(DDB($D20,, $E20*365, SEQUENCE(DATEDIF($F21,M$16,"D")+1), IF($E20&lt;=4,1.5,2))),
    ""
), ""),
"--")</f>
        <v>140712328.76712328</v>
      </c>
      <c r="P20" s="258"/>
      <c r="Q20" s="197">
        <f t="shared" si="18"/>
        <v>5261</v>
      </c>
      <c r="R20" s="1006">
        <f t="shared" si="19"/>
        <v>365</v>
      </c>
      <c r="S20" s="1007">
        <f t="shared" ca="1" si="20"/>
        <v>240000000</v>
      </c>
      <c r="T20" s="258">
        <f t="shared" ref="T20:T83" ca="1" si="26">IF(NOT(Q20=0),
IFERROR(_xlfn.SWITCH(
    $G20,
    "SLN", SLN($D20,, $E20*365) * ($L20-V20),
    "DDB", SUM(DDB($D20,, $E20*365, SEQUENCE(DATEDIF($F21,R$16,"D")+1), IF($E20&lt;=4,1.5,2))),
    ""
), ""),
"--")</f>
        <v>380712328.76712328</v>
      </c>
      <c r="U20" s="258"/>
      <c r="V20" s="197">
        <f t="shared" si="21"/>
        <v>4896</v>
      </c>
      <c r="W20" s="1006">
        <f t="shared" si="22"/>
        <v>365</v>
      </c>
      <c r="X20" s="1007">
        <f t="shared" ca="1" si="23"/>
        <v>240000000.00000006</v>
      </c>
      <c r="Y20" s="258">
        <f t="shared" ref="Y20:Y83" ca="1" si="27">IF(NOT(V20=0),
IFERROR(_xlfn.SWITCH(
    $G20,
    "SLN", SLN($D20,, $E20*365) * ($L20-AA20),
    "DDB", SUM(DDB($D20,, $E20*365, SEQUENCE(DATEDIF($F21,W$16,"D")+1), IF($E20&lt;=4,1.5,2))),
    ""
), ""),
"--")</f>
        <v>620712328.76712334</v>
      </c>
      <c r="Z20" s="258"/>
      <c r="AA20" s="197">
        <f t="shared" si="24"/>
        <v>4531</v>
      </c>
      <c r="AB20" s="243"/>
      <c r="AC20" s="243"/>
      <c r="AD20" s="243"/>
      <c r="AE20" s="243"/>
      <c r="AF20" s="243"/>
      <c r="AG20" s="227"/>
      <c r="AH20" s="225"/>
      <c r="AI20" s="226"/>
    </row>
    <row r="21" spans="1:35" ht="12.75" x14ac:dyDescent="0.2">
      <c r="A21" s="1010">
        <v>45792</v>
      </c>
      <c r="B21" s="243" t="s">
        <v>315</v>
      </c>
      <c r="C21" s="243" t="s">
        <v>293</v>
      </c>
      <c r="D21" s="989">
        <v>6000000000</v>
      </c>
      <c r="E21" s="243">
        <v>10</v>
      </c>
      <c r="F21" s="1004">
        <v>45809</v>
      </c>
      <c r="G21" s="243" t="s">
        <v>313</v>
      </c>
      <c r="H21" s="1005" t="e">
        <f t="shared" si="14"/>
        <v>#NUM!</v>
      </c>
      <c r="I21" s="243"/>
      <c r="J21" s="243"/>
      <c r="K21" s="243"/>
      <c r="L21" s="197">
        <f t="shared" si="15"/>
        <v>3650</v>
      </c>
      <c r="M21" s="1006">
        <f t="shared" si="16"/>
        <v>214</v>
      </c>
      <c r="N21" s="1007">
        <f t="shared" ca="1" si="17"/>
        <v>351780821.91780823</v>
      </c>
      <c r="O21" s="258">
        <f t="shared" ca="1" si="25"/>
        <v>351780821.91780823</v>
      </c>
      <c r="P21" s="258"/>
      <c r="Q21" s="197">
        <f t="shared" si="18"/>
        <v>3436</v>
      </c>
      <c r="R21" s="1006">
        <f t="shared" si="19"/>
        <v>365</v>
      </c>
      <c r="S21" s="1007">
        <f t="shared" ca="1" si="20"/>
        <v>600000000</v>
      </c>
      <c r="T21" s="258">
        <f t="shared" ca="1" si="26"/>
        <v>951780821.91780829</v>
      </c>
      <c r="U21" s="258"/>
      <c r="V21" s="197">
        <f t="shared" si="21"/>
        <v>3071</v>
      </c>
      <c r="W21" s="1006">
        <f t="shared" si="22"/>
        <v>365</v>
      </c>
      <c r="X21" s="1007">
        <f t="shared" ca="1" si="23"/>
        <v>600000000</v>
      </c>
      <c r="Y21" s="258">
        <f t="shared" ca="1" si="27"/>
        <v>1551780821.9178083</v>
      </c>
      <c r="Z21" s="258"/>
      <c r="AA21" s="197">
        <f t="shared" si="24"/>
        <v>2706</v>
      </c>
      <c r="AB21" s="243"/>
      <c r="AC21" s="243"/>
      <c r="AD21" s="243"/>
      <c r="AE21" s="243"/>
      <c r="AF21" s="243"/>
      <c r="AG21" s="227"/>
      <c r="AH21" s="225"/>
      <c r="AI21" s="226"/>
    </row>
    <row r="22" spans="1:35" ht="12.75" x14ac:dyDescent="0.2">
      <c r="A22" s="1010">
        <v>45792</v>
      </c>
      <c r="B22" s="243" t="s">
        <v>316</v>
      </c>
      <c r="C22" s="243" t="s">
        <v>291</v>
      </c>
      <c r="D22" s="989">
        <f>2500000000*3</f>
        <v>7500000000</v>
      </c>
      <c r="E22" s="243">
        <v>12</v>
      </c>
      <c r="F22" s="1004">
        <v>45809</v>
      </c>
      <c r="G22" s="243" t="s">
        <v>313</v>
      </c>
      <c r="H22" s="1005" t="e">
        <f t="shared" si="14"/>
        <v>#NUM!</v>
      </c>
      <c r="I22" s="243"/>
      <c r="J22" s="243"/>
      <c r="K22" s="243"/>
      <c r="L22" s="197">
        <f t="shared" si="15"/>
        <v>4380</v>
      </c>
      <c r="M22" s="1006">
        <f t="shared" si="16"/>
        <v>214</v>
      </c>
      <c r="N22" s="1007">
        <f t="shared" ca="1" si="17"/>
        <v>366438356.16438359</v>
      </c>
      <c r="O22" s="258">
        <f t="shared" ca="1" si="25"/>
        <v>366438356.16438359</v>
      </c>
      <c r="P22" s="258"/>
      <c r="Q22" s="197">
        <f t="shared" si="18"/>
        <v>4166</v>
      </c>
      <c r="R22" s="1006">
        <f t="shared" si="19"/>
        <v>365</v>
      </c>
      <c r="S22" s="1007">
        <f t="shared" ca="1" si="20"/>
        <v>625000000</v>
      </c>
      <c r="T22" s="258">
        <f t="shared" ca="1" si="26"/>
        <v>991438356.16438365</v>
      </c>
      <c r="U22" s="258"/>
      <c r="V22" s="197">
        <f t="shared" si="21"/>
        <v>3801</v>
      </c>
      <c r="W22" s="1006">
        <f t="shared" si="22"/>
        <v>365</v>
      </c>
      <c r="X22" s="1007">
        <f t="shared" ca="1" si="23"/>
        <v>625000000</v>
      </c>
      <c r="Y22" s="258">
        <f t="shared" ca="1" si="27"/>
        <v>1616438356.1643836</v>
      </c>
      <c r="Z22" s="258"/>
      <c r="AA22" s="197">
        <f t="shared" si="24"/>
        <v>3436</v>
      </c>
      <c r="AB22" s="243"/>
      <c r="AC22" s="243"/>
      <c r="AD22" s="243"/>
      <c r="AE22" s="243"/>
      <c r="AF22" s="243"/>
      <c r="AG22" s="227"/>
      <c r="AH22" s="225"/>
      <c r="AI22" s="226"/>
    </row>
    <row r="23" spans="1:35" ht="12.75" x14ac:dyDescent="0.2">
      <c r="A23" s="1010">
        <v>45792</v>
      </c>
      <c r="B23" s="243" t="s">
        <v>317</v>
      </c>
      <c r="C23" s="243" t="s">
        <v>291</v>
      </c>
      <c r="D23" s="989">
        <f>700000000*3</f>
        <v>2100000000</v>
      </c>
      <c r="E23" s="243">
        <v>10</v>
      </c>
      <c r="F23" s="1004">
        <v>45809</v>
      </c>
      <c r="G23" s="243" t="s">
        <v>313</v>
      </c>
      <c r="H23" s="1005" t="e">
        <f t="shared" si="14"/>
        <v>#NUM!</v>
      </c>
      <c r="I23" s="243"/>
      <c r="J23" s="243"/>
      <c r="K23" s="243"/>
      <c r="L23" s="197">
        <f t="shared" si="15"/>
        <v>3650</v>
      </c>
      <c r="M23" s="1006">
        <f t="shared" si="16"/>
        <v>214</v>
      </c>
      <c r="N23" s="1007">
        <f t="shared" ca="1" si="17"/>
        <v>123123287.67123288</v>
      </c>
      <c r="O23" s="258">
        <f t="shared" ca="1" si="25"/>
        <v>123123287.67123288</v>
      </c>
      <c r="P23" s="258"/>
      <c r="Q23" s="197">
        <f t="shared" si="18"/>
        <v>3436</v>
      </c>
      <c r="R23" s="1006">
        <f t="shared" si="19"/>
        <v>365</v>
      </c>
      <c r="S23" s="1007">
        <f t="shared" ca="1" si="20"/>
        <v>210000000</v>
      </c>
      <c r="T23" s="258">
        <f t="shared" ca="1" si="26"/>
        <v>333123287.67123288</v>
      </c>
      <c r="U23" s="258"/>
      <c r="V23" s="197">
        <f t="shared" si="21"/>
        <v>3071</v>
      </c>
      <c r="W23" s="1006">
        <f t="shared" si="22"/>
        <v>365</v>
      </c>
      <c r="X23" s="1007">
        <f t="shared" ca="1" si="23"/>
        <v>210000000.00000006</v>
      </c>
      <c r="Y23" s="258">
        <f t="shared" ca="1" si="27"/>
        <v>543123287.67123294</v>
      </c>
      <c r="Z23" s="258"/>
      <c r="AA23" s="197">
        <f t="shared" si="24"/>
        <v>2706</v>
      </c>
      <c r="AB23" s="243"/>
      <c r="AC23" s="243"/>
      <c r="AD23" s="243"/>
      <c r="AE23" s="243"/>
      <c r="AF23" s="243"/>
      <c r="AG23" s="227"/>
      <c r="AH23" s="225"/>
      <c r="AI23" s="226"/>
    </row>
    <row r="24" spans="1:35" ht="12.75" x14ac:dyDescent="0.2">
      <c r="A24" s="1010">
        <v>45792</v>
      </c>
      <c r="B24" s="243" t="s">
        <v>318</v>
      </c>
      <c r="C24" s="243" t="s">
        <v>291</v>
      </c>
      <c r="D24" s="989">
        <f>600000000*3</f>
        <v>1800000000</v>
      </c>
      <c r="E24" s="243">
        <v>10</v>
      </c>
      <c r="F24" s="1004">
        <v>45809</v>
      </c>
      <c r="G24" s="243" t="s">
        <v>313</v>
      </c>
      <c r="H24" s="1005" t="e">
        <f t="shared" si="14"/>
        <v>#NUM!</v>
      </c>
      <c r="I24" s="243"/>
      <c r="J24" s="243"/>
      <c r="K24" s="243"/>
      <c r="L24" s="197">
        <f t="shared" si="15"/>
        <v>3650</v>
      </c>
      <c r="M24" s="1006">
        <f t="shared" si="16"/>
        <v>214</v>
      </c>
      <c r="N24" s="1007">
        <f t="shared" ca="1" si="17"/>
        <v>105534246.57534248</v>
      </c>
      <c r="O24" s="258">
        <f t="shared" ca="1" si="25"/>
        <v>105534246.57534248</v>
      </c>
      <c r="P24" s="258"/>
      <c r="Q24" s="197">
        <f t="shared" si="18"/>
        <v>3436</v>
      </c>
      <c r="R24" s="1006">
        <f t="shared" si="19"/>
        <v>365</v>
      </c>
      <c r="S24" s="1007">
        <f t="shared" ca="1" si="20"/>
        <v>180000000</v>
      </c>
      <c r="T24" s="258">
        <f t="shared" ca="1" si="26"/>
        <v>285534246.57534248</v>
      </c>
      <c r="U24" s="258"/>
      <c r="V24" s="197">
        <f t="shared" si="21"/>
        <v>3071</v>
      </c>
      <c r="W24" s="1006">
        <f t="shared" si="22"/>
        <v>365</v>
      </c>
      <c r="X24" s="1007">
        <f t="shared" ca="1" si="23"/>
        <v>180000000</v>
      </c>
      <c r="Y24" s="258">
        <f t="shared" ca="1" si="27"/>
        <v>465534246.57534248</v>
      </c>
      <c r="Z24" s="258"/>
      <c r="AA24" s="197">
        <f t="shared" si="24"/>
        <v>2706</v>
      </c>
      <c r="AB24" s="243"/>
      <c r="AC24" s="243"/>
      <c r="AD24" s="243"/>
      <c r="AE24" s="243"/>
      <c r="AF24" s="243"/>
      <c r="AG24" s="227"/>
      <c r="AH24" s="225"/>
      <c r="AI24" s="226"/>
    </row>
    <row r="25" spans="1:35" ht="12.75" x14ac:dyDescent="0.2">
      <c r="A25" s="1010">
        <v>45708</v>
      </c>
      <c r="B25" s="243" t="s">
        <v>319</v>
      </c>
      <c r="C25" s="243" t="s">
        <v>289</v>
      </c>
      <c r="D25" s="989">
        <v>440000000</v>
      </c>
      <c r="E25" s="243">
        <v>5</v>
      </c>
      <c r="F25" s="1004">
        <v>45731</v>
      </c>
      <c r="G25" s="243" t="s">
        <v>313</v>
      </c>
      <c r="H25" s="1005" t="e">
        <f t="shared" si="14"/>
        <v>#NUM!</v>
      </c>
      <c r="I25" s="243"/>
      <c r="J25" s="243"/>
      <c r="K25" s="243"/>
      <c r="L25" s="197">
        <f t="shared" si="15"/>
        <v>1825</v>
      </c>
      <c r="M25" s="1006">
        <f t="shared" si="16"/>
        <v>292</v>
      </c>
      <c r="N25" s="1007">
        <f t="shared" ca="1" si="17"/>
        <v>70400000</v>
      </c>
      <c r="O25" s="258">
        <f t="shared" ca="1" si="25"/>
        <v>70400000</v>
      </c>
      <c r="P25" s="258"/>
      <c r="Q25" s="197">
        <f t="shared" si="18"/>
        <v>1533</v>
      </c>
      <c r="R25" s="1006">
        <f t="shared" si="19"/>
        <v>365</v>
      </c>
      <c r="S25" s="1007">
        <f t="shared" ca="1" si="20"/>
        <v>88000000</v>
      </c>
      <c r="T25" s="258">
        <f t="shared" ca="1" si="26"/>
        <v>158400000</v>
      </c>
      <c r="U25" s="258"/>
      <c r="V25" s="197">
        <f t="shared" si="21"/>
        <v>1168</v>
      </c>
      <c r="W25" s="1006">
        <f t="shared" si="22"/>
        <v>365</v>
      </c>
      <c r="X25" s="1007">
        <f t="shared" ca="1" si="23"/>
        <v>88000000</v>
      </c>
      <c r="Y25" s="258">
        <f t="shared" ca="1" si="27"/>
        <v>246400000</v>
      </c>
      <c r="Z25" s="258"/>
      <c r="AA25" s="197">
        <f t="shared" si="24"/>
        <v>803</v>
      </c>
      <c r="AB25" s="243"/>
      <c r="AC25" s="243"/>
      <c r="AD25" s="243"/>
      <c r="AE25" s="243"/>
      <c r="AF25" s="243"/>
      <c r="AG25" s="227"/>
      <c r="AH25" s="225"/>
      <c r="AI25" s="226"/>
    </row>
    <row r="26" spans="1:35" ht="12.75" x14ac:dyDescent="0.2">
      <c r="A26" s="1010">
        <v>45716</v>
      </c>
      <c r="B26" s="243" t="s">
        <v>320</v>
      </c>
      <c r="C26" s="243" t="s">
        <v>290</v>
      </c>
      <c r="D26" s="989">
        <v>60000000</v>
      </c>
      <c r="E26" s="243">
        <v>3</v>
      </c>
      <c r="F26" s="1004">
        <v>45731</v>
      </c>
      <c r="G26" s="243" t="s">
        <v>313</v>
      </c>
      <c r="H26" s="1005" t="e">
        <f t="shared" si="14"/>
        <v>#NUM!</v>
      </c>
      <c r="I26" s="243"/>
      <c r="J26" s="243"/>
      <c r="K26" s="243"/>
      <c r="L26" s="197">
        <f t="shared" si="15"/>
        <v>1095</v>
      </c>
      <c r="M26" s="1006">
        <f t="shared" si="16"/>
        <v>292</v>
      </c>
      <c r="N26" s="1007">
        <f t="shared" ca="1" si="17"/>
        <v>16000000</v>
      </c>
      <c r="O26" s="258">
        <f t="shared" ca="1" si="25"/>
        <v>16000000</v>
      </c>
      <c r="P26" s="258"/>
      <c r="Q26" s="197">
        <f t="shared" si="18"/>
        <v>803</v>
      </c>
      <c r="R26" s="1006">
        <f t="shared" si="19"/>
        <v>365</v>
      </c>
      <c r="S26" s="1007">
        <f t="shared" ca="1" si="20"/>
        <v>20000000</v>
      </c>
      <c r="T26" s="258">
        <f t="shared" ca="1" si="26"/>
        <v>36000000</v>
      </c>
      <c r="U26" s="258"/>
      <c r="V26" s="197">
        <f t="shared" si="21"/>
        <v>438</v>
      </c>
      <c r="W26" s="1006">
        <f t="shared" si="22"/>
        <v>365</v>
      </c>
      <c r="X26" s="1007">
        <f t="shared" ca="1" si="23"/>
        <v>20000000</v>
      </c>
      <c r="Y26" s="258">
        <f t="shared" ca="1" si="27"/>
        <v>56000000</v>
      </c>
      <c r="Z26" s="258"/>
      <c r="AA26" s="197">
        <f t="shared" si="24"/>
        <v>73</v>
      </c>
      <c r="AB26" s="243"/>
      <c r="AC26" s="243"/>
      <c r="AD26" s="243"/>
      <c r="AE26" s="243"/>
      <c r="AF26" s="243"/>
      <c r="AG26" s="227"/>
      <c r="AH26" s="225"/>
      <c r="AI26" s="226"/>
    </row>
    <row r="27" spans="1:35" ht="12.75" x14ac:dyDescent="0.2">
      <c r="A27" s="1004">
        <v>45708</v>
      </c>
      <c r="B27" s="243" t="s">
        <v>321</v>
      </c>
      <c r="C27" s="243" t="s">
        <v>292</v>
      </c>
      <c r="D27" s="989">
        <v>200000000</v>
      </c>
      <c r="E27" s="243">
        <v>5</v>
      </c>
      <c r="F27" s="1004">
        <v>45726</v>
      </c>
      <c r="G27" s="243" t="s">
        <v>313</v>
      </c>
      <c r="H27" s="1005" t="e">
        <f t="shared" si="14"/>
        <v>#NUM!</v>
      </c>
      <c r="I27" s="243"/>
      <c r="J27" s="243"/>
      <c r="K27" s="243"/>
      <c r="L27" s="197">
        <f t="shared" si="15"/>
        <v>1825</v>
      </c>
      <c r="M27" s="1006">
        <f t="shared" si="16"/>
        <v>297</v>
      </c>
      <c r="N27" s="1007">
        <f t="shared" ca="1" si="17"/>
        <v>32547945.205479451</v>
      </c>
      <c r="O27" s="258">
        <f t="shared" ca="1" si="25"/>
        <v>32547945.205479451</v>
      </c>
      <c r="P27" s="258"/>
      <c r="Q27" s="197">
        <f t="shared" si="18"/>
        <v>1528</v>
      </c>
      <c r="R27" s="1006">
        <f t="shared" si="19"/>
        <v>365</v>
      </c>
      <c r="S27" s="1007">
        <f t="shared" ca="1" si="20"/>
        <v>40000000.000000007</v>
      </c>
      <c r="T27" s="258">
        <f t="shared" ca="1" si="26"/>
        <v>72547945.205479458</v>
      </c>
      <c r="U27" s="258"/>
      <c r="V27" s="197">
        <f t="shared" si="21"/>
        <v>1163</v>
      </c>
      <c r="W27" s="1006">
        <f t="shared" si="22"/>
        <v>365</v>
      </c>
      <c r="X27" s="1007">
        <f t="shared" ca="1" si="23"/>
        <v>40000000</v>
      </c>
      <c r="Y27" s="258">
        <f t="shared" ca="1" si="27"/>
        <v>112547945.20547946</v>
      </c>
      <c r="Z27" s="258"/>
      <c r="AA27" s="197">
        <f t="shared" si="24"/>
        <v>798</v>
      </c>
      <c r="AB27" s="243"/>
      <c r="AC27" s="243"/>
      <c r="AD27" s="243"/>
      <c r="AE27" s="243"/>
      <c r="AF27" s="243"/>
      <c r="AG27" s="227"/>
      <c r="AH27" s="225"/>
      <c r="AI27" s="226"/>
    </row>
    <row r="28" spans="1:35" ht="12.75" x14ac:dyDescent="0.2">
      <c r="A28" s="1004">
        <v>45708</v>
      </c>
      <c r="B28" s="243" t="s">
        <v>322</v>
      </c>
      <c r="C28" s="243" t="s">
        <v>292</v>
      </c>
      <c r="D28" s="989">
        <v>30000000</v>
      </c>
      <c r="E28" s="243">
        <v>7</v>
      </c>
      <c r="F28" s="1004">
        <v>45809</v>
      </c>
      <c r="G28" s="243" t="s">
        <v>313</v>
      </c>
      <c r="H28" s="1005" t="e">
        <f t="shared" si="14"/>
        <v>#NUM!</v>
      </c>
      <c r="I28" s="243"/>
      <c r="J28" s="243"/>
      <c r="K28" s="243"/>
      <c r="L28" s="197">
        <f t="shared" si="15"/>
        <v>2555</v>
      </c>
      <c r="M28" s="1006">
        <f t="shared" si="16"/>
        <v>214</v>
      </c>
      <c r="N28" s="1007">
        <f t="shared" ca="1" si="17"/>
        <v>2512720.1565557728</v>
      </c>
      <c r="O28" s="258">
        <f t="shared" ca="1" si="25"/>
        <v>2512720.1565557728</v>
      </c>
      <c r="P28" s="258"/>
      <c r="Q28" s="197">
        <f t="shared" si="18"/>
        <v>2341</v>
      </c>
      <c r="R28" s="1006">
        <f t="shared" si="19"/>
        <v>365</v>
      </c>
      <c r="S28" s="1007">
        <f t="shared" ca="1" si="20"/>
        <v>4285714.2857142854</v>
      </c>
      <c r="T28" s="258">
        <f t="shared" ca="1" si="26"/>
        <v>6798434.4422700582</v>
      </c>
      <c r="U28" s="258"/>
      <c r="V28" s="197">
        <f t="shared" si="21"/>
        <v>1976</v>
      </c>
      <c r="W28" s="1006">
        <f t="shared" si="22"/>
        <v>365</v>
      </c>
      <c r="X28" s="1007">
        <f t="shared" ca="1" si="23"/>
        <v>4285714.2857142845</v>
      </c>
      <c r="Y28" s="258">
        <f t="shared" ca="1" si="27"/>
        <v>11084148.727984343</v>
      </c>
      <c r="Z28" s="258"/>
      <c r="AA28" s="197">
        <f t="shared" si="24"/>
        <v>1611</v>
      </c>
      <c r="AB28" s="243"/>
      <c r="AC28" s="243"/>
      <c r="AD28" s="243"/>
      <c r="AE28" s="243"/>
      <c r="AF28" s="243"/>
      <c r="AG28" s="227"/>
      <c r="AH28" s="225"/>
      <c r="AI28" s="226"/>
    </row>
    <row r="29" spans="1:35" ht="12.75" x14ac:dyDescent="0.2">
      <c r="A29" s="1004">
        <v>45708</v>
      </c>
      <c r="B29" s="243" t="s">
        <v>323</v>
      </c>
      <c r="C29" s="243" t="s">
        <v>292</v>
      </c>
      <c r="D29" s="989">
        <v>850000000</v>
      </c>
      <c r="E29" s="243">
        <v>10</v>
      </c>
      <c r="F29" s="1004">
        <v>45809</v>
      </c>
      <c r="G29" s="243" t="s">
        <v>313</v>
      </c>
      <c r="H29" s="1005" t="e">
        <f t="shared" si="14"/>
        <v>#NUM!</v>
      </c>
      <c r="I29" s="243"/>
      <c r="J29" s="243"/>
      <c r="K29" s="243"/>
      <c r="L29" s="197">
        <f t="shared" si="15"/>
        <v>3650</v>
      </c>
      <c r="M29" s="1006">
        <f t="shared" si="16"/>
        <v>214</v>
      </c>
      <c r="N29" s="1007">
        <f t="shared" ca="1" si="17"/>
        <v>49835616.438356161</v>
      </c>
      <c r="O29" s="258">
        <f t="shared" ca="1" si="25"/>
        <v>49835616.438356161</v>
      </c>
      <c r="P29" s="258"/>
      <c r="Q29" s="197">
        <f t="shared" si="18"/>
        <v>3436</v>
      </c>
      <c r="R29" s="1006">
        <f t="shared" si="19"/>
        <v>365</v>
      </c>
      <c r="S29" s="1007">
        <f t="shared" ca="1" si="20"/>
        <v>85000000</v>
      </c>
      <c r="T29" s="258">
        <f t="shared" ca="1" si="26"/>
        <v>134835616.43835616</v>
      </c>
      <c r="U29" s="258"/>
      <c r="V29" s="197">
        <f t="shared" si="21"/>
        <v>3071</v>
      </c>
      <c r="W29" s="1006">
        <f t="shared" si="22"/>
        <v>365</v>
      </c>
      <c r="X29" s="1007">
        <f t="shared" ca="1" si="23"/>
        <v>85000000</v>
      </c>
      <c r="Y29" s="258">
        <f t="shared" ca="1" si="27"/>
        <v>219835616.43835616</v>
      </c>
      <c r="Z29" s="258"/>
      <c r="AA29" s="197">
        <f t="shared" si="24"/>
        <v>2706</v>
      </c>
      <c r="AB29" s="243"/>
      <c r="AC29" s="243"/>
      <c r="AD29" s="243"/>
      <c r="AE29" s="243"/>
      <c r="AF29" s="243"/>
      <c r="AG29" s="227"/>
      <c r="AH29" s="225"/>
      <c r="AI29" s="226"/>
    </row>
    <row r="30" spans="1:35" ht="12.75" x14ac:dyDescent="0.2">
      <c r="A30" s="1004">
        <v>45802</v>
      </c>
      <c r="B30" s="243" t="s">
        <v>324</v>
      </c>
      <c r="C30" s="243" t="s">
        <v>296</v>
      </c>
      <c r="D30" s="989">
        <f>2000000000*3</f>
        <v>6000000000</v>
      </c>
      <c r="E30" s="243">
        <v>8</v>
      </c>
      <c r="F30" s="1004">
        <v>45818</v>
      </c>
      <c r="G30" s="243" t="s">
        <v>313</v>
      </c>
      <c r="H30" s="1005" t="e">
        <f t="shared" si="14"/>
        <v>#NUM!</v>
      </c>
      <c r="I30" s="243"/>
      <c r="J30" s="243"/>
      <c r="K30" s="243"/>
      <c r="L30" s="197">
        <f t="shared" si="15"/>
        <v>2920</v>
      </c>
      <c r="M30" s="1006">
        <f t="shared" si="16"/>
        <v>205</v>
      </c>
      <c r="N30" s="1007">
        <f t="shared" ca="1" si="17"/>
        <v>421232876.71232879</v>
      </c>
      <c r="O30" s="258">
        <f t="shared" ca="1" si="25"/>
        <v>421232876.71232879</v>
      </c>
      <c r="P30" s="258"/>
      <c r="Q30" s="197">
        <f t="shared" si="18"/>
        <v>2715</v>
      </c>
      <c r="R30" s="1006">
        <f t="shared" si="19"/>
        <v>365</v>
      </c>
      <c r="S30" s="1007">
        <f t="shared" ca="1" si="20"/>
        <v>750000000.00000012</v>
      </c>
      <c r="T30" s="258">
        <f t="shared" ca="1" si="26"/>
        <v>1171232876.7123289</v>
      </c>
      <c r="U30" s="258"/>
      <c r="V30" s="197">
        <f t="shared" si="21"/>
        <v>2350</v>
      </c>
      <c r="W30" s="1006">
        <f t="shared" si="22"/>
        <v>365</v>
      </c>
      <c r="X30" s="1007">
        <f t="shared" ca="1" si="23"/>
        <v>750000000</v>
      </c>
      <c r="Y30" s="258">
        <f t="shared" ca="1" si="27"/>
        <v>1921232876.7123289</v>
      </c>
      <c r="Z30" s="258"/>
      <c r="AA30" s="197">
        <f t="shared" si="24"/>
        <v>1985</v>
      </c>
      <c r="AB30" s="243"/>
      <c r="AC30" s="243"/>
      <c r="AD30" s="243"/>
      <c r="AE30" s="243"/>
      <c r="AF30" s="243"/>
      <c r="AG30" s="227"/>
      <c r="AH30" s="225"/>
      <c r="AI30" s="226"/>
    </row>
    <row r="31" spans="1:35" ht="12.75" x14ac:dyDescent="0.2">
      <c r="A31" s="1004">
        <v>45713</v>
      </c>
      <c r="B31" s="243" t="s">
        <v>325</v>
      </c>
      <c r="C31" s="243" t="s">
        <v>296</v>
      </c>
      <c r="D31" s="989">
        <f>2100000000*3</f>
        <v>6300000000</v>
      </c>
      <c r="E31" s="243">
        <v>8</v>
      </c>
      <c r="F31" s="1004">
        <v>45809</v>
      </c>
      <c r="G31" s="243" t="s">
        <v>313</v>
      </c>
      <c r="H31" s="1005" t="e">
        <f t="shared" si="14"/>
        <v>#NUM!</v>
      </c>
      <c r="I31" s="243"/>
      <c r="J31" s="243"/>
      <c r="K31" s="243"/>
      <c r="L31" s="197">
        <f t="shared" si="15"/>
        <v>2920</v>
      </c>
      <c r="M31" s="1006">
        <f t="shared" si="16"/>
        <v>214</v>
      </c>
      <c r="N31" s="1007">
        <f t="shared" ca="1" si="17"/>
        <v>461712328.76712328</v>
      </c>
      <c r="O31" s="258">
        <f t="shared" ca="1" si="25"/>
        <v>461712328.76712328</v>
      </c>
      <c r="P31" s="258"/>
      <c r="Q31" s="197">
        <f t="shared" si="18"/>
        <v>2706</v>
      </c>
      <c r="R31" s="1006">
        <f t="shared" si="19"/>
        <v>365</v>
      </c>
      <c r="S31" s="1007">
        <f t="shared" ca="1" si="20"/>
        <v>787500000</v>
      </c>
      <c r="T31" s="258">
        <f t="shared" ca="1" si="26"/>
        <v>1249212328.7671232</v>
      </c>
      <c r="U31" s="258"/>
      <c r="V31" s="197">
        <f t="shared" si="21"/>
        <v>2341</v>
      </c>
      <c r="W31" s="1006">
        <f t="shared" si="22"/>
        <v>365</v>
      </c>
      <c r="X31" s="1007">
        <f t="shared" ca="1" si="23"/>
        <v>787500000</v>
      </c>
      <c r="Y31" s="258">
        <f t="shared" ca="1" si="27"/>
        <v>2036712328.7671232</v>
      </c>
      <c r="Z31" s="258"/>
      <c r="AA31" s="197">
        <f t="shared" si="24"/>
        <v>1976</v>
      </c>
      <c r="AB31" s="243"/>
      <c r="AC31" s="243"/>
      <c r="AD31" s="243"/>
      <c r="AE31" s="243"/>
      <c r="AF31" s="243"/>
      <c r="AG31" s="227"/>
      <c r="AH31" s="225"/>
      <c r="AI31" s="226"/>
    </row>
    <row r="32" spans="1:35" ht="12.75" x14ac:dyDescent="0.2">
      <c r="A32" s="1010">
        <v>45792</v>
      </c>
      <c r="B32" s="243" t="s">
        <v>326</v>
      </c>
      <c r="C32" s="243" t="s">
        <v>291</v>
      </c>
      <c r="D32" s="989">
        <f>400000000*3</f>
        <v>1200000000</v>
      </c>
      <c r="E32" s="243">
        <v>8</v>
      </c>
      <c r="F32" s="1004">
        <v>45809</v>
      </c>
      <c r="G32" s="243" t="s">
        <v>313</v>
      </c>
      <c r="H32" s="1005" t="e">
        <f t="shared" si="14"/>
        <v>#NUM!</v>
      </c>
      <c r="I32" s="243"/>
      <c r="J32" s="243"/>
      <c r="K32" s="243"/>
      <c r="L32" s="197">
        <f t="shared" si="15"/>
        <v>2920</v>
      </c>
      <c r="M32" s="1006">
        <f t="shared" si="16"/>
        <v>214</v>
      </c>
      <c r="N32" s="1007">
        <f t="shared" ca="1" si="17"/>
        <v>87945205.479452059</v>
      </c>
      <c r="O32" s="258">
        <f t="shared" ca="1" si="25"/>
        <v>87945205.479452059</v>
      </c>
      <c r="P32" s="258"/>
      <c r="Q32" s="197">
        <f t="shared" si="18"/>
        <v>2706</v>
      </c>
      <c r="R32" s="1006">
        <f t="shared" si="19"/>
        <v>365</v>
      </c>
      <c r="S32" s="1007">
        <f t="shared" ca="1" si="20"/>
        <v>150000000</v>
      </c>
      <c r="T32" s="258">
        <f t="shared" ca="1" si="26"/>
        <v>237945205.47945207</v>
      </c>
      <c r="U32" s="258"/>
      <c r="V32" s="197">
        <f t="shared" si="21"/>
        <v>2341</v>
      </c>
      <c r="W32" s="1006">
        <f t="shared" si="22"/>
        <v>365</v>
      </c>
      <c r="X32" s="1007">
        <f t="shared" ca="1" si="23"/>
        <v>150000000</v>
      </c>
      <c r="Y32" s="258">
        <f t="shared" ca="1" si="27"/>
        <v>387945205.47945207</v>
      </c>
      <c r="Z32" s="258"/>
      <c r="AA32" s="197">
        <f t="shared" si="24"/>
        <v>1976</v>
      </c>
      <c r="AB32" s="243"/>
      <c r="AC32" s="243"/>
      <c r="AD32" s="243"/>
      <c r="AE32" s="243"/>
      <c r="AF32" s="243"/>
      <c r="AG32" s="227"/>
      <c r="AH32" s="225"/>
      <c r="AI32" s="226"/>
    </row>
    <row r="33" spans="1:35" ht="12.75" x14ac:dyDescent="0.2">
      <c r="A33" s="1004">
        <v>45689</v>
      </c>
      <c r="B33" s="243" t="s">
        <v>327</v>
      </c>
      <c r="C33" s="243" t="s">
        <v>288</v>
      </c>
      <c r="D33" s="989">
        <f>80000000*3*12*3</f>
        <v>8640000000</v>
      </c>
      <c r="E33" s="243">
        <v>3</v>
      </c>
      <c r="F33" s="1004">
        <v>45689</v>
      </c>
      <c r="G33" s="243" t="s">
        <v>313</v>
      </c>
      <c r="H33" s="1005" t="e">
        <f t="shared" si="14"/>
        <v>#NUM!</v>
      </c>
      <c r="I33" s="243"/>
      <c r="J33" s="243"/>
      <c r="K33" s="243"/>
      <c r="L33" s="197">
        <f t="shared" si="15"/>
        <v>1095</v>
      </c>
      <c r="M33" s="1006">
        <f t="shared" si="16"/>
        <v>334</v>
      </c>
      <c r="N33" s="1007">
        <f t="shared" ca="1" si="17"/>
        <v>2635397260.2739725</v>
      </c>
      <c r="O33" s="258">
        <f t="shared" ca="1" si="25"/>
        <v>2635397260.2739725</v>
      </c>
      <c r="P33" s="258"/>
      <c r="Q33" s="197">
        <f t="shared" si="18"/>
        <v>761</v>
      </c>
      <c r="R33" s="1006">
        <f t="shared" si="19"/>
        <v>365</v>
      </c>
      <c r="S33" s="1007">
        <f t="shared" ca="1" si="20"/>
        <v>2880000000</v>
      </c>
      <c r="T33" s="258">
        <f t="shared" ca="1" si="26"/>
        <v>5515397260.2739725</v>
      </c>
      <c r="U33" s="258"/>
      <c r="V33" s="197">
        <f t="shared" si="21"/>
        <v>396</v>
      </c>
      <c r="W33" s="1006">
        <f t="shared" si="22"/>
        <v>365</v>
      </c>
      <c r="X33" s="1007">
        <f t="shared" ca="1" si="23"/>
        <v>2880000000</v>
      </c>
      <c r="Y33" s="258">
        <f t="shared" ca="1" si="27"/>
        <v>8395397260.2739725</v>
      </c>
      <c r="Z33" s="258"/>
      <c r="AA33" s="197">
        <f t="shared" si="24"/>
        <v>31</v>
      </c>
      <c r="AB33" s="243"/>
      <c r="AC33" s="243"/>
      <c r="AD33" s="243"/>
      <c r="AE33" s="243"/>
      <c r="AF33" s="243"/>
      <c r="AG33" s="227"/>
      <c r="AH33" s="225"/>
      <c r="AI33" s="226"/>
    </row>
    <row r="34" spans="1:35" ht="12.75" x14ac:dyDescent="0.2">
      <c r="A34" s="1004">
        <v>45708</v>
      </c>
      <c r="B34" s="243" t="s">
        <v>328</v>
      </c>
      <c r="C34" s="243" t="s">
        <v>288</v>
      </c>
      <c r="D34" s="989">
        <f t="shared" ref="D34:D35" si="28">50000000*3</f>
        <v>150000000</v>
      </c>
      <c r="E34" s="243">
        <v>3</v>
      </c>
      <c r="F34" s="1004">
        <v>45717</v>
      </c>
      <c r="G34" s="243" t="s">
        <v>313</v>
      </c>
      <c r="H34" s="1005" t="e">
        <f t="shared" si="14"/>
        <v>#NUM!</v>
      </c>
      <c r="I34" s="243"/>
      <c r="J34" s="243"/>
      <c r="K34" s="243"/>
      <c r="L34" s="197">
        <f t="shared" si="15"/>
        <v>1095</v>
      </c>
      <c r="M34" s="1006">
        <f t="shared" si="16"/>
        <v>306</v>
      </c>
      <c r="N34" s="1007">
        <f t="shared" ca="1" si="17"/>
        <v>41917808.219178081</v>
      </c>
      <c r="O34" s="258">
        <f t="shared" ca="1" si="25"/>
        <v>41917808.219178081</v>
      </c>
      <c r="P34" s="258"/>
      <c r="Q34" s="197">
        <f t="shared" si="18"/>
        <v>789</v>
      </c>
      <c r="R34" s="1006">
        <f t="shared" si="19"/>
        <v>365</v>
      </c>
      <c r="S34" s="1007">
        <f t="shared" ca="1" si="20"/>
        <v>50000000</v>
      </c>
      <c r="T34" s="258">
        <f t="shared" ca="1" si="26"/>
        <v>91917808.219178081</v>
      </c>
      <c r="U34" s="258"/>
      <c r="V34" s="197">
        <f t="shared" si="21"/>
        <v>424</v>
      </c>
      <c r="W34" s="1006">
        <f t="shared" si="22"/>
        <v>365</v>
      </c>
      <c r="X34" s="1007">
        <f t="shared" ca="1" si="23"/>
        <v>50000000</v>
      </c>
      <c r="Y34" s="258">
        <f t="shared" ca="1" si="27"/>
        <v>141917808.21917808</v>
      </c>
      <c r="Z34" s="258"/>
      <c r="AA34" s="197">
        <f t="shared" si="24"/>
        <v>59</v>
      </c>
      <c r="AB34" s="243"/>
      <c r="AC34" s="243"/>
      <c r="AD34" s="243"/>
      <c r="AE34" s="243"/>
      <c r="AF34" s="243"/>
      <c r="AG34" s="227"/>
      <c r="AH34" s="225"/>
      <c r="AI34" s="226"/>
    </row>
    <row r="35" spans="1:35" ht="12.75" x14ac:dyDescent="0.2">
      <c r="A35" s="1004">
        <v>45708</v>
      </c>
      <c r="B35" s="243" t="s">
        <v>329</v>
      </c>
      <c r="C35" s="243" t="s">
        <v>288</v>
      </c>
      <c r="D35" s="989">
        <f t="shared" si="28"/>
        <v>150000000</v>
      </c>
      <c r="E35" s="243">
        <v>3</v>
      </c>
      <c r="F35" s="1004">
        <v>45717</v>
      </c>
      <c r="G35" s="243" t="s">
        <v>313</v>
      </c>
      <c r="H35" s="1005" t="e">
        <f t="shared" si="14"/>
        <v>#NUM!</v>
      </c>
      <c r="I35" s="243"/>
      <c r="J35" s="243"/>
      <c r="K35" s="243"/>
      <c r="L35" s="197">
        <f t="shared" si="15"/>
        <v>1095</v>
      </c>
      <c r="M35" s="1006">
        <f t="shared" si="16"/>
        <v>306</v>
      </c>
      <c r="N35" s="1007">
        <f t="shared" ca="1" si="17"/>
        <v>41917808.219178081</v>
      </c>
      <c r="O35" s="258">
        <f t="shared" ca="1" si="25"/>
        <v>41917808.219178081</v>
      </c>
      <c r="P35" s="258"/>
      <c r="Q35" s="197">
        <f t="shared" si="18"/>
        <v>789</v>
      </c>
      <c r="R35" s="1006">
        <f t="shared" si="19"/>
        <v>365</v>
      </c>
      <c r="S35" s="1007">
        <f t="shared" ca="1" si="20"/>
        <v>50000000</v>
      </c>
      <c r="T35" s="258">
        <f t="shared" ca="1" si="26"/>
        <v>91917808.219178081</v>
      </c>
      <c r="U35" s="258"/>
      <c r="V35" s="197">
        <f t="shared" si="21"/>
        <v>424</v>
      </c>
      <c r="W35" s="1006">
        <f t="shared" si="22"/>
        <v>365</v>
      </c>
      <c r="X35" s="1007">
        <f t="shared" ca="1" si="23"/>
        <v>50000000</v>
      </c>
      <c r="Y35" s="258">
        <f t="shared" ca="1" si="27"/>
        <v>141917808.21917808</v>
      </c>
      <c r="Z35" s="258"/>
      <c r="AA35" s="197">
        <f t="shared" si="24"/>
        <v>59</v>
      </c>
      <c r="AB35" s="243"/>
      <c r="AC35" s="243"/>
      <c r="AD35" s="243"/>
      <c r="AE35" s="243"/>
      <c r="AF35" s="243"/>
      <c r="AG35" s="227"/>
      <c r="AH35" s="225"/>
      <c r="AI35" s="226"/>
    </row>
    <row r="36" spans="1:35" ht="12.75" x14ac:dyDescent="0.2">
      <c r="A36" s="1004">
        <v>45708</v>
      </c>
      <c r="B36" s="243" t="s">
        <v>330</v>
      </c>
      <c r="C36" s="243" t="s">
        <v>288</v>
      </c>
      <c r="D36" s="989">
        <f>30000000*3</f>
        <v>90000000</v>
      </c>
      <c r="E36" s="243">
        <v>5</v>
      </c>
      <c r="F36" s="1004">
        <v>45717</v>
      </c>
      <c r="G36" s="243" t="s">
        <v>313</v>
      </c>
      <c r="H36" s="1005" t="e">
        <f t="shared" si="14"/>
        <v>#NUM!</v>
      </c>
      <c r="I36" s="243"/>
      <c r="J36" s="243"/>
      <c r="K36" s="243"/>
      <c r="L36" s="197">
        <f t="shared" si="15"/>
        <v>1825</v>
      </c>
      <c r="M36" s="1006">
        <f t="shared" si="16"/>
        <v>306</v>
      </c>
      <c r="N36" s="1007">
        <f t="shared" ca="1" si="17"/>
        <v>15090410.95890411</v>
      </c>
      <c r="O36" s="258">
        <f t="shared" ca="1" si="25"/>
        <v>15090410.95890411</v>
      </c>
      <c r="P36" s="258"/>
      <c r="Q36" s="197">
        <f t="shared" si="18"/>
        <v>1519</v>
      </c>
      <c r="R36" s="1006">
        <f t="shared" si="19"/>
        <v>365</v>
      </c>
      <c r="S36" s="1007">
        <f t="shared" ca="1" si="20"/>
        <v>18000000</v>
      </c>
      <c r="T36" s="258">
        <f t="shared" ca="1" si="26"/>
        <v>33090410.95890411</v>
      </c>
      <c r="U36" s="258"/>
      <c r="V36" s="197">
        <f t="shared" si="21"/>
        <v>1154</v>
      </c>
      <c r="W36" s="1006">
        <f t="shared" si="22"/>
        <v>365</v>
      </c>
      <c r="X36" s="1007">
        <f t="shared" ca="1" si="23"/>
        <v>18000000</v>
      </c>
      <c r="Y36" s="258">
        <f t="shared" ca="1" si="27"/>
        <v>51090410.95890411</v>
      </c>
      <c r="Z36" s="258"/>
      <c r="AA36" s="197">
        <f t="shared" si="24"/>
        <v>789</v>
      </c>
      <c r="AB36" s="243"/>
      <c r="AC36" s="243"/>
      <c r="AD36" s="243"/>
      <c r="AE36" s="243"/>
      <c r="AF36" s="243"/>
      <c r="AG36" s="227"/>
      <c r="AH36" s="225"/>
      <c r="AI36" s="226"/>
    </row>
    <row r="37" spans="1:35" ht="12.75" x14ac:dyDescent="0.2">
      <c r="A37" s="1004">
        <v>45713</v>
      </c>
      <c r="B37" s="243" t="s">
        <v>331</v>
      </c>
      <c r="C37" s="243" t="s">
        <v>294</v>
      </c>
      <c r="D37" s="989">
        <v>35000000</v>
      </c>
      <c r="E37" s="243">
        <v>5</v>
      </c>
      <c r="F37" s="1004">
        <v>45717</v>
      </c>
      <c r="G37" s="243" t="s">
        <v>313</v>
      </c>
      <c r="H37" s="1005" t="e">
        <f t="shared" si="14"/>
        <v>#NUM!</v>
      </c>
      <c r="I37" s="243"/>
      <c r="J37" s="243"/>
      <c r="K37" s="243"/>
      <c r="L37" s="197">
        <f t="shared" si="15"/>
        <v>1825</v>
      </c>
      <c r="M37" s="1006">
        <f t="shared" si="16"/>
        <v>306</v>
      </c>
      <c r="N37" s="1007">
        <f t="shared" ca="1" si="17"/>
        <v>5868493.1506849313</v>
      </c>
      <c r="O37" s="258">
        <f t="shared" ca="1" si="25"/>
        <v>5868493.1506849313</v>
      </c>
      <c r="P37" s="258"/>
      <c r="Q37" s="197">
        <f t="shared" si="18"/>
        <v>1519</v>
      </c>
      <c r="R37" s="1006">
        <f t="shared" si="19"/>
        <v>365</v>
      </c>
      <c r="S37" s="1007">
        <f t="shared" ca="1" si="20"/>
        <v>6999999.9999999991</v>
      </c>
      <c r="T37" s="258">
        <f t="shared" ca="1" si="26"/>
        <v>12868493.15068493</v>
      </c>
      <c r="U37" s="258"/>
      <c r="V37" s="197">
        <f t="shared" si="21"/>
        <v>1154</v>
      </c>
      <c r="W37" s="1006">
        <f t="shared" si="22"/>
        <v>365</v>
      </c>
      <c r="X37" s="1007">
        <f t="shared" ca="1" si="23"/>
        <v>7000000</v>
      </c>
      <c r="Y37" s="258">
        <f t="shared" ca="1" si="27"/>
        <v>19868493.15068493</v>
      </c>
      <c r="Z37" s="258"/>
      <c r="AA37" s="197">
        <f t="shared" si="24"/>
        <v>789</v>
      </c>
      <c r="AB37" s="243"/>
      <c r="AC37" s="243"/>
      <c r="AD37" s="243"/>
      <c r="AE37" s="243"/>
      <c r="AF37" s="243"/>
      <c r="AG37" s="227"/>
      <c r="AH37" s="225"/>
      <c r="AI37" s="226"/>
    </row>
    <row r="38" spans="1:35" ht="12.75" x14ac:dyDescent="0.2">
      <c r="A38" s="1004">
        <v>45717</v>
      </c>
      <c r="B38" s="243" t="s">
        <v>332</v>
      </c>
      <c r="C38" s="243" t="s">
        <v>294</v>
      </c>
      <c r="D38" s="989">
        <f>1000000*12*3*3</f>
        <v>108000000</v>
      </c>
      <c r="E38" s="243">
        <v>3</v>
      </c>
      <c r="F38" s="1004">
        <v>45717</v>
      </c>
      <c r="G38" s="243" t="s">
        <v>313</v>
      </c>
      <c r="H38" s="1005" t="e">
        <f t="shared" si="14"/>
        <v>#NUM!</v>
      </c>
      <c r="I38" s="243"/>
      <c r="J38" s="243"/>
      <c r="K38" s="243"/>
      <c r="L38" s="197">
        <f t="shared" si="15"/>
        <v>1095</v>
      </c>
      <c r="M38" s="1006">
        <f t="shared" si="16"/>
        <v>306</v>
      </c>
      <c r="N38" s="1007">
        <f t="shared" ca="1" si="17"/>
        <v>30180821.91780822</v>
      </c>
      <c r="O38" s="258">
        <f t="shared" ca="1" si="25"/>
        <v>30180821.91780822</v>
      </c>
      <c r="P38" s="258"/>
      <c r="Q38" s="197">
        <f t="shared" si="18"/>
        <v>789</v>
      </c>
      <c r="R38" s="1006">
        <f t="shared" si="19"/>
        <v>365</v>
      </c>
      <c r="S38" s="1007">
        <f t="shared" ca="1" si="20"/>
        <v>36000000</v>
      </c>
      <c r="T38" s="258">
        <f t="shared" ca="1" si="26"/>
        <v>66180821.91780822</v>
      </c>
      <c r="U38" s="258"/>
      <c r="V38" s="197">
        <f t="shared" si="21"/>
        <v>424</v>
      </c>
      <c r="W38" s="1006">
        <f t="shared" si="22"/>
        <v>365</v>
      </c>
      <c r="X38" s="1007">
        <f t="shared" ca="1" si="23"/>
        <v>36000000</v>
      </c>
      <c r="Y38" s="258">
        <f t="shared" ca="1" si="27"/>
        <v>102180821.91780822</v>
      </c>
      <c r="Z38" s="258"/>
      <c r="AA38" s="197">
        <f t="shared" si="24"/>
        <v>59</v>
      </c>
      <c r="AB38" s="243"/>
      <c r="AC38" s="243"/>
      <c r="AD38" s="243"/>
      <c r="AE38" s="243"/>
      <c r="AF38" s="243"/>
      <c r="AG38" s="227"/>
      <c r="AH38" s="225"/>
      <c r="AI38" s="226"/>
    </row>
    <row r="39" spans="1:35" ht="12.75" x14ac:dyDescent="0.2">
      <c r="A39" s="1004">
        <v>45802</v>
      </c>
      <c r="B39" s="243" t="s">
        <v>333</v>
      </c>
      <c r="C39" s="243" t="s">
        <v>294</v>
      </c>
      <c r="D39" s="989">
        <v>15000000</v>
      </c>
      <c r="E39" s="243">
        <v>5</v>
      </c>
      <c r="F39" s="1004">
        <v>45809</v>
      </c>
      <c r="G39" s="243" t="s">
        <v>313</v>
      </c>
      <c r="H39" s="1005" t="e">
        <f t="shared" si="14"/>
        <v>#NUM!</v>
      </c>
      <c r="I39" s="243"/>
      <c r="J39" s="243"/>
      <c r="K39" s="243"/>
      <c r="L39" s="197">
        <f t="shared" si="15"/>
        <v>1825</v>
      </c>
      <c r="M39" s="1006">
        <f t="shared" si="16"/>
        <v>214</v>
      </c>
      <c r="N39" s="1007">
        <f t="shared" ca="1" si="17"/>
        <v>1758904.109589041</v>
      </c>
      <c r="O39" s="258">
        <f t="shared" ca="1" si="25"/>
        <v>1758904.109589041</v>
      </c>
      <c r="P39" s="258"/>
      <c r="Q39" s="197">
        <f t="shared" si="18"/>
        <v>1611</v>
      </c>
      <c r="R39" s="1006">
        <f t="shared" si="19"/>
        <v>365</v>
      </c>
      <c r="S39" s="1007">
        <f t="shared" ca="1" si="20"/>
        <v>2999999.9999999991</v>
      </c>
      <c r="T39" s="258">
        <f t="shared" ca="1" si="26"/>
        <v>4758904.1095890403</v>
      </c>
      <c r="U39" s="258"/>
      <c r="V39" s="197">
        <f t="shared" si="21"/>
        <v>1246</v>
      </c>
      <c r="W39" s="1006">
        <f t="shared" si="22"/>
        <v>365</v>
      </c>
      <c r="X39" s="1007">
        <f t="shared" ca="1" si="23"/>
        <v>3000000</v>
      </c>
      <c r="Y39" s="258">
        <f t="shared" ca="1" si="27"/>
        <v>7758904.1095890403</v>
      </c>
      <c r="Z39" s="258"/>
      <c r="AA39" s="197">
        <f t="shared" si="24"/>
        <v>881</v>
      </c>
      <c r="AB39" s="243"/>
      <c r="AC39" s="243"/>
      <c r="AD39" s="243"/>
      <c r="AE39" s="243"/>
      <c r="AF39" s="243"/>
      <c r="AG39" s="227"/>
      <c r="AH39" s="225"/>
      <c r="AI39" s="226"/>
    </row>
    <row r="40" spans="1:35" ht="12.75" x14ac:dyDescent="0.2">
      <c r="A40" s="1004">
        <v>45708</v>
      </c>
      <c r="B40" s="243" t="s">
        <v>334</v>
      </c>
      <c r="C40" s="243" t="s">
        <v>288</v>
      </c>
      <c r="D40" s="989">
        <f>100000000*3</f>
        <v>300000000</v>
      </c>
      <c r="E40" s="243">
        <v>10</v>
      </c>
      <c r="F40" s="1004">
        <v>45809</v>
      </c>
      <c r="G40" s="243" t="s">
        <v>313</v>
      </c>
      <c r="H40" s="1005" t="e">
        <f t="shared" si="14"/>
        <v>#NUM!</v>
      </c>
      <c r="I40" s="243"/>
      <c r="J40" s="243"/>
      <c r="K40" s="243"/>
      <c r="L40" s="197">
        <f t="shared" si="15"/>
        <v>3650</v>
      </c>
      <c r="M40" s="1006">
        <f t="shared" si="16"/>
        <v>214</v>
      </c>
      <c r="N40" s="1007">
        <f t="shared" ca="1" si="17"/>
        <v>17589041.09589041</v>
      </c>
      <c r="O40" s="258">
        <f t="shared" ca="1" si="25"/>
        <v>17589041.09589041</v>
      </c>
      <c r="P40" s="258"/>
      <c r="Q40" s="197">
        <f t="shared" si="18"/>
        <v>3436</v>
      </c>
      <c r="R40" s="1006">
        <f t="shared" si="19"/>
        <v>365</v>
      </c>
      <c r="S40" s="1007">
        <f t="shared" ca="1" si="20"/>
        <v>30000000</v>
      </c>
      <c r="T40" s="258">
        <f t="shared" ca="1" si="26"/>
        <v>47589041.09589041</v>
      </c>
      <c r="U40" s="258"/>
      <c r="V40" s="197">
        <f t="shared" si="21"/>
        <v>3071</v>
      </c>
      <c r="W40" s="1006">
        <f t="shared" si="22"/>
        <v>365</v>
      </c>
      <c r="X40" s="1007">
        <f t="shared" ca="1" si="23"/>
        <v>30000000.000000007</v>
      </c>
      <c r="Y40" s="258">
        <f t="shared" ca="1" si="27"/>
        <v>77589041.095890418</v>
      </c>
      <c r="Z40" s="258"/>
      <c r="AA40" s="197">
        <f t="shared" si="24"/>
        <v>2706</v>
      </c>
      <c r="AB40" s="243"/>
      <c r="AC40" s="243"/>
      <c r="AD40" s="243"/>
      <c r="AE40" s="243"/>
      <c r="AF40" s="243"/>
      <c r="AG40" s="227"/>
      <c r="AH40" s="225"/>
      <c r="AI40" s="226"/>
    </row>
    <row r="41" spans="1:35" ht="12.75" x14ac:dyDescent="0.2">
      <c r="A41" s="1004">
        <v>45703</v>
      </c>
      <c r="B41" s="243" t="s">
        <v>335</v>
      </c>
      <c r="C41" s="243" t="s">
        <v>288</v>
      </c>
      <c r="D41" s="989">
        <f>5000000*2</f>
        <v>10000000</v>
      </c>
      <c r="E41" s="243">
        <v>7</v>
      </c>
      <c r="F41" s="1004">
        <v>45703</v>
      </c>
      <c r="G41" s="243" t="s">
        <v>313</v>
      </c>
      <c r="H41" s="1005" t="e">
        <f t="shared" si="14"/>
        <v>#NUM!</v>
      </c>
      <c r="I41" s="243"/>
      <c r="J41" s="243"/>
      <c r="K41" s="243"/>
      <c r="L41" s="197">
        <f t="shared" si="15"/>
        <v>2555</v>
      </c>
      <c r="M41" s="1006">
        <f t="shared" si="16"/>
        <v>320</v>
      </c>
      <c r="N41" s="1007">
        <f t="shared" ca="1" si="17"/>
        <v>1252446.1839530333</v>
      </c>
      <c r="O41" s="258">
        <f t="shared" ca="1" si="25"/>
        <v>1252446.1839530333</v>
      </c>
      <c r="P41" s="258"/>
      <c r="Q41" s="197">
        <f t="shared" si="18"/>
        <v>2235</v>
      </c>
      <c r="R41" s="1006">
        <f t="shared" si="19"/>
        <v>365</v>
      </c>
      <c r="S41" s="1007">
        <f t="shared" ca="1" si="20"/>
        <v>1428571.4285714286</v>
      </c>
      <c r="T41" s="258">
        <f t="shared" ca="1" si="26"/>
        <v>2681017.6125244619</v>
      </c>
      <c r="U41" s="258"/>
      <c r="V41" s="197">
        <f t="shared" si="21"/>
        <v>1870</v>
      </c>
      <c r="W41" s="1006">
        <f t="shared" si="22"/>
        <v>365</v>
      </c>
      <c r="X41" s="1007">
        <f t="shared" ca="1" si="23"/>
        <v>1428571.4285714286</v>
      </c>
      <c r="Y41" s="258">
        <f t="shared" ca="1" si="27"/>
        <v>4109589.0410958906</v>
      </c>
      <c r="Z41" s="258"/>
      <c r="AA41" s="197">
        <f t="shared" si="24"/>
        <v>1505</v>
      </c>
      <c r="AB41" s="243"/>
      <c r="AC41" s="243"/>
      <c r="AD41" s="243"/>
      <c r="AE41" s="243"/>
      <c r="AF41" s="243"/>
      <c r="AG41" s="227"/>
      <c r="AH41" s="225"/>
      <c r="AI41" s="226"/>
    </row>
    <row r="42" spans="1:35" ht="12.75" x14ac:dyDescent="0.2">
      <c r="A42" s="1004">
        <v>45792</v>
      </c>
      <c r="B42" s="243" t="s">
        <v>336</v>
      </c>
      <c r="C42" s="243" t="s">
        <v>296</v>
      </c>
      <c r="D42" s="989">
        <f>400000000*3</f>
        <v>1200000000</v>
      </c>
      <c r="E42" s="243">
        <v>7</v>
      </c>
      <c r="F42" s="1004">
        <v>45809</v>
      </c>
      <c r="G42" s="243" t="s">
        <v>313</v>
      </c>
      <c r="H42" s="1005" t="e">
        <f t="shared" si="14"/>
        <v>#NUM!</v>
      </c>
      <c r="I42" s="243"/>
      <c r="J42" s="243"/>
      <c r="K42" s="243"/>
      <c r="L42" s="197">
        <f t="shared" si="15"/>
        <v>2555</v>
      </c>
      <c r="M42" s="1006">
        <f t="shared" si="16"/>
        <v>214</v>
      </c>
      <c r="N42" s="1007">
        <f t="shared" ca="1" si="17"/>
        <v>100508806.26223092</v>
      </c>
      <c r="O42" s="258">
        <f t="shared" ca="1" si="25"/>
        <v>100508806.26223092</v>
      </c>
      <c r="P42" s="258"/>
      <c r="Q42" s="197">
        <f t="shared" si="18"/>
        <v>2341</v>
      </c>
      <c r="R42" s="1006">
        <f t="shared" si="19"/>
        <v>365</v>
      </c>
      <c r="S42" s="1007">
        <f t="shared" ca="1" si="20"/>
        <v>171428571.4285714</v>
      </c>
      <c r="T42" s="258">
        <f t="shared" ca="1" si="26"/>
        <v>271937377.69080234</v>
      </c>
      <c r="U42" s="258"/>
      <c r="V42" s="197">
        <f t="shared" si="21"/>
        <v>1976</v>
      </c>
      <c r="W42" s="1006">
        <f t="shared" si="22"/>
        <v>365</v>
      </c>
      <c r="X42" s="1007">
        <f t="shared" ca="1" si="23"/>
        <v>171428571.42857146</v>
      </c>
      <c r="Y42" s="258">
        <f t="shared" ca="1" si="27"/>
        <v>443365949.1193738</v>
      </c>
      <c r="Z42" s="258"/>
      <c r="AA42" s="197">
        <f t="shared" si="24"/>
        <v>1611</v>
      </c>
      <c r="AB42" s="243"/>
      <c r="AC42" s="243"/>
      <c r="AD42" s="243"/>
      <c r="AE42" s="243"/>
      <c r="AF42" s="243"/>
      <c r="AG42" s="227"/>
      <c r="AH42" s="225"/>
      <c r="AI42" s="226"/>
    </row>
    <row r="43" spans="1:35" ht="12.75" x14ac:dyDescent="0.2">
      <c r="A43" s="243"/>
      <c r="B43" s="243"/>
      <c r="C43" s="243"/>
      <c r="D43" s="989"/>
      <c r="E43" s="243"/>
      <c r="F43" s="243"/>
      <c r="G43" s="243"/>
      <c r="H43" s="1005" t="e">
        <f t="shared" si="14"/>
        <v>#REF!</v>
      </c>
      <c r="I43" s="243"/>
      <c r="J43" s="243"/>
      <c r="K43" s="243"/>
      <c r="L43" s="197">
        <f t="shared" si="15"/>
        <v>0</v>
      </c>
      <c r="M43" s="1006">
        <f t="shared" si="16"/>
        <v>0</v>
      </c>
      <c r="N43" s="1007" t="e">
        <f t="shared" si="17"/>
        <v>#VALUE!</v>
      </c>
      <c r="O43" s="258" t="str">
        <f t="shared" si="25"/>
        <v>--</v>
      </c>
      <c r="P43" s="258"/>
      <c r="Q43" s="197">
        <f t="shared" si="18"/>
        <v>0</v>
      </c>
      <c r="R43" s="1006">
        <f t="shared" si="19"/>
        <v>0</v>
      </c>
      <c r="S43" s="1007" t="e">
        <f t="shared" si="20"/>
        <v>#VALUE!</v>
      </c>
      <c r="T43" s="258" t="str">
        <f t="shared" si="26"/>
        <v>--</v>
      </c>
      <c r="U43" s="258"/>
      <c r="V43" s="197">
        <f t="shared" si="21"/>
        <v>0</v>
      </c>
      <c r="W43" s="1006">
        <f t="shared" si="22"/>
        <v>0</v>
      </c>
      <c r="X43" s="1007" t="e">
        <f t="shared" si="23"/>
        <v>#VALUE!</v>
      </c>
      <c r="Y43" s="258" t="str">
        <f t="shared" si="27"/>
        <v>--</v>
      </c>
      <c r="Z43" s="258"/>
      <c r="AA43" s="197">
        <f t="shared" si="24"/>
        <v>0</v>
      </c>
      <c r="AB43" s="243"/>
      <c r="AC43" s="243"/>
      <c r="AD43" s="243"/>
      <c r="AE43" s="243"/>
      <c r="AF43" s="243"/>
      <c r="AG43" s="227"/>
      <c r="AH43" s="225"/>
      <c r="AI43" s="226"/>
    </row>
    <row r="44" spans="1:35" ht="12.75" x14ac:dyDescent="0.2">
      <c r="A44" s="243"/>
      <c r="B44" s="243"/>
      <c r="C44" s="243"/>
      <c r="D44" s="989"/>
      <c r="E44" s="243"/>
      <c r="F44" s="243"/>
      <c r="G44" s="243"/>
      <c r="H44" s="1005" t="e">
        <f t="shared" si="14"/>
        <v>#REF!</v>
      </c>
      <c r="I44" s="243"/>
      <c r="J44" s="243"/>
      <c r="K44" s="243"/>
      <c r="L44" s="197">
        <f t="shared" si="15"/>
        <v>0</v>
      </c>
      <c r="M44" s="1006">
        <f t="shared" si="16"/>
        <v>0</v>
      </c>
      <c r="N44" s="1007" t="e">
        <f t="shared" si="17"/>
        <v>#VALUE!</v>
      </c>
      <c r="O44" s="258" t="str">
        <f t="shared" si="25"/>
        <v>--</v>
      </c>
      <c r="P44" s="258"/>
      <c r="Q44" s="197">
        <f t="shared" si="18"/>
        <v>0</v>
      </c>
      <c r="R44" s="1006">
        <f t="shared" si="19"/>
        <v>0</v>
      </c>
      <c r="S44" s="1007" t="e">
        <f t="shared" si="20"/>
        <v>#VALUE!</v>
      </c>
      <c r="T44" s="258" t="str">
        <f t="shared" si="26"/>
        <v>--</v>
      </c>
      <c r="U44" s="258"/>
      <c r="V44" s="197">
        <f t="shared" si="21"/>
        <v>0</v>
      </c>
      <c r="W44" s="1006">
        <f t="shared" si="22"/>
        <v>0</v>
      </c>
      <c r="X44" s="1007" t="e">
        <f t="shared" si="23"/>
        <v>#VALUE!</v>
      </c>
      <c r="Y44" s="258" t="str">
        <f t="shared" si="27"/>
        <v>--</v>
      </c>
      <c r="Z44" s="258"/>
      <c r="AA44" s="197">
        <f t="shared" si="24"/>
        <v>0</v>
      </c>
      <c r="AB44" s="243"/>
      <c r="AC44" s="243"/>
      <c r="AD44" s="243"/>
      <c r="AE44" s="243"/>
      <c r="AF44" s="243"/>
      <c r="AG44" s="227"/>
      <c r="AH44" s="225"/>
      <c r="AI44" s="226"/>
    </row>
    <row r="45" spans="1:35" ht="12.75" x14ac:dyDescent="0.2">
      <c r="A45" s="243"/>
      <c r="B45" s="243"/>
      <c r="C45" s="243"/>
      <c r="D45" s="989"/>
      <c r="E45" s="243"/>
      <c r="F45" s="243"/>
      <c r="G45" s="243"/>
      <c r="H45" s="1005" t="e">
        <f t="shared" si="14"/>
        <v>#REF!</v>
      </c>
      <c r="I45" s="243"/>
      <c r="J45" s="243"/>
      <c r="K45" s="243"/>
      <c r="L45" s="197">
        <f t="shared" si="15"/>
        <v>0</v>
      </c>
      <c r="M45" s="1006">
        <f t="shared" si="16"/>
        <v>0</v>
      </c>
      <c r="N45" s="1007" t="e">
        <f t="shared" si="17"/>
        <v>#VALUE!</v>
      </c>
      <c r="O45" s="258" t="str">
        <f t="shared" si="25"/>
        <v>--</v>
      </c>
      <c r="P45" s="258"/>
      <c r="Q45" s="197">
        <f t="shared" si="18"/>
        <v>0</v>
      </c>
      <c r="R45" s="1006">
        <f t="shared" si="19"/>
        <v>0</v>
      </c>
      <c r="S45" s="1007" t="e">
        <f t="shared" si="20"/>
        <v>#VALUE!</v>
      </c>
      <c r="T45" s="258" t="str">
        <f t="shared" si="26"/>
        <v>--</v>
      </c>
      <c r="U45" s="258"/>
      <c r="V45" s="197">
        <f t="shared" si="21"/>
        <v>0</v>
      </c>
      <c r="W45" s="1006">
        <f t="shared" si="22"/>
        <v>0</v>
      </c>
      <c r="X45" s="1007" t="e">
        <f t="shared" si="23"/>
        <v>#VALUE!</v>
      </c>
      <c r="Y45" s="258" t="str">
        <f t="shared" si="27"/>
        <v>--</v>
      </c>
      <c r="Z45" s="258"/>
      <c r="AA45" s="197">
        <f t="shared" si="24"/>
        <v>0</v>
      </c>
      <c r="AB45" s="243"/>
      <c r="AC45" s="243"/>
      <c r="AD45" s="243"/>
      <c r="AE45" s="243"/>
      <c r="AF45" s="243"/>
      <c r="AG45" s="227"/>
      <c r="AH45" s="225"/>
      <c r="AI45" s="226"/>
    </row>
    <row r="46" spans="1:35" ht="12.75" x14ac:dyDescent="0.2">
      <c r="A46" s="243"/>
      <c r="B46" s="243"/>
      <c r="C46" s="243"/>
      <c r="D46" s="989"/>
      <c r="E46" s="243"/>
      <c r="F46" s="243"/>
      <c r="G46" s="243"/>
      <c r="H46" s="1005" t="e">
        <f t="shared" si="14"/>
        <v>#REF!</v>
      </c>
      <c r="I46" s="243"/>
      <c r="J46" s="243"/>
      <c r="K46" s="243"/>
      <c r="L46" s="197">
        <f t="shared" si="15"/>
        <v>0</v>
      </c>
      <c r="M46" s="1006">
        <f t="shared" si="16"/>
        <v>0</v>
      </c>
      <c r="N46" s="1007" t="e">
        <f t="shared" si="17"/>
        <v>#VALUE!</v>
      </c>
      <c r="O46" s="258" t="str">
        <f t="shared" si="25"/>
        <v>--</v>
      </c>
      <c r="P46" s="258"/>
      <c r="Q46" s="197">
        <f t="shared" si="18"/>
        <v>0</v>
      </c>
      <c r="R46" s="1006">
        <f t="shared" si="19"/>
        <v>0</v>
      </c>
      <c r="S46" s="1007" t="e">
        <f t="shared" si="20"/>
        <v>#VALUE!</v>
      </c>
      <c r="T46" s="258" t="str">
        <f t="shared" si="26"/>
        <v>--</v>
      </c>
      <c r="U46" s="258"/>
      <c r="V46" s="197">
        <f t="shared" si="21"/>
        <v>0</v>
      </c>
      <c r="W46" s="1006">
        <f t="shared" si="22"/>
        <v>0</v>
      </c>
      <c r="X46" s="1007" t="e">
        <f t="shared" si="23"/>
        <v>#VALUE!</v>
      </c>
      <c r="Y46" s="258" t="str">
        <f t="shared" si="27"/>
        <v>--</v>
      </c>
      <c r="Z46" s="258"/>
      <c r="AA46" s="197">
        <f t="shared" si="24"/>
        <v>0</v>
      </c>
      <c r="AB46" s="243"/>
      <c r="AC46" s="243"/>
      <c r="AD46" s="243"/>
      <c r="AE46" s="243"/>
      <c r="AF46" s="243"/>
      <c r="AG46" s="227"/>
      <c r="AH46" s="225"/>
      <c r="AI46" s="226"/>
    </row>
    <row r="47" spans="1:35" ht="12.75" x14ac:dyDescent="0.2">
      <c r="A47" s="243"/>
      <c r="B47" s="243"/>
      <c r="C47" s="243"/>
      <c r="D47" s="989"/>
      <c r="E47" s="243"/>
      <c r="F47" s="243"/>
      <c r="G47" s="243"/>
      <c r="H47" s="1005" t="e">
        <f t="shared" si="14"/>
        <v>#REF!</v>
      </c>
      <c r="I47" s="243"/>
      <c r="J47" s="243"/>
      <c r="K47" s="243"/>
      <c r="L47" s="197">
        <f t="shared" si="15"/>
        <v>0</v>
      </c>
      <c r="M47" s="1006">
        <f t="shared" si="16"/>
        <v>0</v>
      </c>
      <c r="N47" s="1007" t="e">
        <f t="shared" si="17"/>
        <v>#VALUE!</v>
      </c>
      <c r="O47" s="258" t="str">
        <f t="shared" si="25"/>
        <v>--</v>
      </c>
      <c r="P47" s="258"/>
      <c r="Q47" s="197">
        <f t="shared" si="18"/>
        <v>0</v>
      </c>
      <c r="R47" s="1006">
        <f t="shared" si="19"/>
        <v>0</v>
      </c>
      <c r="S47" s="1007" t="e">
        <f t="shared" si="20"/>
        <v>#VALUE!</v>
      </c>
      <c r="T47" s="258" t="str">
        <f t="shared" si="26"/>
        <v>--</v>
      </c>
      <c r="U47" s="258"/>
      <c r="V47" s="197">
        <f t="shared" si="21"/>
        <v>0</v>
      </c>
      <c r="W47" s="1006">
        <f t="shared" si="22"/>
        <v>0</v>
      </c>
      <c r="X47" s="1007" t="e">
        <f t="shared" si="23"/>
        <v>#VALUE!</v>
      </c>
      <c r="Y47" s="258" t="str">
        <f t="shared" si="27"/>
        <v>--</v>
      </c>
      <c r="Z47" s="258"/>
      <c r="AA47" s="197">
        <f t="shared" si="24"/>
        <v>0</v>
      </c>
      <c r="AB47" s="243"/>
      <c r="AC47" s="243"/>
      <c r="AD47" s="243"/>
      <c r="AE47" s="243"/>
      <c r="AF47" s="243"/>
      <c r="AG47" s="227"/>
      <c r="AH47" s="225"/>
      <c r="AI47" s="226"/>
    </row>
    <row r="48" spans="1:35" ht="12.75" x14ac:dyDescent="0.2">
      <c r="A48" s="243"/>
      <c r="B48" s="243"/>
      <c r="C48" s="243"/>
      <c r="D48" s="989"/>
      <c r="E48" s="243"/>
      <c r="F48" s="243"/>
      <c r="G48" s="243"/>
      <c r="H48" s="1005" t="e">
        <f t="shared" si="14"/>
        <v>#REF!</v>
      </c>
      <c r="I48" s="243"/>
      <c r="J48" s="243"/>
      <c r="K48" s="243"/>
      <c r="L48" s="197">
        <f t="shared" si="15"/>
        <v>0</v>
      </c>
      <c r="M48" s="1006">
        <f t="shared" si="16"/>
        <v>0</v>
      </c>
      <c r="N48" s="1007" t="e">
        <f t="shared" si="17"/>
        <v>#VALUE!</v>
      </c>
      <c r="O48" s="258" t="str">
        <f t="shared" si="25"/>
        <v>--</v>
      </c>
      <c r="P48" s="258"/>
      <c r="Q48" s="197">
        <f t="shared" si="18"/>
        <v>0</v>
      </c>
      <c r="R48" s="1006">
        <f t="shared" si="19"/>
        <v>0</v>
      </c>
      <c r="S48" s="1007" t="e">
        <f t="shared" si="20"/>
        <v>#VALUE!</v>
      </c>
      <c r="T48" s="258" t="str">
        <f t="shared" si="26"/>
        <v>--</v>
      </c>
      <c r="U48" s="258"/>
      <c r="V48" s="197">
        <f t="shared" si="21"/>
        <v>0</v>
      </c>
      <c r="W48" s="1006">
        <f t="shared" si="22"/>
        <v>0</v>
      </c>
      <c r="X48" s="1007" t="e">
        <f t="shared" si="23"/>
        <v>#VALUE!</v>
      </c>
      <c r="Y48" s="258" t="str">
        <f t="shared" si="27"/>
        <v>--</v>
      </c>
      <c r="Z48" s="258"/>
      <c r="AA48" s="197">
        <f t="shared" si="24"/>
        <v>0</v>
      </c>
      <c r="AB48" s="243"/>
      <c r="AC48" s="243"/>
      <c r="AD48" s="243"/>
      <c r="AE48" s="243"/>
      <c r="AF48" s="243"/>
      <c r="AG48" s="227"/>
      <c r="AH48" s="225"/>
      <c r="AI48" s="226"/>
    </row>
    <row r="49" spans="1:35" ht="12.75" x14ac:dyDescent="0.2">
      <c r="A49" s="243"/>
      <c r="B49" s="243"/>
      <c r="C49" s="243"/>
      <c r="D49" s="989"/>
      <c r="E49" s="243"/>
      <c r="F49" s="243"/>
      <c r="G49" s="243"/>
      <c r="H49" s="1005" t="e">
        <f t="shared" si="14"/>
        <v>#REF!</v>
      </c>
      <c r="I49" s="243"/>
      <c r="J49" s="243"/>
      <c r="K49" s="243"/>
      <c r="L49" s="197">
        <f t="shared" si="15"/>
        <v>0</v>
      </c>
      <c r="M49" s="1006">
        <f t="shared" si="16"/>
        <v>0</v>
      </c>
      <c r="N49" s="1007" t="e">
        <f t="shared" si="17"/>
        <v>#VALUE!</v>
      </c>
      <c r="O49" s="258" t="str">
        <f t="shared" si="25"/>
        <v>--</v>
      </c>
      <c r="P49" s="258"/>
      <c r="Q49" s="197">
        <f t="shared" si="18"/>
        <v>0</v>
      </c>
      <c r="R49" s="1006">
        <f t="shared" si="19"/>
        <v>0</v>
      </c>
      <c r="S49" s="1007" t="e">
        <f t="shared" si="20"/>
        <v>#VALUE!</v>
      </c>
      <c r="T49" s="258" t="str">
        <f t="shared" si="26"/>
        <v>--</v>
      </c>
      <c r="U49" s="258"/>
      <c r="V49" s="197">
        <f t="shared" si="21"/>
        <v>0</v>
      </c>
      <c r="W49" s="1006">
        <f t="shared" si="22"/>
        <v>0</v>
      </c>
      <c r="X49" s="1007" t="e">
        <f t="shared" si="23"/>
        <v>#VALUE!</v>
      </c>
      <c r="Y49" s="258" t="str">
        <f t="shared" si="27"/>
        <v>--</v>
      </c>
      <c r="Z49" s="258"/>
      <c r="AA49" s="197">
        <f t="shared" si="24"/>
        <v>0</v>
      </c>
      <c r="AB49" s="243"/>
      <c r="AC49" s="243"/>
      <c r="AD49" s="243"/>
      <c r="AE49" s="243"/>
      <c r="AF49" s="243"/>
      <c r="AG49" s="227"/>
      <c r="AH49" s="225"/>
      <c r="AI49" s="226"/>
    </row>
    <row r="50" spans="1:35" ht="12.75" x14ac:dyDescent="0.2">
      <c r="A50" s="243"/>
      <c r="B50" s="243"/>
      <c r="C50" s="243"/>
      <c r="D50" s="989"/>
      <c r="E50" s="243"/>
      <c r="F50" s="243"/>
      <c r="G50" s="243"/>
      <c r="H50" s="1005" t="e">
        <f t="shared" si="14"/>
        <v>#REF!</v>
      </c>
      <c r="I50" s="243"/>
      <c r="J50" s="243"/>
      <c r="K50" s="243"/>
      <c r="L50" s="197">
        <f t="shared" si="15"/>
        <v>0</v>
      </c>
      <c r="M50" s="1006">
        <f t="shared" si="16"/>
        <v>0</v>
      </c>
      <c r="N50" s="1007" t="e">
        <f t="shared" si="17"/>
        <v>#VALUE!</v>
      </c>
      <c r="O50" s="258" t="str">
        <f t="shared" si="25"/>
        <v>--</v>
      </c>
      <c r="P50" s="258"/>
      <c r="Q50" s="197">
        <f t="shared" si="18"/>
        <v>0</v>
      </c>
      <c r="R50" s="1006">
        <f t="shared" si="19"/>
        <v>0</v>
      </c>
      <c r="S50" s="1007" t="e">
        <f t="shared" si="20"/>
        <v>#VALUE!</v>
      </c>
      <c r="T50" s="258" t="str">
        <f t="shared" si="26"/>
        <v>--</v>
      </c>
      <c r="U50" s="258"/>
      <c r="V50" s="197">
        <f t="shared" si="21"/>
        <v>0</v>
      </c>
      <c r="W50" s="1006">
        <f t="shared" si="22"/>
        <v>0</v>
      </c>
      <c r="X50" s="1007" t="e">
        <f t="shared" si="23"/>
        <v>#VALUE!</v>
      </c>
      <c r="Y50" s="258" t="str">
        <f t="shared" si="27"/>
        <v>--</v>
      </c>
      <c r="Z50" s="258"/>
      <c r="AA50" s="197">
        <f t="shared" si="24"/>
        <v>0</v>
      </c>
      <c r="AB50" s="243"/>
      <c r="AC50" s="243"/>
      <c r="AD50" s="243"/>
      <c r="AE50" s="243"/>
      <c r="AF50" s="243"/>
      <c r="AG50" s="227"/>
      <c r="AH50" s="225"/>
      <c r="AI50" s="226"/>
    </row>
    <row r="51" spans="1:35" ht="12.75" x14ac:dyDescent="0.2">
      <c r="A51" s="243"/>
      <c r="B51" s="243"/>
      <c r="C51" s="243"/>
      <c r="D51" s="989"/>
      <c r="E51" s="243"/>
      <c r="F51" s="243"/>
      <c r="G51" s="243"/>
      <c r="H51" s="1005" t="e">
        <f t="shared" si="14"/>
        <v>#REF!</v>
      </c>
      <c r="I51" s="243"/>
      <c r="J51" s="243"/>
      <c r="K51" s="243"/>
      <c r="L51" s="197">
        <f t="shared" si="15"/>
        <v>0</v>
      </c>
      <c r="M51" s="1006">
        <f t="shared" si="16"/>
        <v>0</v>
      </c>
      <c r="N51" s="1007" t="e">
        <f t="shared" si="17"/>
        <v>#VALUE!</v>
      </c>
      <c r="O51" s="258" t="str">
        <f t="shared" si="25"/>
        <v>--</v>
      </c>
      <c r="P51" s="258"/>
      <c r="Q51" s="197">
        <f t="shared" si="18"/>
        <v>0</v>
      </c>
      <c r="R51" s="1006">
        <f t="shared" si="19"/>
        <v>0</v>
      </c>
      <c r="S51" s="1007" t="e">
        <f t="shared" si="20"/>
        <v>#VALUE!</v>
      </c>
      <c r="T51" s="258" t="str">
        <f t="shared" si="26"/>
        <v>--</v>
      </c>
      <c r="U51" s="258"/>
      <c r="V51" s="197">
        <f t="shared" si="21"/>
        <v>0</v>
      </c>
      <c r="W51" s="1006">
        <f t="shared" si="22"/>
        <v>0</v>
      </c>
      <c r="X51" s="1007" t="e">
        <f t="shared" si="23"/>
        <v>#VALUE!</v>
      </c>
      <c r="Y51" s="258" t="str">
        <f t="shared" si="27"/>
        <v>--</v>
      </c>
      <c r="Z51" s="258"/>
      <c r="AA51" s="197">
        <f t="shared" si="24"/>
        <v>0</v>
      </c>
      <c r="AB51" s="243"/>
      <c r="AC51" s="243"/>
      <c r="AD51" s="243"/>
      <c r="AE51" s="243"/>
      <c r="AF51" s="243"/>
      <c r="AG51" s="227"/>
      <c r="AH51" s="225"/>
      <c r="AI51" s="226"/>
    </row>
    <row r="52" spans="1:35" ht="12.75" x14ac:dyDescent="0.2">
      <c r="A52" s="243"/>
      <c r="B52" s="243"/>
      <c r="C52" s="243"/>
      <c r="D52" s="989"/>
      <c r="E52" s="243"/>
      <c r="F52" s="243"/>
      <c r="G52" s="243"/>
      <c r="H52" s="1005" t="e">
        <f t="shared" si="14"/>
        <v>#REF!</v>
      </c>
      <c r="I52" s="243"/>
      <c r="J52" s="243"/>
      <c r="K52" s="243"/>
      <c r="L52" s="197">
        <f t="shared" si="15"/>
        <v>0</v>
      </c>
      <c r="M52" s="1006">
        <f t="shared" si="16"/>
        <v>0</v>
      </c>
      <c r="N52" s="1007" t="e">
        <f t="shared" si="17"/>
        <v>#VALUE!</v>
      </c>
      <c r="O52" s="258" t="str">
        <f t="shared" si="25"/>
        <v>--</v>
      </c>
      <c r="P52" s="258"/>
      <c r="Q52" s="197">
        <f t="shared" si="18"/>
        <v>0</v>
      </c>
      <c r="R52" s="1006">
        <f t="shared" si="19"/>
        <v>0</v>
      </c>
      <c r="S52" s="1007" t="e">
        <f t="shared" si="20"/>
        <v>#VALUE!</v>
      </c>
      <c r="T52" s="258" t="str">
        <f t="shared" si="26"/>
        <v>--</v>
      </c>
      <c r="U52" s="258"/>
      <c r="V52" s="197">
        <f t="shared" si="21"/>
        <v>0</v>
      </c>
      <c r="W52" s="1006">
        <f t="shared" si="22"/>
        <v>0</v>
      </c>
      <c r="X52" s="1007" t="e">
        <f t="shared" si="23"/>
        <v>#VALUE!</v>
      </c>
      <c r="Y52" s="258" t="str">
        <f t="shared" si="27"/>
        <v>--</v>
      </c>
      <c r="Z52" s="258"/>
      <c r="AA52" s="197">
        <f t="shared" si="24"/>
        <v>0</v>
      </c>
      <c r="AB52" s="243"/>
      <c r="AC52" s="243"/>
      <c r="AD52" s="243"/>
      <c r="AE52" s="243"/>
      <c r="AF52" s="243"/>
      <c r="AG52" s="227"/>
      <c r="AH52" s="225"/>
      <c r="AI52" s="226"/>
    </row>
    <row r="53" spans="1:35" ht="12.75" x14ac:dyDescent="0.2">
      <c r="A53" s="243"/>
      <c r="B53" s="243"/>
      <c r="C53" s="243"/>
      <c r="D53" s="989"/>
      <c r="E53" s="243"/>
      <c r="F53" s="243"/>
      <c r="G53" s="243"/>
      <c r="H53" s="1005" t="e">
        <f t="shared" si="14"/>
        <v>#REF!</v>
      </c>
      <c r="I53" s="243"/>
      <c r="J53" s="243"/>
      <c r="K53" s="243"/>
      <c r="L53" s="197">
        <f t="shared" si="15"/>
        <v>0</v>
      </c>
      <c r="M53" s="1006">
        <f t="shared" si="16"/>
        <v>0</v>
      </c>
      <c r="N53" s="1007" t="e">
        <f t="shared" si="17"/>
        <v>#VALUE!</v>
      </c>
      <c r="O53" s="258" t="str">
        <f t="shared" si="25"/>
        <v>--</v>
      </c>
      <c r="P53" s="258"/>
      <c r="Q53" s="197">
        <f t="shared" si="18"/>
        <v>0</v>
      </c>
      <c r="R53" s="1006">
        <f t="shared" si="19"/>
        <v>0</v>
      </c>
      <c r="S53" s="1007" t="e">
        <f t="shared" si="20"/>
        <v>#VALUE!</v>
      </c>
      <c r="T53" s="258" t="str">
        <f t="shared" si="26"/>
        <v>--</v>
      </c>
      <c r="U53" s="258"/>
      <c r="V53" s="197">
        <f t="shared" si="21"/>
        <v>0</v>
      </c>
      <c r="W53" s="1006">
        <f t="shared" si="22"/>
        <v>0</v>
      </c>
      <c r="X53" s="1007" t="e">
        <f t="shared" si="23"/>
        <v>#VALUE!</v>
      </c>
      <c r="Y53" s="258" t="str">
        <f t="shared" si="27"/>
        <v>--</v>
      </c>
      <c r="Z53" s="258"/>
      <c r="AA53" s="197">
        <f t="shared" si="24"/>
        <v>0</v>
      </c>
      <c r="AB53" s="243"/>
      <c r="AC53" s="243"/>
      <c r="AD53" s="243"/>
      <c r="AE53" s="243"/>
      <c r="AF53" s="243"/>
      <c r="AG53" s="227"/>
      <c r="AH53" s="225"/>
      <c r="AI53" s="226"/>
    </row>
    <row r="54" spans="1:35" ht="12.75" x14ac:dyDescent="0.2">
      <c r="A54" s="243"/>
      <c r="B54" s="243"/>
      <c r="C54" s="243"/>
      <c r="D54" s="989"/>
      <c r="E54" s="243"/>
      <c r="F54" s="243"/>
      <c r="G54" s="243"/>
      <c r="H54" s="1005" t="e">
        <f t="shared" si="14"/>
        <v>#REF!</v>
      </c>
      <c r="I54" s="243"/>
      <c r="J54" s="243"/>
      <c r="K54" s="243"/>
      <c r="L54" s="197">
        <f t="shared" si="15"/>
        <v>0</v>
      </c>
      <c r="M54" s="1006">
        <f t="shared" si="16"/>
        <v>0</v>
      </c>
      <c r="N54" s="1007" t="e">
        <f t="shared" si="17"/>
        <v>#VALUE!</v>
      </c>
      <c r="O54" s="258" t="str">
        <f t="shared" si="25"/>
        <v>--</v>
      </c>
      <c r="P54" s="258"/>
      <c r="Q54" s="197">
        <f t="shared" si="18"/>
        <v>0</v>
      </c>
      <c r="R54" s="1006">
        <f t="shared" si="19"/>
        <v>0</v>
      </c>
      <c r="S54" s="1007" t="e">
        <f t="shared" si="20"/>
        <v>#VALUE!</v>
      </c>
      <c r="T54" s="258" t="str">
        <f t="shared" si="26"/>
        <v>--</v>
      </c>
      <c r="U54" s="258"/>
      <c r="V54" s="197">
        <f t="shared" si="21"/>
        <v>0</v>
      </c>
      <c r="W54" s="1006">
        <f t="shared" si="22"/>
        <v>0</v>
      </c>
      <c r="X54" s="1007" t="e">
        <f t="shared" si="23"/>
        <v>#VALUE!</v>
      </c>
      <c r="Y54" s="258" t="str">
        <f t="shared" si="27"/>
        <v>--</v>
      </c>
      <c r="Z54" s="258"/>
      <c r="AA54" s="197">
        <f t="shared" si="24"/>
        <v>0</v>
      </c>
      <c r="AB54" s="243"/>
      <c r="AC54" s="243"/>
      <c r="AD54" s="243"/>
      <c r="AE54" s="243"/>
      <c r="AF54" s="243"/>
      <c r="AG54" s="227"/>
      <c r="AH54" s="225"/>
      <c r="AI54" s="226"/>
    </row>
    <row r="55" spans="1:35" ht="12.75" x14ac:dyDescent="0.2">
      <c r="A55" s="243"/>
      <c r="B55" s="243"/>
      <c r="C55" s="243"/>
      <c r="D55" s="989"/>
      <c r="E55" s="243"/>
      <c r="F55" s="243"/>
      <c r="G55" s="243"/>
      <c r="H55" s="1005" t="e">
        <f t="shared" si="14"/>
        <v>#REF!</v>
      </c>
      <c r="I55" s="243"/>
      <c r="J55" s="243"/>
      <c r="K55" s="243"/>
      <c r="L55" s="197">
        <f t="shared" si="15"/>
        <v>0</v>
      </c>
      <c r="M55" s="1006">
        <f t="shared" si="16"/>
        <v>0</v>
      </c>
      <c r="N55" s="1007" t="e">
        <f t="shared" si="17"/>
        <v>#VALUE!</v>
      </c>
      <c r="O55" s="258" t="str">
        <f t="shared" si="25"/>
        <v>--</v>
      </c>
      <c r="P55" s="258"/>
      <c r="Q55" s="197">
        <f t="shared" si="18"/>
        <v>0</v>
      </c>
      <c r="R55" s="1006">
        <f t="shared" si="19"/>
        <v>0</v>
      </c>
      <c r="S55" s="1007" t="e">
        <f t="shared" si="20"/>
        <v>#VALUE!</v>
      </c>
      <c r="T55" s="258" t="str">
        <f t="shared" si="26"/>
        <v>--</v>
      </c>
      <c r="U55" s="258"/>
      <c r="V55" s="197">
        <f t="shared" si="21"/>
        <v>0</v>
      </c>
      <c r="W55" s="1006">
        <f t="shared" si="22"/>
        <v>0</v>
      </c>
      <c r="X55" s="1007" t="e">
        <f t="shared" si="23"/>
        <v>#VALUE!</v>
      </c>
      <c r="Y55" s="258" t="str">
        <f t="shared" si="27"/>
        <v>--</v>
      </c>
      <c r="Z55" s="258"/>
      <c r="AA55" s="197">
        <f t="shared" si="24"/>
        <v>0</v>
      </c>
      <c r="AB55" s="243"/>
      <c r="AC55" s="243"/>
      <c r="AD55" s="243"/>
      <c r="AE55" s="243"/>
      <c r="AF55" s="243"/>
      <c r="AG55" s="227"/>
      <c r="AH55" s="225"/>
      <c r="AI55" s="226"/>
    </row>
    <row r="56" spans="1:35" ht="12.75" x14ac:dyDescent="0.2">
      <c r="A56" s="243"/>
      <c r="B56" s="243"/>
      <c r="C56" s="243"/>
      <c r="D56" s="989"/>
      <c r="E56" s="243"/>
      <c r="F56" s="243"/>
      <c r="G56" s="243"/>
      <c r="H56" s="1005" t="e">
        <f t="shared" si="14"/>
        <v>#REF!</v>
      </c>
      <c r="I56" s="243"/>
      <c r="J56" s="243"/>
      <c r="K56" s="243"/>
      <c r="L56" s="197">
        <f t="shared" si="15"/>
        <v>0</v>
      </c>
      <c r="M56" s="1006">
        <f t="shared" si="16"/>
        <v>0</v>
      </c>
      <c r="N56" s="1007" t="e">
        <f t="shared" si="17"/>
        <v>#VALUE!</v>
      </c>
      <c r="O56" s="258" t="str">
        <f t="shared" si="25"/>
        <v>--</v>
      </c>
      <c r="P56" s="258"/>
      <c r="Q56" s="197">
        <f t="shared" si="18"/>
        <v>0</v>
      </c>
      <c r="R56" s="1006">
        <f t="shared" si="19"/>
        <v>0</v>
      </c>
      <c r="S56" s="1007" t="e">
        <f t="shared" si="20"/>
        <v>#VALUE!</v>
      </c>
      <c r="T56" s="258" t="str">
        <f t="shared" si="26"/>
        <v>--</v>
      </c>
      <c r="U56" s="258"/>
      <c r="V56" s="197">
        <f t="shared" si="21"/>
        <v>0</v>
      </c>
      <c r="W56" s="1006">
        <f t="shared" si="22"/>
        <v>0</v>
      </c>
      <c r="X56" s="1007" t="e">
        <f t="shared" si="23"/>
        <v>#VALUE!</v>
      </c>
      <c r="Y56" s="258" t="str">
        <f t="shared" si="27"/>
        <v>--</v>
      </c>
      <c r="Z56" s="258"/>
      <c r="AA56" s="197">
        <f t="shared" si="24"/>
        <v>0</v>
      </c>
      <c r="AB56" s="243"/>
      <c r="AC56" s="243"/>
      <c r="AD56" s="243"/>
      <c r="AE56" s="243"/>
      <c r="AF56" s="243"/>
      <c r="AG56" s="227"/>
      <c r="AH56" s="225"/>
      <c r="AI56" s="226"/>
    </row>
    <row r="57" spans="1:35" ht="12.75" x14ac:dyDescent="0.2">
      <c r="A57" s="243"/>
      <c r="B57" s="243"/>
      <c r="C57" s="243"/>
      <c r="D57" s="989"/>
      <c r="E57" s="243"/>
      <c r="F57" s="243"/>
      <c r="G57" s="243"/>
      <c r="H57" s="1005" t="e">
        <f t="shared" si="14"/>
        <v>#REF!</v>
      </c>
      <c r="I57" s="243"/>
      <c r="J57" s="243"/>
      <c r="K57" s="243"/>
      <c r="L57" s="197">
        <f t="shared" si="15"/>
        <v>0</v>
      </c>
      <c r="M57" s="1006">
        <f t="shared" si="16"/>
        <v>0</v>
      </c>
      <c r="N57" s="1007" t="e">
        <f t="shared" si="17"/>
        <v>#VALUE!</v>
      </c>
      <c r="O57" s="258" t="str">
        <f t="shared" si="25"/>
        <v>--</v>
      </c>
      <c r="P57" s="258"/>
      <c r="Q57" s="197">
        <f t="shared" si="18"/>
        <v>0</v>
      </c>
      <c r="R57" s="1006">
        <f t="shared" si="19"/>
        <v>0</v>
      </c>
      <c r="S57" s="1007" t="e">
        <f t="shared" si="20"/>
        <v>#VALUE!</v>
      </c>
      <c r="T57" s="258" t="str">
        <f t="shared" si="26"/>
        <v>--</v>
      </c>
      <c r="U57" s="258"/>
      <c r="V57" s="197">
        <f t="shared" si="21"/>
        <v>0</v>
      </c>
      <c r="W57" s="1006">
        <f t="shared" si="22"/>
        <v>0</v>
      </c>
      <c r="X57" s="1007" t="e">
        <f t="shared" si="23"/>
        <v>#VALUE!</v>
      </c>
      <c r="Y57" s="258" t="str">
        <f t="shared" si="27"/>
        <v>--</v>
      </c>
      <c r="Z57" s="258"/>
      <c r="AA57" s="197">
        <f t="shared" si="24"/>
        <v>0</v>
      </c>
      <c r="AB57" s="243"/>
      <c r="AC57" s="243"/>
      <c r="AD57" s="243"/>
      <c r="AE57" s="243"/>
      <c r="AF57" s="243"/>
      <c r="AG57" s="227"/>
      <c r="AH57" s="225"/>
      <c r="AI57" s="226"/>
    </row>
    <row r="58" spans="1:35" ht="12.75" x14ac:dyDescent="0.2">
      <c r="A58" s="243"/>
      <c r="B58" s="243"/>
      <c r="C58" s="243"/>
      <c r="D58" s="989"/>
      <c r="E58" s="243"/>
      <c r="F58" s="243"/>
      <c r="G58" s="243"/>
      <c r="H58" s="1005" t="e">
        <f t="shared" si="14"/>
        <v>#REF!</v>
      </c>
      <c r="I58" s="243"/>
      <c r="J58" s="243"/>
      <c r="K58" s="243"/>
      <c r="L58" s="197">
        <f t="shared" si="15"/>
        <v>0</v>
      </c>
      <c r="M58" s="1006">
        <f t="shared" si="16"/>
        <v>0</v>
      </c>
      <c r="N58" s="1007" t="e">
        <f t="shared" si="17"/>
        <v>#VALUE!</v>
      </c>
      <c r="O58" s="258" t="str">
        <f t="shared" si="25"/>
        <v>--</v>
      </c>
      <c r="P58" s="258"/>
      <c r="Q58" s="197">
        <f t="shared" si="18"/>
        <v>0</v>
      </c>
      <c r="R58" s="1006">
        <f t="shared" si="19"/>
        <v>0</v>
      </c>
      <c r="S58" s="1007" t="e">
        <f t="shared" si="20"/>
        <v>#VALUE!</v>
      </c>
      <c r="T58" s="258" t="str">
        <f t="shared" si="26"/>
        <v>--</v>
      </c>
      <c r="U58" s="258"/>
      <c r="V58" s="197">
        <f t="shared" si="21"/>
        <v>0</v>
      </c>
      <c r="W58" s="1006">
        <f t="shared" si="22"/>
        <v>0</v>
      </c>
      <c r="X58" s="1007" t="e">
        <f t="shared" si="23"/>
        <v>#VALUE!</v>
      </c>
      <c r="Y58" s="258" t="str">
        <f t="shared" si="27"/>
        <v>--</v>
      </c>
      <c r="Z58" s="258"/>
      <c r="AA58" s="197">
        <f t="shared" si="24"/>
        <v>0</v>
      </c>
      <c r="AB58" s="243"/>
      <c r="AC58" s="243"/>
      <c r="AD58" s="243"/>
      <c r="AE58" s="243"/>
      <c r="AF58" s="243"/>
      <c r="AG58" s="227"/>
      <c r="AH58" s="225"/>
      <c r="AI58" s="226"/>
    </row>
    <row r="59" spans="1:35" ht="12.75" x14ac:dyDescent="0.2">
      <c r="A59" s="243"/>
      <c r="B59" s="243"/>
      <c r="C59" s="243"/>
      <c r="D59" s="989"/>
      <c r="E59" s="243"/>
      <c r="F59" s="243"/>
      <c r="G59" s="243"/>
      <c r="H59" s="1005" t="e">
        <f t="shared" si="14"/>
        <v>#REF!</v>
      </c>
      <c r="I59" s="243"/>
      <c r="J59" s="243"/>
      <c r="K59" s="243"/>
      <c r="L59" s="197">
        <f t="shared" si="15"/>
        <v>0</v>
      </c>
      <c r="M59" s="1006">
        <f t="shared" si="16"/>
        <v>0</v>
      </c>
      <c r="N59" s="1007" t="e">
        <f t="shared" si="17"/>
        <v>#VALUE!</v>
      </c>
      <c r="O59" s="258" t="str">
        <f t="shared" si="25"/>
        <v>--</v>
      </c>
      <c r="P59" s="258"/>
      <c r="Q59" s="197">
        <f t="shared" si="18"/>
        <v>0</v>
      </c>
      <c r="R59" s="1006">
        <f t="shared" si="19"/>
        <v>0</v>
      </c>
      <c r="S59" s="1007" t="e">
        <f t="shared" si="20"/>
        <v>#VALUE!</v>
      </c>
      <c r="T59" s="258" t="str">
        <f t="shared" si="26"/>
        <v>--</v>
      </c>
      <c r="U59" s="258"/>
      <c r="V59" s="197">
        <f t="shared" si="21"/>
        <v>0</v>
      </c>
      <c r="W59" s="1006">
        <f t="shared" si="22"/>
        <v>0</v>
      </c>
      <c r="X59" s="1007" t="e">
        <f t="shared" si="23"/>
        <v>#VALUE!</v>
      </c>
      <c r="Y59" s="258" t="str">
        <f t="shared" si="27"/>
        <v>--</v>
      </c>
      <c r="Z59" s="258"/>
      <c r="AA59" s="197">
        <f t="shared" si="24"/>
        <v>0</v>
      </c>
      <c r="AB59" s="243"/>
      <c r="AC59" s="243"/>
      <c r="AD59" s="243"/>
      <c r="AE59" s="243"/>
      <c r="AF59" s="243"/>
      <c r="AG59" s="227"/>
      <c r="AH59" s="225"/>
      <c r="AI59" s="226"/>
    </row>
    <row r="60" spans="1:35" ht="12.75" x14ac:dyDescent="0.2">
      <c r="A60" s="243"/>
      <c r="B60" s="243"/>
      <c r="C60" s="243"/>
      <c r="D60" s="989"/>
      <c r="E60" s="243"/>
      <c r="F60" s="243"/>
      <c r="G60" s="243"/>
      <c r="H60" s="1005" t="e">
        <f t="shared" si="14"/>
        <v>#REF!</v>
      </c>
      <c r="I60" s="243"/>
      <c r="J60" s="243"/>
      <c r="K60" s="243"/>
      <c r="L60" s="197">
        <f t="shared" si="15"/>
        <v>0</v>
      </c>
      <c r="M60" s="1006">
        <f t="shared" si="16"/>
        <v>0</v>
      </c>
      <c r="N60" s="1007" t="e">
        <f t="shared" si="17"/>
        <v>#VALUE!</v>
      </c>
      <c r="O60" s="258" t="str">
        <f t="shared" si="25"/>
        <v>--</v>
      </c>
      <c r="P60" s="258"/>
      <c r="Q60" s="197">
        <f t="shared" si="18"/>
        <v>0</v>
      </c>
      <c r="R60" s="1006">
        <f t="shared" si="19"/>
        <v>0</v>
      </c>
      <c r="S60" s="1007" t="e">
        <f t="shared" si="20"/>
        <v>#VALUE!</v>
      </c>
      <c r="T60" s="258" t="str">
        <f t="shared" si="26"/>
        <v>--</v>
      </c>
      <c r="U60" s="258"/>
      <c r="V60" s="197">
        <f t="shared" si="21"/>
        <v>0</v>
      </c>
      <c r="W60" s="1006">
        <f t="shared" si="22"/>
        <v>0</v>
      </c>
      <c r="X60" s="1007" t="e">
        <f t="shared" si="23"/>
        <v>#VALUE!</v>
      </c>
      <c r="Y60" s="258" t="str">
        <f t="shared" si="27"/>
        <v>--</v>
      </c>
      <c r="Z60" s="258"/>
      <c r="AA60" s="197">
        <f t="shared" si="24"/>
        <v>0</v>
      </c>
      <c r="AB60" s="243"/>
      <c r="AC60" s="243"/>
      <c r="AD60" s="243"/>
      <c r="AE60" s="243"/>
      <c r="AF60" s="243"/>
      <c r="AG60" s="227"/>
      <c r="AH60" s="225"/>
      <c r="AI60" s="226"/>
    </row>
    <row r="61" spans="1:35" ht="12.75" x14ac:dyDescent="0.2">
      <c r="A61" s="243"/>
      <c r="B61" s="243"/>
      <c r="C61" s="243"/>
      <c r="D61" s="989"/>
      <c r="E61" s="243"/>
      <c r="F61" s="243"/>
      <c r="G61" s="243"/>
      <c r="H61" s="1005" t="e">
        <f t="shared" si="14"/>
        <v>#REF!</v>
      </c>
      <c r="I61" s="243"/>
      <c r="J61" s="243"/>
      <c r="K61" s="243"/>
      <c r="L61" s="197">
        <f t="shared" si="15"/>
        <v>0</v>
      </c>
      <c r="M61" s="1006">
        <f t="shared" si="16"/>
        <v>0</v>
      </c>
      <c r="N61" s="1007" t="e">
        <f t="shared" si="17"/>
        <v>#VALUE!</v>
      </c>
      <c r="O61" s="258" t="str">
        <f t="shared" si="25"/>
        <v>--</v>
      </c>
      <c r="P61" s="258"/>
      <c r="Q61" s="197">
        <f t="shared" si="18"/>
        <v>0</v>
      </c>
      <c r="R61" s="1006">
        <f t="shared" si="19"/>
        <v>0</v>
      </c>
      <c r="S61" s="1007" t="e">
        <f t="shared" si="20"/>
        <v>#VALUE!</v>
      </c>
      <c r="T61" s="258" t="str">
        <f t="shared" si="26"/>
        <v>--</v>
      </c>
      <c r="U61" s="258"/>
      <c r="V61" s="197">
        <f t="shared" si="21"/>
        <v>0</v>
      </c>
      <c r="W61" s="1006">
        <f t="shared" si="22"/>
        <v>0</v>
      </c>
      <c r="X61" s="1007" t="e">
        <f t="shared" si="23"/>
        <v>#VALUE!</v>
      </c>
      <c r="Y61" s="258" t="str">
        <f t="shared" si="27"/>
        <v>--</v>
      </c>
      <c r="Z61" s="258"/>
      <c r="AA61" s="197">
        <f t="shared" si="24"/>
        <v>0</v>
      </c>
      <c r="AB61" s="243"/>
      <c r="AC61" s="243"/>
      <c r="AD61" s="243"/>
      <c r="AE61" s="243"/>
      <c r="AF61" s="243"/>
      <c r="AG61" s="227"/>
      <c r="AH61" s="225"/>
      <c r="AI61" s="226"/>
    </row>
    <row r="62" spans="1:35" ht="12.75" x14ac:dyDescent="0.2">
      <c r="A62" s="243"/>
      <c r="B62" s="243"/>
      <c r="C62" s="243"/>
      <c r="D62" s="989"/>
      <c r="E62" s="243"/>
      <c r="F62" s="243"/>
      <c r="G62" s="243"/>
      <c r="H62" s="1005" t="e">
        <f t="shared" si="14"/>
        <v>#REF!</v>
      </c>
      <c r="I62" s="243"/>
      <c r="J62" s="243"/>
      <c r="K62" s="243"/>
      <c r="L62" s="197">
        <f t="shared" si="15"/>
        <v>0</v>
      </c>
      <c r="M62" s="1006">
        <f t="shared" si="16"/>
        <v>0</v>
      </c>
      <c r="N62" s="1007" t="e">
        <f t="shared" si="17"/>
        <v>#VALUE!</v>
      </c>
      <c r="O62" s="258" t="str">
        <f t="shared" si="25"/>
        <v>--</v>
      </c>
      <c r="P62" s="258"/>
      <c r="Q62" s="197">
        <f t="shared" si="18"/>
        <v>0</v>
      </c>
      <c r="R62" s="1006">
        <f t="shared" si="19"/>
        <v>0</v>
      </c>
      <c r="S62" s="1007" t="e">
        <f t="shared" si="20"/>
        <v>#VALUE!</v>
      </c>
      <c r="T62" s="258" t="str">
        <f t="shared" si="26"/>
        <v>--</v>
      </c>
      <c r="U62" s="258"/>
      <c r="V62" s="197">
        <f t="shared" si="21"/>
        <v>0</v>
      </c>
      <c r="W62" s="1006">
        <f t="shared" si="22"/>
        <v>0</v>
      </c>
      <c r="X62" s="1007" t="e">
        <f t="shared" si="23"/>
        <v>#VALUE!</v>
      </c>
      <c r="Y62" s="258" t="str">
        <f t="shared" si="27"/>
        <v>--</v>
      </c>
      <c r="Z62" s="258"/>
      <c r="AA62" s="197">
        <f t="shared" si="24"/>
        <v>0</v>
      </c>
      <c r="AB62" s="243"/>
      <c r="AC62" s="243"/>
      <c r="AD62" s="243"/>
      <c r="AE62" s="243"/>
      <c r="AF62" s="243"/>
      <c r="AG62" s="227"/>
      <c r="AH62" s="225"/>
      <c r="AI62" s="226"/>
    </row>
    <row r="63" spans="1:35" ht="12.75" x14ac:dyDescent="0.2">
      <c r="A63" s="243"/>
      <c r="B63" s="243"/>
      <c r="C63" s="243"/>
      <c r="D63" s="989"/>
      <c r="E63" s="243"/>
      <c r="F63" s="243"/>
      <c r="G63" s="243"/>
      <c r="H63" s="1005" t="e">
        <f t="shared" si="14"/>
        <v>#REF!</v>
      </c>
      <c r="I63" s="243"/>
      <c r="J63" s="243"/>
      <c r="K63" s="243"/>
      <c r="L63" s="197">
        <f t="shared" si="15"/>
        <v>0</v>
      </c>
      <c r="M63" s="1006">
        <f t="shared" si="16"/>
        <v>0</v>
      </c>
      <c r="N63" s="1007" t="e">
        <f t="shared" si="17"/>
        <v>#VALUE!</v>
      </c>
      <c r="O63" s="258" t="str">
        <f t="shared" si="25"/>
        <v>--</v>
      </c>
      <c r="P63" s="258"/>
      <c r="Q63" s="197">
        <f t="shared" si="18"/>
        <v>0</v>
      </c>
      <c r="R63" s="1006">
        <f t="shared" si="19"/>
        <v>0</v>
      </c>
      <c r="S63" s="1007" t="e">
        <f t="shared" si="20"/>
        <v>#VALUE!</v>
      </c>
      <c r="T63" s="258" t="str">
        <f t="shared" si="26"/>
        <v>--</v>
      </c>
      <c r="U63" s="258"/>
      <c r="V63" s="197">
        <f t="shared" si="21"/>
        <v>0</v>
      </c>
      <c r="W63" s="1006">
        <f t="shared" si="22"/>
        <v>0</v>
      </c>
      <c r="X63" s="1007" t="e">
        <f t="shared" si="23"/>
        <v>#VALUE!</v>
      </c>
      <c r="Y63" s="258" t="str">
        <f t="shared" si="27"/>
        <v>--</v>
      </c>
      <c r="Z63" s="258"/>
      <c r="AA63" s="197">
        <f t="shared" si="24"/>
        <v>0</v>
      </c>
      <c r="AB63" s="243"/>
      <c r="AC63" s="243"/>
      <c r="AD63" s="243"/>
      <c r="AE63" s="243"/>
      <c r="AF63" s="243"/>
      <c r="AG63" s="227"/>
      <c r="AH63" s="225"/>
      <c r="AI63" s="226"/>
    </row>
    <row r="64" spans="1:35" ht="12.75" x14ac:dyDescent="0.2">
      <c r="A64" s="243"/>
      <c r="B64" s="243"/>
      <c r="C64" s="243"/>
      <c r="D64" s="989"/>
      <c r="E64" s="243"/>
      <c r="F64" s="243"/>
      <c r="G64" s="243"/>
      <c r="H64" s="1005" t="e">
        <f t="shared" si="14"/>
        <v>#REF!</v>
      </c>
      <c r="I64" s="243"/>
      <c r="J64" s="243"/>
      <c r="K64" s="243"/>
      <c r="L64" s="197">
        <f t="shared" si="15"/>
        <v>0</v>
      </c>
      <c r="M64" s="1006">
        <f t="shared" si="16"/>
        <v>0</v>
      </c>
      <c r="N64" s="1007" t="e">
        <f t="shared" si="17"/>
        <v>#VALUE!</v>
      </c>
      <c r="O64" s="258" t="str">
        <f t="shared" si="25"/>
        <v>--</v>
      </c>
      <c r="P64" s="258"/>
      <c r="Q64" s="197">
        <f t="shared" si="18"/>
        <v>0</v>
      </c>
      <c r="R64" s="1006">
        <f t="shared" si="19"/>
        <v>0</v>
      </c>
      <c r="S64" s="1007" t="e">
        <f t="shared" si="20"/>
        <v>#VALUE!</v>
      </c>
      <c r="T64" s="258" t="str">
        <f t="shared" si="26"/>
        <v>--</v>
      </c>
      <c r="U64" s="258"/>
      <c r="V64" s="197">
        <f t="shared" si="21"/>
        <v>0</v>
      </c>
      <c r="W64" s="1006">
        <f t="shared" si="22"/>
        <v>0</v>
      </c>
      <c r="X64" s="1007" t="e">
        <f t="shared" si="23"/>
        <v>#VALUE!</v>
      </c>
      <c r="Y64" s="258" t="str">
        <f t="shared" si="27"/>
        <v>--</v>
      </c>
      <c r="Z64" s="258"/>
      <c r="AA64" s="197">
        <f t="shared" si="24"/>
        <v>0</v>
      </c>
      <c r="AB64" s="243"/>
      <c r="AC64" s="243"/>
      <c r="AD64" s="243"/>
      <c r="AE64" s="243"/>
      <c r="AF64" s="243"/>
      <c r="AG64" s="227"/>
      <c r="AH64" s="225"/>
      <c r="AI64" s="226"/>
    </row>
    <row r="65" spans="1:35" ht="12.75" x14ac:dyDescent="0.2">
      <c r="A65" s="243"/>
      <c r="B65" s="243"/>
      <c r="C65" s="243"/>
      <c r="D65" s="989"/>
      <c r="E65" s="243"/>
      <c r="F65" s="243"/>
      <c r="G65" s="243"/>
      <c r="H65" s="1005" t="e">
        <f t="shared" si="14"/>
        <v>#REF!</v>
      </c>
      <c r="I65" s="243"/>
      <c r="J65" s="243"/>
      <c r="K65" s="243"/>
      <c r="L65" s="197">
        <f t="shared" si="15"/>
        <v>0</v>
      </c>
      <c r="M65" s="1006">
        <f t="shared" si="16"/>
        <v>0</v>
      </c>
      <c r="N65" s="1007" t="e">
        <f t="shared" si="17"/>
        <v>#VALUE!</v>
      </c>
      <c r="O65" s="258" t="str">
        <f t="shared" si="25"/>
        <v>--</v>
      </c>
      <c r="P65" s="258"/>
      <c r="Q65" s="197">
        <f t="shared" si="18"/>
        <v>0</v>
      </c>
      <c r="R65" s="1006">
        <f t="shared" si="19"/>
        <v>0</v>
      </c>
      <c r="S65" s="1007" t="e">
        <f t="shared" si="20"/>
        <v>#VALUE!</v>
      </c>
      <c r="T65" s="258" t="str">
        <f t="shared" si="26"/>
        <v>--</v>
      </c>
      <c r="U65" s="258"/>
      <c r="V65" s="197">
        <f t="shared" si="21"/>
        <v>0</v>
      </c>
      <c r="W65" s="1006">
        <f t="shared" si="22"/>
        <v>0</v>
      </c>
      <c r="X65" s="1007" t="e">
        <f t="shared" si="23"/>
        <v>#VALUE!</v>
      </c>
      <c r="Y65" s="258" t="str">
        <f t="shared" si="27"/>
        <v>--</v>
      </c>
      <c r="Z65" s="258"/>
      <c r="AA65" s="197">
        <f t="shared" si="24"/>
        <v>0</v>
      </c>
      <c r="AB65" s="243"/>
      <c r="AC65" s="243"/>
      <c r="AD65" s="243"/>
      <c r="AE65" s="243"/>
      <c r="AF65" s="243"/>
      <c r="AG65" s="227"/>
      <c r="AH65" s="225"/>
      <c r="AI65" s="226"/>
    </row>
    <row r="66" spans="1:35" ht="12.75" x14ac:dyDescent="0.2">
      <c r="A66" s="243"/>
      <c r="B66" s="243"/>
      <c r="C66" s="243"/>
      <c r="D66" s="989"/>
      <c r="E66" s="243"/>
      <c r="F66" s="243"/>
      <c r="G66" s="243"/>
      <c r="H66" s="1005" t="e">
        <f t="shared" si="14"/>
        <v>#REF!</v>
      </c>
      <c r="I66" s="243"/>
      <c r="J66" s="243"/>
      <c r="K66" s="243"/>
      <c r="L66" s="197">
        <f t="shared" si="15"/>
        <v>0</v>
      </c>
      <c r="M66" s="1006">
        <f t="shared" si="16"/>
        <v>0</v>
      </c>
      <c r="N66" s="1007" t="e">
        <f t="shared" si="17"/>
        <v>#VALUE!</v>
      </c>
      <c r="O66" s="258" t="str">
        <f t="shared" si="25"/>
        <v>--</v>
      </c>
      <c r="P66" s="258"/>
      <c r="Q66" s="197">
        <f t="shared" si="18"/>
        <v>0</v>
      </c>
      <c r="R66" s="1006">
        <f t="shared" si="19"/>
        <v>0</v>
      </c>
      <c r="S66" s="1007" t="e">
        <f t="shared" si="20"/>
        <v>#VALUE!</v>
      </c>
      <c r="T66" s="258" t="str">
        <f t="shared" si="26"/>
        <v>--</v>
      </c>
      <c r="U66" s="258"/>
      <c r="V66" s="197">
        <f t="shared" si="21"/>
        <v>0</v>
      </c>
      <c r="W66" s="1006">
        <f t="shared" si="22"/>
        <v>0</v>
      </c>
      <c r="X66" s="1007" t="e">
        <f t="shared" si="23"/>
        <v>#VALUE!</v>
      </c>
      <c r="Y66" s="258" t="str">
        <f t="shared" si="27"/>
        <v>--</v>
      </c>
      <c r="Z66" s="258"/>
      <c r="AA66" s="197">
        <f t="shared" si="24"/>
        <v>0</v>
      </c>
      <c r="AB66" s="243"/>
      <c r="AC66" s="243"/>
      <c r="AD66" s="243"/>
      <c r="AE66" s="243"/>
      <c r="AF66" s="243"/>
      <c r="AG66" s="227"/>
      <c r="AH66" s="225"/>
      <c r="AI66" s="226"/>
    </row>
    <row r="67" spans="1:35" ht="12.75" x14ac:dyDescent="0.2">
      <c r="A67" s="243"/>
      <c r="B67" s="243"/>
      <c r="C67" s="243"/>
      <c r="D67" s="989"/>
      <c r="E67" s="243"/>
      <c r="F67" s="243"/>
      <c r="G67" s="243"/>
      <c r="H67" s="1005" t="e">
        <f t="shared" si="14"/>
        <v>#REF!</v>
      </c>
      <c r="I67" s="243"/>
      <c r="J67" s="243"/>
      <c r="K67" s="243"/>
      <c r="L67" s="197">
        <f t="shared" si="15"/>
        <v>0</v>
      </c>
      <c r="M67" s="1006">
        <f t="shared" si="16"/>
        <v>0</v>
      </c>
      <c r="N67" s="1007" t="e">
        <f t="shared" si="17"/>
        <v>#VALUE!</v>
      </c>
      <c r="O67" s="258" t="str">
        <f t="shared" si="25"/>
        <v>--</v>
      </c>
      <c r="P67" s="258"/>
      <c r="Q67" s="197">
        <f t="shared" si="18"/>
        <v>0</v>
      </c>
      <c r="R67" s="1006">
        <f t="shared" si="19"/>
        <v>0</v>
      </c>
      <c r="S67" s="1007" t="e">
        <f t="shared" si="20"/>
        <v>#VALUE!</v>
      </c>
      <c r="T67" s="258" t="str">
        <f t="shared" si="26"/>
        <v>--</v>
      </c>
      <c r="U67" s="258"/>
      <c r="V67" s="197">
        <f t="shared" si="21"/>
        <v>0</v>
      </c>
      <c r="W67" s="1006">
        <f t="shared" si="22"/>
        <v>0</v>
      </c>
      <c r="X67" s="1007" t="e">
        <f t="shared" si="23"/>
        <v>#VALUE!</v>
      </c>
      <c r="Y67" s="258" t="str">
        <f t="shared" si="27"/>
        <v>--</v>
      </c>
      <c r="Z67" s="258"/>
      <c r="AA67" s="197">
        <f t="shared" si="24"/>
        <v>0</v>
      </c>
      <c r="AB67" s="243"/>
      <c r="AC67" s="243"/>
      <c r="AD67" s="243"/>
      <c r="AE67" s="243"/>
      <c r="AF67" s="243"/>
      <c r="AG67" s="227"/>
      <c r="AH67" s="225"/>
      <c r="AI67" s="226"/>
    </row>
    <row r="68" spans="1:35" ht="12.75" x14ac:dyDescent="0.2">
      <c r="A68" s="243"/>
      <c r="B68" s="243"/>
      <c r="C68" s="243"/>
      <c r="D68" s="989"/>
      <c r="E68" s="243"/>
      <c r="F68" s="243"/>
      <c r="G68" s="243"/>
      <c r="H68" s="1005" t="e">
        <f t="shared" si="14"/>
        <v>#REF!</v>
      </c>
      <c r="I68" s="243"/>
      <c r="J68" s="243"/>
      <c r="K68" s="243"/>
      <c r="L68" s="197">
        <f t="shared" si="15"/>
        <v>0</v>
      </c>
      <c r="M68" s="1006">
        <f t="shared" si="16"/>
        <v>0</v>
      </c>
      <c r="N68" s="1007" t="e">
        <f t="shared" si="17"/>
        <v>#VALUE!</v>
      </c>
      <c r="O68" s="258" t="str">
        <f t="shared" si="25"/>
        <v>--</v>
      </c>
      <c r="P68" s="258"/>
      <c r="Q68" s="197">
        <f t="shared" si="18"/>
        <v>0</v>
      </c>
      <c r="R68" s="1006">
        <f t="shared" si="19"/>
        <v>0</v>
      </c>
      <c r="S68" s="1007" t="e">
        <f t="shared" si="20"/>
        <v>#VALUE!</v>
      </c>
      <c r="T68" s="258" t="str">
        <f t="shared" si="26"/>
        <v>--</v>
      </c>
      <c r="U68" s="258"/>
      <c r="V68" s="197">
        <f t="shared" si="21"/>
        <v>0</v>
      </c>
      <c r="W68" s="1006">
        <f t="shared" si="22"/>
        <v>0</v>
      </c>
      <c r="X68" s="1007" t="e">
        <f t="shared" si="23"/>
        <v>#VALUE!</v>
      </c>
      <c r="Y68" s="258" t="str">
        <f t="shared" si="27"/>
        <v>--</v>
      </c>
      <c r="Z68" s="258"/>
      <c r="AA68" s="197">
        <f t="shared" si="24"/>
        <v>0</v>
      </c>
      <c r="AB68" s="243"/>
      <c r="AC68" s="243"/>
      <c r="AD68" s="243"/>
      <c r="AE68" s="243"/>
      <c r="AF68" s="243"/>
      <c r="AG68" s="227"/>
      <c r="AH68" s="225"/>
      <c r="AI68" s="226"/>
    </row>
    <row r="69" spans="1:35" ht="12.75" x14ac:dyDescent="0.2">
      <c r="A69" s="243"/>
      <c r="B69" s="243"/>
      <c r="C69" s="243"/>
      <c r="D69" s="989"/>
      <c r="E69" s="243"/>
      <c r="F69" s="243"/>
      <c r="G69" s="243"/>
      <c r="H69" s="1005" t="e">
        <f t="shared" si="14"/>
        <v>#REF!</v>
      </c>
      <c r="I69" s="243"/>
      <c r="J69" s="243"/>
      <c r="K69" s="243"/>
      <c r="L69" s="197">
        <f t="shared" si="15"/>
        <v>0</v>
      </c>
      <c r="M69" s="1006">
        <f t="shared" si="16"/>
        <v>0</v>
      </c>
      <c r="N69" s="1007" t="e">
        <f t="shared" si="17"/>
        <v>#VALUE!</v>
      </c>
      <c r="O69" s="258" t="str">
        <f t="shared" si="25"/>
        <v>--</v>
      </c>
      <c r="P69" s="258"/>
      <c r="Q69" s="197">
        <f t="shared" si="18"/>
        <v>0</v>
      </c>
      <c r="R69" s="1006">
        <f t="shared" si="19"/>
        <v>0</v>
      </c>
      <c r="S69" s="1007" t="e">
        <f t="shared" si="20"/>
        <v>#VALUE!</v>
      </c>
      <c r="T69" s="258" t="str">
        <f t="shared" si="26"/>
        <v>--</v>
      </c>
      <c r="U69" s="258"/>
      <c r="V69" s="197">
        <f t="shared" si="21"/>
        <v>0</v>
      </c>
      <c r="W69" s="1006">
        <f t="shared" si="22"/>
        <v>0</v>
      </c>
      <c r="X69" s="1007" t="e">
        <f t="shared" si="23"/>
        <v>#VALUE!</v>
      </c>
      <c r="Y69" s="258" t="str">
        <f t="shared" si="27"/>
        <v>--</v>
      </c>
      <c r="Z69" s="258"/>
      <c r="AA69" s="197">
        <f t="shared" si="24"/>
        <v>0</v>
      </c>
      <c r="AB69" s="243"/>
      <c r="AC69" s="243"/>
      <c r="AD69" s="243"/>
      <c r="AE69" s="243"/>
      <c r="AF69" s="243"/>
      <c r="AG69" s="227"/>
      <c r="AH69" s="225"/>
      <c r="AI69" s="226"/>
    </row>
    <row r="70" spans="1:35" ht="12.75" x14ac:dyDescent="0.2">
      <c r="A70" s="243"/>
      <c r="B70" s="243"/>
      <c r="C70" s="243"/>
      <c r="D70" s="989"/>
      <c r="E70" s="243"/>
      <c r="F70" s="243"/>
      <c r="G70" s="243"/>
      <c r="H70" s="1005" t="e">
        <f t="shared" si="14"/>
        <v>#REF!</v>
      </c>
      <c r="I70" s="243"/>
      <c r="J70" s="243"/>
      <c r="K70" s="243"/>
      <c r="L70" s="197">
        <f t="shared" si="15"/>
        <v>0</v>
      </c>
      <c r="M70" s="1006">
        <f t="shared" si="16"/>
        <v>0</v>
      </c>
      <c r="N70" s="1007" t="e">
        <f t="shared" si="17"/>
        <v>#VALUE!</v>
      </c>
      <c r="O70" s="258" t="str">
        <f t="shared" si="25"/>
        <v>--</v>
      </c>
      <c r="P70" s="258"/>
      <c r="Q70" s="197">
        <f t="shared" si="18"/>
        <v>0</v>
      </c>
      <c r="R70" s="1006">
        <f t="shared" si="19"/>
        <v>0</v>
      </c>
      <c r="S70" s="1007" t="e">
        <f t="shared" si="20"/>
        <v>#VALUE!</v>
      </c>
      <c r="T70" s="258" t="str">
        <f t="shared" si="26"/>
        <v>--</v>
      </c>
      <c r="U70" s="258"/>
      <c r="V70" s="197">
        <f t="shared" si="21"/>
        <v>0</v>
      </c>
      <c r="W70" s="1006">
        <f t="shared" si="22"/>
        <v>0</v>
      </c>
      <c r="X70" s="1007" t="e">
        <f t="shared" si="23"/>
        <v>#VALUE!</v>
      </c>
      <c r="Y70" s="258" t="str">
        <f t="shared" si="27"/>
        <v>--</v>
      </c>
      <c r="Z70" s="258"/>
      <c r="AA70" s="197">
        <f t="shared" si="24"/>
        <v>0</v>
      </c>
      <c r="AB70" s="243"/>
      <c r="AC70" s="243"/>
      <c r="AD70" s="243"/>
      <c r="AE70" s="243"/>
      <c r="AF70" s="243"/>
      <c r="AG70" s="227"/>
      <c r="AH70" s="225"/>
      <c r="AI70" s="226"/>
    </row>
    <row r="71" spans="1:35" ht="12.75" x14ac:dyDescent="0.2">
      <c r="A71" s="243"/>
      <c r="B71" s="243"/>
      <c r="C71" s="243"/>
      <c r="D71" s="989"/>
      <c r="E71" s="243"/>
      <c r="F71" s="243"/>
      <c r="G71" s="243"/>
      <c r="H71" s="1005" t="e">
        <f t="shared" si="14"/>
        <v>#REF!</v>
      </c>
      <c r="I71" s="243"/>
      <c r="J71" s="243"/>
      <c r="K71" s="243"/>
      <c r="L71" s="197">
        <f t="shared" si="15"/>
        <v>0</v>
      </c>
      <c r="M71" s="1006">
        <f t="shared" si="16"/>
        <v>0</v>
      </c>
      <c r="N71" s="1007" t="e">
        <f t="shared" si="17"/>
        <v>#VALUE!</v>
      </c>
      <c r="O71" s="258" t="str">
        <f t="shared" si="25"/>
        <v>--</v>
      </c>
      <c r="P71" s="258"/>
      <c r="Q71" s="197">
        <f t="shared" si="18"/>
        <v>0</v>
      </c>
      <c r="R71" s="1006">
        <f t="shared" si="19"/>
        <v>0</v>
      </c>
      <c r="S71" s="1007" t="e">
        <f t="shared" si="20"/>
        <v>#VALUE!</v>
      </c>
      <c r="T71" s="258" t="str">
        <f t="shared" si="26"/>
        <v>--</v>
      </c>
      <c r="U71" s="258"/>
      <c r="V71" s="197">
        <f t="shared" si="21"/>
        <v>0</v>
      </c>
      <c r="W71" s="1006">
        <f t="shared" si="22"/>
        <v>0</v>
      </c>
      <c r="X71" s="1007" t="e">
        <f t="shared" si="23"/>
        <v>#VALUE!</v>
      </c>
      <c r="Y71" s="258" t="str">
        <f t="shared" si="27"/>
        <v>--</v>
      </c>
      <c r="Z71" s="258"/>
      <c r="AA71" s="197">
        <f t="shared" si="24"/>
        <v>0</v>
      </c>
      <c r="AB71" s="243"/>
      <c r="AC71" s="243"/>
      <c r="AD71" s="243"/>
      <c r="AE71" s="243"/>
      <c r="AF71" s="243"/>
      <c r="AG71" s="227"/>
      <c r="AH71" s="225"/>
      <c r="AI71" s="226"/>
    </row>
    <row r="72" spans="1:35" ht="12.75" x14ac:dyDescent="0.2">
      <c r="A72" s="243"/>
      <c r="B72" s="243"/>
      <c r="C72" s="243"/>
      <c r="D72" s="989"/>
      <c r="E72" s="243"/>
      <c r="F72" s="243"/>
      <c r="G72" s="243"/>
      <c r="H72" s="1005" t="e">
        <f t="shared" si="14"/>
        <v>#REF!</v>
      </c>
      <c r="I72" s="243"/>
      <c r="J72" s="243"/>
      <c r="K72" s="243"/>
      <c r="L72" s="197">
        <f t="shared" si="15"/>
        <v>0</v>
      </c>
      <c r="M72" s="1006">
        <f t="shared" si="16"/>
        <v>0</v>
      </c>
      <c r="N72" s="1007" t="e">
        <f t="shared" si="17"/>
        <v>#VALUE!</v>
      </c>
      <c r="O72" s="258" t="str">
        <f t="shared" si="25"/>
        <v>--</v>
      </c>
      <c r="P72" s="258"/>
      <c r="Q72" s="197">
        <f t="shared" si="18"/>
        <v>0</v>
      </c>
      <c r="R72" s="1006">
        <f t="shared" si="19"/>
        <v>0</v>
      </c>
      <c r="S72" s="1007" t="e">
        <f t="shared" si="20"/>
        <v>#VALUE!</v>
      </c>
      <c r="T72" s="258" t="str">
        <f t="shared" si="26"/>
        <v>--</v>
      </c>
      <c r="U72" s="258"/>
      <c r="V72" s="197">
        <f t="shared" si="21"/>
        <v>0</v>
      </c>
      <c r="W72" s="1006">
        <f t="shared" si="22"/>
        <v>0</v>
      </c>
      <c r="X72" s="1007" t="e">
        <f t="shared" si="23"/>
        <v>#VALUE!</v>
      </c>
      <c r="Y72" s="258" t="str">
        <f t="shared" si="27"/>
        <v>--</v>
      </c>
      <c r="Z72" s="258"/>
      <c r="AA72" s="197">
        <f t="shared" si="24"/>
        <v>0</v>
      </c>
      <c r="AB72" s="243"/>
      <c r="AC72" s="243"/>
      <c r="AD72" s="243"/>
      <c r="AE72" s="243"/>
      <c r="AF72" s="243"/>
      <c r="AG72" s="227"/>
      <c r="AH72" s="225"/>
      <c r="AI72" s="226"/>
    </row>
    <row r="73" spans="1:35" ht="12.75" x14ac:dyDescent="0.2">
      <c r="A73" s="243"/>
      <c r="B73" s="243"/>
      <c r="C73" s="243"/>
      <c r="D73" s="989"/>
      <c r="E73" s="243"/>
      <c r="F73" s="243"/>
      <c r="G73" s="243"/>
      <c r="H73" s="1005" t="e">
        <f t="shared" si="14"/>
        <v>#REF!</v>
      </c>
      <c r="I73" s="243"/>
      <c r="J73" s="243"/>
      <c r="K73" s="243"/>
      <c r="L73" s="197">
        <f t="shared" si="15"/>
        <v>0</v>
      </c>
      <c r="M73" s="1006">
        <f t="shared" si="16"/>
        <v>0</v>
      </c>
      <c r="N73" s="1007" t="e">
        <f t="shared" si="17"/>
        <v>#VALUE!</v>
      </c>
      <c r="O73" s="258" t="str">
        <f t="shared" si="25"/>
        <v>--</v>
      </c>
      <c r="P73" s="258"/>
      <c r="Q73" s="197">
        <f t="shared" si="18"/>
        <v>0</v>
      </c>
      <c r="R73" s="1006">
        <f t="shared" si="19"/>
        <v>0</v>
      </c>
      <c r="S73" s="1007" t="e">
        <f t="shared" si="20"/>
        <v>#VALUE!</v>
      </c>
      <c r="T73" s="258" t="str">
        <f t="shared" si="26"/>
        <v>--</v>
      </c>
      <c r="U73" s="258"/>
      <c r="V73" s="197">
        <f t="shared" si="21"/>
        <v>0</v>
      </c>
      <c r="W73" s="1006">
        <f t="shared" si="22"/>
        <v>0</v>
      </c>
      <c r="X73" s="1007" t="e">
        <f t="shared" si="23"/>
        <v>#VALUE!</v>
      </c>
      <c r="Y73" s="258" t="str">
        <f t="shared" si="27"/>
        <v>--</v>
      </c>
      <c r="Z73" s="258"/>
      <c r="AA73" s="197">
        <f t="shared" si="24"/>
        <v>0</v>
      </c>
      <c r="AB73" s="243"/>
      <c r="AC73" s="243"/>
      <c r="AD73" s="243"/>
      <c r="AE73" s="243"/>
      <c r="AF73" s="243"/>
      <c r="AG73" s="227"/>
      <c r="AH73" s="225"/>
      <c r="AI73" s="226"/>
    </row>
    <row r="74" spans="1:35" ht="12.75" x14ac:dyDescent="0.2">
      <c r="A74" s="243"/>
      <c r="B74" s="243"/>
      <c r="C74" s="243"/>
      <c r="D74" s="989"/>
      <c r="E74" s="243"/>
      <c r="F74" s="243"/>
      <c r="G74" s="243"/>
      <c r="H74" s="1005" t="e">
        <f t="shared" si="14"/>
        <v>#REF!</v>
      </c>
      <c r="I74" s="243"/>
      <c r="J74" s="243"/>
      <c r="K74" s="243"/>
      <c r="L74" s="197">
        <f t="shared" si="15"/>
        <v>0</v>
      </c>
      <c r="M74" s="1006">
        <f t="shared" si="16"/>
        <v>0</v>
      </c>
      <c r="N74" s="1007" t="e">
        <f t="shared" si="17"/>
        <v>#VALUE!</v>
      </c>
      <c r="O74" s="258" t="str">
        <f t="shared" si="25"/>
        <v>--</v>
      </c>
      <c r="P74" s="258"/>
      <c r="Q74" s="197">
        <f t="shared" si="18"/>
        <v>0</v>
      </c>
      <c r="R74" s="1006">
        <f t="shared" si="19"/>
        <v>0</v>
      </c>
      <c r="S74" s="1007" t="e">
        <f t="shared" si="20"/>
        <v>#VALUE!</v>
      </c>
      <c r="T74" s="258" t="str">
        <f t="shared" si="26"/>
        <v>--</v>
      </c>
      <c r="U74" s="258"/>
      <c r="V74" s="197">
        <f t="shared" si="21"/>
        <v>0</v>
      </c>
      <c r="W74" s="1006">
        <f t="shared" si="22"/>
        <v>0</v>
      </c>
      <c r="X74" s="1007" t="e">
        <f t="shared" si="23"/>
        <v>#VALUE!</v>
      </c>
      <c r="Y74" s="258" t="str">
        <f t="shared" si="27"/>
        <v>--</v>
      </c>
      <c r="Z74" s="258"/>
      <c r="AA74" s="197">
        <f t="shared" si="24"/>
        <v>0</v>
      </c>
      <c r="AB74" s="243"/>
      <c r="AC74" s="243"/>
      <c r="AD74" s="243"/>
      <c r="AE74" s="243"/>
      <c r="AF74" s="243"/>
      <c r="AG74" s="227"/>
      <c r="AH74" s="225"/>
      <c r="AI74" s="226"/>
    </row>
    <row r="75" spans="1:35" ht="12.75" x14ac:dyDescent="0.2">
      <c r="A75" s="243"/>
      <c r="B75" s="243"/>
      <c r="C75" s="243"/>
      <c r="D75" s="989"/>
      <c r="E75" s="243"/>
      <c r="F75" s="243"/>
      <c r="G75" s="243"/>
      <c r="H75" s="1005" t="e">
        <f t="shared" si="14"/>
        <v>#REF!</v>
      </c>
      <c r="I75" s="243"/>
      <c r="J75" s="243"/>
      <c r="K75" s="243"/>
      <c r="L75" s="197">
        <f t="shared" si="15"/>
        <v>0</v>
      </c>
      <c r="M75" s="1006">
        <f t="shared" si="16"/>
        <v>0</v>
      </c>
      <c r="N75" s="1007" t="e">
        <f t="shared" si="17"/>
        <v>#VALUE!</v>
      </c>
      <c r="O75" s="258" t="str">
        <f t="shared" si="25"/>
        <v>--</v>
      </c>
      <c r="P75" s="258"/>
      <c r="Q75" s="197">
        <f t="shared" si="18"/>
        <v>0</v>
      </c>
      <c r="R75" s="1006">
        <f t="shared" si="19"/>
        <v>0</v>
      </c>
      <c r="S75" s="1007" t="e">
        <f t="shared" si="20"/>
        <v>#VALUE!</v>
      </c>
      <c r="T75" s="258" t="str">
        <f t="shared" si="26"/>
        <v>--</v>
      </c>
      <c r="U75" s="258"/>
      <c r="V75" s="197">
        <f t="shared" si="21"/>
        <v>0</v>
      </c>
      <c r="W75" s="1006">
        <f t="shared" si="22"/>
        <v>0</v>
      </c>
      <c r="X75" s="1007" t="e">
        <f t="shared" si="23"/>
        <v>#VALUE!</v>
      </c>
      <c r="Y75" s="258" t="str">
        <f t="shared" si="27"/>
        <v>--</v>
      </c>
      <c r="Z75" s="258"/>
      <c r="AA75" s="197">
        <f t="shared" si="24"/>
        <v>0</v>
      </c>
      <c r="AB75" s="243"/>
      <c r="AC75" s="243"/>
      <c r="AD75" s="243"/>
      <c r="AE75" s="243"/>
      <c r="AF75" s="243"/>
      <c r="AG75" s="227"/>
      <c r="AH75" s="225"/>
      <c r="AI75" s="226"/>
    </row>
    <row r="76" spans="1:35" ht="12.75" x14ac:dyDescent="0.2">
      <c r="A76" s="243"/>
      <c r="B76" s="243"/>
      <c r="C76" s="243"/>
      <c r="D76" s="989"/>
      <c r="E76" s="243"/>
      <c r="F76" s="243"/>
      <c r="G76" s="243"/>
      <c r="H76" s="1005" t="e">
        <f t="shared" si="14"/>
        <v>#REF!</v>
      </c>
      <c r="I76" s="243"/>
      <c r="J76" s="243"/>
      <c r="K76" s="243"/>
      <c r="L76" s="197">
        <f t="shared" si="15"/>
        <v>0</v>
      </c>
      <c r="M76" s="1006">
        <f t="shared" si="16"/>
        <v>0</v>
      </c>
      <c r="N76" s="1007" t="e">
        <f t="shared" si="17"/>
        <v>#VALUE!</v>
      </c>
      <c r="O76" s="258" t="str">
        <f t="shared" si="25"/>
        <v>--</v>
      </c>
      <c r="P76" s="258"/>
      <c r="Q76" s="197">
        <f t="shared" si="18"/>
        <v>0</v>
      </c>
      <c r="R76" s="1006">
        <f t="shared" si="19"/>
        <v>0</v>
      </c>
      <c r="S76" s="1007" t="e">
        <f t="shared" si="20"/>
        <v>#VALUE!</v>
      </c>
      <c r="T76" s="258" t="str">
        <f t="shared" si="26"/>
        <v>--</v>
      </c>
      <c r="U76" s="258"/>
      <c r="V76" s="197">
        <f t="shared" si="21"/>
        <v>0</v>
      </c>
      <c r="W76" s="1006">
        <f t="shared" si="22"/>
        <v>0</v>
      </c>
      <c r="X76" s="1007" t="e">
        <f t="shared" si="23"/>
        <v>#VALUE!</v>
      </c>
      <c r="Y76" s="258" t="str">
        <f t="shared" si="27"/>
        <v>--</v>
      </c>
      <c r="Z76" s="258"/>
      <c r="AA76" s="197">
        <f t="shared" si="24"/>
        <v>0</v>
      </c>
      <c r="AB76" s="243"/>
      <c r="AC76" s="243"/>
      <c r="AD76" s="243"/>
      <c r="AE76" s="243"/>
      <c r="AF76" s="243"/>
      <c r="AG76" s="227"/>
      <c r="AH76" s="225"/>
      <c r="AI76" s="226"/>
    </row>
    <row r="77" spans="1:35" ht="12.75" x14ac:dyDescent="0.2">
      <c r="A77" s="243"/>
      <c r="B77" s="243"/>
      <c r="C77" s="243"/>
      <c r="D77" s="989"/>
      <c r="E77" s="243"/>
      <c r="F77" s="243"/>
      <c r="G77" s="243"/>
      <c r="H77" s="1005" t="e">
        <f t="shared" si="14"/>
        <v>#REF!</v>
      </c>
      <c r="I77" s="243"/>
      <c r="J77" s="243"/>
      <c r="K77" s="243"/>
      <c r="L77" s="197">
        <f t="shared" si="15"/>
        <v>0</v>
      </c>
      <c r="M77" s="1006">
        <f t="shared" si="16"/>
        <v>0</v>
      </c>
      <c r="N77" s="1007" t="e">
        <f t="shared" si="17"/>
        <v>#VALUE!</v>
      </c>
      <c r="O77" s="258" t="str">
        <f t="shared" si="25"/>
        <v>--</v>
      </c>
      <c r="P77" s="258"/>
      <c r="Q77" s="197">
        <f t="shared" si="18"/>
        <v>0</v>
      </c>
      <c r="R77" s="1006">
        <f t="shared" si="19"/>
        <v>0</v>
      </c>
      <c r="S77" s="1007" t="e">
        <f t="shared" si="20"/>
        <v>#VALUE!</v>
      </c>
      <c r="T77" s="258" t="str">
        <f t="shared" si="26"/>
        <v>--</v>
      </c>
      <c r="U77" s="258"/>
      <c r="V77" s="197">
        <f t="shared" si="21"/>
        <v>0</v>
      </c>
      <c r="W77" s="1006">
        <f t="shared" si="22"/>
        <v>0</v>
      </c>
      <c r="X77" s="1007" t="e">
        <f t="shared" si="23"/>
        <v>#VALUE!</v>
      </c>
      <c r="Y77" s="258" t="str">
        <f t="shared" si="27"/>
        <v>--</v>
      </c>
      <c r="Z77" s="258"/>
      <c r="AA77" s="197">
        <f t="shared" si="24"/>
        <v>0</v>
      </c>
      <c r="AB77" s="243"/>
      <c r="AC77" s="243"/>
      <c r="AD77" s="243"/>
      <c r="AE77" s="243"/>
      <c r="AF77" s="243"/>
      <c r="AG77" s="227"/>
      <c r="AH77" s="225"/>
      <c r="AI77" s="226"/>
    </row>
    <row r="78" spans="1:35" ht="12.75" x14ac:dyDescent="0.2">
      <c r="A78" s="243"/>
      <c r="B78" s="243"/>
      <c r="C78" s="243"/>
      <c r="D78" s="989"/>
      <c r="E78" s="243"/>
      <c r="F78" s="243"/>
      <c r="G78" s="243"/>
      <c r="H78" s="1005" t="e">
        <f t="shared" si="14"/>
        <v>#REF!</v>
      </c>
      <c r="I78" s="243"/>
      <c r="J78" s="243"/>
      <c r="K78" s="243"/>
      <c r="L78" s="197">
        <f t="shared" si="15"/>
        <v>0</v>
      </c>
      <c r="M78" s="1006">
        <f t="shared" si="16"/>
        <v>0</v>
      </c>
      <c r="N78" s="1007" t="e">
        <f t="shared" si="17"/>
        <v>#VALUE!</v>
      </c>
      <c r="O78" s="258" t="str">
        <f t="shared" si="25"/>
        <v>--</v>
      </c>
      <c r="P78" s="258"/>
      <c r="Q78" s="197">
        <f t="shared" si="18"/>
        <v>0</v>
      </c>
      <c r="R78" s="1006">
        <f t="shared" si="19"/>
        <v>0</v>
      </c>
      <c r="S78" s="1007" t="e">
        <f t="shared" si="20"/>
        <v>#VALUE!</v>
      </c>
      <c r="T78" s="258" t="str">
        <f t="shared" si="26"/>
        <v>--</v>
      </c>
      <c r="U78" s="258"/>
      <c r="V78" s="197">
        <f t="shared" si="21"/>
        <v>0</v>
      </c>
      <c r="W78" s="1006">
        <f t="shared" si="22"/>
        <v>0</v>
      </c>
      <c r="X78" s="1007" t="e">
        <f t="shared" si="23"/>
        <v>#VALUE!</v>
      </c>
      <c r="Y78" s="258" t="str">
        <f t="shared" si="27"/>
        <v>--</v>
      </c>
      <c r="Z78" s="258"/>
      <c r="AA78" s="197">
        <f t="shared" si="24"/>
        <v>0</v>
      </c>
      <c r="AB78" s="243"/>
      <c r="AC78" s="243"/>
      <c r="AD78" s="243"/>
      <c r="AE78" s="243"/>
      <c r="AF78" s="243"/>
      <c r="AG78" s="227"/>
      <c r="AH78" s="225"/>
      <c r="AI78" s="226"/>
    </row>
    <row r="79" spans="1:35" ht="12.75" x14ac:dyDescent="0.2">
      <c r="A79" s="243"/>
      <c r="B79" s="243"/>
      <c r="C79" s="243"/>
      <c r="D79" s="989"/>
      <c r="E79" s="243"/>
      <c r="F79" s="243"/>
      <c r="G79" s="243"/>
      <c r="H79" s="1005" t="e">
        <f t="shared" si="14"/>
        <v>#REF!</v>
      </c>
      <c r="I79" s="243"/>
      <c r="J79" s="243"/>
      <c r="K79" s="243"/>
      <c r="L79" s="197">
        <f t="shared" si="15"/>
        <v>0</v>
      </c>
      <c r="M79" s="1006">
        <f t="shared" si="16"/>
        <v>0</v>
      </c>
      <c r="N79" s="1007" t="e">
        <f t="shared" si="17"/>
        <v>#VALUE!</v>
      </c>
      <c r="O79" s="258" t="str">
        <f t="shared" si="25"/>
        <v>--</v>
      </c>
      <c r="P79" s="258"/>
      <c r="Q79" s="197">
        <f t="shared" si="18"/>
        <v>0</v>
      </c>
      <c r="R79" s="1006">
        <f t="shared" si="19"/>
        <v>0</v>
      </c>
      <c r="S79" s="1007" t="e">
        <f t="shared" si="20"/>
        <v>#VALUE!</v>
      </c>
      <c r="T79" s="258" t="str">
        <f t="shared" si="26"/>
        <v>--</v>
      </c>
      <c r="U79" s="258"/>
      <c r="V79" s="197">
        <f t="shared" si="21"/>
        <v>0</v>
      </c>
      <c r="W79" s="1006">
        <f t="shared" si="22"/>
        <v>0</v>
      </c>
      <c r="X79" s="1007" t="e">
        <f t="shared" si="23"/>
        <v>#VALUE!</v>
      </c>
      <c r="Y79" s="258" t="str">
        <f t="shared" si="27"/>
        <v>--</v>
      </c>
      <c r="Z79" s="258"/>
      <c r="AA79" s="197">
        <f t="shared" si="24"/>
        <v>0</v>
      </c>
      <c r="AB79" s="243"/>
      <c r="AC79" s="243"/>
      <c r="AD79" s="243"/>
      <c r="AE79" s="243"/>
      <c r="AF79" s="243"/>
      <c r="AG79" s="227"/>
      <c r="AH79" s="225"/>
      <c r="AI79" s="226"/>
    </row>
    <row r="80" spans="1:35" ht="12.75" x14ac:dyDescent="0.2">
      <c r="A80" s="243"/>
      <c r="B80" s="243"/>
      <c r="C80" s="243"/>
      <c r="D80" s="989"/>
      <c r="E80" s="243"/>
      <c r="F80" s="243"/>
      <c r="G80" s="243"/>
      <c r="H80" s="1005" t="e">
        <f t="shared" si="14"/>
        <v>#REF!</v>
      </c>
      <c r="I80" s="243"/>
      <c r="J80" s="243"/>
      <c r="K80" s="243"/>
      <c r="L80" s="197">
        <f t="shared" si="15"/>
        <v>0</v>
      </c>
      <c r="M80" s="1006">
        <f t="shared" si="16"/>
        <v>0</v>
      </c>
      <c r="N80" s="1007" t="e">
        <f t="shared" si="17"/>
        <v>#VALUE!</v>
      </c>
      <c r="O80" s="258" t="str">
        <f t="shared" si="25"/>
        <v>--</v>
      </c>
      <c r="P80" s="258"/>
      <c r="Q80" s="197">
        <f t="shared" si="18"/>
        <v>0</v>
      </c>
      <c r="R80" s="1006">
        <f t="shared" si="19"/>
        <v>0</v>
      </c>
      <c r="S80" s="1007" t="e">
        <f t="shared" si="20"/>
        <v>#VALUE!</v>
      </c>
      <c r="T80" s="258" t="str">
        <f t="shared" si="26"/>
        <v>--</v>
      </c>
      <c r="U80" s="258"/>
      <c r="V80" s="197">
        <f t="shared" si="21"/>
        <v>0</v>
      </c>
      <c r="W80" s="1006">
        <f t="shared" si="22"/>
        <v>0</v>
      </c>
      <c r="X80" s="1007" t="e">
        <f t="shared" si="23"/>
        <v>#VALUE!</v>
      </c>
      <c r="Y80" s="258" t="str">
        <f t="shared" si="27"/>
        <v>--</v>
      </c>
      <c r="Z80" s="258"/>
      <c r="AA80" s="197">
        <f t="shared" si="24"/>
        <v>0</v>
      </c>
      <c r="AB80" s="243"/>
      <c r="AC80" s="243"/>
      <c r="AD80" s="243"/>
      <c r="AE80" s="243"/>
      <c r="AF80" s="243"/>
      <c r="AG80" s="227"/>
      <c r="AH80" s="225"/>
      <c r="AI80" s="226"/>
    </row>
    <row r="81" spans="1:35" ht="12.75" x14ac:dyDescent="0.2">
      <c r="A81" s="243"/>
      <c r="B81" s="243"/>
      <c r="C81" s="243"/>
      <c r="D81" s="989"/>
      <c r="E81" s="243"/>
      <c r="F81" s="243"/>
      <c r="G81" s="243"/>
      <c r="H81" s="1005" t="e">
        <f t="shared" si="14"/>
        <v>#REF!</v>
      </c>
      <c r="I81" s="243"/>
      <c r="J81" s="243"/>
      <c r="K81" s="243"/>
      <c r="L81" s="197">
        <f t="shared" si="15"/>
        <v>0</v>
      </c>
      <c r="M81" s="1006">
        <f t="shared" si="16"/>
        <v>0</v>
      </c>
      <c r="N81" s="1007" t="e">
        <f t="shared" si="17"/>
        <v>#VALUE!</v>
      </c>
      <c r="O81" s="258" t="str">
        <f t="shared" si="25"/>
        <v>--</v>
      </c>
      <c r="P81" s="258"/>
      <c r="Q81" s="197">
        <f t="shared" si="18"/>
        <v>0</v>
      </c>
      <c r="R81" s="1006">
        <f t="shared" si="19"/>
        <v>0</v>
      </c>
      <c r="S81" s="1007" t="e">
        <f t="shared" si="20"/>
        <v>#VALUE!</v>
      </c>
      <c r="T81" s="258" t="str">
        <f t="shared" si="26"/>
        <v>--</v>
      </c>
      <c r="U81" s="258"/>
      <c r="V81" s="197">
        <f t="shared" si="21"/>
        <v>0</v>
      </c>
      <c r="W81" s="1006">
        <f t="shared" si="22"/>
        <v>0</v>
      </c>
      <c r="X81" s="1007" t="e">
        <f t="shared" si="23"/>
        <v>#VALUE!</v>
      </c>
      <c r="Y81" s="258" t="str">
        <f t="shared" si="27"/>
        <v>--</v>
      </c>
      <c r="Z81" s="258"/>
      <c r="AA81" s="197">
        <f t="shared" si="24"/>
        <v>0</v>
      </c>
      <c r="AB81" s="243"/>
      <c r="AC81" s="243"/>
      <c r="AD81" s="243"/>
      <c r="AE81" s="243"/>
      <c r="AF81" s="243"/>
      <c r="AG81" s="227"/>
      <c r="AH81" s="225"/>
      <c r="AI81" s="226"/>
    </row>
    <row r="82" spans="1:35" ht="12.75" x14ac:dyDescent="0.2">
      <c r="A82" s="243"/>
      <c r="B82" s="243"/>
      <c r="C82" s="243"/>
      <c r="D82" s="989"/>
      <c r="E82" s="243"/>
      <c r="F82" s="243"/>
      <c r="G82" s="243"/>
      <c r="H82" s="1005" t="e">
        <f t="shared" si="14"/>
        <v>#REF!</v>
      </c>
      <c r="I82" s="243"/>
      <c r="J82" s="243"/>
      <c r="K82" s="243"/>
      <c r="L82" s="197">
        <f t="shared" si="15"/>
        <v>0</v>
      </c>
      <c r="M82" s="1006">
        <f t="shared" si="16"/>
        <v>0</v>
      </c>
      <c r="N82" s="1007" t="e">
        <f t="shared" si="17"/>
        <v>#VALUE!</v>
      </c>
      <c r="O82" s="258" t="str">
        <f t="shared" si="25"/>
        <v>--</v>
      </c>
      <c r="P82" s="258"/>
      <c r="Q82" s="197">
        <f t="shared" si="18"/>
        <v>0</v>
      </c>
      <c r="R82" s="1006">
        <f t="shared" si="19"/>
        <v>0</v>
      </c>
      <c r="S82" s="1007" t="e">
        <f t="shared" si="20"/>
        <v>#VALUE!</v>
      </c>
      <c r="T82" s="258" t="str">
        <f t="shared" si="26"/>
        <v>--</v>
      </c>
      <c r="U82" s="258"/>
      <c r="V82" s="197">
        <f t="shared" si="21"/>
        <v>0</v>
      </c>
      <c r="W82" s="1006">
        <f t="shared" si="22"/>
        <v>0</v>
      </c>
      <c r="X82" s="1007" t="e">
        <f t="shared" si="23"/>
        <v>#VALUE!</v>
      </c>
      <c r="Y82" s="258" t="str">
        <f t="shared" si="27"/>
        <v>--</v>
      </c>
      <c r="Z82" s="258"/>
      <c r="AA82" s="197">
        <f t="shared" si="24"/>
        <v>0</v>
      </c>
      <c r="AB82" s="243"/>
      <c r="AC82" s="243"/>
      <c r="AD82" s="243"/>
      <c r="AE82" s="243"/>
      <c r="AF82" s="243"/>
      <c r="AG82" s="227"/>
      <c r="AH82" s="225"/>
      <c r="AI82" s="226"/>
    </row>
    <row r="83" spans="1:35" ht="12.75" x14ac:dyDescent="0.2">
      <c r="A83" s="243"/>
      <c r="B83" s="243"/>
      <c r="C83" s="243"/>
      <c r="D83" s="989"/>
      <c r="E83" s="243"/>
      <c r="F83" s="243"/>
      <c r="G83" s="243"/>
      <c r="H83" s="1005" t="e">
        <f t="shared" si="14"/>
        <v>#REF!</v>
      </c>
      <c r="I83" s="243"/>
      <c r="J83" s="243"/>
      <c r="K83" s="243"/>
      <c r="L83" s="197">
        <f t="shared" si="15"/>
        <v>0</v>
      </c>
      <c r="M83" s="1006">
        <f t="shared" si="16"/>
        <v>0</v>
      </c>
      <c r="N83" s="1007" t="e">
        <f t="shared" si="17"/>
        <v>#VALUE!</v>
      </c>
      <c r="O83" s="258" t="str">
        <f t="shared" si="25"/>
        <v>--</v>
      </c>
      <c r="P83" s="258"/>
      <c r="Q83" s="197">
        <f t="shared" si="18"/>
        <v>0</v>
      </c>
      <c r="R83" s="1006">
        <f t="shared" si="19"/>
        <v>0</v>
      </c>
      <c r="S83" s="1007" t="e">
        <f t="shared" si="20"/>
        <v>#VALUE!</v>
      </c>
      <c r="T83" s="258" t="str">
        <f t="shared" si="26"/>
        <v>--</v>
      </c>
      <c r="U83" s="258"/>
      <c r="V83" s="197">
        <f t="shared" si="21"/>
        <v>0</v>
      </c>
      <c r="W83" s="1006">
        <f t="shared" si="22"/>
        <v>0</v>
      </c>
      <c r="X83" s="1007" t="e">
        <f t="shared" si="23"/>
        <v>#VALUE!</v>
      </c>
      <c r="Y83" s="258" t="str">
        <f t="shared" si="27"/>
        <v>--</v>
      </c>
      <c r="Z83" s="258"/>
      <c r="AA83" s="197">
        <f t="shared" si="24"/>
        <v>0</v>
      </c>
      <c r="AB83" s="243"/>
      <c r="AC83" s="243"/>
      <c r="AD83" s="243"/>
      <c r="AE83" s="243"/>
      <c r="AF83" s="243"/>
      <c r="AG83" s="227"/>
      <c r="AH83" s="225"/>
      <c r="AI83" s="226"/>
    </row>
    <row r="84" spans="1:35" ht="12.75" x14ac:dyDescent="0.2">
      <c r="A84" s="243"/>
      <c r="B84" s="243"/>
      <c r="C84" s="243"/>
      <c r="D84" s="989"/>
      <c r="E84" s="243"/>
      <c r="F84" s="243"/>
      <c r="G84" s="243"/>
      <c r="H84" s="1005" t="e">
        <f t="shared" si="14"/>
        <v>#REF!</v>
      </c>
      <c r="I84" s="243"/>
      <c r="J84" s="243"/>
      <c r="K84" s="243"/>
      <c r="L84" s="197">
        <f t="shared" si="15"/>
        <v>0</v>
      </c>
      <c r="M84" s="1006">
        <f t="shared" si="16"/>
        <v>0</v>
      </c>
      <c r="N84" s="1007" t="e">
        <f t="shared" si="17"/>
        <v>#VALUE!</v>
      </c>
      <c r="O84" s="258" t="str">
        <f t="shared" ref="O84:O96" si="29">IF(NOT(L84=0),
IFERROR(_xlfn.SWITCH(
    $G84,
    "SLN", SLN($D84,, $E84*365) * ($L84-Q84),
    "DDB", SUM(DDB($D84,, $E84*365, SEQUENCE(DATEDIF($F85,M$16,"D")+1), IF($E84&lt;=4,1.5,2))),
    ""
), ""),
"--")</f>
        <v>--</v>
      </c>
      <c r="P84" s="258"/>
      <c r="Q84" s="197">
        <f t="shared" si="18"/>
        <v>0</v>
      </c>
      <c r="R84" s="1006">
        <f t="shared" si="19"/>
        <v>0</v>
      </c>
      <c r="S84" s="1007" t="e">
        <f t="shared" si="20"/>
        <v>#VALUE!</v>
      </c>
      <c r="T84" s="258" t="str">
        <f t="shared" ref="T84:T96" si="30">IF(NOT(Q84=0),
IFERROR(_xlfn.SWITCH(
    $G84,
    "SLN", SLN($D84,, $E84*365) * ($L84-V84),
    "DDB", SUM(DDB($D84,, $E84*365, SEQUENCE(DATEDIF($F85,R$16,"D")+1), IF($E84&lt;=4,1.5,2))),
    ""
), ""),
"--")</f>
        <v>--</v>
      </c>
      <c r="U84" s="258"/>
      <c r="V84" s="197">
        <f t="shared" si="21"/>
        <v>0</v>
      </c>
      <c r="W84" s="1006">
        <f t="shared" si="22"/>
        <v>0</v>
      </c>
      <c r="X84" s="1007" t="e">
        <f t="shared" si="23"/>
        <v>#VALUE!</v>
      </c>
      <c r="Y84" s="258" t="str">
        <f t="shared" ref="Y84:Y96" si="31">IF(NOT(V84=0),
IFERROR(_xlfn.SWITCH(
    $G84,
    "SLN", SLN($D84,, $E84*365) * ($L84-AA84),
    "DDB", SUM(DDB($D84,, $E84*365, SEQUENCE(DATEDIF($F85,W$16,"D")+1), IF($E84&lt;=4,1.5,2))),
    ""
), ""),
"--")</f>
        <v>--</v>
      </c>
      <c r="Z84" s="258"/>
      <c r="AA84" s="197">
        <f t="shared" si="24"/>
        <v>0</v>
      </c>
      <c r="AB84" s="243"/>
      <c r="AC84" s="243"/>
      <c r="AD84" s="243"/>
      <c r="AE84" s="243"/>
      <c r="AF84" s="243"/>
      <c r="AG84" s="227"/>
      <c r="AH84" s="225"/>
      <c r="AI84" s="226"/>
    </row>
    <row r="85" spans="1:35" ht="12.75" x14ac:dyDescent="0.2">
      <c r="A85" s="243"/>
      <c r="B85" s="243"/>
      <c r="C85" s="243"/>
      <c r="D85" s="989"/>
      <c r="E85" s="243"/>
      <c r="F85" s="243"/>
      <c r="G85" s="243"/>
      <c r="H85" s="1005" t="e">
        <f t="shared" si="14"/>
        <v>#REF!</v>
      </c>
      <c r="I85" s="243"/>
      <c r="J85" s="243"/>
      <c r="K85" s="243"/>
      <c r="L85" s="197">
        <f t="shared" si="15"/>
        <v>0</v>
      </c>
      <c r="M85" s="1006">
        <f t="shared" si="16"/>
        <v>0</v>
      </c>
      <c r="N85" s="1007" t="e">
        <f t="shared" si="17"/>
        <v>#VALUE!</v>
      </c>
      <c r="O85" s="258" t="str">
        <f t="shared" si="29"/>
        <v>--</v>
      </c>
      <c r="P85" s="258"/>
      <c r="Q85" s="197">
        <f t="shared" si="18"/>
        <v>0</v>
      </c>
      <c r="R85" s="1006">
        <f t="shared" si="19"/>
        <v>0</v>
      </c>
      <c r="S85" s="1007" t="e">
        <f t="shared" si="20"/>
        <v>#VALUE!</v>
      </c>
      <c r="T85" s="258" t="str">
        <f t="shared" si="30"/>
        <v>--</v>
      </c>
      <c r="U85" s="258"/>
      <c r="V85" s="197">
        <f t="shared" si="21"/>
        <v>0</v>
      </c>
      <c r="W85" s="1006">
        <f t="shared" si="22"/>
        <v>0</v>
      </c>
      <c r="X85" s="1007" t="e">
        <f t="shared" si="23"/>
        <v>#VALUE!</v>
      </c>
      <c r="Y85" s="258" t="str">
        <f t="shared" si="31"/>
        <v>--</v>
      </c>
      <c r="Z85" s="258"/>
      <c r="AA85" s="197">
        <f t="shared" si="24"/>
        <v>0</v>
      </c>
      <c r="AB85" s="243"/>
      <c r="AC85" s="243"/>
      <c r="AD85" s="243"/>
      <c r="AE85" s="243"/>
      <c r="AF85" s="243"/>
      <c r="AG85" s="227"/>
      <c r="AH85" s="225"/>
      <c r="AI85" s="226"/>
    </row>
    <row r="86" spans="1:35" ht="12.75" x14ac:dyDescent="0.2">
      <c r="A86" s="243"/>
      <c r="B86" s="243"/>
      <c r="C86" s="243"/>
      <c r="D86" s="989"/>
      <c r="E86" s="243"/>
      <c r="F86" s="243"/>
      <c r="G86" s="243"/>
      <c r="H86" s="1005" t="e">
        <f t="shared" si="14"/>
        <v>#REF!</v>
      </c>
      <c r="I86" s="243"/>
      <c r="J86" s="243"/>
      <c r="K86" s="243"/>
      <c r="L86" s="197">
        <f t="shared" si="15"/>
        <v>0</v>
      </c>
      <c r="M86" s="1006">
        <f t="shared" si="16"/>
        <v>0</v>
      </c>
      <c r="N86" s="1007" t="e">
        <f t="shared" si="17"/>
        <v>#VALUE!</v>
      </c>
      <c r="O86" s="258" t="str">
        <f t="shared" si="29"/>
        <v>--</v>
      </c>
      <c r="P86" s="258"/>
      <c r="Q86" s="197">
        <f t="shared" si="18"/>
        <v>0</v>
      </c>
      <c r="R86" s="1006">
        <f t="shared" si="19"/>
        <v>0</v>
      </c>
      <c r="S86" s="1007" t="e">
        <f t="shared" si="20"/>
        <v>#VALUE!</v>
      </c>
      <c r="T86" s="258" t="str">
        <f t="shared" si="30"/>
        <v>--</v>
      </c>
      <c r="U86" s="258"/>
      <c r="V86" s="197">
        <f t="shared" si="21"/>
        <v>0</v>
      </c>
      <c r="W86" s="1006">
        <f t="shared" si="22"/>
        <v>0</v>
      </c>
      <c r="X86" s="1007" t="e">
        <f t="shared" si="23"/>
        <v>#VALUE!</v>
      </c>
      <c r="Y86" s="258" t="str">
        <f t="shared" si="31"/>
        <v>--</v>
      </c>
      <c r="Z86" s="258"/>
      <c r="AA86" s="197">
        <f t="shared" si="24"/>
        <v>0</v>
      </c>
      <c r="AB86" s="243"/>
      <c r="AC86" s="243"/>
      <c r="AD86" s="243"/>
      <c r="AE86" s="243"/>
      <c r="AF86" s="243"/>
      <c r="AG86" s="227"/>
      <c r="AH86" s="225"/>
      <c r="AI86" s="226"/>
    </row>
    <row r="87" spans="1:35" ht="12.75" x14ac:dyDescent="0.2">
      <c r="A87" s="243"/>
      <c r="B87" s="243"/>
      <c r="C87" s="243"/>
      <c r="D87" s="989"/>
      <c r="E87" s="243"/>
      <c r="F87" s="243"/>
      <c r="G87" s="243"/>
      <c r="H87" s="1005" t="e">
        <f t="shared" si="14"/>
        <v>#REF!</v>
      </c>
      <c r="I87" s="243"/>
      <c r="J87" s="243"/>
      <c r="K87" s="243"/>
      <c r="L87" s="197">
        <f t="shared" si="15"/>
        <v>0</v>
      </c>
      <c r="M87" s="1006">
        <f t="shared" si="16"/>
        <v>0</v>
      </c>
      <c r="N87" s="1007" t="e">
        <f t="shared" si="17"/>
        <v>#VALUE!</v>
      </c>
      <c r="O87" s="258" t="str">
        <f t="shared" si="29"/>
        <v>--</v>
      </c>
      <c r="P87" s="258"/>
      <c r="Q87" s="197">
        <f t="shared" si="18"/>
        <v>0</v>
      </c>
      <c r="R87" s="1006">
        <f t="shared" si="19"/>
        <v>0</v>
      </c>
      <c r="S87" s="1007" t="e">
        <f t="shared" si="20"/>
        <v>#VALUE!</v>
      </c>
      <c r="T87" s="258" t="str">
        <f t="shared" si="30"/>
        <v>--</v>
      </c>
      <c r="U87" s="258"/>
      <c r="V87" s="197">
        <f t="shared" si="21"/>
        <v>0</v>
      </c>
      <c r="W87" s="1006">
        <f t="shared" si="22"/>
        <v>0</v>
      </c>
      <c r="X87" s="1007" t="e">
        <f t="shared" si="23"/>
        <v>#VALUE!</v>
      </c>
      <c r="Y87" s="258" t="str">
        <f t="shared" si="31"/>
        <v>--</v>
      </c>
      <c r="Z87" s="258"/>
      <c r="AA87" s="197">
        <f t="shared" si="24"/>
        <v>0</v>
      </c>
      <c r="AB87" s="243"/>
      <c r="AC87" s="243"/>
      <c r="AD87" s="243"/>
      <c r="AE87" s="243"/>
      <c r="AF87" s="243"/>
      <c r="AG87" s="227"/>
      <c r="AH87" s="225"/>
      <c r="AI87" s="226"/>
    </row>
    <row r="88" spans="1:35" ht="12.75" x14ac:dyDescent="0.2">
      <c r="A88" s="243"/>
      <c r="B88" s="243"/>
      <c r="C88" s="243"/>
      <c r="D88" s="989"/>
      <c r="E88" s="243"/>
      <c r="F88" s="243"/>
      <c r="G88" s="243"/>
      <c r="H88" s="1005" t="e">
        <f t="shared" si="14"/>
        <v>#REF!</v>
      </c>
      <c r="I88" s="243"/>
      <c r="J88" s="243"/>
      <c r="K88" s="243"/>
      <c r="L88" s="197">
        <f t="shared" si="15"/>
        <v>0</v>
      </c>
      <c r="M88" s="1006">
        <f t="shared" si="16"/>
        <v>0</v>
      </c>
      <c r="N88" s="1007" t="e">
        <f t="shared" si="17"/>
        <v>#VALUE!</v>
      </c>
      <c r="O88" s="258" t="str">
        <f t="shared" si="29"/>
        <v>--</v>
      </c>
      <c r="P88" s="258"/>
      <c r="Q88" s="197">
        <f t="shared" si="18"/>
        <v>0</v>
      </c>
      <c r="R88" s="1006">
        <f t="shared" si="19"/>
        <v>0</v>
      </c>
      <c r="S88" s="1007" t="e">
        <f t="shared" si="20"/>
        <v>#VALUE!</v>
      </c>
      <c r="T88" s="258" t="str">
        <f t="shared" si="30"/>
        <v>--</v>
      </c>
      <c r="U88" s="258"/>
      <c r="V88" s="197">
        <f t="shared" si="21"/>
        <v>0</v>
      </c>
      <c r="W88" s="1006">
        <f t="shared" si="22"/>
        <v>0</v>
      </c>
      <c r="X88" s="1007" t="e">
        <f t="shared" si="23"/>
        <v>#VALUE!</v>
      </c>
      <c r="Y88" s="258" t="str">
        <f t="shared" si="31"/>
        <v>--</v>
      </c>
      <c r="Z88" s="258"/>
      <c r="AA88" s="197">
        <f t="shared" si="24"/>
        <v>0</v>
      </c>
      <c r="AB88" s="243"/>
      <c r="AC88" s="243"/>
      <c r="AD88" s="243"/>
      <c r="AE88" s="243"/>
      <c r="AF88" s="243"/>
      <c r="AG88" s="227"/>
      <c r="AH88" s="225"/>
      <c r="AI88" s="226"/>
    </row>
    <row r="89" spans="1:35" ht="12.75" x14ac:dyDescent="0.2">
      <c r="A89" s="243"/>
      <c r="B89" s="243"/>
      <c r="C89" s="243"/>
      <c r="D89" s="989"/>
      <c r="E89" s="243"/>
      <c r="F89" s="243"/>
      <c r="G89" s="243"/>
      <c r="H89" s="1005" t="e">
        <f t="shared" si="14"/>
        <v>#REF!</v>
      </c>
      <c r="I89" s="243"/>
      <c r="J89" s="243"/>
      <c r="K89" s="243"/>
      <c r="L89" s="197">
        <f t="shared" si="15"/>
        <v>0</v>
      </c>
      <c r="M89" s="1006">
        <f t="shared" si="16"/>
        <v>0</v>
      </c>
      <c r="N89" s="1007" t="e">
        <f t="shared" si="17"/>
        <v>#VALUE!</v>
      </c>
      <c r="O89" s="258" t="str">
        <f t="shared" si="29"/>
        <v>--</v>
      </c>
      <c r="P89" s="258"/>
      <c r="Q89" s="197">
        <f t="shared" si="18"/>
        <v>0</v>
      </c>
      <c r="R89" s="1006">
        <f t="shared" si="19"/>
        <v>0</v>
      </c>
      <c r="S89" s="1007" t="e">
        <f t="shared" si="20"/>
        <v>#VALUE!</v>
      </c>
      <c r="T89" s="258" t="str">
        <f t="shared" si="30"/>
        <v>--</v>
      </c>
      <c r="U89" s="258"/>
      <c r="V89" s="197">
        <f t="shared" si="21"/>
        <v>0</v>
      </c>
      <c r="W89" s="1006">
        <f t="shared" si="22"/>
        <v>0</v>
      </c>
      <c r="X89" s="1007" t="e">
        <f t="shared" si="23"/>
        <v>#VALUE!</v>
      </c>
      <c r="Y89" s="258" t="str">
        <f t="shared" si="31"/>
        <v>--</v>
      </c>
      <c r="Z89" s="258"/>
      <c r="AA89" s="197">
        <f t="shared" si="24"/>
        <v>0</v>
      </c>
      <c r="AB89" s="243"/>
      <c r="AC89" s="243"/>
      <c r="AD89" s="243"/>
      <c r="AE89" s="243"/>
      <c r="AF89" s="243"/>
      <c r="AG89" s="227"/>
      <c r="AH89" s="225"/>
      <c r="AI89" s="226"/>
    </row>
    <row r="90" spans="1:35" ht="12.75" x14ac:dyDescent="0.2">
      <c r="A90" s="243"/>
      <c r="B90" s="243"/>
      <c r="C90" s="243"/>
      <c r="D90" s="989"/>
      <c r="E90" s="243"/>
      <c r="F90" s="243"/>
      <c r="G90" s="243"/>
      <c r="H90" s="1005" t="e">
        <f t="shared" si="14"/>
        <v>#REF!</v>
      </c>
      <c r="I90" s="243"/>
      <c r="J90" s="243"/>
      <c r="K90" s="243"/>
      <c r="L90" s="197">
        <f t="shared" si="15"/>
        <v>0</v>
      </c>
      <c r="M90" s="1006">
        <f t="shared" si="16"/>
        <v>0</v>
      </c>
      <c r="N90" s="1007" t="e">
        <f t="shared" si="17"/>
        <v>#VALUE!</v>
      </c>
      <c r="O90" s="258" t="str">
        <f t="shared" si="29"/>
        <v>--</v>
      </c>
      <c r="P90" s="258"/>
      <c r="Q90" s="197">
        <f t="shared" si="18"/>
        <v>0</v>
      </c>
      <c r="R90" s="1006">
        <f t="shared" si="19"/>
        <v>0</v>
      </c>
      <c r="S90" s="1007" t="e">
        <f t="shared" si="20"/>
        <v>#VALUE!</v>
      </c>
      <c r="T90" s="258" t="str">
        <f t="shared" si="30"/>
        <v>--</v>
      </c>
      <c r="U90" s="258"/>
      <c r="V90" s="197">
        <f t="shared" si="21"/>
        <v>0</v>
      </c>
      <c r="W90" s="1006">
        <f t="shared" si="22"/>
        <v>0</v>
      </c>
      <c r="X90" s="1007" t="e">
        <f t="shared" si="23"/>
        <v>#VALUE!</v>
      </c>
      <c r="Y90" s="258" t="str">
        <f t="shared" si="31"/>
        <v>--</v>
      </c>
      <c r="Z90" s="258"/>
      <c r="AA90" s="197">
        <f t="shared" si="24"/>
        <v>0</v>
      </c>
      <c r="AB90" s="243"/>
      <c r="AC90" s="243"/>
      <c r="AD90" s="243"/>
      <c r="AE90" s="243"/>
      <c r="AF90" s="243"/>
      <c r="AG90" s="227"/>
      <c r="AH90" s="225"/>
      <c r="AI90" s="226"/>
    </row>
    <row r="91" spans="1:35" ht="12.75" x14ac:dyDescent="0.2">
      <c r="A91" s="243"/>
      <c r="B91" s="243"/>
      <c r="C91" s="243"/>
      <c r="D91" s="989"/>
      <c r="E91" s="243"/>
      <c r="F91" s="243"/>
      <c r="G91" s="243"/>
      <c r="H91" s="1005" t="e">
        <f t="shared" si="14"/>
        <v>#REF!</v>
      </c>
      <c r="I91" s="243"/>
      <c r="J91" s="243"/>
      <c r="K91" s="243"/>
      <c r="L91" s="197">
        <f t="shared" si="15"/>
        <v>0</v>
      </c>
      <c r="M91" s="1006">
        <f t="shared" si="16"/>
        <v>0</v>
      </c>
      <c r="N91" s="1007" t="e">
        <f t="shared" si="17"/>
        <v>#VALUE!</v>
      </c>
      <c r="O91" s="258" t="str">
        <f t="shared" si="29"/>
        <v>--</v>
      </c>
      <c r="P91" s="258"/>
      <c r="Q91" s="197">
        <f t="shared" si="18"/>
        <v>0</v>
      </c>
      <c r="R91" s="1006">
        <f t="shared" si="19"/>
        <v>0</v>
      </c>
      <c r="S91" s="1007" t="e">
        <f t="shared" si="20"/>
        <v>#VALUE!</v>
      </c>
      <c r="T91" s="258" t="str">
        <f t="shared" si="30"/>
        <v>--</v>
      </c>
      <c r="U91" s="258"/>
      <c r="V91" s="197">
        <f t="shared" si="21"/>
        <v>0</v>
      </c>
      <c r="W91" s="1006">
        <f t="shared" si="22"/>
        <v>0</v>
      </c>
      <c r="X91" s="1007" t="e">
        <f t="shared" si="23"/>
        <v>#VALUE!</v>
      </c>
      <c r="Y91" s="258" t="str">
        <f t="shared" si="31"/>
        <v>--</v>
      </c>
      <c r="Z91" s="258"/>
      <c r="AA91" s="197">
        <f t="shared" si="24"/>
        <v>0</v>
      </c>
      <c r="AB91" s="243"/>
      <c r="AC91" s="243"/>
      <c r="AD91" s="243"/>
      <c r="AE91" s="243"/>
      <c r="AF91" s="243"/>
      <c r="AG91" s="227"/>
      <c r="AH91" s="225"/>
      <c r="AI91" s="226"/>
    </row>
    <row r="92" spans="1:35" ht="12.75" x14ac:dyDescent="0.2">
      <c r="A92" s="243"/>
      <c r="B92" s="243"/>
      <c r="C92" s="243"/>
      <c r="D92" s="989"/>
      <c r="E92" s="243"/>
      <c r="F92" s="243"/>
      <c r="G92" s="243"/>
      <c r="H92" s="1005" t="e">
        <f t="shared" si="14"/>
        <v>#REF!</v>
      </c>
      <c r="I92" s="243"/>
      <c r="J92" s="243"/>
      <c r="K92" s="243"/>
      <c r="L92" s="197">
        <f t="shared" si="15"/>
        <v>0</v>
      </c>
      <c r="M92" s="1006">
        <f t="shared" si="16"/>
        <v>0</v>
      </c>
      <c r="N92" s="1007" t="e">
        <f t="shared" si="17"/>
        <v>#VALUE!</v>
      </c>
      <c r="O92" s="258" t="str">
        <f t="shared" si="29"/>
        <v>--</v>
      </c>
      <c r="P92" s="258"/>
      <c r="Q92" s="197">
        <f t="shared" si="18"/>
        <v>0</v>
      </c>
      <c r="R92" s="1006">
        <f t="shared" si="19"/>
        <v>0</v>
      </c>
      <c r="S92" s="1007" t="e">
        <f t="shared" si="20"/>
        <v>#VALUE!</v>
      </c>
      <c r="T92" s="258" t="str">
        <f t="shared" si="30"/>
        <v>--</v>
      </c>
      <c r="U92" s="258"/>
      <c r="V92" s="197">
        <f t="shared" si="21"/>
        <v>0</v>
      </c>
      <c r="W92" s="1006">
        <f t="shared" si="22"/>
        <v>0</v>
      </c>
      <c r="X92" s="1007" t="e">
        <f t="shared" si="23"/>
        <v>#VALUE!</v>
      </c>
      <c r="Y92" s="258" t="str">
        <f t="shared" si="31"/>
        <v>--</v>
      </c>
      <c r="Z92" s="258"/>
      <c r="AA92" s="197">
        <f t="shared" si="24"/>
        <v>0</v>
      </c>
      <c r="AB92" s="243"/>
      <c r="AC92" s="243"/>
      <c r="AD92" s="243"/>
      <c r="AE92" s="243"/>
      <c r="AF92" s="243"/>
      <c r="AG92" s="227"/>
      <c r="AH92" s="225"/>
      <c r="AI92" s="226"/>
    </row>
    <row r="93" spans="1:35" ht="12.75" x14ac:dyDescent="0.2">
      <c r="A93" s="243"/>
      <c r="B93" s="243"/>
      <c r="C93" s="243"/>
      <c r="D93" s="989"/>
      <c r="E93" s="243"/>
      <c r="F93" s="243"/>
      <c r="G93" s="243"/>
      <c r="H93" s="1005" t="e">
        <f t="shared" si="14"/>
        <v>#REF!</v>
      </c>
      <c r="I93" s="243"/>
      <c r="J93" s="243"/>
      <c r="K93" s="243"/>
      <c r="L93" s="197">
        <f t="shared" si="15"/>
        <v>0</v>
      </c>
      <c r="M93" s="1006">
        <f t="shared" si="16"/>
        <v>0</v>
      </c>
      <c r="N93" s="1007" t="e">
        <f t="shared" si="17"/>
        <v>#VALUE!</v>
      </c>
      <c r="O93" s="258" t="str">
        <f t="shared" si="29"/>
        <v>--</v>
      </c>
      <c r="P93" s="258"/>
      <c r="Q93" s="197">
        <f t="shared" si="18"/>
        <v>0</v>
      </c>
      <c r="R93" s="1006">
        <f t="shared" si="19"/>
        <v>0</v>
      </c>
      <c r="S93" s="1007" t="e">
        <f t="shared" si="20"/>
        <v>#VALUE!</v>
      </c>
      <c r="T93" s="258" t="str">
        <f t="shared" si="30"/>
        <v>--</v>
      </c>
      <c r="U93" s="258"/>
      <c r="V93" s="197">
        <f t="shared" si="21"/>
        <v>0</v>
      </c>
      <c r="W93" s="1006">
        <f t="shared" si="22"/>
        <v>0</v>
      </c>
      <c r="X93" s="1007" t="e">
        <f t="shared" si="23"/>
        <v>#VALUE!</v>
      </c>
      <c r="Y93" s="258" t="str">
        <f t="shared" si="31"/>
        <v>--</v>
      </c>
      <c r="Z93" s="258"/>
      <c r="AA93" s="197">
        <f t="shared" si="24"/>
        <v>0</v>
      </c>
      <c r="AB93" s="243"/>
      <c r="AC93" s="243"/>
      <c r="AD93" s="243"/>
      <c r="AE93" s="243"/>
      <c r="AF93" s="243"/>
      <c r="AG93" s="227"/>
      <c r="AH93" s="225"/>
      <c r="AI93" s="226"/>
    </row>
    <row r="94" spans="1:35" ht="12.75" x14ac:dyDescent="0.2">
      <c r="A94" s="243"/>
      <c r="B94" s="243"/>
      <c r="C94" s="243"/>
      <c r="D94" s="989"/>
      <c r="E94" s="243"/>
      <c r="F94" s="243"/>
      <c r="G94" s="243"/>
      <c r="H94" s="1005" t="e">
        <f t="shared" si="14"/>
        <v>#REF!</v>
      </c>
      <c r="I94" s="243"/>
      <c r="J94" s="243"/>
      <c r="K94" s="243"/>
      <c r="L94" s="197">
        <f t="shared" si="15"/>
        <v>0</v>
      </c>
      <c r="M94" s="1006">
        <f t="shared" si="16"/>
        <v>0</v>
      </c>
      <c r="N94" s="1007" t="e">
        <f t="shared" si="17"/>
        <v>#VALUE!</v>
      </c>
      <c r="O94" s="258" t="str">
        <f t="shared" si="29"/>
        <v>--</v>
      </c>
      <c r="P94" s="258"/>
      <c r="Q94" s="197">
        <f t="shared" si="18"/>
        <v>0</v>
      </c>
      <c r="R94" s="1006">
        <f t="shared" si="19"/>
        <v>0</v>
      </c>
      <c r="S94" s="1007" t="e">
        <f t="shared" si="20"/>
        <v>#VALUE!</v>
      </c>
      <c r="T94" s="258" t="str">
        <f t="shared" si="30"/>
        <v>--</v>
      </c>
      <c r="U94" s="258"/>
      <c r="V94" s="197">
        <f t="shared" si="21"/>
        <v>0</v>
      </c>
      <c r="W94" s="1006">
        <f t="shared" si="22"/>
        <v>0</v>
      </c>
      <c r="X94" s="1007" t="e">
        <f t="shared" si="23"/>
        <v>#VALUE!</v>
      </c>
      <c r="Y94" s="258" t="str">
        <f t="shared" si="31"/>
        <v>--</v>
      </c>
      <c r="Z94" s="258"/>
      <c r="AA94" s="197">
        <f t="shared" si="24"/>
        <v>0</v>
      </c>
      <c r="AB94" s="243"/>
      <c r="AC94" s="243"/>
      <c r="AD94" s="243"/>
      <c r="AE94" s="243"/>
      <c r="AF94" s="243"/>
      <c r="AG94" s="227"/>
      <c r="AH94" s="225"/>
      <c r="AI94" s="226"/>
    </row>
    <row r="95" spans="1:35" ht="12.75" x14ac:dyDescent="0.2">
      <c r="A95" s="243"/>
      <c r="B95" s="243"/>
      <c r="C95" s="243"/>
      <c r="D95" s="989"/>
      <c r="E95" s="243"/>
      <c r="F95" s="243"/>
      <c r="G95" s="243"/>
      <c r="H95" s="1005" t="e">
        <f t="shared" si="14"/>
        <v>#REF!</v>
      </c>
      <c r="I95" s="243"/>
      <c r="J95" s="243"/>
      <c r="K95" s="243"/>
      <c r="L95" s="197">
        <f t="shared" si="15"/>
        <v>0</v>
      </c>
      <c r="M95" s="1006">
        <f t="shared" si="16"/>
        <v>0</v>
      </c>
      <c r="N95" s="1007" t="e">
        <f t="shared" si="17"/>
        <v>#VALUE!</v>
      </c>
      <c r="O95" s="258" t="str">
        <f t="shared" si="29"/>
        <v>--</v>
      </c>
      <c r="P95" s="258"/>
      <c r="Q95" s="197">
        <f t="shared" si="18"/>
        <v>0</v>
      </c>
      <c r="R95" s="1006">
        <f t="shared" si="19"/>
        <v>0</v>
      </c>
      <c r="S95" s="1007" t="e">
        <f t="shared" si="20"/>
        <v>#VALUE!</v>
      </c>
      <c r="T95" s="258" t="str">
        <f t="shared" si="30"/>
        <v>--</v>
      </c>
      <c r="U95" s="258"/>
      <c r="V95" s="197">
        <f t="shared" si="21"/>
        <v>0</v>
      </c>
      <c r="W95" s="1006">
        <f t="shared" si="22"/>
        <v>0</v>
      </c>
      <c r="X95" s="1007" t="e">
        <f t="shared" si="23"/>
        <v>#VALUE!</v>
      </c>
      <c r="Y95" s="258" t="str">
        <f t="shared" si="31"/>
        <v>--</v>
      </c>
      <c r="Z95" s="258"/>
      <c r="AA95" s="197">
        <f t="shared" si="24"/>
        <v>0</v>
      </c>
      <c r="AB95" s="243"/>
      <c r="AC95" s="243"/>
      <c r="AD95" s="243"/>
      <c r="AE95" s="243"/>
      <c r="AF95" s="243"/>
      <c r="AG95" s="227"/>
      <c r="AH95" s="225"/>
      <c r="AI95" s="226"/>
    </row>
    <row r="96" spans="1:35" ht="12.75" x14ac:dyDescent="0.2">
      <c r="A96" s="243"/>
      <c r="B96" s="243"/>
      <c r="C96" s="243"/>
      <c r="D96" s="989"/>
      <c r="E96" s="243"/>
      <c r="F96" s="243"/>
      <c r="G96" s="243"/>
      <c r="H96" s="1005" t="e">
        <f t="shared" si="14"/>
        <v>#REF!</v>
      </c>
      <c r="I96" s="243"/>
      <c r="J96" s="243"/>
      <c r="K96" s="243"/>
      <c r="L96" s="197">
        <f t="shared" si="15"/>
        <v>0</v>
      </c>
      <c r="M96" s="1006">
        <f t="shared" si="16"/>
        <v>0</v>
      </c>
      <c r="N96" s="1007" t="e">
        <f t="shared" si="17"/>
        <v>#VALUE!</v>
      </c>
      <c r="O96" s="258" t="str">
        <f t="shared" si="29"/>
        <v>--</v>
      </c>
      <c r="P96" s="258"/>
      <c r="Q96" s="197">
        <f t="shared" si="18"/>
        <v>0</v>
      </c>
      <c r="R96" s="1006">
        <f t="shared" si="19"/>
        <v>0</v>
      </c>
      <c r="S96" s="1007" t="e">
        <f t="shared" si="20"/>
        <v>#VALUE!</v>
      </c>
      <c r="T96" s="258" t="str">
        <f t="shared" si="30"/>
        <v>--</v>
      </c>
      <c r="U96" s="258"/>
      <c r="V96" s="197">
        <f t="shared" si="21"/>
        <v>0</v>
      </c>
      <c r="W96" s="1006">
        <f t="shared" si="22"/>
        <v>0</v>
      </c>
      <c r="X96" s="1007" t="e">
        <f t="shared" si="23"/>
        <v>#VALUE!</v>
      </c>
      <c r="Y96" s="258" t="str">
        <f t="shared" si="31"/>
        <v>--</v>
      </c>
      <c r="Z96" s="258"/>
      <c r="AA96" s="197">
        <f t="shared" si="24"/>
        <v>0</v>
      </c>
      <c r="AB96" s="243"/>
      <c r="AC96" s="243"/>
      <c r="AD96" s="243"/>
      <c r="AE96" s="243"/>
      <c r="AF96" s="243"/>
      <c r="AG96" s="231"/>
      <c r="AH96" s="232"/>
      <c r="AI96" s="315"/>
    </row>
  </sheetData>
  <mergeCells count="7">
    <mergeCell ref="W16:AA16"/>
    <mergeCell ref="AB16:AF16"/>
    <mergeCell ref="A1:D6"/>
    <mergeCell ref="A13:G15"/>
    <mergeCell ref="H16:L16"/>
    <mergeCell ref="M16:Q16"/>
    <mergeCell ref="R16:V16"/>
  </mergeCells>
  <dataValidations count="2">
    <dataValidation type="list" allowBlank="1" showErrorMessage="1" sqref="C18:C96" xr:uid="{00000000-0002-0000-0900-000000000000}">
      <formula1>"Building,Computer Hardware,Computer Software,Factory Equipment,Furnitures &amp; Fixtures,Machinery,Office Equipment,Other Fixed Assets,Vehicles"</formula1>
    </dataValidation>
    <dataValidation type="list" allowBlank="1" showErrorMessage="1" sqref="G18:G96" xr:uid="{00000000-0002-0000-0900-000001000000}">
      <formula1>"SLN,DDB"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9138"/>
    <outlinePr summaryBelow="0" summaryRight="0"/>
  </sheetPr>
  <dimension ref="A1:I43"/>
  <sheetViews>
    <sheetView workbookViewId="0"/>
  </sheetViews>
  <sheetFormatPr defaultColWidth="12.5703125" defaultRowHeight="15.75" customHeight="1" x14ac:dyDescent="0.2"/>
  <cols>
    <col min="1" max="1" width="8" customWidth="1"/>
    <col min="2" max="2" width="5.5703125" customWidth="1"/>
    <col min="3" max="3" width="24" customWidth="1"/>
    <col min="4" max="4" width="7.28515625" customWidth="1"/>
    <col min="5" max="5" width="11.140625" customWidth="1"/>
    <col min="6" max="6" width="17.140625" customWidth="1"/>
    <col min="7" max="7" width="14.42578125" customWidth="1"/>
    <col min="8" max="8" width="12.28515625" customWidth="1"/>
    <col min="9" max="9" width="9.5703125" customWidth="1"/>
  </cols>
  <sheetData>
    <row r="1" spans="1:9" x14ac:dyDescent="0.2">
      <c r="A1" s="1379" t="s">
        <v>337</v>
      </c>
      <c r="B1" s="1380"/>
      <c r="C1" s="1380"/>
      <c r="D1" s="1380"/>
      <c r="E1" s="1380"/>
      <c r="F1" s="1389"/>
      <c r="G1" s="224"/>
      <c r="H1" s="224"/>
      <c r="I1" s="224"/>
    </row>
    <row r="2" spans="1:9" x14ac:dyDescent="0.2">
      <c r="A2" s="1381"/>
      <c r="B2" s="1343"/>
      <c r="C2" s="1343"/>
      <c r="D2" s="1343"/>
      <c r="E2" s="1343"/>
      <c r="F2" s="1390"/>
      <c r="G2" s="225"/>
      <c r="H2" s="225" t="s">
        <v>338</v>
      </c>
      <c r="I2" s="225"/>
    </row>
    <row r="3" spans="1:9" x14ac:dyDescent="0.2">
      <c r="A3" s="1416"/>
      <c r="B3" s="1417"/>
      <c r="C3" s="1417"/>
      <c r="D3" s="1417"/>
      <c r="E3" s="1417"/>
      <c r="F3" s="1435"/>
      <c r="G3" s="232"/>
      <c r="H3" s="232"/>
      <c r="I3" s="232"/>
    </row>
    <row r="4" spans="1:9" x14ac:dyDescent="0.2">
      <c r="A4" s="1436" t="s">
        <v>339</v>
      </c>
      <c r="B4" s="1437"/>
      <c r="C4" s="1011" t="s">
        <v>340</v>
      </c>
      <c r="D4" s="1012" t="s">
        <v>341</v>
      </c>
      <c r="E4" s="1438" t="s">
        <v>342</v>
      </c>
      <c r="F4" s="1439"/>
      <c r="G4" s="1437"/>
      <c r="H4" s="1011" t="s">
        <v>343</v>
      </c>
      <c r="I4" s="1013" t="s">
        <v>344</v>
      </c>
    </row>
    <row r="5" spans="1:9" x14ac:dyDescent="0.2">
      <c r="A5" s="1014" t="s">
        <v>345</v>
      </c>
      <c r="B5" s="1015" t="s">
        <v>346</v>
      </c>
      <c r="C5" s="1016"/>
      <c r="D5" s="1015"/>
      <c r="E5" s="1016" t="s">
        <v>347</v>
      </c>
      <c r="F5" s="1016" t="s">
        <v>348</v>
      </c>
      <c r="G5" s="1016" t="s">
        <v>349</v>
      </c>
      <c r="H5" s="1016"/>
      <c r="I5" s="1017"/>
    </row>
    <row r="6" spans="1:9" x14ac:dyDescent="0.2">
      <c r="A6" s="1018">
        <v>2025</v>
      </c>
      <c r="B6" s="1019">
        <v>2</v>
      </c>
      <c r="C6" s="1020" t="s">
        <v>350</v>
      </c>
      <c r="D6" s="1019">
        <v>1</v>
      </c>
      <c r="E6" s="1020">
        <v>100</v>
      </c>
      <c r="F6" s="1021"/>
      <c r="G6" s="1020">
        <v>100</v>
      </c>
      <c r="H6" s="1020"/>
      <c r="I6" s="1017">
        <v>45716</v>
      </c>
    </row>
    <row r="7" spans="1:9" x14ac:dyDescent="0.2">
      <c r="A7" s="1022"/>
      <c r="B7" s="1023">
        <v>3</v>
      </c>
      <c r="C7" s="1024" t="s">
        <v>351</v>
      </c>
      <c r="D7" s="1023">
        <v>1</v>
      </c>
      <c r="E7" s="1024">
        <v>60</v>
      </c>
      <c r="F7" s="1024"/>
      <c r="G7" s="1024">
        <v>60</v>
      </c>
      <c r="H7" s="1024"/>
      <c r="I7" s="1017">
        <v>45719</v>
      </c>
    </row>
    <row r="8" spans="1:9" x14ac:dyDescent="0.2">
      <c r="A8" s="1022"/>
      <c r="B8" s="1023"/>
      <c r="C8" s="1024" t="s">
        <v>352</v>
      </c>
      <c r="D8" s="1023">
        <v>1</v>
      </c>
      <c r="E8" s="1024">
        <v>60</v>
      </c>
      <c r="F8" s="1024"/>
      <c r="G8" s="1024">
        <v>60</v>
      </c>
      <c r="H8" s="1024"/>
      <c r="I8" s="1017">
        <v>45719</v>
      </c>
    </row>
    <row r="9" spans="1:9" x14ac:dyDescent="0.2">
      <c r="A9" s="1022"/>
      <c r="B9" s="1023"/>
      <c r="C9" s="1024" t="s">
        <v>353</v>
      </c>
      <c r="D9" s="1023">
        <v>1</v>
      </c>
      <c r="E9" s="1024">
        <v>60</v>
      </c>
      <c r="F9" s="1024"/>
      <c r="G9" s="1024">
        <v>60</v>
      </c>
      <c r="H9" s="1024"/>
      <c r="I9" s="1017">
        <v>45719</v>
      </c>
    </row>
    <row r="10" spans="1:9" x14ac:dyDescent="0.2">
      <c r="A10" s="1022"/>
      <c r="B10" s="1023"/>
      <c r="C10" s="1024" t="s">
        <v>354</v>
      </c>
      <c r="D10" s="1023">
        <v>1</v>
      </c>
      <c r="E10" s="1025">
        <v>20</v>
      </c>
      <c r="F10" s="1024"/>
      <c r="G10" s="1025">
        <v>20</v>
      </c>
      <c r="H10" s="1024">
        <v>1</v>
      </c>
      <c r="I10" s="1017">
        <v>45733</v>
      </c>
    </row>
    <row r="11" spans="1:9" x14ac:dyDescent="0.2">
      <c r="A11" s="1022"/>
      <c r="B11" s="1023"/>
      <c r="C11" s="1024" t="s">
        <v>355</v>
      </c>
      <c r="D11" s="1023">
        <v>1</v>
      </c>
      <c r="E11" s="1025">
        <v>25</v>
      </c>
      <c r="F11" s="1024"/>
      <c r="G11" s="1025">
        <v>25</v>
      </c>
      <c r="H11" s="1024">
        <v>1</v>
      </c>
      <c r="I11" s="1017">
        <v>45733</v>
      </c>
    </row>
    <row r="12" spans="1:9" x14ac:dyDescent="0.2">
      <c r="A12" s="1022"/>
      <c r="B12" s="1023"/>
      <c r="C12" s="1024" t="s">
        <v>356</v>
      </c>
      <c r="D12" s="1023">
        <v>1</v>
      </c>
      <c r="E12" s="1025">
        <v>32</v>
      </c>
      <c r="F12" s="1024"/>
      <c r="G12" s="1025">
        <v>32</v>
      </c>
      <c r="H12" s="1024">
        <v>1</v>
      </c>
      <c r="I12" s="1017">
        <v>45733</v>
      </c>
    </row>
    <row r="13" spans="1:9" x14ac:dyDescent="0.2">
      <c r="A13" s="1022"/>
      <c r="B13" s="1023"/>
      <c r="C13" s="1024" t="s">
        <v>357</v>
      </c>
      <c r="D13" s="1023">
        <v>1</v>
      </c>
      <c r="E13" s="1025">
        <v>32</v>
      </c>
      <c r="F13" s="1024"/>
      <c r="G13" s="1025">
        <v>32</v>
      </c>
      <c r="H13" s="1024">
        <v>1</v>
      </c>
      <c r="I13" s="1017">
        <v>45733</v>
      </c>
    </row>
    <row r="14" spans="1:9" x14ac:dyDescent="0.2">
      <c r="A14" s="1022"/>
      <c r="B14" s="1023"/>
      <c r="C14" s="1024" t="s">
        <v>358</v>
      </c>
      <c r="D14" s="1023">
        <v>1</v>
      </c>
      <c r="E14" s="1025">
        <v>21</v>
      </c>
      <c r="F14" s="1024"/>
      <c r="G14" s="1025">
        <v>21</v>
      </c>
      <c r="H14" s="1024">
        <v>1</v>
      </c>
      <c r="I14" s="1017">
        <v>45733</v>
      </c>
    </row>
    <row r="15" spans="1:9" x14ac:dyDescent="0.2">
      <c r="A15" s="1022"/>
      <c r="B15" s="1023"/>
      <c r="C15" s="1024" t="s">
        <v>359</v>
      </c>
      <c r="D15" s="1023">
        <v>1</v>
      </c>
      <c r="E15" s="1025">
        <v>27</v>
      </c>
      <c r="F15" s="1024"/>
      <c r="G15" s="1025">
        <v>27</v>
      </c>
      <c r="H15" s="1024">
        <v>1.5</v>
      </c>
      <c r="I15" s="1017">
        <v>45733</v>
      </c>
    </row>
    <row r="16" spans="1:9" x14ac:dyDescent="0.2">
      <c r="A16" s="1022"/>
      <c r="B16" s="1019"/>
      <c r="C16" s="1020" t="s">
        <v>360</v>
      </c>
      <c r="D16" s="1019">
        <v>1</v>
      </c>
      <c r="E16" s="1026">
        <v>30</v>
      </c>
      <c r="F16" s="1020"/>
      <c r="G16" s="1026">
        <v>30</v>
      </c>
      <c r="H16" s="1020">
        <v>2</v>
      </c>
      <c r="I16" s="1017">
        <v>45733</v>
      </c>
    </row>
    <row r="17" spans="1:9" x14ac:dyDescent="0.2">
      <c r="A17" s="1022"/>
      <c r="B17" s="1023">
        <v>4</v>
      </c>
      <c r="C17" s="1024" t="s">
        <v>361</v>
      </c>
      <c r="D17" s="1023">
        <v>20</v>
      </c>
      <c r="E17" s="1025">
        <v>9</v>
      </c>
      <c r="F17" s="1024"/>
      <c r="G17" s="1025">
        <v>9</v>
      </c>
      <c r="H17" s="1024">
        <v>0.8</v>
      </c>
      <c r="I17" s="1017">
        <v>45749</v>
      </c>
    </row>
    <row r="18" spans="1:9" x14ac:dyDescent="0.2">
      <c r="A18" s="1027"/>
      <c r="B18" s="1023"/>
      <c r="C18" s="1025" t="s">
        <v>362</v>
      </c>
      <c r="D18" s="1028">
        <v>1</v>
      </c>
      <c r="E18" s="1024">
        <v>8</v>
      </c>
      <c r="F18" s="1024"/>
      <c r="G18" s="1024">
        <v>8</v>
      </c>
      <c r="H18" s="1024">
        <v>0</v>
      </c>
      <c r="I18" s="1029">
        <v>45749</v>
      </c>
    </row>
    <row r="19" spans="1:9" x14ac:dyDescent="0.2">
      <c r="A19" s="1027"/>
      <c r="B19" s="1023"/>
      <c r="C19" s="243" t="s">
        <v>363</v>
      </c>
      <c r="D19" s="1023">
        <v>1</v>
      </c>
      <c r="E19" s="1025">
        <v>26</v>
      </c>
      <c r="F19" s="1030"/>
      <c r="G19" s="1025">
        <v>26</v>
      </c>
      <c r="H19" s="1025">
        <v>1</v>
      </c>
      <c r="I19" s="1017">
        <v>45762</v>
      </c>
    </row>
    <row r="20" spans="1:9" x14ac:dyDescent="0.2">
      <c r="A20" s="1027"/>
      <c r="B20" s="1023"/>
      <c r="C20" s="1025" t="s">
        <v>364</v>
      </c>
      <c r="D20" s="1023">
        <v>1</v>
      </c>
      <c r="E20" s="1025">
        <v>23</v>
      </c>
      <c r="F20" s="1030">
        <v>0.03</v>
      </c>
      <c r="G20" s="1025">
        <v>23</v>
      </c>
      <c r="H20" s="1025">
        <v>1</v>
      </c>
      <c r="I20" s="1017">
        <v>45762</v>
      </c>
    </row>
    <row r="21" spans="1:9" x14ac:dyDescent="0.2">
      <c r="A21" s="1027"/>
      <c r="B21" s="1019"/>
      <c r="C21" s="1026" t="s">
        <v>365</v>
      </c>
      <c r="D21" s="1019">
        <v>1</v>
      </c>
      <c r="E21" s="1026">
        <v>29</v>
      </c>
      <c r="F21" s="1031"/>
      <c r="G21" s="1026">
        <v>29</v>
      </c>
      <c r="H21" s="1026">
        <v>1</v>
      </c>
      <c r="I21" s="1017">
        <v>45762</v>
      </c>
    </row>
    <row r="22" spans="1:9" x14ac:dyDescent="0.2">
      <c r="A22" s="1027"/>
      <c r="B22" s="1023">
        <v>5</v>
      </c>
      <c r="C22" s="1025" t="s">
        <v>366</v>
      </c>
      <c r="D22" s="1023">
        <v>2</v>
      </c>
      <c r="E22" s="1025">
        <v>9</v>
      </c>
      <c r="F22" s="1025"/>
      <c r="G22" s="1025">
        <v>9</v>
      </c>
      <c r="H22" s="1032">
        <v>0.5</v>
      </c>
      <c r="I22" s="1017">
        <v>45779</v>
      </c>
    </row>
    <row r="23" spans="1:9" x14ac:dyDescent="0.2">
      <c r="A23" s="1027"/>
      <c r="B23" s="1023"/>
      <c r="C23" s="1025" t="s">
        <v>367</v>
      </c>
      <c r="D23" s="1023">
        <v>3</v>
      </c>
      <c r="E23" s="243">
        <v>10</v>
      </c>
      <c r="F23" s="1025"/>
      <c r="G23" s="1024">
        <v>10</v>
      </c>
      <c r="H23" s="1024">
        <v>0.8</v>
      </c>
      <c r="I23" s="1017">
        <v>45779</v>
      </c>
    </row>
    <row r="24" spans="1:9" x14ac:dyDescent="0.2">
      <c r="A24" s="1027"/>
      <c r="B24" s="1023"/>
      <c r="C24" s="1025" t="s">
        <v>368</v>
      </c>
      <c r="D24" s="1023">
        <v>4</v>
      </c>
      <c r="E24" s="1025">
        <v>10</v>
      </c>
      <c r="F24" s="1030">
        <v>0.03</v>
      </c>
      <c r="G24" s="1025">
        <v>10</v>
      </c>
      <c r="H24" s="1024">
        <v>0.8</v>
      </c>
      <c r="I24" s="1017">
        <v>45779</v>
      </c>
    </row>
    <row r="25" spans="1:9" x14ac:dyDescent="0.2">
      <c r="A25" s="1027"/>
      <c r="B25" s="1023"/>
      <c r="C25" s="1025" t="s">
        <v>362</v>
      </c>
      <c r="D25" s="1023">
        <v>1</v>
      </c>
      <c r="E25" s="1025">
        <v>8</v>
      </c>
      <c r="F25" s="1025"/>
      <c r="G25" s="1025">
        <v>8</v>
      </c>
      <c r="H25" s="1025">
        <v>0</v>
      </c>
      <c r="I25" s="1017">
        <v>45779</v>
      </c>
    </row>
    <row r="26" spans="1:9" x14ac:dyDescent="0.2">
      <c r="A26" s="1027"/>
      <c r="B26" s="1019"/>
      <c r="C26" s="1026" t="s">
        <v>369</v>
      </c>
      <c r="D26" s="1019">
        <v>2</v>
      </c>
      <c r="E26" s="1026">
        <v>9</v>
      </c>
      <c r="F26" s="1031"/>
      <c r="G26" s="1026">
        <v>9</v>
      </c>
      <c r="H26" s="1033">
        <v>0.5</v>
      </c>
      <c r="I26" s="1017">
        <v>45792</v>
      </c>
    </row>
    <row r="27" spans="1:9" x14ac:dyDescent="0.2">
      <c r="A27" s="1027"/>
      <c r="B27" s="1019">
        <v>6</v>
      </c>
      <c r="C27" s="1026" t="s">
        <v>370</v>
      </c>
      <c r="D27" s="1019">
        <v>3</v>
      </c>
      <c r="E27" s="1026">
        <v>11</v>
      </c>
      <c r="F27" s="1031"/>
      <c r="G27" s="1026">
        <v>11</v>
      </c>
      <c r="H27" s="1016">
        <v>1</v>
      </c>
      <c r="I27" s="1017">
        <v>45838</v>
      </c>
    </row>
    <row r="28" spans="1:9" x14ac:dyDescent="0.2">
      <c r="A28" s="1027"/>
      <c r="B28" s="1023">
        <v>7</v>
      </c>
      <c r="C28" s="1025" t="s">
        <v>371</v>
      </c>
      <c r="D28" s="1023">
        <v>9</v>
      </c>
      <c r="E28" s="1025">
        <v>9</v>
      </c>
      <c r="F28" s="1030"/>
      <c r="G28" s="1025">
        <v>9</v>
      </c>
      <c r="H28" s="1024">
        <v>0.8</v>
      </c>
      <c r="I28" s="1017">
        <v>45853</v>
      </c>
    </row>
    <row r="29" spans="1:9" x14ac:dyDescent="0.2">
      <c r="A29" s="1027"/>
      <c r="B29" s="1019"/>
      <c r="C29" s="1026" t="s">
        <v>362</v>
      </c>
      <c r="D29" s="1019">
        <v>3</v>
      </c>
      <c r="E29" s="1026">
        <v>8</v>
      </c>
      <c r="F29" s="1026"/>
      <c r="G29" s="1026">
        <v>8</v>
      </c>
      <c r="H29" s="1026">
        <v>0</v>
      </c>
      <c r="I29" s="1017">
        <v>45853</v>
      </c>
    </row>
    <row r="30" spans="1:9" x14ac:dyDescent="0.2">
      <c r="A30" s="1034"/>
      <c r="B30" s="1035">
        <v>12</v>
      </c>
      <c r="C30" s="1036" t="s">
        <v>367</v>
      </c>
      <c r="D30" s="1035">
        <v>1</v>
      </c>
      <c r="E30" s="1036">
        <v>10</v>
      </c>
      <c r="F30" s="1036"/>
      <c r="G30" s="1036">
        <v>0</v>
      </c>
      <c r="H30" s="1036">
        <v>0</v>
      </c>
      <c r="I30" s="1037">
        <v>46006</v>
      </c>
    </row>
    <row r="31" spans="1:9" x14ac:dyDescent="0.2">
      <c r="A31" s="1038">
        <v>2026</v>
      </c>
      <c r="B31" s="1023">
        <v>2</v>
      </c>
      <c r="C31" s="1025" t="s">
        <v>372</v>
      </c>
      <c r="D31" s="1023">
        <v>1</v>
      </c>
      <c r="E31" s="1025">
        <v>30</v>
      </c>
      <c r="F31" s="1025"/>
      <c r="G31" s="1025">
        <v>30</v>
      </c>
      <c r="H31" s="1025">
        <v>2</v>
      </c>
      <c r="I31" s="1039">
        <v>46073</v>
      </c>
    </row>
    <row r="32" spans="1:9" x14ac:dyDescent="0.2">
      <c r="A32" s="1027"/>
      <c r="B32" s="1023"/>
      <c r="C32" s="1025" t="s">
        <v>373</v>
      </c>
      <c r="D32" s="1023">
        <v>1</v>
      </c>
      <c r="E32" s="1025">
        <v>20</v>
      </c>
      <c r="F32" s="1025"/>
      <c r="G32" s="1025">
        <v>20</v>
      </c>
      <c r="H32" s="1025">
        <v>1</v>
      </c>
      <c r="I32" s="1039">
        <v>46073</v>
      </c>
    </row>
    <row r="33" spans="1:9" x14ac:dyDescent="0.2">
      <c r="A33" s="1027"/>
      <c r="B33" s="1023"/>
      <c r="C33" s="1025" t="s">
        <v>374</v>
      </c>
      <c r="D33" s="1023">
        <v>1</v>
      </c>
      <c r="E33" s="1025">
        <v>20</v>
      </c>
      <c r="F33" s="1025"/>
      <c r="G33" s="1025">
        <v>20</v>
      </c>
      <c r="H33" s="1025">
        <v>1</v>
      </c>
      <c r="I33" s="1039">
        <v>46073</v>
      </c>
    </row>
    <row r="34" spans="1:9" x14ac:dyDescent="0.2">
      <c r="A34" s="1027"/>
      <c r="B34" s="1019"/>
      <c r="C34" s="1026" t="s">
        <v>375</v>
      </c>
      <c r="D34" s="1019">
        <v>1</v>
      </c>
      <c r="E34" s="1026">
        <v>25</v>
      </c>
      <c r="F34" s="1026"/>
      <c r="G34" s="1026">
        <v>25</v>
      </c>
      <c r="H34" s="1026">
        <v>1</v>
      </c>
      <c r="I34" s="1039">
        <v>46073</v>
      </c>
    </row>
    <row r="35" spans="1:9" x14ac:dyDescent="0.2">
      <c r="A35" s="1027"/>
      <c r="B35" s="1023">
        <v>12</v>
      </c>
      <c r="C35" s="1024" t="s">
        <v>361</v>
      </c>
      <c r="D35" s="1023">
        <v>5</v>
      </c>
      <c r="E35" s="1025">
        <v>9</v>
      </c>
      <c r="F35" s="1024"/>
      <c r="G35" s="1025">
        <v>9</v>
      </c>
      <c r="H35" s="1024">
        <v>0.8</v>
      </c>
      <c r="I35" s="1040">
        <v>46357</v>
      </c>
    </row>
    <row r="36" spans="1:9" x14ac:dyDescent="0.2">
      <c r="A36" s="1034"/>
      <c r="B36" s="1035">
        <v>12</v>
      </c>
      <c r="C36" s="1036" t="s">
        <v>367</v>
      </c>
      <c r="D36" s="1035">
        <v>1</v>
      </c>
      <c r="E36" s="1036">
        <v>10</v>
      </c>
      <c r="F36" s="1036"/>
      <c r="G36" s="1036">
        <v>0</v>
      </c>
      <c r="H36" s="1036">
        <v>0</v>
      </c>
      <c r="I36" s="1037">
        <v>46371</v>
      </c>
    </row>
    <row r="37" spans="1:9" x14ac:dyDescent="0.2">
      <c r="A37" s="1041">
        <v>2027</v>
      </c>
      <c r="B37" s="1019">
        <v>2</v>
      </c>
      <c r="C37" s="1026" t="s">
        <v>369</v>
      </c>
      <c r="D37" s="1019">
        <v>1</v>
      </c>
      <c r="E37" s="1026">
        <v>9</v>
      </c>
      <c r="F37" s="1031"/>
      <c r="G37" s="1026">
        <v>9</v>
      </c>
      <c r="H37" s="1026">
        <v>0.5</v>
      </c>
      <c r="I37" s="1017">
        <v>46076</v>
      </c>
    </row>
    <row r="38" spans="1:9" x14ac:dyDescent="0.2">
      <c r="A38" s="223"/>
      <c r="B38" s="224"/>
      <c r="C38" s="224"/>
      <c r="D38" s="224"/>
      <c r="E38" s="224"/>
      <c r="F38" s="224"/>
      <c r="G38" s="224"/>
      <c r="H38" s="224"/>
      <c r="I38" s="224"/>
    </row>
    <row r="39" spans="1:9" x14ac:dyDescent="0.2">
      <c r="A39" s="227"/>
      <c r="B39" s="225"/>
      <c r="C39" s="225"/>
      <c r="D39" s="225"/>
      <c r="E39" s="225"/>
      <c r="F39" s="225"/>
      <c r="G39" s="225"/>
      <c r="H39" s="225"/>
      <c r="I39" s="225"/>
    </row>
    <row r="40" spans="1:9" x14ac:dyDescent="0.2">
      <c r="A40" s="227"/>
      <c r="B40" s="225"/>
      <c r="C40" s="225"/>
      <c r="D40" s="225"/>
      <c r="E40" s="225"/>
      <c r="F40" s="225"/>
      <c r="G40" s="225"/>
      <c r="H40" s="225"/>
      <c r="I40" s="225"/>
    </row>
    <row r="41" spans="1:9" x14ac:dyDescent="0.2">
      <c r="A41" s="227"/>
      <c r="B41" s="225"/>
      <c r="C41" s="225"/>
      <c r="D41" s="225"/>
      <c r="E41" s="225"/>
      <c r="F41" s="225"/>
      <c r="G41" s="225"/>
      <c r="H41" s="225"/>
      <c r="I41" s="225"/>
    </row>
    <row r="42" spans="1:9" x14ac:dyDescent="0.2">
      <c r="A42" s="227"/>
      <c r="B42" s="225"/>
      <c r="C42" s="225"/>
      <c r="D42" s="225"/>
      <c r="E42" s="225"/>
      <c r="F42" s="225"/>
      <c r="G42" s="225"/>
      <c r="H42" s="225"/>
      <c r="I42" s="225"/>
    </row>
    <row r="43" spans="1:9" x14ac:dyDescent="0.2">
      <c r="A43" s="231"/>
      <c r="B43" s="232"/>
      <c r="C43" s="232"/>
      <c r="D43" s="232"/>
      <c r="E43" s="232"/>
      <c r="F43" s="232"/>
      <c r="G43" s="232"/>
      <c r="H43" s="232"/>
      <c r="I43" s="232"/>
    </row>
  </sheetData>
  <mergeCells count="3">
    <mergeCell ref="A1:F3"/>
    <mergeCell ref="A4:B4"/>
    <mergeCell ref="E4:G4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9138"/>
    <outlinePr summaryBelow="0" summaryRight="0"/>
  </sheetPr>
  <dimension ref="A1:Z203"/>
  <sheetViews>
    <sheetView workbookViewId="0"/>
  </sheetViews>
  <sheetFormatPr defaultColWidth="12.5703125" defaultRowHeight="15.75" customHeight="1" x14ac:dyDescent="0.2"/>
  <cols>
    <col min="1" max="1" width="12.5703125" customWidth="1"/>
    <col min="2" max="2" width="50.140625" customWidth="1"/>
    <col min="3" max="3" width="16.5703125" customWidth="1"/>
    <col min="4" max="4" width="50.140625" customWidth="1"/>
    <col min="5" max="5" width="16.5703125" customWidth="1"/>
    <col min="6" max="9" width="12.5703125" customWidth="1"/>
  </cols>
  <sheetData>
    <row r="1" spans="1:26" ht="15.75" customHeight="1" x14ac:dyDescent="0.4">
      <c r="A1" s="1" t="s">
        <v>0</v>
      </c>
      <c r="D1" s="3" t="s">
        <v>1</v>
      </c>
    </row>
    <row r="2" spans="1:26" ht="15" x14ac:dyDescent="0.2">
      <c r="A2" s="4" t="s">
        <v>2</v>
      </c>
      <c r="B2" s="4" t="s">
        <v>3</v>
      </c>
      <c r="C2" s="6" t="s">
        <v>4</v>
      </c>
      <c r="D2" s="4" t="s">
        <v>5</v>
      </c>
      <c r="E2" s="5" t="s">
        <v>6</v>
      </c>
      <c r="F2" s="6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4"/>
      <c r="B3" s="4"/>
      <c r="C3" s="1042">
        <f>COUNTIF(C4:C253,"No")</f>
        <v>0</v>
      </c>
      <c r="D3" s="4"/>
      <c r="E3" s="7">
        <f>COUNTIF(E4:E253,"Denied")</f>
        <v>0</v>
      </c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x14ac:dyDescent="0.2">
      <c r="A4" s="4">
        <v>1</v>
      </c>
      <c r="B4" s="4"/>
      <c r="C4" s="4" t="b">
        <v>0</v>
      </c>
      <c r="D4" s="4"/>
      <c r="E4" s="4" t="b"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x14ac:dyDescent="0.2">
      <c r="A5" s="4">
        <v>2</v>
      </c>
      <c r="B5" s="4"/>
      <c r="C5" s="4" t="b">
        <v>0</v>
      </c>
      <c r="D5" s="4"/>
      <c r="E5" s="4" t="b"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x14ac:dyDescent="0.2">
      <c r="A6" s="4">
        <v>3</v>
      </c>
      <c r="B6" s="4"/>
      <c r="C6" s="4" t="b">
        <v>0</v>
      </c>
      <c r="D6" s="4"/>
      <c r="E6" s="4" t="b"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x14ac:dyDescent="0.2">
      <c r="A7" s="4">
        <v>4</v>
      </c>
      <c r="B7" s="4"/>
      <c r="C7" s="4" t="b">
        <v>0</v>
      </c>
      <c r="D7" s="4"/>
      <c r="E7" s="4" t="b"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x14ac:dyDescent="0.2">
      <c r="A8" s="4">
        <v>5</v>
      </c>
      <c r="B8" s="4"/>
      <c r="C8" s="4" t="b">
        <v>0</v>
      </c>
      <c r="D8" s="4"/>
      <c r="E8" s="4" t="b"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x14ac:dyDescent="0.2">
      <c r="A9" s="4">
        <v>6</v>
      </c>
      <c r="B9" s="4"/>
      <c r="C9" s="4" t="b">
        <v>0</v>
      </c>
      <c r="D9" s="4"/>
      <c r="E9" s="4" t="b"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x14ac:dyDescent="0.2">
      <c r="A10" s="4">
        <v>7</v>
      </c>
      <c r="B10" s="4"/>
      <c r="C10" s="4" t="b">
        <v>0</v>
      </c>
      <c r="D10" s="4"/>
      <c r="E10" s="4" t="b"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x14ac:dyDescent="0.2">
      <c r="A11" s="4">
        <v>8</v>
      </c>
      <c r="B11" s="4"/>
      <c r="C11" s="4" t="b">
        <v>0</v>
      </c>
      <c r="D11" s="4"/>
      <c r="E11" s="4" t="b"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x14ac:dyDescent="0.2">
      <c r="A12" s="4">
        <v>9</v>
      </c>
      <c r="B12" s="4"/>
      <c r="C12" s="4" t="b">
        <v>0</v>
      </c>
      <c r="D12" s="4"/>
      <c r="E12" s="4" t="b"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x14ac:dyDescent="0.2">
      <c r="A13" s="4">
        <v>10</v>
      </c>
      <c r="B13" s="4"/>
      <c r="C13" s="4" t="b">
        <v>0</v>
      </c>
      <c r="D13" s="4"/>
      <c r="E13" s="4" t="b"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x14ac:dyDescent="0.2">
      <c r="A14" s="4">
        <v>11</v>
      </c>
      <c r="B14" s="4"/>
      <c r="C14" s="4" t="b">
        <v>0</v>
      </c>
      <c r="D14" s="4"/>
      <c r="E14" s="4" t="b"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x14ac:dyDescent="0.2">
      <c r="A15" s="4">
        <v>12</v>
      </c>
      <c r="B15" s="4"/>
      <c r="C15" s="4" t="b">
        <v>0</v>
      </c>
      <c r="D15" s="4"/>
      <c r="E15" s="4" t="b"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x14ac:dyDescent="0.2">
      <c r="A16" s="4">
        <v>13</v>
      </c>
      <c r="B16" s="4"/>
      <c r="C16" s="4" t="b">
        <v>0</v>
      </c>
      <c r="D16" s="4"/>
      <c r="E16" s="4" t="b"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x14ac:dyDescent="0.2">
      <c r="A17" s="4">
        <v>14</v>
      </c>
      <c r="B17" s="4"/>
      <c r="C17" s="4" t="b">
        <v>0</v>
      </c>
      <c r="D17" s="4"/>
      <c r="E17" s="4" t="b"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x14ac:dyDescent="0.2">
      <c r="A18" s="4">
        <v>15</v>
      </c>
      <c r="B18" s="4"/>
      <c r="C18" s="4" t="b">
        <v>0</v>
      </c>
      <c r="D18" s="4"/>
      <c r="E18" s="4" t="b"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x14ac:dyDescent="0.2">
      <c r="A19" s="4">
        <v>16</v>
      </c>
      <c r="B19" s="4"/>
      <c r="C19" s="4" t="b">
        <v>0</v>
      </c>
      <c r="D19" s="4"/>
      <c r="E19" s="4" t="b"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x14ac:dyDescent="0.2">
      <c r="A20" s="4">
        <v>17</v>
      </c>
      <c r="B20" s="4"/>
      <c r="C20" s="4" t="b">
        <v>0</v>
      </c>
      <c r="D20" s="4"/>
      <c r="E20" s="4" t="b"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x14ac:dyDescent="0.2">
      <c r="A21" s="4">
        <v>18</v>
      </c>
      <c r="B21" s="4"/>
      <c r="C21" s="4" t="b">
        <v>0</v>
      </c>
      <c r="D21" s="4"/>
      <c r="E21" s="4" t="b"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x14ac:dyDescent="0.2">
      <c r="A22" s="4">
        <v>19</v>
      </c>
      <c r="B22" s="4"/>
      <c r="C22" s="4" t="b">
        <v>0</v>
      </c>
      <c r="D22" s="4"/>
      <c r="E22" s="4" t="b"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x14ac:dyDescent="0.2">
      <c r="A23" s="4">
        <v>20</v>
      </c>
      <c r="B23" s="4"/>
      <c r="C23" s="4" t="b">
        <v>0</v>
      </c>
      <c r="D23" s="4"/>
      <c r="E23" s="4" t="b"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x14ac:dyDescent="0.2">
      <c r="A24" s="4">
        <v>21</v>
      </c>
      <c r="B24" s="4"/>
      <c r="C24" s="4" t="b">
        <v>0</v>
      </c>
      <c r="D24" s="4"/>
      <c r="E24" s="4" t="b"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x14ac:dyDescent="0.2">
      <c r="A25" s="4">
        <v>22</v>
      </c>
      <c r="B25" s="4"/>
      <c r="C25" s="4" t="b">
        <v>0</v>
      </c>
      <c r="D25" s="4"/>
      <c r="E25" s="4" t="b"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x14ac:dyDescent="0.2">
      <c r="A26" s="4">
        <v>23</v>
      </c>
      <c r="B26" s="4"/>
      <c r="C26" s="4" t="b">
        <v>0</v>
      </c>
      <c r="D26" s="4"/>
      <c r="E26" s="4" t="b"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x14ac:dyDescent="0.2">
      <c r="A27" s="4">
        <v>24</v>
      </c>
      <c r="B27" s="4"/>
      <c r="C27" s="4" t="b">
        <v>0</v>
      </c>
      <c r="D27" s="4"/>
      <c r="E27" s="4" t="b"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x14ac:dyDescent="0.2">
      <c r="A28" s="4">
        <v>25</v>
      </c>
      <c r="B28" s="4"/>
      <c r="C28" s="4" t="b">
        <v>0</v>
      </c>
      <c r="D28" s="4"/>
      <c r="E28" s="4" t="b"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x14ac:dyDescent="0.2">
      <c r="A29" s="4">
        <v>26</v>
      </c>
      <c r="B29" s="4"/>
      <c r="C29" s="4" t="b">
        <v>0</v>
      </c>
      <c r="D29" s="4"/>
      <c r="E29" s="4" t="b"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x14ac:dyDescent="0.2">
      <c r="A30" s="4">
        <v>27</v>
      </c>
      <c r="B30" s="4"/>
      <c r="C30" s="4" t="b">
        <v>0</v>
      </c>
      <c r="D30" s="4"/>
      <c r="E30" s="4" t="b"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x14ac:dyDescent="0.2">
      <c r="A31" s="4">
        <v>28</v>
      </c>
      <c r="B31" s="4"/>
      <c r="C31" s="4" t="b">
        <v>0</v>
      </c>
      <c r="D31" s="4"/>
      <c r="E31" s="4" t="b"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x14ac:dyDescent="0.2">
      <c r="A32" s="4">
        <v>29</v>
      </c>
      <c r="B32" s="4"/>
      <c r="C32" s="4" t="b">
        <v>0</v>
      </c>
      <c r="D32" s="4"/>
      <c r="E32" s="4" t="b"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x14ac:dyDescent="0.2">
      <c r="A33" s="4">
        <v>30</v>
      </c>
      <c r="B33" s="4"/>
      <c r="C33" s="4" t="b">
        <v>0</v>
      </c>
      <c r="D33" s="4"/>
      <c r="E33" s="4" t="b"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x14ac:dyDescent="0.2">
      <c r="A34" s="4">
        <v>31</v>
      </c>
      <c r="B34" s="4"/>
      <c r="C34" s="4" t="b">
        <v>0</v>
      </c>
      <c r="D34" s="4"/>
      <c r="E34" s="4" t="b"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x14ac:dyDescent="0.2">
      <c r="A35" s="4">
        <v>32</v>
      </c>
      <c r="B35" s="4"/>
      <c r="C35" s="4" t="b">
        <v>0</v>
      </c>
      <c r="D35" s="4"/>
      <c r="E35" s="4" t="b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x14ac:dyDescent="0.2">
      <c r="A36" s="4">
        <v>33</v>
      </c>
      <c r="B36" s="4"/>
      <c r="C36" s="4" t="b">
        <v>0</v>
      </c>
      <c r="D36" s="4"/>
      <c r="E36" s="4" t="b"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x14ac:dyDescent="0.2">
      <c r="A37" s="4">
        <v>34</v>
      </c>
      <c r="B37" s="4"/>
      <c r="C37" s="4" t="b">
        <v>0</v>
      </c>
      <c r="D37" s="4"/>
      <c r="E37" s="4" t="b"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x14ac:dyDescent="0.2">
      <c r="A38" s="4">
        <v>35</v>
      </c>
      <c r="B38" s="4"/>
      <c r="C38" s="4" t="b">
        <v>0</v>
      </c>
      <c r="D38" s="4"/>
      <c r="E38" s="4" t="b"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x14ac:dyDescent="0.2">
      <c r="A39" s="4">
        <v>36</v>
      </c>
      <c r="B39" s="4"/>
      <c r="C39" s="4" t="b">
        <v>0</v>
      </c>
      <c r="D39" s="4"/>
      <c r="E39" s="4" t="b"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x14ac:dyDescent="0.2">
      <c r="A40" s="4">
        <v>37</v>
      </c>
      <c r="B40" s="4"/>
      <c r="C40" s="4" t="b">
        <v>0</v>
      </c>
      <c r="D40" s="4"/>
      <c r="E40" s="4" t="b"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x14ac:dyDescent="0.2">
      <c r="A41" s="4">
        <v>38</v>
      </c>
      <c r="B41" s="4"/>
      <c r="C41" s="4" t="b">
        <v>0</v>
      </c>
      <c r="D41" s="4"/>
      <c r="E41" s="4" t="b">
        <v>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x14ac:dyDescent="0.2">
      <c r="A42" s="4">
        <v>39</v>
      </c>
      <c r="B42" s="4"/>
      <c r="C42" s="4" t="b">
        <v>0</v>
      </c>
      <c r="D42" s="4"/>
      <c r="E42" s="4" t="b">
        <v>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x14ac:dyDescent="0.2">
      <c r="A43" s="4">
        <v>40</v>
      </c>
      <c r="B43" s="4"/>
      <c r="C43" s="4" t="b">
        <v>0</v>
      </c>
      <c r="D43" s="4"/>
      <c r="E43" s="4" t="b">
        <v>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x14ac:dyDescent="0.2">
      <c r="A44" s="4">
        <v>41</v>
      </c>
      <c r="B44" s="4"/>
      <c r="C44" s="4" t="b">
        <v>0</v>
      </c>
      <c r="D44" s="4"/>
      <c r="E44" s="4" t="b">
        <v>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x14ac:dyDescent="0.2">
      <c r="A45" s="4">
        <v>42</v>
      </c>
      <c r="B45" s="4"/>
      <c r="C45" s="4" t="b">
        <v>0</v>
      </c>
      <c r="D45" s="4"/>
      <c r="E45" s="4" t="b"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x14ac:dyDescent="0.2">
      <c r="A46" s="4">
        <v>43</v>
      </c>
      <c r="B46" s="4"/>
      <c r="C46" s="4" t="b">
        <v>0</v>
      </c>
      <c r="D46" s="4"/>
      <c r="E46" s="4" t="b">
        <v>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x14ac:dyDescent="0.2">
      <c r="A47" s="4">
        <v>44</v>
      </c>
      <c r="B47" s="4"/>
      <c r="C47" s="4" t="b">
        <v>0</v>
      </c>
      <c r="D47" s="4"/>
      <c r="E47" s="4" t="b">
        <v>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2">
      <c r="A48" s="4">
        <v>45</v>
      </c>
      <c r="B48" s="4"/>
      <c r="C48" s="4" t="b">
        <v>0</v>
      </c>
      <c r="D48" s="4"/>
      <c r="E48" s="4" t="b">
        <v>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">
      <c r="A49" s="4">
        <v>46</v>
      </c>
      <c r="B49" s="4"/>
      <c r="C49" s="4" t="b">
        <v>0</v>
      </c>
      <c r="D49" s="4"/>
      <c r="E49" s="4" t="b">
        <v>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">
      <c r="A50" s="4">
        <v>47</v>
      </c>
      <c r="B50" s="4"/>
      <c r="C50" s="4" t="b">
        <v>0</v>
      </c>
      <c r="D50" s="4"/>
      <c r="E50" s="4" t="b"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">
      <c r="A51" s="4">
        <v>48</v>
      </c>
      <c r="B51" s="4"/>
      <c r="C51" s="4" t="b">
        <v>0</v>
      </c>
      <c r="D51" s="4"/>
      <c r="E51" s="4" t="b">
        <v>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">
      <c r="A52" s="4">
        <v>49</v>
      </c>
      <c r="B52" s="4"/>
      <c r="C52" s="4" t="b">
        <v>0</v>
      </c>
      <c r="D52" s="4"/>
      <c r="E52" s="4" t="b">
        <v>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">
      <c r="A53" s="4">
        <v>50</v>
      </c>
      <c r="B53" s="4"/>
      <c r="C53" s="4" t="b">
        <v>0</v>
      </c>
      <c r="D53" s="4"/>
      <c r="E53" s="4" t="b"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">
      <c r="A54" s="4">
        <v>51</v>
      </c>
      <c r="B54" s="4"/>
      <c r="C54" s="4" t="b">
        <v>0</v>
      </c>
      <c r="D54" s="4"/>
      <c r="E54" s="4" t="b">
        <v>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">
      <c r="A55" s="4">
        <v>52</v>
      </c>
      <c r="B55" s="4"/>
      <c r="C55" s="4" t="b">
        <v>0</v>
      </c>
      <c r="D55" s="4"/>
      <c r="E55" s="4" t="b"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">
      <c r="A56" s="4">
        <v>53</v>
      </c>
      <c r="B56" s="4"/>
      <c r="C56" s="4" t="b">
        <v>0</v>
      </c>
      <c r="D56" s="4"/>
      <c r="E56" s="4" t="b">
        <v>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">
      <c r="A57" s="4">
        <v>54</v>
      </c>
      <c r="B57" s="4"/>
      <c r="C57" s="4" t="b">
        <v>0</v>
      </c>
      <c r="D57" s="4"/>
      <c r="E57" s="4" t="b">
        <v>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">
      <c r="A58" s="4">
        <v>55</v>
      </c>
      <c r="B58" s="4"/>
      <c r="C58" s="4" t="b">
        <v>0</v>
      </c>
      <c r="D58" s="4"/>
      <c r="E58" s="4" t="b"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">
      <c r="A59" s="4">
        <v>56</v>
      </c>
      <c r="B59" s="4"/>
      <c r="C59" s="4" t="b">
        <v>0</v>
      </c>
      <c r="D59" s="4"/>
      <c r="E59" s="4" t="b">
        <v>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">
      <c r="A60" s="4">
        <v>57</v>
      </c>
      <c r="B60" s="4"/>
      <c r="C60" s="4" t="b">
        <v>0</v>
      </c>
      <c r="D60" s="4"/>
      <c r="E60" s="4" t="b"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">
      <c r="A61" s="4">
        <v>58</v>
      </c>
      <c r="B61" s="4"/>
      <c r="C61" s="4" t="b">
        <v>0</v>
      </c>
      <c r="D61" s="4"/>
      <c r="E61" s="4" t="b">
        <v>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">
      <c r="A62" s="4">
        <v>59</v>
      </c>
      <c r="B62" s="4"/>
      <c r="C62" s="4" t="b">
        <v>0</v>
      </c>
      <c r="D62" s="4"/>
      <c r="E62" s="4" t="b">
        <v>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">
      <c r="A63" s="4">
        <v>60</v>
      </c>
      <c r="B63" s="4"/>
      <c r="C63" s="4" t="b">
        <v>0</v>
      </c>
      <c r="D63" s="4"/>
      <c r="E63" s="4" t="b">
        <v>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">
      <c r="A64" s="4">
        <v>61</v>
      </c>
      <c r="B64" s="4"/>
      <c r="C64" s="4" t="b">
        <v>0</v>
      </c>
      <c r="D64" s="4"/>
      <c r="E64" s="4" t="b">
        <v>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">
      <c r="A65" s="4">
        <v>62</v>
      </c>
      <c r="B65" s="4"/>
      <c r="C65" s="4" t="b">
        <v>0</v>
      </c>
      <c r="D65" s="4"/>
      <c r="E65" s="4" t="b"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">
      <c r="A66" s="4">
        <v>63</v>
      </c>
      <c r="B66" s="4"/>
      <c r="C66" s="4" t="b">
        <v>0</v>
      </c>
      <c r="D66" s="4"/>
      <c r="E66" s="4" t="b">
        <v>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">
      <c r="A67" s="4">
        <v>64</v>
      </c>
      <c r="B67" s="4"/>
      <c r="C67" s="4" t="b">
        <v>0</v>
      </c>
      <c r="D67" s="4"/>
      <c r="E67" s="4" t="b">
        <v>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">
      <c r="A68" s="4">
        <v>65</v>
      </c>
      <c r="B68" s="4"/>
      <c r="C68" s="4" t="b">
        <v>0</v>
      </c>
      <c r="D68" s="4"/>
      <c r="E68" s="4" t="b">
        <v>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">
      <c r="A69" s="4">
        <v>66</v>
      </c>
      <c r="B69" s="4"/>
      <c r="C69" s="4" t="b">
        <v>0</v>
      </c>
      <c r="D69" s="4"/>
      <c r="E69" s="4" t="b">
        <v>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">
      <c r="A70" s="4">
        <v>67</v>
      </c>
      <c r="B70" s="4"/>
      <c r="C70" s="4" t="b">
        <v>0</v>
      </c>
      <c r="D70" s="4"/>
      <c r="E70" s="4" t="b"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2">
      <c r="A71" s="4">
        <v>68</v>
      </c>
      <c r="B71" s="4"/>
      <c r="C71" s="4" t="b">
        <v>0</v>
      </c>
      <c r="D71" s="4"/>
      <c r="E71" s="4" t="b">
        <v>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2">
      <c r="A72" s="4">
        <v>69</v>
      </c>
      <c r="B72" s="4"/>
      <c r="C72" s="4" t="b">
        <v>0</v>
      </c>
      <c r="D72" s="4"/>
      <c r="E72" s="4" t="b">
        <v>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2">
      <c r="A73" s="4">
        <v>70</v>
      </c>
      <c r="B73" s="4"/>
      <c r="C73" s="4" t="b">
        <v>0</v>
      </c>
      <c r="D73" s="4"/>
      <c r="E73" s="4" t="b">
        <v>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2">
      <c r="A74" s="4">
        <v>71</v>
      </c>
      <c r="B74" s="4"/>
      <c r="C74" s="4" t="b">
        <v>0</v>
      </c>
      <c r="D74" s="4"/>
      <c r="E74" s="4" t="b">
        <v>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2">
      <c r="A75" s="4">
        <v>72</v>
      </c>
      <c r="B75" s="4"/>
      <c r="C75" s="4" t="b">
        <v>0</v>
      </c>
      <c r="D75" s="4"/>
      <c r="E75" s="4" t="b"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2">
      <c r="A76" s="4">
        <v>73</v>
      </c>
      <c r="B76" s="4"/>
      <c r="C76" s="4" t="b">
        <v>0</v>
      </c>
      <c r="D76" s="4"/>
      <c r="E76" s="4" t="b">
        <v>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2">
      <c r="A77" s="4">
        <v>74</v>
      </c>
      <c r="B77" s="4"/>
      <c r="C77" s="4" t="b">
        <v>0</v>
      </c>
      <c r="D77" s="4"/>
      <c r="E77" s="4" t="b">
        <v>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2">
      <c r="A78" s="4">
        <v>75</v>
      </c>
      <c r="B78" s="4"/>
      <c r="C78" s="4" t="b">
        <v>0</v>
      </c>
      <c r="D78" s="4"/>
      <c r="E78" s="4" t="b">
        <v>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2">
      <c r="A79" s="4">
        <v>76</v>
      </c>
      <c r="B79" s="4"/>
      <c r="C79" s="4" t="b">
        <v>0</v>
      </c>
      <c r="D79" s="4"/>
      <c r="E79" s="4" t="b">
        <v>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2">
      <c r="A80" s="4">
        <v>77</v>
      </c>
      <c r="B80" s="4"/>
      <c r="C80" s="4" t="b">
        <v>0</v>
      </c>
      <c r="D80" s="4"/>
      <c r="E80" s="4" t="b"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x14ac:dyDescent="0.2">
      <c r="A81" s="4">
        <v>78</v>
      </c>
      <c r="B81" s="4"/>
      <c r="C81" s="4" t="b">
        <v>0</v>
      </c>
      <c r="D81" s="4"/>
      <c r="E81" s="4" t="b">
        <v>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x14ac:dyDescent="0.2">
      <c r="A82" s="4">
        <v>79</v>
      </c>
      <c r="B82" s="4"/>
      <c r="C82" s="4" t="b">
        <v>0</v>
      </c>
      <c r="D82" s="4"/>
      <c r="E82" s="4" t="b"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x14ac:dyDescent="0.2">
      <c r="A83" s="4">
        <v>80</v>
      </c>
      <c r="B83" s="4"/>
      <c r="C83" s="4" t="b">
        <v>0</v>
      </c>
      <c r="D83" s="4"/>
      <c r="E83" s="4" t="b">
        <v>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x14ac:dyDescent="0.2">
      <c r="A84" s="4">
        <v>81</v>
      </c>
      <c r="B84" s="4"/>
      <c r="C84" s="4" t="b">
        <v>0</v>
      </c>
      <c r="D84" s="4"/>
      <c r="E84" s="4" t="b"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x14ac:dyDescent="0.2">
      <c r="A85" s="4">
        <v>82</v>
      </c>
      <c r="B85" s="4"/>
      <c r="C85" s="4" t="b">
        <v>0</v>
      </c>
      <c r="D85" s="4"/>
      <c r="E85" s="4" t="b"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x14ac:dyDescent="0.2">
      <c r="A86" s="4">
        <v>83</v>
      </c>
      <c r="B86" s="4"/>
      <c r="C86" s="4" t="b">
        <v>0</v>
      </c>
      <c r="D86" s="4"/>
      <c r="E86" s="4" t="b">
        <v>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x14ac:dyDescent="0.2">
      <c r="A87" s="4">
        <v>84</v>
      </c>
      <c r="B87" s="4"/>
      <c r="C87" s="4" t="b">
        <v>0</v>
      </c>
      <c r="D87" s="4"/>
      <c r="E87" s="4" t="b"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x14ac:dyDescent="0.2">
      <c r="A88" s="4">
        <v>85</v>
      </c>
      <c r="B88" s="4"/>
      <c r="C88" s="4" t="b">
        <v>0</v>
      </c>
      <c r="D88" s="4"/>
      <c r="E88" s="4" t="b">
        <v>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x14ac:dyDescent="0.2">
      <c r="A89" s="4">
        <v>86</v>
      </c>
      <c r="B89" s="4"/>
      <c r="C89" s="4" t="b">
        <v>0</v>
      </c>
      <c r="D89" s="4"/>
      <c r="E89" s="4" t="b">
        <v>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x14ac:dyDescent="0.2">
      <c r="A90" s="4">
        <v>87</v>
      </c>
      <c r="B90" s="4"/>
      <c r="C90" s="4" t="b">
        <v>0</v>
      </c>
      <c r="D90" s="4"/>
      <c r="E90" s="4" t="b"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x14ac:dyDescent="0.2">
      <c r="A91" s="4">
        <v>88</v>
      </c>
      <c r="B91" s="4"/>
      <c r="C91" s="4" t="b">
        <v>0</v>
      </c>
      <c r="D91" s="4"/>
      <c r="E91" s="4" t="b">
        <v>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x14ac:dyDescent="0.2">
      <c r="A92" s="4">
        <v>89</v>
      </c>
      <c r="B92" s="4"/>
      <c r="C92" s="4" t="b">
        <v>0</v>
      </c>
      <c r="D92" s="4"/>
      <c r="E92" s="4" t="b">
        <v>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x14ac:dyDescent="0.2">
      <c r="A93" s="4">
        <v>90</v>
      </c>
      <c r="B93" s="4"/>
      <c r="C93" s="4" t="b">
        <v>0</v>
      </c>
      <c r="D93" s="4"/>
      <c r="E93" s="4" t="b">
        <v>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x14ac:dyDescent="0.2">
      <c r="A94" s="4">
        <v>91</v>
      </c>
      <c r="B94" s="4"/>
      <c r="C94" s="4" t="b">
        <v>0</v>
      </c>
      <c r="D94" s="4"/>
      <c r="E94" s="4" t="b">
        <v>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x14ac:dyDescent="0.2">
      <c r="A95" s="4">
        <v>92</v>
      </c>
      <c r="B95" s="4"/>
      <c r="C95" s="4" t="b">
        <v>0</v>
      </c>
      <c r="D95" s="4"/>
      <c r="E95" s="4" t="b"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x14ac:dyDescent="0.2">
      <c r="A96" s="4">
        <v>93</v>
      </c>
      <c r="B96" s="4"/>
      <c r="C96" s="4" t="b">
        <v>0</v>
      </c>
      <c r="D96" s="4"/>
      <c r="E96" s="4" t="b"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x14ac:dyDescent="0.2">
      <c r="A97" s="4">
        <v>94</v>
      </c>
      <c r="B97" s="4"/>
      <c r="C97" s="4" t="b">
        <v>0</v>
      </c>
      <c r="D97" s="4"/>
      <c r="E97" s="4" t="b">
        <v>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x14ac:dyDescent="0.2">
      <c r="A98" s="4">
        <v>95</v>
      </c>
      <c r="B98" s="4"/>
      <c r="C98" s="4" t="b">
        <v>0</v>
      </c>
      <c r="D98" s="4"/>
      <c r="E98" s="4" t="b"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x14ac:dyDescent="0.2">
      <c r="A99" s="4">
        <v>96</v>
      </c>
      <c r="B99" s="4"/>
      <c r="C99" s="4" t="b">
        <v>0</v>
      </c>
      <c r="D99" s="4"/>
      <c r="E99" s="4" t="b">
        <v>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x14ac:dyDescent="0.2">
      <c r="A100" s="4">
        <v>97</v>
      </c>
      <c r="B100" s="4"/>
      <c r="C100" s="4" t="b">
        <v>0</v>
      </c>
      <c r="D100" s="4"/>
      <c r="E100" s="4" t="b"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x14ac:dyDescent="0.2">
      <c r="A101" s="4">
        <v>98</v>
      </c>
      <c r="B101" s="4"/>
      <c r="C101" s="4" t="b">
        <v>0</v>
      </c>
      <c r="D101" s="4"/>
      <c r="E101" s="4" t="b"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x14ac:dyDescent="0.2">
      <c r="A102" s="4">
        <v>99</v>
      </c>
      <c r="B102" s="4"/>
      <c r="C102" s="4" t="b">
        <v>0</v>
      </c>
      <c r="D102" s="4"/>
      <c r="E102" s="4" t="b">
        <v>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x14ac:dyDescent="0.2">
      <c r="A103" s="4">
        <v>100</v>
      </c>
      <c r="B103" s="4"/>
      <c r="C103" s="4" t="b">
        <v>0</v>
      </c>
      <c r="D103" s="4"/>
      <c r="E103" s="4" t="b">
        <v>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x14ac:dyDescent="0.2">
      <c r="A104" s="4">
        <v>101</v>
      </c>
      <c r="B104" s="4"/>
      <c r="C104" s="4" t="b">
        <v>0</v>
      </c>
      <c r="D104" s="4"/>
      <c r="E104" s="4" t="b">
        <v>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x14ac:dyDescent="0.2">
      <c r="A105" s="4">
        <v>102</v>
      </c>
      <c r="B105" s="4"/>
      <c r="C105" s="4" t="b">
        <v>0</v>
      </c>
      <c r="D105" s="4"/>
      <c r="E105" s="4" t="b"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x14ac:dyDescent="0.2">
      <c r="A106" s="4">
        <v>103</v>
      </c>
      <c r="B106" s="4"/>
      <c r="C106" s="4" t="b">
        <v>0</v>
      </c>
      <c r="D106" s="4"/>
      <c r="E106" s="4" t="b">
        <v>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x14ac:dyDescent="0.2">
      <c r="A107" s="4">
        <v>104</v>
      </c>
      <c r="B107" s="4"/>
      <c r="C107" s="4" t="b">
        <v>0</v>
      </c>
      <c r="D107" s="4"/>
      <c r="E107" s="4" t="b">
        <v>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x14ac:dyDescent="0.2">
      <c r="A108" s="4">
        <v>105</v>
      </c>
      <c r="B108" s="4"/>
      <c r="C108" s="4" t="b">
        <v>0</v>
      </c>
      <c r="D108" s="4"/>
      <c r="E108" s="4" t="b">
        <v>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x14ac:dyDescent="0.2">
      <c r="A109" s="4">
        <v>106</v>
      </c>
      <c r="B109" s="4"/>
      <c r="C109" s="4" t="b">
        <v>0</v>
      </c>
      <c r="D109" s="4"/>
      <c r="E109" s="4" t="b">
        <v>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x14ac:dyDescent="0.2">
      <c r="A110" s="4">
        <v>107</v>
      </c>
      <c r="B110" s="4"/>
      <c r="C110" s="4" t="b">
        <v>0</v>
      </c>
      <c r="D110" s="4"/>
      <c r="E110" s="4" t="b"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x14ac:dyDescent="0.2">
      <c r="A111" s="4">
        <v>108</v>
      </c>
      <c r="B111" s="4"/>
      <c r="C111" s="4" t="b">
        <v>0</v>
      </c>
      <c r="D111" s="4"/>
      <c r="E111" s="4" t="b">
        <v>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x14ac:dyDescent="0.2">
      <c r="A112" s="4">
        <v>109</v>
      </c>
      <c r="B112" s="4"/>
      <c r="C112" s="4" t="b">
        <v>0</v>
      </c>
      <c r="D112" s="4"/>
      <c r="E112" s="4" t="b">
        <v>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x14ac:dyDescent="0.2">
      <c r="A113" s="4">
        <v>110</v>
      </c>
      <c r="B113" s="4"/>
      <c r="C113" s="4" t="b">
        <v>0</v>
      </c>
      <c r="D113" s="4"/>
      <c r="E113" s="4" t="b">
        <v>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x14ac:dyDescent="0.2">
      <c r="A114" s="4">
        <v>111</v>
      </c>
      <c r="B114" s="4"/>
      <c r="C114" s="4" t="b">
        <v>0</v>
      </c>
      <c r="D114" s="4"/>
      <c r="E114" s="4" t="b">
        <v>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x14ac:dyDescent="0.2">
      <c r="A115" s="4">
        <v>112</v>
      </c>
      <c r="B115" s="4"/>
      <c r="C115" s="4" t="b">
        <v>0</v>
      </c>
      <c r="D115" s="4"/>
      <c r="E115" s="4" t="b"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x14ac:dyDescent="0.2">
      <c r="A116" s="4">
        <v>113</v>
      </c>
      <c r="B116" s="4"/>
      <c r="C116" s="4" t="b">
        <v>0</v>
      </c>
      <c r="D116" s="4"/>
      <c r="E116" s="4" t="b">
        <v>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x14ac:dyDescent="0.2">
      <c r="A117" s="4">
        <v>114</v>
      </c>
      <c r="B117" s="4"/>
      <c r="C117" s="4" t="b">
        <v>0</v>
      </c>
      <c r="D117" s="4"/>
      <c r="E117" s="4" t="b">
        <v>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x14ac:dyDescent="0.2">
      <c r="A118" s="4">
        <v>115</v>
      </c>
      <c r="B118" s="4"/>
      <c r="C118" s="4" t="b">
        <v>0</v>
      </c>
      <c r="D118" s="4"/>
      <c r="E118" s="4" t="b">
        <v>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x14ac:dyDescent="0.2">
      <c r="A119" s="4">
        <v>116</v>
      </c>
      <c r="B119" s="4"/>
      <c r="C119" s="4" t="b">
        <v>0</v>
      </c>
      <c r="D119" s="4"/>
      <c r="E119" s="4" t="b">
        <v>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x14ac:dyDescent="0.2">
      <c r="A120" s="4">
        <v>117</v>
      </c>
      <c r="B120" s="4"/>
      <c r="C120" s="4" t="b">
        <v>0</v>
      </c>
      <c r="D120" s="4"/>
      <c r="E120" s="4" t="b"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x14ac:dyDescent="0.2">
      <c r="A121" s="4">
        <v>118</v>
      </c>
      <c r="B121" s="4"/>
      <c r="C121" s="4" t="b">
        <v>0</v>
      </c>
      <c r="D121" s="4"/>
      <c r="E121" s="4" t="b">
        <v>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x14ac:dyDescent="0.2">
      <c r="A122" s="4">
        <v>119</v>
      </c>
      <c r="B122" s="4"/>
      <c r="C122" s="4" t="b">
        <v>0</v>
      </c>
      <c r="D122" s="4"/>
      <c r="E122" s="4" t="b">
        <v>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x14ac:dyDescent="0.2">
      <c r="A123" s="4">
        <v>120</v>
      </c>
      <c r="B123" s="4"/>
      <c r="C123" s="4" t="b">
        <v>0</v>
      </c>
      <c r="D123" s="4"/>
      <c r="E123" s="4" t="b">
        <v>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x14ac:dyDescent="0.2">
      <c r="A124" s="4">
        <v>121</v>
      </c>
      <c r="B124" s="4"/>
      <c r="C124" s="4" t="b">
        <v>0</v>
      </c>
      <c r="D124" s="4"/>
      <c r="E124" s="4" t="b">
        <v>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x14ac:dyDescent="0.2">
      <c r="A125" s="4">
        <v>122</v>
      </c>
      <c r="B125" s="4"/>
      <c r="C125" s="4" t="b">
        <v>0</v>
      </c>
      <c r="D125" s="4"/>
      <c r="E125" s="4" t="b"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x14ac:dyDescent="0.2">
      <c r="A126" s="4">
        <v>123</v>
      </c>
      <c r="B126" s="4"/>
      <c r="C126" s="4" t="b">
        <v>0</v>
      </c>
      <c r="D126" s="4"/>
      <c r="E126" s="4" t="b">
        <v>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x14ac:dyDescent="0.2">
      <c r="A127" s="4">
        <v>124</v>
      </c>
      <c r="B127" s="4"/>
      <c r="C127" s="4" t="b">
        <v>0</v>
      </c>
      <c r="D127" s="4"/>
      <c r="E127" s="4" t="b">
        <v>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x14ac:dyDescent="0.2">
      <c r="A128" s="4">
        <v>125</v>
      </c>
      <c r="B128" s="4"/>
      <c r="C128" s="4" t="b">
        <v>0</v>
      </c>
      <c r="D128" s="4"/>
      <c r="E128" s="4" t="b">
        <v>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x14ac:dyDescent="0.2">
      <c r="A129" s="4">
        <v>126</v>
      </c>
      <c r="B129" s="4"/>
      <c r="C129" s="4" t="b">
        <v>0</v>
      </c>
      <c r="D129" s="4"/>
      <c r="E129" s="4" t="b">
        <v>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x14ac:dyDescent="0.2">
      <c r="A130" s="4">
        <v>127</v>
      </c>
      <c r="B130" s="4"/>
      <c r="C130" s="4" t="b">
        <v>0</v>
      </c>
      <c r="D130" s="4"/>
      <c r="E130" s="4" t="b"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x14ac:dyDescent="0.2">
      <c r="A131" s="4">
        <v>128</v>
      </c>
      <c r="B131" s="4"/>
      <c r="C131" s="4" t="b">
        <v>0</v>
      </c>
      <c r="D131" s="4"/>
      <c r="E131" s="4" t="b">
        <v>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x14ac:dyDescent="0.2">
      <c r="A132" s="4">
        <v>129</v>
      </c>
      <c r="B132" s="4"/>
      <c r="C132" s="4" t="b">
        <v>0</v>
      </c>
      <c r="D132" s="4"/>
      <c r="E132" s="4" t="b">
        <v>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x14ac:dyDescent="0.2">
      <c r="A133" s="4">
        <v>130</v>
      </c>
      <c r="B133" s="4"/>
      <c r="C133" s="4" t="b">
        <v>0</v>
      </c>
      <c r="D133" s="4"/>
      <c r="E133" s="4" t="b">
        <v>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x14ac:dyDescent="0.2">
      <c r="A134" s="4">
        <v>131</v>
      </c>
      <c r="B134" s="4"/>
      <c r="C134" s="4" t="b">
        <v>0</v>
      </c>
      <c r="D134" s="4"/>
      <c r="E134" s="4" t="b">
        <v>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x14ac:dyDescent="0.2">
      <c r="A135" s="4">
        <v>132</v>
      </c>
      <c r="B135" s="4"/>
      <c r="C135" s="4" t="b">
        <v>0</v>
      </c>
      <c r="D135" s="4"/>
      <c r="E135" s="4" t="b">
        <v>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x14ac:dyDescent="0.2">
      <c r="A136" s="4">
        <v>133</v>
      </c>
      <c r="B136" s="4"/>
      <c r="C136" s="4" t="b">
        <v>0</v>
      </c>
      <c r="D136" s="4"/>
      <c r="E136" s="4" t="b">
        <v>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x14ac:dyDescent="0.2">
      <c r="A137" s="4">
        <v>134</v>
      </c>
      <c r="B137" s="4"/>
      <c r="C137" s="4" t="b">
        <v>0</v>
      </c>
      <c r="D137" s="4"/>
      <c r="E137" s="4" t="b">
        <v>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x14ac:dyDescent="0.2">
      <c r="A138" s="4">
        <v>135</v>
      </c>
      <c r="B138" s="4"/>
      <c r="C138" s="4" t="b">
        <v>0</v>
      </c>
      <c r="D138" s="4"/>
      <c r="E138" s="4" t="b">
        <v>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x14ac:dyDescent="0.2">
      <c r="A139" s="4">
        <v>136</v>
      </c>
      <c r="B139" s="4"/>
      <c r="C139" s="4" t="b">
        <v>0</v>
      </c>
      <c r="D139" s="4"/>
      <c r="E139" s="4" t="b">
        <v>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x14ac:dyDescent="0.2">
      <c r="A140" s="4">
        <v>137</v>
      </c>
      <c r="B140" s="4"/>
      <c r="C140" s="4" t="b">
        <v>0</v>
      </c>
      <c r="D140" s="4"/>
      <c r="E140" s="4" t="b"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x14ac:dyDescent="0.2">
      <c r="A141" s="4">
        <v>138</v>
      </c>
      <c r="B141" s="4"/>
      <c r="C141" s="4" t="b">
        <v>0</v>
      </c>
      <c r="D141" s="4"/>
      <c r="E141" s="4" t="b">
        <v>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x14ac:dyDescent="0.2">
      <c r="A142" s="4">
        <v>139</v>
      </c>
      <c r="B142" s="4"/>
      <c r="C142" s="4" t="b">
        <v>0</v>
      </c>
      <c r="D142" s="4"/>
      <c r="E142" s="4" t="b">
        <v>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x14ac:dyDescent="0.2">
      <c r="A143" s="4">
        <v>140</v>
      </c>
      <c r="B143" s="4"/>
      <c r="C143" s="4" t="b">
        <v>0</v>
      </c>
      <c r="D143" s="4"/>
      <c r="E143" s="4" t="b">
        <v>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x14ac:dyDescent="0.2">
      <c r="A144" s="4">
        <v>141</v>
      </c>
      <c r="B144" s="4"/>
      <c r="C144" s="4" t="b">
        <v>0</v>
      </c>
      <c r="D144" s="4"/>
      <c r="E144" s="4" t="b">
        <v>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x14ac:dyDescent="0.2">
      <c r="A145" s="4">
        <v>142</v>
      </c>
      <c r="B145" s="4"/>
      <c r="C145" s="4" t="b">
        <v>0</v>
      </c>
      <c r="D145" s="4"/>
      <c r="E145" s="4" t="b"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x14ac:dyDescent="0.2">
      <c r="A146" s="4">
        <v>143</v>
      </c>
      <c r="B146" s="4"/>
      <c r="C146" s="4" t="b">
        <v>0</v>
      </c>
      <c r="D146" s="4"/>
      <c r="E146" s="4" t="b">
        <v>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x14ac:dyDescent="0.2">
      <c r="A147" s="4">
        <v>144</v>
      </c>
      <c r="B147" s="4"/>
      <c r="C147" s="4" t="b">
        <v>0</v>
      </c>
      <c r="D147" s="4"/>
      <c r="E147" s="4" t="b">
        <v>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x14ac:dyDescent="0.2">
      <c r="A148" s="4">
        <v>145</v>
      </c>
      <c r="B148" s="4"/>
      <c r="C148" s="4" t="b">
        <v>0</v>
      </c>
      <c r="D148" s="4"/>
      <c r="E148" s="4" t="b">
        <v>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x14ac:dyDescent="0.2">
      <c r="A149" s="4">
        <v>146</v>
      </c>
      <c r="B149" s="4"/>
      <c r="C149" s="4" t="b">
        <v>0</v>
      </c>
      <c r="D149" s="4"/>
      <c r="E149" s="4" t="b">
        <v>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x14ac:dyDescent="0.2">
      <c r="A150" s="4">
        <v>147</v>
      </c>
      <c r="B150" s="4"/>
      <c r="C150" s="4" t="b">
        <v>0</v>
      </c>
      <c r="D150" s="4"/>
      <c r="E150" s="4" t="b"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x14ac:dyDescent="0.2">
      <c r="A151" s="4">
        <v>148</v>
      </c>
      <c r="B151" s="4"/>
      <c r="C151" s="4" t="b">
        <v>0</v>
      </c>
      <c r="D151" s="4"/>
      <c r="E151" s="4" t="b">
        <v>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x14ac:dyDescent="0.2">
      <c r="A152" s="4">
        <v>149</v>
      </c>
      <c r="B152" s="4"/>
      <c r="C152" s="4" t="b">
        <v>0</v>
      </c>
      <c r="D152" s="4"/>
      <c r="E152" s="4" t="b">
        <v>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x14ac:dyDescent="0.2">
      <c r="A153" s="4">
        <v>150</v>
      </c>
      <c r="B153" s="4"/>
      <c r="C153" s="4" t="b">
        <v>0</v>
      </c>
      <c r="D153" s="4"/>
      <c r="E153" s="4" t="b">
        <v>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x14ac:dyDescent="0.2">
      <c r="A154" s="4">
        <v>151</v>
      </c>
      <c r="B154" s="4"/>
      <c r="C154" s="4" t="b">
        <v>0</v>
      </c>
      <c r="D154" s="4"/>
      <c r="E154" s="4" t="b">
        <v>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x14ac:dyDescent="0.2">
      <c r="A155" s="4">
        <v>152</v>
      </c>
      <c r="B155" s="4"/>
      <c r="C155" s="4" t="b">
        <v>0</v>
      </c>
      <c r="D155" s="4"/>
      <c r="E155" s="4" t="b"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x14ac:dyDescent="0.2">
      <c r="A156" s="4">
        <v>153</v>
      </c>
      <c r="B156" s="4"/>
      <c r="C156" s="4" t="b">
        <v>0</v>
      </c>
      <c r="D156" s="4"/>
      <c r="E156" s="4" t="b">
        <v>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x14ac:dyDescent="0.2">
      <c r="A157" s="4">
        <v>154</v>
      </c>
      <c r="B157" s="4"/>
      <c r="C157" s="4" t="b">
        <v>0</v>
      </c>
      <c r="D157" s="4"/>
      <c r="E157" s="4" t="b">
        <v>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x14ac:dyDescent="0.2">
      <c r="A158" s="4">
        <v>155</v>
      </c>
      <c r="B158" s="4"/>
      <c r="C158" s="4" t="b">
        <v>0</v>
      </c>
      <c r="D158" s="4"/>
      <c r="E158" s="4" t="b">
        <v>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x14ac:dyDescent="0.2">
      <c r="A159" s="4">
        <v>156</v>
      </c>
      <c r="B159" s="4"/>
      <c r="C159" s="4" t="b">
        <v>0</v>
      </c>
      <c r="D159" s="4"/>
      <c r="E159" s="4" t="b">
        <v>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x14ac:dyDescent="0.2">
      <c r="A160" s="4">
        <v>157</v>
      </c>
      <c r="B160" s="4"/>
      <c r="C160" s="4" t="b">
        <v>0</v>
      </c>
      <c r="D160" s="4"/>
      <c r="E160" s="4" t="b"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x14ac:dyDescent="0.2">
      <c r="A161" s="4">
        <v>158</v>
      </c>
      <c r="B161" s="4"/>
      <c r="C161" s="4" t="b">
        <v>0</v>
      </c>
      <c r="D161" s="4"/>
      <c r="E161" s="4" t="b">
        <v>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x14ac:dyDescent="0.2">
      <c r="A162" s="4">
        <v>159</v>
      </c>
      <c r="B162" s="4"/>
      <c r="C162" s="4" t="b">
        <v>0</v>
      </c>
      <c r="D162" s="4"/>
      <c r="E162" s="4" t="b">
        <v>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x14ac:dyDescent="0.2">
      <c r="A163" s="4">
        <v>160</v>
      </c>
      <c r="B163" s="4"/>
      <c r="C163" s="4" t="b">
        <v>0</v>
      </c>
      <c r="D163" s="4"/>
      <c r="E163" s="4" t="b">
        <v>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x14ac:dyDescent="0.2">
      <c r="A164" s="4">
        <v>161</v>
      </c>
      <c r="B164" s="4"/>
      <c r="C164" s="4" t="b">
        <v>0</v>
      </c>
      <c r="D164" s="4"/>
      <c r="E164" s="4" t="b">
        <v>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x14ac:dyDescent="0.2">
      <c r="A165" s="4">
        <v>162</v>
      </c>
      <c r="B165" s="4"/>
      <c r="C165" s="4" t="b">
        <v>0</v>
      </c>
      <c r="D165" s="4"/>
      <c r="E165" s="4" t="b"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x14ac:dyDescent="0.2">
      <c r="A166" s="4">
        <v>163</v>
      </c>
      <c r="B166" s="4"/>
      <c r="C166" s="4" t="b">
        <v>0</v>
      </c>
      <c r="D166" s="4"/>
      <c r="E166" s="4" t="b">
        <v>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x14ac:dyDescent="0.2">
      <c r="A167" s="4">
        <v>164</v>
      </c>
      <c r="B167" s="4"/>
      <c r="C167" s="4" t="b">
        <v>0</v>
      </c>
      <c r="D167" s="4"/>
      <c r="E167" s="4" t="b">
        <v>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x14ac:dyDescent="0.2">
      <c r="A168" s="4">
        <v>165</v>
      </c>
      <c r="B168" s="4"/>
      <c r="C168" s="4" t="b">
        <v>0</v>
      </c>
      <c r="D168" s="4"/>
      <c r="E168" s="4" t="b">
        <v>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x14ac:dyDescent="0.2">
      <c r="A169" s="4">
        <v>166</v>
      </c>
      <c r="B169" s="4"/>
      <c r="C169" s="4" t="b">
        <v>0</v>
      </c>
      <c r="D169" s="4"/>
      <c r="E169" s="4" t="b">
        <v>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x14ac:dyDescent="0.2">
      <c r="A170" s="4">
        <v>167</v>
      </c>
      <c r="B170" s="4"/>
      <c r="C170" s="4" t="b">
        <v>0</v>
      </c>
      <c r="D170" s="4"/>
      <c r="E170" s="4" t="b"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x14ac:dyDescent="0.2">
      <c r="A171" s="4">
        <v>168</v>
      </c>
      <c r="B171" s="4"/>
      <c r="C171" s="4" t="b">
        <v>0</v>
      </c>
      <c r="D171" s="4"/>
      <c r="E171" s="4" t="b">
        <v>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x14ac:dyDescent="0.2">
      <c r="A172" s="4">
        <v>169</v>
      </c>
      <c r="B172" s="4"/>
      <c r="C172" s="4" t="b">
        <v>0</v>
      </c>
      <c r="D172" s="4"/>
      <c r="E172" s="4" t="b">
        <v>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x14ac:dyDescent="0.2">
      <c r="A173" s="4">
        <v>170</v>
      </c>
      <c r="B173" s="4"/>
      <c r="C173" s="4" t="b">
        <v>0</v>
      </c>
      <c r="D173" s="4"/>
      <c r="E173" s="4" t="b">
        <v>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x14ac:dyDescent="0.2">
      <c r="A174" s="4">
        <v>171</v>
      </c>
      <c r="B174" s="4"/>
      <c r="C174" s="4" t="b">
        <v>0</v>
      </c>
      <c r="D174" s="4"/>
      <c r="E174" s="4" t="b">
        <v>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x14ac:dyDescent="0.2">
      <c r="A175" s="4">
        <v>172</v>
      </c>
      <c r="B175" s="4"/>
      <c r="C175" s="4" t="b">
        <v>0</v>
      </c>
      <c r="D175" s="4"/>
      <c r="E175" s="4" t="b"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x14ac:dyDescent="0.2">
      <c r="A176" s="4">
        <v>173</v>
      </c>
      <c r="B176" s="4"/>
      <c r="C176" s="4" t="b">
        <v>0</v>
      </c>
      <c r="D176" s="4"/>
      <c r="E176" s="4" t="b">
        <v>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x14ac:dyDescent="0.2">
      <c r="A177" s="4">
        <v>174</v>
      </c>
      <c r="B177" s="4"/>
      <c r="C177" s="4" t="b">
        <v>0</v>
      </c>
      <c r="D177" s="4"/>
      <c r="E177" s="4" t="b">
        <v>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x14ac:dyDescent="0.2">
      <c r="A178" s="4">
        <v>175</v>
      </c>
      <c r="B178" s="4"/>
      <c r="C178" s="4" t="b">
        <v>0</v>
      </c>
      <c r="D178" s="4"/>
      <c r="E178" s="4" t="b">
        <v>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x14ac:dyDescent="0.2">
      <c r="A179" s="4">
        <v>176</v>
      </c>
      <c r="B179" s="4"/>
      <c r="C179" s="4" t="b">
        <v>0</v>
      </c>
      <c r="D179" s="4"/>
      <c r="E179" s="4" t="b">
        <v>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x14ac:dyDescent="0.2">
      <c r="A180" s="4">
        <v>177</v>
      </c>
      <c r="B180" s="4"/>
      <c r="C180" s="4" t="b">
        <v>0</v>
      </c>
      <c r="D180" s="4"/>
      <c r="E180" s="4" t="b"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x14ac:dyDescent="0.2">
      <c r="A181" s="4">
        <v>178</v>
      </c>
      <c r="B181" s="4"/>
      <c r="C181" s="4" t="b">
        <v>0</v>
      </c>
      <c r="D181" s="4"/>
      <c r="E181" s="4" t="b"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x14ac:dyDescent="0.2">
      <c r="A182" s="4">
        <v>179</v>
      </c>
      <c r="B182" s="4"/>
      <c r="C182" s="4" t="b">
        <v>0</v>
      </c>
      <c r="D182" s="4"/>
      <c r="E182" s="4" t="b">
        <v>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x14ac:dyDescent="0.2">
      <c r="A183" s="4">
        <v>180</v>
      </c>
      <c r="B183" s="4"/>
      <c r="C183" s="4" t="b">
        <v>0</v>
      </c>
      <c r="D183" s="4"/>
      <c r="E183" s="4" t="b">
        <v>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x14ac:dyDescent="0.2">
      <c r="A184" s="4">
        <v>181</v>
      </c>
      <c r="B184" s="4"/>
      <c r="C184" s="4" t="b">
        <v>0</v>
      </c>
      <c r="D184" s="4"/>
      <c r="E184" s="4" t="b">
        <v>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x14ac:dyDescent="0.2">
      <c r="A185" s="4">
        <v>182</v>
      </c>
      <c r="B185" s="4"/>
      <c r="C185" s="4" t="b">
        <v>0</v>
      </c>
      <c r="D185" s="4"/>
      <c r="E185" s="4" t="b"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x14ac:dyDescent="0.2">
      <c r="A186" s="4">
        <v>183</v>
      </c>
      <c r="B186" s="4"/>
      <c r="C186" s="4" t="b">
        <v>0</v>
      </c>
      <c r="D186" s="4"/>
      <c r="E186" s="4" t="b">
        <v>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x14ac:dyDescent="0.2">
      <c r="A187" s="4">
        <v>184</v>
      </c>
      <c r="B187" s="4"/>
      <c r="C187" s="4" t="b">
        <v>0</v>
      </c>
      <c r="D187" s="4"/>
      <c r="E187" s="4" t="b">
        <v>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x14ac:dyDescent="0.2">
      <c r="A188" s="4">
        <v>185</v>
      </c>
      <c r="B188" s="4"/>
      <c r="C188" s="4" t="b">
        <v>0</v>
      </c>
      <c r="D188" s="4"/>
      <c r="E188" s="4" t="b">
        <v>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x14ac:dyDescent="0.2">
      <c r="A189" s="4">
        <v>186</v>
      </c>
      <c r="B189" s="4"/>
      <c r="C189" s="4" t="b">
        <v>0</v>
      </c>
      <c r="D189" s="4"/>
      <c r="E189" s="4" t="b">
        <v>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x14ac:dyDescent="0.2">
      <c r="A190" s="4">
        <v>187</v>
      </c>
      <c r="B190" s="4"/>
      <c r="C190" s="4" t="b">
        <v>0</v>
      </c>
      <c r="D190" s="4"/>
      <c r="E190" s="4" t="b"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x14ac:dyDescent="0.2">
      <c r="A191" s="4">
        <v>188</v>
      </c>
      <c r="B191" s="4"/>
      <c r="C191" s="4" t="b">
        <v>0</v>
      </c>
      <c r="D191" s="4"/>
      <c r="E191" s="4" t="b">
        <v>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x14ac:dyDescent="0.2">
      <c r="A192" s="4">
        <v>189</v>
      </c>
      <c r="B192" s="4"/>
      <c r="C192" s="4" t="b">
        <v>0</v>
      </c>
      <c r="D192" s="4"/>
      <c r="E192" s="4" t="b">
        <v>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x14ac:dyDescent="0.2">
      <c r="A193" s="4">
        <v>190</v>
      </c>
      <c r="B193" s="4"/>
      <c r="C193" s="4" t="b">
        <v>0</v>
      </c>
      <c r="D193" s="4"/>
      <c r="E193" s="4" t="b">
        <v>0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x14ac:dyDescent="0.2">
      <c r="A194" s="4">
        <v>191</v>
      </c>
      <c r="B194" s="4"/>
      <c r="C194" s="4" t="b">
        <v>0</v>
      </c>
      <c r="D194" s="4"/>
      <c r="E194" s="4" t="b">
        <v>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x14ac:dyDescent="0.2">
      <c r="A195" s="4">
        <v>192</v>
      </c>
      <c r="B195" s="4"/>
      <c r="C195" s="4" t="b">
        <v>0</v>
      </c>
      <c r="D195" s="4"/>
      <c r="E195" s="4" t="b"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x14ac:dyDescent="0.2">
      <c r="A196" s="4">
        <v>193</v>
      </c>
      <c r="B196" s="4"/>
      <c r="C196" s="4" t="b">
        <v>0</v>
      </c>
      <c r="D196" s="4"/>
      <c r="E196" s="4" t="b">
        <v>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x14ac:dyDescent="0.2">
      <c r="A197" s="4">
        <v>194</v>
      </c>
      <c r="B197" s="4"/>
      <c r="C197" s="4" t="b">
        <v>0</v>
      </c>
      <c r="D197" s="4"/>
      <c r="E197" s="4" t="b">
        <v>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x14ac:dyDescent="0.2">
      <c r="A198" s="4">
        <v>195</v>
      </c>
      <c r="B198" s="4"/>
      <c r="C198" s="4" t="b">
        <v>0</v>
      </c>
      <c r="D198" s="4"/>
      <c r="E198" s="4" t="b">
        <v>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x14ac:dyDescent="0.2">
      <c r="A199" s="4">
        <v>196</v>
      </c>
      <c r="B199" s="4"/>
      <c r="C199" s="4" t="b">
        <v>0</v>
      </c>
      <c r="D199" s="4"/>
      <c r="E199" s="4" t="b">
        <v>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x14ac:dyDescent="0.2">
      <c r="A200" s="4">
        <v>197</v>
      </c>
      <c r="B200" s="4"/>
      <c r="C200" s="4" t="b">
        <v>0</v>
      </c>
      <c r="D200" s="4"/>
      <c r="E200" s="4" t="b">
        <v>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x14ac:dyDescent="0.2">
      <c r="A201" s="4">
        <v>198</v>
      </c>
      <c r="B201" s="4"/>
      <c r="C201" s="4" t="b">
        <v>0</v>
      </c>
      <c r="D201" s="4"/>
      <c r="E201" s="4" t="b">
        <v>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x14ac:dyDescent="0.2">
      <c r="A202" s="4">
        <v>199</v>
      </c>
      <c r="B202" s="4"/>
      <c r="C202" s="4" t="b">
        <v>0</v>
      </c>
      <c r="D202" s="4"/>
      <c r="E202" s="4" t="b">
        <v>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x14ac:dyDescent="0.2">
      <c r="A203" s="4">
        <v>200</v>
      </c>
      <c r="B203" s="4"/>
      <c r="C203" s="4" t="b">
        <v>0</v>
      </c>
      <c r="D203" s="4"/>
      <c r="E203" s="4" t="b">
        <v>0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</sheetData>
  <dataValidations count="2">
    <dataValidation type="list" allowBlank="1" showErrorMessage="1" sqref="E4:E203" xr:uid="{00000000-0002-0000-0B00-000000000000}">
      <formula1>"Approved,Denied"</formula1>
    </dataValidation>
    <dataValidation type="list" allowBlank="1" showErrorMessage="1" sqref="C4:C203" xr:uid="{00000000-0002-0000-0B00-000001000000}">
      <formula1>"NO,YES"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9138"/>
    <outlinePr summaryBelow="0" summaryRight="0"/>
  </sheetPr>
  <dimension ref="A1:BA42"/>
  <sheetViews>
    <sheetView workbookViewId="0"/>
  </sheetViews>
  <sheetFormatPr defaultColWidth="12.5703125" defaultRowHeight="15.75" customHeight="1" x14ac:dyDescent="0.2"/>
  <cols>
    <col min="2" max="2" width="31" customWidth="1"/>
    <col min="3" max="4" width="21" customWidth="1"/>
    <col min="8" max="8" width="17.28515625" customWidth="1"/>
    <col min="9" max="9" width="15.85546875" customWidth="1"/>
    <col min="10" max="21" width="15.7109375" customWidth="1"/>
    <col min="22" max="22" width="15.7109375" hidden="1" customWidth="1"/>
    <col min="23" max="34" width="15.7109375" customWidth="1"/>
    <col min="35" max="35" width="15.7109375" hidden="1" customWidth="1"/>
    <col min="36" max="47" width="15.7109375" customWidth="1"/>
  </cols>
  <sheetData>
    <row r="1" spans="1:53" ht="12.75" x14ac:dyDescent="0.2">
      <c r="A1" s="1379" t="s">
        <v>376</v>
      </c>
      <c r="B1" s="1380"/>
      <c r="C1" s="1380"/>
      <c r="D1" s="1380"/>
      <c r="E1" s="1380"/>
      <c r="F1" s="1380"/>
      <c r="G1" s="1380"/>
      <c r="H1" s="1389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312"/>
      <c r="AW1" s="1043"/>
      <c r="AX1" s="1043"/>
      <c r="AY1" s="1043"/>
      <c r="AZ1" s="1043"/>
      <c r="BA1" s="1044"/>
    </row>
    <row r="2" spans="1:53" ht="12.75" x14ac:dyDescent="0.2">
      <c r="A2" s="1381"/>
      <c r="B2" s="1343"/>
      <c r="C2" s="1343"/>
      <c r="D2" s="1343"/>
      <c r="E2" s="1343"/>
      <c r="F2" s="1343"/>
      <c r="G2" s="1343"/>
      <c r="H2" s="1390"/>
      <c r="I2" s="243"/>
      <c r="J2" s="1376">
        <v>2025</v>
      </c>
      <c r="K2" s="1367"/>
      <c r="L2" s="1367"/>
      <c r="M2" s="1367"/>
      <c r="N2" s="1367"/>
      <c r="O2" s="1367"/>
      <c r="P2" s="1367"/>
      <c r="Q2" s="1367"/>
      <c r="R2" s="1367"/>
      <c r="S2" s="1367"/>
      <c r="T2" s="1367"/>
      <c r="U2" s="1368"/>
      <c r="V2" s="166"/>
      <c r="W2" s="1377">
        <v>2026</v>
      </c>
      <c r="X2" s="1367"/>
      <c r="Y2" s="1367"/>
      <c r="Z2" s="1367"/>
      <c r="AA2" s="1367"/>
      <c r="AB2" s="1367"/>
      <c r="AC2" s="1367"/>
      <c r="AD2" s="1367"/>
      <c r="AE2" s="1367"/>
      <c r="AF2" s="1367"/>
      <c r="AG2" s="1367"/>
      <c r="AH2" s="1368"/>
      <c r="AI2" s="167"/>
      <c r="AJ2" s="1376">
        <v>2027</v>
      </c>
      <c r="AK2" s="1367"/>
      <c r="AL2" s="1367"/>
      <c r="AM2" s="1367"/>
      <c r="AN2" s="1367"/>
      <c r="AO2" s="1367"/>
      <c r="AP2" s="1367"/>
      <c r="AQ2" s="1367"/>
      <c r="AR2" s="1367"/>
      <c r="AS2" s="1367"/>
      <c r="AT2" s="1367"/>
      <c r="AU2" s="1368"/>
      <c r="AV2" s="1045"/>
      <c r="AW2" s="313"/>
      <c r="AX2" s="313"/>
      <c r="AY2" s="313"/>
      <c r="AZ2" s="313"/>
      <c r="BA2" s="314"/>
    </row>
    <row r="3" spans="1:53" ht="12.75" x14ac:dyDescent="0.2">
      <c r="A3" s="1416"/>
      <c r="B3" s="1417"/>
      <c r="C3" s="1417"/>
      <c r="D3" s="1417"/>
      <c r="E3" s="1417"/>
      <c r="F3" s="1417"/>
      <c r="G3" s="1417"/>
      <c r="H3" s="1435"/>
      <c r="I3" s="243"/>
      <c r="J3" s="1378" t="s">
        <v>118</v>
      </c>
      <c r="K3" s="1367"/>
      <c r="L3" s="1368"/>
      <c r="M3" s="1371" t="s">
        <v>119</v>
      </c>
      <c r="N3" s="1367"/>
      <c r="O3" s="1368"/>
      <c r="P3" s="1371" t="s">
        <v>120</v>
      </c>
      <c r="Q3" s="1367"/>
      <c r="R3" s="1368"/>
      <c r="S3" s="1371" t="s">
        <v>121</v>
      </c>
      <c r="T3" s="1367"/>
      <c r="U3" s="1368"/>
      <c r="V3" s="174"/>
      <c r="W3" s="1378" t="s">
        <v>118</v>
      </c>
      <c r="X3" s="1367"/>
      <c r="Y3" s="1368"/>
      <c r="Z3" s="1371" t="s">
        <v>119</v>
      </c>
      <c r="AA3" s="1367"/>
      <c r="AB3" s="1368"/>
      <c r="AC3" s="1371" t="s">
        <v>120</v>
      </c>
      <c r="AD3" s="1367"/>
      <c r="AE3" s="1368"/>
      <c r="AF3" s="1371" t="s">
        <v>121</v>
      </c>
      <c r="AG3" s="1367"/>
      <c r="AH3" s="1368"/>
      <c r="AI3" s="174"/>
      <c r="AJ3" s="1378" t="s">
        <v>118</v>
      </c>
      <c r="AK3" s="1367"/>
      <c r="AL3" s="1368"/>
      <c r="AM3" s="1371" t="s">
        <v>119</v>
      </c>
      <c r="AN3" s="1367"/>
      <c r="AO3" s="1368"/>
      <c r="AP3" s="1371" t="s">
        <v>120</v>
      </c>
      <c r="AQ3" s="1367"/>
      <c r="AR3" s="1368"/>
      <c r="AS3" s="1371" t="s">
        <v>121</v>
      </c>
      <c r="AT3" s="1367"/>
      <c r="AU3" s="1368"/>
      <c r="AV3" s="1045"/>
      <c r="AW3" s="313"/>
      <c r="AX3" s="313"/>
      <c r="AY3" s="313"/>
      <c r="AZ3" s="313"/>
      <c r="BA3" s="314"/>
    </row>
    <row r="4" spans="1:53" ht="15.75" customHeight="1" x14ac:dyDescent="0.25">
      <c r="A4" s="235"/>
      <c r="B4" s="998"/>
      <c r="C4" s="998"/>
      <c r="D4" s="998"/>
      <c r="E4" s="999"/>
      <c r="F4" s="1046"/>
      <c r="G4" s="1047"/>
      <c r="H4" s="1048"/>
      <c r="I4" s="1049">
        <v>45657</v>
      </c>
      <c r="J4" s="1050">
        <v>45688</v>
      </c>
      <c r="K4" s="1051">
        <v>45716</v>
      </c>
      <c r="L4" s="1051">
        <v>45747</v>
      </c>
      <c r="M4" s="1051">
        <v>45777</v>
      </c>
      <c r="N4" s="1051">
        <v>45808</v>
      </c>
      <c r="O4" s="1051">
        <v>45838</v>
      </c>
      <c r="P4" s="1051">
        <v>45869</v>
      </c>
      <c r="Q4" s="1051">
        <v>45900</v>
      </c>
      <c r="R4" s="1051">
        <v>45930</v>
      </c>
      <c r="S4" s="1051">
        <v>45961</v>
      </c>
      <c r="T4" s="1051">
        <v>45991</v>
      </c>
      <c r="U4" s="1051">
        <v>46022</v>
      </c>
      <c r="V4" s="1051"/>
      <c r="W4" s="1051">
        <v>46053</v>
      </c>
      <c r="X4" s="1051">
        <v>46081</v>
      </c>
      <c r="Y4" s="1051">
        <v>46112</v>
      </c>
      <c r="Z4" s="1051">
        <v>46142</v>
      </c>
      <c r="AA4" s="1051">
        <v>46173</v>
      </c>
      <c r="AB4" s="1051">
        <v>46203</v>
      </c>
      <c r="AC4" s="1051">
        <v>46234</v>
      </c>
      <c r="AD4" s="1051">
        <v>46265</v>
      </c>
      <c r="AE4" s="1051">
        <v>46295</v>
      </c>
      <c r="AF4" s="1051">
        <v>46326</v>
      </c>
      <c r="AG4" s="1051">
        <v>46356</v>
      </c>
      <c r="AH4" s="1051">
        <v>46387</v>
      </c>
      <c r="AI4" s="1051"/>
      <c r="AJ4" s="1052">
        <v>46418</v>
      </c>
      <c r="AK4" s="1053">
        <v>46446</v>
      </c>
      <c r="AL4" s="1053">
        <v>46477</v>
      </c>
      <c r="AM4" s="1053">
        <v>46507</v>
      </c>
      <c r="AN4" s="1053">
        <v>46538</v>
      </c>
      <c r="AO4" s="1053">
        <v>46568</v>
      </c>
      <c r="AP4" s="1053">
        <v>46599</v>
      </c>
      <c r="AQ4" s="1053">
        <v>46630</v>
      </c>
      <c r="AR4" s="1053">
        <v>46660</v>
      </c>
      <c r="AS4" s="1053">
        <v>46691</v>
      </c>
      <c r="AT4" s="1053">
        <v>46721</v>
      </c>
      <c r="AU4" s="1054">
        <v>46752</v>
      </c>
      <c r="AV4" s="1055"/>
      <c r="AW4" s="1056"/>
      <c r="AX4" s="1056"/>
      <c r="AY4" s="1056"/>
      <c r="AZ4" s="1056"/>
      <c r="BA4" s="1057"/>
    </row>
    <row r="5" spans="1:53" ht="12.75" x14ac:dyDescent="0.2">
      <c r="A5" s="1058" t="s">
        <v>377</v>
      </c>
      <c r="B5" s="1058" t="s">
        <v>340</v>
      </c>
      <c r="C5" s="1058" t="s">
        <v>378</v>
      </c>
      <c r="D5" s="1058" t="s">
        <v>379</v>
      </c>
      <c r="E5" s="1058" t="s">
        <v>190</v>
      </c>
      <c r="F5" s="1058" t="s">
        <v>380</v>
      </c>
      <c r="G5" s="1058" t="s">
        <v>381</v>
      </c>
      <c r="H5" s="1059" t="s">
        <v>382</v>
      </c>
      <c r="I5" s="1060" t="s">
        <v>381</v>
      </c>
      <c r="J5" s="1061">
        <f>IF(MONTH(J$4)=1, SUMIFS($G7:$G42, $A7:$A42, "&lt;" &amp; J$4), 0)+SUM($F7:$F42)*'INCOME STATEMENT'!E10</f>
        <v>0</v>
      </c>
      <c r="K5" s="1062">
        <f>IF(MONTH(K$4)=1, SUMIFS($G7:$G42, $A7:$A42, "&lt;" &amp; K$4), 0)+SUM($F7:$F42)*'INCOME STATEMENT'!F10</f>
        <v>0</v>
      </c>
      <c r="L5" s="1062">
        <f>IF(MONTH(L$4)=1, SUMIFS($G7:$G42, $A7:$A42, "&lt;" &amp; L$4), 0)+SUM($F7:$F42)*'INCOME STATEMENT'!G10</f>
        <v>0</v>
      </c>
      <c r="M5" s="1062">
        <f>IF(MONTH(M$4)=1, SUMIFS($G7:$G42, $A7:$A42, "&lt;" &amp; M$4), 0)+SUM($F7:$F42)*'INCOME STATEMENT'!H10</f>
        <v>0</v>
      </c>
      <c r="N5" s="1062">
        <f>IF(MONTH(N$4)=1, SUMIFS($G7:$G42, $A7:$A42, "&lt;" &amp; N$4), 0)+SUM($F7:$F42)*'INCOME STATEMENT'!I10</f>
        <v>0</v>
      </c>
      <c r="O5" s="1062">
        <f>IF(MONTH(O$4)=1, SUMIFS($G7:$G42, $A7:$A42, "&lt;" &amp; O$4), 0)+SUM($F7:$F42)*'INCOME STATEMENT'!J10</f>
        <v>439992000</v>
      </c>
      <c r="P5" s="1062">
        <f>IF(MONTH(P$4)=1, SUMIFS($G7:$G42, $A7:$A42, "&lt;" &amp; P$4), 0)+SUM($F7:$F42)*'INCOME STATEMENT'!K10</f>
        <v>439992000</v>
      </c>
      <c r="Q5" s="1062">
        <f>IF(MONTH(Q$4)=1, SUMIFS($G7:$G42, $A7:$A42, "&lt;" &amp; Q$4), 0)+SUM($F7:$F42)*'INCOME STATEMENT'!L10</f>
        <v>498657600</v>
      </c>
      <c r="R5" s="1062">
        <f>IF(MONTH(R$4)=1, SUMIFS($G7:$G42, $A7:$A42, "&lt;" &amp; R$4), 0)+SUM($F7:$F42)*'INCOME STATEMENT'!M10</f>
        <v>498657600</v>
      </c>
      <c r="S5" s="1062">
        <f>IF(MONTH(S$4)=1, SUMIFS($G7:$G42, $A7:$A42, "&lt;" &amp; S$4), 0)+SUM($F7:$F42)*'INCOME STATEMENT'!N10</f>
        <v>522694200</v>
      </c>
      <c r="T5" s="1062">
        <f>IF(MONTH(T$4)=1, SUMIFS($G7:$G42, $A7:$A42, "&lt;" &amp; T$4), 0)+SUM($F7:$F42)*'INCOME STATEMENT'!O10</f>
        <v>522694200</v>
      </c>
      <c r="U5" s="1062">
        <f>IF(MONTH(U$4)=1, SUMIFS($G7:$G42, $A7:$A42, "&lt;" &amp; U$4), 0)+SUM($F7:$F42)*'INCOME STATEMENT'!P10</f>
        <v>522694200</v>
      </c>
      <c r="V5" s="1062">
        <f>IF(MONTH(V$4)=1, SUMIFS($G7:$G42, $A7:$A42, "&lt;" &amp; V$4), 0)+SUM($F7:$F42)*'INCOME STATEMENT'!Q10</f>
        <v>0</v>
      </c>
      <c r="W5" s="1062">
        <f>IF(MONTH(W$4)=1, SUMIFS($G7:$G42, $A7:$A42, "&lt;" &amp; W$4), 0)+SUM($F7:$F42)*'INCOME STATEMENT'!R10</f>
        <v>1053066000</v>
      </c>
      <c r="X5" s="1062">
        <f>IF(MONTH(X$4)=1, SUMIFS($G7:$G42, $A7:$A42, "&lt;" &amp; X$4), 0)+SUM($F7:$F42)*'INCOME STATEMENT'!S10</f>
        <v>444066000</v>
      </c>
      <c r="Y5" s="1062">
        <f>IF(MONTH(Y$4)=1, SUMIFS($G7:$G42, $A7:$A42, "&lt;" &amp; Y$4), 0)+SUM($F7:$F42)*'INCOME STATEMENT'!T10</f>
        <v>444066000</v>
      </c>
      <c r="Z5" s="1062">
        <f>IF(MONTH(Z$4)=1, SUMIFS($G7:$G42, $A7:$A42, "&lt;" &amp; Z$4), 0)+SUM($F7:$F42)*'INCOME STATEMENT'!U10</f>
        <v>545101200</v>
      </c>
      <c r="AA5" s="1062">
        <f>IF(MONTH(AA$4)=1, SUMIFS($G7:$G42, $A7:$A42, "&lt;" &amp; AA$4), 0)+SUM($F7:$F42)*'INCOME STATEMENT'!V10</f>
        <v>545101200</v>
      </c>
      <c r="AB5" s="1062">
        <f>IF(MONTH(AB$4)=1, SUMIFS($G7:$G42, $A7:$A42, "&lt;" &amp; AB$4), 0)+SUM($F7:$F42)*'INCOME STATEMENT'!W10</f>
        <v>545101200</v>
      </c>
      <c r="AC5" s="1062">
        <f>IF(MONTH(AC$4)=1, SUMIFS($G7:$G42, $A7:$A42, "&lt;" &amp; AC$4), 0)+SUM($F7:$F42)*'INCOME STATEMENT'!X10</f>
        <v>565471200</v>
      </c>
      <c r="AD5" s="1062">
        <f>IF(MONTH(AD$4)=1, SUMIFS($G7:$G42, $A7:$A42, "&lt;" &amp; AD$4), 0)+SUM($F7:$F42)*'INCOME STATEMENT'!Y10</f>
        <v>565471200</v>
      </c>
      <c r="AE5" s="1062">
        <f>IF(MONTH(AE$4)=1, SUMIFS($G7:$G42, $A7:$A42, "&lt;" &amp; AE$4), 0)+SUM($F7:$F42)*'INCOME STATEMENT'!Z10</f>
        <v>565471200</v>
      </c>
      <c r="AF5" s="1062">
        <f>IF(MONTH(AF$4)=1, SUMIFS($G7:$G42, $A7:$A42, "&lt;" &amp; AF$4), 0)+SUM($F7:$F42)*'INCOME STATEMENT'!AA10</f>
        <v>589507800</v>
      </c>
      <c r="AG5" s="1062">
        <f>IF(MONTH(AG$4)=1, SUMIFS($G7:$G42, $A7:$A42, "&lt;" &amp; AG$4), 0)+SUM($F7:$F42)*'INCOME STATEMENT'!AB10</f>
        <v>882982800</v>
      </c>
      <c r="AH5" s="1062">
        <f>IF(MONTH(AH$4)=1, SUMIFS($G7:$G42, $A7:$A42, "&lt;" &amp; AH$4), 0)+SUM($F7:$F42)*'INCOME STATEMENT'!AC10</f>
        <v>885019800</v>
      </c>
      <c r="AI5" s="1062">
        <f>IF(MONTH(AI$4)=1, SUMIFS($G7:$G42, $A7:$A42, "&lt;" &amp; AI$4), 0)+SUM($F7:$F42)*'INCOME STATEMENT'!AD10</f>
        <v>0</v>
      </c>
      <c r="AJ5" s="1062">
        <f>IF(MONTH(AJ$4)=1, SUMIFS($G7:$G42, $A7:$A42, "&lt;" &amp; AJ$4), 0)+SUM($F7:$F42)*'INCOME STATEMENT'!AE10</f>
        <v>1483893200</v>
      </c>
      <c r="AK5" s="1062">
        <f>IF(MONTH(AK$4)=1, SUMIFS($G7:$G42, $A7:$A42, "&lt;" &amp; AK$4), 0)+SUM($F7:$F42)*'INCOME STATEMENT'!AF10</f>
        <v>760099200</v>
      </c>
      <c r="AL5" s="1062">
        <f>IF(MONTH(AL$4)=1, SUMIFS($G7:$G42, $A7:$A42, "&lt;" &amp; AL$4), 0)+SUM($F7:$F42)*'INCOME STATEMENT'!AG10</f>
        <v>760099200</v>
      </c>
      <c r="AM5" s="1062">
        <f>IF(MONTH(AM$4)=1, SUMIFS($G7:$G42, $A7:$A42, "&lt;" &amp; AM$4), 0)+SUM($F7:$F42)*'INCOME STATEMENT'!AH10</f>
        <v>980674800</v>
      </c>
      <c r="AN5" s="1062">
        <f>IF(MONTH(AN$4)=1, SUMIFS($G7:$G42, $A7:$A42, "&lt;" &amp; AN$4), 0)+SUM($F7:$F42)*'INCOME STATEMENT'!AI10</f>
        <v>980674800</v>
      </c>
      <c r="AO5" s="1062">
        <f>IF(MONTH(AO$4)=1, SUMIFS($G7:$G42, $A7:$A42, "&lt;" &amp; AO$4), 0)+SUM($F7:$F42)*'INCOME STATEMENT'!AJ10</f>
        <v>980674800</v>
      </c>
      <c r="AP5" s="1062">
        <f>IF(MONTH(AP$4)=1, SUMIFS($G7:$G42, $A7:$A42, "&lt;" &amp; AP$4), 0)+SUM($F7:$F42)*'INCOME STATEMENT'!AK10</f>
        <v>1027072200</v>
      </c>
      <c r="AQ5" s="1062">
        <f>IF(MONTH(AQ$4)=1, SUMIFS($G7:$G42, $A7:$A42, "&lt;" &amp; AQ$4), 0)+SUM($F7:$F42)*'INCOME STATEMENT'!AL10</f>
        <v>1027072200</v>
      </c>
      <c r="AR5" s="1062">
        <f>IF(MONTH(AR$4)=1, SUMIFS($G7:$G42, $A7:$A42, "&lt;" &amp; AR$4), 0)+SUM($F7:$F42)*'INCOME STATEMENT'!AM10</f>
        <v>1056216000</v>
      </c>
      <c r="AS5" s="1062">
        <f>IF(MONTH(AS$4)=1, SUMIFS($G7:$G42, $A7:$A42, "&lt;" &amp; AS$4), 0)+SUM($F7:$F42)*'INCOME STATEMENT'!AN10</f>
        <v>1088787000</v>
      </c>
      <c r="AT5" s="1062">
        <f>IF(MONTH(AT$4)=1, SUMIFS($G7:$G42, $A7:$A42, "&lt;" &amp; AT$4), 0)+SUM($F7:$F42)*'INCOME STATEMENT'!AO10</f>
        <v>1094062200</v>
      </c>
      <c r="AU5" s="1062">
        <f>IF(MONTH(AU$4)=1, SUMIFS($G7:$G42, $A7:$A42, "&lt;" &amp; AU$4), 0)+SUM($F7:$F42)*'INCOME STATEMENT'!AP10</f>
        <v>1099337400</v>
      </c>
      <c r="AV5" s="307"/>
      <c r="AW5" s="308"/>
      <c r="AX5" s="308"/>
      <c r="AY5" s="308"/>
      <c r="AZ5" s="308"/>
      <c r="BA5" s="309"/>
    </row>
    <row r="6" spans="1:53" ht="12.75" x14ac:dyDescent="0.2">
      <c r="A6" s="1010"/>
      <c r="B6" s="243"/>
      <c r="C6" s="243"/>
      <c r="D6" s="243"/>
      <c r="E6" s="266"/>
      <c r="F6" s="536"/>
      <c r="G6" s="266"/>
      <c r="H6" s="1024"/>
      <c r="I6" s="1063" t="s">
        <v>383</v>
      </c>
      <c r="J6" s="1064">
        <f t="shared" ref="J6:U6" si="0">SUM(J7:J42)</f>
        <v>0</v>
      </c>
      <c r="K6" s="1065">
        <f t="shared" si="0"/>
        <v>4761904.7619047621</v>
      </c>
      <c r="L6" s="1065">
        <f t="shared" si="0"/>
        <v>351818181.81818181</v>
      </c>
      <c r="M6" s="1065">
        <f t="shared" si="0"/>
        <v>652347826.08695662</v>
      </c>
      <c r="N6" s="1065">
        <f t="shared" si="0"/>
        <v>803043478.26086962</v>
      </c>
      <c r="O6" s="1065">
        <f t="shared" si="0"/>
        <v>821571428.57142854</v>
      </c>
      <c r="P6" s="1065">
        <f t="shared" si="0"/>
        <v>909875000</v>
      </c>
      <c r="Q6" s="1065">
        <f t="shared" si="0"/>
        <v>958000000</v>
      </c>
      <c r="R6" s="1065">
        <f t="shared" si="0"/>
        <v>958000000</v>
      </c>
      <c r="S6" s="1065">
        <f t="shared" si="0"/>
        <v>958000000</v>
      </c>
      <c r="T6" s="1065">
        <f t="shared" si="0"/>
        <v>958000000</v>
      </c>
      <c r="U6" s="1065">
        <f t="shared" si="0"/>
        <v>968000000</v>
      </c>
      <c r="V6" s="1065"/>
      <c r="W6" s="1065">
        <f t="shared" ref="W6:AH6" si="1">SUM(W7:W42)</f>
        <v>958000000</v>
      </c>
      <c r="X6" s="1065">
        <f t="shared" si="1"/>
        <v>988750000</v>
      </c>
      <c r="Y6" s="1065">
        <f t="shared" si="1"/>
        <v>1062000000</v>
      </c>
      <c r="Z6" s="1065">
        <f t="shared" si="1"/>
        <v>1062000000</v>
      </c>
      <c r="AA6" s="1065">
        <f t="shared" si="1"/>
        <v>1062000000</v>
      </c>
      <c r="AB6" s="1065">
        <f t="shared" si="1"/>
        <v>1062000000</v>
      </c>
      <c r="AC6" s="1065">
        <f t="shared" si="1"/>
        <v>1062000000</v>
      </c>
      <c r="AD6" s="1065">
        <f t="shared" si="1"/>
        <v>1062000000</v>
      </c>
      <c r="AE6" s="1065">
        <f t="shared" si="1"/>
        <v>1062000000</v>
      </c>
      <c r="AF6" s="1065">
        <f t="shared" si="1"/>
        <v>1062000000</v>
      </c>
      <c r="AG6" s="1065">
        <f t="shared" si="1"/>
        <v>1062000000</v>
      </c>
      <c r="AH6" s="1065">
        <f t="shared" si="1"/>
        <v>1072000000</v>
      </c>
      <c r="AI6" s="1065"/>
      <c r="AJ6" s="1065">
        <f t="shared" ref="AJ6:AU6" si="2">SUM(AJ7:AJ42)</f>
        <v>1062000000</v>
      </c>
      <c r="AK6" s="1065">
        <f t="shared" si="2"/>
        <v>1062000000</v>
      </c>
      <c r="AL6" s="1065">
        <f t="shared" si="2"/>
        <v>1062000000</v>
      </c>
      <c r="AM6" s="1065">
        <f t="shared" si="2"/>
        <v>1062000000</v>
      </c>
      <c r="AN6" s="1065">
        <f t="shared" si="2"/>
        <v>1062000000</v>
      </c>
      <c r="AO6" s="1065">
        <f t="shared" si="2"/>
        <v>1062000000</v>
      </c>
      <c r="AP6" s="1065">
        <f t="shared" si="2"/>
        <v>1062000000</v>
      </c>
      <c r="AQ6" s="1065">
        <f t="shared" si="2"/>
        <v>1062000000</v>
      </c>
      <c r="AR6" s="1065">
        <f t="shared" si="2"/>
        <v>1062000000</v>
      </c>
      <c r="AS6" s="1065">
        <f t="shared" si="2"/>
        <v>1062000000</v>
      </c>
      <c r="AT6" s="1065">
        <f t="shared" si="2"/>
        <v>1062000000</v>
      </c>
      <c r="AU6" s="1066">
        <f t="shared" si="2"/>
        <v>1062000000</v>
      </c>
      <c r="AV6" s="1067"/>
      <c r="AW6" s="1068"/>
      <c r="AX6" s="1068"/>
      <c r="AY6" s="1068"/>
      <c r="AZ6" s="1068"/>
      <c r="BA6" s="1069"/>
    </row>
    <row r="7" spans="1:53" ht="12.75" x14ac:dyDescent="0.2">
      <c r="A7" s="1010">
        <f>'Salaries and wages'!I6</f>
        <v>45716</v>
      </c>
      <c r="B7" s="243" t="str">
        <f>'Salaries and wages'!C6</f>
        <v>CEO</v>
      </c>
      <c r="C7" s="243">
        <f>'Salaries and wages'!D6</f>
        <v>1</v>
      </c>
      <c r="D7" s="243"/>
      <c r="E7" s="989">
        <f>'Salaries and wages'!E6*10^6</f>
        <v>100000000</v>
      </c>
      <c r="F7" s="539">
        <f>'Salaries and wages'!F6</f>
        <v>0</v>
      </c>
      <c r="G7" s="989">
        <f>'Salaries and wages'!G6*10^6</f>
        <v>100000000</v>
      </c>
      <c r="H7" s="1024"/>
      <c r="I7" s="243"/>
      <c r="J7" s="1070">
        <f t="shared" ref="J7:U7" si="3">IF(AND($A7&gt;I$4, $H7&lt;=J$4, $H7&gt;=I$4),$E7*$C7,IF(IF(ISBLANK($H7)=TRUE,AND($A7&gt;=$J$4,$A7&lt;=J$4),AND($A7&gt;I$4,ISBLANK($H7)=FALSE)),MAX($E7/NETWORKDAYS(I$4,J$4)*MIN(NETWORKDAYS(I$4,J$4),NETWORKDAYS($A7,J$4)),0)*$C7,0))</f>
        <v>0</v>
      </c>
      <c r="K7" s="258">
        <f t="shared" si="3"/>
        <v>4761904.7619047621</v>
      </c>
      <c r="L7" s="258">
        <f t="shared" si="3"/>
        <v>100000000.00000001</v>
      </c>
      <c r="M7" s="258">
        <f t="shared" si="3"/>
        <v>100000000</v>
      </c>
      <c r="N7" s="258">
        <f t="shared" si="3"/>
        <v>100000000</v>
      </c>
      <c r="O7" s="258">
        <f t="shared" si="3"/>
        <v>100000000</v>
      </c>
      <c r="P7" s="258">
        <f t="shared" si="3"/>
        <v>100000000</v>
      </c>
      <c r="Q7" s="258">
        <f t="shared" si="3"/>
        <v>100000000.00000001</v>
      </c>
      <c r="R7" s="258">
        <f t="shared" si="3"/>
        <v>100000000.00000001</v>
      </c>
      <c r="S7" s="258">
        <f t="shared" si="3"/>
        <v>100000000</v>
      </c>
      <c r="T7" s="258">
        <f t="shared" si="3"/>
        <v>100000000</v>
      </c>
      <c r="U7" s="258">
        <f t="shared" si="3"/>
        <v>100000000</v>
      </c>
      <c r="V7" s="258"/>
      <c r="W7" s="258">
        <f t="shared" ref="W7:W42" si="4">IF(AND($A7&gt;U$4, $H7&lt;=W$4, $H7&gt;=U$4),$E7*$C7,IF(IF(ISBLANK($H7)=TRUE,AND($A7&gt;=$J$4,$A7&lt;=W$4),AND($A7&gt;U$4,ISBLANK($H7)=FALSE)),MAX($E7/NETWORKDAYS(U$4,W$4)*MIN(NETWORKDAYS(U$4,W$4),NETWORKDAYS($A7,W$4)),0)*$C7,0))</f>
        <v>100000000</v>
      </c>
      <c r="X7" s="258">
        <f t="shared" ref="X7:AH7" si="5">IF(AND($A7&gt;W$4, $H7&lt;=X$4, $H7&gt;=W$4),$E7*$C7,IF(IF(ISBLANK($H7)=TRUE,AND($A7&gt;=$J$4,$A7&lt;=X$4),AND($A7&gt;W$4,ISBLANK($H7)=FALSE)),MAX($E7/NETWORKDAYS(W$4,X$4)*MIN(NETWORKDAYS(W$4,X$4),NETWORKDAYS($A7,X$4)),0)*$C7,0))</f>
        <v>100000000</v>
      </c>
      <c r="Y7" s="258">
        <f t="shared" si="5"/>
        <v>100000000.00000001</v>
      </c>
      <c r="Z7" s="258">
        <f t="shared" si="5"/>
        <v>100000000</v>
      </c>
      <c r="AA7" s="258">
        <f t="shared" si="5"/>
        <v>100000000.00000001</v>
      </c>
      <c r="AB7" s="258">
        <f t="shared" si="5"/>
        <v>100000000.00000001</v>
      </c>
      <c r="AC7" s="258">
        <f t="shared" si="5"/>
        <v>100000000</v>
      </c>
      <c r="AD7" s="258">
        <f t="shared" si="5"/>
        <v>100000000.00000001</v>
      </c>
      <c r="AE7" s="258">
        <f t="shared" si="5"/>
        <v>100000000</v>
      </c>
      <c r="AF7" s="258">
        <f t="shared" si="5"/>
        <v>100000000</v>
      </c>
      <c r="AG7" s="258">
        <f t="shared" si="5"/>
        <v>100000000</v>
      </c>
      <c r="AH7" s="258">
        <f t="shared" si="5"/>
        <v>100000000</v>
      </c>
      <c r="AI7" s="258"/>
      <c r="AJ7" s="258">
        <f t="shared" ref="AJ7:AJ42" si="6">IF(AND($A7&gt;AH$4, $H7&lt;=AJ$4, $H7&gt;=AH$4),$E7*$C7,IF(IF(ISBLANK($H7)=TRUE,AND($A7&gt;=$J$4,$A7&lt;=AJ$4),AND($A7&gt;AH$4,ISBLANK($H7)=FALSE)),MAX($E7/NETWORKDAYS(AH$4,AJ$4)*MIN(NETWORKDAYS(AH$4,AJ$4),NETWORKDAYS($A7,AJ$4)),0)*$C7,0))</f>
        <v>100000000.00000001</v>
      </c>
      <c r="AK7" s="258">
        <f t="shared" ref="AK7:AU7" si="7">IF(AND($A7&gt;AJ$4, $H7&lt;=AK$4, $H7&gt;=AJ$4),$E7*$C7,IF(IF(ISBLANK($H7)=TRUE,AND($A7&gt;=$J$4,$A7&lt;=AK$4),AND($A7&gt;AJ$4,ISBLANK($H7)=FALSE)),MAX($E7/NETWORKDAYS(AJ$4,AK$4)*MIN(NETWORKDAYS(AJ$4,AK$4),NETWORKDAYS($A7,AK$4)),0)*$C7,0))</f>
        <v>100000000</v>
      </c>
      <c r="AL7" s="258">
        <f t="shared" si="7"/>
        <v>100000000</v>
      </c>
      <c r="AM7" s="258">
        <f t="shared" si="7"/>
        <v>100000000</v>
      </c>
      <c r="AN7" s="258">
        <f t="shared" si="7"/>
        <v>100000000.00000001</v>
      </c>
      <c r="AO7" s="258">
        <f t="shared" si="7"/>
        <v>100000000</v>
      </c>
      <c r="AP7" s="258">
        <f t="shared" si="7"/>
        <v>100000000</v>
      </c>
      <c r="AQ7" s="258">
        <f t="shared" si="7"/>
        <v>100000000.00000001</v>
      </c>
      <c r="AR7" s="258">
        <f t="shared" si="7"/>
        <v>100000000</v>
      </c>
      <c r="AS7" s="258">
        <f t="shared" si="7"/>
        <v>100000000.00000001</v>
      </c>
      <c r="AT7" s="258">
        <f t="shared" si="7"/>
        <v>100000000.00000001</v>
      </c>
      <c r="AU7" s="258">
        <f t="shared" si="7"/>
        <v>100000000</v>
      </c>
      <c r="AV7" s="1045"/>
      <c r="AW7" s="313"/>
      <c r="AX7" s="313"/>
      <c r="AY7" s="313"/>
      <c r="AZ7" s="313"/>
      <c r="BA7" s="314"/>
    </row>
    <row r="8" spans="1:53" ht="12.75" x14ac:dyDescent="0.2">
      <c r="A8" s="1010">
        <f>'Salaries and wages'!I7</f>
        <v>45719</v>
      </c>
      <c r="B8" s="243" t="str">
        <f>'Salaries and wages'!C7</f>
        <v>COO</v>
      </c>
      <c r="C8" s="243">
        <f>'Salaries and wages'!D7</f>
        <v>1</v>
      </c>
      <c r="D8" s="243"/>
      <c r="E8" s="989">
        <f>'Salaries and wages'!E7*10^6</f>
        <v>60000000</v>
      </c>
      <c r="F8" s="536">
        <f>'Salaries and wages'!F7</f>
        <v>0</v>
      </c>
      <c r="G8" s="989">
        <f>'Salaries and wages'!G7*10^6</f>
        <v>60000000</v>
      </c>
      <c r="H8" s="1024"/>
      <c r="I8" s="1071"/>
      <c r="J8" s="258">
        <f t="shared" ref="J8:U8" si="8">IF(AND($A8&gt;I$4, $H8&lt;=J$4, $H8&gt;=I$4),$E8*$C8,IF(IF(ISBLANK($H8)=TRUE,AND($A8&gt;=$J$4,$A8&lt;=J$4),AND($A8&gt;I$4,ISBLANK($H8)=FALSE)),MAX($E8/NETWORKDAYS(I$4,J$4)*MIN(NETWORKDAYS(I$4,J$4),NETWORKDAYS($A8,J$4)),0)*$C8,0))</f>
        <v>0</v>
      </c>
      <c r="K8" s="258">
        <f t="shared" si="8"/>
        <v>0</v>
      </c>
      <c r="L8" s="258">
        <f t="shared" si="8"/>
        <v>57272727.272727266</v>
      </c>
      <c r="M8" s="258">
        <f t="shared" si="8"/>
        <v>60000000</v>
      </c>
      <c r="N8" s="258">
        <f t="shared" si="8"/>
        <v>60000000</v>
      </c>
      <c r="O8" s="258">
        <f t="shared" si="8"/>
        <v>60000000</v>
      </c>
      <c r="P8" s="258">
        <f t="shared" si="8"/>
        <v>60000000</v>
      </c>
      <c r="Q8" s="258">
        <f t="shared" si="8"/>
        <v>59999999.999999993</v>
      </c>
      <c r="R8" s="258">
        <f t="shared" si="8"/>
        <v>59999999.999999993</v>
      </c>
      <c r="S8" s="258">
        <f t="shared" si="8"/>
        <v>60000000</v>
      </c>
      <c r="T8" s="258">
        <f t="shared" si="8"/>
        <v>60000000</v>
      </c>
      <c r="U8" s="258">
        <f t="shared" si="8"/>
        <v>60000000</v>
      </c>
      <c r="V8" s="258"/>
      <c r="W8" s="258">
        <f t="shared" si="4"/>
        <v>60000000</v>
      </c>
      <c r="X8" s="258">
        <f t="shared" ref="X8:AH8" si="9">IF(AND($A8&gt;W$4, $H8&lt;=X$4, $H8&gt;=W$4),$E8*$C8,IF(IF(ISBLANK($H8)=TRUE,AND($A8&gt;=$J$4,$A8&lt;=X$4),AND($A8&gt;W$4,ISBLANK($H8)=FALSE)),MAX($E8/NETWORKDAYS(W$4,X$4)*MIN(NETWORKDAYS(W$4,X$4),NETWORKDAYS($A8,X$4)),0)*$C8,0))</f>
        <v>60000000</v>
      </c>
      <c r="Y8" s="258">
        <f t="shared" si="9"/>
        <v>59999999.999999993</v>
      </c>
      <c r="Z8" s="258">
        <f t="shared" si="9"/>
        <v>60000000</v>
      </c>
      <c r="AA8" s="258">
        <f t="shared" si="9"/>
        <v>59999999.999999993</v>
      </c>
      <c r="AB8" s="258">
        <f t="shared" si="9"/>
        <v>59999999.999999993</v>
      </c>
      <c r="AC8" s="258">
        <f t="shared" si="9"/>
        <v>60000000</v>
      </c>
      <c r="AD8" s="258">
        <f t="shared" si="9"/>
        <v>59999999.999999993</v>
      </c>
      <c r="AE8" s="258">
        <f t="shared" si="9"/>
        <v>60000000</v>
      </c>
      <c r="AF8" s="258">
        <f t="shared" si="9"/>
        <v>60000000</v>
      </c>
      <c r="AG8" s="258">
        <f t="shared" si="9"/>
        <v>60000000</v>
      </c>
      <c r="AH8" s="258">
        <f t="shared" si="9"/>
        <v>60000000</v>
      </c>
      <c r="AI8" s="258"/>
      <c r="AJ8" s="258">
        <f t="shared" si="6"/>
        <v>59999999.999999993</v>
      </c>
      <c r="AK8" s="258">
        <f t="shared" ref="AK8:AU8" si="10">IF(AND($A8&gt;AJ$4, $H8&lt;=AK$4, $H8&gt;=AJ$4),$E8*$C8,IF(IF(ISBLANK($H8)=TRUE,AND($A8&gt;=$J$4,$A8&lt;=AK$4),AND($A8&gt;AJ$4,ISBLANK($H8)=FALSE)),MAX($E8/NETWORKDAYS(AJ$4,AK$4)*MIN(NETWORKDAYS(AJ$4,AK$4),NETWORKDAYS($A8,AK$4)),0)*$C8,0))</f>
        <v>60000000</v>
      </c>
      <c r="AL8" s="258">
        <f t="shared" si="10"/>
        <v>60000000</v>
      </c>
      <c r="AM8" s="258">
        <f t="shared" si="10"/>
        <v>60000000</v>
      </c>
      <c r="AN8" s="258">
        <f t="shared" si="10"/>
        <v>59999999.999999993</v>
      </c>
      <c r="AO8" s="258">
        <f t="shared" si="10"/>
        <v>60000000</v>
      </c>
      <c r="AP8" s="258">
        <f t="shared" si="10"/>
        <v>60000000</v>
      </c>
      <c r="AQ8" s="258">
        <f t="shared" si="10"/>
        <v>59999999.999999993</v>
      </c>
      <c r="AR8" s="258">
        <f t="shared" si="10"/>
        <v>60000000</v>
      </c>
      <c r="AS8" s="258">
        <f t="shared" si="10"/>
        <v>59999999.999999993</v>
      </c>
      <c r="AT8" s="258">
        <f t="shared" si="10"/>
        <v>59999999.999999993</v>
      </c>
      <c r="AU8" s="258">
        <f t="shared" si="10"/>
        <v>60000000</v>
      </c>
      <c r="AV8" s="1045"/>
      <c r="AW8" s="313"/>
      <c r="AX8" s="313"/>
      <c r="AY8" s="313"/>
      <c r="AZ8" s="313"/>
      <c r="BA8" s="314"/>
    </row>
    <row r="9" spans="1:53" ht="12.75" x14ac:dyDescent="0.2">
      <c r="A9" s="1010">
        <f>'Salaries and wages'!I8</f>
        <v>45719</v>
      </c>
      <c r="B9" s="243" t="str">
        <f>'Salaries and wages'!C8</f>
        <v>CFO</v>
      </c>
      <c r="C9" s="243">
        <f>'Salaries and wages'!D8</f>
        <v>1</v>
      </c>
      <c r="D9" s="243"/>
      <c r="E9" s="989">
        <f>'Salaries and wages'!E8*10^6</f>
        <v>60000000</v>
      </c>
      <c r="F9" s="536">
        <f>'Salaries and wages'!F8</f>
        <v>0</v>
      </c>
      <c r="G9" s="989">
        <f>'Salaries and wages'!G8*10^6</f>
        <v>60000000</v>
      </c>
      <c r="H9" s="1024"/>
      <c r="I9" s="1071"/>
      <c r="J9" s="258">
        <f t="shared" ref="J9:U9" si="11">IF(AND($A9&gt;I$4, $H9&lt;=J$4, $H9&gt;=I$4),$E9*$C9,IF(IF(ISBLANK($H9)=TRUE,AND($A9&gt;=$J$4,$A9&lt;=J$4),AND($A9&gt;I$4,ISBLANK($H9)=FALSE)),MAX($E9/NETWORKDAYS(I$4,J$4)*MIN(NETWORKDAYS(I$4,J$4),NETWORKDAYS($A9,J$4)),0)*$C9,0))</f>
        <v>0</v>
      </c>
      <c r="K9" s="258">
        <f t="shared" si="11"/>
        <v>0</v>
      </c>
      <c r="L9" s="258">
        <f t="shared" si="11"/>
        <v>57272727.272727266</v>
      </c>
      <c r="M9" s="258">
        <f t="shared" si="11"/>
        <v>60000000</v>
      </c>
      <c r="N9" s="258">
        <f t="shared" si="11"/>
        <v>60000000</v>
      </c>
      <c r="O9" s="258">
        <f t="shared" si="11"/>
        <v>60000000</v>
      </c>
      <c r="P9" s="258">
        <f t="shared" si="11"/>
        <v>60000000</v>
      </c>
      <c r="Q9" s="258">
        <f t="shared" si="11"/>
        <v>59999999.999999993</v>
      </c>
      <c r="R9" s="258">
        <f t="shared" si="11"/>
        <v>59999999.999999993</v>
      </c>
      <c r="S9" s="258">
        <f t="shared" si="11"/>
        <v>60000000</v>
      </c>
      <c r="T9" s="258">
        <f t="shared" si="11"/>
        <v>60000000</v>
      </c>
      <c r="U9" s="258">
        <f t="shared" si="11"/>
        <v>60000000</v>
      </c>
      <c r="V9" s="258"/>
      <c r="W9" s="258">
        <f t="shared" si="4"/>
        <v>60000000</v>
      </c>
      <c r="X9" s="258">
        <f t="shared" ref="X9:AH9" si="12">IF(AND($A9&gt;W$4, $H9&lt;=X$4, $H9&gt;=W$4),$E9*$C9,IF(IF(ISBLANK($H9)=TRUE,AND($A9&gt;=$J$4,$A9&lt;=X$4),AND($A9&gt;W$4,ISBLANK($H9)=FALSE)),MAX($E9/NETWORKDAYS(W$4,X$4)*MIN(NETWORKDAYS(W$4,X$4),NETWORKDAYS($A9,X$4)),0)*$C9,0))</f>
        <v>60000000</v>
      </c>
      <c r="Y9" s="258">
        <f t="shared" si="12"/>
        <v>59999999.999999993</v>
      </c>
      <c r="Z9" s="258">
        <f t="shared" si="12"/>
        <v>60000000</v>
      </c>
      <c r="AA9" s="258">
        <f t="shared" si="12"/>
        <v>59999999.999999993</v>
      </c>
      <c r="AB9" s="258">
        <f t="shared" si="12"/>
        <v>59999999.999999993</v>
      </c>
      <c r="AC9" s="258">
        <f t="shared" si="12"/>
        <v>60000000</v>
      </c>
      <c r="AD9" s="258">
        <f t="shared" si="12"/>
        <v>59999999.999999993</v>
      </c>
      <c r="AE9" s="258">
        <f t="shared" si="12"/>
        <v>60000000</v>
      </c>
      <c r="AF9" s="258">
        <f t="shared" si="12"/>
        <v>60000000</v>
      </c>
      <c r="AG9" s="258">
        <f t="shared" si="12"/>
        <v>60000000</v>
      </c>
      <c r="AH9" s="258">
        <f t="shared" si="12"/>
        <v>60000000</v>
      </c>
      <c r="AI9" s="258"/>
      <c r="AJ9" s="258">
        <f t="shared" si="6"/>
        <v>59999999.999999993</v>
      </c>
      <c r="AK9" s="258">
        <f t="shared" ref="AK9:AU9" si="13">IF(AND($A9&gt;AJ$4, $H9&lt;=AK$4, $H9&gt;=AJ$4),$E9*$C9,IF(IF(ISBLANK($H9)=TRUE,AND($A9&gt;=$J$4,$A9&lt;=AK$4),AND($A9&gt;AJ$4,ISBLANK($H9)=FALSE)),MAX($E9/NETWORKDAYS(AJ$4,AK$4)*MIN(NETWORKDAYS(AJ$4,AK$4),NETWORKDAYS($A9,AK$4)),0)*$C9,0))</f>
        <v>60000000</v>
      </c>
      <c r="AL9" s="258">
        <f t="shared" si="13"/>
        <v>60000000</v>
      </c>
      <c r="AM9" s="258">
        <f t="shared" si="13"/>
        <v>60000000</v>
      </c>
      <c r="AN9" s="258">
        <f t="shared" si="13"/>
        <v>59999999.999999993</v>
      </c>
      <c r="AO9" s="258">
        <f t="shared" si="13"/>
        <v>60000000</v>
      </c>
      <c r="AP9" s="258">
        <f t="shared" si="13"/>
        <v>60000000</v>
      </c>
      <c r="AQ9" s="258">
        <f t="shared" si="13"/>
        <v>59999999.999999993</v>
      </c>
      <c r="AR9" s="258">
        <f t="shared" si="13"/>
        <v>60000000</v>
      </c>
      <c r="AS9" s="258">
        <f t="shared" si="13"/>
        <v>59999999.999999993</v>
      </c>
      <c r="AT9" s="258">
        <f t="shared" si="13"/>
        <v>59999999.999999993</v>
      </c>
      <c r="AU9" s="258">
        <f t="shared" si="13"/>
        <v>60000000</v>
      </c>
      <c r="AV9" s="1045"/>
      <c r="AW9" s="313"/>
      <c r="AX9" s="313"/>
      <c r="AY9" s="313"/>
      <c r="AZ9" s="313"/>
      <c r="BA9" s="314"/>
    </row>
    <row r="10" spans="1:53" ht="12.75" x14ac:dyDescent="0.2">
      <c r="A10" s="1010">
        <f>'Salaries and wages'!I9</f>
        <v>45719</v>
      </c>
      <c r="B10" s="243" t="str">
        <f>'Salaries and wages'!C9</f>
        <v>CMO</v>
      </c>
      <c r="C10" s="243">
        <f>'Salaries and wages'!D9</f>
        <v>1</v>
      </c>
      <c r="D10" s="243"/>
      <c r="E10" s="989">
        <f>'Salaries and wages'!E9*10^6</f>
        <v>60000000</v>
      </c>
      <c r="F10" s="536">
        <f>'Salaries and wages'!F9</f>
        <v>0</v>
      </c>
      <c r="G10" s="989">
        <f>'Salaries and wages'!G9*10^6</f>
        <v>60000000</v>
      </c>
      <c r="H10" s="1024"/>
      <c r="I10" s="1071"/>
      <c r="J10" s="258">
        <f t="shared" ref="J10:U10" si="14">IF(AND($A10&gt;I$4, $H10&lt;=J$4, $H10&gt;=I$4),$E10*$C10,IF(IF(ISBLANK($H10)=TRUE,AND($A10&gt;=$J$4,$A10&lt;=J$4),AND($A10&gt;I$4,ISBLANK($H10)=FALSE)),MAX($E10/NETWORKDAYS(I$4,J$4)*MIN(NETWORKDAYS(I$4,J$4),NETWORKDAYS($A10,J$4)),0)*$C10,0))</f>
        <v>0</v>
      </c>
      <c r="K10" s="258">
        <f t="shared" si="14"/>
        <v>0</v>
      </c>
      <c r="L10" s="258">
        <f t="shared" si="14"/>
        <v>57272727.272727266</v>
      </c>
      <c r="M10" s="258">
        <f t="shared" si="14"/>
        <v>60000000</v>
      </c>
      <c r="N10" s="258">
        <f t="shared" si="14"/>
        <v>60000000</v>
      </c>
      <c r="O10" s="258">
        <f t="shared" si="14"/>
        <v>60000000</v>
      </c>
      <c r="P10" s="258">
        <f t="shared" si="14"/>
        <v>60000000</v>
      </c>
      <c r="Q10" s="258">
        <f t="shared" si="14"/>
        <v>59999999.999999993</v>
      </c>
      <c r="R10" s="258">
        <f t="shared" si="14"/>
        <v>59999999.999999993</v>
      </c>
      <c r="S10" s="258">
        <f t="shared" si="14"/>
        <v>60000000</v>
      </c>
      <c r="T10" s="258">
        <f t="shared" si="14"/>
        <v>60000000</v>
      </c>
      <c r="U10" s="258">
        <f t="shared" si="14"/>
        <v>60000000</v>
      </c>
      <c r="V10" s="258"/>
      <c r="W10" s="258">
        <f t="shared" si="4"/>
        <v>60000000</v>
      </c>
      <c r="X10" s="258">
        <f t="shared" ref="X10:AH10" si="15">IF(AND($A10&gt;W$4, $H10&lt;=X$4, $H10&gt;=W$4),$E10*$C10,IF(IF(ISBLANK($H10)=TRUE,AND($A10&gt;=$J$4,$A10&lt;=X$4),AND($A10&gt;W$4,ISBLANK($H10)=FALSE)),MAX($E10/NETWORKDAYS(W$4,X$4)*MIN(NETWORKDAYS(W$4,X$4),NETWORKDAYS($A10,X$4)),0)*$C10,0))</f>
        <v>60000000</v>
      </c>
      <c r="Y10" s="258">
        <f t="shared" si="15"/>
        <v>59999999.999999993</v>
      </c>
      <c r="Z10" s="258">
        <f t="shared" si="15"/>
        <v>60000000</v>
      </c>
      <c r="AA10" s="258">
        <f t="shared" si="15"/>
        <v>59999999.999999993</v>
      </c>
      <c r="AB10" s="258">
        <f t="shared" si="15"/>
        <v>59999999.999999993</v>
      </c>
      <c r="AC10" s="258">
        <f t="shared" si="15"/>
        <v>60000000</v>
      </c>
      <c r="AD10" s="258">
        <f t="shared" si="15"/>
        <v>59999999.999999993</v>
      </c>
      <c r="AE10" s="258">
        <f t="shared" si="15"/>
        <v>60000000</v>
      </c>
      <c r="AF10" s="258">
        <f t="shared" si="15"/>
        <v>60000000</v>
      </c>
      <c r="AG10" s="258">
        <f t="shared" si="15"/>
        <v>60000000</v>
      </c>
      <c r="AH10" s="258">
        <f t="shared" si="15"/>
        <v>60000000</v>
      </c>
      <c r="AI10" s="258"/>
      <c r="AJ10" s="258">
        <f t="shared" si="6"/>
        <v>59999999.999999993</v>
      </c>
      <c r="AK10" s="258">
        <f t="shared" ref="AK10:AU10" si="16">IF(AND($A10&gt;AJ$4, $H10&lt;=AK$4, $H10&gt;=AJ$4),$E10*$C10,IF(IF(ISBLANK($H10)=TRUE,AND($A10&gt;=$J$4,$A10&lt;=AK$4),AND($A10&gt;AJ$4,ISBLANK($H10)=FALSE)),MAX($E10/NETWORKDAYS(AJ$4,AK$4)*MIN(NETWORKDAYS(AJ$4,AK$4),NETWORKDAYS($A10,AK$4)),0)*$C10,0))</f>
        <v>60000000</v>
      </c>
      <c r="AL10" s="258">
        <f t="shared" si="16"/>
        <v>60000000</v>
      </c>
      <c r="AM10" s="258">
        <f t="shared" si="16"/>
        <v>60000000</v>
      </c>
      <c r="AN10" s="258">
        <f t="shared" si="16"/>
        <v>59999999.999999993</v>
      </c>
      <c r="AO10" s="258">
        <f t="shared" si="16"/>
        <v>60000000</v>
      </c>
      <c r="AP10" s="258">
        <f t="shared" si="16"/>
        <v>60000000</v>
      </c>
      <c r="AQ10" s="258">
        <f t="shared" si="16"/>
        <v>59999999.999999993</v>
      </c>
      <c r="AR10" s="258">
        <f t="shared" si="16"/>
        <v>60000000</v>
      </c>
      <c r="AS10" s="258">
        <f t="shared" si="16"/>
        <v>59999999.999999993</v>
      </c>
      <c r="AT10" s="258">
        <f t="shared" si="16"/>
        <v>59999999.999999993</v>
      </c>
      <c r="AU10" s="258">
        <f t="shared" si="16"/>
        <v>60000000</v>
      </c>
      <c r="AV10" s="1045"/>
      <c r="AW10" s="313"/>
      <c r="AX10" s="313"/>
      <c r="AY10" s="313"/>
      <c r="AZ10" s="313"/>
      <c r="BA10" s="314"/>
    </row>
    <row r="11" spans="1:53" ht="12.75" x14ac:dyDescent="0.2">
      <c r="A11" s="1010">
        <f>'Salaries and wages'!I10</f>
        <v>45733</v>
      </c>
      <c r="B11" s="243" t="str">
        <f>'Salaries and wages'!C10</f>
        <v>HR Manager</v>
      </c>
      <c r="C11" s="243">
        <f>'Salaries and wages'!D10</f>
        <v>1</v>
      </c>
      <c r="D11" s="243"/>
      <c r="E11" s="989">
        <f>'Salaries and wages'!E10*10^6</f>
        <v>20000000</v>
      </c>
      <c r="F11" s="536">
        <f>'Salaries and wages'!F10</f>
        <v>0</v>
      </c>
      <c r="G11" s="989">
        <f>'Salaries and wages'!G10*10^6</f>
        <v>20000000</v>
      </c>
      <c r="H11" s="1024"/>
      <c r="I11" s="1071"/>
      <c r="J11" s="258">
        <f t="shared" ref="J11:U11" si="17">IF(AND($A11&gt;I$4, $H11&lt;=J$4, $H11&gt;=I$4),$E11*$C11,IF(IF(ISBLANK($H11)=TRUE,AND($A11&gt;=$J$4,$A11&lt;=J$4),AND($A11&gt;I$4,ISBLANK($H11)=FALSE)),MAX($E11/NETWORKDAYS(I$4,J$4)*MIN(NETWORKDAYS(I$4,J$4),NETWORKDAYS($A11,J$4)),0)*$C11,0))</f>
        <v>0</v>
      </c>
      <c r="K11" s="258">
        <f t="shared" si="17"/>
        <v>0</v>
      </c>
      <c r="L11" s="258">
        <f t="shared" si="17"/>
        <v>10000000</v>
      </c>
      <c r="M11" s="258">
        <f t="shared" si="17"/>
        <v>20000000</v>
      </c>
      <c r="N11" s="258">
        <f t="shared" si="17"/>
        <v>20000000</v>
      </c>
      <c r="O11" s="258">
        <f t="shared" si="17"/>
        <v>20000000</v>
      </c>
      <c r="P11" s="258">
        <f t="shared" si="17"/>
        <v>20000000</v>
      </c>
      <c r="Q11" s="258">
        <f t="shared" si="17"/>
        <v>20000000</v>
      </c>
      <c r="R11" s="258">
        <f t="shared" si="17"/>
        <v>20000000</v>
      </c>
      <c r="S11" s="258">
        <f t="shared" si="17"/>
        <v>20000000</v>
      </c>
      <c r="T11" s="258">
        <f t="shared" si="17"/>
        <v>20000000</v>
      </c>
      <c r="U11" s="258">
        <f t="shared" si="17"/>
        <v>20000000</v>
      </c>
      <c r="V11" s="258"/>
      <c r="W11" s="258">
        <f t="shared" si="4"/>
        <v>20000000</v>
      </c>
      <c r="X11" s="258">
        <f t="shared" ref="X11:AH11" si="18">IF(AND($A11&gt;W$4, $H11&lt;=X$4, $H11&gt;=W$4),$E11*$C11,IF(IF(ISBLANK($H11)=TRUE,AND($A11&gt;=$J$4,$A11&lt;=X$4),AND($A11&gt;W$4,ISBLANK($H11)=FALSE)),MAX($E11/NETWORKDAYS(W$4,X$4)*MIN(NETWORKDAYS(W$4,X$4),NETWORKDAYS($A11,X$4)),0)*$C11,0))</f>
        <v>20000000</v>
      </c>
      <c r="Y11" s="258">
        <f t="shared" si="18"/>
        <v>20000000</v>
      </c>
      <c r="Z11" s="258">
        <f t="shared" si="18"/>
        <v>20000000</v>
      </c>
      <c r="AA11" s="258">
        <f t="shared" si="18"/>
        <v>20000000</v>
      </c>
      <c r="AB11" s="258">
        <f t="shared" si="18"/>
        <v>20000000</v>
      </c>
      <c r="AC11" s="258">
        <f t="shared" si="18"/>
        <v>20000000</v>
      </c>
      <c r="AD11" s="258">
        <f t="shared" si="18"/>
        <v>20000000</v>
      </c>
      <c r="AE11" s="258">
        <f t="shared" si="18"/>
        <v>20000000</v>
      </c>
      <c r="AF11" s="258">
        <f t="shared" si="18"/>
        <v>20000000</v>
      </c>
      <c r="AG11" s="258">
        <f t="shared" si="18"/>
        <v>20000000</v>
      </c>
      <c r="AH11" s="258">
        <f t="shared" si="18"/>
        <v>20000000</v>
      </c>
      <c r="AI11" s="258"/>
      <c r="AJ11" s="258">
        <f t="shared" si="6"/>
        <v>20000000</v>
      </c>
      <c r="AK11" s="258">
        <f t="shared" ref="AK11:AU11" si="19">IF(AND($A11&gt;AJ$4, $H11&lt;=AK$4, $H11&gt;=AJ$4),$E11*$C11,IF(IF(ISBLANK($H11)=TRUE,AND($A11&gt;=$J$4,$A11&lt;=AK$4),AND($A11&gt;AJ$4,ISBLANK($H11)=FALSE)),MAX($E11/NETWORKDAYS(AJ$4,AK$4)*MIN(NETWORKDAYS(AJ$4,AK$4),NETWORKDAYS($A11,AK$4)),0)*$C11,0))</f>
        <v>20000000</v>
      </c>
      <c r="AL11" s="258">
        <f t="shared" si="19"/>
        <v>20000000</v>
      </c>
      <c r="AM11" s="258">
        <f t="shared" si="19"/>
        <v>20000000</v>
      </c>
      <c r="AN11" s="258">
        <f t="shared" si="19"/>
        <v>20000000</v>
      </c>
      <c r="AO11" s="258">
        <f t="shared" si="19"/>
        <v>20000000</v>
      </c>
      <c r="AP11" s="258">
        <f t="shared" si="19"/>
        <v>20000000</v>
      </c>
      <c r="AQ11" s="258">
        <f t="shared" si="19"/>
        <v>20000000</v>
      </c>
      <c r="AR11" s="258">
        <f t="shared" si="19"/>
        <v>20000000</v>
      </c>
      <c r="AS11" s="258">
        <f t="shared" si="19"/>
        <v>20000000</v>
      </c>
      <c r="AT11" s="258">
        <f t="shared" si="19"/>
        <v>20000000</v>
      </c>
      <c r="AU11" s="258">
        <f t="shared" si="19"/>
        <v>20000000</v>
      </c>
      <c r="AV11" s="1045"/>
      <c r="AW11" s="313"/>
      <c r="AX11" s="313"/>
      <c r="AY11" s="313"/>
      <c r="AZ11" s="313"/>
      <c r="BA11" s="314"/>
    </row>
    <row r="12" spans="1:53" ht="12.75" x14ac:dyDescent="0.2">
      <c r="A12" s="1010">
        <f>'Salaries and wages'!I11</f>
        <v>45733</v>
      </c>
      <c r="B12" s="243" t="str">
        <f>'Salaries and wages'!C11</f>
        <v>Operations Manager</v>
      </c>
      <c r="C12" s="243">
        <f>'Salaries and wages'!D11</f>
        <v>1</v>
      </c>
      <c r="D12" s="243"/>
      <c r="E12" s="989">
        <f>'Salaries and wages'!E11*10^6</f>
        <v>25000000</v>
      </c>
      <c r="F12" s="536">
        <f>'Salaries and wages'!F11</f>
        <v>0</v>
      </c>
      <c r="G12" s="989">
        <f>'Salaries and wages'!G11*10^6</f>
        <v>25000000</v>
      </c>
      <c r="H12" s="1024"/>
      <c r="I12" s="1071"/>
      <c r="J12" s="258">
        <f t="shared" ref="J12:U12" si="20">IF(AND($A12&gt;I$4, $H12&lt;=J$4, $H12&gt;=I$4),$E12*$C12,IF(IF(ISBLANK($H12)=TRUE,AND($A12&gt;=$J$4,$A12&lt;=J$4),AND($A12&gt;I$4,ISBLANK($H12)=FALSE)),MAX($E12/NETWORKDAYS(I$4,J$4)*MIN(NETWORKDAYS(I$4,J$4),NETWORKDAYS($A12,J$4)),0)*$C12,0))</f>
        <v>0</v>
      </c>
      <c r="K12" s="258">
        <f t="shared" si="20"/>
        <v>0</v>
      </c>
      <c r="L12" s="258">
        <f t="shared" si="20"/>
        <v>12500000.000000002</v>
      </c>
      <c r="M12" s="258">
        <f t="shared" si="20"/>
        <v>25000000</v>
      </c>
      <c r="N12" s="258">
        <f t="shared" si="20"/>
        <v>25000000</v>
      </c>
      <c r="O12" s="258">
        <f t="shared" si="20"/>
        <v>25000000</v>
      </c>
      <c r="P12" s="258">
        <f t="shared" si="20"/>
        <v>25000000</v>
      </c>
      <c r="Q12" s="258">
        <f t="shared" si="20"/>
        <v>25000000.000000004</v>
      </c>
      <c r="R12" s="258">
        <f t="shared" si="20"/>
        <v>25000000.000000004</v>
      </c>
      <c r="S12" s="258">
        <f t="shared" si="20"/>
        <v>25000000</v>
      </c>
      <c r="T12" s="258">
        <f t="shared" si="20"/>
        <v>25000000</v>
      </c>
      <c r="U12" s="258">
        <f t="shared" si="20"/>
        <v>25000000</v>
      </c>
      <c r="V12" s="258"/>
      <c r="W12" s="258">
        <f t="shared" si="4"/>
        <v>25000000</v>
      </c>
      <c r="X12" s="258">
        <f t="shared" ref="X12:AH12" si="21">IF(AND($A12&gt;W$4, $H12&lt;=X$4, $H12&gt;=W$4),$E12*$C12,IF(IF(ISBLANK($H12)=TRUE,AND($A12&gt;=$J$4,$A12&lt;=X$4),AND($A12&gt;W$4,ISBLANK($H12)=FALSE)),MAX($E12/NETWORKDAYS(W$4,X$4)*MIN(NETWORKDAYS(W$4,X$4),NETWORKDAYS($A12,X$4)),0)*$C12,0))</f>
        <v>25000000</v>
      </c>
      <c r="Y12" s="258">
        <f t="shared" si="21"/>
        <v>25000000.000000004</v>
      </c>
      <c r="Z12" s="258">
        <f t="shared" si="21"/>
        <v>25000000</v>
      </c>
      <c r="AA12" s="258">
        <f t="shared" si="21"/>
        <v>25000000.000000004</v>
      </c>
      <c r="AB12" s="258">
        <f t="shared" si="21"/>
        <v>25000000.000000004</v>
      </c>
      <c r="AC12" s="258">
        <f t="shared" si="21"/>
        <v>25000000</v>
      </c>
      <c r="AD12" s="258">
        <f t="shared" si="21"/>
        <v>25000000.000000004</v>
      </c>
      <c r="AE12" s="258">
        <f t="shared" si="21"/>
        <v>25000000</v>
      </c>
      <c r="AF12" s="258">
        <f t="shared" si="21"/>
        <v>25000000</v>
      </c>
      <c r="AG12" s="258">
        <f t="shared" si="21"/>
        <v>25000000</v>
      </c>
      <c r="AH12" s="258">
        <f t="shared" si="21"/>
        <v>25000000</v>
      </c>
      <c r="AI12" s="258"/>
      <c r="AJ12" s="258">
        <f t="shared" si="6"/>
        <v>25000000.000000004</v>
      </c>
      <c r="AK12" s="258">
        <f t="shared" ref="AK12:AU12" si="22">IF(AND($A12&gt;AJ$4, $H12&lt;=AK$4, $H12&gt;=AJ$4),$E12*$C12,IF(IF(ISBLANK($H12)=TRUE,AND($A12&gt;=$J$4,$A12&lt;=AK$4),AND($A12&gt;AJ$4,ISBLANK($H12)=FALSE)),MAX($E12/NETWORKDAYS(AJ$4,AK$4)*MIN(NETWORKDAYS(AJ$4,AK$4),NETWORKDAYS($A12,AK$4)),0)*$C12,0))</f>
        <v>25000000</v>
      </c>
      <c r="AL12" s="258">
        <f t="shared" si="22"/>
        <v>25000000</v>
      </c>
      <c r="AM12" s="258">
        <f t="shared" si="22"/>
        <v>25000000</v>
      </c>
      <c r="AN12" s="258">
        <f t="shared" si="22"/>
        <v>25000000.000000004</v>
      </c>
      <c r="AO12" s="258">
        <f t="shared" si="22"/>
        <v>25000000</v>
      </c>
      <c r="AP12" s="258">
        <f t="shared" si="22"/>
        <v>25000000</v>
      </c>
      <c r="AQ12" s="258">
        <f t="shared" si="22"/>
        <v>25000000.000000004</v>
      </c>
      <c r="AR12" s="258">
        <f t="shared" si="22"/>
        <v>25000000</v>
      </c>
      <c r="AS12" s="258">
        <f t="shared" si="22"/>
        <v>25000000.000000004</v>
      </c>
      <c r="AT12" s="258">
        <f t="shared" si="22"/>
        <v>25000000.000000004</v>
      </c>
      <c r="AU12" s="258">
        <f t="shared" si="22"/>
        <v>25000000</v>
      </c>
      <c r="AV12" s="1045"/>
      <c r="AW12" s="313"/>
      <c r="AX12" s="313"/>
      <c r="AY12" s="313"/>
      <c r="AZ12" s="313"/>
      <c r="BA12" s="314"/>
    </row>
    <row r="13" spans="1:53" ht="12.75" x14ac:dyDescent="0.2">
      <c r="A13" s="1010">
        <f>'Salaries and wages'!I12</f>
        <v>45733</v>
      </c>
      <c r="B13" s="243" t="str">
        <f>'Salaries and wages'!C12</f>
        <v>Finance Manager</v>
      </c>
      <c r="C13" s="243">
        <f>'Salaries and wages'!D12</f>
        <v>1</v>
      </c>
      <c r="D13" s="243"/>
      <c r="E13" s="989">
        <f>'Salaries and wages'!E12*10^6</f>
        <v>32000000</v>
      </c>
      <c r="F13" s="536">
        <f>'Salaries and wages'!F12</f>
        <v>0</v>
      </c>
      <c r="G13" s="989">
        <f>'Salaries and wages'!G12*10^6</f>
        <v>32000000</v>
      </c>
      <c r="H13" s="1024"/>
      <c r="I13" s="1071"/>
      <c r="J13" s="258">
        <f t="shared" ref="J13:U13" si="23">IF(AND($A13&gt;I$4, $H13&lt;=J$4, $H13&gt;=I$4),$E13*$C13,IF(IF(ISBLANK($H13)=TRUE,AND($A13&gt;=$J$4,$A13&lt;=J$4),AND($A13&gt;I$4,ISBLANK($H13)=FALSE)),MAX($E13/NETWORKDAYS(I$4,J$4)*MIN(NETWORKDAYS(I$4,J$4),NETWORKDAYS($A13,J$4)),0)*$C13,0))</f>
        <v>0</v>
      </c>
      <c r="K13" s="258">
        <f t="shared" si="23"/>
        <v>0</v>
      </c>
      <c r="L13" s="258">
        <f t="shared" si="23"/>
        <v>16000000</v>
      </c>
      <c r="M13" s="258">
        <f t="shared" si="23"/>
        <v>32000000</v>
      </c>
      <c r="N13" s="258">
        <f t="shared" si="23"/>
        <v>32000000</v>
      </c>
      <c r="O13" s="258">
        <f t="shared" si="23"/>
        <v>32000000</v>
      </c>
      <c r="P13" s="258">
        <f t="shared" si="23"/>
        <v>32000000</v>
      </c>
      <c r="Q13" s="258">
        <f t="shared" si="23"/>
        <v>32000000</v>
      </c>
      <c r="R13" s="258">
        <f t="shared" si="23"/>
        <v>32000000</v>
      </c>
      <c r="S13" s="258">
        <f t="shared" si="23"/>
        <v>32000000</v>
      </c>
      <c r="T13" s="258">
        <f t="shared" si="23"/>
        <v>32000000</v>
      </c>
      <c r="U13" s="258">
        <f t="shared" si="23"/>
        <v>32000000</v>
      </c>
      <c r="V13" s="258"/>
      <c r="W13" s="258">
        <f t="shared" si="4"/>
        <v>32000000</v>
      </c>
      <c r="X13" s="258">
        <f t="shared" ref="X13:AH13" si="24">IF(AND($A13&gt;W$4, $H13&lt;=X$4, $H13&gt;=W$4),$E13*$C13,IF(IF(ISBLANK($H13)=TRUE,AND($A13&gt;=$J$4,$A13&lt;=X$4),AND($A13&gt;W$4,ISBLANK($H13)=FALSE)),MAX($E13/NETWORKDAYS(W$4,X$4)*MIN(NETWORKDAYS(W$4,X$4),NETWORKDAYS($A13,X$4)),0)*$C13,0))</f>
        <v>32000000</v>
      </c>
      <c r="Y13" s="258">
        <f t="shared" si="24"/>
        <v>32000000</v>
      </c>
      <c r="Z13" s="258">
        <f t="shared" si="24"/>
        <v>32000000</v>
      </c>
      <c r="AA13" s="258">
        <f t="shared" si="24"/>
        <v>32000000</v>
      </c>
      <c r="AB13" s="258">
        <f t="shared" si="24"/>
        <v>32000000</v>
      </c>
      <c r="AC13" s="258">
        <f t="shared" si="24"/>
        <v>32000000</v>
      </c>
      <c r="AD13" s="258">
        <f t="shared" si="24"/>
        <v>32000000</v>
      </c>
      <c r="AE13" s="258">
        <f t="shared" si="24"/>
        <v>32000000</v>
      </c>
      <c r="AF13" s="258">
        <f t="shared" si="24"/>
        <v>32000000</v>
      </c>
      <c r="AG13" s="258">
        <f t="shared" si="24"/>
        <v>32000000</v>
      </c>
      <c r="AH13" s="258">
        <f t="shared" si="24"/>
        <v>32000000</v>
      </c>
      <c r="AI13" s="258"/>
      <c r="AJ13" s="258">
        <f t="shared" si="6"/>
        <v>32000000</v>
      </c>
      <c r="AK13" s="258">
        <f t="shared" ref="AK13:AU13" si="25">IF(AND($A13&gt;AJ$4, $H13&lt;=AK$4, $H13&gt;=AJ$4),$E13*$C13,IF(IF(ISBLANK($H13)=TRUE,AND($A13&gt;=$J$4,$A13&lt;=AK$4),AND($A13&gt;AJ$4,ISBLANK($H13)=FALSE)),MAX($E13/NETWORKDAYS(AJ$4,AK$4)*MIN(NETWORKDAYS(AJ$4,AK$4),NETWORKDAYS($A13,AK$4)),0)*$C13,0))</f>
        <v>32000000</v>
      </c>
      <c r="AL13" s="258">
        <f t="shared" si="25"/>
        <v>32000000</v>
      </c>
      <c r="AM13" s="258">
        <f t="shared" si="25"/>
        <v>32000000</v>
      </c>
      <c r="AN13" s="258">
        <f t="shared" si="25"/>
        <v>32000000</v>
      </c>
      <c r="AO13" s="258">
        <f t="shared" si="25"/>
        <v>32000000</v>
      </c>
      <c r="AP13" s="258">
        <f t="shared" si="25"/>
        <v>32000000</v>
      </c>
      <c r="AQ13" s="258">
        <f t="shared" si="25"/>
        <v>32000000</v>
      </c>
      <c r="AR13" s="258">
        <f t="shared" si="25"/>
        <v>32000000</v>
      </c>
      <c r="AS13" s="258">
        <f t="shared" si="25"/>
        <v>32000000</v>
      </c>
      <c r="AT13" s="258">
        <f t="shared" si="25"/>
        <v>32000000</v>
      </c>
      <c r="AU13" s="258">
        <f t="shared" si="25"/>
        <v>32000000</v>
      </c>
      <c r="AV13" s="1045"/>
      <c r="AW13" s="313"/>
      <c r="AX13" s="313"/>
      <c r="AY13" s="313"/>
      <c r="AZ13" s="313"/>
      <c r="BA13" s="314"/>
    </row>
    <row r="14" spans="1:53" ht="12.75" x14ac:dyDescent="0.2">
      <c r="A14" s="1010">
        <f>'Salaries and wages'!I13</f>
        <v>45733</v>
      </c>
      <c r="B14" s="243" t="str">
        <f>'Salaries and wages'!C13</f>
        <v>Accounting Manager</v>
      </c>
      <c r="C14" s="243">
        <f>'Salaries and wages'!D13</f>
        <v>1</v>
      </c>
      <c r="D14" s="243"/>
      <c r="E14" s="989">
        <f>'Salaries and wages'!E13*10^6</f>
        <v>32000000</v>
      </c>
      <c r="F14" s="536">
        <f>'Salaries and wages'!F13</f>
        <v>0</v>
      </c>
      <c r="G14" s="989">
        <f>'Salaries and wages'!G13*10^6</f>
        <v>32000000</v>
      </c>
      <c r="H14" s="1024"/>
      <c r="I14" s="1071"/>
      <c r="J14" s="258">
        <f t="shared" ref="J14:U14" si="26">IF(AND($A14&gt;I$4, $H14&lt;=J$4, $H14&gt;=I$4),$E14*$C14,IF(IF(ISBLANK($H14)=TRUE,AND($A14&gt;=$J$4,$A14&lt;=J$4),AND($A14&gt;I$4,ISBLANK($H14)=FALSE)),MAX($E14/NETWORKDAYS(I$4,J$4)*MIN(NETWORKDAYS(I$4,J$4),NETWORKDAYS($A14,J$4)),0)*$C14,0))</f>
        <v>0</v>
      </c>
      <c r="K14" s="258">
        <f t="shared" si="26"/>
        <v>0</v>
      </c>
      <c r="L14" s="258">
        <f t="shared" si="26"/>
        <v>16000000</v>
      </c>
      <c r="M14" s="258">
        <f t="shared" si="26"/>
        <v>32000000</v>
      </c>
      <c r="N14" s="258">
        <f t="shared" si="26"/>
        <v>32000000</v>
      </c>
      <c r="O14" s="258">
        <f t="shared" si="26"/>
        <v>32000000</v>
      </c>
      <c r="P14" s="258">
        <f t="shared" si="26"/>
        <v>32000000</v>
      </c>
      <c r="Q14" s="258">
        <f t="shared" si="26"/>
        <v>32000000</v>
      </c>
      <c r="R14" s="258">
        <f t="shared" si="26"/>
        <v>32000000</v>
      </c>
      <c r="S14" s="258">
        <f t="shared" si="26"/>
        <v>32000000</v>
      </c>
      <c r="T14" s="258">
        <f t="shared" si="26"/>
        <v>32000000</v>
      </c>
      <c r="U14" s="258">
        <f t="shared" si="26"/>
        <v>32000000</v>
      </c>
      <c r="V14" s="258"/>
      <c r="W14" s="258">
        <f t="shared" si="4"/>
        <v>32000000</v>
      </c>
      <c r="X14" s="258">
        <f t="shared" ref="X14:AH14" si="27">IF(AND($A14&gt;W$4, $H14&lt;=X$4, $H14&gt;=W$4),$E14*$C14,IF(IF(ISBLANK($H14)=TRUE,AND($A14&gt;=$J$4,$A14&lt;=X$4),AND($A14&gt;W$4,ISBLANK($H14)=FALSE)),MAX($E14/NETWORKDAYS(W$4,X$4)*MIN(NETWORKDAYS(W$4,X$4),NETWORKDAYS($A14,X$4)),0)*$C14,0))</f>
        <v>32000000</v>
      </c>
      <c r="Y14" s="258">
        <f t="shared" si="27"/>
        <v>32000000</v>
      </c>
      <c r="Z14" s="258">
        <f t="shared" si="27"/>
        <v>32000000</v>
      </c>
      <c r="AA14" s="258">
        <f t="shared" si="27"/>
        <v>32000000</v>
      </c>
      <c r="AB14" s="258">
        <f t="shared" si="27"/>
        <v>32000000</v>
      </c>
      <c r="AC14" s="258">
        <f t="shared" si="27"/>
        <v>32000000</v>
      </c>
      <c r="AD14" s="258">
        <f t="shared" si="27"/>
        <v>32000000</v>
      </c>
      <c r="AE14" s="258">
        <f t="shared" si="27"/>
        <v>32000000</v>
      </c>
      <c r="AF14" s="258">
        <f t="shared" si="27"/>
        <v>32000000</v>
      </c>
      <c r="AG14" s="258">
        <f t="shared" si="27"/>
        <v>32000000</v>
      </c>
      <c r="AH14" s="258">
        <f t="shared" si="27"/>
        <v>32000000</v>
      </c>
      <c r="AI14" s="258"/>
      <c r="AJ14" s="258">
        <f t="shared" si="6"/>
        <v>32000000</v>
      </c>
      <c r="AK14" s="258">
        <f t="shared" ref="AK14:AU14" si="28">IF(AND($A14&gt;AJ$4, $H14&lt;=AK$4, $H14&gt;=AJ$4),$E14*$C14,IF(IF(ISBLANK($H14)=TRUE,AND($A14&gt;=$J$4,$A14&lt;=AK$4),AND($A14&gt;AJ$4,ISBLANK($H14)=FALSE)),MAX($E14/NETWORKDAYS(AJ$4,AK$4)*MIN(NETWORKDAYS(AJ$4,AK$4),NETWORKDAYS($A14,AK$4)),0)*$C14,0))</f>
        <v>32000000</v>
      </c>
      <c r="AL14" s="258">
        <f t="shared" si="28"/>
        <v>32000000</v>
      </c>
      <c r="AM14" s="258">
        <f t="shared" si="28"/>
        <v>32000000</v>
      </c>
      <c r="AN14" s="258">
        <f t="shared" si="28"/>
        <v>32000000</v>
      </c>
      <c r="AO14" s="258">
        <f t="shared" si="28"/>
        <v>32000000</v>
      </c>
      <c r="AP14" s="258">
        <f t="shared" si="28"/>
        <v>32000000</v>
      </c>
      <c r="AQ14" s="258">
        <f t="shared" si="28"/>
        <v>32000000</v>
      </c>
      <c r="AR14" s="258">
        <f t="shared" si="28"/>
        <v>32000000</v>
      </c>
      <c r="AS14" s="258">
        <f t="shared" si="28"/>
        <v>32000000</v>
      </c>
      <c r="AT14" s="258">
        <f t="shared" si="28"/>
        <v>32000000</v>
      </c>
      <c r="AU14" s="258">
        <f t="shared" si="28"/>
        <v>32000000</v>
      </c>
      <c r="AV14" s="1045"/>
      <c r="AW14" s="313"/>
      <c r="AX14" s="313"/>
      <c r="AY14" s="313"/>
      <c r="AZ14" s="313"/>
      <c r="BA14" s="314"/>
    </row>
    <row r="15" spans="1:53" ht="12.75" x14ac:dyDescent="0.2">
      <c r="A15" s="1010">
        <f>'Salaries and wages'!I14</f>
        <v>45733</v>
      </c>
      <c r="B15" s="243" t="str">
        <f>'Salaries and wages'!C14</f>
        <v>Logistics Manager</v>
      </c>
      <c r="C15" s="243">
        <f>'Salaries and wages'!D14</f>
        <v>1</v>
      </c>
      <c r="D15" s="243"/>
      <c r="E15" s="989">
        <f>'Salaries and wages'!E14*10^6</f>
        <v>21000000</v>
      </c>
      <c r="F15" s="536">
        <f>'Salaries and wages'!F14</f>
        <v>0</v>
      </c>
      <c r="G15" s="989">
        <f>'Salaries and wages'!G14*10^6</f>
        <v>21000000</v>
      </c>
      <c r="H15" s="1024"/>
      <c r="I15" s="1071"/>
      <c r="J15" s="258">
        <f t="shared" ref="J15:U15" si="29">IF(AND($A15&gt;I$4, $H15&lt;=J$4, $H15&gt;=I$4),$E15*$C15,IF(IF(ISBLANK($H15)=TRUE,AND($A15&gt;=$J$4,$A15&lt;=J$4),AND($A15&gt;I$4,ISBLANK($H15)=FALSE)),MAX($E15/NETWORKDAYS(I$4,J$4)*MIN(NETWORKDAYS(I$4,J$4),NETWORKDAYS($A15,J$4)),0)*$C15,0))</f>
        <v>0</v>
      </c>
      <c r="K15" s="258">
        <f t="shared" si="29"/>
        <v>0</v>
      </c>
      <c r="L15" s="258">
        <f t="shared" si="29"/>
        <v>10500000</v>
      </c>
      <c r="M15" s="258">
        <f t="shared" si="29"/>
        <v>21000000</v>
      </c>
      <c r="N15" s="258">
        <f t="shared" si="29"/>
        <v>21000000</v>
      </c>
      <c r="O15" s="258">
        <f t="shared" si="29"/>
        <v>21000000</v>
      </c>
      <c r="P15" s="258">
        <f t="shared" si="29"/>
        <v>21000000</v>
      </c>
      <c r="Q15" s="258">
        <f t="shared" si="29"/>
        <v>21000000</v>
      </c>
      <c r="R15" s="258">
        <f t="shared" si="29"/>
        <v>21000000</v>
      </c>
      <c r="S15" s="258">
        <f t="shared" si="29"/>
        <v>21000000</v>
      </c>
      <c r="T15" s="258">
        <f t="shared" si="29"/>
        <v>21000000</v>
      </c>
      <c r="U15" s="258">
        <f t="shared" si="29"/>
        <v>21000000</v>
      </c>
      <c r="V15" s="258"/>
      <c r="W15" s="258">
        <f t="shared" si="4"/>
        <v>21000000</v>
      </c>
      <c r="X15" s="258">
        <f t="shared" ref="X15:AH15" si="30">IF(AND($A15&gt;W$4, $H15&lt;=X$4, $H15&gt;=W$4),$E15*$C15,IF(IF(ISBLANK($H15)=TRUE,AND($A15&gt;=$J$4,$A15&lt;=X$4),AND($A15&gt;W$4,ISBLANK($H15)=FALSE)),MAX($E15/NETWORKDAYS(W$4,X$4)*MIN(NETWORKDAYS(W$4,X$4),NETWORKDAYS($A15,X$4)),0)*$C15,0))</f>
        <v>21000000</v>
      </c>
      <c r="Y15" s="258">
        <f t="shared" si="30"/>
        <v>21000000</v>
      </c>
      <c r="Z15" s="258">
        <f t="shared" si="30"/>
        <v>21000000</v>
      </c>
      <c r="AA15" s="258">
        <f t="shared" si="30"/>
        <v>21000000</v>
      </c>
      <c r="AB15" s="258">
        <f t="shared" si="30"/>
        <v>21000000</v>
      </c>
      <c r="AC15" s="258">
        <f t="shared" si="30"/>
        <v>21000000</v>
      </c>
      <c r="AD15" s="258">
        <f t="shared" si="30"/>
        <v>21000000</v>
      </c>
      <c r="AE15" s="258">
        <f t="shared" si="30"/>
        <v>21000000</v>
      </c>
      <c r="AF15" s="258">
        <f t="shared" si="30"/>
        <v>21000000</v>
      </c>
      <c r="AG15" s="258">
        <f t="shared" si="30"/>
        <v>21000000</v>
      </c>
      <c r="AH15" s="258">
        <f t="shared" si="30"/>
        <v>21000000</v>
      </c>
      <c r="AI15" s="258"/>
      <c r="AJ15" s="258">
        <f t="shared" si="6"/>
        <v>21000000</v>
      </c>
      <c r="AK15" s="258">
        <f t="shared" ref="AK15:AU15" si="31">IF(AND($A15&gt;AJ$4, $H15&lt;=AK$4, $H15&gt;=AJ$4),$E15*$C15,IF(IF(ISBLANK($H15)=TRUE,AND($A15&gt;=$J$4,$A15&lt;=AK$4),AND($A15&gt;AJ$4,ISBLANK($H15)=FALSE)),MAX($E15/NETWORKDAYS(AJ$4,AK$4)*MIN(NETWORKDAYS(AJ$4,AK$4),NETWORKDAYS($A15,AK$4)),0)*$C15,0))</f>
        <v>21000000</v>
      </c>
      <c r="AL15" s="258">
        <f t="shared" si="31"/>
        <v>21000000</v>
      </c>
      <c r="AM15" s="258">
        <f t="shared" si="31"/>
        <v>21000000</v>
      </c>
      <c r="AN15" s="258">
        <f t="shared" si="31"/>
        <v>21000000</v>
      </c>
      <c r="AO15" s="258">
        <f t="shared" si="31"/>
        <v>21000000</v>
      </c>
      <c r="AP15" s="258">
        <f t="shared" si="31"/>
        <v>21000000</v>
      </c>
      <c r="AQ15" s="258">
        <f t="shared" si="31"/>
        <v>21000000</v>
      </c>
      <c r="AR15" s="258">
        <f t="shared" si="31"/>
        <v>21000000</v>
      </c>
      <c r="AS15" s="258">
        <f t="shared" si="31"/>
        <v>21000000</v>
      </c>
      <c r="AT15" s="258">
        <f t="shared" si="31"/>
        <v>21000000</v>
      </c>
      <c r="AU15" s="258">
        <f t="shared" si="31"/>
        <v>21000000</v>
      </c>
      <c r="AV15" s="1045"/>
      <c r="AW15" s="313"/>
      <c r="AX15" s="313"/>
      <c r="AY15" s="313"/>
      <c r="AZ15" s="313"/>
      <c r="BA15" s="314"/>
    </row>
    <row r="16" spans="1:53" ht="12.75" x14ac:dyDescent="0.2">
      <c r="A16" s="1010">
        <f>'Salaries and wages'!I16</f>
        <v>45733</v>
      </c>
      <c r="B16" s="243" t="str">
        <f>'Salaries and wages'!C16</f>
        <v>Project Director</v>
      </c>
      <c r="C16" s="243">
        <f>'Salaries and wages'!D16</f>
        <v>1</v>
      </c>
      <c r="D16" s="243"/>
      <c r="E16" s="989">
        <f>'Salaries and wages'!E16*10^6</f>
        <v>30000000</v>
      </c>
      <c r="F16" s="536">
        <f>'Salaries and wages'!F16</f>
        <v>0</v>
      </c>
      <c r="G16" s="989">
        <f>'Salaries and wages'!G16*10^6</f>
        <v>30000000</v>
      </c>
      <c r="H16" s="1024"/>
      <c r="I16" s="1071"/>
      <c r="J16" s="258">
        <f t="shared" ref="J16:U16" si="32">IF(AND($A16&gt;I$4, $H16&lt;=J$4, $H16&gt;=I$4),$E16*$C16,IF(IF(ISBLANK($H16)=TRUE,AND($A16&gt;=$J$4,$A16&lt;=J$4),AND($A16&gt;I$4,ISBLANK($H16)=FALSE)),MAX($E16/NETWORKDAYS(I$4,J$4)*MIN(NETWORKDAYS(I$4,J$4),NETWORKDAYS($A16,J$4)),0)*$C16,0))</f>
        <v>0</v>
      </c>
      <c r="K16" s="258">
        <f t="shared" si="32"/>
        <v>0</v>
      </c>
      <c r="L16" s="258">
        <f t="shared" si="32"/>
        <v>14999999.999999998</v>
      </c>
      <c r="M16" s="258">
        <f t="shared" si="32"/>
        <v>30000000</v>
      </c>
      <c r="N16" s="258">
        <f t="shared" si="32"/>
        <v>30000000</v>
      </c>
      <c r="O16" s="258">
        <f t="shared" si="32"/>
        <v>30000000</v>
      </c>
      <c r="P16" s="258">
        <f t="shared" si="32"/>
        <v>30000000</v>
      </c>
      <c r="Q16" s="258">
        <f t="shared" si="32"/>
        <v>29999999.999999996</v>
      </c>
      <c r="R16" s="258">
        <f t="shared" si="32"/>
        <v>29999999.999999996</v>
      </c>
      <c r="S16" s="258">
        <f t="shared" si="32"/>
        <v>30000000</v>
      </c>
      <c r="T16" s="258">
        <f t="shared" si="32"/>
        <v>30000000</v>
      </c>
      <c r="U16" s="258">
        <f t="shared" si="32"/>
        <v>30000000</v>
      </c>
      <c r="V16" s="258"/>
      <c r="W16" s="258">
        <f t="shared" si="4"/>
        <v>30000000</v>
      </c>
      <c r="X16" s="258">
        <f t="shared" ref="X16:AH16" si="33">IF(AND($A16&gt;W$4, $H16&lt;=X$4, $H16&gt;=W$4),$E16*$C16,IF(IF(ISBLANK($H16)=TRUE,AND($A16&gt;=$J$4,$A16&lt;=X$4),AND($A16&gt;W$4,ISBLANK($H16)=FALSE)),MAX($E16/NETWORKDAYS(W$4,X$4)*MIN(NETWORKDAYS(W$4,X$4),NETWORKDAYS($A16,X$4)),0)*$C16,0))</f>
        <v>30000000</v>
      </c>
      <c r="Y16" s="258">
        <f t="shared" si="33"/>
        <v>29999999.999999996</v>
      </c>
      <c r="Z16" s="258">
        <f t="shared" si="33"/>
        <v>30000000</v>
      </c>
      <c r="AA16" s="258">
        <f t="shared" si="33"/>
        <v>29999999.999999996</v>
      </c>
      <c r="AB16" s="258">
        <f t="shared" si="33"/>
        <v>29999999.999999996</v>
      </c>
      <c r="AC16" s="258">
        <f t="shared" si="33"/>
        <v>30000000</v>
      </c>
      <c r="AD16" s="258">
        <f t="shared" si="33"/>
        <v>29999999.999999996</v>
      </c>
      <c r="AE16" s="258">
        <f t="shared" si="33"/>
        <v>30000000</v>
      </c>
      <c r="AF16" s="258">
        <f t="shared" si="33"/>
        <v>30000000</v>
      </c>
      <c r="AG16" s="258">
        <f t="shared" si="33"/>
        <v>30000000</v>
      </c>
      <c r="AH16" s="258">
        <f t="shared" si="33"/>
        <v>30000000</v>
      </c>
      <c r="AI16" s="258"/>
      <c r="AJ16" s="258">
        <f t="shared" si="6"/>
        <v>29999999.999999996</v>
      </c>
      <c r="AK16" s="258">
        <f t="shared" ref="AK16:AU16" si="34">IF(AND($A16&gt;AJ$4, $H16&lt;=AK$4, $H16&gt;=AJ$4),$E16*$C16,IF(IF(ISBLANK($H16)=TRUE,AND($A16&gt;=$J$4,$A16&lt;=AK$4),AND($A16&gt;AJ$4,ISBLANK($H16)=FALSE)),MAX($E16/NETWORKDAYS(AJ$4,AK$4)*MIN(NETWORKDAYS(AJ$4,AK$4),NETWORKDAYS($A16,AK$4)),0)*$C16,0))</f>
        <v>30000000</v>
      </c>
      <c r="AL16" s="258">
        <f t="shared" si="34"/>
        <v>30000000</v>
      </c>
      <c r="AM16" s="258">
        <f t="shared" si="34"/>
        <v>30000000</v>
      </c>
      <c r="AN16" s="258">
        <f t="shared" si="34"/>
        <v>29999999.999999996</v>
      </c>
      <c r="AO16" s="258">
        <f t="shared" si="34"/>
        <v>30000000</v>
      </c>
      <c r="AP16" s="258">
        <f t="shared" si="34"/>
        <v>30000000</v>
      </c>
      <c r="AQ16" s="258">
        <f t="shared" si="34"/>
        <v>29999999.999999996</v>
      </c>
      <c r="AR16" s="258">
        <f t="shared" si="34"/>
        <v>30000000</v>
      </c>
      <c r="AS16" s="258">
        <f t="shared" si="34"/>
        <v>29999999.999999996</v>
      </c>
      <c r="AT16" s="258">
        <f t="shared" si="34"/>
        <v>29999999.999999996</v>
      </c>
      <c r="AU16" s="258">
        <f t="shared" si="34"/>
        <v>30000000</v>
      </c>
      <c r="AV16" s="1045"/>
      <c r="AW16" s="313"/>
      <c r="AX16" s="313"/>
      <c r="AY16" s="313"/>
      <c r="AZ16" s="313"/>
      <c r="BA16" s="314"/>
    </row>
    <row r="17" spans="1:53" ht="12.75" x14ac:dyDescent="0.2">
      <c r="A17" s="1010">
        <f>'Salaries and wages'!I17</f>
        <v>45749</v>
      </c>
      <c r="B17" s="243" t="str">
        <f>'Salaries and wages'!C17</f>
        <v>Production Staff</v>
      </c>
      <c r="C17" s="243">
        <f>'Salaries and wages'!D17</f>
        <v>20</v>
      </c>
      <c r="D17" s="243"/>
      <c r="E17" s="989">
        <f>'Salaries and wages'!E17*10^6</f>
        <v>9000000</v>
      </c>
      <c r="F17" s="536">
        <f>'Salaries and wages'!F17</f>
        <v>0</v>
      </c>
      <c r="G17" s="989">
        <f>'Salaries and wages'!G17*10^6</f>
        <v>9000000</v>
      </c>
      <c r="H17" s="1024"/>
      <c r="I17" s="1071"/>
      <c r="J17" s="258">
        <f t="shared" ref="J17:U17" si="35">IF(AND($A17&gt;I$4, $H17&lt;=J$4, $H17&gt;=I$4),$E17*$C17,IF(IF(ISBLANK($H17)=TRUE,AND($A17&gt;=$J$4,$A17&lt;=J$4),AND($A17&gt;I$4,ISBLANK($H17)=FALSE)),MAX($E17/NETWORKDAYS(I$4,J$4)*MIN(NETWORKDAYS(I$4,J$4),NETWORKDAYS($A17,J$4)),0)*$C17,0))</f>
        <v>0</v>
      </c>
      <c r="K17" s="258">
        <f t="shared" si="35"/>
        <v>0</v>
      </c>
      <c r="L17" s="258">
        <f t="shared" si="35"/>
        <v>0</v>
      </c>
      <c r="M17" s="258">
        <f t="shared" si="35"/>
        <v>164347826.08695653</v>
      </c>
      <c r="N17" s="258">
        <f t="shared" si="35"/>
        <v>180000000</v>
      </c>
      <c r="O17" s="258">
        <f t="shared" si="35"/>
        <v>180000000</v>
      </c>
      <c r="P17" s="258">
        <f t="shared" si="35"/>
        <v>180000000</v>
      </c>
      <c r="Q17" s="258">
        <f t="shared" si="35"/>
        <v>180000000</v>
      </c>
      <c r="R17" s="258">
        <f t="shared" si="35"/>
        <v>180000000</v>
      </c>
      <c r="S17" s="258">
        <f t="shared" si="35"/>
        <v>180000000</v>
      </c>
      <c r="T17" s="258">
        <f t="shared" si="35"/>
        <v>180000000</v>
      </c>
      <c r="U17" s="258">
        <f t="shared" si="35"/>
        <v>180000000</v>
      </c>
      <c r="V17" s="258"/>
      <c r="W17" s="258">
        <f t="shared" si="4"/>
        <v>180000000</v>
      </c>
      <c r="X17" s="258">
        <f t="shared" ref="X17:AH17" si="36">IF(AND($A17&gt;W$4, $H17&lt;=X$4, $H17&gt;=W$4),$E17*$C17,IF(IF(ISBLANK($H17)=TRUE,AND($A17&gt;=$J$4,$A17&lt;=X$4),AND($A17&gt;W$4,ISBLANK($H17)=FALSE)),MAX($E17/NETWORKDAYS(W$4,X$4)*MIN(NETWORKDAYS(W$4,X$4),NETWORKDAYS($A17,X$4)),0)*$C17,0))</f>
        <v>180000000</v>
      </c>
      <c r="Y17" s="258">
        <f t="shared" si="36"/>
        <v>180000000</v>
      </c>
      <c r="Z17" s="258">
        <f t="shared" si="36"/>
        <v>180000000</v>
      </c>
      <c r="AA17" s="258">
        <f t="shared" si="36"/>
        <v>180000000</v>
      </c>
      <c r="AB17" s="258">
        <f t="shared" si="36"/>
        <v>180000000</v>
      </c>
      <c r="AC17" s="258">
        <f t="shared" si="36"/>
        <v>180000000</v>
      </c>
      <c r="AD17" s="258">
        <f t="shared" si="36"/>
        <v>180000000</v>
      </c>
      <c r="AE17" s="258">
        <f t="shared" si="36"/>
        <v>180000000</v>
      </c>
      <c r="AF17" s="258">
        <f t="shared" si="36"/>
        <v>180000000</v>
      </c>
      <c r="AG17" s="258">
        <f t="shared" si="36"/>
        <v>180000000</v>
      </c>
      <c r="AH17" s="258">
        <f t="shared" si="36"/>
        <v>180000000</v>
      </c>
      <c r="AI17" s="258"/>
      <c r="AJ17" s="258">
        <f t="shared" si="6"/>
        <v>180000000</v>
      </c>
      <c r="AK17" s="258">
        <f t="shared" ref="AK17:AU17" si="37">IF(AND($A17&gt;AJ$4, $H17&lt;=AK$4, $H17&gt;=AJ$4),$E17*$C17,IF(IF(ISBLANK($H17)=TRUE,AND($A17&gt;=$J$4,$A17&lt;=AK$4),AND($A17&gt;AJ$4,ISBLANK($H17)=FALSE)),MAX($E17/NETWORKDAYS(AJ$4,AK$4)*MIN(NETWORKDAYS(AJ$4,AK$4),NETWORKDAYS($A17,AK$4)),0)*$C17,0))</f>
        <v>180000000</v>
      </c>
      <c r="AL17" s="258">
        <f t="shared" si="37"/>
        <v>180000000</v>
      </c>
      <c r="AM17" s="258">
        <f t="shared" si="37"/>
        <v>180000000</v>
      </c>
      <c r="AN17" s="258">
        <f t="shared" si="37"/>
        <v>180000000</v>
      </c>
      <c r="AO17" s="258">
        <f t="shared" si="37"/>
        <v>180000000</v>
      </c>
      <c r="AP17" s="258">
        <f t="shared" si="37"/>
        <v>180000000</v>
      </c>
      <c r="AQ17" s="258">
        <f t="shared" si="37"/>
        <v>180000000</v>
      </c>
      <c r="AR17" s="258">
        <f t="shared" si="37"/>
        <v>180000000</v>
      </c>
      <c r="AS17" s="258">
        <f t="shared" si="37"/>
        <v>180000000</v>
      </c>
      <c r="AT17" s="258">
        <f t="shared" si="37"/>
        <v>180000000</v>
      </c>
      <c r="AU17" s="258">
        <f t="shared" si="37"/>
        <v>180000000</v>
      </c>
      <c r="AV17" s="1045"/>
      <c r="AW17" s="313"/>
      <c r="AX17" s="313"/>
      <c r="AY17" s="313"/>
      <c r="AZ17" s="313"/>
      <c r="BA17" s="314"/>
    </row>
    <row r="18" spans="1:53" ht="12.75" x14ac:dyDescent="0.2">
      <c r="A18" s="1010">
        <f>'Salaries and wages'!I18</f>
        <v>45749</v>
      </c>
      <c r="B18" s="243" t="str">
        <f>'Salaries and wages'!C18</f>
        <v>Security Staff</v>
      </c>
      <c r="C18" s="243">
        <f>'Salaries and wages'!D18</f>
        <v>1</v>
      </c>
      <c r="D18" s="243"/>
      <c r="E18" s="989">
        <f>'Salaries and wages'!E18*10^6</f>
        <v>8000000</v>
      </c>
      <c r="F18" s="536">
        <f>'Salaries and wages'!F18</f>
        <v>0</v>
      </c>
      <c r="G18" s="989">
        <f>'Salaries and wages'!G18*10^6</f>
        <v>8000000</v>
      </c>
      <c r="H18" s="1024"/>
      <c r="I18" s="1071"/>
      <c r="J18" s="258">
        <f t="shared" ref="J18:U18" si="38">IF(AND($A18&gt;I$4, $H18&lt;=J$4, $H18&gt;=I$4),$E18*$C18,IF(IF(ISBLANK($H18)=TRUE,AND($A18&gt;=$J$4,$A18&lt;=J$4),AND($A18&gt;I$4,ISBLANK($H18)=FALSE)),MAX($E18/NETWORKDAYS(I$4,J$4)*MIN(NETWORKDAYS(I$4,J$4),NETWORKDAYS($A18,J$4)),0)*$C18,0))</f>
        <v>0</v>
      </c>
      <c r="K18" s="258">
        <f t="shared" si="38"/>
        <v>0</v>
      </c>
      <c r="L18" s="258">
        <f t="shared" si="38"/>
        <v>0</v>
      </c>
      <c r="M18" s="258">
        <f t="shared" si="38"/>
        <v>7304347.8260869561</v>
      </c>
      <c r="N18" s="258">
        <f t="shared" si="38"/>
        <v>8000000</v>
      </c>
      <c r="O18" s="258">
        <f t="shared" si="38"/>
        <v>8000000</v>
      </c>
      <c r="P18" s="258">
        <f t="shared" si="38"/>
        <v>8000000</v>
      </c>
      <c r="Q18" s="258">
        <f t="shared" si="38"/>
        <v>8000000</v>
      </c>
      <c r="R18" s="258">
        <f t="shared" si="38"/>
        <v>8000000</v>
      </c>
      <c r="S18" s="258">
        <f t="shared" si="38"/>
        <v>8000000</v>
      </c>
      <c r="T18" s="258">
        <f t="shared" si="38"/>
        <v>8000000</v>
      </c>
      <c r="U18" s="258">
        <f t="shared" si="38"/>
        <v>8000000</v>
      </c>
      <c r="V18" s="258"/>
      <c r="W18" s="258">
        <f t="shared" si="4"/>
        <v>8000000</v>
      </c>
      <c r="X18" s="258">
        <f t="shared" ref="X18:AH18" si="39">IF(AND($A18&gt;W$4, $H18&lt;=X$4, $H18&gt;=W$4),$E18*$C18,IF(IF(ISBLANK($H18)=TRUE,AND($A18&gt;=$J$4,$A18&lt;=X$4),AND($A18&gt;W$4,ISBLANK($H18)=FALSE)),MAX($E18/NETWORKDAYS(W$4,X$4)*MIN(NETWORKDAYS(W$4,X$4),NETWORKDAYS($A18,X$4)),0)*$C18,0))</f>
        <v>8000000</v>
      </c>
      <c r="Y18" s="258">
        <f t="shared" si="39"/>
        <v>8000000</v>
      </c>
      <c r="Z18" s="258">
        <f t="shared" si="39"/>
        <v>8000000</v>
      </c>
      <c r="AA18" s="258">
        <f t="shared" si="39"/>
        <v>8000000</v>
      </c>
      <c r="AB18" s="258">
        <f t="shared" si="39"/>
        <v>8000000</v>
      </c>
      <c r="AC18" s="258">
        <f t="shared" si="39"/>
        <v>8000000</v>
      </c>
      <c r="AD18" s="258">
        <f t="shared" si="39"/>
        <v>8000000</v>
      </c>
      <c r="AE18" s="258">
        <f t="shared" si="39"/>
        <v>8000000</v>
      </c>
      <c r="AF18" s="258">
        <f t="shared" si="39"/>
        <v>8000000</v>
      </c>
      <c r="AG18" s="258">
        <f t="shared" si="39"/>
        <v>8000000</v>
      </c>
      <c r="AH18" s="258">
        <f t="shared" si="39"/>
        <v>8000000</v>
      </c>
      <c r="AI18" s="258"/>
      <c r="AJ18" s="258">
        <f t="shared" si="6"/>
        <v>8000000</v>
      </c>
      <c r="AK18" s="258">
        <f t="shared" ref="AK18:AU18" si="40">IF(AND($A18&gt;AJ$4, $H18&lt;=AK$4, $H18&gt;=AJ$4),$E18*$C18,IF(IF(ISBLANK($H18)=TRUE,AND($A18&gt;=$J$4,$A18&lt;=AK$4),AND($A18&gt;AJ$4,ISBLANK($H18)=FALSE)),MAX($E18/NETWORKDAYS(AJ$4,AK$4)*MIN(NETWORKDAYS(AJ$4,AK$4),NETWORKDAYS($A18,AK$4)),0)*$C18,0))</f>
        <v>8000000</v>
      </c>
      <c r="AL18" s="258">
        <f t="shared" si="40"/>
        <v>8000000</v>
      </c>
      <c r="AM18" s="258">
        <f t="shared" si="40"/>
        <v>8000000</v>
      </c>
      <c r="AN18" s="258">
        <f t="shared" si="40"/>
        <v>8000000</v>
      </c>
      <c r="AO18" s="258">
        <f t="shared" si="40"/>
        <v>8000000</v>
      </c>
      <c r="AP18" s="258">
        <f t="shared" si="40"/>
        <v>8000000</v>
      </c>
      <c r="AQ18" s="258">
        <f t="shared" si="40"/>
        <v>8000000</v>
      </c>
      <c r="AR18" s="258">
        <f t="shared" si="40"/>
        <v>8000000</v>
      </c>
      <c r="AS18" s="258">
        <f t="shared" si="40"/>
        <v>8000000</v>
      </c>
      <c r="AT18" s="258">
        <f t="shared" si="40"/>
        <v>8000000</v>
      </c>
      <c r="AU18" s="258">
        <f t="shared" si="40"/>
        <v>8000000</v>
      </c>
      <c r="AV18" s="1045"/>
      <c r="AW18" s="313"/>
      <c r="AX18" s="313"/>
      <c r="AY18" s="313"/>
      <c r="AZ18" s="313"/>
      <c r="BA18" s="314"/>
    </row>
    <row r="19" spans="1:53" ht="12.75" x14ac:dyDescent="0.2">
      <c r="A19" s="1010">
        <f>'Salaries and wages'!I19</f>
        <v>45762</v>
      </c>
      <c r="B19" s="243" t="str">
        <f>'Salaries and wages'!C19</f>
        <v>Sales Manager</v>
      </c>
      <c r="C19" s="243">
        <f>'Salaries and wages'!D19</f>
        <v>1</v>
      </c>
      <c r="D19" s="243"/>
      <c r="E19" s="989">
        <f>'Salaries and wages'!E19*10^6</f>
        <v>26000000</v>
      </c>
      <c r="F19" s="536">
        <f>'Salaries and wages'!F19</f>
        <v>0</v>
      </c>
      <c r="G19" s="989">
        <f>'Salaries and wages'!G19*10^6</f>
        <v>26000000</v>
      </c>
      <c r="H19" s="1024"/>
      <c r="I19" s="1071"/>
      <c r="J19" s="258">
        <f t="shared" ref="J19:U19" si="41">IF(AND($A19&gt;I$4, $H19&lt;=J$4, $H19&gt;=I$4),$E19*$C19,IF(IF(ISBLANK($H19)=TRUE,AND($A19&gt;=$J$4,$A19&lt;=J$4),AND($A19&gt;I$4,ISBLANK($H19)=FALSE)),MAX($E19/NETWORKDAYS(I$4,J$4)*MIN(NETWORKDAYS(I$4,J$4),NETWORKDAYS($A19,J$4)),0)*$C19,0))</f>
        <v>0</v>
      </c>
      <c r="K19" s="258">
        <f t="shared" si="41"/>
        <v>0</v>
      </c>
      <c r="L19" s="258">
        <f t="shared" si="41"/>
        <v>0</v>
      </c>
      <c r="M19" s="258">
        <f t="shared" si="41"/>
        <v>13565217.391304348</v>
      </c>
      <c r="N19" s="258">
        <f t="shared" si="41"/>
        <v>25999999.999999996</v>
      </c>
      <c r="O19" s="258">
        <f t="shared" si="41"/>
        <v>26000000</v>
      </c>
      <c r="P19" s="258">
        <f t="shared" si="41"/>
        <v>26000000</v>
      </c>
      <c r="Q19" s="258">
        <f t="shared" si="41"/>
        <v>26000000</v>
      </c>
      <c r="R19" s="258">
        <f t="shared" si="41"/>
        <v>26000000</v>
      </c>
      <c r="S19" s="258">
        <f t="shared" si="41"/>
        <v>26000000</v>
      </c>
      <c r="T19" s="258">
        <f t="shared" si="41"/>
        <v>26000000</v>
      </c>
      <c r="U19" s="258">
        <f t="shared" si="41"/>
        <v>25999999.999999996</v>
      </c>
      <c r="V19" s="258"/>
      <c r="W19" s="258">
        <f t="shared" si="4"/>
        <v>25999999.999999996</v>
      </c>
      <c r="X19" s="258">
        <f t="shared" ref="X19:AH19" si="42">IF(AND($A19&gt;W$4, $H19&lt;=X$4, $H19&gt;=W$4),$E19*$C19,IF(IF(ISBLANK($H19)=TRUE,AND($A19&gt;=$J$4,$A19&lt;=X$4),AND($A19&gt;W$4,ISBLANK($H19)=FALSE)),MAX($E19/NETWORKDAYS(W$4,X$4)*MIN(NETWORKDAYS(W$4,X$4),NETWORKDAYS($A19,X$4)),0)*$C19,0))</f>
        <v>26000000</v>
      </c>
      <c r="Y19" s="258">
        <f t="shared" si="42"/>
        <v>26000000</v>
      </c>
      <c r="Z19" s="258">
        <f t="shared" si="42"/>
        <v>25999999.999999996</v>
      </c>
      <c r="AA19" s="258">
        <f t="shared" si="42"/>
        <v>26000000</v>
      </c>
      <c r="AB19" s="258">
        <f t="shared" si="42"/>
        <v>26000000</v>
      </c>
      <c r="AC19" s="258">
        <f t="shared" si="42"/>
        <v>26000000</v>
      </c>
      <c r="AD19" s="258">
        <f t="shared" si="42"/>
        <v>26000000</v>
      </c>
      <c r="AE19" s="258">
        <f t="shared" si="42"/>
        <v>25999999.999999996</v>
      </c>
      <c r="AF19" s="258">
        <f t="shared" si="42"/>
        <v>25999999.999999996</v>
      </c>
      <c r="AG19" s="258">
        <f t="shared" si="42"/>
        <v>26000000</v>
      </c>
      <c r="AH19" s="258">
        <f t="shared" si="42"/>
        <v>26000000</v>
      </c>
      <c r="AI19" s="258"/>
      <c r="AJ19" s="258">
        <f t="shared" si="6"/>
        <v>26000000</v>
      </c>
      <c r="AK19" s="258">
        <f t="shared" ref="AK19:AU19" si="43">IF(AND($A19&gt;AJ$4, $H19&lt;=AK$4, $H19&gt;=AJ$4),$E19*$C19,IF(IF(ISBLANK($H19)=TRUE,AND($A19&gt;=$J$4,$A19&lt;=AK$4),AND($A19&gt;AJ$4,ISBLANK($H19)=FALSE)),MAX($E19/NETWORKDAYS(AJ$4,AK$4)*MIN(NETWORKDAYS(AJ$4,AK$4),NETWORKDAYS($A19,AK$4)),0)*$C19,0))</f>
        <v>26000000</v>
      </c>
      <c r="AL19" s="258">
        <f t="shared" si="43"/>
        <v>25999999.999999996</v>
      </c>
      <c r="AM19" s="258">
        <f t="shared" si="43"/>
        <v>25999999.999999996</v>
      </c>
      <c r="AN19" s="258">
        <f t="shared" si="43"/>
        <v>26000000</v>
      </c>
      <c r="AO19" s="258">
        <f t="shared" si="43"/>
        <v>25999999.999999996</v>
      </c>
      <c r="AP19" s="258">
        <f t="shared" si="43"/>
        <v>25999999.999999996</v>
      </c>
      <c r="AQ19" s="258">
        <f t="shared" si="43"/>
        <v>26000000</v>
      </c>
      <c r="AR19" s="258">
        <f t="shared" si="43"/>
        <v>25999999.999999996</v>
      </c>
      <c r="AS19" s="258">
        <f t="shared" si="43"/>
        <v>26000000</v>
      </c>
      <c r="AT19" s="258">
        <f t="shared" si="43"/>
        <v>26000000</v>
      </c>
      <c r="AU19" s="258">
        <f t="shared" si="43"/>
        <v>26000000</v>
      </c>
      <c r="AV19" s="1045"/>
      <c r="AW19" s="313"/>
      <c r="AX19" s="313"/>
      <c r="AY19" s="313"/>
      <c r="AZ19" s="313"/>
      <c r="BA19" s="314"/>
    </row>
    <row r="20" spans="1:53" ht="12.75" x14ac:dyDescent="0.2">
      <c r="A20" s="1010">
        <f>'Salaries and wages'!I20</f>
        <v>45762</v>
      </c>
      <c r="B20" s="243" t="str">
        <f>'Salaries and wages'!C20</f>
        <v>Marketing Manager</v>
      </c>
      <c r="C20" s="243">
        <f>'Salaries and wages'!D20</f>
        <v>1</v>
      </c>
      <c r="D20" s="243"/>
      <c r="E20" s="989">
        <f>'Salaries and wages'!E20*10^6</f>
        <v>23000000</v>
      </c>
      <c r="F20" s="536">
        <f>'Salaries and wages'!F20</f>
        <v>0.03</v>
      </c>
      <c r="G20" s="989">
        <f>'Salaries and wages'!G20*10^6</f>
        <v>23000000</v>
      </c>
      <c r="H20" s="1024"/>
      <c r="I20" s="1071"/>
      <c r="J20" s="258">
        <f t="shared" ref="J20:U20" si="44">IF(AND($A20&gt;I$4, $H20&lt;=J$4, $H20&gt;=I$4),$E20*$C20,IF(IF(ISBLANK($H20)=TRUE,AND($A20&gt;=$J$4,$A20&lt;=J$4),AND($A20&gt;I$4,ISBLANK($H20)=FALSE)),MAX($E20/NETWORKDAYS(I$4,J$4)*MIN(NETWORKDAYS(I$4,J$4),NETWORKDAYS($A20,J$4)),0)*$C20,0))</f>
        <v>0</v>
      </c>
      <c r="K20" s="258">
        <f t="shared" si="44"/>
        <v>0</v>
      </c>
      <c r="L20" s="258">
        <f t="shared" si="44"/>
        <v>0</v>
      </c>
      <c r="M20" s="258">
        <f t="shared" si="44"/>
        <v>12000000</v>
      </c>
      <c r="N20" s="258">
        <f t="shared" si="44"/>
        <v>23000000</v>
      </c>
      <c r="O20" s="258">
        <f t="shared" si="44"/>
        <v>23000000</v>
      </c>
      <c r="P20" s="258">
        <f t="shared" si="44"/>
        <v>23000000</v>
      </c>
      <c r="Q20" s="258">
        <f t="shared" si="44"/>
        <v>23000000</v>
      </c>
      <c r="R20" s="258">
        <f t="shared" si="44"/>
        <v>23000000</v>
      </c>
      <c r="S20" s="258">
        <f t="shared" si="44"/>
        <v>23000000</v>
      </c>
      <c r="T20" s="258">
        <f t="shared" si="44"/>
        <v>23000000</v>
      </c>
      <c r="U20" s="258">
        <f t="shared" si="44"/>
        <v>23000000</v>
      </c>
      <c r="V20" s="258"/>
      <c r="W20" s="258">
        <f t="shared" si="4"/>
        <v>23000000</v>
      </c>
      <c r="X20" s="258">
        <f t="shared" ref="X20:AH20" si="45">IF(AND($A20&gt;W$4, $H20&lt;=X$4, $H20&gt;=W$4),$E20*$C20,IF(IF(ISBLANK($H20)=TRUE,AND($A20&gt;=$J$4,$A20&lt;=X$4),AND($A20&gt;W$4,ISBLANK($H20)=FALSE)),MAX($E20/NETWORKDAYS(W$4,X$4)*MIN(NETWORKDAYS(W$4,X$4),NETWORKDAYS($A20,X$4)),0)*$C20,0))</f>
        <v>23000000</v>
      </c>
      <c r="Y20" s="258">
        <f t="shared" si="45"/>
        <v>23000000</v>
      </c>
      <c r="Z20" s="258">
        <f t="shared" si="45"/>
        <v>23000000</v>
      </c>
      <c r="AA20" s="258">
        <f t="shared" si="45"/>
        <v>23000000</v>
      </c>
      <c r="AB20" s="258">
        <f t="shared" si="45"/>
        <v>23000000</v>
      </c>
      <c r="AC20" s="258">
        <f t="shared" si="45"/>
        <v>23000000</v>
      </c>
      <c r="AD20" s="258">
        <f t="shared" si="45"/>
        <v>23000000</v>
      </c>
      <c r="AE20" s="258">
        <f t="shared" si="45"/>
        <v>23000000</v>
      </c>
      <c r="AF20" s="258">
        <f t="shared" si="45"/>
        <v>23000000</v>
      </c>
      <c r="AG20" s="258">
        <f t="shared" si="45"/>
        <v>23000000</v>
      </c>
      <c r="AH20" s="258">
        <f t="shared" si="45"/>
        <v>23000000</v>
      </c>
      <c r="AI20" s="258"/>
      <c r="AJ20" s="258">
        <f t="shared" si="6"/>
        <v>23000000</v>
      </c>
      <c r="AK20" s="258">
        <f t="shared" ref="AK20:AU20" si="46">IF(AND($A20&gt;AJ$4, $H20&lt;=AK$4, $H20&gt;=AJ$4),$E20*$C20,IF(IF(ISBLANK($H20)=TRUE,AND($A20&gt;=$J$4,$A20&lt;=AK$4),AND($A20&gt;AJ$4,ISBLANK($H20)=FALSE)),MAX($E20/NETWORKDAYS(AJ$4,AK$4)*MIN(NETWORKDAYS(AJ$4,AK$4),NETWORKDAYS($A20,AK$4)),0)*$C20,0))</f>
        <v>23000000</v>
      </c>
      <c r="AL20" s="258">
        <f t="shared" si="46"/>
        <v>23000000</v>
      </c>
      <c r="AM20" s="258">
        <f t="shared" si="46"/>
        <v>23000000</v>
      </c>
      <c r="AN20" s="258">
        <f t="shared" si="46"/>
        <v>23000000</v>
      </c>
      <c r="AO20" s="258">
        <f t="shared" si="46"/>
        <v>23000000</v>
      </c>
      <c r="AP20" s="258">
        <f t="shared" si="46"/>
        <v>23000000</v>
      </c>
      <c r="AQ20" s="258">
        <f t="shared" si="46"/>
        <v>23000000</v>
      </c>
      <c r="AR20" s="258">
        <f t="shared" si="46"/>
        <v>23000000</v>
      </c>
      <c r="AS20" s="258">
        <f t="shared" si="46"/>
        <v>23000000</v>
      </c>
      <c r="AT20" s="258">
        <f t="shared" si="46"/>
        <v>23000000</v>
      </c>
      <c r="AU20" s="258">
        <f t="shared" si="46"/>
        <v>23000000</v>
      </c>
      <c r="AV20" s="1045"/>
      <c r="AW20" s="313"/>
      <c r="AX20" s="313"/>
      <c r="AY20" s="313"/>
      <c r="AZ20" s="313"/>
      <c r="BA20" s="314"/>
    </row>
    <row r="21" spans="1:53" ht="12.75" x14ac:dyDescent="0.2">
      <c r="A21" s="1010">
        <f>'Salaries and wages'!I21</f>
        <v>45762</v>
      </c>
      <c r="B21" s="243" t="str">
        <f>'Salaries and wages'!C21</f>
        <v>PR Manager</v>
      </c>
      <c r="C21" s="243">
        <f>'Salaries and wages'!D21</f>
        <v>1</v>
      </c>
      <c r="D21" s="243"/>
      <c r="E21" s="989">
        <f>'Salaries and wages'!E21*10^6</f>
        <v>29000000</v>
      </c>
      <c r="F21" s="536">
        <f>'Salaries and wages'!F21</f>
        <v>0</v>
      </c>
      <c r="G21" s="989">
        <f>'Salaries and wages'!G21*10^6</f>
        <v>29000000</v>
      </c>
      <c r="H21" s="1024"/>
      <c r="I21" s="1071"/>
      <c r="J21" s="258">
        <f t="shared" ref="J21:U21" si="47">IF(AND($A21&gt;I$4, $H21&lt;=J$4, $H21&gt;=I$4),$E21*$C21,IF(IF(ISBLANK($H21)=TRUE,AND($A21&gt;=$J$4,$A21&lt;=J$4),AND($A21&gt;I$4,ISBLANK($H21)=FALSE)),MAX($E21/NETWORKDAYS(I$4,J$4)*MIN(NETWORKDAYS(I$4,J$4),NETWORKDAYS($A21,J$4)),0)*$C21,0))</f>
        <v>0</v>
      </c>
      <c r="K21" s="258">
        <f t="shared" si="47"/>
        <v>0</v>
      </c>
      <c r="L21" s="258">
        <f t="shared" si="47"/>
        <v>0</v>
      </c>
      <c r="M21" s="258">
        <f t="shared" si="47"/>
        <v>15130434.782608695</v>
      </c>
      <c r="N21" s="258">
        <f t="shared" si="47"/>
        <v>29000000</v>
      </c>
      <c r="O21" s="258">
        <f t="shared" si="47"/>
        <v>29000000.000000004</v>
      </c>
      <c r="P21" s="258">
        <f t="shared" si="47"/>
        <v>29000000</v>
      </c>
      <c r="Q21" s="258">
        <f t="shared" si="47"/>
        <v>29000000</v>
      </c>
      <c r="R21" s="258">
        <f t="shared" si="47"/>
        <v>29000000</v>
      </c>
      <c r="S21" s="258">
        <f t="shared" si="47"/>
        <v>29000000</v>
      </c>
      <c r="T21" s="258">
        <f t="shared" si="47"/>
        <v>29000000.000000004</v>
      </c>
      <c r="U21" s="258">
        <f t="shared" si="47"/>
        <v>29000000</v>
      </c>
      <c r="V21" s="258"/>
      <c r="W21" s="258">
        <f t="shared" si="4"/>
        <v>29000000</v>
      </c>
      <c r="X21" s="258">
        <f t="shared" ref="X21:AH21" si="48">IF(AND($A21&gt;W$4, $H21&lt;=X$4, $H21&gt;=W$4),$E21*$C21,IF(IF(ISBLANK($H21)=TRUE,AND($A21&gt;=$J$4,$A21&lt;=X$4),AND($A21&gt;W$4,ISBLANK($H21)=FALSE)),MAX($E21/NETWORKDAYS(W$4,X$4)*MIN(NETWORKDAYS(W$4,X$4),NETWORKDAYS($A21,X$4)),0)*$C21,0))</f>
        <v>29000000</v>
      </c>
      <c r="Y21" s="258">
        <f t="shared" si="48"/>
        <v>29000000</v>
      </c>
      <c r="Z21" s="258">
        <f t="shared" si="48"/>
        <v>29000000</v>
      </c>
      <c r="AA21" s="258">
        <f t="shared" si="48"/>
        <v>29000000</v>
      </c>
      <c r="AB21" s="258">
        <f t="shared" si="48"/>
        <v>29000000</v>
      </c>
      <c r="AC21" s="258">
        <f t="shared" si="48"/>
        <v>29000000</v>
      </c>
      <c r="AD21" s="258">
        <f t="shared" si="48"/>
        <v>29000000</v>
      </c>
      <c r="AE21" s="258">
        <f t="shared" si="48"/>
        <v>29000000</v>
      </c>
      <c r="AF21" s="258">
        <f t="shared" si="48"/>
        <v>29000000</v>
      </c>
      <c r="AG21" s="258">
        <f t="shared" si="48"/>
        <v>29000000.000000004</v>
      </c>
      <c r="AH21" s="258">
        <f t="shared" si="48"/>
        <v>29000000</v>
      </c>
      <c r="AI21" s="258"/>
      <c r="AJ21" s="258">
        <f t="shared" si="6"/>
        <v>29000000</v>
      </c>
      <c r="AK21" s="258">
        <f t="shared" ref="AK21:AU21" si="49">IF(AND($A21&gt;AJ$4, $H21&lt;=AK$4, $H21&gt;=AJ$4),$E21*$C21,IF(IF(ISBLANK($H21)=TRUE,AND($A21&gt;=$J$4,$A21&lt;=AK$4),AND($A21&gt;AJ$4,ISBLANK($H21)=FALSE)),MAX($E21/NETWORKDAYS(AJ$4,AK$4)*MIN(NETWORKDAYS(AJ$4,AK$4),NETWORKDAYS($A21,AK$4)),0)*$C21,0))</f>
        <v>29000000</v>
      </c>
      <c r="AL21" s="258">
        <f t="shared" si="49"/>
        <v>29000000</v>
      </c>
      <c r="AM21" s="258">
        <f t="shared" si="49"/>
        <v>29000000</v>
      </c>
      <c r="AN21" s="258">
        <f t="shared" si="49"/>
        <v>29000000</v>
      </c>
      <c r="AO21" s="258">
        <f t="shared" si="49"/>
        <v>29000000</v>
      </c>
      <c r="AP21" s="258">
        <f t="shared" si="49"/>
        <v>29000000</v>
      </c>
      <c r="AQ21" s="258">
        <f t="shared" si="49"/>
        <v>29000000</v>
      </c>
      <c r="AR21" s="258">
        <f t="shared" si="49"/>
        <v>29000000</v>
      </c>
      <c r="AS21" s="258">
        <f t="shared" si="49"/>
        <v>29000000</v>
      </c>
      <c r="AT21" s="258">
        <f t="shared" si="49"/>
        <v>29000000</v>
      </c>
      <c r="AU21" s="258">
        <f t="shared" si="49"/>
        <v>29000000</v>
      </c>
      <c r="AV21" s="1045"/>
      <c r="AW21" s="313"/>
      <c r="AX21" s="313"/>
      <c r="AY21" s="313"/>
      <c r="AZ21" s="313"/>
      <c r="BA21" s="314"/>
    </row>
    <row r="22" spans="1:53" ht="12.75" x14ac:dyDescent="0.2">
      <c r="A22" s="1010">
        <f>'Salaries and wages'!I22</f>
        <v>45779</v>
      </c>
      <c r="B22" s="243" t="str">
        <f>'Salaries and wages'!C22</f>
        <v>HR Staff</v>
      </c>
      <c r="C22" s="243">
        <f>'Salaries and wages'!D22</f>
        <v>2</v>
      </c>
      <c r="D22" s="243"/>
      <c r="E22" s="989">
        <f>'Salaries and wages'!E22*10^6</f>
        <v>9000000</v>
      </c>
      <c r="F22" s="536">
        <f>'Salaries and wages'!F22</f>
        <v>0</v>
      </c>
      <c r="G22" s="989">
        <f>'Salaries and wages'!G22*10^6</f>
        <v>9000000</v>
      </c>
      <c r="H22" s="1024"/>
      <c r="I22" s="1071"/>
      <c r="J22" s="258">
        <f t="shared" ref="J22:U22" si="50">IF(AND($A22&gt;I$4, $H22&lt;=J$4, $H22&gt;=I$4),$E22*$C22,IF(IF(ISBLANK($H22)=TRUE,AND($A22&gt;=$J$4,$A22&lt;=J$4),AND($A22&gt;I$4,ISBLANK($H22)=FALSE)),MAX($E22/NETWORKDAYS(I$4,J$4)*MIN(NETWORKDAYS(I$4,J$4),NETWORKDAYS($A22,J$4)),0)*$C22,0))</f>
        <v>0</v>
      </c>
      <c r="K22" s="258">
        <f t="shared" si="50"/>
        <v>0</v>
      </c>
      <c r="L22" s="258">
        <f t="shared" si="50"/>
        <v>0</v>
      </c>
      <c r="M22" s="258">
        <f t="shared" si="50"/>
        <v>0</v>
      </c>
      <c r="N22" s="258">
        <f t="shared" si="50"/>
        <v>16434782.608695652</v>
      </c>
      <c r="O22" s="258">
        <f t="shared" si="50"/>
        <v>18000000</v>
      </c>
      <c r="P22" s="258">
        <f t="shared" si="50"/>
        <v>18000000</v>
      </c>
      <c r="Q22" s="258">
        <f t="shared" si="50"/>
        <v>18000000</v>
      </c>
      <c r="R22" s="258">
        <f t="shared" si="50"/>
        <v>18000000</v>
      </c>
      <c r="S22" s="258">
        <f t="shared" si="50"/>
        <v>18000000</v>
      </c>
      <c r="T22" s="258">
        <f t="shared" si="50"/>
        <v>18000000</v>
      </c>
      <c r="U22" s="258">
        <f t="shared" si="50"/>
        <v>18000000</v>
      </c>
      <c r="V22" s="258"/>
      <c r="W22" s="258">
        <f t="shared" si="4"/>
        <v>18000000</v>
      </c>
      <c r="X22" s="258">
        <f t="shared" ref="X22:AH22" si="51">IF(AND($A22&gt;W$4, $H22&lt;=X$4, $H22&gt;=W$4),$E22*$C22,IF(IF(ISBLANK($H22)=TRUE,AND($A22&gt;=$J$4,$A22&lt;=X$4),AND($A22&gt;W$4,ISBLANK($H22)=FALSE)),MAX($E22/NETWORKDAYS(W$4,X$4)*MIN(NETWORKDAYS(W$4,X$4),NETWORKDAYS($A22,X$4)),0)*$C22,0))</f>
        <v>18000000</v>
      </c>
      <c r="Y22" s="258">
        <f t="shared" si="51"/>
        <v>18000000</v>
      </c>
      <c r="Z22" s="258">
        <f t="shared" si="51"/>
        <v>18000000</v>
      </c>
      <c r="AA22" s="258">
        <f t="shared" si="51"/>
        <v>18000000</v>
      </c>
      <c r="AB22" s="258">
        <f t="shared" si="51"/>
        <v>18000000</v>
      </c>
      <c r="AC22" s="258">
        <f t="shared" si="51"/>
        <v>18000000</v>
      </c>
      <c r="AD22" s="258">
        <f t="shared" si="51"/>
        <v>18000000</v>
      </c>
      <c r="AE22" s="258">
        <f t="shared" si="51"/>
        <v>18000000</v>
      </c>
      <c r="AF22" s="258">
        <f t="shared" si="51"/>
        <v>18000000</v>
      </c>
      <c r="AG22" s="258">
        <f t="shared" si="51"/>
        <v>18000000</v>
      </c>
      <c r="AH22" s="258">
        <f t="shared" si="51"/>
        <v>18000000</v>
      </c>
      <c r="AI22" s="258"/>
      <c r="AJ22" s="258">
        <f t="shared" si="6"/>
        <v>18000000</v>
      </c>
      <c r="AK22" s="258">
        <f t="shared" ref="AK22:AU22" si="52">IF(AND($A22&gt;AJ$4, $H22&lt;=AK$4, $H22&gt;=AJ$4),$E22*$C22,IF(IF(ISBLANK($H22)=TRUE,AND($A22&gt;=$J$4,$A22&lt;=AK$4),AND($A22&gt;AJ$4,ISBLANK($H22)=FALSE)),MAX($E22/NETWORKDAYS(AJ$4,AK$4)*MIN(NETWORKDAYS(AJ$4,AK$4),NETWORKDAYS($A22,AK$4)),0)*$C22,0))</f>
        <v>18000000</v>
      </c>
      <c r="AL22" s="258">
        <f t="shared" si="52"/>
        <v>18000000</v>
      </c>
      <c r="AM22" s="258">
        <f t="shared" si="52"/>
        <v>18000000</v>
      </c>
      <c r="AN22" s="258">
        <f t="shared" si="52"/>
        <v>18000000</v>
      </c>
      <c r="AO22" s="258">
        <f t="shared" si="52"/>
        <v>18000000</v>
      </c>
      <c r="AP22" s="258">
        <f t="shared" si="52"/>
        <v>18000000</v>
      </c>
      <c r="AQ22" s="258">
        <f t="shared" si="52"/>
        <v>18000000</v>
      </c>
      <c r="AR22" s="258">
        <f t="shared" si="52"/>
        <v>18000000</v>
      </c>
      <c r="AS22" s="258">
        <f t="shared" si="52"/>
        <v>18000000</v>
      </c>
      <c r="AT22" s="258">
        <f t="shared" si="52"/>
        <v>18000000</v>
      </c>
      <c r="AU22" s="258">
        <f t="shared" si="52"/>
        <v>18000000</v>
      </c>
      <c r="AV22" s="1045"/>
      <c r="AW22" s="313"/>
      <c r="AX22" s="313"/>
      <c r="AY22" s="313"/>
      <c r="AZ22" s="313"/>
      <c r="BA22" s="314"/>
    </row>
    <row r="23" spans="1:53" ht="12.75" x14ac:dyDescent="0.2">
      <c r="A23" s="1010">
        <f>'Salaries and wages'!I23</f>
        <v>45779</v>
      </c>
      <c r="B23" s="243" t="str">
        <f>'Salaries and wages'!C23</f>
        <v>Accountant</v>
      </c>
      <c r="C23" s="243">
        <f>'Salaries and wages'!D23</f>
        <v>3</v>
      </c>
      <c r="D23" s="243"/>
      <c r="E23" s="989">
        <f>'Salaries and wages'!E23*10^6</f>
        <v>10000000</v>
      </c>
      <c r="F23" s="536">
        <f>'Salaries and wages'!F23</f>
        <v>0</v>
      </c>
      <c r="G23" s="989">
        <f>'Salaries and wages'!G23*10^6</f>
        <v>10000000</v>
      </c>
      <c r="H23" s="1024"/>
      <c r="I23" s="1071"/>
      <c r="J23" s="258">
        <f t="shared" ref="J23:U23" si="53">IF(AND($A23&gt;I$4, $H23&lt;=J$4, $H23&gt;=I$4),$E23*$C23,IF(IF(ISBLANK($H23)=TRUE,AND($A23&gt;=$J$4,$A23&lt;=J$4),AND($A23&gt;I$4,ISBLANK($H23)=FALSE)),MAX($E23/NETWORKDAYS(I$4,J$4)*MIN(NETWORKDAYS(I$4,J$4),NETWORKDAYS($A23,J$4)),0)*$C23,0))</f>
        <v>0</v>
      </c>
      <c r="K23" s="258">
        <f t="shared" si="53"/>
        <v>0</v>
      </c>
      <c r="L23" s="258">
        <f t="shared" si="53"/>
        <v>0</v>
      </c>
      <c r="M23" s="258">
        <f t="shared" si="53"/>
        <v>0</v>
      </c>
      <c r="N23" s="258">
        <f t="shared" si="53"/>
        <v>27391304.347826086</v>
      </c>
      <c r="O23" s="258">
        <f t="shared" si="53"/>
        <v>30000000</v>
      </c>
      <c r="P23" s="258">
        <f t="shared" si="53"/>
        <v>30000000</v>
      </c>
      <c r="Q23" s="258">
        <f t="shared" si="53"/>
        <v>30000000</v>
      </c>
      <c r="R23" s="258">
        <f t="shared" si="53"/>
        <v>30000000</v>
      </c>
      <c r="S23" s="258">
        <f t="shared" si="53"/>
        <v>30000000</v>
      </c>
      <c r="T23" s="258">
        <f t="shared" si="53"/>
        <v>30000000</v>
      </c>
      <c r="U23" s="258">
        <f t="shared" si="53"/>
        <v>30000000</v>
      </c>
      <c r="V23" s="258"/>
      <c r="W23" s="258">
        <f t="shared" si="4"/>
        <v>30000000</v>
      </c>
      <c r="X23" s="258">
        <f t="shared" ref="X23:AH23" si="54">IF(AND($A23&gt;W$4, $H23&lt;=X$4, $H23&gt;=W$4),$E23*$C23,IF(IF(ISBLANK($H23)=TRUE,AND($A23&gt;=$J$4,$A23&lt;=X$4),AND($A23&gt;W$4,ISBLANK($H23)=FALSE)),MAX($E23/NETWORKDAYS(W$4,X$4)*MIN(NETWORKDAYS(W$4,X$4),NETWORKDAYS($A23,X$4)),0)*$C23,0))</f>
        <v>30000000</v>
      </c>
      <c r="Y23" s="258">
        <f t="shared" si="54"/>
        <v>30000000</v>
      </c>
      <c r="Z23" s="258">
        <f t="shared" si="54"/>
        <v>30000000</v>
      </c>
      <c r="AA23" s="258">
        <f t="shared" si="54"/>
        <v>30000000</v>
      </c>
      <c r="AB23" s="258">
        <f t="shared" si="54"/>
        <v>30000000</v>
      </c>
      <c r="AC23" s="258">
        <f t="shared" si="54"/>
        <v>30000000</v>
      </c>
      <c r="AD23" s="258">
        <f t="shared" si="54"/>
        <v>30000000</v>
      </c>
      <c r="AE23" s="258">
        <f t="shared" si="54"/>
        <v>30000000</v>
      </c>
      <c r="AF23" s="258">
        <f t="shared" si="54"/>
        <v>30000000</v>
      </c>
      <c r="AG23" s="258">
        <f t="shared" si="54"/>
        <v>30000000</v>
      </c>
      <c r="AH23" s="258">
        <f t="shared" si="54"/>
        <v>30000000</v>
      </c>
      <c r="AI23" s="258"/>
      <c r="AJ23" s="258">
        <f t="shared" si="6"/>
        <v>30000000</v>
      </c>
      <c r="AK23" s="258">
        <f t="shared" ref="AK23:AU23" si="55">IF(AND($A23&gt;AJ$4, $H23&lt;=AK$4, $H23&gt;=AJ$4),$E23*$C23,IF(IF(ISBLANK($H23)=TRUE,AND($A23&gt;=$J$4,$A23&lt;=AK$4),AND($A23&gt;AJ$4,ISBLANK($H23)=FALSE)),MAX($E23/NETWORKDAYS(AJ$4,AK$4)*MIN(NETWORKDAYS(AJ$4,AK$4),NETWORKDAYS($A23,AK$4)),0)*$C23,0))</f>
        <v>30000000</v>
      </c>
      <c r="AL23" s="258">
        <f t="shared" si="55"/>
        <v>30000000</v>
      </c>
      <c r="AM23" s="258">
        <f t="shared" si="55"/>
        <v>30000000</v>
      </c>
      <c r="AN23" s="258">
        <f t="shared" si="55"/>
        <v>30000000</v>
      </c>
      <c r="AO23" s="258">
        <f t="shared" si="55"/>
        <v>30000000</v>
      </c>
      <c r="AP23" s="258">
        <f t="shared" si="55"/>
        <v>30000000</v>
      </c>
      <c r="AQ23" s="258">
        <f t="shared" si="55"/>
        <v>30000000</v>
      </c>
      <c r="AR23" s="258">
        <f t="shared" si="55"/>
        <v>30000000</v>
      </c>
      <c r="AS23" s="258">
        <f t="shared" si="55"/>
        <v>30000000</v>
      </c>
      <c r="AT23" s="258">
        <f t="shared" si="55"/>
        <v>30000000</v>
      </c>
      <c r="AU23" s="258">
        <f t="shared" si="55"/>
        <v>30000000</v>
      </c>
      <c r="AV23" s="1045"/>
      <c r="AW23" s="313"/>
      <c r="AX23" s="313"/>
      <c r="AY23" s="313"/>
      <c r="AZ23" s="313"/>
      <c r="BA23" s="314"/>
    </row>
    <row r="24" spans="1:53" ht="12.75" x14ac:dyDescent="0.2">
      <c r="A24" s="1010">
        <f>'Salaries and wages'!I24</f>
        <v>45779</v>
      </c>
      <c r="B24" s="243" t="str">
        <f>'Salaries and wages'!C24</f>
        <v>Marketing Staff</v>
      </c>
      <c r="C24" s="243">
        <f>'Salaries and wages'!D24</f>
        <v>4</v>
      </c>
      <c r="D24" s="243"/>
      <c r="E24" s="989">
        <f>'Salaries and wages'!E24*10^6</f>
        <v>10000000</v>
      </c>
      <c r="F24" s="536">
        <f>'Salaries and wages'!F24</f>
        <v>0.03</v>
      </c>
      <c r="G24" s="989">
        <f>'Salaries and wages'!G24*10^6</f>
        <v>10000000</v>
      </c>
      <c r="H24" s="1024"/>
      <c r="I24" s="1071"/>
      <c r="J24" s="258">
        <f t="shared" ref="J24:U24" si="56">IF(AND($A24&gt;I$4, $H24&lt;=J$4, $H24&gt;=I$4),$E24*$C24,IF(IF(ISBLANK($H24)=TRUE,AND($A24&gt;=$J$4,$A24&lt;=J$4),AND($A24&gt;I$4,ISBLANK($H24)=FALSE)),MAX($E24/NETWORKDAYS(I$4,J$4)*MIN(NETWORKDAYS(I$4,J$4),NETWORKDAYS($A24,J$4)),0)*$C24,0))</f>
        <v>0</v>
      </c>
      <c r="K24" s="258">
        <f t="shared" si="56"/>
        <v>0</v>
      </c>
      <c r="L24" s="258">
        <f t="shared" si="56"/>
        <v>0</v>
      </c>
      <c r="M24" s="258">
        <f t="shared" si="56"/>
        <v>0</v>
      </c>
      <c r="N24" s="258">
        <f t="shared" si="56"/>
        <v>36521739.130434781</v>
      </c>
      <c r="O24" s="258">
        <f t="shared" si="56"/>
        <v>40000000</v>
      </c>
      <c r="P24" s="258">
        <f t="shared" si="56"/>
        <v>40000000</v>
      </c>
      <c r="Q24" s="258">
        <f t="shared" si="56"/>
        <v>40000000</v>
      </c>
      <c r="R24" s="258">
        <f t="shared" si="56"/>
        <v>40000000</v>
      </c>
      <c r="S24" s="258">
        <f t="shared" si="56"/>
        <v>40000000</v>
      </c>
      <c r="T24" s="258">
        <f t="shared" si="56"/>
        <v>40000000</v>
      </c>
      <c r="U24" s="258">
        <f t="shared" si="56"/>
        <v>40000000</v>
      </c>
      <c r="V24" s="258"/>
      <c r="W24" s="258">
        <f t="shared" si="4"/>
        <v>40000000</v>
      </c>
      <c r="X24" s="258">
        <f t="shared" ref="X24:AH24" si="57">IF(AND($A24&gt;W$4, $H24&lt;=X$4, $H24&gt;=W$4),$E24*$C24,IF(IF(ISBLANK($H24)=TRUE,AND($A24&gt;=$J$4,$A24&lt;=X$4),AND($A24&gt;W$4,ISBLANK($H24)=FALSE)),MAX($E24/NETWORKDAYS(W$4,X$4)*MIN(NETWORKDAYS(W$4,X$4),NETWORKDAYS($A24,X$4)),0)*$C24,0))</f>
        <v>40000000</v>
      </c>
      <c r="Y24" s="258">
        <f t="shared" si="57"/>
        <v>40000000</v>
      </c>
      <c r="Z24" s="258">
        <f t="shared" si="57"/>
        <v>40000000</v>
      </c>
      <c r="AA24" s="258">
        <f t="shared" si="57"/>
        <v>40000000</v>
      </c>
      <c r="AB24" s="258">
        <f t="shared" si="57"/>
        <v>40000000</v>
      </c>
      <c r="AC24" s="258">
        <f t="shared" si="57"/>
        <v>40000000</v>
      </c>
      <c r="AD24" s="258">
        <f t="shared" si="57"/>
        <v>40000000</v>
      </c>
      <c r="AE24" s="258">
        <f t="shared" si="57"/>
        <v>40000000</v>
      </c>
      <c r="AF24" s="258">
        <f t="shared" si="57"/>
        <v>40000000</v>
      </c>
      <c r="AG24" s="258">
        <f t="shared" si="57"/>
        <v>40000000</v>
      </c>
      <c r="AH24" s="258">
        <f t="shared" si="57"/>
        <v>40000000</v>
      </c>
      <c r="AI24" s="258"/>
      <c r="AJ24" s="258">
        <f t="shared" si="6"/>
        <v>40000000</v>
      </c>
      <c r="AK24" s="258">
        <f t="shared" ref="AK24:AU24" si="58">IF(AND($A24&gt;AJ$4, $H24&lt;=AK$4, $H24&gt;=AJ$4),$E24*$C24,IF(IF(ISBLANK($H24)=TRUE,AND($A24&gt;=$J$4,$A24&lt;=AK$4),AND($A24&gt;AJ$4,ISBLANK($H24)=FALSE)),MAX($E24/NETWORKDAYS(AJ$4,AK$4)*MIN(NETWORKDAYS(AJ$4,AK$4),NETWORKDAYS($A24,AK$4)),0)*$C24,0))</f>
        <v>40000000</v>
      </c>
      <c r="AL24" s="258">
        <f t="shared" si="58"/>
        <v>40000000</v>
      </c>
      <c r="AM24" s="258">
        <f t="shared" si="58"/>
        <v>40000000</v>
      </c>
      <c r="AN24" s="258">
        <f t="shared" si="58"/>
        <v>40000000</v>
      </c>
      <c r="AO24" s="258">
        <f t="shared" si="58"/>
        <v>40000000</v>
      </c>
      <c r="AP24" s="258">
        <f t="shared" si="58"/>
        <v>40000000</v>
      </c>
      <c r="AQ24" s="258">
        <f t="shared" si="58"/>
        <v>40000000</v>
      </c>
      <c r="AR24" s="258">
        <f t="shared" si="58"/>
        <v>40000000</v>
      </c>
      <c r="AS24" s="258">
        <f t="shared" si="58"/>
        <v>40000000</v>
      </c>
      <c r="AT24" s="258">
        <f t="shared" si="58"/>
        <v>40000000</v>
      </c>
      <c r="AU24" s="258">
        <f t="shared" si="58"/>
        <v>40000000</v>
      </c>
      <c r="AV24" s="1045"/>
      <c r="AW24" s="313"/>
      <c r="AX24" s="313"/>
      <c r="AY24" s="313"/>
      <c r="AZ24" s="313"/>
      <c r="BA24" s="314"/>
    </row>
    <row r="25" spans="1:53" ht="12.75" x14ac:dyDescent="0.2">
      <c r="A25" s="1010">
        <f>'Salaries and wages'!I25</f>
        <v>45779</v>
      </c>
      <c r="B25" s="243" t="str">
        <f>'Salaries and wages'!C25</f>
        <v>Security Staff</v>
      </c>
      <c r="C25" s="243">
        <f>'Salaries and wages'!D25</f>
        <v>1</v>
      </c>
      <c r="D25" s="243"/>
      <c r="E25" s="989">
        <f>'Salaries and wages'!E25*10^6</f>
        <v>8000000</v>
      </c>
      <c r="F25" s="536">
        <f>'Salaries and wages'!F25</f>
        <v>0</v>
      </c>
      <c r="G25" s="989">
        <f>'Salaries and wages'!G25*10^6</f>
        <v>8000000</v>
      </c>
      <c r="H25" s="1024"/>
      <c r="I25" s="1071"/>
      <c r="J25" s="258">
        <f t="shared" ref="J25:U25" si="59">IF(AND($A25&gt;I$4, $H25&lt;=J$4, $H25&gt;=I$4),$E25*$C25,IF(IF(ISBLANK($H25)=TRUE,AND($A25&gt;=$J$4,$A25&lt;=J$4),AND($A25&gt;I$4,ISBLANK($H25)=FALSE)),MAX($E25/NETWORKDAYS(I$4,J$4)*MIN(NETWORKDAYS(I$4,J$4),NETWORKDAYS($A25,J$4)),0)*$C25,0))</f>
        <v>0</v>
      </c>
      <c r="K25" s="258">
        <f t="shared" si="59"/>
        <v>0</v>
      </c>
      <c r="L25" s="258">
        <f t="shared" si="59"/>
        <v>0</v>
      </c>
      <c r="M25" s="258">
        <f t="shared" si="59"/>
        <v>0</v>
      </c>
      <c r="N25" s="258">
        <f t="shared" si="59"/>
        <v>7304347.8260869561</v>
      </c>
      <c r="O25" s="258">
        <f t="shared" si="59"/>
        <v>8000000</v>
      </c>
      <c r="P25" s="258">
        <f t="shared" si="59"/>
        <v>8000000</v>
      </c>
      <c r="Q25" s="258">
        <f t="shared" si="59"/>
        <v>8000000</v>
      </c>
      <c r="R25" s="258">
        <f t="shared" si="59"/>
        <v>8000000</v>
      </c>
      <c r="S25" s="258">
        <f t="shared" si="59"/>
        <v>8000000</v>
      </c>
      <c r="T25" s="258">
        <f t="shared" si="59"/>
        <v>8000000</v>
      </c>
      <c r="U25" s="258">
        <f t="shared" si="59"/>
        <v>8000000</v>
      </c>
      <c r="V25" s="258"/>
      <c r="W25" s="258">
        <f t="shared" si="4"/>
        <v>8000000</v>
      </c>
      <c r="X25" s="258">
        <f t="shared" ref="X25:AH25" si="60">IF(AND($A25&gt;W$4, $H25&lt;=X$4, $H25&gt;=W$4),$E25*$C25,IF(IF(ISBLANK($H25)=TRUE,AND($A25&gt;=$J$4,$A25&lt;=X$4),AND($A25&gt;W$4,ISBLANK($H25)=FALSE)),MAX($E25/NETWORKDAYS(W$4,X$4)*MIN(NETWORKDAYS(W$4,X$4),NETWORKDAYS($A25,X$4)),0)*$C25,0))</f>
        <v>8000000</v>
      </c>
      <c r="Y25" s="258">
        <f t="shared" si="60"/>
        <v>8000000</v>
      </c>
      <c r="Z25" s="258">
        <f t="shared" si="60"/>
        <v>8000000</v>
      </c>
      <c r="AA25" s="258">
        <f t="shared" si="60"/>
        <v>8000000</v>
      </c>
      <c r="AB25" s="258">
        <f t="shared" si="60"/>
        <v>8000000</v>
      </c>
      <c r="AC25" s="258">
        <f t="shared" si="60"/>
        <v>8000000</v>
      </c>
      <c r="AD25" s="258">
        <f t="shared" si="60"/>
        <v>8000000</v>
      </c>
      <c r="AE25" s="258">
        <f t="shared" si="60"/>
        <v>8000000</v>
      </c>
      <c r="AF25" s="258">
        <f t="shared" si="60"/>
        <v>8000000</v>
      </c>
      <c r="AG25" s="258">
        <f t="shared" si="60"/>
        <v>8000000</v>
      </c>
      <c r="AH25" s="258">
        <f t="shared" si="60"/>
        <v>8000000</v>
      </c>
      <c r="AI25" s="258"/>
      <c r="AJ25" s="258">
        <f t="shared" si="6"/>
        <v>8000000</v>
      </c>
      <c r="AK25" s="258">
        <f t="shared" ref="AK25:AU25" si="61">IF(AND($A25&gt;AJ$4, $H25&lt;=AK$4, $H25&gt;=AJ$4),$E25*$C25,IF(IF(ISBLANK($H25)=TRUE,AND($A25&gt;=$J$4,$A25&lt;=AK$4),AND($A25&gt;AJ$4,ISBLANK($H25)=FALSE)),MAX($E25/NETWORKDAYS(AJ$4,AK$4)*MIN(NETWORKDAYS(AJ$4,AK$4),NETWORKDAYS($A25,AK$4)),0)*$C25,0))</f>
        <v>8000000</v>
      </c>
      <c r="AL25" s="258">
        <f t="shared" si="61"/>
        <v>8000000</v>
      </c>
      <c r="AM25" s="258">
        <f t="shared" si="61"/>
        <v>8000000</v>
      </c>
      <c r="AN25" s="258">
        <f t="shared" si="61"/>
        <v>8000000</v>
      </c>
      <c r="AO25" s="258">
        <f t="shared" si="61"/>
        <v>8000000</v>
      </c>
      <c r="AP25" s="258">
        <f t="shared" si="61"/>
        <v>8000000</v>
      </c>
      <c r="AQ25" s="258">
        <f t="shared" si="61"/>
        <v>8000000</v>
      </c>
      <c r="AR25" s="258">
        <f t="shared" si="61"/>
        <v>8000000</v>
      </c>
      <c r="AS25" s="258">
        <f t="shared" si="61"/>
        <v>8000000</v>
      </c>
      <c r="AT25" s="258">
        <f t="shared" si="61"/>
        <v>8000000</v>
      </c>
      <c r="AU25" s="258">
        <f t="shared" si="61"/>
        <v>8000000</v>
      </c>
      <c r="AV25" s="1045"/>
      <c r="AW25" s="313"/>
      <c r="AX25" s="313"/>
      <c r="AY25" s="313"/>
      <c r="AZ25" s="313"/>
      <c r="BA25" s="314"/>
    </row>
    <row r="26" spans="1:53" ht="12.75" x14ac:dyDescent="0.2">
      <c r="A26" s="1010">
        <f>'Salaries and wages'!I26</f>
        <v>45792</v>
      </c>
      <c r="B26" s="243" t="str">
        <f>'Salaries and wages'!C26</f>
        <v>Customer Service Staff</v>
      </c>
      <c r="C26" s="243">
        <f>'Salaries and wages'!D26</f>
        <v>2</v>
      </c>
      <c r="D26" s="243"/>
      <c r="E26" s="989">
        <f>'Salaries and wages'!E26*10^6</f>
        <v>9000000</v>
      </c>
      <c r="F26" s="536">
        <f>'Salaries and wages'!F26</f>
        <v>0</v>
      </c>
      <c r="G26" s="989">
        <f>'Salaries and wages'!G26*10^6</f>
        <v>9000000</v>
      </c>
      <c r="H26" s="1024"/>
      <c r="I26" s="1071"/>
      <c r="J26" s="258">
        <f t="shared" ref="J26:U26" si="62">IF(AND($A26&gt;I$4, $H26&lt;=J$4, $H26&gt;=I$4),$E26*$C26,IF(IF(ISBLANK($H26)=TRUE,AND($A26&gt;=$J$4,$A26&lt;=J$4),AND($A26&gt;I$4,ISBLANK($H26)=FALSE)),MAX($E26/NETWORKDAYS(I$4,J$4)*MIN(NETWORKDAYS(I$4,J$4),NETWORKDAYS($A26,J$4)),0)*$C26,0))</f>
        <v>0</v>
      </c>
      <c r="K26" s="258">
        <f t="shared" si="62"/>
        <v>0</v>
      </c>
      <c r="L26" s="258">
        <f t="shared" si="62"/>
        <v>0</v>
      </c>
      <c r="M26" s="258">
        <f t="shared" si="62"/>
        <v>0</v>
      </c>
      <c r="N26" s="258">
        <f t="shared" si="62"/>
        <v>9391304.3478260878</v>
      </c>
      <c r="O26" s="258">
        <f t="shared" si="62"/>
        <v>18000000</v>
      </c>
      <c r="P26" s="258">
        <f t="shared" si="62"/>
        <v>18000000</v>
      </c>
      <c r="Q26" s="258">
        <f t="shared" si="62"/>
        <v>18000000</v>
      </c>
      <c r="R26" s="258">
        <f t="shared" si="62"/>
        <v>18000000</v>
      </c>
      <c r="S26" s="258">
        <f t="shared" si="62"/>
        <v>18000000</v>
      </c>
      <c r="T26" s="258">
        <f t="shared" si="62"/>
        <v>18000000</v>
      </c>
      <c r="U26" s="258">
        <f t="shared" si="62"/>
        <v>18000000</v>
      </c>
      <c r="V26" s="258"/>
      <c r="W26" s="258">
        <f t="shared" si="4"/>
        <v>18000000</v>
      </c>
      <c r="X26" s="258">
        <f t="shared" ref="X26:AH26" si="63">IF(AND($A26&gt;W$4, $H26&lt;=X$4, $H26&gt;=W$4),$E26*$C26,IF(IF(ISBLANK($H26)=TRUE,AND($A26&gt;=$J$4,$A26&lt;=X$4),AND($A26&gt;W$4,ISBLANK($H26)=FALSE)),MAX($E26/NETWORKDAYS(W$4,X$4)*MIN(NETWORKDAYS(W$4,X$4),NETWORKDAYS($A26,X$4)),0)*$C26,0))</f>
        <v>18000000</v>
      </c>
      <c r="Y26" s="258">
        <f t="shared" si="63"/>
        <v>18000000</v>
      </c>
      <c r="Z26" s="258">
        <f t="shared" si="63"/>
        <v>18000000</v>
      </c>
      <c r="AA26" s="258">
        <f t="shared" si="63"/>
        <v>18000000</v>
      </c>
      <c r="AB26" s="258">
        <f t="shared" si="63"/>
        <v>18000000</v>
      </c>
      <c r="AC26" s="258">
        <f t="shared" si="63"/>
        <v>18000000</v>
      </c>
      <c r="AD26" s="258">
        <f t="shared" si="63"/>
        <v>18000000</v>
      </c>
      <c r="AE26" s="258">
        <f t="shared" si="63"/>
        <v>18000000</v>
      </c>
      <c r="AF26" s="258">
        <f t="shared" si="63"/>
        <v>18000000</v>
      </c>
      <c r="AG26" s="258">
        <f t="shared" si="63"/>
        <v>18000000</v>
      </c>
      <c r="AH26" s="258">
        <f t="shared" si="63"/>
        <v>18000000</v>
      </c>
      <c r="AI26" s="258"/>
      <c r="AJ26" s="258">
        <f t="shared" si="6"/>
        <v>18000000</v>
      </c>
      <c r="AK26" s="258">
        <f t="shared" ref="AK26:AU26" si="64">IF(AND($A26&gt;AJ$4, $H26&lt;=AK$4, $H26&gt;=AJ$4),$E26*$C26,IF(IF(ISBLANK($H26)=TRUE,AND($A26&gt;=$J$4,$A26&lt;=AK$4),AND($A26&gt;AJ$4,ISBLANK($H26)=FALSE)),MAX($E26/NETWORKDAYS(AJ$4,AK$4)*MIN(NETWORKDAYS(AJ$4,AK$4),NETWORKDAYS($A26,AK$4)),0)*$C26,0))</f>
        <v>18000000</v>
      </c>
      <c r="AL26" s="258">
        <f t="shared" si="64"/>
        <v>18000000</v>
      </c>
      <c r="AM26" s="258">
        <f t="shared" si="64"/>
        <v>18000000</v>
      </c>
      <c r="AN26" s="258">
        <f t="shared" si="64"/>
        <v>18000000</v>
      </c>
      <c r="AO26" s="258">
        <f t="shared" si="64"/>
        <v>18000000</v>
      </c>
      <c r="AP26" s="258">
        <f t="shared" si="64"/>
        <v>18000000</v>
      </c>
      <c r="AQ26" s="258">
        <f t="shared" si="64"/>
        <v>18000000</v>
      </c>
      <c r="AR26" s="258">
        <f t="shared" si="64"/>
        <v>18000000</v>
      </c>
      <c r="AS26" s="258">
        <f t="shared" si="64"/>
        <v>18000000</v>
      </c>
      <c r="AT26" s="258">
        <f t="shared" si="64"/>
        <v>18000000</v>
      </c>
      <c r="AU26" s="258">
        <f t="shared" si="64"/>
        <v>18000000</v>
      </c>
      <c r="AV26" s="1045"/>
      <c r="AW26" s="313"/>
      <c r="AX26" s="313"/>
      <c r="AY26" s="313"/>
      <c r="AZ26" s="313"/>
      <c r="BA26" s="314"/>
    </row>
    <row r="27" spans="1:53" ht="12.75" x14ac:dyDescent="0.2">
      <c r="A27" s="1010">
        <f>'Salaries and wages'!I27</f>
        <v>45838</v>
      </c>
      <c r="B27" s="243" t="str">
        <f>'Salaries and wages'!C27</f>
        <v>Store Manager</v>
      </c>
      <c r="C27" s="243">
        <f>'Salaries and wages'!D27</f>
        <v>3</v>
      </c>
      <c r="D27" s="243"/>
      <c r="E27" s="989">
        <f>'Salaries and wages'!E27*10^6</f>
        <v>11000000</v>
      </c>
      <c r="F27" s="536">
        <f>'Salaries and wages'!F27</f>
        <v>0</v>
      </c>
      <c r="G27" s="989">
        <f>'Salaries and wages'!G27*10^6</f>
        <v>11000000</v>
      </c>
      <c r="H27" s="1024"/>
      <c r="I27" s="1071"/>
      <c r="J27" s="258">
        <f t="shared" ref="J27:U27" si="65">IF(AND($A27&gt;I$4, $H27&lt;=J$4, $H27&gt;=I$4),$E27*$C27,IF(IF(ISBLANK($H27)=TRUE,AND($A27&gt;=$J$4,$A27&lt;=J$4),AND($A27&gt;I$4,ISBLANK($H27)=FALSE)),MAX($E27/NETWORKDAYS(I$4,J$4)*MIN(NETWORKDAYS(I$4,J$4),NETWORKDAYS($A27,J$4)),0)*$C27,0))</f>
        <v>0</v>
      </c>
      <c r="K27" s="258">
        <f t="shared" si="65"/>
        <v>0</v>
      </c>
      <c r="L27" s="258">
        <f t="shared" si="65"/>
        <v>0</v>
      </c>
      <c r="M27" s="258">
        <f t="shared" si="65"/>
        <v>0</v>
      </c>
      <c r="N27" s="258">
        <f t="shared" si="65"/>
        <v>0</v>
      </c>
      <c r="O27" s="258">
        <f t="shared" si="65"/>
        <v>1571428.5714285714</v>
      </c>
      <c r="P27" s="258">
        <f t="shared" si="65"/>
        <v>33000000</v>
      </c>
      <c r="Q27" s="258">
        <f t="shared" si="65"/>
        <v>33000000</v>
      </c>
      <c r="R27" s="258">
        <f t="shared" si="65"/>
        <v>33000000</v>
      </c>
      <c r="S27" s="258">
        <f t="shared" si="65"/>
        <v>33000000</v>
      </c>
      <c r="T27" s="258">
        <f t="shared" si="65"/>
        <v>33000000</v>
      </c>
      <c r="U27" s="258">
        <f t="shared" si="65"/>
        <v>33000000</v>
      </c>
      <c r="V27" s="258"/>
      <c r="W27" s="258">
        <f t="shared" si="4"/>
        <v>33000000</v>
      </c>
      <c r="X27" s="258">
        <f t="shared" ref="X27:AH27" si="66">IF(AND($A27&gt;W$4, $H27&lt;=X$4, $H27&gt;=W$4),$E27*$C27,IF(IF(ISBLANK($H27)=TRUE,AND($A27&gt;=$J$4,$A27&lt;=X$4),AND($A27&gt;W$4,ISBLANK($H27)=FALSE)),MAX($E27/NETWORKDAYS(W$4,X$4)*MIN(NETWORKDAYS(W$4,X$4),NETWORKDAYS($A27,X$4)),0)*$C27,0))</f>
        <v>33000000</v>
      </c>
      <c r="Y27" s="258">
        <f t="shared" si="66"/>
        <v>33000000</v>
      </c>
      <c r="Z27" s="258">
        <f t="shared" si="66"/>
        <v>33000000</v>
      </c>
      <c r="AA27" s="258">
        <f t="shared" si="66"/>
        <v>33000000</v>
      </c>
      <c r="AB27" s="258">
        <f t="shared" si="66"/>
        <v>33000000</v>
      </c>
      <c r="AC27" s="258">
        <f t="shared" si="66"/>
        <v>33000000</v>
      </c>
      <c r="AD27" s="258">
        <f t="shared" si="66"/>
        <v>33000000</v>
      </c>
      <c r="AE27" s="258">
        <f t="shared" si="66"/>
        <v>33000000</v>
      </c>
      <c r="AF27" s="258">
        <f t="shared" si="66"/>
        <v>33000000</v>
      </c>
      <c r="AG27" s="258">
        <f t="shared" si="66"/>
        <v>33000000</v>
      </c>
      <c r="AH27" s="258">
        <f t="shared" si="66"/>
        <v>33000000</v>
      </c>
      <c r="AI27" s="258"/>
      <c r="AJ27" s="258">
        <f t="shared" si="6"/>
        <v>33000000</v>
      </c>
      <c r="AK27" s="258">
        <f t="shared" ref="AK27:AU27" si="67">IF(AND($A27&gt;AJ$4, $H27&lt;=AK$4, $H27&gt;=AJ$4),$E27*$C27,IF(IF(ISBLANK($H27)=TRUE,AND($A27&gt;=$J$4,$A27&lt;=AK$4),AND($A27&gt;AJ$4,ISBLANK($H27)=FALSE)),MAX($E27/NETWORKDAYS(AJ$4,AK$4)*MIN(NETWORKDAYS(AJ$4,AK$4),NETWORKDAYS($A27,AK$4)),0)*$C27,0))</f>
        <v>33000000</v>
      </c>
      <c r="AL27" s="258">
        <f t="shared" si="67"/>
        <v>33000000</v>
      </c>
      <c r="AM27" s="258">
        <f t="shared" si="67"/>
        <v>33000000</v>
      </c>
      <c r="AN27" s="258">
        <f t="shared" si="67"/>
        <v>33000000</v>
      </c>
      <c r="AO27" s="258">
        <f t="shared" si="67"/>
        <v>33000000</v>
      </c>
      <c r="AP27" s="258">
        <f t="shared" si="67"/>
        <v>33000000</v>
      </c>
      <c r="AQ27" s="258">
        <f t="shared" si="67"/>
        <v>33000000</v>
      </c>
      <c r="AR27" s="258">
        <f t="shared" si="67"/>
        <v>33000000</v>
      </c>
      <c r="AS27" s="258">
        <f t="shared" si="67"/>
        <v>33000000</v>
      </c>
      <c r="AT27" s="258">
        <f t="shared" si="67"/>
        <v>33000000</v>
      </c>
      <c r="AU27" s="258">
        <f t="shared" si="67"/>
        <v>33000000</v>
      </c>
      <c r="AV27" s="1045"/>
      <c r="AW27" s="313"/>
      <c r="AX27" s="313"/>
      <c r="AY27" s="313"/>
      <c r="AZ27" s="313"/>
      <c r="BA27" s="314"/>
    </row>
    <row r="28" spans="1:53" ht="12.75" x14ac:dyDescent="0.2">
      <c r="A28" s="1010">
        <f>'Salaries and wages'!I28</f>
        <v>45853</v>
      </c>
      <c r="B28" s="243" t="str">
        <f>'Salaries and wages'!C28</f>
        <v>Sales Staff</v>
      </c>
      <c r="C28" s="243">
        <f>'Salaries and wages'!D28</f>
        <v>9</v>
      </c>
      <c r="D28" s="243"/>
      <c r="E28" s="989">
        <f>'Salaries and wages'!E28*10^6</f>
        <v>9000000</v>
      </c>
      <c r="F28" s="536">
        <f>'Salaries and wages'!F28</f>
        <v>0</v>
      </c>
      <c r="G28" s="989">
        <f>'Salaries and wages'!G28*10^6</f>
        <v>9000000</v>
      </c>
      <c r="H28" s="1024"/>
      <c r="I28" s="1071"/>
      <c r="J28" s="258">
        <f t="shared" ref="J28:U28" si="68">IF(AND($A28&gt;I$4, $H28&lt;=J$4, $H28&gt;=I$4),$E28*$C28,IF(IF(ISBLANK($H28)=TRUE,AND($A28&gt;=$J$4,$A28&lt;=J$4),AND($A28&gt;I$4,ISBLANK($H28)=FALSE)),MAX($E28/NETWORKDAYS(I$4,J$4)*MIN(NETWORKDAYS(I$4,J$4),NETWORKDAYS($A28,J$4)),0)*$C28,0))</f>
        <v>0</v>
      </c>
      <c r="K28" s="258">
        <f t="shared" si="68"/>
        <v>0</v>
      </c>
      <c r="L28" s="258">
        <f t="shared" si="68"/>
        <v>0</v>
      </c>
      <c r="M28" s="258">
        <f t="shared" si="68"/>
        <v>0</v>
      </c>
      <c r="N28" s="258">
        <f t="shared" si="68"/>
        <v>0</v>
      </c>
      <c r="O28" s="258">
        <f t="shared" si="68"/>
        <v>0</v>
      </c>
      <c r="P28" s="258">
        <f t="shared" si="68"/>
        <v>43875000</v>
      </c>
      <c r="Q28" s="258">
        <f t="shared" si="68"/>
        <v>81000000</v>
      </c>
      <c r="R28" s="258">
        <f t="shared" si="68"/>
        <v>81000000</v>
      </c>
      <c r="S28" s="258">
        <f t="shared" si="68"/>
        <v>81000000</v>
      </c>
      <c r="T28" s="258">
        <f t="shared" si="68"/>
        <v>81000000</v>
      </c>
      <c r="U28" s="258">
        <f t="shared" si="68"/>
        <v>81000000</v>
      </c>
      <c r="V28" s="258"/>
      <c r="W28" s="258">
        <f t="shared" si="4"/>
        <v>81000000</v>
      </c>
      <c r="X28" s="258">
        <f t="shared" ref="X28:AH28" si="69">IF(AND($A28&gt;W$4, $H28&lt;=X$4, $H28&gt;=W$4),$E28*$C28,IF(IF(ISBLANK($H28)=TRUE,AND($A28&gt;=$J$4,$A28&lt;=X$4),AND($A28&gt;W$4,ISBLANK($H28)=FALSE)),MAX($E28/NETWORKDAYS(W$4,X$4)*MIN(NETWORKDAYS(W$4,X$4),NETWORKDAYS($A28,X$4)),0)*$C28,0))</f>
        <v>81000000</v>
      </c>
      <c r="Y28" s="258">
        <f t="shared" si="69"/>
        <v>81000000</v>
      </c>
      <c r="Z28" s="258">
        <f t="shared" si="69"/>
        <v>81000000</v>
      </c>
      <c r="AA28" s="258">
        <f t="shared" si="69"/>
        <v>81000000</v>
      </c>
      <c r="AB28" s="258">
        <f t="shared" si="69"/>
        <v>81000000</v>
      </c>
      <c r="AC28" s="258">
        <f t="shared" si="69"/>
        <v>81000000</v>
      </c>
      <c r="AD28" s="258">
        <f t="shared" si="69"/>
        <v>81000000</v>
      </c>
      <c r="AE28" s="258">
        <f t="shared" si="69"/>
        <v>81000000</v>
      </c>
      <c r="AF28" s="258">
        <f t="shared" si="69"/>
        <v>81000000</v>
      </c>
      <c r="AG28" s="258">
        <f t="shared" si="69"/>
        <v>81000000</v>
      </c>
      <c r="AH28" s="258">
        <f t="shared" si="69"/>
        <v>81000000</v>
      </c>
      <c r="AI28" s="258"/>
      <c r="AJ28" s="258">
        <f t="shared" si="6"/>
        <v>81000000</v>
      </c>
      <c r="AK28" s="258">
        <f t="shared" ref="AK28:AU28" si="70">IF(AND($A28&gt;AJ$4, $H28&lt;=AK$4, $H28&gt;=AJ$4),$E28*$C28,IF(IF(ISBLANK($H28)=TRUE,AND($A28&gt;=$J$4,$A28&lt;=AK$4),AND($A28&gt;AJ$4,ISBLANK($H28)=FALSE)),MAX($E28/NETWORKDAYS(AJ$4,AK$4)*MIN(NETWORKDAYS(AJ$4,AK$4),NETWORKDAYS($A28,AK$4)),0)*$C28,0))</f>
        <v>81000000</v>
      </c>
      <c r="AL28" s="258">
        <f t="shared" si="70"/>
        <v>81000000</v>
      </c>
      <c r="AM28" s="258">
        <f t="shared" si="70"/>
        <v>81000000</v>
      </c>
      <c r="AN28" s="258">
        <f t="shared" si="70"/>
        <v>81000000</v>
      </c>
      <c r="AO28" s="258">
        <f t="shared" si="70"/>
        <v>81000000</v>
      </c>
      <c r="AP28" s="258">
        <f t="shared" si="70"/>
        <v>81000000</v>
      </c>
      <c r="AQ28" s="258">
        <f t="shared" si="70"/>
        <v>81000000</v>
      </c>
      <c r="AR28" s="258">
        <f t="shared" si="70"/>
        <v>81000000</v>
      </c>
      <c r="AS28" s="258">
        <f t="shared" si="70"/>
        <v>81000000</v>
      </c>
      <c r="AT28" s="258">
        <f t="shared" si="70"/>
        <v>81000000</v>
      </c>
      <c r="AU28" s="258">
        <f t="shared" si="70"/>
        <v>81000000</v>
      </c>
      <c r="AV28" s="1045"/>
      <c r="AW28" s="313"/>
      <c r="AX28" s="313"/>
      <c r="AY28" s="313"/>
      <c r="AZ28" s="313"/>
      <c r="BA28" s="314"/>
    </row>
    <row r="29" spans="1:53" ht="12.75" x14ac:dyDescent="0.2">
      <c r="A29" s="1010">
        <f>'Salaries and wages'!I29</f>
        <v>45853</v>
      </c>
      <c r="B29" s="243" t="str">
        <f>'Salaries and wages'!C29</f>
        <v>Security Staff</v>
      </c>
      <c r="C29" s="243">
        <f>'Salaries and wages'!D29</f>
        <v>3</v>
      </c>
      <c r="D29" s="243"/>
      <c r="E29" s="989">
        <f>'Salaries and wages'!E29*10^6</f>
        <v>8000000</v>
      </c>
      <c r="F29" s="536">
        <f>'Salaries and wages'!F29</f>
        <v>0</v>
      </c>
      <c r="G29" s="989">
        <f>'Salaries and wages'!G29*10^6</f>
        <v>8000000</v>
      </c>
      <c r="H29" s="1024"/>
      <c r="I29" s="1071"/>
      <c r="J29" s="258">
        <f t="shared" ref="J29:U29" si="71">IF(AND($A29&gt;I$4, $H29&lt;=J$4, $H29&gt;=I$4),$E29*$C29,IF(IF(ISBLANK($H29)=TRUE,AND($A29&gt;=$J$4,$A29&lt;=J$4),AND($A29&gt;I$4,ISBLANK($H29)=FALSE)),MAX($E29/NETWORKDAYS(I$4,J$4)*MIN(NETWORKDAYS(I$4,J$4),NETWORKDAYS($A29,J$4)),0)*$C29,0))</f>
        <v>0</v>
      </c>
      <c r="K29" s="258">
        <f t="shared" si="71"/>
        <v>0</v>
      </c>
      <c r="L29" s="258">
        <f t="shared" si="71"/>
        <v>0</v>
      </c>
      <c r="M29" s="258">
        <f t="shared" si="71"/>
        <v>0</v>
      </c>
      <c r="N29" s="258">
        <f t="shared" si="71"/>
        <v>0</v>
      </c>
      <c r="O29" s="258">
        <f t="shared" si="71"/>
        <v>0</v>
      </c>
      <c r="P29" s="258">
        <f t="shared" si="71"/>
        <v>13000000</v>
      </c>
      <c r="Q29" s="258">
        <f t="shared" si="71"/>
        <v>24000000</v>
      </c>
      <c r="R29" s="258">
        <f t="shared" si="71"/>
        <v>24000000</v>
      </c>
      <c r="S29" s="258">
        <f t="shared" si="71"/>
        <v>24000000</v>
      </c>
      <c r="T29" s="258">
        <f t="shared" si="71"/>
        <v>24000000</v>
      </c>
      <c r="U29" s="258">
        <f t="shared" si="71"/>
        <v>24000000</v>
      </c>
      <c r="V29" s="258"/>
      <c r="W29" s="258">
        <f t="shared" si="4"/>
        <v>24000000</v>
      </c>
      <c r="X29" s="258">
        <f t="shared" ref="X29:AH29" si="72">IF(AND($A29&gt;W$4, $H29&lt;=X$4, $H29&gt;=W$4),$E29*$C29,IF(IF(ISBLANK($H29)=TRUE,AND($A29&gt;=$J$4,$A29&lt;=X$4),AND($A29&gt;W$4,ISBLANK($H29)=FALSE)),MAX($E29/NETWORKDAYS(W$4,X$4)*MIN(NETWORKDAYS(W$4,X$4),NETWORKDAYS($A29,X$4)),0)*$C29,0))</f>
        <v>24000000</v>
      </c>
      <c r="Y29" s="258">
        <f t="shared" si="72"/>
        <v>24000000</v>
      </c>
      <c r="Z29" s="258">
        <f t="shared" si="72"/>
        <v>24000000</v>
      </c>
      <c r="AA29" s="258">
        <f t="shared" si="72"/>
        <v>24000000</v>
      </c>
      <c r="AB29" s="258">
        <f t="shared" si="72"/>
        <v>24000000</v>
      </c>
      <c r="AC29" s="258">
        <f t="shared" si="72"/>
        <v>24000000</v>
      </c>
      <c r="AD29" s="258">
        <f t="shared" si="72"/>
        <v>24000000</v>
      </c>
      <c r="AE29" s="258">
        <f t="shared" si="72"/>
        <v>24000000</v>
      </c>
      <c r="AF29" s="258">
        <f t="shared" si="72"/>
        <v>24000000</v>
      </c>
      <c r="AG29" s="258">
        <f t="shared" si="72"/>
        <v>24000000</v>
      </c>
      <c r="AH29" s="258">
        <f t="shared" si="72"/>
        <v>24000000</v>
      </c>
      <c r="AI29" s="258"/>
      <c r="AJ29" s="258">
        <f t="shared" si="6"/>
        <v>24000000</v>
      </c>
      <c r="AK29" s="258">
        <f t="shared" ref="AK29:AU29" si="73">IF(AND($A29&gt;AJ$4, $H29&lt;=AK$4, $H29&gt;=AJ$4),$E29*$C29,IF(IF(ISBLANK($H29)=TRUE,AND($A29&gt;=$J$4,$A29&lt;=AK$4),AND($A29&gt;AJ$4,ISBLANK($H29)=FALSE)),MAX($E29/NETWORKDAYS(AJ$4,AK$4)*MIN(NETWORKDAYS(AJ$4,AK$4),NETWORKDAYS($A29,AK$4)),0)*$C29,0))</f>
        <v>24000000</v>
      </c>
      <c r="AL29" s="258">
        <f t="shared" si="73"/>
        <v>24000000</v>
      </c>
      <c r="AM29" s="258">
        <f t="shared" si="73"/>
        <v>24000000</v>
      </c>
      <c r="AN29" s="258">
        <f t="shared" si="73"/>
        <v>24000000</v>
      </c>
      <c r="AO29" s="258">
        <f t="shared" si="73"/>
        <v>24000000</v>
      </c>
      <c r="AP29" s="258">
        <f t="shared" si="73"/>
        <v>24000000</v>
      </c>
      <c r="AQ29" s="258">
        <f t="shared" si="73"/>
        <v>24000000</v>
      </c>
      <c r="AR29" s="258">
        <f t="shared" si="73"/>
        <v>24000000</v>
      </c>
      <c r="AS29" s="258">
        <f t="shared" si="73"/>
        <v>24000000</v>
      </c>
      <c r="AT29" s="258">
        <f t="shared" si="73"/>
        <v>24000000</v>
      </c>
      <c r="AU29" s="258">
        <f t="shared" si="73"/>
        <v>24000000</v>
      </c>
      <c r="AV29" s="1045"/>
      <c r="AW29" s="313"/>
      <c r="AX29" s="313"/>
      <c r="AY29" s="313"/>
      <c r="AZ29" s="313"/>
      <c r="BA29" s="314"/>
    </row>
    <row r="30" spans="1:53" ht="12.75" x14ac:dyDescent="0.2">
      <c r="A30" s="1010">
        <f>'Salaries and wages'!I30</f>
        <v>46006</v>
      </c>
      <c r="B30" s="243" t="str">
        <f>'Salaries and wages'!C30</f>
        <v>Accountant</v>
      </c>
      <c r="C30" s="243">
        <f>'Salaries and wages'!D30</f>
        <v>1</v>
      </c>
      <c r="D30" s="243"/>
      <c r="E30" s="989">
        <f>'Salaries and wages'!E30*10^6</f>
        <v>10000000</v>
      </c>
      <c r="F30" s="536">
        <f>'Salaries and wages'!F30</f>
        <v>0</v>
      </c>
      <c r="G30" s="989">
        <f>'Salaries and wages'!G30*10^6</f>
        <v>0</v>
      </c>
      <c r="H30" s="1072">
        <v>46022</v>
      </c>
      <c r="I30" s="1071"/>
      <c r="J30" s="258">
        <f t="shared" ref="J30:U30" si="74">IF(AND($A30&gt;I$4, $H30&lt;=J$4, $H30&gt;=I$4),$E30*$C30,IF(IF(ISBLANK($H30)=TRUE,AND($A30&gt;=$J$4,$A30&lt;=J$4),AND($A30&gt;I$4,ISBLANK($H30)=FALSE)),MAX($E30/NETWORKDAYS(I$4,J$4)*MIN(NETWORKDAYS(I$4,J$4),NETWORKDAYS($A30,J$4)),0)*$C30,0))</f>
        <v>0</v>
      </c>
      <c r="K30" s="258">
        <f t="shared" si="74"/>
        <v>0</v>
      </c>
      <c r="L30" s="258">
        <f t="shared" si="74"/>
        <v>0</v>
      </c>
      <c r="M30" s="258">
        <f t="shared" si="74"/>
        <v>0</v>
      </c>
      <c r="N30" s="258">
        <f t="shared" si="74"/>
        <v>0</v>
      </c>
      <c r="O30" s="258">
        <f t="shared" si="74"/>
        <v>0</v>
      </c>
      <c r="P30" s="258">
        <f t="shared" si="74"/>
        <v>0</v>
      </c>
      <c r="Q30" s="258">
        <f t="shared" si="74"/>
        <v>0</v>
      </c>
      <c r="R30" s="258">
        <f t="shared" si="74"/>
        <v>0</v>
      </c>
      <c r="S30" s="258">
        <f t="shared" si="74"/>
        <v>0</v>
      </c>
      <c r="T30" s="258">
        <f t="shared" si="74"/>
        <v>0</v>
      </c>
      <c r="U30" s="258">
        <f t="shared" si="74"/>
        <v>10000000</v>
      </c>
      <c r="V30" s="258"/>
      <c r="W30" s="258">
        <f t="shared" si="4"/>
        <v>0</v>
      </c>
      <c r="X30" s="258">
        <f t="shared" ref="X30:AH30" si="75">IF(AND($A30&gt;W$4, $H30&lt;=X$4, $H30&gt;=W$4),$E30*$C30,IF(IF(ISBLANK($H30)=TRUE,AND($A30&gt;=$J$4,$A30&lt;=X$4),AND($A30&gt;W$4,ISBLANK($H30)=FALSE)),MAX($E30/NETWORKDAYS(W$4,X$4)*MIN(NETWORKDAYS(W$4,X$4),NETWORKDAYS($A30,X$4)),0)*$C30,0))</f>
        <v>0</v>
      </c>
      <c r="Y30" s="258">
        <f t="shared" si="75"/>
        <v>0</v>
      </c>
      <c r="Z30" s="1073">
        <f t="shared" si="75"/>
        <v>0</v>
      </c>
      <c r="AA30" s="1073">
        <f t="shared" si="75"/>
        <v>0</v>
      </c>
      <c r="AB30" s="1073">
        <f t="shared" si="75"/>
        <v>0</v>
      </c>
      <c r="AC30" s="1073">
        <f t="shared" si="75"/>
        <v>0</v>
      </c>
      <c r="AD30" s="1073">
        <f t="shared" si="75"/>
        <v>0</v>
      </c>
      <c r="AE30" s="1073">
        <f t="shared" si="75"/>
        <v>0</v>
      </c>
      <c r="AF30" s="1073">
        <f t="shared" si="75"/>
        <v>0</v>
      </c>
      <c r="AG30" s="1073">
        <f t="shared" si="75"/>
        <v>0</v>
      </c>
      <c r="AH30" s="1073">
        <f t="shared" si="75"/>
        <v>0</v>
      </c>
      <c r="AI30" s="1073"/>
      <c r="AJ30" s="1073">
        <f t="shared" si="6"/>
        <v>0</v>
      </c>
      <c r="AK30" s="1073">
        <f t="shared" ref="AK30:AU30" si="76">IF(AND($A30&gt;AJ$4, $H30&lt;=AK$4, $H30&gt;=AJ$4),$E30*$C30,IF(IF(ISBLANK($H30)=TRUE,AND($A30&gt;=$J$4,$A30&lt;=AK$4),AND($A30&gt;AJ$4,ISBLANK($H30)=FALSE)),MAX($E30/NETWORKDAYS(AJ$4,AK$4)*MIN(NETWORKDAYS(AJ$4,AK$4),NETWORKDAYS($A30,AK$4)),0)*$C30,0))</f>
        <v>0</v>
      </c>
      <c r="AL30" s="1073">
        <f t="shared" si="76"/>
        <v>0</v>
      </c>
      <c r="AM30" s="1073">
        <f t="shared" si="76"/>
        <v>0</v>
      </c>
      <c r="AN30" s="1073">
        <f t="shared" si="76"/>
        <v>0</v>
      </c>
      <c r="AO30" s="1073">
        <f t="shared" si="76"/>
        <v>0</v>
      </c>
      <c r="AP30" s="1073">
        <f t="shared" si="76"/>
        <v>0</v>
      </c>
      <c r="AQ30" s="1073">
        <f t="shared" si="76"/>
        <v>0</v>
      </c>
      <c r="AR30" s="1073">
        <f t="shared" si="76"/>
        <v>0</v>
      </c>
      <c r="AS30" s="1073">
        <f t="shared" si="76"/>
        <v>0</v>
      </c>
      <c r="AT30" s="1073">
        <f t="shared" si="76"/>
        <v>0</v>
      </c>
      <c r="AU30" s="1073">
        <f t="shared" si="76"/>
        <v>0</v>
      </c>
      <c r="AV30" s="1045"/>
      <c r="AW30" s="313"/>
      <c r="AX30" s="313"/>
      <c r="AY30" s="313"/>
      <c r="AZ30" s="313"/>
      <c r="BA30" s="314"/>
    </row>
    <row r="31" spans="1:53" ht="12.75" x14ac:dyDescent="0.2">
      <c r="A31" s="1010">
        <f>'Salaries and wages'!I31</f>
        <v>46073</v>
      </c>
      <c r="B31" s="243" t="str">
        <f>'Salaries and wages'!C31</f>
        <v>IT Manager</v>
      </c>
      <c r="C31" s="243">
        <f>'Salaries and wages'!D31</f>
        <v>1</v>
      </c>
      <c r="D31" s="243"/>
      <c r="E31" s="989">
        <f>'Salaries and wages'!E31*10^6</f>
        <v>30000000</v>
      </c>
      <c r="F31" s="536">
        <f>'Salaries and wages'!F31</f>
        <v>0</v>
      </c>
      <c r="G31" s="989">
        <f>'Salaries and wages'!G31*10^6</f>
        <v>30000000</v>
      </c>
      <c r="H31" s="1024"/>
      <c r="I31" s="1071"/>
      <c r="J31" s="258">
        <f t="shared" ref="J31:U31" si="77">IF(AND($A31&gt;I$4, $H31&lt;=J$4, $H31&gt;=I$4),$E31*$C31,IF(IF(ISBLANK($H31)=TRUE,AND($A31&gt;=$J$4,$A31&lt;=J$4),AND($A31&gt;I$4,ISBLANK($H31)=FALSE)),MAX($E31/NETWORKDAYS(I$4,J$4)*MIN(NETWORKDAYS(I$4,J$4),NETWORKDAYS($A31,J$4)),0)*$C31,0))</f>
        <v>0</v>
      </c>
      <c r="K31" s="258">
        <f t="shared" si="77"/>
        <v>0</v>
      </c>
      <c r="L31" s="258">
        <f t="shared" si="77"/>
        <v>0</v>
      </c>
      <c r="M31" s="258">
        <f t="shared" si="77"/>
        <v>0</v>
      </c>
      <c r="N31" s="258">
        <f t="shared" si="77"/>
        <v>0</v>
      </c>
      <c r="O31" s="258">
        <f t="shared" si="77"/>
        <v>0</v>
      </c>
      <c r="P31" s="258">
        <f t="shared" si="77"/>
        <v>0</v>
      </c>
      <c r="Q31" s="258">
        <f t="shared" si="77"/>
        <v>0</v>
      </c>
      <c r="R31" s="258">
        <f t="shared" si="77"/>
        <v>0</v>
      </c>
      <c r="S31" s="258">
        <f t="shared" si="77"/>
        <v>0</v>
      </c>
      <c r="T31" s="258">
        <f t="shared" si="77"/>
        <v>0</v>
      </c>
      <c r="U31" s="258">
        <f t="shared" si="77"/>
        <v>0</v>
      </c>
      <c r="V31" s="258"/>
      <c r="W31" s="258">
        <f t="shared" si="4"/>
        <v>0</v>
      </c>
      <c r="X31" s="258">
        <f t="shared" ref="X31:AH31" si="78">IF(AND($A31&gt;W$4, $H31&lt;=X$4, $H31&gt;=W$4),$E31*$C31,IF(IF(ISBLANK($H31)=TRUE,AND($A31&gt;=$J$4,$A31&lt;=X$4),AND($A31&gt;W$4,ISBLANK($H31)=FALSE)),MAX($E31/NETWORKDAYS(W$4,X$4)*MIN(NETWORKDAYS(W$4,X$4),NETWORKDAYS($A31,X$4)),0)*$C31,0))</f>
        <v>9000000</v>
      </c>
      <c r="Y31" s="258">
        <f t="shared" si="78"/>
        <v>29999999.999999996</v>
      </c>
      <c r="Z31" s="258">
        <f t="shared" si="78"/>
        <v>30000000</v>
      </c>
      <c r="AA31" s="258">
        <f t="shared" si="78"/>
        <v>29999999.999999996</v>
      </c>
      <c r="AB31" s="258">
        <f t="shared" si="78"/>
        <v>29999999.999999996</v>
      </c>
      <c r="AC31" s="258">
        <f t="shared" si="78"/>
        <v>30000000</v>
      </c>
      <c r="AD31" s="258">
        <f t="shared" si="78"/>
        <v>29999999.999999996</v>
      </c>
      <c r="AE31" s="258">
        <f t="shared" si="78"/>
        <v>30000000</v>
      </c>
      <c r="AF31" s="258">
        <f t="shared" si="78"/>
        <v>30000000</v>
      </c>
      <c r="AG31" s="258">
        <f t="shared" si="78"/>
        <v>30000000</v>
      </c>
      <c r="AH31" s="258">
        <f t="shared" si="78"/>
        <v>30000000</v>
      </c>
      <c r="AI31" s="258"/>
      <c r="AJ31" s="258">
        <f t="shared" si="6"/>
        <v>29999999.999999996</v>
      </c>
      <c r="AK31" s="258">
        <f t="shared" ref="AK31:AU31" si="79">IF(AND($A31&gt;AJ$4, $H31&lt;=AK$4, $H31&gt;=AJ$4),$E31*$C31,IF(IF(ISBLANK($H31)=TRUE,AND($A31&gt;=$J$4,$A31&lt;=AK$4),AND($A31&gt;AJ$4,ISBLANK($H31)=FALSE)),MAX($E31/NETWORKDAYS(AJ$4,AK$4)*MIN(NETWORKDAYS(AJ$4,AK$4),NETWORKDAYS($A31,AK$4)),0)*$C31,0))</f>
        <v>30000000</v>
      </c>
      <c r="AL31" s="258">
        <f t="shared" si="79"/>
        <v>30000000</v>
      </c>
      <c r="AM31" s="258">
        <f t="shared" si="79"/>
        <v>30000000</v>
      </c>
      <c r="AN31" s="258">
        <f t="shared" si="79"/>
        <v>29999999.999999996</v>
      </c>
      <c r="AO31" s="258">
        <f t="shared" si="79"/>
        <v>30000000</v>
      </c>
      <c r="AP31" s="258">
        <f t="shared" si="79"/>
        <v>30000000</v>
      </c>
      <c r="AQ31" s="258">
        <f t="shared" si="79"/>
        <v>29999999.999999996</v>
      </c>
      <c r="AR31" s="258">
        <f t="shared" si="79"/>
        <v>30000000</v>
      </c>
      <c r="AS31" s="258">
        <f t="shared" si="79"/>
        <v>29999999.999999996</v>
      </c>
      <c r="AT31" s="258">
        <f t="shared" si="79"/>
        <v>29999999.999999996</v>
      </c>
      <c r="AU31" s="258">
        <f t="shared" si="79"/>
        <v>30000000</v>
      </c>
      <c r="AV31" s="1045"/>
      <c r="AW31" s="313"/>
      <c r="AX31" s="313"/>
      <c r="AY31" s="313"/>
      <c r="AZ31" s="313"/>
      <c r="BA31" s="314"/>
    </row>
    <row r="32" spans="1:53" ht="12.75" x14ac:dyDescent="0.2">
      <c r="A32" s="1010">
        <f>'Salaries and wages'!I32</f>
        <v>46073</v>
      </c>
      <c r="B32" s="243" t="str">
        <f>'Salaries and wages'!C32</f>
        <v>R&amp;D Manager</v>
      </c>
      <c r="C32" s="243">
        <f>'Salaries and wages'!D32</f>
        <v>1</v>
      </c>
      <c r="D32" s="243"/>
      <c r="E32" s="989">
        <f>'Salaries and wages'!E32*10^6</f>
        <v>20000000</v>
      </c>
      <c r="F32" s="536">
        <f>'Salaries and wages'!F32</f>
        <v>0</v>
      </c>
      <c r="G32" s="989">
        <f>'Salaries and wages'!G32*10^6</f>
        <v>20000000</v>
      </c>
      <c r="H32" s="1024"/>
      <c r="I32" s="1071"/>
      <c r="J32" s="258">
        <f t="shared" ref="J32:U32" si="80">IF(AND($A32&gt;I$4, $H32&lt;=J$4, $H32&gt;=I$4),$E32*$C32,IF(IF(ISBLANK($H32)=TRUE,AND($A32&gt;=$J$4,$A32&lt;=J$4),AND($A32&gt;I$4,ISBLANK($H32)=FALSE)),MAX($E32/NETWORKDAYS(I$4,J$4)*MIN(NETWORKDAYS(I$4,J$4),NETWORKDAYS($A32,J$4)),0)*$C32,0))</f>
        <v>0</v>
      </c>
      <c r="K32" s="258">
        <f t="shared" si="80"/>
        <v>0</v>
      </c>
      <c r="L32" s="258">
        <f t="shared" si="80"/>
        <v>0</v>
      </c>
      <c r="M32" s="258">
        <f t="shared" si="80"/>
        <v>0</v>
      </c>
      <c r="N32" s="258">
        <f t="shared" si="80"/>
        <v>0</v>
      </c>
      <c r="O32" s="258">
        <f t="shared" si="80"/>
        <v>0</v>
      </c>
      <c r="P32" s="258">
        <f t="shared" si="80"/>
        <v>0</v>
      </c>
      <c r="Q32" s="258">
        <f t="shared" si="80"/>
        <v>0</v>
      </c>
      <c r="R32" s="258">
        <f t="shared" si="80"/>
        <v>0</v>
      </c>
      <c r="S32" s="258">
        <f t="shared" si="80"/>
        <v>0</v>
      </c>
      <c r="T32" s="258">
        <f t="shared" si="80"/>
        <v>0</v>
      </c>
      <c r="U32" s="258">
        <f t="shared" si="80"/>
        <v>0</v>
      </c>
      <c r="V32" s="258"/>
      <c r="W32" s="258">
        <f t="shared" si="4"/>
        <v>0</v>
      </c>
      <c r="X32" s="258">
        <f t="shared" ref="X32:AH32" si="81">IF(AND($A32&gt;W$4, $H32&lt;=X$4, $H32&gt;=W$4),$E32*$C32,IF(IF(ISBLANK($H32)=TRUE,AND($A32&gt;=$J$4,$A32&lt;=X$4),AND($A32&gt;W$4,ISBLANK($H32)=FALSE)),MAX($E32/NETWORKDAYS(W$4,X$4)*MIN(NETWORKDAYS(W$4,X$4),NETWORKDAYS($A32,X$4)),0)*$C32,0))</f>
        <v>6000000</v>
      </c>
      <c r="Y32" s="258">
        <f t="shared" si="81"/>
        <v>20000000</v>
      </c>
      <c r="Z32" s="258">
        <f t="shared" si="81"/>
        <v>20000000</v>
      </c>
      <c r="AA32" s="258">
        <f t="shared" si="81"/>
        <v>20000000</v>
      </c>
      <c r="AB32" s="258">
        <f t="shared" si="81"/>
        <v>20000000</v>
      </c>
      <c r="AC32" s="258">
        <f t="shared" si="81"/>
        <v>20000000</v>
      </c>
      <c r="AD32" s="258">
        <f t="shared" si="81"/>
        <v>20000000</v>
      </c>
      <c r="AE32" s="258">
        <f t="shared" si="81"/>
        <v>20000000</v>
      </c>
      <c r="AF32" s="258">
        <f t="shared" si="81"/>
        <v>20000000</v>
      </c>
      <c r="AG32" s="258">
        <f t="shared" si="81"/>
        <v>20000000</v>
      </c>
      <c r="AH32" s="258">
        <f t="shared" si="81"/>
        <v>20000000</v>
      </c>
      <c r="AI32" s="258"/>
      <c r="AJ32" s="258">
        <f t="shared" si="6"/>
        <v>20000000</v>
      </c>
      <c r="AK32" s="258">
        <f t="shared" ref="AK32:AU32" si="82">IF(AND($A32&gt;AJ$4, $H32&lt;=AK$4, $H32&gt;=AJ$4),$E32*$C32,IF(IF(ISBLANK($H32)=TRUE,AND($A32&gt;=$J$4,$A32&lt;=AK$4),AND($A32&gt;AJ$4,ISBLANK($H32)=FALSE)),MAX($E32/NETWORKDAYS(AJ$4,AK$4)*MIN(NETWORKDAYS(AJ$4,AK$4),NETWORKDAYS($A32,AK$4)),0)*$C32,0))</f>
        <v>20000000</v>
      </c>
      <c r="AL32" s="258">
        <f t="shared" si="82"/>
        <v>20000000</v>
      </c>
      <c r="AM32" s="258">
        <f t="shared" si="82"/>
        <v>20000000</v>
      </c>
      <c r="AN32" s="258">
        <f t="shared" si="82"/>
        <v>20000000</v>
      </c>
      <c r="AO32" s="258">
        <f t="shared" si="82"/>
        <v>20000000</v>
      </c>
      <c r="AP32" s="258">
        <f t="shared" si="82"/>
        <v>20000000</v>
      </c>
      <c r="AQ32" s="258">
        <f t="shared" si="82"/>
        <v>20000000</v>
      </c>
      <c r="AR32" s="258">
        <f t="shared" si="82"/>
        <v>20000000</v>
      </c>
      <c r="AS32" s="258">
        <f t="shared" si="82"/>
        <v>20000000</v>
      </c>
      <c r="AT32" s="258">
        <f t="shared" si="82"/>
        <v>20000000</v>
      </c>
      <c r="AU32" s="258">
        <f t="shared" si="82"/>
        <v>20000000</v>
      </c>
      <c r="AV32" s="1045"/>
      <c r="AW32" s="313"/>
      <c r="AX32" s="313"/>
      <c r="AY32" s="313"/>
      <c r="AZ32" s="313"/>
      <c r="BA32" s="314"/>
    </row>
    <row r="33" spans="1:53" ht="12.75" x14ac:dyDescent="0.2">
      <c r="A33" s="1010">
        <f>'Salaries and wages'!I33</f>
        <v>46073</v>
      </c>
      <c r="B33" s="243" t="str">
        <f>'Salaries and wages'!C33</f>
        <v>Product Development Manager</v>
      </c>
      <c r="C33" s="243">
        <f>'Salaries and wages'!D33</f>
        <v>1</v>
      </c>
      <c r="D33" s="243"/>
      <c r="E33" s="989">
        <f>'Salaries and wages'!E33*10^6</f>
        <v>20000000</v>
      </c>
      <c r="F33" s="536">
        <f>'Salaries and wages'!F33</f>
        <v>0</v>
      </c>
      <c r="G33" s="989">
        <f>'Salaries and wages'!G33*10^6</f>
        <v>20000000</v>
      </c>
      <c r="H33" s="1024"/>
      <c r="I33" s="1071"/>
      <c r="J33" s="258">
        <f t="shared" ref="J33:U33" si="83">IF(AND($A33&gt;I$4, $H33&lt;=J$4, $H33&gt;=I$4),$E33*$C33,IF(IF(ISBLANK($H33)=TRUE,AND($A33&gt;=$J$4,$A33&lt;=J$4),AND($A33&gt;I$4,ISBLANK($H33)=FALSE)),MAX($E33/NETWORKDAYS(I$4,J$4)*MIN(NETWORKDAYS(I$4,J$4),NETWORKDAYS($A33,J$4)),0)*$C33,0))</f>
        <v>0</v>
      </c>
      <c r="K33" s="258">
        <f t="shared" si="83"/>
        <v>0</v>
      </c>
      <c r="L33" s="258">
        <f t="shared" si="83"/>
        <v>0</v>
      </c>
      <c r="M33" s="258">
        <f t="shared" si="83"/>
        <v>0</v>
      </c>
      <c r="N33" s="258">
        <f t="shared" si="83"/>
        <v>0</v>
      </c>
      <c r="O33" s="258">
        <f t="shared" si="83"/>
        <v>0</v>
      </c>
      <c r="P33" s="258">
        <f t="shared" si="83"/>
        <v>0</v>
      </c>
      <c r="Q33" s="258">
        <f t="shared" si="83"/>
        <v>0</v>
      </c>
      <c r="R33" s="258">
        <f t="shared" si="83"/>
        <v>0</v>
      </c>
      <c r="S33" s="258">
        <f t="shared" si="83"/>
        <v>0</v>
      </c>
      <c r="T33" s="258">
        <f t="shared" si="83"/>
        <v>0</v>
      </c>
      <c r="U33" s="258">
        <f t="shared" si="83"/>
        <v>0</v>
      </c>
      <c r="V33" s="258"/>
      <c r="W33" s="258">
        <f t="shared" si="4"/>
        <v>0</v>
      </c>
      <c r="X33" s="258">
        <f t="shared" ref="X33:AH33" si="84">IF(AND($A33&gt;W$4, $H33&lt;=X$4, $H33&gt;=W$4),$E33*$C33,IF(IF(ISBLANK($H33)=TRUE,AND($A33&gt;=$J$4,$A33&lt;=X$4),AND($A33&gt;W$4,ISBLANK($H33)=FALSE)),MAX($E33/NETWORKDAYS(W$4,X$4)*MIN(NETWORKDAYS(W$4,X$4),NETWORKDAYS($A33,X$4)),0)*$C33,0))</f>
        <v>6000000</v>
      </c>
      <c r="Y33" s="258">
        <f t="shared" si="84"/>
        <v>20000000</v>
      </c>
      <c r="Z33" s="258">
        <f t="shared" si="84"/>
        <v>20000000</v>
      </c>
      <c r="AA33" s="258">
        <f t="shared" si="84"/>
        <v>20000000</v>
      </c>
      <c r="AB33" s="258">
        <f t="shared" si="84"/>
        <v>20000000</v>
      </c>
      <c r="AC33" s="258">
        <f t="shared" si="84"/>
        <v>20000000</v>
      </c>
      <c r="AD33" s="258">
        <f t="shared" si="84"/>
        <v>20000000</v>
      </c>
      <c r="AE33" s="258">
        <f t="shared" si="84"/>
        <v>20000000</v>
      </c>
      <c r="AF33" s="258">
        <f t="shared" si="84"/>
        <v>20000000</v>
      </c>
      <c r="AG33" s="258">
        <f t="shared" si="84"/>
        <v>20000000</v>
      </c>
      <c r="AH33" s="258">
        <f t="shared" si="84"/>
        <v>20000000</v>
      </c>
      <c r="AI33" s="258"/>
      <c r="AJ33" s="258">
        <f t="shared" si="6"/>
        <v>20000000</v>
      </c>
      <c r="AK33" s="258">
        <f t="shared" ref="AK33:AU33" si="85">IF(AND($A33&gt;AJ$4, $H33&lt;=AK$4, $H33&gt;=AJ$4),$E33*$C33,IF(IF(ISBLANK($H33)=TRUE,AND($A33&gt;=$J$4,$A33&lt;=AK$4),AND($A33&gt;AJ$4,ISBLANK($H33)=FALSE)),MAX($E33/NETWORKDAYS(AJ$4,AK$4)*MIN(NETWORKDAYS(AJ$4,AK$4),NETWORKDAYS($A33,AK$4)),0)*$C33,0))</f>
        <v>20000000</v>
      </c>
      <c r="AL33" s="258">
        <f t="shared" si="85"/>
        <v>20000000</v>
      </c>
      <c r="AM33" s="258">
        <f t="shared" si="85"/>
        <v>20000000</v>
      </c>
      <c r="AN33" s="258">
        <f t="shared" si="85"/>
        <v>20000000</v>
      </c>
      <c r="AO33" s="258">
        <f t="shared" si="85"/>
        <v>20000000</v>
      </c>
      <c r="AP33" s="258">
        <f t="shared" si="85"/>
        <v>20000000</v>
      </c>
      <c r="AQ33" s="258">
        <f t="shared" si="85"/>
        <v>20000000</v>
      </c>
      <c r="AR33" s="258">
        <f t="shared" si="85"/>
        <v>20000000</v>
      </c>
      <c r="AS33" s="258">
        <f t="shared" si="85"/>
        <v>20000000</v>
      </c>
      <c r="AT33" s="258">
        <f t="shared" si="85"/>
        <v>20000000</v>
      </c>
      <c r="AU33" s="258">
        <f t="shared" si="85"/>
        <v>20000000</v>
      </c>
      <c r="AV33" s="1045"/>
      <c r="AW33" s="313"/>
      <c r="AX33" s="313"/>
      <c r="AY33" s="313"/>
      <c r="AZ33" s="313"/>
      <c r="BA33" s="314"/>
    </row>
    <row r="34" spans="1:53" ht="12.75" x14ac:dyDescent="0.2">
      <c r="A34" s="1010">
        <f>'Salaries and wages'!I34</f>
        <v>46073</v>
      </c>
      <c r="B34" s="243" t="str">
        <f>'Salaries and wages'!C34</f>
        <v>Quality Control Manager</v>
      </c>
      <c r="C34" s="243">
        <f>'Salaries and wages'!D34</f>
        <v>1</v>
      </c>
      <c r="D34" s="243"/>
      <c r="E34" s="989">
        <f>'Salaries and wages'!E34*10^6</f>
        <v>25000000</v>
      </c>
      <c r="F34" s="536">
        <f>'Salaries and wages'!F34</f>
        <v>0</v>
      </c>
      <c r="G34" s="989">
        <f>'Salaries and wages'!G34*10^6</f>
        <v>25000000</v>
      </c>
      <c r="H34" s="1024"/>
      <c r="I34" s="1071"/>
      <c r="J34" s="258">
        <f t="shared" ref="J34:U34" si="86">IF(AND($A34&gt;I$4, $H34&lt;=J$4, $H34&gt;=I$4),$E34*$C34,IF(IF(ISBLANK($H34)=TRUE,AND($A34&gt;=$J$4,$A34&lt;=J$4),AND($A34&gt;I$4,ISBLANK($H34)=FALSE)),MAX($E34/NETWORKDAYS(I$4,J$4)*MIN(NETWORKDAYS(I$4,J$4),NETWORKDAYS($A34,J$4)),0)*$C34,0))</f>
        <v>0</v>
      </c>
      <c r="K34" s="258">
        <f t="shared" si="86"/>
        <v>0</v>
      </c>
      <c r="L34" s="258">
        <f t="shared" si="86"/>
        <v>0</v>
      </c>
      <c r="M34" s="258">
        <f t="shared" si="86"/>
        <v>0</v>
      </c>
      <c r="N34" s="258">
        <f t="shared" si="86"/>
        <v>0</v>
      </c>
      <c r="O34" s="258">
        <f t="shared" si="86"/>
        <v>0</v>
      </c>
      <c r="P34" s="258">
        <f t="shared" si="86"/>
        <v>0</v>
      </c>
      <c r="Q34" s="258">
        <f t="shared" si="86"/>
        <v>0</v>
      </c>
      <c r="R34" s="258">
        <f t="shared" si="86"/>
        <v>0</v>
      </c>
      <c r="S34" s="258">
        <f t="shared" si="86"/>
        <v>0</v>
      </c>
      <c r="T34" s="258">
        <f t="shared" si="86"/>
        <v>0</v>
      </c>
      <c r="U34" s="258">
        <f t="shared" si="86"/>
        <v>0</v>
      </c>
      <c r="V34" s="258"/>
      <c r="W34" s="258">
        <f t="shared" si="4"/>
        <v>0</v>
      </c>
      <c r="X34" s="258">
        <f t="shared" ref="X34:AH34" si="87">IF(AND($A34&gt;W$4, $H34&lt;=X$4, $H34&gt;=W$4),$E34*$C34,IF(IF(ISBLANK($H34)=TRUE,AND($A34&gt;=$J$4,$A34&lt;=X$4),AND($A34&gt;W$4,ISBLANK($H34)=FALSE)),MAX($E34/NETWORKDAYS(W$4,X$4)*MIN(NETWORKDAYS(W$4,X$4),NETWORKDAYS($A34,X$4)),0)*$C34,0))</f>
        <v>7500000</v>
      </c>
      <c r="Y34" s="258">
        <f t="shared" si="87"/>
        <v>25000000.000000004</v>
      </c>
      <c r="Z34" s="258">
        <f t="shared" si="87"/>
        <v>25000000</v>
      </c>
      <c r="AA34" s="258">
        <f t="shared" si="87"/>
        <v>25000000.000000004</v>
      </c>
      <c r="AB34" s="258">
        <f t="shared" si="87"/>
        <v>25000000.000000004</v>
      </c>
      <c r="AC34" s="258">
        <f t="shared" si="87"/>
        <v>25000000</v>
      </c>
      <c r="AD34" s="258">
        <f t="shared" si="87"/>
        <v>25000000.000000004</v>
      </c>
      <c r="AE34" s="258">
        <f t="shared" si="87"/>
        <v>25000000</v>
      </c>
      <c r="AF34" s="258">
        <f t="shared" si="87"/>
        <v>25000000</v>
      </c>
      <c r="AG34" s="258">
        <f t="shared" si="87"/>
        <v>25000000</v>
      </c>
      <c r="AH34" s="258">
        <f t="shared" si="87"/>
        <v>25000000</v>
      </c>
      <c r="AI34" s="258"/>
      <c r="AJ34" s="258">
        <f t="shared" si="6"/>
        <v>25000000.000000004</v>
      </c>
      <c r="AK34" s="258">
        <f t="shared" ref="AK34:AU34" si="88">IF(AND($A34&gt;AJ$4, $H34&lt;=AK$4, $H34&gt;=AJ$4),$E34*$C34,IF(IF(ISBLANK($H34)=TRUE,AND($A34&gt;=$J$4,$A34&lt;=AK$4),AND($A34&gt;AJ$4,ISBLANK($H34)=FALSE)),MAX($E34/NETWORKDAYS(AJ$4,AK$4)*MIN(NETWORKDAYS(AJ$4,AK$4),NETWORKDAYS($A34,AK$4)),0)*$C34,0))</f>
        <v>25000000</v>
      </c>
      <c r="AL34" s="258">
        <f t="shared" si="88"/>
        <v>25000000</v>
      </c>
      <c r="AM34" s="258">
        <f t="shared" si="88"/>
        <v>25000000</v>
      </c>
      <c r="AN34" s="258">
        <f t="shared" si="88"/>
        <v>25000000.000000004</v>
      </c>
      <c r="AO34" s="258">
        <f t="shared" si="88"/>
        <v>25000000</v>
      </c>
      <c r="AP34" s="258">
        <f t="shared" si="88"/>
        <v>25000000</v>
      </c>
      <c r="AQ34" s="258">
        <f t="shared" si="88"/>
        <v>25000000.000000004</v>
      </c>
      <c r="AR34" s="258">
        <f t="shared" si="88"/>
        <v>25000000</v>
      </c>
      <c r="AS34" s="258">
        <f t="shared" si="88"/>
        <v>25000000.000000004</v>
      </c>
      <c r="AT34" s="258">
        <f t="shared" si="88"/>
        <v>25000000.000000004</v>
      </c>
      <c r="AU34" s="258">
        <f t="shared" si="88"/>
        <v>25000000</v>
      </c>
      <c r="AV34" s="1045"/>
      <c r="AW34" s="313"/>
      <c r="AX34" s="313"/>
      <c r="AY34" s="313"/>
      <c r="AZ34" s="313"/>
      <c r="BA34" s="314"/>
    </row>
    <row r="35" spans="1:53" ht="12.75" x14ac:dyDescent="0.2">
      <c r="A35" s="1010">
        <f>'Salaries and wages'!I36</f>
        <v>46371</v>
      </c>
      <c r="B35" s="243" t="str">
        <f>'Salaries and wages'!C36</f>
        <v>Accountant</v>
      </c>
      <c r="C35" s="243">
        <f>'Salaries and wages'!D36</f>
        <v>1</v>
      </c>
      <c r="D35" s="243"/>
      <c r="E35" s="989">
        <f>'Salaries and wages'!E36*10^6</f>
        <v>10000000</v>
      </c>
      <c r="F35" s="536">
        <f>'Salaries and wages'!F36</f>
        <v>0</v>
      </c>
      <c r="G35" s="989">
        <f>'Salaries and wages'!G36*10^6</f>
        <v>0</v>
      </c>
      <c r="H35" s="1072">
        <v>46387</v>
      </c>
      <c r="I35" s="1071"/>
      <c r="J35" s="258">
        <f t="shared" ref="J35:U35" si="89">IF(AND($A35&gt;I$4, $H35&lt;=J$4, $H35&gt;=I$4),$E35*$C35,IF(IF(ISBLANK($H35)=TRUE,AND($A35&gt;=$J$4,$A35&lt;=J$4),AND($A35&gt;I$4,ISBLANK($H35)=FALSE)),MAX($E35/NETWORKDAYS(I$4,J$4)*MIN(NETWORKDAYS(I$4,J$4),NETWORKDAYS($A35,J$4)),0)*$C35,0))</f>
        <v>0</v>
      </c>
      <c r="K35" s="258">
        <f t="shared" si="89"/>
        <v>0</v>
      </c>
      <c r="L35" s="258">
        <f t="shared" si="89"/>
        <v>0</v>
      </c>
      <c r="M35" s="258">
        <f t="shared" si="89"/>
        <v>0</v>
      </c>
      <c r="N35" s="258">
        <f t="shared" si="89"/>
        <v>0</v>
      </c>
      <c r="O35" s="258">
        <f t="shared" si="89"/>
        <v>0</v>
      </c>
      <c r="P35" s="258">
        <f t="shared" si="89"/>
        <v>0</v>
      </c>
      <c r="Q35" s="258">
        <f t="shared" si="89"/>
        <v>0</v>
      </c>
      <c r="R35" s="258">
        <f t="shared" si="89"/>
        <v>0</v>
      </c>
      <c r="S35" s="258">
        <f t="shared" si="89"/>
        <v>0</v>
      </c>
      <c r="T35" s="258">
        <f t="shared" si="89"/>
        <v>0</v>
      </c>
      <c r="U35" s="258">
        <f t="shared" si="89"/>
        <v>0</v>
      </c>
      <c r="V35" s="258"/>
      <c r="W35" s="258">
        <f t="shared" si="4"/>
        <v>0</v>
      </c>
      <c r="X35" s="258">
        <f t="shared" ref="X35:AH35" si="90">IF(AND($A35&gt;W$4, $H35&lt;=X$4, $H35&gt;=W$4),$E35*$C35,IF(IF(ISBLANK($H35)=TRUE,AND($A35&gt;=$J$4,$A35&lt;=X$4),AND($A35&gt;W$4,ISBLANK($H35)=FALSE)),MAX($E35/NETWORKDAYS(W$4,X$4)*MIN(NETWORKDAYS(W$4,X$4),NETWORKDAYS($A35,X$4)),0)*$C35,0))</f>
        <v>0</v>
      </c>
      <c r="Y35" s="258">
        <f t="shared" si="90"/>
        <v>0</v>
      </c>
      <c r="Z35" s="258">
        <f t="shared" si="90"/>
        <v>0</v>
      </c>
      <c r="AA35" s="258">
        <f t="shared" si="90"/>
        <v>0</v>
      </c>
      <c r="AB35" s="258">
        <f t="shared" si="90"/>
        <v>0</v>
      </c>
      <c r="AC35" s="258">
        <f t="shared" si="90"/>
        <v>0</v>
      </c>
      <c r="AD35" s="258">
        <f t="shared" si="90"/>
        <v>0</v>
      </c>
      <c r="AE35" s="258">
        <f t="shared" si="90"/>
        <v>0</v>
      </c>
      <c r="AF35" s="258">
        <f t="shared" si="90"/>
        <v>0</v>
      </c>
      <c r="AG35" s="258">
        <f t="shared" si="90"/>
        <v>0</v>
      </c>
      <c r="AH35" s="258">
        <f t="shared" si="90"/>
        <v>10000000</v>
      </c>
      <c r="AI35" s="258"/>
      <c r="AJ35" s="258">
        <f t="shared" si="6"/>
        <v>0</v>
      </c>
      <c r="AK35" s="258">
        <f t="shared" ref="AK35:AU35" si="91">IF(AND($A35&gt;AJ$4, $H35&lt;=AK$4, $H35&gt;=AJ$4),$E35*$C35,IF(IF(ISBLANK($H35)=TRUE,AND($A35&gt;=$J$4,$A35&lt;=AK$4),AND($A35&gt;AJ$4,ISBLANK($H35)=FALSE)),MAX($E35/NETWORKDAYS(AJ$4,AK$4)*MIN(NETWORKDAYS(AJ$4,AK$4),NETWORKDAYS($A35,AK$4)),0)*$C35,0))</f>
        <v>0</v>
      </c>
      <c r="AL35" s="258">
        <f t="shared" si="91"/>
        <v>0</v>
      </c>
      <c r="AM35" s="258">
        <f t="shared" si="91"/>
        <v>0</v>
      </c>
      <c r="AN35" s="258">
        <f t="shared" si="91"/>
        <v>0</v>
      </c>
      <c r="AO35" s="258">
        <f t="shared" si="91"/>
        <v>0</v>
      </c>
      <c r="AP35" s="258">
        <f t="shared" si="91"/>
        <v>0</v>
      </c>
      <c r="AQ35" s="258">
        <f t="shared" si="91"/>
        <v>0</v>
      </c>
      <c r="AR35" s="258">
        <f t="shared" si="91"/>
        <v>0</v>
      </c>
      <c r="AS35" s="258">
        <f t="shared" si="91"/>
        <v>0</v>
      </c>
      <c r="AT35" s="258">
        <f t="shared" si="91"/>
        <v>0</v>
      </c>
      <c r="AU35" s="258">
        <f t="shared" si="91"/>
        <v>0</v>
      </c>
      <c r="AV35" s="1045"/>
      <c r="AW35" s="313"/>
      <c r="AX35" s="313"/>
      <c r="AY35" s="313"/>
      <c r="AZ35" s="313"/>
      <c r="BA35" s="314"/>
    </row>
    <row r="36" spans="1:53" ht="12.75" x14ac:dyDescent="0.2">
      <c r="A36" s="1010">
        <f>'Salaries and wages'!I37</f>
        <v>46076</v>
      </c>
      <c r="B36" s="243" t="str">
        <f>'Salaries and wages'!C37</f>
        <v>Customer Service Staff</v>
      </c>
      <c r="C36" s="243">
        <f>'Salaries and wages'!D37</f>
        <v>1</v>
      </c>
      <c r="D36" s="243"/>
      <c r="E36" s="989">
        <f>'Salaries and wages'!E37*10^6</f>
        <v>9000000</v>
      </c>
      <c r="F36" s="536">
        <f>'Salaries and wages'!F37</f>
        <v>0</v>
      </c>
      <c r="G36" s="989">
        <f>'Salaries and wages'!G37*10^6</f>
        <v>9000000</v>
      </c>
      <c r="H36" s="1024"/>
      <c r="I36" s="1071"/>
      <c r="J36" s="258">
        <f t="shared" ref="J36:U36" si="92">IF(AND($A36&gt;I$4, $H36&lt;=J$4, $H36&gt;=I$4),$E36*$C36,IF(IF(ISBLANK($H36)=TRUE,AND($A36&gt;=$J$4,$A36&lt;=J$4),AND($A36&gt;I$4,ISBLANK($H36)=FALSE)),MAX($E36/NETWORKDAYS(I$4,J$4)*MIN(NETWORKDAYS(I$4,J$4),NETWORKDAYS($A36,J$4)),0)*$C36,0))</f>
        <v>0</v>
      </c>
      <c r="K36" s="258">
        <f t="shared" si="92"/>
        <v>0</v>
      </c>
      <c r="L36" s="258">
        <f t="shared" si="92"/>
        <v>0</v>
      </c>
      <c r="M36" s="258">
        <f t="shared" si="92"/>
        <v>0</v>
      </c>
      <c r="N36" s="258">
        <f t="shared" si="92"/>
        <v>0</v>
      </c>
      <c r="O36" s="258">
        <f t="shared" si="92"/>
        <v>0</v>
      </c>
      <c r="P36" s="258">
        <f t="shared" si="92"/>
        <v>0</v>
      </c>
      <c r="Q36" s="258">
        <f t="shared" si="92"/>
        <v>0</v>
      </c>
      <c r="R36" s="258">
        <f t="shared" si="92"/>
        <v>0</v>
      </c>
      <c r="S36" s="258">
        <f t="shared" si="92"/>
        <v>0</v>
      </c>
      <c r="T36" s="258">
        <f t="shared" si="92"/>
        <v>0</v>
      </c>
      <c r="U36" s="258">
        <f t="shared" si="92"/>
        <v>0</v>
      </c>
      <c r="V36" s="258"/>
      <c r="W36" s="258">
        <f t="shared" si="4"/>
        <v>0</v>
      </c>
      <c r="X36" s="258">
        <f t="shared" ref="X36:AH36" si="93">IF(AND($A36&gt;W$4, $H36&lt;=X$4, $H36&gt;=W$4),$E36*$C36,IF(IF(ISBLANK($H36)=TRUE,AND($A36&gt;=$J$4,$A36&lt;=X$4),AND($A36&gt;W$4,ISBLANK($H36)=FALSE)),MAX($E36/NETWORKDAYS(W$4,X$4)*MIN(NETWORKDAYS(W$4,X$4),NETWORKDAYS($A36,X$4)),0)*$C36,0))</f>
        <v>2250000</v>
      </c>
      <c r="Y36" s="258">
        <f t="shared" si="93"/>
        <v>9000000</v>
      </c>
      <c r="Z36" s="258">
        <f t="shared" si="93"/>
        <v>9000000</v>
      </c>
      <c r="AA36" s="258">
        <f t="shared" si="93"/>
        <v>9000000</v>
      </c>
      <c r="AB36" s="258">
        <f t="shared" si="93"/>
        <v>9000000</v>
      </c>
      <c r="AC36" s="258">
        <f t="shared" si="93"/>
        <v>9000000</v>
      </c>
      <c r="AD36" s="258">
        <f t="shared" si="93"/>
        <v>9000000</v>
      </c>
      <c r="AE36" s="258">
        <f t="shared" si="93"/>
        <v>9000000</v>
      </c>
      <c r="AF36" s="258">
        <f t="shared" si="93"/>
        <v>9000000</v>
      </c>
      <c r="AG36" s="258">
        <f t="shared" si="93"/>
        <v>9000000</v>
      </c>
      <c r="AH36" s="258">
        <f t="shared" si="93"/>
        <v>9000000</v>
      </c>
      <c r="AI36" s="258"/>
      <c r="AJ36" s="258">
        <f t="shared" si="6"/>
        <v>9000000</v>
      </c>
      <c r="AK36" s="258">
        <f t="shared" ref="AK36:AU36" si="94">IF(AND($A36&gt;AJ$4, $H36&lt;=AK$4, $H36&gt;=AJ$4),$E36*$C36,IF(IF(ISBLANK($H36)=TRUE,AND($A36&gt;=$J$4,$A36&lt;=AK$4),AND($A36&gt;AJ$4,ISBLANK($H36)=FALSE)),MAX($E36/NETWORKDAYS(AJ$4,AK$4)*MIN(NETWORKDAYS(AJ$4,AK$4),NETWORKDAYS($A36,AK$4)),0)*$C36,0))</f>
        <v>9000000</v>
      </c>
      <c r="AL36" s="258">
        <f t="shared" si="94"/>
        <v>9000000</v>
      </c>
      <c r="AM36" s="258">
        <f t="shared" si="94"/>
        <v>9000000</v>
      </c>
      <c r="AN36" s="258">
        <f t="shared" si="94"/>
        <v>9000000</v>
      </c>
      <c r="AO36" s="258">
        <f t="shared" si="94"/>
        <v>9000000</v>
      </c>
      <c r="AP36" s="258">
        <f t="shared" si="94"/>
        <v>9000000</v>
      </c>
      <c r="AQ36" s="258">
        <f t="shared" si="94"/>
        <v>9000000</v>
      </c>
      <c r="AR36" s="258">
        <f t="shared" si="94"/>
        <v>9000000</v>
      </c>
      <c r="AS36" s="258">
        <f t="shared" si="94"/>
        <v>9000000</v>
      </c>
      <c r="AT36" s="258">
        <f t="shared" si="94"/>
        <v>9000000</v>
      </c>
      <c r="AU36" s="258">
        <f t="shared" si="94"/>
        <v>9000000</v>
      </c>
      <c r="AV36" s="1045"/>
      <c r="AW36" s="313"/>
      <c r="AX36" s="313"/>
      <c r="AY36" s="313"/>
      <c r="AZ36" s="313"/>
      <c r="BA36" s="314"/>
    </row>
    <row r="37" spans="1:53" ht="12.75" x14ac:dyDescent="0.2">
      <c r="A37" s="1010">
        <f>'Salaries and wages'!I38</f>
        <v>0</v>
      </c>
      <c r="B37" s="243">
        <f>'Salaries and wages'!C38</f>
        <v>0</v>
      </c>
      <c r="C37" s="243">
        <f>'Salaries and wages'!D38</f>
        <v>0</v>
      </c>
      <c r="D37" s="243"/>
      <c r="E37" s="266">
        <f>'Salaries and wages'!E38*10^6</f>
        <v>0</v>
      </c>
      <c r="F37" s="536">
        <f>'Salaries and wages'!F38</f>
        <v>0</v>
      </c>
      <c r="G37" s="266">
        <f>'Salaries and wages'!G38*10^6</f>
        <v>0</v>
      </c>
      <c r="H37" s="1024"/>
      <c r="I37" s="1071"/>
      <c r="J37" s="243">
        <f t="shared" ref="J37:U37" si="95">IF(AND($A37&gt;I$4, $H37&lt;=J$4, $H37&gt;=I$4),$E37*$C37,IF(IF(ISBLANK($H37)=TRUE,AND($A37&gt;=$J$4,$A37&lt;=J$4),AND($A37&gt;I$4,ISBLANK($H37)=FALSE)),MAX($E37/NETWORKDAYS(I$4,J$4)*MIN(NETWORKDAYS(I$4,J$4),NETWORKDAYS($A37,J$4)),0)*$C37,0))</f>
        <v>0</v>
      </c>
      <c r="K37" s="243">
        <f t="shared" si="95"/>
        <v>0</v>
      </c>
      <c r="L37" s="243">
        <f t="shared" si="95"/>
        <v>0</v>
      </c>
      <c r="M37" s="243">
        <f t="shared" si="95"/>
        <v>0</v>
      </c>
      <c r="N37" s="243">
        <f t="shared" si="95"/>
        <v>0</v>
      </c>
      <c r="O37" s="243">
        <f t="shared" si="95"/>
        <v>0</v>
      </c>
      <c r="P37" s="243">
        <f t="shared" si="95"/>
        <v>0</v>
      </c>
      <c r="Q37" s="243">
        <f t="shared" si="95"/>
        <v>0</v>
      </c>
      <c r="R37" s="243">
        <f t="shared" si="95"/>
        <v>0</v>
      </c>
      <c r="S37" s="243">
        <f t="shared" si="95"/>
        <v>0</v>
      </c>
      <c r="T37" s="243">
        <f t="shared" si="95"/>
        <v>0</v>
      </c>
      <c r="U37" s="243">
        <f t="shared" si="95"/>
        <v>0</v>
      </c>
      <c r="V37" s="243"/>
      <c r="W37" s="243">
        <f t="shared" si="4"/>
        <v>0</v>
      </c>
      <c r="X37" s="243">
        <f t="shared" ref="X37:AH37" si="96">IF(AND($A37&gt;W$4, $H37&lt;=X$4, $H37&gt;=W$4),$E37*$C37,IF(IF(ISBLANK($H37)=TRUE,AND($A37&gt;=$J$4,$A37&lt;=X$4),AND($A37&gt;W$4,ISBLANK($H37)=FALSE)),MAX($E37/NETWORKDAYS(W$4,X$4)*MIN(NETWORKDAYS(W$4,X$4),NETWORKDAYS($A37,X$4)),0)*$C37,0))</f>
        <v>0</v>
      </c>
      <c r="Y37" s="243">
        <f t="shared" si="96"/>
        <v>0</v>
      </c>
      <c r="Z37" s="243">
        <f t="shared" si="96"/>
        <v>0</v>
      </c>
      <c r="AA37" s="243">
        <f t="shared" si="96"/>
        <v>0</v>
      </c>
      <c r="AB37" s="243">
        <f t="shared" si="96"/>
        <v>0</v>
      </c>
      <c r="AC37" s="243">
        <f t="shared" si="96"/>
        <v>0</v>
      </c>
      <c r="AD37" s="243">
        <f t="shared" si="96"/>
        <v>0</v>
      </c>
      <c r="AE37" s="243">
        <f t="shared" si="96"/>
        <v>0</v>
      </c>
      <c r="AF37" s="243">
        <f t="shared" si="96"/>
        <v>0</v>
      </c>
      <c r="AG37" s="243">
        <f t="shared" si="96"/>
        <v>0</v>
      </c>
      <c r="AH37" s="243">
        <f t="shared" si="96"/>
        <v>0</v>
      </c>
      <c r="AI37" s="243"/>
      <c r="AJ37" s="243">
        <f t="shared" si="6"/>
        <v>0</v>
      </c>
      <c r="AK37" s="243">
        <f t="shared" ref="AK37:AU37" si="97">IF(AND($A37&gt;AJ$4, $H37&lt;=AK$4, $H37&gt;=AJ$4),$E37*$C37,IF(IF(ISBLANK($H37)=TRUE,AND($A37&gt;=$J$4,$A37&lt;=AK$4),AND($A37&gt;AJ$4,ISBLANK($H37)=FALSE)),MAX($E37/NETWORKDAYS(AJ$4,AK$4)*MIN(NETWORKDAYS(AJ$4,AK$4),NETWORKDAYS($A37,AK$4)),0)*$C37,0))</f>
        <v>0</v>
      </c>
      <c r="AL37" s="243">
        <f t="shared" si="97"/>
        <v>0</v>
      </c>
      <c r="AM37" s="243">
        <f t="shared" si="97"/>
        <v>0</v>
      </c>
      <c r="AN37" s="243">
        <f t="shared" si="97"/>
        <v>0</v>
      </c>
      <c r="AO37" s="243">
        <f t="shared" si="97"/>
        <v>0</v>
      </c>
      <c r="AP37" s="243">
        <f t="shared" si="97"/>
        <v>0</v>
      </c>
      <c r="AQ37" s="243">
        <f t="shared" si="97"/>
        <v>0</v>
      </c>
      <c r="AR37" s="243">
        <f t="shared" si="97"/>
        <v>0</v>
      </c>
      <c r="AS37" s="243">
        <f t="shared" si="97"/>
        <v>0</v>
      </c>
      <c r="AT37" s="243">
        <f t="shared" si="97"/>
        <v>0</v>
      </c>
      <c r="AU37" s="243">
        <f t="shared" si="97"/>
        <v>0</v>
      </c>
      <c r="AV37" s="1045"/>
      <c r="AW37" s="313"/>
      <c r="AX37" s="313"/>
      <c r="AY37" s="313"/>
      <c r="AZ37" s="313"/>
      <c r="BA37" s="314"/>
    </row>
    <row r="38" spans="1:53" ht="12.75" x14ac:dyDescent="0.2">
      <c r="A38" s="1010">
        <f>'Salaries and wages'!I39</f>
        <v>0</v>
      </c>
      <c r="B38" s="243">
        <f>'Salaries and wages'!C39</f>
        <v>0</v>
      </c>
      <c r="C38" s="243">
        <f>'Salaries and wages'!D39</f>
        <v>0</v>
      </c>
      <c r="D38" s="243"/>
      <c r="E38" s="266">
        <f>'Salaries and wages'!E39*10^6</f>
        <v>0</v>
      </c>
      <c r="F38" s="536">
        <f>'Salaries and wages'!F39</f>
        <v>0</v>
      </c>
      <c r="G38" s="266">
        <f>'Salaries and wages'!G39*10^6</f>
        <v>0</v>
      </c>
      <c r="H38" s="1024"/>
      <c r="I38" s="1071"/>
      <c r="J38" s="243">
        <f t="shared" ref="J38:U38" si="98">IF(AND($A38&gt;I$4, $H38&lt;=J$4, $H38&gt;=I$4),$E38*$C38,IF(IF(ISBLANK($H38)=TRUE,AND($A38&gt;=$J$4,$A38&lt;=J$4),AND($A38&gt;I$4,ISBLANK($H38)=FALSE)),MAX($E38/NETWORKDAYS(I$4,J$4)*MIN(NETWORKDAYS(I$4,J$4),NETWORKDAYS($A38,J$4)),0)*$C38,0))</f>
        <v>0</v>
      </c>
      <c r="K38" s="243">
        <f t="shared" si="98"/>
        <v>0</v>
      </c>
      <c r="L38" s="243">
        <f t="shared" si="98"/>
        <v>0</v>
      </c>
      <c r="M38" s="243">
        <f t="shared" si="98"/>
        <v>0</v>
      </c>
      <c r="N38" s="243">
        <f t="shared" si="98"/>
        <v>0</v>
      </c>
      <c r="O38" s="243">
        <f t="shared" si="98"/>
        <v>0</v>
      </c>
      <c r="P38" s="243">
        <f t="shared" si="98"/>
        <v>0</v>
      </c>
      <c r="Q38" s="243">
        <f t="shared" si="98"/>
        <v>0</v>
      </c>
      <c r="R38" s="243">
        <f t="shared" si="98"/>
        <v>0</v>
      </c>
      <c r="S38" s="243">
        <f t="shared" si="98"/>
        <v>0</v>
      </c>
      <c r="T38" s="243">
        <f t="shared" si="98"/>
        <v>0</v>
      </c>
      <c r="U38" s="243">
        <f t="shared" si="98"/>
        <v>0</v>
      </c>
      <c r="V38" s="243"/>
      <c r="W38" s="243">
        <f t="shared" si="4"/>
        <v>0</v>
      </c>
      <c r="X38" s="243">
        <f t="shared" ref="X38:AH38" si="99">IF(AND($A38&gt;W$4, $H38&lt;=X$4, $H38&gt;=W$4),$E38*$C38,IF(IF(ISBLANK($H38)=TRUE,AND($A38&gt;=$J$4,$A38&lt;=X$4),AND($A38&gt;W$4,ISBLANK($H38)=FALSE)),MAX($E38/NETWORKDAYS(W$4,X$4)*MIN(NETWORKDAYS(W$4,X$4),NETWORKDAYS($A38,X$4)),0)*$C38,0))</f>
        <v>0</v>
      </c>
      <c r="Y38" s="243">
        <f t="shared" si="99"/>
        <v>0</v>
      </c>
      <c r="Z38" s="243">
        <f t="shared" si="99"/>
        <v>0</v>
      </c>
      <c r="AA38" s="243">
        <f t="shared" si="99"/>
        <v>0</v>
      </c>
      <c r="AB38" s="243">
        <f t="shared" si="99"/>
        <v>0</v>
      </c>
      <c r="AC38" s="243">
        <f t="shared" si="99"/>
        <v>0</v>
      </c>
      <c r="AD38" s="243">
        <f t="shared" si="99"/>
        <v>0</v>
      </c>
      <c r="AE38" s="243">
        <f t="shared" si="99"/>
        <v>0</v>
      </c>
      <c r="AF38" s="243">
        <f t="shared" si="99"/>
        <v>0</v>
      </c>
      <c r="AG38" s="243">
        <f t="shared" si="99"/>
        <v>0</v>
      </c>
      <c r="AH38" s="243">
        <f t="shared" si="99"/>
        <v>0</v>
      </c>
      <c r="AI38" s="243"/>
      <c r="AJ38" s="243">
        <f t="shared" si="6"/>
        <v>0</v>
      </c>
      <c r="AK38" s="243">
        <f t="shared" ref="AK38:AU38" si="100">IF(AND($A38&gt;AJ$4, $H38&lt;=AK$4, $H38&gt;=AJ$4),$E38*$C38,IF(IF(ISBLANK($H38)=TRUE,AND($A38&gt;=$J$4,$A38&lt;=AK$4),AND($A38&gt;AJ$4,ISBLANK($H38)=FALSE)),MAX($E38/NETWORKDAYS(AJ$4,AK$4)*MIN(NETWORKDAYS(AJ$4,AK$4),NETWORKDAYS($A38,AK$4)),0)*$C38,0))</f>
        <v>0</v>
      </c>
      <c r="AL38" s="243">
        <f t="shared" si="100"/>
        <v>0</v>
      </c>
      <c r="AM38" s="243">
        <f t="shared" si="100"/>
        <v>0</v>
      </c>
      <c r="AN38" s="243">
        <f t="shared" si="100"/>
        <v>0</v>
      </c>
      <c r="AO38" s="243">
        <f t="shared" si="100"/>
        <v>0</v>
      </c>
      <c r="AP38" s="243">
        <f t="shared" si="100"/>
        <v>0</v>
      </c>
      <c r="AQ38" s="243">
        <f t="shared" si="100"/>
        <v>0</v>
      </c>
      <c r="AR38" s="243">
        <f t="shared" si="100"/>
        <v>0</v>
      </c>
      <c r="AS38" s="243">
        <f t="shared" si="100"/>
        <v>0</v>
      </c>
      <c r="AT38" s="243">
        <f t="shared" si="100"/>
        <v>0</v>
      </c>
      <c r="AU38" s="243">
        <f t="shared" si="100"/>
        <v>0</v>
      </c>
      <c r="AV38" s="1045"/>
      <c r="AW38" s="313"/>
      <c r="AX38" s="313"/>
      <c r="AY38" s="313"/>
      <c r="AZ38" s="313"/>
      <c r="BA38" s="314"/>
    </row>
    <row r="39" spans="1:53" ht="12.75" x14ac:dyDescent="0.2">
      <c r="A39" s="1010">
        <f>'Salaries and wages'!I40</f>
        <v>0</v>
      </c>
      <c r="B39" s="243">
        <f>'Salaries and wages'!C40</f>
        <v>0</v>
      </c>
      <c r="C39" s="243">
        <f>'Salaries and wages'!D40</f>
        <v>0</v>
      </c>
      <c r="D39" s="243"/>
      <c r="E39" s="266">
        <f>'Salaries and wages'!E40*10^6</f>
        <v>0</v>
      </c>
      <c r="F39" s="536">
        <f>'Salaries and wages'!F40</f>
        <v>0</v>
      </c>
      <c r="G39" s="266">
        <f>'Salaries and wages'!G40*10^6</f>
        <v>0</v>
      </c>
      <c r="H39" s="1024"/>
      <c r="I39" s="1071"/>
      <c r="J39" s="243">
        <f t="shared" ref="J39:U39" si="101">IF(AND($A39&gt;I$4, $H39&lt;=J$4, $H39&gt;=I$4),$E39*$C39,IF(IF(ISBLANK($H39)=TRUE,AND($A39&gt;=$J$4,$A39&lt;=J$4),AND($A39&gt;I$4,ISBLANK($H39)=FALSE)),MAX($E39/NETWORKDAYS(I$4,J$4)*MIN(NETWORKDAYS(I$4,J$4),NETWORKDAYS($A39,J$4)),0)*$C39,0))</f>
        <v>0</v>
      </c>
      <c r="K39" s="243">
        <f t="shared" si="101"/>
        <v>0</v>
      </c>
      <c r="L39" s="243">
        <f t="shared" si="101"/>
        <v>0</v>
      </c>
      <c r="M39" s="243">
        <f t="shared" si="101"/>
        <v>0</v>
      </c>
      <c r="N39" s="243">
        <f t="shared" si="101"/>
        <v>0</v>
      </c>
      <c r="O39" s="243">
        <f t="shared" si="101"/>
        <v>0</v>
      </c>
      <c r="P39" s="243">
        <f t="shared" si="101"/>
        <v>0</v>
      </c>
      <c r="Q39" s="243">
        <f t="shared" si="101"/>
        <v>0</v>
      </c>
      <c r="R39" s="243">
        <f t="shared" si="101"/>
        <v>0</v>
      </c>
      <c r="S39" s="243">
        <f t="shared" si="101"/>
        <v>0</v>
      </c>
      <c r="T39" s="243">
        <f t="shared" si="101"/>
        <v>0</v>
      </c>
      <c r="U39" s="243">
        <f t="shared" si="101"/>
        <v>0</v>
      </c>
      <c r="V39" s="243"/>
      <c r="W39" s="243">
        <f t="shared" si="4"/>
        <v>0</v>
      </c>
      <c r="X39" s="243">
        <f t="shared" ref="X39:AH39" si="102">IF(AND($A39&gt;W$4, $H39&lt;=X$4, $H39&gt;=W$4),$E39*$C39,IF(IF(ISBLANK($H39)=TRUE,AND($A39&gt;=$J$4,$A39&lt;=X$4),AND($A39&gt;W$4,ISBLANK($H39)=FALSE)),MAX($E39/NETWORKDAYS(W$4,X$4)*MIN(NETWORKDAYS(W$4,X$4),NETWORKDAYS($A39,X$4)),0)*$C39,0))</f>
        <v>0</v>
      </c>
      <c r="Y39" s="243">
        <f t="shared" si="102"/>
        <v>0</v>
      </c>
      <c r="Z39" s="243">
        <f t="shared" si="102"/>
        <v>0</v>
      </c>
      <c r="AA39" s="243">
        <f t="shared" si="102"/>
        <v>0</v>
      </c>
      <c r="AB39" s="243">
        <f t="shared" si="102"/>
        <v>0</v>
      </c>
      <c r="AC39" s="243">
        <f t="shared" si="102"/>
        <v>0</v>
      </c>
      <c r="AD39" s="243">
        <f t="shared" si="102"/>
        <v>0</v>
      </c>
      <c r="AE39" s="243">
        <f t="shared" si="102"/>
        <v>0</v>
      </c>
      <c r="AF39" s="243">
        <f t="shared" si="102"/>
        <v>0</v>
      </c>
      <c r="AG39" s="243">
        <f t="shared" si="102"/>
        <v>0</v>
      </c>
      <c r="AH39" s="243">
        <f t="shared" si="102"/>
        <v>0</v>
      </c>
      <c r="AI39" s="243"/>
      <c r="AJ39" s="243">
        <f t="shared" si="6"/>
        <v>0</v>
      </c>
      <c r="AK39" s="243">
        <f t="shared" ref="AK39:AU39" si="103">IF(AND($A39&gt;AJ$4, $H39&lt;=AK$4, $H39&gt;=AJ$4),$E39*$C39,IF(IF(ISBLANK($H39)=TRUE,AND($A39&gt;=$J$4,$A39&lt;=AK$4),AND($A39&gt;AJ$4,ISBLANK($H39)=FALSE)),MAX($E39/NETWORKDAYS(AJ$4,AK$4)*MIN(NETWORKDAYS(AJ$4,AK$4),NETWORKDAYS($A39,AK$4)),0)*$C39,0))</f>
        <v>0</v>
      </c>
      <c r="AL39" s="243">
        <f t="shared" si="103"/>
        <v>0</v>
      </c>
      <c r="AM39" s="243">
        <f t="shared" si="103"/>
        <v>0</v>
      </c>
      <c r="AN39" s="243">
        <f t="shared" si="103"/>
        <v>0</v>
      </c>
      <c r="AO39" s="243">
        <f t="shared" si="103"/>
        <v>0</v>
      </c>
      <c r="AP39" s="243">
        <f t="shared" si="103"/>
        <v>0</v>
      </c>
      <c r="AQ39" s="243">
        <f t="shared" si="103"/>
        <v>0</v>
      </c>
      <c r="AR39" s="243">
        <f t="shared" si="103"/>
        <v>0</v>
      </c>
      <c r="AS39" s="243">
        <f t="shared" si="103"/>
        <v>0</v>
      </c>
      <c r="AT39" s="243">
        <f t="shared" si="103"/>
        <v>0</v>
      </c>
      <c r="AU39" s="243">
        <f t="shared" si="103"/>
        <v>0</v>
      </c>
      <c r="AV39" s="1045"/>
      <c r="AW39" s="313"/>
      <c r="AX39" s="313"/>
      <c r="AY39" s="313"/>
      <c r="AZ39" s="313"/>
      <c r="BA39" s="314"/>
    </row>
    <row r="40" spans="1:53" ht="12.75" x14ac:dyDescent="0.2">
      <c r="A40" s="1010">
        <f>'Salaries and wages'!I41</f>
        <v>0</v>
      </c>
      <c r="B40" s="243">
        <f>'Salaries and wages'!C41</f>
        <v>0</v>
      </c>
      <c r="C40" s="243">
        <f>'Salaries and wages'!D41</f>
        <v>0</v>
      </c>
      <c r="D40" s="243"/>
      <c r="E40" s="266">
        <f>'Salaries and wages'!E41*10^6</f>
        <v>0</v>
      </c>
      <c r="F40" s="266"/>
      <c r="G40" s="266">
        <f>'Salaries and wages'!G41*10^6</f>
        <v>0</v>
      </c>
      <c r="H40" s="1024"/>
      <c r="I40" s="1071"/>
      <c r="J40" s="243">
        <f t="shared" ref="J40:U40" si="104">IF(AND($A40&gt;I$4, $H40&lt;=J$4, $H40&gt;=I$4),$E40*$C40,IF(IF(ISBLANK($H40)=TRUE,AND($A40&gt;=$J$4,$A40&lt;=J$4),AND($A40&gt;I$4,ISBLANK($H40)=FALSE)),MAX($E40/NETWORKDAYS(I$4,J$4)*MIN(NETWORKDAYS(I$4,J$4),NETWORKDAYS($A40,J$4)),0)*$C40,0))</f>
        <v>0</v>
      </c>
      <c r="K40" s="243">
        <f t="shared" si="104"/>
        <v>0</v>
      </c>
      <c r="L40" s="243">
        <f t="shared" si="104"/>
        <v>0</v>
      </c>
      <c r="M40" s="243">
        <f t="shared" si="104"/>
        <v>0</v>
      </c>
      <c r="N40" s="243">
        <f t="shared" si="104"/>
        <v>0</v>
      </c>
      <c r="O40" s="243">
        <f t="shared" si="104"/>
        <v>0</v>
      </c>
      <c r="P40" s="243">
        <f t="shared" si="104"/>
        <v>0</v>
      </c>
      <c r="Q40" s="243">
        <f t="shared" si="104"/>
        <v>0</v>
      </c>
      <c r="R40" s="243">
        <f t="shared" si="104"/>
        <v>0</v>
      </c>
      <c r="S40" s="243">
        <f t="shared" si="104"/>
        <v>0</v>
      </c>
      <c r="T40" s="243">
        <f t="shared" si="104"/>
        <v>0</v>
      </c>
      <c r="U40" s="243">
        <f t="shared" si="104"/>
        <v>0</v>
      </c>
      <c r="V40" s="243"/>
      <c r="W40" s="243">
        <f t="shared" si="4"/>
        <v>0</v>
      </c>
      <c r="X40" s="243">
        <f t="shared" ref="X40:AH40" si="105">IF(AND($A40&gt;W$4, $H40&lt;=X$4, $H40&gt;=W$4),$E40*$C40,IF(IF(ISBLANK($H40)=TRUE,AND($A40&gt;=$J$4,$A40&lt;=X$4),AND($A40&gt;W$4,ISBLANK($H40)=FALSE)),MAX($E40/NETWORKDAYS(W$4,X$4)*MIN(NETWORKDAYS(W$4,X$4),NETWORKDAYS($A40,X$4)),0)*$C40,0))</f>
        <v>0</v>
      </c>
      <c r="Y40" s="243">
        <f t="shared" si="105"/>
        <v>0</v>
      </c>
      <c r="Z40" s="243">
        <f t="shared" si="105"/>
        <v>0</v>
      </c>
      <c r="AA40" s="243">
        <f t="shared" si="105"/>
        <v>0</v>
      </c>
      <c r="AB40" s="243">
        <f t="shared" si="105"/>
        <v>0</v>
      </c>
      <c r="AC40" s="243">
        <f t="shared" si="105"/>
        <v>0</v>
      </c>
      <c r="AD40" s="243">
        <f t="shared" si="105"/>
        <v>0</v>
      </c>
      <c r="AE40" s="243">
        <f t="shared" si="105"/>
        <v>0</v>
      </c>
      <c r="AF40" s="243">
        <f t="shared" si="105"/>
        <v>0</v>
      </c>
      <c r="AG40" s="243">
        <f t="shared" si="105"/>
        <v>0</v>
      </c>
      <c r="AH40" s="243">
        <f t="shared" si="105"/>
        <v>0</v>
      </c>
      <c r="AI40" s="243"/>
      <c r="AJ40" s="243">
        <f t="shared" si="6"/>
        <v>0</v>
      </c>
      <c r="AK40" s="243">
        <f t="shared" ref="AK40:AU40" si="106">IF(AND($A40&gt;AJ$4, $H40&lt;=AK$4, $H40&gt;=AJ$4),$E40*$C40,IF(IF(ISBLANK($H40)=TRUE,AND($A40&gt;=$J$4,$A40&lt;=AK$4),AND($A40&gt;AJ$4,ISBLANK($H40)=FALSE)),MAX($E40/NETWORKDAYS(AJ$4,AK$4)*MIN(NETWORKDAYS(AJ$4,AK$4),NETWORKDAYS($A40,AK$4)),0)*$C40,0))</f>
        <v>0</v>
      </c>
      <c r="AL40" s="243">
        <f t="shared" si="106"/>
        <v>0</v>
      </c>
      <c r="AM40" s="243">
        <f t="shared" si="106"/>
        <v>0</v>
      </c>
      <c r="AN40" s="243">
        <f t="shared" si="106"/>
        <v>0</v>
      </c>
      <c r="AO40" s="243">
        <f t="shared" si="106"/>
        <v>0</v>
      </c>
      <c r="AP40" s="243">
        <f t="shared" si="106"/>
        <v>0</v>
      </c>
      <c r="AQ40" s="243">
        <f t="shared" si="106"/>
        <v>0</v>
      </c>
      <c r="AR40" s="243">
        <f t="shared" si="106"/>
        <v>0</v>
      </c>
      <c r="AS40" s="243">
        <f t="shared" si="106"/>
        <v>0</v>
      </c>
      <c r="AT40" s="243">
        <f t="shared" si="106"/>
        <v>0</v>
      </c>
      <c r="AU40" s="243">
        <f t="shared" si="106"/>
        <v>0</v>
      </c>
      <c r="AV40" s="1045"/>
      <c r="AW40" s="313"/>
      <c r="AX40" s="313"/>
      <c r="AY40" s="313"/>
      <c r="AZ40" s="313"/>
      <c r="BA40" s="314"/>
    </row>
    <row r="41" spans="1:53" ht="12.75" x14ac:dyDescent="0.2">
      <c r="A41" s="1010">
        <f>'Salaries and wages'!I42</f>
        <v>0</v>
      </c>
      <c r="B41" s="243">
        <f>'Salaries and wages'!C42</f>
        <v>0</v>
      </c>
      <c r="C41" s="243">
        <f>'Salaries and wages'!D42</f>
        <v>0</v>
      </c>
      <c r="D41" s="243"/>
      <c r="E41" s="266">
        <f>'Salaries and wages'!E42*10^6</f>
        <v>0</v>
      </c>
      <c r="F41" s="536">
        <f>'Salaries and wages'!F42</f>
        <v>0</v>
      </c>
      <c r="G41" s="266">
        <f>'Salaries and wages'!G42*10^6</f>
        <v>0</v>
      </c>
      <c r="H41" s="1024"/>
      <c r="I41" s="1071"/>
      <c r="J41" s="243">
        <f t="shared" ref="J41:U41" si="107">IF(AND($A41&gt;I$4, $H41&lt;=J$4, $H41&gt;=I$4),$E41*$C41,IF(IF(ISBLANK($H41)=TRUE,AND($A41&gt;=$J$4,$A41&lt;=J$4),AND($A41&gt;I$4,ISBLANK($H41)=FALSE)),MAX($E41/NETWORKDAYS(I$4,J$4)*MIN(NETWORKDAYS(I$4,J$4),NETWORKDAYS($A41,J$4)),0)*$C41,0))</f>
        <v>0</v>
      </c>
      <c r="K41" s="243">
        <f t="shared" si="107"/>
        <v>0</v>
      </c>
      <c r="L41" s="243">
        <f t="shared" si="107"/>
        <v>0</v>
      </c>
      <c r="M41" s="243">
        <f t="shared" si="107"/>
        <v>0</v>
      </c>
      <c r="N41" s="243">
        <f t="shared" si="107"/>
        <v>0</v>
      </c>
      <c r="O41" s="243">
        <f t="shared" si="107"/>
        <v>0</v>
      </c>
      <c r="P41" s="243">
        <f t="shared" si="107"/>
        <v>0</v>
      </c>
      <c r="Q41" s="243">
        <f t="shared" si="107"/>
        <v>0</v>
      </c>
      <c r="R41" s="243">
        <f t="shared" si="107"/>
        <v>0</v>
      </c>
      <c r="S41" s="243">
        <f t="shared" si="107"/>
        <v>0</v>
      </c>
      <c r="T41" s="243">
        <f t="shared" si="107"/>
        <v>0</v>
      </c>
      <c r="U41" s="243">
        <f t="shared" si="107"/>
        <v>0</v>
      </c>
      <c r="V41" s="243"/>
      <c r="W41" s="243">
        <f t="shared" si="4"/>
        <v>0</v>
      </c>
      <c r="X41" s="243">
        <f t="shared" ref="X41:AH41" si="108">IF(AND($A41&gt;W$4, $H41&lt;=X$4, $H41&gt;=W$4),$E41*$C41,IF(IF(ISBLANK($H41)=TRUE,AND($A41&gt;=$J$4,$A41&lt;=X$4),AND($A41&gt;W$4,ISBLANK($H41)=FALSE)),MAX($E41/NETWORKDAYS(W$4,X$4)*MIN(NETWORKDAYS(W$4,X$4),NETWORKDAYS($A41,X$4)),0)*$C41,0))</f>
        <v>0</v>
      </c>
      <c r="Y41" s="243">
        <f t="shared" si="108"/>
        <v>0</v>
      </c>
      <c r="Z41" s="243">
        <f t="shared" si="108"/>
        <v>0</v>
      </c>
      <c r="AA41" s="243">
        <f t="shared" si="108"/>
        <v>0</v>
      </c>
      <c r="AB41" s="243">
        <f t="shared" si="108"/>
        <v>0</v>
      </c>
      <c r="AC41" s="243">
        <f t="shared" si="108"/>
        <v>0</v>
      </c>
      <c r="AD41" s="243">
        <f t="shared" si="108"/>
        <v>0</v>
      </c>
      <c r="AE41" s="243">
        <f t="shared" si="108"/>
        <v>0</v>
      </c>
      <c r="AF41" s="243">
        <f t="shared" si="108"/>
        <v>0</v>
      </c>
      <c r="AG41" s="243">
        <f t="shared" si="108"/>
        <v>0</v>
      </c>
      <c r="AH41" s="243">
        <f t="shared" si="108"/>
        <v>0</v>
      </c>
      <c r="AI41" s="243"/>
      <c r="AJ41" s="243">
        <f t="shared" si="6"/>
        <v>0</v>
      </c>
      <c r="AK41" s="243">
        <f t="shared" ref="AK41:AU41" si="109">IF(AND($A41&gt;AJ$4, $H41&lt;=AK$4, $H41&gt;=AJ$4),$E41*$C41,IF(IF(ISBLANK($H41)=TRUE,AND($A41&gt;=$J$4,$A41&lt;=AK$4),AND($A41&gt;AJ$4,ISBLANK($H41)=FALSE)),MAX($E41/NETWORKDAYS(AJ$4,AK$4)*MIN(NETWORKDAYS(AJ$4,AK$4),NETWORKDAYS($A41,AK$4)),0)*$C41,0))</f>
        <v>0</v>
      </c>
      <c r="AL41" s="243">
        <f t="shared" si="109"/>
        <v>0</v>
      </c>
      <c r="AM41" s="243">
        <f t="shared" si="109"/>
        <v>0</v>
      </c>
      <c r="AN41" s="243">
        <f t="shared" si="109"/>
        <v>0</v>
      </c>
      <c r="AO41" s="243">
        <f t="shared" si="109"/>
        <v>0</v>
      </c>
      <c r="AP41" s="243">
        <f t="shared" si="109"/>
        <v>0</v>
      </c>
      <c r="AQ41" s="243">
        <f t="shared" si="109"/>
        <v>0</v>
      </c>
      <c r="AR41" s="243">
        <f t="shared" si="109"/>
        <v>0</v>
      </c>
      <c r="AS41" s="243">
        <f t="shared" si="109"/>
        <v>0</v>
      </c>
      <c r="AT41" s="243">
        <f t="shared" si="109"/>
        <v>0</v>
      </c>
      <c r="AU41" s="243">
        <f t="shared" si="109"/>
        <v>0</v>
      </c>
      <c r="AV41" s="1045"/>
      <c r="AW41" s="313"/>
      <c r="AX41" s="313"/>
      <c r="AY41" s="313"/>
      <c r="AZ41" s="313"/>
      <c r="BA41" s="314"/>
    </row>
    <row r="42" spans="1:53" ht="12.75" x14ac:dyDescent="0.2">
      <c r="A42" s="1010">
        <f>'Salaries and wages'!I43</f>
        <v>0</v>
      </c>
      <c r="B42" s="243">
        <f>'Salaries and wages'!C43</f>
        <v>0</v>
      </c>
      <c r="C42" s="243">
        <f>'Salaries and wages'!D43</f>
        <v>0</v>
      </c>
      <c r="D42" s="243"/>
      <c r="E42" s="266">
        <f>'Salaries and wages'!E43*10^6</f>
        <v>0</v>
      </c>
      <c r="F42" s="536">
        <f>'Salaries and wages'!F43</f>
        <v>0</v>
      </c>
      <c r="G42" s="266">
        <f>'Salaries and wages'!G43*10^6</f>
        <v>0</v>
      </c>
      <c r="H42" s="1024"/>
      <c r="I42" s="1071"/>
      <c r="J42" s="243">
        <f t="shared" ref="J42:U42" si="110">IF(AND($A42&gt;I$4, $H42&lt;=J$4, $H42&gt;=I$4),$E42*$C42,IF(IF(ISBLANK($H42)=TRUE,AND($A42&gt;=$J$4,$A42&lt;=J$4),AND($A42&gt;I$4,ISBLANK($H42)=FALSE)),MAX($E42/NETWORKDAYS(I$4,J$4)*MIN(NETWORKDAYS(I$4,J$4),NETWORKDAYS($A42,J$4)),0)*$C42,0))</f>
        <v>0</v>
      </c>
      <c r="K42" s="243">
        <f t="shared" si="110"/>
        <v>0</v>
      </c>
      <c r="L42" s="243">
        <f t="shared" si="110"/>
        <v>0</v>
      </c>
      <c r="M42" s="243">
        <f t="shared" si="110"/>
        <v>0</v>
      </c>
      <c r="N42" s="243">
        <f t="shared" si="110"/>
        <v>0</v>
      </c>
      <c r="O42" s="243">
        <f t="shared" si="110"/>
        <v>0</v>
      </c>
      <c r="P42" s="243">
        <f t="shared" si="110"/>
        <v>0</v>
      </c>
      <c r="Q42" s="243">
        <f t="shared" si="110"/>
        <v>0</v>
      </c>
      <c r="R42" s="243">
        <f t="shared" si="110"/>
        <v>0</v>
      </c>
      <c r="S42" s="243">
        <f t="shared" si="110"/>
        <v>0</v>
      </c>
      <c r="T42" s="243">
        <f t="shared" si="110"/>
        <v>0</v>
      </c>
      <c r="U42" s="243">
        <f t="shared" si="110"/>
        <v>0</v>
      </c>
      <c r="V42" s="243"/>
      <c r="W42" s="243">
        <f t="shared" si="4"/>
        <v>0</v>
      </c>
      <c r="X42" s="243">
        <f t="shared" ref="X42:AH42" si="111">IF(AND($A42&gt;W$4, $H42&lt;=X$4, $H42&gt;=W$4),$E42*$C42,IF(IF(ISBLANK($H42)=TRUE,AND($A42&gt;=$J$4,$A42&lt;=X$4),AND($A42&gt;W$4,ISBLANK($H42)=FALSE)),MAX($E42/NETWORKDAYS(W$4,X$4)*MIN(NETWORKDAYS(W$4,X$4),NETWORKDAYS($A42,X$4)),0)*$C42,0))</f>
        <v>0</v>
      </c>
      <c r="Y42" s="243">
        <f t="shared" si="111"/>
        <v>0</v>
      </c>
      <c r="Z42" s="243">
        <f t="shared" si="111"/>
        <v>0</v>
      </c>
      <c r="AA42" s="243">
        <f t="shared" si="111"/>
        <v>0</v>
      </c>
      <c r="AB42" s="243">
        <f t="shared" si="111"/>
        <v>0</v>
      </c>
      <c r="AC42" s="243">
        <f t="shared" si="111"/>
        <v>0</v>
      </c>
      <c r="AD42" s="243">
        <f t="shared" si="111"/>
        <v>0</v>
      </c>
      <c r="AE42" s="243">
        <f t="shared" si="111"/>
        <v>0</v>
      </c>
      <c r="AF42" s="243">
        <f t="shared" si="111"/>
        <v>0</v>
      </c>
      <c r="AG42" s="243">
        <f t="shared" si="111"/>
        <v>0</v>
      </c>
      <c r="AH42" s="243">
        <f t="shared" si="111"/>
        <v>0</v>
      </c>
      <c r="AI42" s="243"/>
      <c r="AJ42" s="243">
        <f t="shared" si="6"/>
        <v>0</v>
      </c>
      <c r="AK42" s="243">
        <f t="shared" ref="AK42:AU42" si="112">IF(AND($A42&gt;AJ$4, $H42&lt;=AK$4, $H42&gt;=AJ$4),$E42*$C42,IF(IF(ISBLANK($H42)=TRUE,AND($A42&gt;=$J$4,$A42&lt;=AK$4),AND($A42&gt;AJ$4,ISBLANK($H42)=FALSE)),MAX($E42/NETWORKDAYS(AJ$4,AK$4)*MIN(NETWORKDAYS(AJ$4,AK$4),NETWORKDAYS($A42,AK$4)),0)*$C42,0))</f>
        <v>0</v>
      </c>
      <c r="AL42" s="243">
        <f t="shared" si="112"/>
        <v>0</v>
      </c>
      <c r="AM42" s="243">
        <f t="shared" si="112"/>
        <v>0</v>
      </c>
      <c r="AN42" s="243">
        <f t="shared" si="112"/>
        <v>0</v>
      </c>
      <c r="AO42" s="243">
        <f t="shared" si="112"/>
        <v>0</v>
      </c>
      <c r="AP42" s="243">
        <f t="shared" si="112"/>
        <v>0</v>
      </c>
      <c r="AQ42" s="243">
        <f t="shared" si="112"/>
        <v>0</v>
      </c>
      <c r="AR42" s="243">
        <f t="shared" si="112"/>
        <v>0</v>
      </c>
      <c r="AS42" s="243">
        <f t="shared" si="112"/>
        <v>0</v>
      </c>
      <c r="AT42" s="243">
        <f t="shared" si="112"/>
        <v>0</v>
      </c>
      <c r="AU42" s="243">
        <f t="shared" si="112"/>
        <v>0</v>
      </c>
      <c r="AV42" s="1045"/>
      <c r="AW42" s="313"/>
      <c r="AX42" s="313"/>
      <c r="AY42" s="313"/>
      <c r="AZ42" s="313"/>
      <c r="BA42" s="314"/>
    </row>
  </sheetData>
  <mergeCells count="16">
    <mergeCell ref="AJ3:AL3"/>
    <mergeCell ref="AM3:AO3"/>
    <mergeCell ref="AP3:AR3"/>
    <mergeCell ref="A1:H3"/>
    <mergeCell ref="J2:U2"/>
    <mergeCell ref="W2:AH2"/>
    <mergeCell ref="AJ2:AU2"/>
    <mergeCell ref="J3:L3"/>
    <mergeCell ref="M3:O3"/>
    <mergeCell ref="P3:R3"/>
    <mergeCell ref="AS3:AU3"/>
    <mergeCell ref="S3:U3"/>
    <mergeCell ref="W3:Y3"/>
    <mergeCell ref="Z3:AB3"/>
    <mergeCell ref="AC3:AE3"/>
    <mergeCell ref="AF3:AH3"/>
  </mergeCells>
  <conditionalFormatting sqref="I2:I3 A4:I42 J5:AU42">
    <cfRule type="cellIs" dxfId="7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4125"/>
    <outlinePr summaryBelow="0" summaryRight="0"/>
  </sheetPr>
  <dimension ref="A1:AV240"/>
  <sheetViews>
    <sheetView workbookViewId="0"/>
  </sheetViews>
  <sheetFormatPr defaultColWidth="12.5703125" defaultRowHeight="15.75" customHeight="1" x14ac:dyDescent="0.2"/>
  <cols>
    <col min="1" max="1" width="48.5703125" customWidth="1"/>
    <col min="2" max="4" width="12.5703125" hidden="1"/>
    <col min="5" max="16" width="18.85546875" customWidth="1"/>
    <col min="17" max="17" width="18.85546875" hidden="1" customWidth="1"/>
    <col min="18" max="29" width="18.85546875" customWidth="1"/>
    <col min="30" max="30" width="18.85546875" hidden="1" customWidth="1"/>
    <col min="31" max="48" width="18.85546875" customWidth="1"/>
  </cols>
  <sheetData>
    <row r="1" spans="1:48" ht="12.75" x14ac:dyDescent="0.2">
      <c r="A1" s="1440" t="s">
        <v>384</v>
      </c>
      <c r="B1" s="243"/>
      <c r="C1" s="243"/>
      <c r="D1" s="243"/>
      <c r="E1" s="223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975"/>
    </row>
    <row r="2" spans="1:48" ht="12.75" x14ac:dyDescent="0.2">
      <c r="A2" s="1441"/>
      <c r="B2" s="243"/>
      <c r="C2" s="243"/>
      <c r="D2" s="243"/>
      <c r="E2" s="227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6"/>
    </row>
    <row r="3" spans="1:48" ht="12.75" x14ac:dyDescent="0.2">
      <c r="A3" s="1441"/>
      <c r="B3" s="243"/>
      <c r="C3" s="243"/>
      <c r="D3" s="243"/>
      <c r="E3" s="231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25"/>
      <c r="AR3" s="225"/>
      <c r="AS3" s="225"/>
      <c r="AT3" s="225"/>
      <c r="AU3" s="225"/>
      <c r="AV3" s="226"/>
    </row>
    <row r="4" spans="1:48" ht="12.75" x14ac:dyDescent="0.2">
      <c r="A4" s="1441"/>
      <c r="B4" s="243"/>
      <c r="C4" s="243"/>
      <c r="D4" s="243"/>
      <c r="E4" s="1376">
        <v>2025</v>
      </c>
      <c r="F4" s="1367"/>
      <c r="G4" s="1367"/>
      <c r="H4" s="1367"/>
      <c r="I4" s="1367"/>
      <c r="J4" s="1367"/>
      <c r="K4" s="1367"/>
      <c r="L4" s="1367"/>
      <c r="M4" s="1367"/>
      <c r="N4" s="1367"/>
      <c r="O4" s="1367"/>
      <c r="P4" s="1368"/>
      <c r="Q4" s="166"/>
      <c r="R4" s="1377">
        <v>2026</v>
      </c>
      <c r="S4" s="1367"/>
      <c r="T4" s="1367"/>
      <c r="U4" s="1367"/>
      <c r="V4" s="1367"/>
      <c r="W4" s="1367"/>
      <c r="X4" s="1367"/>
      <c r="Y4" s="1367"/>
      <c r="Z4" s="1367"/>
      <c r="AA4" s="1367"/>
      <c r="AB4" s="1367"/>
      <c r="AC4" s="1368"/>
      <c r="AD4" s="167"/>
      <c r="AE4" s="1376">
        <v>2027</v>
      </c>
      <c r="AF4" s="1367"/>
      <c r="AG4" s="1367"/>
      <c r="AH4" s="1367"/>
      <c r="AI4" s="1367"/>
      <c r="AJ4" s="1367"/>
      <c r="AK4" s="1367"/>
      <c r="AL4" s="1367"/>
      <c r="AM4" s="1367"/>
      <c r="AN4" s="1367"/>
      <c r="AO4" s="1367"/>
      <c r="AP4" s="1368"/>
      <c r="AQ4" s="227"/>
      <c r="AR4" s="225"/>
      <c r="AS4" s="225"/>
      <c r="AT4" s="225"/>
      <c r="AU4" s="225"/>
      <c r="AV4" s="226"/>
    </row>
    <row r="5" spans="1:48" ht="12.75" x14ac:dyDescent="0.2">
      <c r="A5" s="1441"/>
      <c r="B5" s="258"/>
      <c r="C5" s="258"/>
      <c r="D5" s="258"/>
      <c r="E5" s="1378" t="s">
        <v>118</v>
      </c>
      <c r="F5" s="1367"/>
      <c r="G5" s="1368"/>
      <c r="H5" s="1371" t="s">
        <v>119</v>
      </c>
      <c r="I5" s="1367"/>
      <c r="J5" s="1368"/>
      <c r="K5" s="1371" t="s">
        <v>120</v>
      </c>
      <c r="L5" s="1367"/>
      <c r="M5" s="1368"/>
      <c r="N5" s="1371" t="s">
        <v>121</v>
      </c>
      <c r="O5" s="1367"/>
      <c r="P5" s="1368"/>
      <c r="Q5" s="174"/>
      <c r="R5" s="1378" t="s">
        <v>118</v>
      </c>
      <c r="S5" s="1367"/>
      <c r="T5" s="1368"/>
      <c r="U5" s="1371" t="s">
        <v>119</v>
      </c>
      <c r="V5" s="1367"/>
      <c r="W5" s="1368"/>
      <c r="X5" s="1371" t="s">
        <v>120</v>
      </c>
      <c r="Y5" s="1367"/>
      <c r="Z5" s="1368"/>
      <c r="AA5" s="1371" t="s">
        <v>121</v>
      </c>
      <c r="AB5" s="1367"/>
      <c r="AC5" s="1368"/>
      <c r="AD5" s="174"/>
      <c r="AE5" s="1378" t="s">
        <v>118</v>
      </c>
      <c r="AF5" s="1367"/>
      <c r="AG5" s="1368"/>
      <c r="AH5" s="1371" t="s">
        <v>119</v>
      </c>
      <c r="AI5" s="1367"/>
      <c r="AJ5" s="1368"/>
      <c r="AK5" s="1371" t="s">
        <v>120</v>
      </c>
      <c r="AL5" s="1367"/>
      <c r="AM5" s="1368"/>
      <c r="AN5" s="1371" t="s">
        <v>121</v>
      </c>
      <c r="AO5" s="1367"/>
      <c r="AP5" s="1368"/>
      <c r="AQ5" s="1074"/>
      <c r="AR5" s="1075"/>
      <c r="AS5" s="1075"/>
      <c r="AT5" s="1075"/>
      <c r="AU5" s="1075"/>
      <c r="AV5" s="1076"/>
    </row>
    <row r="6" spans="1:48" ht="18" x14ac:dyDescent="0.25">
      <c r="A6" s="1442"/>
      <c r="B6" s="243"/>
      <c r="C6" s="243"/>
      <c r="D6" s="243"/>
      <c r="E6" s="1077">
        <v>1</v>
      </c>
      <c r="F6" s="1078">
        <v>2</v>
      </c>
      <c r="G6" s="1078">
        <v>3</v>
      </c>
      <c r="H6" s="1078">
        <v>4</v>
      </c>
      <c r="I6" s="1078">
        <v>5</v>
      </c>
      <c r="J6" s="1078">
        <v>6</v>
      </c>
      <c r="K6" s="1078">
        <v>7</v>
      </c>
      <c r="L6" s="1078">
        <v>8</v>
      </c>
      <c r="M6" s="1078">
        <v>9</v>
      </c>
      <c r="N6" s="1078">
        <v>10</v>
      </c>
      <c r="O6" s="1078">
        <v>11</v>
      </c>
      <c r="P6" s="1078">
        <v>12</v>
      </c>
      <c r="Q6" s="1078"/>
      <c r="R6" s="1078">
        <v>1</v>
      </c>
      <c r="S6" s="1078">
        <v>2</v>
      </c>
      <c r="T6" s="1078">
        <v>3</v>
      </c>
      <c r="U6" s="1078">
        <v>4</v>
      </c>
      <c r="V6" s="1078">
        <v>5</v>
      </c>
      <c r="W6" s="1078">
        <v>6</v>
      </c>
      <c r="X6" s="1078">
        <v>7</v>
      </c>
      <c r="Y6" s="1078">
        <v>8</v>
      </c>
      <c r="Z6" s="1078">
        <v>9</v>
      </c>
      <c r="AA6" s="1078">
        <v>10</v>
      </c>
      <c r="AB6" s="1078">
        <v>11</v>
      </c>
      <c r="AC6" s="1078">
        <v>12</v>
      </c>
      <c r="AD6" s="1078"/>
      <c r="AE6" s="1079">
        <v>1</v>
      </c>
      <c r="AF6" s="1080">
        <v>2</v>
      </c>
      <c r="AG6" s="1080">
        <v>3</v>
      </c>
      <c r="AH6" s="1080">
        <v>4</v>
      </c>
      <c r="AI6" s="1080">
        <v>5</v>
      </c>
      <c r="AJ6" s="1080">
        <v>6</v>
      </c>
      <c r="AK6" s="1080">
        <v>7</v>
      </c>
      <c r="AL6" s="1080">
        <v>8</v>
      </c>
      <c r="AM6" s="1080">
        <v>9</v>
      </c>
      <c r="AN6" s="1080">
        <v>10</v>
      </c>
      <c r="AO6" s="1080">
        <v>11</v>
      </c>
      <c r="AP6" s="1081">
        <v>12</v>
      </c>
      <c r="AQ6" s="1082"/>
      <c r="AR6" s="1083"/>
      <c r="AS6" s="1083"/>
      <c r="AT6" s="1083"/>
      <c r="AU6" s="1083"/>
      <c r="AV6" s="1084"/>
    </row>
    <row r="7" spans="1:48" ht="14.25" x14ac:dyDescent="0.2">
      <c r="A7" s="1085" t="s">
        <v>385</v>
      </c>
      <c r="B7" s="258"/>
      <c r="C7" s="258"/>
      <c r="D7" s="258"/>
      <c r="E7" s="1086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1087"/>
      <c r="Q7" s="258"/>
      <c r="R7" s="1086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1087"/>
      <c r="AD7" s="258"/>
      <c r="AE7" s="1086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1087"/>
      <c r="AQ7" s="1088"/>
      <c r="AR7" s="1089"/>
      <c r="AS7" s="1089"/>
      <c r="AT7" s="1089"/>
      <c r="AU7" s="1089"/>
      <c r="AV7" s="1090"/>
    </row>
    <row r="8" spans="1:48" ht="14.25" x14ac:dyDescent="0.2">
      <c r="A8" s="1091" t="s">
        <v>231</v>
      </c>
      <c r="B8" s="258"/>
      <c r="C8" s="258"/>
      <c r="D8" s="258"/>
      <c r="E8" s="1086">
        <f>'Operations plan'!E49</f>
        <v>0</v>
      </c>
      <c r="F8" s="258">
        <f>'Operations plan'!F49</f>
        <v>0</v>
      </c>
      <c r="G8" s="258">
        <f>'Operations plan'!G49</f>
        <v>0</v>
      </c>
      <c r="H8" s="258">
        <f>'Operations plan'!H49</f>
        <v>0</v>
      </c>
      <c r="I8" s="258">
        <f>'Operations plan'!I49</f>
        <v>0</v>
      </c>
      <c r="J8" s="258">
        <f>'Operations plan'!J49</f>
        <v>7333200000</v>
      </c>
      <c r="K8" s="258">
        <f>'Operations plan'!K49</f>
        <v>7333200000</v>
      </c>
      <c r="L8" s="258">
        <f>'Operations plan'!L49</f>
        <v>8310960000</v>
      </c>
      <c r="M8" s="258">
        <f>'Operations plan'!M49</f>
        <v>8310960000</v>
      </c>
      <c r="N8" s="258">
        <f>'Operations plan'!N49</f>
        <v>8711570000</v>
      </c>
      <c r="O8" s="258">
        <f>'Operations plan'!O49</f>
        <v>8711570000</v>
      </c>
      <c r="P8" s="1087">
        <f>'Operations plan'!P49</f>
        <v>8711570000</v>
      </c>
      <c r="Q8" s="258">
        <f>'Operations plan'!Q49</f>
        <v>0</v>
      </c>
      <c r="R8" s="1086">
        <f>'Operations plan'!R49</f>
        <v>7401100000</v>
      </c>
      <c r="S8" s="258">
        <f>'Operations plan'!S49</f>
        <v>7401100000</v>
      </c>
      <c r="T8" s="258">
        <f>'Operations plan'!T49</f>
        <v>7401100000</v>
      </c>
      <c r="U8" s="258">
        <f>'Operations plan'!U49</f>
        <v>9085020000</v>
      </c>
      <c r="V8" s="258">
        <f>'Operations plan'!V49</f>
        <v>9085020000</v>
      </c>
      <c r="W8" s="258">
        <f>'Operations plan'!W49</f>
        <v>9085020000</v>
      </c>
      <c r="X8" s="258">
        <f>'Operations plan'!X49</f>
        <v>9424520000</v>
      </c>
      <c r="Y8" s="258">
        <f>'Operations plan'!Y49</f>
        <v>9424520000</v>
      </c>
      <c r="Z8" s="258">
        <f>'Operations plan'!Z49</f>
        <v>9424520000</v>
      </c>
      <c r="AA8" s="258">
        <f>'Operations plan'!AA49</f>
        <v>9825130000</v>
      </c>
      <c r="AB8" s="258">
        <f>'Operations plan'!AB49</f>
        <v>9859080000</v>
      </c>
      <c r="AC8" s="1087">
        <f>'Operations plan'!AC49</f>
        <v>9893030000</v>
      </c>
      <c r="AD8" s="258"/>
      <c r="AE8" s="1086">
        <f>'Operations plan'!AE49</f>
        <v>8548610000</v>
      </c>
      <c r="AF8" s="258">
        <f>'Operations plan'!AF49</f>
        <v>8548610000</v>
      </c>
      <c r="AG8" s="258">
        <f>'Operations plan'!AG49</f>
        <v>8548610000</v>
      </c>
      <c r="AH8" s="258">
        <f>'Operations plan'!AH49</f>
        <v>9526370000</v>
      </c>
      <c r="AI8" s="258">
        <f>'Operations plan'!AI49</f>
        <v>9526370000</v>
      </c>
      <c r="AJ8" s="258">
        <f>'Operations plan'!AJ49</f>
        <v>9526370000</v>
      </c>
      <c r="AK8" s="258">
        <f>'Operations plan'!AK49</f>
        <v>9831920000</v>
      </c>
      <c r="AL8" s="258">
        <f>'Operations plan'!AL49</f>
        <v>9831920000</v>
      </c>
      <c r="AM8" s="258">
        <f>'Operations plan'!AM49</f>
        <v>9831920000</v>
      </c>
      <c r="AN8" s="258">
        <f>'Operations plan'!AN49</f>
        <v>10320800000</v>
      </c>
      <c r="AO8" s="258">
        <f>'Operations plan'!AO49</f>
        <v>10354750000</v>
      </c>
      <c r="AP8" s="1087">
        <f>'Operations plan'!AP49</f>
        <v>10388700000</v>
      </c>
      <c r="AQ8" s="1088"/>
      <c r="AR8" s="1089"/>
      <c r="AS8" s="1089"/>
      <c r="AT8" s="1089"/>
      <c r="AU8" s="1089"/>
      <c r="AV8" s="1090"/>
    </row>
    <row r="9" spans="1:48" ht="14.25" x14ac:dyDescent="0.2">
      <c r="A9" s="1091" t="s">
        <v>232</v>
      </c>
      <c r="B9" s="258"/>
      <c r="C9" s="258"/>
      <c r="D9" s="258"/>
      <c r="E9" s="1086">
        <f>'Operations plan'!E50</f>
        <v>0</v>
      </c>
      <c r="F9" s="258">
        <f>'Operations plan'!F50</f>
        <v>0</v>
      </c>
      <c r="G9" s="258">
        <f>'Operations plan'!G50</f>
        <v>0</v>
      </c>
      <c r="H9" s="258">
        <f>'Operations plan'!H50</f>
        <v>0</v>
      </c>
      <c r="I9" s="258">
        <f>'Operations plan'!I50</f>
        <v>0</v>
      </c>
      <c r="J9" s="258">
        <f>'Operations plan'!J50</f>
        <v>0</v>
      </c>
      <c r="K9" s="258">
        <f>'Operations plan'!K50</f>
        <v>0</v>
      </c>
      <c r="L9" s="258">
        <f>'Operations plan'!L50</f>
        <v>0</v>
      </c>
      <c r="M9" s="258">
        <f>'Operations plan'!M50</f>
        <v>0</v>
      </c>
      <c r="N9" s="258">
        <f>'Operations plan'!N50</f>
        <v>0</v>
      </c>
      <c r="O9" s="258">
        <f>'Operations plan'!O50</f>
        <v>0</v>
      </c>
      <c r="P9" s="1087">
        <f>'Operations plan'!P50</f>
        <v>0</v>
      </c>
      <c r="Q9" s="258">
        <f>'Operations plan'!Q50</f>
        <v>0</v>
      </c>
      <c r="R9" s="1086">
        <f>'Operations plan'!R50</f>
        <v>0</v>
      </c>
      <c r="S9" s="258">
        <f>'Operations plan'!S50</f>
        <v>0</v>
      </c>
      <c r="T9" s="258">
        <f>'Operations plan'!T50</f>
        <v>0</v>
      </c>
      <c r="U9" s="258">
        <f>'Operations plan'!U50</f>
        <v>0</v>
      </c>
      <c r="V9" s="258">
        <f>'Operations plan'!V50</f>
        <v>0</v>
      </c>
      <c r="W9" s="258">
        <f>'Operations plan'!W50</f>
        <v>0</v>
      </c>
      <c r="X9" s="258">
        <f>'Operations plan'!X50</f>
        <v>0</v>
      </c>
      <c r="Y9" s="258">
        <f>'Operations plan'!Y50</f>
        <v>0</v>
      </c>
      <c r="Z9" s="258">
        <f>'Operations plan'!Z50</f>
        <v>0</v>
      </c>
      <c r="AA9" s="258">
        <f>'Operations plan'!AA50</f>
        <v>0</v>
      </c>
      <c r="AB9" s="258">
        <f>'Operations plan'!AB50</f>
        <v>4857300000</v>
      </c>
      <c r="AC9" s="1087">
        <f>'Operations plan'!AC50</f>
        <v>4857300000</v>
      </c>
      <c r="AD9" s="258">
        <f>'Operations plan'!AD50</f>
        <v>0</v>
      </c>
      <c r="AE9" s="1086">
        <f>'Operations plan'!AE50</f>
        <v>4299610000</v>
      </c>
      <c r="AF9" s="258">
        <f>'Operations plan'!AF50</f>
        <v>4119710000</v>
      </c>
      <c r="AG9" s="258">
        <f>'Operations plan'!AG50</f>
        <v>4119710000</v>
      </c>
      <c r="AH9" s="258">
        <f>'Operations plan'!AH50</f>
        <v>6818210000</v>
      </c>
      <c r="AI9" s="258">
        <f>'Operations plan'!AI50</f>
        <v>6818210000</v>
      </c>
      <c r="AJ9" s="258">
        <f>'Operations plan'!AJ50</f>
        <v>6818210000</v>
      </c>
      <c r="AK9" s="258">
        <f>'Operations plan'!AK50</f>
        <v>7285950000</v>
      </c>
      <c r="AL9" s="258">
        <f>'Operations plan'!AL50</f>
        <v>7285950000</v>
      </c>
      <c r="AM9" s="258">
        <f>'Operations plan'!AM50</f>
        <v>7771680000</v>
      </c>
      <c r="AN9" s="258">
        <f>'Operations plan'!AN50</f>
        <v>7825650000</v>
      </c>
      <c r="AO9" s="258">
        <f>'Operations plan'!AO50</f>
        <v>7879620000</v>
      </c>
      <c r="AP9" s="1087">
        <f>'Operations plan'!AP50</f>
        <v>7933590000</v>
      </c>
      <c r="AQ9" s="1088"/>
      <c r="AR9" s="1089"/>
      <c r="AS9" s="1089"/>
      <c r="AT9" s="1089"/>
      <c r="AU9" s="1089"/>
      <c r="AV9" s="1090"/>
    </row>
    <row r="10" spans="1:48" ht="14.25" x14ac:dyDescent="0.2">
      <c r="A10" s="1085" t="s">
        <v>386</v>
      </c>
      <c r="B10" s="1092"/>
      <c r="C10" s="1092"/>
      <c r="D10" s="1092"/>
      <c r="E10" s="1093">
        <f>'Operations plan'!E48</f>
        <v>0</v>
      </c>
      <c r="F10" s="1092">
        <f>'Operations plan'!F48</f>
        <v>0</v>
      </c>
      <c r="G10" s="1092">
        <f>'Operations plan'!G48</f>
        <v>0</v>
      </c>
      <c r="H10" s="1092">
        <f>'Operations plan'!H48</f>
        <v>0</v>
      </c>
      <c r="I10" s="1092">
        <f>'Operations plan'!I48</f>
        <v>0</v>
      </c>
      <c r="J10" s="1092">
        <f>'Operations plan'!J48</f>
        <v>7333200000</v>
      </c>
      <c r="K10" s="1092">
        <f>'Operations plan'!K48</f>
        <v>7333200000</v>
      </c>
      <c r="L10" s="1092">
        <f>'Operations plan'!L48</f>
        <v>8310960000</v>
      </c>
      <c r="M10" s="1092">
        <f>'Operations plan'!M48</f>
        <v>8310960000</v>
      </c>
      <c r="N10" s="1092">
        <f>'Operations plan'!N48</f>
        <v>8711570000</v>
      </c>
      <c r="O10" s="1092">
        <f>'Operations plan'!O48</f>
        <v>8711570000</v>
      </c>
      <c r="P10" s="1094">
        <f>'Operations plan'!P48</f>
        <v>8711570000</v>
      </c>
      <c r="Q10" s="1092">
        <f>'Operations plan'!Q48</f>
        <v>0</v>
      </c>
      <c r="R10" s="1093">
        <f>'Operations plan'!R48</f>
        <v>7401100000</v>
      </c>
      <c r="S10" s="1092">
        <f>'Operations plan'!S48</f>
        <v>7401100000</v>
      </c>
      <c r="T10" s="1092">
        <f>'Operations plan'!T48</f>
        <v>7401100000</v>
      </c>
      <c r="U10" s="1092">
        <f>'Operations plan'!U48</f>
        <v>9085020000</v>
      </c>
      <c r="V10" s="1092">
        <f>'Operations plan'!V48</f>
        <v>9085020000</v>
      </c>
      <c r="W10" s="1092">
        <f>'Operations plan'!W48</f>
        <v>9085020000</v>
      </c>
      <c r="X10" s="1092">
        <f>'Operations plan'!X48</f>
        <v>9424520000</v>
      </c>
      <c r="Y10" s="1092">
        <f>'Operations plan'!Y48</f>
        <v>9424520000</v>
      </c>
      <c r="Z10" s="1092">
        <f>'Operations plan'!Z48</f>
        <v>9424520000</v>
      </c>
      <c r="AA10" s="1092">
        <f>'Operations plan'!AA48</f>
        <v>9825130000</v>
      </c>
      <c r="AB10" s="1092">
        <f>'Operations plan'!AB48</f>
        <v>14716380000</v>
      </c>
      <c r="AC10" s="1094">
        <f>'Operations plan'!AC48</f>
        <v>14750330000</v>
      </c>
      <c r="AD10" s="1092">
        <f>'Operations plan'!AD48</f>
        <v>0</v>
      </c>
      <c r="AE10" s="1093">
        <f>'Operations plan'!AE48</f>
        <v>12848220000</v>
      </c>
      <c r="AF10" s="1092">
        <f>'Operations plan'!AF48</f>
        <v>12668320000</v>
      </c>
      <c r="AG10" s="1092">
        <f>'Operations plan'!AG48</f>
        <v>12668320000</v>
      </c>
      <c r="AH10" s="1092">
        <f>'Operations plan'!AH48</f>
        <v>16344580000</v>
      </c>
      <c r="AI10" s="1092">
        <f>'Operations plan'!AI48</f>
        <v>16344580000</v>
      </c>
      <c r="AJ10" s="1092">
        <f>'Operations plan'!AJ48</f>
        <v>16344580000</v>
      </c>
      <c r="AK10" s="1092">
        <f>'Operations plan'!AK48</f>
        <v>17117870000</v>
      </c>
      <c r="AL10" s="1092">
        <f>'Operations plan'!AL48</f>
        <v>17117870000</v>
      </c>
      <c r="AM10" s="1092">
        <f>'Operations plan'!AM48</f>
        <v>17603600000</v>
      </c>
      <c r="AN10" s="1092">
        <f>'Operations plan'!AN48</f>
        <v>18146450000</v>
      </c>
      <c r="AO10" s="1092">
        <f>'Operations plan'!AO48</f>
        <v>18234370000</v>
      </c>
      <c r="AP10" s="1094">
        <f>'Operations plan'!AP48</f>
        <v>18322290000</v>
      </c>
      <c r="AQ10" s="1095"/>
      <c r="AR10" s="1096"/>
      <c r="AS10" s="1096"/>
      <c r="AT10" s="1096"/>
      <c r="AU10" s="1096"/>
      <c r="AV10" s="1097"/>
    </row>
    <row r="11" spans="1:48" ht="12.75" x14ac:dyDescent="0.2">
      <c r="A11" s="1087"/>
      <c r="B11" s="258"/>
      <c r="C11" s="258"/>
      <c r="D11" s="258"/>
      <c r="E11" s="1086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1087"/>
      <c r="Q11" s="258"/>
      <c r="R11" s="1086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1087"/>
      <c r="AD11" s="258"/>
      <c r="AE11" s="1086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1087"/>
      <c r="AQ11" s="1088"/>
      <c r="AR11" s="1089"/>
      <c r="AS11" s="1089"/>
      <c r="AT11" s="1089"/>
      <c r="AU11" s="1089"/>
      <c r="AV11" s="1090"/>
    </row>
    <row r="12" spans="1:48" ht="14.25" x14ac:dyDescent="0.2">
      <c r="A12" s="1085" t="str">
        <f>Expenses!A4</f>
        <v>COST OF GOODS SOLD</v>
      </c>
      <c r="B12" s="258"/>
      <c r="C12" s="258"/>
      <c r="D12" s="258"/>
      <c r="E12" s="1086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1087"/>
      <c r="Q12" s="258"/>
      <c r="R12" s="1086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1087"/>
      <c r="AD12" s="258"/>
      <c r="AE12" s="1086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1087"/>
      <c r="AQ12" s="1088"/>
      <c r="AR12" s="1089"/>
      <c r="AS12" s="1089"/>
      <c r="AT12" s="1089"/>
      <c r="AU12" s="1089"/>
      <c r="AV12" s="1090"/>
    </row>
    <row r="13" spans="1:48" ht="14.25" x14ac:dyDescent="0.2">
      <c r="A13" s="1091" t="str">
        <f>Expenses!A5</f>
        <v>Material:</v>
      </c>
      <c r="B13" s="258"/>
      <c r="C13" s="258"/>
      <c r="D13" s="258"/>
      <c r="E13" s="1086">
        <f>Expenses!E5</f>
        <v>0</v>
      </c>
      <c r="F13" s="258">
        <f>Expenses!F5</f>
        <v>0</v>
      </c>
      <c r="G13" s="258">
        <f>Expenses!G5</f>
        <v>0</v>
      </c>
      <c r="H13" s="258">
        <f>Expenses!H5</f>
        <v>0</v>
      </c>
      <c r="I13" s="258">
        <f>Expenses!I5</f>
        <v>0</v>
      </c>
      <c r="J13" s="258">
        <f>Expenses!J5</f>
        <v>0</v>
      </c>
      <c r="K13" s="258">
        <f>Expenses!K5</f>
        <v>0</v>
      </c>
      <c r="L13" s="258">
        <f>Expenses!L5</f>
        <v>0</v>
      </c>
      <c r="M13" s="258">
        <f>Expenses!M5</f>
        <v>0</v>
      </c>
      <c r="N13" s="258">
        <f>Expenses!N5</f>
        <v>0</v>
      </c>
      <c r="O13" s="258">
        <f>Expenses!O5</f>
        <v>0</v>
      </c>
      <c r="P13" s="1087">
        <f>Expenses!P5</f>
        <v>0</v>
      </c>
      <c r="Q13" s="258"/>
      <c r="R13" s="1086">
        <f>Expenses!R5</f>
        <v>0</v>
      </c>
      <c r="S13" s="258">
        <f>Expenses!S5</f>
        <v>0</v>
      </c>
      <c r="T13" s="258">
        <f>Expenses!T5</f>
        <v>0</v>
      </c>
      <c r="U13" s="258">
        <f>Expenses!U5</f>
        <v>0</v>
      </c>
      <c r="V13" s="258">
        <f>Expenses!V5</f>
        <v>0</v>
      </c>
      <c r="W13" s="258">
        <f>Expenses!W5</f>
        <v>0</v>
      </c>
      <c r="X13" s="258">
        <f>Expenses!X5</f>
        <v>0</v>
      </c>
      <c r="Y13" s="258">
        <f>Expenses!Y5</f>
        <v>0</v>
      </c>
      <c r="Z13" s="258">
        <f>Expenses!Z5</f>
        <v>0</v>
      </c>
      <c r="AA13" s="258">
        <f>Expenses!AA5</f>
        <v>0</v>
      </c>
      <c r="AB13" s="258">
        <f>Expenses!AB5</f>
        <v>0</v>
      </c>
      <c r="AC13" s="1087">
        <f>Expenses!AC5</f>
        <v>0</v>
      </c>
      <c r="AD13" s="258"/>
      <c r="AE13" s="1086">
        <f>Expenses!AE5</f>
        <v>0</v>
      </c>
      <c r="AF13" s="258">
        <f>Expenses!AF5</f>
        <v>0</v>
      </c>
      <c r="AG13" s="258">
        <f>Expenses!AG5</f>
        <v>0</v>
      </c>
      <c r="AH13" s="258">
        <f>Expenses!AH5</f>
        <v>0</v>
      </c>
      <c r="AI13" s="258">
        <f>Expenses!AI5</f>
        <v>0</v>
      </c>
      <c r="AJ13" s="258">
        <f>Expenses!AJ5</f>
        <v>0</v>
      </c>
      <c r="AK13" s="258">
        <f>Expenses!AK5</f>
        <v>0</v>
      </c>
      <c r="AL13" s="258">
        <f>Expenses!AL5</f>
        <v>0</v>
      </c>
      <c r="AM13" s="258">
        <f>Expenses!AM5</f>
        <v>0</v>
      </c>
      <c r="AN13" s="258">
        <f>Expenses!AN5</f>
        <v>0</v>
      </c>
      <c r="AO13" s="258">
        <f>Expenses!AO5</f>
        <v>0</v>
      </c>
      <c r="AP13" s="1087">
        <f>Expenses!AP5</f>
        <v>0</v>
      </c>
      <c r="AQ13" s="1088"/>
      <c r="AR13" s="1089"/>
      <c r="AS13" s="1089"/>
      <c r="AT13" s="1089"/>
      <c r="AU13" s="1089"/>
      <c r="AV13" s="1090"/>
    </row>
    <row r="14" spans="1:48" ht="14.25" x14ac:dyDescent="0.2">
      <c r="A14" s="1091" t="str">
        <f>Expenses!A6</f>
        <v xml:space="preserve">   Product 1: Standard</v>
      </c>
      <c r="B14" s="258"/>
      <c r="C14" s="258"/>
      <c r="D14" s="258"/>
      <c r="E14" s="1086">
        <f>Expenses!E6</f>
        <v>0</v>
      </c>
      <c r="F14" s="258">
        <f>Expenses!F6</f>
        <v>0</v>
      </c>
      <c r="G14" s="258">
        <f>Expenses!G6</f>
        <v>0</v>
      </c>
      <c r="H14" s="258">
        <f>Expenses!H6</f>
        <v>0</v>
      </c>
      <c r="I14" s="258">
        <f>Expenses!I6</f>
        <v>0</v>
      </c>
      <c r="J14" s="258">
        <f>Expenses!J6</f>
        <v>4020000000</v>
      </c>
      <c r="K14" s="258">
        <f>Expenses!K6</f>
        <v>4020000000</v>
      </c>
      <c r="L14" s="258">
        <f>Expenses!L6</f>
        <v>4522500000</v>
      </c>
      <c r="M14" s="258">
        <f>Expenses!M6</f>
        <v>4522500000</v>
      </c>
      <c r="N14" s="258">
        <f>Expenses!N6</f>
        <v>4740250000</v>
      </c>
      <c r="O14" s="258">
        <f>Expenses!O6</f>
        <v>4740250000</v>
      </c>
      <c r="P14" s="1087">
        <f>Expenses!P6</f>
        <v>4740250000</v>
      </c>
      <c r="Q14" s="258">
        <f>Expenses!Q6</f>
        <v>0</v>
      </c>
      <c r="R14" s="1086">
        <f>Expenses!R6</f>
        <v>4033400000</v>
      </c>
      <c r="S14" s="258">
        <f>Expenses!S6</f>
        <v>4033400000</v>
      </c>
      <c r="T14" s="258">
        <f>Expenses!T6</f>
        <v>4033400000</v>
      </c>
      <c r="U14" s="258">
        <f>Expenses!U6</f>
        <v>4944600000</v>
      </c>
      <c r="V14" s="258">
        <f>Expenses!V6</f>
        <v>4944600000</v>
      </c>
      <c r="W14" s="258">
        <f>Expenses!W6</f>
        <v>4944600000</v>
      </c>
      <c r="X14" s="258">
        <f>Expenses!X6</f>
        <v>5132200000</v>
      </c>
      <c r="Y14" s="258">
        <f>Expenses!Y6</f>
        <v>5132200000</v>
      </c>
      <c r="Z14" s="258">
        <f>Expenses!Z6</f>
        <v>5132200000</v>
      </c>
      <c r="AA14" s="258">
        <f>Expenses!AA6</f>
        <v>5349950000</v>
      </c>
      <c r="AB14" s="258">
        <f>Expenses!AB6</f>
        <v>5366700000</v>
      </c>
      <c r="AC14" s="1087">
        <f>Expenses!AC6</f>
        <v>5383450000</v>
      </c>
      <c r="AD14" s="258">
        <f>Expenses!AD6</f>
        <v>0</v>
      </c>
      <c r="AE14" s="1086">
        <f>Expenses!AE6</f>
        <v>4659850000</v>
      </c>
      <c r="AF14" s="258">
        <f>Expenses!AF6</f>
        <v>4659850000</v>
      </c>
      <c r="AG14" s="258">
        <f>Expenses!AG6</f>
        <v>4659850000</v>
      </c>
      <c r="AH14" s="258">
        <f>Expenses!AH6</f>
        <v>5182450000</v>
      </c>
      <c r="AI14" s="258">
        <f>Expenses!AI6</f>
        <v>5182450000</v>
      </c>
      <c r="AJ14" s="258">
        <f>Expenses!AJ6</f>
        <v>5182450000</v>
      </c>
      <c r="AK14" s="258">
        <f>Expenses!AK6</f>
        <v>5353300000</v>
      </c>
      <c r="AL14" s="258">
        <f>Expenses!AL6</f>
        <v>5353300000</v>
      </c>
      <c r="AM14" s="258">
        <f>Expenses!AM6</f>
        <v>5353300000</v>
      </c>
      <c r="AN14" s="258">
        <f>Expenses!AN6</f>
        <v>5614600000</v>
      </c>
      <c r="AO14" s="258">
        <f>Expenses!AO6</f>
        <v>5631350000</v>
      </c>
      <c r="AP14" s="1087">
        <f>Expenses!AP6</f>
        <v>5648100000</v>
      </c>
      <c r="AQ14" s="1088"/>
      <c r="AR14" s="1089"/>
      <c r="AS14" s="1089"/>
      <c r="AT14" s="1089"/>
      <c r="AU14" s="1089"/>
      <c r="AV14" s="1090"/>
    </row>
    <row r="15" spans="1:48" ht="14.25" x14ac:dyDescent="0.2">
      <c r="A15" s="1091" t="str">
        <f>Expenses!A7</f>
        <v xml:space="preserve">   Product 2: E-bikes</v>
      </c>
      <c r="B15" s="258"/>
      <c r="C15" s="258"/>
      <c r="D15" s="258"/>
      <c r="E15" s="1086">
        <f>Expenses!E7</f>
        <v>0</v>
      </c>
      <c r="F15" s="258">
        <f>Expenses!F7</f>
        <v>0</v>
      </c>
      <c r="G15" s="258">
        <f>Expenses!G7</f>
        <v>0</v>
      </c>
      <c r="H15" s="258">
        <f>Expenses!H7</f>
        <v>0</v>
      </c>
      <c r="I15" s="258">
        <f>Expenses!I7</f>
        <v>0</v>
      </c>
      <c r="J15" s="258">
        <f>Expenses!J7</f>
        <v>0</v>
      </c>
      <c r="K15" s="258">
        <f>Expenses!K7</f>
        <v>0</v>
      </c>
      <c r="L15" s="258">
        <f>Expenses!L7</f>
        <v>0</v>
      </c>
      <c r="M15" s="258">
        <f>Expenses!M7</f>
        <v>0</v>
      </c>
      <c r="N15" s="258">
        <f>Expenses!N7</f>
        <v>0</v>
      </c>
      <c r="O15" s="258">
        <f>Expenses!O7</f>
        <v>0</v>
      </c>
      <c r="P15" s="1087">
        <f>Expenses!P7</f>
        <v>0</v>
      </c>
      <c r="Q15" s="258">
        <f>Expenses!Q7</f>
        <v>0</v>
      </c>
      <c r="R15" s="1086">
        <f>Expenses!R7</f>
        <v>0</v>
      </c>
      <c r="S15" s="258">
        <f>Expenses!S7</f>
        <v>0</v>
      </c>
      <c r="T15" s="258">
        <f>Expenses!T7</f>
        <v>0</v>
      </c>
      <c r="U15" s="258">
        <f>Expenses!U7</f>
        <v>0</v>
      </c>
      <c r="V15" s="258">
        <f>Expenses!V7</f>
        <v>0</v>
      </c>
      <c r="W15" s="258">
        <f>Expenses!W7</f>
        <v>0</v>
      </c>
      <c r="X15" s="258">
        <f>Expenses!X7</f>
        <v>0</v>
      </c>
      <c r="Y15" s="258">
        <f>Expenses!Y7</f>
        <v>0</v>
      </c>
      <c r="Z15" s="258">
        <f>Expenses!Z7</f>
        <v>0</v>
      </c>
      <c r="AA15" s="258">
        <f>Expenses!AA7</f>
        <v>0</v>
      </c>
      <c r="AB15" s="258">
        <f>Expenses!AB7</f>
        <v>3240000000</v>
      </c>
      <c r="AC15" s="1087">
        <f>Expenses!AC7</f>
        <v>3240000000</v>
      </c>
      <c r="AD15" s="258">
        <f>Expenses!AD7</f>
        <v>0</v>
      </c>
      <c r="AE15" s="1086">
        <f>Expenses!AE7</f>
        <v>2808000000</v>
      </c>
      <c r="AF15" s="258">
        <f>Expenses!AF7</f>
        <v>2700000000</v>
      </c>
      <c r="AG15" s="258">
        <f>Expenses!AG7</f>
        <v>2700000000</v>
      </c>
      <c r="AH15" s="258">
        <f>Expenses!AH7</f>
        <v>4482000000</v>
      </c>
      <c r="AI15" s="258">
        <f>Expenses!AI7</f>
        <v>4482000000</v>
      </c>
      <c r="AJ15" s="258">
        <f>Expenses!AJ7</f>
        <v>4482000000</v>
      </c>
      <c r="AK15" s="258">
        <f>Expenses!AK7</f>
        <v>4795200000</v>
      </c>
      <c r="AL15" s="258">
        <f>Expenses!AL7</f>
        <v>4795200000</v>
      </c>
      <c r="AM15" s="258">
        <f>Expenses!AM7</f>
        <v>5119200000</v>
      </c>
      <c r="AN15" s="258">
        <f>Expenses!AN7</f>
        <v>5151600000</v>
      </c>
      <c r="AO15" s="258">
        <f>Expenses!AO7</f>
        <v>5184000000</v>
      </c>
      <c r="AP15" s="1087">
        <f>Expenses!AP7</f>
        <v>5216400000</v>
      </c>
      <c r="AQ15" s="1088"/>
      <c r="AR15" s="1089"/>
      <c r="AS15" s="1089"/>
      <c r="AT15" s="1089"/>
      <c r="AU15" s="1089"/>
      <c r="AV15" s="1090"/>
    </row>
    <row r="16" spans="1:48" ht="14.25" x14ac:dyDescent="0.2">
      <c r="A16" s="1091" t="str">
        <f>Expenses!A8</f>
        <v>Salaries-Direct</v>
      </c>
      <c r="B16" s="258"/>
      <c r="C16" s="258"/>
      <c r="D16" s="258"/>
      <c r="E16" s="1086">
        <f>Expenses!E8</f>
        <v>0</v>
      </c>
      <c r="F16" s="258">
        <f>Expenses!F8</f>
        <v>4761904.7619047621</v>
      </c>
      <c r="G16" s="258">
        <f>Expenses!G8</f>
        <v>351818181.81818181</v>
      </c>
      <c r="H16" s="258">
        <f>Expenses!H8</f>
        <v>652347826.08695662</v>
      </c>
      <c r="I16" s="258">
        <f>Expenses!I8</f>
        <v>803043478.26086962</v>
      </c>
      <c r="J16" s="258">
        <f>Expenses!J8</f>
        <v>821571428.57142854</v>
      </c>
      <c r="K16" s="258">
        <f>Expenses!K8</f>
        <v>909875000</v>
      </c>
      <c r="L16" s="258">
        <f>Expenses!L8</f>
        <v>958000000</v>
      </c>
      <c r="M16" s="258">
        <f>Expenses!M8</f>
        <v>958000000</v>
      </c>
      <c r="N16" s="258">
        <f>Expenses!N8</f>
        <v>958000000</v>
      </c>
      <c r="O16" s="258">
        <f>Expenses!O8</f>
        <v>958000000</v>
      </c>
      <c r="P16" s="1087">
        <f>Expenses!P8</f>
        <v>968000000</v>
      </c>
      <c r="Q16" s="258">
        <f>Expenses!Q8</f>
        <v>0</v>
      </c>
      <c r="R16" s="1086">
        <f>Expenses!R8</f>
        <v>958000000</v>
      </c>
      <c r="S16" s="258">
        <f>Expenses!S8</f>
        <v>988750000</v>
      </c>
      <c r="T16" s="258">
        <f>Expenses!T8</f>
        <v>1062000000</v>
      </c>
      <c r="U16" s="258">
        <f>Expenses!U8</f>
        <v>1062000000</v>
      </c>
      <c r="V16" s="258">
        <f>Expenses!V8</f>
        <v>1062000000</v>
      </c>
      <c r="W16" s="258">
        <f>Expenses!W8</f>
        <v>1062000000</v>
      </c>
      <c r="X16" s="258">
        <f>Expenses!X8</f>
        <v>1062000000</v>
      </c>
      <c r="Y16" s="258">
        <f>Expenses!Y8</f>
        <v>1062000000</v>
      </c>
      <c r="Z16" s="258">
        <f>Expenses!Z8</f>
        <v>1062000000</v>
      </c>
      <c r="AA16" s="258">
        <f>Expenses!AA8</f>
        <v>1062000000</v>
      </c>
      <c r="AB16" s="258">
        <f>Expenses!AB8</f>
        <v>1062000000</v>
      </c>
      <c r="AC16" s="1087">
        <f>Expenses!AC8</f>
        <v>1072000000</v>
      </c>
      <c r="AD16" s="258">
        <f>Expenses!AD8</f>
        <v>0</v>
      </c>
      <c r="AE16" s="1086">
        <f>Expenses!AE8</f>
        <v>1062000000</v>
      </c>
      <c r="AF16" s="258">
        <f>Expenses!AF8</f>
        <v>1062000000</v>
      </c>
      <c r="AG16" s="258">
        <f>Expenses!AG8</f>
        <v>1062000000</v>
      </c>
      <c r="AH16" s="258">
        <f>Expenses!AH8</f>
        <v>1062000000</v>
      </c>
      <c r="AI16" s="258">
        <f>Expenses!AI8</f>
        <v>1062000000</v>
      </c>
      <c r="AJ16" s="258">
        <f>Expenses!AJ8</f>
        <v>1062000000</v>
      </c>
      <c r="AK16" s="258">
        <f>Expenses!AK8</f>
        <v>1062000000</v>
      </c>
      <c r="AL16" s="258">
        <f>Expenses!AL8</f>
        <v>1062000000</v>
      </c>
      <c r="AM16" s="258">
        <f>Expenses!AM8</f>
        <v>1062000000</v>
      </c>
      <c r="AN16" s="258">
        <f>Expenses!AN8</f>
        <v>1062000000</v>
      </c>
      <c r="AO16" s="258">
        <f>Expenses!AO8</f>
        <v>1062000000</v>
      </c>
      <c r="AP16" s="1087">
        <f>Expenses!AP8</f>
        <v>1062000000</v>
      </c>
      <c r="AQ16" s="1088"/>
      <c r="AR16" s="1089"/>
      <c r="AS16" s="1089"/>
      <c r="AT16" s="1089"/>
      <c r="AU16" s="1089"/>
      <c r="AV16" s="1090"/>
    </row>
    <row r="17" spans="1:48" ht="14.25" x14ac:dyDescent="0.2">
      <c r="A17" s="1091" t="str">
        <f>Expenses!A9</f>
        <v>Factory rent</v>
      </c>
      <c r="B17" s="258"/>
      <c r="C17" s="258"/>
      <c r="D17" s="258"/>
      <c r="E17" s="1086">
        <f>Expenses!E9</f>
        <v>240000000</v>
      </c>
      <c r="F17" s="258">
        <f>Expenses!F9</f>
        <v>240000000</v>
      </c>
      <c r="G17" s="258">
        <f>Expenses!G9</f>
        <v>240000000</v>
      </c>
      <c r="H17" s="258">
        <f>Expenses!H9</f>
        <v>240000000</v>
      </c>
      <c r="I17" s="258">
        <f>Expenses!I9</f>
        <v>240000000</v>
      </c>
      <c r="J17" s="258">
        <f>Expenses!J9</f>
        <v>240000000</v>
      </c>
      <c r="K17" s="258">
        <f>Expenses!K9</f>
        <v>240000000</v>
      </c>
      <c r="L17" s="258">
        <f>Expenses!L9</f>
        <v>240000000</v>
      </c>
      <c r="M17" s="258">
        <f>Expenses!M9</f>
        <v>240000000</v>
      </c>
      <c r="N17" s="258">
        <f>Expenses!N9</f>
        <v>240000000</v>
      </c>
      <c r="O17" s="258">
        <f>Expenses!O9</f>
        <v>240000000</v>
      </c>
      <c r="P17" s="1087">
        <f>Expenses!P9</f>
        <v>240000000</v>
      </c>
      <c r="Q17" s="258">
        <f>Expenses!Q9</f>
        <v>0</v>
      </c>
      <c r="R17" s="1086">
        <f>Expenses!R9</f>
        <v>240000000</v>
      </c>
      <c r="S17" s="258">
        <f>Expenses!S9</f>
        <v>240000000</v>
      </c>
      <c r="T17" s="258">
        <f>Expenses!T9</f>
        <v>240000000</v>
      </c>
      <c r="U17" s="258">
        <f>Expenses!U9</f>
        <v>240000000</v>
      </c>
      <c r="V17" s="258">
        <f>Expenses!V9</f>
        <v>240000000</v>
      </c>
      <c r="W17" s="258">
        <f>Expenses!W9</f>
        <v>240000000</v>
      </c>
      <c r="X17" s="258">
        <f>Expenses!X9</f>
        <v>240000000</v>
      </c>
      <c r="Y17" s="258">
        <f>Expenses!Y9</f>
        <v>240000000</v>
      </c>
      <c r="Z17" s="258">
        <f>Expenses!Z9</f>
        <v>240000000</v>
      </c>
      <c r="AA17" s="258">
        <f>Expenses!AA9</f>
        <v>240000000</v>
      </c>
      <c r="AB17" s="258">
        <f>Expenses!AB9</f>
        <v>240000000</v>
      </c>
      <c r="AC17" s="1087">
        <f>Expenses!AC9</f>
        <v>240000000</v>
      </c>
      <c r="AD17" s="258">
        <f>Expenses!AD9</f>
        <v>0</v>
      </c>
      <c r="AE17" s="1086">
        <f>Expenses!AE9</f>
        <v>240000000</v>
      </c>
      <c r="AF17" s="258">
        <f>Expenses!AF9</f>
        <v>240000000</v>
      </c>
      <c r="AG17" s="258">
        <f>Expenses!AG9</f>
        <v>240000000</v>
      </c>
      <c r="AH17" s="258">
        <f>Expenses!AH9</f>
        <v>240000000</v>
      </c>
      <c r="AI17" s="258">
        <f>Expenses!AI9</f>
        <v>240000000</v>
      </c>
      <c r="AJ17" s="258">
        <f>Expenses!AJ9</f>
        <v>240000000</v>
      </c>
      <c r="AK17" s="258">
        <f>Expenses!AK9</f>
        <v>240000000</v>
      </c>
      <c r="AL17" s="258">
        <f>Expenses!AL9</f>
        <v>240000000</v>
      </c>
      <c r="AM17" s="258">
        <f>Expenses!AM9</f>
        <v>240000000</v>
      </c>
      <c r="AN17" s="258">
        <f>Expenses!AN9</f>
        <v>240000000</v>
      </c>
      <c r="AO17" s="258">
        <f>Expenses!AO9</f>
        <v>240000000</v>
      </c>
      <c r="AP17" s="1087">
        <f>Expenses!AP9</f>
        <v>240000000</v>
      </c>
      <c r="AQ17" s="1088"/>
      <c r="AR17" s="1089"/>
      <c r="AS17" s="1089"/>
      <c r="AT17" s="1089"/>
      <c r="AU17" s="1089"/>
      <c r="AV17" s="1090"/>
    </row>
    <row r="18" spans="1:48" ht="14.25" x14ac:dyDescent="0.2">
      <c r="A18" s="1091" t="str">
        <f>Expenses!A10</f>
        <v>Depreciation-Direct</v>
      </c>
      <c r="B18" s="258"/>
      <c r="C18" s="258"/>
      <c r="D18" s="258"/>
      <c r="E18" s="1086">
        <f ca="1">Expenses!E10</f>
        <v>0</v>
      </c>
      <c r="F18" s="258">
        <f ca="1">Expenses!F10</f>
        <v>220986301.36986303</v>
      </c>
      <c r="G18" s="258">
        <f ca="1">Expenses!G10</f>
        <v>265839138.9432486</v>
      </c>
      <c r="H18" s="258">
        <f ca="1">Expenses!H10</f>
        <v>262227005.87084147</v>
      </c>
      <c r="I18" s="258">
        <f ca="1">Expenses!I10</f>
        <v>270967906.06653619</v>
      </c>
      <c r="J18" s="258">
        <f ca="1">Expenses!J10</f>
        <v>585340508.80626237</v>
      </c>
      <c r="K18" s="258">
        <f ca="1">Expenses!K10</f>
        <v>623961448.14090014</v>
      </c>
      <c r="L18" s="258">
        <f ca="1">Expenses!L10</f>
        <v>623961448.14090037</v>
      </c>
      <c r="M18" s="258">
        <f ca="1">Expenses!M10</f>
        <v>603833659.49119365</v>
      </c>
      <c r="N18" s="258">
        <f ca="1">Expenses!N10</f>
        <v>623961448.14090014</v>
      </c>
      <c r="O18" s="258">
        <f ca="1">Expenses!O10</f>
        <v>603833659.49119413</v>
      </c>
      <c r="P18" s="1087">
        <f ca="1">Expenses!P10</f>
        <v>623961448.1408999</v>
      </c>
      <c r="Q18" s="258">
        <f>Expenses!Q10</f>
        <v>0</v>
      </c>
      <c r="R18" s="1086">
        <f ca="1">Expenses!R10</f>
        <v>623961448.14090037</v>
      </c>
      <c r="S18" s="258">
        <f ca="1">Expenses!S10</f>
        <v>563578082.19178092</v>
      </c>
      <c r="T18" s="258">
        <f ca="1">Expenses!T10</f>
        <v>623961448.14090037</v>
      </c>
      <c r="U18" s="258">
        <f ca="1">Expenses!U10</f>
        <v>603833659.49119353</v>
      </c>
      <c r="V18" s="258">
        <f ca="1">Expenses!V10</f>
        <v>623961448.14090025</v>
      </c>
      <c r="W18" s="258">
        <f ca="1">Expenses!W10</f>
        <v>603833659.49119389</v>
      </c>
      <c r="X18" s="258">
        <f ca="1">Expenses!X10</f>
        <v>623961448.1408999</v>
      </c>
      <c r="Y18" s="258">
        <f ca="1">Expenses!Y10</f>
        <v>623961448.14090037</v>
      </c>
      <c r="Z18" s="258">
        <f ca="1">Expenses!Z10</f>
        <v>603833659.49119365</v>
      </c>
      <c r="AA18" s="258">
        <f ca="1">Expenses!AA10</f>
        <v>623961448.14090037</v>
      </c>
      <c r="AB18" s="258">
        <f ca="1">Expenses!AB10</f>
        <v>603833659.49119353</v>
      </c>
      <c r="AC18" s="1087">
        <f ca="1">Expenses!AC10</f>
        <v>623961448.14090049</v>
      </c>
      <c r="AD18" s="258">
        <f>Expenses!AD10</f>
        <v>0</v>
      </c>
      <c r="AE18" s="1086">
        <f ca="1">Expenses!AE10</f>
        <v>623961448.14090037</v>
      </c>
      <c r="AF18" s="258">
        <f ca="1">Expenses!AF10</f>
        <v>563578082.19178128</v>
      </c>
      <c r="AG18" s="258">
        <f ca="1">Expenses!AG10</f>
        <v>623961448.14090037</v>
      </c>
      <c r="AH18" s="258">
        <f ca="1">Expenses!AH10</f>
        <v>603833659.49119353</v>
      </c>
      <c r="AI18" s="258">
        <f ca="1">Expenses!AI10</f>
        <v>623961448.14090014</v>
      </c>
      <c r="AJ18" s="258">
        <f ca="1">Expenses!AJ10</f>
        <v>603833659.49119401</v>
      </c>
      <c r="AK18" s="258">
        <f ca="1">Expenses!AK10</f>
        <v>623961448.14090037</v>
      </c>
      <c r="AL18" s="258">
        <f ca="1">Expenses!AL10</f>
        <v>623961448.14089966</v>
      </c>
      <c r="AM18" s="258">
        <f ca="1">Expenses!AM10</f>
        <v>603833659.49119437</v>
      </c>
      <c r="AN18" s="258">
        <f ca="1">Expenses!AN10</f>
        <v>623961448.14089942</v>
      </c>
      <c r="AO18" s="258">
        <f ca="1">Expenses!AO10</f>
        <v>603833659.49119473</v>
      </c>
      <c r="AP18" s="1087">
        <f ca="1">Expenses!AP10</f>
        <v>623961448.1408993</v>
      </c>
      <c r="AQ18" s="1088"/>
      <c r="AR18" s="1089"/>
      <c r="AS18" s="1089"/>
      <c r="AT18" s="1089"/>
      <c r="AU18" s="1089"/>
      <c r="AV18" s="1090"/>
    </row>
    <row r="19" spans="1:48" ht="14.25" x14ac:dyDescent="0.2">
      <c r="A19" s="1091" t="str">
        <f>Expenses!A11</f>
        <v>Other Direct Costs: Factory ultilities</v>
      </c>
      <c r="B19" s="258"/>
      <c r="C19" s="258"/>
      <c r="D19" s="258"/>
      <c r="E19" s="1086">
        <f>Expenses!E11</f>
        <v>0</v>
      </c>
      <c r="F19" s="258">
        <f>Expenses!F11</f>
        <v>0</v>
      </c>
      <c r="G19" s="258">
        <f>Expenses!G11</f>
        <v>0</v>
      </c>
      <c r="H19" s="258">
        <f>Expenses!H11</f>
        <v>0</v>
      </c>
      <c r="I19" s="258">
        <f>Expenses!I11</f>
        <v>19180000</v>
      </c>
      <c r="J19" s="258">
        <f>Expenses!J11</f>
        <v>84000000</v>
      </c>
      <c r="K19" s="258">
        <f>Expenses!K11</f>
        <v>85330000</v>
      </c>
      <c r="L19" s="258">
        <f>Expenses!L11</f>
        <v>94500000</v>
      </c>
      <c r="M19" s="258">
        <f>Expenses!M11</f>
        <v>95060000</v>
      </c>
      <c r="N19" s="258">
        <f>Expenses!N11</f>
        <v>99050000</v>
      </c>
      <c r="O19" s="258">
        <f>Expenses!O11</f>
        <v>99050000</v>
      </c>
      <c r="P19" s="1087">
        <f>Expenses!P11</f>
        <v>97230000</v>
      </c>
      <c r="Q19" s="258">
        <f>Expenses!Q11</f>
        <v>0</v>
      </c>
      <c r="R19" s="1086">
        <f>Expenses!R11</f>
        <v>84280000</v>
      </c>
      <c r="S19" s="258">
        <f>Expenses!S11</f>
        <v>84280000</v>
      </c>
      <c r="T19" s="258">
        <f>Expenses!T11</f>
        <v>86590000</v>
      </c>
      <c r="U19" s="258">
        <f>Expenses!U11</f>
        <v>103320000</v>
      </c>
      <c r="V19" s="258">
        <f>Expenses!V11</f>
        <v>103320000</v>
      </c>
      <c r="W19" s="258">
        <f>Expenses!W11</f>
        <v>103810000</v>
      </c>
      <c r="X19" s="258">
        <f>Expenses!X11</f>
        <v>107240000</v>
      </c>
      <c r="Y19" s="258">
        <f>Expenses!Y11</f>
        <v>107240000</v>
      </c>
      <c r="Z19" s="258">
        <f>Expenses!Z11</f>
        <v>107730000</v>
      </c>
      <c r="AA19" s="258">
        <f>Expenses!AA11</f>
        <v>114380000</v>
      </c>
      <c r="AB19" s="258">
        <f>Expenses!AB11</f>
        <v>138040000</v>
      </c>
      <c r="AC19" s="1087">
        <f>Expenses!AC11</f>
        <v>131460000</v>
      </c>
      <c r="AD19" s="258">
        <f>Expenses!AD11</f>
        <v>0</v>
      </c>
      <c r="AE19" s="1086">
        <f>Expenses!AE11</f>
        <v>115570000</v>
      </c>
      <c r="AF19" s="258">
        <f>Expenses!AF11</f>
        <v>114870000</v>
      </c>
      <c r="AG19" s="258">
        <f>Expenses!AG11</f>
        <v>117530000</v>
      </c>
      <c r="AH19" s="258">
        <f>Expenses!AH11</f>
        <v>137340000</v>
      </c>
      <c r="AI19" s="258">
        <f>Expenses!AI11</f>
        <v>137340000</v>
      </c>
      <c r="AJ19" s="258">
        <f>Expenses!AJ11</f>
        <v>137970000</v>
      </c>
      <c r="AK19" s="258">
        <f>Expenses!AK11</f>
        <v>142940000</v>
      </c>
      <c r="AL19" s="258">
        <f>Expenses!AL11</f>
        <v>143220000</v>
      </c>
      <c r="AM19" s="258">
        <f>Expenses!AM11</f>
        <v>145740000</v>
      </c>
      <c r="AN19" s="258">
        <f>Expenses!AN11</f>
        <v>150850000</v>
      </c>
      <c r="AO19" s="258">
        <f>Expenses!AO11</f>
        <v>151340000</v>
      </c>
      <c r="AP19" s="1087">
        <f>Expenses!AP11</f>
        <v>133420000</v>
      </c>
      <c r="AQ19" s="1088"/>
      <c r="AR19" s="1089"/>
      <c r="AS19" s="1089"/>
      <c r="AT19" s="1089"/>
      <c r="AU19" s="1089"/>
      <c r="AV19" s="1090"/>
    </row>
    <row r="20" spans="1:48" ht="14.25" x14ac:dyDescent="0.2">
      <c r="A20" s="1085" t="str">
        <f>Expenses!A12</f>
        <v>TOTAL COST OF GOODS SOLD</v>
      </c>
      <c r="B20" s="1092"/>
      <c r="C20" s="1092"/>
      <c r="D20" s="1092"/>
      <c r="E20" s="1093">
        <f ca="1">Expenses!E12</f>
        <v>240000000</v>
      </c>
      <c r="F20" s="1092">
        <f ca="1">Expenses!F12</f>
        <v>465748206.13176781</v>
      </c>
      <c r="G20" s="1092">
        <f ca="1">Expenses!G12</f>
        <v>857657320.76143038</v>
      </c>
      <c r="H20" s="1092">
        <f ca="1">Expenses!H12</f>
        <v>1154574831.957798</v>
      </c>
      <c r="I20" s="1092">
        <f ca="1">Expenses!I12</f>
        <v>1333191384.3274059</v>
      </c>
      <c r="J20" s="1092">
        <f ca="1">Expenses!J12</f>
        <v>5750911937.3776903</v>
      </c>
      <c r="K20" s="1092">
        <f ca="1">Expenses!K12</f>
        <v>5879166448.1408997</v>
      </c>
      <c r="L20" s="1092">
        <f ca="1">Expenses!L12</f>
        <v>6438961448.1409006</v>
      </c>
      <c r="M20" s="1092">
        <f ca="1">Expenses!M12</f>
        <v>6419393659.4911938</v>
      </c>
      <c r="N20" s="1092">
        <f ca="1">Expenses!N12</f>
        <v>6661261448.1408997</v>
      </c>
      <c r="O20" s="1092">
        <f ca="1">Expenses!O12</f>
        <v>6641133659.4911938</v>
      </c>
      <c r="P20" s="1094">
        <f ca="1">Expenses!P12</f>
        <v>6669441448.1408997</v>
      </c>
      <c r="Q20" s="1092">
        <f>Expenses!Q12</f>
        <v>0</v>
      </c>
      <c r="R20" s="1093">
        <f ca="1">Expenses!R12</f>
        <v>5939641448.1409006</v>
      </c>
      <c r="S20" s="1092">
        <f ca="1">Expenses!S12</f>
        <v>5910008082.191781</v>
      </c>
      <c r="T20" s="1092">
        <f ca="1">Expenses!T12</f>
        <v>6045951448.1409006</v>
      </c>
      <c r="U20" s="1092">
        <f ca="1">Expenses!U12</f>
        <v>6953753659.4911938</v>
      </c>
      <c r="V20" s="1092">
        <f ca="1">Expenses!V12</f>
        <v>6973881448.1409006</v>
      </c>
      <c r="W20" s="1092">
        <f ca="1">Expenses!W12</f>
        <v>6954243659.4911938</v>
      </c>
      <c r="X20" s="1092">
        <f ca="1">Expenses!X12</f>
        <v>7165401448.1408997</v>
      </c>
      <c r="Y20" s="1092">
        <f ca="1">Expenses!Y12</f>
        <v>7165401448.1409006</v>
      </c>
      <c r="Z20" s="1092">
        <f ca="1">Expenses!Z12</f>
        <v>7145763659.4911938</v>
      </c>
      <c r="AA20" s="1092">
        <f ca="1">Expenses!AA12</f>
        <v>7390291448.1409006</v>
      </c>
      <c r="AB20" s="1092">
        <f ca="1">Expenses!AB12</f>
        <v>10650573659.491194</v>
      </c>
      <c r="AC20" s="1094">
        <f ca="1">Expenses!AC12</f>
        <v>10690871448.1409</v>
      </c>
      <c r="AD20" s="1092">
        <f>Expenses!AD12</f>
        <v>0</v>
      </c>
      <c r="AE20" s="1093">
        <f ca="1">Expenses!AE12</f>
        <v>9509381448.1408997</v>
      </c>
      <c r="AF20" s="1092">
        <f ca="1">Expenses!AF12</f>
        <v>9340298082.191782</v>
      </c>
      <c r="AG20" s="1092">
        <f ca="1">Expenses!AG12</f>
        <v>9403341448.1408997</v>
      </c>
      <c r="AH20" s="1092">
        <f ca="1">Expenses!AH12</f>
        <v>11707623659.491194</v>
      </c>
      <c r="AI20" s="1092">
        <f ca="1">Expenses!AI12</f>
        <v>11727751448.1409</v>
      </c>
      <c r="AJ20" s="1092">
        <f ca="1">Expenses!AJ12</f>
        <v>11708253659.491194</v>
      </c>
      <c r="AK20" s="1092">
        <f ca="1">Expenses!AK12</f>
        <v>12217401448.1409</v>
      </c>
      <c r="AL20" s="1092">
        <f ca="1">Expenses!AL12</f>
        <v>12217681448.1409</v>
      </c>
      <c r="AM20" s="1092">
        <f ca="1">Expenses!AM12</f>
        <v>12524073659.491194</v>
      </c>
      <c r="AN20" s="1092">
        <f ca="1">Expenses!AN12</f>
        <v>12843011448.1409</v>
      </c>
      <c r="AO20" s="1092">
        <f ca="1">Expenses!AO12</f>
        <v>12872523659.491196</v>
      </c>
      <c r="AP20" s="1094">
        <f ca="1">Expenses!AP12</f>
        <v>12923881448.1409</v>
      </c>
      <c r="AQ20" s="1095"/>
      <c r="AR20" s="1096"/>
      <c r="AS20" s="1096"/>
      <c r="AT20" s="1096"/>
      <c r="AU20" s="1096"/>
      <c r="AV20" s="1097"/>
    </row>
    <row r="21" spans="1:48" ht="12.75" x14ac:dyDescent="0.2">
      <c r="A21" s="1087"/>
      <c r="B21" s="258"/>
      <c r="C21" s="258"/>
      <c r="D21" s="258"/>
      <c r="E21" s="1086"/>
      <c r="F21" s="258">
        <f>Expenses!F13</f>
        <v>0</v>
      </c>
      <c r="G21" s="258">
        <f>Expenses!G13</f>
        <v>0</v>
      </c>
      <c r="H21" s="258">
        <f>Expenses!H13</f>
        <v>0</v>
      </c>
      <c r="I21" s="258">
        <f>Expenses!I13</f>
        <v>0</v>
      </c>
      <c r="J21" s="258">
        <f>Expenses!J13</f>
        <v>0</v>
      </c>
      <c r="K21" s="258">
        <f>Expenses!K13</f>
        <v>0</v>
      </c>
      <c r="L21" s="258">
        <f>Expenses!L13</f>
        <v>0</v>
      </c>
      <c r="M21" s="258">
        <f>Expenses!M13</f>
        <v>0</v>
      </c>
      <c r="N21" s="258">
        <f>Expenses!N13</f>
        <v>0</v>
      </c>
      <c r="O21" s="258">
        <f>Expenses!O13</f>
        <v>0</v>
      </c>
      <c r="P21" s="1087">
        <f>Expenses!P13</f>
        <v>0</v>
      </c>
      <c r="Q21" s="258">
        <f>Expenses!Q13</f>
        <v>0</v>
      </c>
      <c r="R21" s="1086">
        <f>Expenses!R13</f>
        <v>0</v>
      </c>
      <c r="S21" s="258">
        <f>Expenses!S13</f>
        <v>0</v>
      </c>
      <c r="T21" s="258">
        <f>Expenses!T13</f>
        <v>0</v>
      </c>
      <c r="U21" s="258">
        <f>Expenses!U13</f>
        <v>0</v>
      </c>
      <c r="V21" s="258">
        <f>Expenses!V13</f>
        <v>0</v>
      </c>
      <c r="W21" s="258">
        <f>Expenses!W13</f>
        <v>0</v>
      </c>
      <c r="X21" s="258">
        <f>Expenses!X13</f>
        <v>0</v>
      </c>
      <c r="Y21" s="258">
        <f>Expenses!Y13</f>
        <v>0</v>
      </c>
      <c r="Z21" s="258">
        <f>Expenses!Z13</f>
        <v>0</v>
      </c>
      <c r="AA21" s="258">
        <f>Expenses!AA13</f>
        <v>0</v>
      </c>
      <c r="AB21" s="258">
        <f>Expenses!AB13</f>
        <v>0</v>
      </c>
      <c r="AC21" s="1087">
        <f>Expenses!AC13</f>
        <v>0</v>
      </c>
      <c r="AD21" s="258">
        <f>Expenses!AD13</f>
        <v>0</v>
      </c>
      <c r="AE21" s="1086">
        <f>Expenses!AE13</f>
        <v>0</v>
      </c>
      <c r="AF21" s="258">
        <f>Expenses!AF13</f>
        <v>0</v>
      </c>
      <c r="AG21" s="258">
        <f>Expenses!AG13</f>
        <v>0</v>
      </c>
      <c r="AH21" s="258">
        <f>Expenses!AH13</f>
        <v>0</v>
      </c>
      <c r="AI21" s="258">
        <f>Expenses!AI13</f>
        <v>0</v>
      </c>
      <c r="AJ21" s="258">
        <f>Expenses!AJ13</f>
        <v>0</v>
      </c>
      <c r="AK21" s="258">
        <f>Expenses!AK13</f>
        <v>0</v>
      </c>
      <c r="AL21" s="258">
        <f>Expenses!AL13</f>
        <v>0</v>
      </c>
      <c r="AM21" s="258">
        <f>Expenses!AM13</f>
        <v>0</v>
      </c>
      <c r="AN21" s="258">
        <f>Expenses!AN13</f>
        <v>0</v>
      </c>
      <c r="AO21" s="258">
        <f>Expenses!AO13</f>
        <v>0</v>
      </c>
      <c r="AP21" s="1087">
        <f>Expenses!AP13</f>
        <v>0</v>
      </c>
      <c r="AQ21" s="1088"/>
      <c r="AR21" s="1089"/>
      <c r="AS21" s="1089"/>
      <c r="AT21" s="1089"/>
      <c r="AU21" s="1089"/>
      <c r="AV21" s="1090"/>
    </row>
    <row r="22" spans="1:48" ht="14.25" x14ac:dyDescent="0.2">
      <c r="A22" s="1098" t="s">
        <v>387</v>
      </c>
      <c r="B22" s="1092"/>
      <c r="C22" s="1092"/>
      <c r="D22" s="1092"/>
      <c r="E22" s="1093">
        <f t="shared" ref="E22:P22" ca="1" si="0">E10-E20</f>
        <v>-240000000</v>
      </c>
      <c r="F22" s="1092">
        <f t="shared" ca="1" si="0"/>
        <v>-465748206.13176781</v>
      </c>
      <c r="G22" s="1092">
        <f t="shared" ca="1" si="0"/>
        <v>-857657320.76143038</v>
      </c>
      <c r="H22" s="1092">
        <f t="shared" ca="1" si="0"/>
        <v>-1154574831.957798</v>
      </c>
      <c r="I22" s="1092">
        <f t="shared" ca="1" si="0"/>
        <v>-1333191384.3274059</v>
      </c>
      <c r="J22" s="1092">
        <f t="shared" ca="1" si="0"/>
        <v>1582288062.6223097</v>
      </c>
      <c r="K22" s="1092">
        <f t="shared" ca="1" si="0"/>
        <v>1454033551.8591003</v>
      </c>
      <c r="L22" s="1092">
        <f t="shared" ca="1" si="0"/>
        <v>1871998551.8590994</v>
      </c>
      <c r="M22" s="1092">
        <f t="shared" ca="1" si="0"/>
        <v>1891566340.5088062</v>
      </c>
      <c r="N22" s="1092">
        <f t="shared" ca="1" si="0"/>
        <v>2050308551.8591003</v>
      </c>
      <c r="O22" s="1092">
        <f t="shared" ca="1" si="0"/>
        <v>2070436340.5088062</v>
      </c>
      <c r="P22" s="1094">
        <f t="shared" ca="1" si="0"/>
        <v>2042128551.8591003</v>
      </c>
      <c r="Q22" s="1092"/>
      <c r="R22" s="1093">
        <f t="shared" ref="R22:AC22" ca="1" si="1">R10-R20</f>
        <v>1461458551.8590994</v>
      </c>
      <c r="S22" s="1092">
        <f t="shared" ca="1" si="1"/>
        <v>1491091917.808219</v>
      </c>
      <c r="T22" s="1092">
        <f t="shared" ca="1" si="1"/>
        <v>1355148551.8590994</v>
      </c>
      <c r="U22" s="1092">
        <f t="shared" ca="1" si="1"/>
        <v>2131266340.5088062</v>
      </c>
      <c r="V22" s="1092">
        <f t="shared" ca="1" si="1"/>
        <v>2111138551.8590994</v>
      </c>
      <c r="W22" s="1092">
        <f t="shared" ca="1" si="1"/>
        <v>2130776340.5088062</v>
      </c>
      <c r="X22" s="1092">
        <f t="shared" ca="1" si="1"/>
        <v>2259118551.8591003</v>
      </c>
      <c r="Y22" s="1092">
        <f t="shared" ca="1" si="1"/>
        <v>2259118551.8590994</v>
      </c>
      <c r="Z22" s="1092">
        <f t="shared" ca="1" si="1"/>
        <v>2278756340.5088062</v>
      </c>
      <c r="AA22" s="1092">
        <f t="shared" ca="1" si="1"/>
        <v>2434838551.8590994</v>
      </c>
      <c r="AB22" s="1092">
        <f t="shared" ca="1" si="1"/>
        <v>4065806340.5088062</v>
      </c>
      <c r="AC22" s="1094">
        <f t="shared" ca="1" si="1"/>
        <v>4059458551.8591003</v>
      </c>
      <c r="AD22" s="1092"/>
      <c r="AE22" s="1093">
        <f t="shared" ref="AE22:AP22" ca="1" si="2">AE10-AE20</f>
        <v>3338838551.8591003</v>
      </c>
      <c r="AF22" s="1092">
        <f t="shared" ca="1" si="2"/>
        <v>3328021917.808218</v>
      </c>
      <c r="AG22" s="1092">
        <f t="shared" ca="1" si="2"/>
        <v>3264978551.8591003</v>
      </c>
      <c r="AH22" s="1092">
        <f t="shared" ca="1" si="2"/>
        <v>4636956340.5088062</v>
      </c>
      <c r="AI22" s="1092">
        <f t="shared" ca="1" si="2"/>
        <v>4616828551.8591003</v>
      </c>
      <c r="AJ22" s="1092">
        <f t="shared" ca="1" si="2"/>
        <v>4636326340.5088062</v>
      </c>
      <c r="AK22" s="1092">
        <f t="shared" ca="1" si="2"/>
        <v>4900468551.8591003</v>
      </c>
      <c r="AL22" s="1092">
        <f t="shared" ca="1" si="2"/>
        <v>4900188551.8591003</v>
      </c>
      <c r="AM22" s="1092">
        <f t="shared" ca="1" si="2"/>
        <v>5079526340.5088062</v>
      </c>
      <c r="AN22" s="1092">
        <f t="shared" ca="1" si="2"/>
        <v>5303438551.8591003</v>
      </c>
      <c r="AO22" s="1092">
        <f t="shared" ca="1" si="2"/>
        <v>5361846340.5088043</v>
      </c>
      <c r="AP22" s="1094">
        <f t="shared" ca="1" si="2"/>
        <v>5398408551.8591003</v>
      </c>
      <c r="AQ22" s="1095"/>
      <c r="AR22" s="1096"/>
      <c r="AS22" s="1096"/>
      <c r="AT22" s="1096"/>
      <c r="AU22" s="1096"/>
      <c r="AV22" s="1097"/>
    </row>
    <row r="23" spans="1:48" ht="12.75" x14ac:dyDescent="0.2">
      <c r="A23" s="1087"/>
      <c r="B23" s="258"/>
      <c r="C23" s="258"/>
      <c r="D23" s="258"/>
      <c r="E23" s="1086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1087"/>
      <c r="Q23" s="258"/>
      <c r="R23" s="1086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1087"/>
      <c r="AD23" s="258"/>
      <c r="AE23" s="1086"/>
      <c r="AF23" s="258"/>
      <c r="AG23" s="258"/>
      <c r="AH23" s="258"/>
      <c r="AI23" s="258"/>
      <c r="AJ23" s="258"/>
      <c r="AK23" s="258"/>
      <c r="AL23" s="258"/>
      <c r="AM23" s="258"/>
      <c r="AN23" s="258"/>
      <c r="AO23" s="258"/>
      <c r="AP23" s="1087"/>
      <c r="AQ23" s="1088"/>
      <c r="AR23" s="1089"/>
      <c r="AS23" s="1089"/>
      <c r="AT23" s="1089"/>
      <c r="AU23" s="1089"/>
      <c r="AV23" s="1090"/>
    </row>
    <row r="24" spans="1:48" ht="14.25" x14ac:dyDescent="0.2">
      <c r="A24" s="1085" t="str">
        <f>Expenses!A14</f>
        <v>OPERATING EXPENSES</v>
      </c>
      <c r="B24" s="258"/>
      <c r="C24" s="258"/>
      <c r="D24" s="258">
        <f>Expenses!B14</f>
        <v>0</v>
      </c>
      <c r="E24" s="1086">
        <f>Expenses!E14</f>
        <v>0</v>
      </c>
      <c r="F24" s="258">
        <f>Expenses!F14</f>
        <v>0</v>
      </c>
      <c r="G24" s="258">
        <f>Expenses!G14</f>
        <v>0</v>
      </c>
      <c r="H24" s="258">
        <f>Expenses!H14</f>
        <v>0</v>
      </c>
      <c r="I24" s="258">
        <f>Expenses!I14</f>
        <v>0</v>
      </c>
      <c r="J24" s="258">
        <f>Expenses!J14</f>
        <v>0</v>
      </c>
      <c r="K24" s="258">
        <f>Expenses!K14</f>
        <v>0</v>
      </c>
      <c r="L24" s="258">
        <f>Expenses!L14</f>
        <v>0</v>
      </c>
      <c r="M24" s="258">
        <f>Expenses!M14</f>
        <v>0</v>
      </c>
      <c r="N24" s="258">
        <f>Expenses!N14</f>
        <v>0</v>
      </c>
      <c r="O24" s="258">
        <f>Expenses!O14</f>
        <v>0</v>
      </c>
      <c r="P24" s="1087">
        <f>Expenses!P14</f>
        <v>0</v>
      </c>
      <c r="Q24" s="258"/>
      <c r="R24" s="1086">
        <f>Expenses!R14</f>
        <v>0</v>
      </c>
      <c r="S24" s="258">
        <f>Expenses!S14</f>
        <v>0</v>
      </c>
      <c r="T24" s="258">
        <f>Expenses!T14</f>
        <v>0</v>
      </c>
      <c r="U24" s="258">
        <f>Expenses!U14</f>
        <v>0</v>
      </c>
      <c r="V24" s="258">
        <f>Expenses!V14</f>
        <v>0</v>
      </c>
      <c r="W24" s="258">
        <f>Expenses!W14</f>
        <v>0</v>
      </c>
      <c r="X24" s="258">
        <f>Expenses!X14</f>
        <v>0</v>
      </c>
      <c r="Y24" s="258">
        <f>Expenses!Y14</f>
        <v>0</v>
      </c>
      <c r="Z24" s="258">
        <f>Expenses!Z14</f>
        <v>0</v>
      </c>
      <c r="AA24" s="258">
        <f>Expenses!AA14</f>
        <v>0</v>
      </c>
      <c r="AB24" s="258">
        <f>Expenses!AB14</f>
        <v>0</v>
      </c>
      <c r="AC24" s="1087">
        <f>Expenses!AC14</f>
        <v>0</v>
      </c>
      <c r="AD24" s="258"/>
      <c r="AE24" s="1086">
        <f>Expenses!AE14</f>
        <v>0</v>
      </c>
      <c r="AF24" s="258">
        <f>Expenses!AF14</f>
        <v>0</v>
      </c>
      <c r="AG24" s="258">
        <f>Expenses!AG14</f>
        <v>0</v>
      </c>
      <c r="AH24" s="258">
        <f>Expenses!AH14</f>
        <v>0</v>
      </c>
      <c r="AI24" s="258">
        <f>Expenses!AI14</f>
        <v>0</v>
      </c>
      <c r="AJ24" s="258">
        <f>Expenses!AJ14</f>
        <v>0</v>
      </c>
      <c r="AK24" s="258">
        <f>Expenses!AK14</f>
        <v>0</v>
      </c>
      <c r="AL24" s="258">
        <f>Expenses!AL14</f>
        <v>0</v>
      </c>
      <c r="AM24" s="258">
        <f>Expenses!AM14</f>
        <v>0</v>
      </c>
      <c r="AN24" s="258">
        <f>Expenses!AN14</f>
        <v>0</v>
      </c>
      <c r="AO24" s="258">
        <f>Expenses!AO14</f>
        <v>0</v>
      </c>
      <c r="AP24" s="1087">
        <f>Expenses!AP14</f>
        <v>0</v>
      </c>
      <c r="AQ24" s="1088"/>
      <c r="AR24" s="1089"/>
      <c r="AS24" s="1089"/>
      <c r="AT24" s="1089"/>
      <c r="AU24" s="1089"/>
      <c r="AV24" s="1090"/>
    </row>
    <row r="25" spans="1:48" ht="14.25" hidden="1" x14ac:dyDescent="0.2">
      <c r="A25" s="1091" t="str">
        <f>Expenses!A15</f>
        <v>Automobile/Transportation</v>
      </c>
      <c r="B25" s="258">
        <f>Expenses!B15</f>
        <v>0</v>
      </c>
      <c r="C25" s="258">
        <f>Expenses!D15</f>
        <v>0</v>
      </c>
      <c r="D25" s="258">
        <f>Expenses!E15</f>
        <v>0</v>
      </c>
      <c r="E25" s="1086">
        <f>Expenses!F15</f>
        <v>0</v>
      </c>
      <c r="F25" s="258">
        <f>Expenses!G15</f>
        <v>0</v>
      </c>
      <c r="G25" s="258">
        <f>Expenses!H15</f>
        <v>0</v>
      </c>
      <c r="H25" s="258">
        <f>Expenses!I15</f>
        <v>0</v>
      </c>
      <c r="I25" s="258">
        <f>Expenses!J15</f>
        <v>0</v>
      </c>
      <c r="J25" s="258">
        <f>Expenses!K15</f>
        <v>0</v>
      </c>
      <c r="K25" s="258">
        <f>Expenses!L15</f>
        <v>0</v>
      </c>
      <c r="L25" s="258">
        <f>Expenses!M15</f>
        <v>0</v>
      </c>
      <c r="M25" s="258">
        <f>Expenses!N15</f>
        <v>0</v>
      </c>
      <c r="N25" s="258">
        <f>Expenses!O15</f>
        <v>0</v>
      </c>
      <c r="O25" s="258">
        <f>Expenses!P15</f>
        <v>0</v>
      </c>
      <c r="P25" s="1087">
        <f>Expenses!Q15</f>
        <v>0</v>
      </c>
      <c r="Q25" s="258">
        <f>Expenses!R15</f>
        <v>0</v>
      </c>
      <c r="R25" s="1086">
        <f>Expenses!S15</f>
        <v>0</v>
      </c>
      <c r="S25" s="258">
        <f>Expenses!T15</f>
        <v>0</v>
      </c>
      <c r="T25" s="258">
        <f>Expenses!U15</f>
        <v>0</v>
      </c>
      <c r="U25" s="258">
        <f>Expenses!V15</f>
        <v>0</v>
      </c>
      <c r="V25" s="258">
        <f>Expenses!W15</f>
        <v>0</v>
      </c>
      <c r="W25" s="258">
        <f>Expenses!X15</f>
        <v>0</v>
      </c>
      <c r="X25" s="258">
        <f>Expenses!Y15</f>
        <v>0</v>
      </c>
      <c r="Y25" s="258">
        <f>Expenses!Z15</f>
        <v>0</v>
      </c>
      <c r="Z25" s="258">
        <f>Expenses!AA15</f>
        <v>0</v>
      </c>
      <c r="AA25" s="258">
        <f>Expenses!AB15</f>
        <v>0</v>
      </c>
      <c r="AB25" s="258">
        <f>Expenses!AC15</f>
        <v>0</v>
      </c>
      <c r="AC25" s="1087">
        <f>Expenses!AD15</f>
        <v>0</v>
      </c>
      <c r="AD25" s="258">
        <f>Expenses!AE15</f>
        <v>0</v>
      </c>
      <c r="AE25" s="1086">
        <f>Expenses!AF15</f>
        <v>0</v>
      </c>
      <c r="AF25" s="258">
        <f>Expenses!AG15</f>
        <v>0</v>
      </c>
      <c r="AG25" s="258">
        <f>Expenses!AH15</f>
        <v>0</v>
      </c>
      <c r="AH25" s="258">
        <f>Expenses!AI15</f>
        <v>0</v>
      </c>
      <c r="AI25" s="258">
        <f>Expenses!AJ15</f>
        <v>0</v>
      </c>
      <c r="AJ25" s="258">
        <f>Expenses!AK15</f>
        <v>0</v>
      </c>
      <c r="AK25" s="258">
        <f>Expenses!AL15</f>
        <v>0</v>
      </c>
      <c r="AL25" s="258">
        <f>Expenses!AM15</f>
        <v>0</v>
      </c>
      <c r="AM25" s="258">
        <f>Expenses!AN15</f>
        <v>0</v>
      </c>
      <c r="AN25" s="258">
        <f>Expenses!AO15</f>
        <v>0</v>
      </c>
      <c r="AO25" s="258">
        <f>Expenses!AP15</f>
        <v>0</v>
      </c>
      <c r="AP25" s="1087">
        <f>Expenses!AQ15</f>
        <v>0</v>
      </c>
      <c r="AQ25" s="1088"/>
      <c r="AR25" s="1089"/>
      <c r="AS25" s="1089"/>
      <c r="AT25" s="1089"/>
      <c r="AU25" s="1089"/>
      <c r="AV25" s="1090"/>
    </row>
    <row r="26" spans="1:48" ht="14.25" hidden="1" x14ac:dyDescent="0.2">
      <c r="A26" s="1091" t="str">
        <f>Expenses!A16</f>
        <v>Bank Service Charges</v>
      </c>
      <c r="B26" s="258">
        <f>Expenses!B16</f>
        <v>0</v>
      </c>
      <c r="C26" s="258">
        <f>Expenses!D16</f>
        <v>0</v>
      </c>
      <c r="D26" s="258">
        <f>Expenses!E16</f>
        <v>0</v>
      </c>
      <c r="E26" s="1086">
        <f>Expenses!F16</f>
        <v>0</v>
      </c>
      <c r="F26" s="258">
        <f>Expenses!G16</f>
        <v>0</v>
      </c>
      <c r="G26" s="258">
        <f>Expenses!H16</f>
        <v>0</v>
      </c>
      <c r="H26" s="258">
        <f>Expenses!I16</f>
        <v>0</v>
      </c>
      <c r="I26" s="258">
        <f>Expenses!J16</f>
        <v>0</v>
      </c>
      <c r="J26" s="258">
        <f>Expenses!K16</f>
        <v>0</v>
      </c>
      <c r="K26" s="258">
        <f>Expenses!L16</f>
        <v>0</v>
      </c>
      <c r="L26" s="258">
        <f>Expenses!M16</f>
        <v>0</v>
      </c>
      <c r="M26" s="258">
        <f>Expenses!N16</f>
        <v>0</v>
      </c>
      <c r="N26" s="258">
        <f>Expenses!O16</f>
        <v>0</v>
      </c>
      <c r="O26" s="258">
        <f>Expenses!P16</f>
        <v>0</v>
      </c>
      <c r="P26" s="1087">
        <f>Expenses!Q16</f>
        <v>0</v>
      </c>
      <c r="Q26" s="258">
        <f>Expenses!R16</f>
        <v>0</v>
      </c>
      <c r="R26" s="1086">
        <f>Expenses!S16</f>
        <v>0</v>
      </c>
      <c r="S26" s="258">
        <f>Expenses!T16</f>
        <v>0</v>
      </c>
      <c r="T26" s="258">
        <f>Expenses!U16</f>
        <v>0</v>
      </c>
      <c r="U26" s="258">
        <f>Expenses!V16</f>
        <v>0</v>
      </c>
      <c r="V26" s="258">
        <f>Expenses!W16</f>
        <v>0</v>
      </c>
      <c r="W26" s="258">
        <f>Expenses!X16</f>
        <v>0</v>
      </c>
      <c r="X26" s="258">
        <f>Expenses!Y16</f>
        <v>0</v>
      </c>
      <c r="Y26" s="258">
        <f>Expenses!Z16</f>
        <v>0</v>
      </c>
      <c r="Z26" s="258">
        <f>Expenses!AA16</f>
        <v>0</v>
      </c>
      <c r="AA26" s="258">
        <f>Expenses!AB16</f>
        <v>0</v>
      </c>
      <c r="AB26" s="258">
        <f>Expenses!AC16</f>
        <v>0</v>
      </c>
      <c r="AC26" s="1087">
        <f>Expenses!AD16</f>
        <v>0</v>
      </c>
      <c r="AD26" s="258">
        <f>Expenses!AE16</f>
        <v>0</v>
      </c>
      <c r="AE26" s="1086">
        <f>Expenses!AF16</f>
        <v>0</v>
      </c>
      <c r="AF26" s="258">
        <f>Expenses!AG16</f>
        <v>0</v>
      </c>
      <c r="AG26" s="258">
        <f>Expenses!AH16</f>
        <v>0</v>
      </c>
      <c r="AH26" s="258">
        <f>Expenses!AI16</f>
        <v>0</v>
      </c>
      <c r="AI26" s="258">
        <f>Expenses!AJ16</f>
        <v>0</v>
      </c>
      <c r="AJ26" s="258">
        <f>Expenses!AK16</f>
        <v>0</v>
      </c>
      <c r="AK26" s="258">
        <f>Expenses!AL16</f>
        <v>0</v>
      </c>
      <c r="AL26" s="258">
        <f>Expenses!AM16</f>
        <v>0</v>
      </c>
      <c r="AM26" s="258">
        <f>Expenses!AN16</f>
        <v>0</v>
      </c>
      <c r="AN26" s="258">
        <f>Expenses!AO16</f>
        <v>0</v>
      </c>
      <c r="AO26" s="258">
        <f>Expenses!AP16</f>
        <v>0</v>
      </c>
      <c r="AP26" s="1087">
        <f>Expenses!AQ16</f>
        <v>0</v>
      </c>
      <c r="AQ26" s="1088"/>
      <c r="AR26" s="1089"/>
      <c r="AS26" s="1089"/>
      <c r="AT26" s="1089"/>
      <c r="AU26" s="1089"/>
      <c r="AV26" s="1090"/>
    </row>
    <row r="27" spans="1:48" ht="14.25" hidden="1" x14ac:dyDescent="0.2">
      <c r="A27" s="1091" t="str">
        <f>Expenses!A17</f>
        <v>Business Licenses and Permits</v>
      </c>
      <c r="B27" s="258">
        <f>Expenses!B17</f>
        <v>0</v>
      </c>
      <c r="C27" s="258">
        <f>Expenses!D17</f>
        <v>0</v>
      </c>
      <c r="D27" s="258">
        <f>Expenses!E17</f>
        <v>0</v>
      </c>
      <c r="E27" s="1086">
        <f>Expenses!F17</f>
        <v>0</v>
      </c>
      <c r="F27" s="258">
        <f>Expenses!G17</f>
        <v>0</v>
      </c>
      <c r="G27" s="258">
        <f>Expenses!H17</f>
        <v>0</v>
      </c>
      <c r="H27" s="258">
        <f>Expenses!I17</f>
        <v>0</v>
      </c>
      <c r="I27" s="258">
        <f>Expenses!J17</f>
        <v>0</v>
      </c>
      <c r="J27" s="258">
        <f>Expenses!K17</f>
        <v>0</v>
      </c>
      <c r="K27" s="258">
        <f>Expenses!L17</f>
        <v>0</v>
      </c>
      <c r="L27" s="258">
        <f>Expenses!M17</f>
        <v>0</v>
      </c>
      <c r="M27" s="258">
        <f>Expenses!N17</f>
        <v>0</v>
      </c>
      <c r="N27" s="258">
        <f>Expenses!O17</f>
        <v>0</v>
      </c>
      <c r="O27" s="258">
        <f>Expenses!P17</f>
        <v>0</v>
      </c>
      <c r="P27" s="1087">
        <f>Expenses!Q17</f>
        <v>0</v>
      </c>
      <c r="Q27" s="258">
        <f>Expenses!R17</f>
        <v>0</v>
      </c>
      <c r="R27" s="1086">
        <f>Expenses!S17</f>
        <v>0</v>
      </c>
      <c r="S27" s="258">
        <f>Expenses!T17</f>
        <v>0</v>
      </c>
      <c r="T27" s="258">
        <f>Expenses!U17</f>
        <v>0</v>
      </c>
      <c r="U27" s="258">
        <f>Expenses!V17</f>
        <v>0</v>
      </c>
      <c r="V27" s="258">
        <f>Expenses!W17</f>
        <v>0</v>
      </c>
      <c r="W27" s="258">
        <f>Expenses!X17</f>
        <v>0</v>
      </c>
      <c r="X27" s="258">
        <f>Expenses!Y17</f>
        <v>0</v>
      </c>
      <c r="Y27" s="258">
        <f>Expenses!Z17</f>
        <v>0</v>
      </c>
      <c r="Z27" s="258">
        <f>Expenses!AA17</f>
        <v>0</v>
      </c>
      <c r="AA27" s="258">
        <f>Expenses!AB17</f>
        <v>0</v>
      </c>
      <c r="AB27" s="258">
        <f>Expenses!AC17</f>
        <v>0</v>
      </c>
      <c r="AC27" s="1087">
        <f>Expenses!AD17</f>
        <v>0</v>
      </c>
      <c r="AD27" s="258">
        <f>Expenses!AE17</f>
        <v>0</v>
      </c>
      <c r="AE27" s="1086">
        <f>Expenses!AF17</f>
        <v>0</v>
      </c>
      <c r="AF27" s="258">
        <f>Expenses!AG17</f>
        <v>0</v>
      </c>
      <c r="AG27" s="258">
        <f>Expenses!AH17</f>
        <v>0</v>
      </c>
      <c r="AH27" s="258">
        <f>Expenses!AI17</f>
        <v>0</v>
      </c>
      <c r="AI27" s="258">
        <f>Expenses!AJ17</f>
        <v>0</v>
      </c>
      <c r="AJ27" s="258">
        <f>Expenses!AK17</f>
        <v>0</v>
      </c>
      <c r="AK27" s="258">
        <f>Expenses!AL17</f>
        <v>0</v>
      </c>
      <c r="AL27" s="258">
        <f>Expenses!AM17</f>
        <v>0</v>
      </c>
      <c r="AM27" s="258">
        <f>Expenses!AN17</f>
        <v>0</v>
      </c>
      <c r="AN27" s="258">
        <f>Expenses!AO17</f>
        <v>0</v>
      </c>
      <c r="AO27" s="258">
        <f>Expenses!AP17</f>
        <v>0</v>
      </c>
      <c r="AP27" s="1087">
        <f>Expenses!AQ17</f>
        <v>0</v>
      </c>
      <c r="AQ27" s="1088"/>
      <c r="AR27" s="1089"/>
      <c r="AS27" s="1089"/>
      <c r="AT27" s="1089"/>
      <c r="AU27" s="1089"/>
      <c r="AV27" s="1090"/>
    </row>
    <row r="28" spans="1:48" ht="14.25" hidden="1" x14ac:dyDescent="0.2">
      <c r="A28" s="1091" t="str">
        <f>Expenses!A18</f>
        <v>Computer and Internet</v>
      </c>
      <c r="B28" s="258">
        <f>Expenses!B18</f>
        <v>0</v>
      </c>
      <c r="C28" s="258">
        <f>Expenses!D18</f>
        <v>0</v>
      </c>
      <c r="D28" s="258">
        <f>Expenses!E18</f>
        <v>0</v>
      </c>
      <c r="E28" s="1086">
        <f>Expenses!F18</f>
        <v>0</v>
      </c>
      <c r="F28" s="258">
        <f>Expenses!G18</f>
        <v>0</v>
      </c>
      <c r="G28" s="258">
        <f>Expenses!H18</f>
        <v>0</v>
      </c>
      <c r="H28" s="258">
        <f>Expenses!I18</f>
        <v>0</v>
      </c>
      <c r="I28" s="258">
        <f>Expenses!J18</f>
        <v>0</v>
      </c>
      <c r="J28" s="258">
        <f>Expenses!K18</f>
        <v>0</v>
      </c>
      <c r="K28" s="258">
        <f>Expenses!L18</f>
        <v>0</v>
      </c>
      <c r="L28" s="258">
        <f>Expenses!M18</f>
        <v>0</v>
      </c>
      <c r="M28" s="258">
        <f>Expenses!N18</f>
        <v>0</v>
      </c>
      <c r="N28" s="258">
        <f>Expenses!O18</f>
        <v>0</v>
      </c>
      <c r="O28" s="258">
        <f>Expenses!P18</f>
        <v>0</v>
      </c>
      <c r="P28" s="1087">
        <f>Expenses!Q18</f>
        <v>0</v>
      </c>
      <c r="Q28" s="258">
        <f>Expenses!R18</f>
        <v>0</v>
      </c>
      <c r="R28" s="1086">
        <f>Expenses!S18</f>
        <v>0</v>
      </c>
      <c r="S28" s="258">
        <f>Expenses!T18</f>
        <v>0</v>
      </c>
      <c r="T28" s="258">
        <f>Expenses!U18</f>
        <v>0</v>
      </c>
      <c r="U28" s="258">
        <f>Expenses!V18</f>
        <v>0</v>
      </c>
      <c r="V28" s="258">
        <f>Expenses!W18</f>
        <v>0</v>
      </c>
      <c r="W28" s="258">
        <f>Expenses!X18</f>
        <v>0</v>
      </c>
      <c r="X28" s="258">
        <f>Expenses!Y18</f>
        <v>0</v>
      </c>
      <c r="Y28" s="258">
        <f>Expenses!Z18</f>
        <v>0</v>
      </c>
      <c r="Z28" s="258">
        <f>Expenses!AA18</f>
        <v>0</v>
      </c>
      <c r="AA28" s="258">
        <f>Expenses!AB18</f>
        <v>0</v>
      </c>
      <c r="AB28" s="258">
        <f>Expenses!AC18</f>
        <v>0</v>
      </c>
      <c r="AC28" s="1087">
        <f>Expenses!AD18</f>
        <v>0</v>
      </c>
      <c r="AD28" s="258">
        <f>Expenses!AE18</f>
        <v>0</v>
      </c>
      <c r="AE28" s="1086">
        <f>Expenses!AF18</f>
        <v>0</v>
      </c>
      <c r="AF28" s="258">
        <f>Expenses!AG18</f>
        <v>0</v>
      </c>
      <c r="AG28" s="258">
        <f>Expenses!AH18</f>
        <v>0</v>
      </c>
      <c r="AH28" s="258">
        <f>Expenses!AI18</f>
        <v>0</v>
      </c>
      <c r="AI28" s="258">
        <f>Expenses!AJ18</f>
        <v>0</v>
      </c>
      <c r="AJ28" s="258">
        <f>Expenses!AK18</f>
        <v>0</v>
      </c>
      <c r="AK28" s="258">
        <f>Expenses!AL18</f>
        <v>0</v>
      </c>
      <c r="AL28" s="258">
        <f>Expenses!AM18</f>
        <v>0</v>
      </c>
      <c r="AM28" s="258">
        <f>Expenses!AN18</f>
        <v>0</v>
      </c>
      <c r="AN28" s="258">
        <f>Expenses!AO18</f>
        <v>0</v>
      </c>
      <c r="AO28" s="258">
        <f>Expenses!AP18</f>
        <v>0</v>
      </c>
      <c r="AP28" s="1087">
        <f>Expenses!AQ18</f>
        <v>0</v>
      </c>
      <c r="AQ28" s="1088"/>
      <c r="AR28" s="1089"/>
      <c r="AS28" s="1089"/>
      <c r="AT28" s="1089"/>
      <c r="AU28" s="1089"/>
      <c r="AV28" s="1090"/>
    </row>
    <row r="29" spans="1:48" ht="14.25" hidden="1" x14ac:dyDescent="0.2">
      <c r="A29" s="1091" t="str">
        <f>Expenses!A19</f>
        <v>Dues and Subscriptions</v>
      </c>
      <c r="B29" s="258">
        <f>Expenses!B19</f>
        <v>0</v>
      </c>
      <c r="C29" s="258">
        <f>Expenses!D19</f>
        <v>0</v>
      </c>
      <c r="D29" s="258">
        <f>Expenses!E19</f>
        <v>0</v>
      </c>
      <c r="E29" s="1086">
        <f>Expenses!F19</f>
        <v>0</v>
      </c>
      <c r="F29" s="258">
        <f>Expenses!G19</f>
        <v>0</v>
      </c>
      <c r="G29" s="258">
        <f>Expenses!H19</f>
        <v>0</v>
      </c>
      <c r="H29" s="258">
        <f>Expenses!I19</f>
        <v>0</v>
      </c>
      <c r="I29" s="258">
        <f>Expenses!J19</f>
        <v>0</v>
      </c>
      <c r="J29" s="258">
        <f>Expenses!K19</f>
        <v>0</v>
      </c>
      <c r="K29" s="258">
        <f>Expenses!L19</f>
        <v>0</v>
      </c>
      <c r="L29" s="258">
        <f>Expenses!M19</f>
        <v>0</v>
      </c>
      <c r="M29" s="258">
        <f>Expenses!N19</f>
        <v>0</v>
      </c>
      <c r="N29" s="258">
        <f>Expenses!O19</f>
        <v>0</v>
      </c>
      <c r="O29" s="258">
        <f>Expenses!P19</f>
        <v>0</v>
      </c>
      <c r="P29" s="1087">
        <f>Expenses!Q19</f>
        <v>0</v>
      </c>
      <c r="Q29" s="258">
        <f>Expenses!R19</f>
        <v>0</v>
      </c>
      <c r="R29" s="1086">
        <f>Expenses!S19</f>
        <v>0</v>
      </c>
      <c r="S29" s="258">
        <f>Expenses!T19</f>
        <v>0</v>
      </c>
      <c r="T29" s="258">
        <f>Expenses!U19</f>
        <v>0</v>
      </c>
      <c r="U29" s="258">
        <f>Expenses!V19</f>
        <v>0</v>
      </c>
      <c r="V29" s="258">
        <f>Expenses!W19</f>
        <v>0</v>
      </c>
      <c r="W29" s="258">
        <f>Expenses!X19</f>
        <v>0</v>
      </c>
      <c r="X29" s="258">
        <f>Expenses!Y19</f>
        <v>0</v>
      </c>
      <c r="Y29" s="258">
        <f>Expenses!Z19</f>
        <v>0</v>
      </c>
      <c r="Z29" s="258">
        <f>Expenses!AA19</f>
        <v>0</v>
      </c>
      <c r="AA29" s="258">
        <f>Expenses!AB19</f>
        <v>0</v>
      </c>
      <c r="AB29" s="258">
        <f>Expenses!AC19</f>
        <v>0</v>
      </c>
      <c r="AC29" s="1087">
        <f>Expenses!AD19</f>
        <v>0</v>
      </c>
      <c r="AD29" s="258">
        <f>Expenses!AE19</f>
        <v>0</v>
      </c>
      <c r="AE29" s="1086">
        <f>Expenses!AF19</f>
        <v>0</v>
      </c>
      <c r="AF29" s="258">
        <f>Expenses!AG19</f>
        <v>0</v>
      </c>
      <c r="AG29" s="258">
        <f>Expenses!AH19</f>
        <v>0</v>
      </c>
      <c r="AH29" s="258">
        <f>Expenses!AI19</f>
        <v>0</v>
      </c>
      <c r="AI29" s="258">
        <f>Expenses!AJ19</f>
        <v>0</v>
      </c>
      <c r="AJ29" s="258">
        <f>Expenses!AK19</f>
        <v>0</v>
      </c>
      <c r="AK29" s="258">
        <f>Expenses!AL19</f>
        <v>0</v>
      </c>
      <c r="AL29" s="258">
        <f>Expenses!AM19</f>
        <v>0</v>
      </c>
      <c r="AM29" s="258">
        <f>Expenses!AN19</f>
        <v>0</v>
      </c>
      <c r="AN29" s="258">
        <f>Expenses!AO19</f>
        <v>0</v>
      </c>
      <c r="AO29" s="258">
        <f>Expenses!AP19</f>
        <v>0</v>
      </c>
      <c r="AP29" s="1087">
        <f>Expenses!AQ19</f>
        <v>0</v>
      </c>
      <c r="AQ29" s="1088"/>
      <c r="AR29" s="1089"/>
      <c r="AS29" s="1089"/>
      <c r="AT29" s="1089"/>
      <c r="AU29" s="1089"/>
      <c r="AV29" s="1090"/>
    </row>
    <row r="30" spans="1:48" ht="14.25" x14ac:dyDescent="0.2">
      <c r="A30" s="1091" t="str">
        <f>Expenses!A20</f>
        <v>Insurance</v>
      </c>
      <c r="B30" s="258">
        <f>Expenses!B20</f>
        <v>0</v>
      </c>
      <c r="C30" s="258">
        <f>Expenses!D20</f>
        <v>0</v>
      </c>
      <c r="D30" s="258"/>
      <c r="E30" s="1086">
        <f ca="1">Expenses!E20</f>
        <v>0</v>
      </c>
      <c r="F30" s="258">
        <f ca="1">Expenses!F20</f>
        <v>0</v>
      </c>
      <c r="G30" s="258">
        <f ca="1">Expenses!G20</f>
        <v>6656000</v>
      </c>
      <c r="H30" s="258">
        <f ca="1">Expenses!H20</f>
        <v>19968000</v>
      </c>
      <c r="I30" s="258">
        <f ca="1">Expenses!I20</f>
        <v>31616000</v>
      </c>
      <c r="J30" s="258">
        <f ca="1">Expenses!J20</f>
        <v>33280000</v>
      </c>
      <c r="K30" s="258">
        <f ca="1">Expenses!K20</f>
        <v>34944000</v>
      </c>
      <c r="L30" s="258">
        <f ca="1">Expenses!L20</f>
        <v>38272000</v>
      </c>
      <c r="M30" s="258">
        <f ca="1">Expenses!M20</f>
        <v>38272000</v>
      </c>
      <c r="N30" s="258">
        <f ca="1">Expenses!N20</f>
        <v>38272000</v>
      </c>
      <c r="O30" s="258">
        <f ca="1">Expenses!O20</f>
        <v>38272000</v>
      </c>
      <c r="P30" s="1087">
        <f ca="1">Expenses!P20</f>
        <v>38272000</v>
      </c>
      <c r="Q30" s="258">
        <f>Expenses!Q20</f>
        <v>0</v>
      </c>
      <c r="R30" s="1086">
        <f ca="1">Expenses!R20</f>
        <v>38272000</v>
      </c>
      <c r="S30" s="258">
        <f ca="1">Expenses!S20</f>
        <v>38272000</v>
      </c>
      <c r="T30" s="258">
        <f ca="1">Expenses!T20</f>
        <v>46592000</v>
      </c>
      <c r="U30" s="258">
        <f ca="1">Expenses!U20</f>
        <v>46592000</v>
      </c>
      <c r="V30" s="258">
        <f ca="1">Expenses!V20</f>
        <v>46592000</v>
      </c>
      <c r="W30" s="258">
        <f ca="1">Expenses!W20</f>
        <v>46592000</v>
      </c>
      <c r="X30" s="258">
        <f ca="1">Expenses!X20</f>
        <v>46592000</v>
      </c>
      <c r="Y30" s="258">
        <f ca="1">Expenses!Y20</f>
        <v>46592000</v>
      </c>
      <c r="Z30" s="258">
        <f ca="1">Expenses!Z20</f>
        <v>46592000</v>
      </c>
      <c r="AA30" s="258">
        <f ca="1">Expenses!AA20</f>
        <v>46592000</v>
      </c>
      <c r="AB30" s="258">
        <f ca="1">Expenses!AB20</f>
        <v>46592000</v>
      </c>
      <c r="AC30" s="1087">
        <f ca="1">Expenses!AC20</f>
        <v>46592000</v>
      </c>
      <c r="AD30" s="258">
        <f>Expenses!AD20</f>
        <v>0</v>
      </c>
      <c r="AE30" s="1086">
        <f ca="1">Expenses!AE20</f>
        <v>46592000</v>
      </c>
      <c r="AF30" s="258">
        <f ca="1">Expenses!AF20</f>
        <v>46592000</v>
      </c>
      <c r="AG30" s="258">
        <f ca="1">Expenses!AG20</f>
        <v>46592000</v>
      </c>
      <c r="AH30" s="258">
        <f ca="1">Expenses!AH20</f>
        <v>46592000</v>
      </c>
      <c r="AI30" s="258">
        <f ca="1">Expenses!AI20</f>
        <v>46592000</v>
      </c>
      <c r="AJ30" s="258">
        <f ca="1">Expenses!AJ20</f>
        <v>46592000</v>
      </c>
      <c r="AK30" s="258">
        <f ca="1">Expenses!AK20</f>
        <v>46592000</v>
      </c>
      <c r="AL30" s="258">
        <f ca="1">Expenses!AL20</f>
        <v>46592000</v>
      </c>
      <c r="AM30" s="258">
        <f ca="1">Expenses!AM20</f>
        <v>46592000</v>
      </c>
      <c r="AN30" s="258">
        <f ca="1">Expenses!AN20</f>
        <v>46592000</v>
      </c>
      <c r="AO30" s="258">
        <f ca="1">Expenses!AO20</f>
        <v>46592000</v>
      </c>
      <c r="AP30" s="1087">
        <f ca="1">Expenses!AP20</f>
        <v>46592000</v>
      </c>
      <c r="AQ30" s="1088"/>
      <c r="AR30" s="1089"/>
      <c r="AS30" s="1089"/>
      <c r="AT30" s="1089"/>
      <c r="AU30" s="1089"/>
      <c r="AV30" s="1090"/>
    </row>
    <row r="31" spans="1:48" ht="14.25" x14ac:dyDescent="0.2">
      <c r="A31" s="1091" t="str">
        <f>Expenses!A21</f>
        <v>Marketing</v>
      </c>
      <c r="B31" s="258">
        <f>Expenses!B21</f>
        <v>0</v>
      </c>
      <c r="C31" s="258">
        <f>Expenses!D21</f>
        <v>0</v>
      </c>
      <c r="D31" s="258"/>
      <c r="E31" s="1086">
        <f>Expenses!E21</f>
        <v>61250000</v>
      </c>
      <c r="F31" s="258">
        <f>Expenses!F21</f>
        <v>61250000</v>
      </c>
      <c r="G31" s="258">
        <f>Expenses!G21</f>
        <v>61250000</v>
      </c>
      <c r="H31" s="258">
        <f>Expenses!H21</f>
        <v>58750000</v>
      </c>
      <c r="I31" s="258">
        <f>Expenses!I21</f>
        <v>69750000</v>
      </c>
      <c r="J31" s="258">
        <f>Expenses!J21</f>
        <v>323190000</v>
      </c>
      <c r="K31" s="258">
        <f>Expenses!K21</f>
        <v>311690000</v>
      </c>
      <c r="L31" s="258">
        <f>Expenses!L21</f>
        <v>160750000</v>
      </c>
      <c r="M31" s="258">
        <f>Expenses!M21</f>
        <v>71250000</v>
      </c>
      <c r="N31" s="258">
        <f>Expenses!N21</f>
        <v>245506000</v>
      </c>
      <c r="O31" s="258">
        <f>Expenses!O21</f>
        <v>674018000</v>
      </c>
      <c r="P31" s="1087">
        <f>Expenses!P21</f>
        <v>675018000</v>
      </c>
      <c r="Q31" s="258">
        <f>Expenses!Q21</f>
        <v>0</v>
      </c>
      <c r="R31" s="1086">
        <f>Expenses!R21</f>
        <v>150001600</v>
      </c>
      <c r="S31" s="258">
        <f>Expenses!S21</f>
        <v>382219600</v>
      </c>
      <c r="T31" s="258">
        <f>Expenses!T21</f>
        <v>151001600</v>
      </c>
      <c r="U31" s="258">
        <f>Expenses!U21</f>
        <v>57250000</v>
      </c>
      <c r="V31" s="258">
        <f>Expenses!V21</f>
        <v>285440800</v>
      </c>
      <c r="W31" s="258">
        <f>Expenses!W21</f>
        <v>359606000</v>
      </c>
      <c r="X31" s="258">
        <f>Expenses!X21</f>
        <v>484350800</v>
      </c>
      <c r="Y31" s="258">
        <f>Expenses!Y21</f>
        <v>192022800</v>
      </c>
      <c r="Z31" s="258">
        <f>Expenses!Z21</f>
        <v>192022800</v>
      </c>
      <c r="AA31" s="258">
        <f>Expenses!AA21</f>
        <v>466636300</v>
      </c>
      <c r="AB31" s="258">
        <f>Expenses!AB21</f>
        <v>1458411600</v>
      </c>
      <c r="AC31" s="1087">
        <f>Expenses!AC21</f>
        <v>1112420000</v>
      </c>
      <c r="AD31" s="258">
        <f>Expenses!AD21</f>
        <v>0</v>
      </c>
      <c r="AE31" s="1086">
        <f>Expenses!AE21</f>
        <v>635943900</v>
      </c>
      <c r="AF31" s="258">
        <f>Expenses!AF21</f>
        <v>608644900</v>
      </c>
      <c r="AG31" s="258">
        <f>Expenses!AG21</f>
        <v>227423900</v>
      </c>
      <c r="AH31" s="258">
        <f>Expenses!AH21</f>
        <v>173500000</v>
      </c>
      <c r="AI31" s="258">
        <f>Expenses!AI21</f>
        <v>893299200</v>
      </c>
      <c r="AJ31" s="258">
        <f>Expenses!AJ21</f>
        <v>661120000</v>
      </c>
      <c r="AK31" s="258">
        <f>Expenses!AK21</f>
        <v>533396300</v>
      </c>
      <c r="AL31" s="258">
        <f>Expenses!AL21</f>
        <v>276379800</v>
      </c>
      <c r="AM31" s="258">
        <f>Expenses!AM21</f>
        <v>280776800</v>
      </c>
      <c r="AN31" s="258">
        <f>Expenses!AN21</f>
        <v>735076700</v>
      </c>
      <c r="AO31" s="258">
        <f>Expenses!AO21</f>
        <v>1662375800</v>
      </c>
      <c r="AP31" s="1087">
        <f>Expenses!AP21</f>
        <v>1263392000</v>
      </c>
      <c r="AQ31" s="1088"/>
      <c r="AR31" s="1089"/>
      <c r="AS31" s="1089"/>
      <c r="AT31" s="1089"/>
      <c r="AU31" s="1089"/>
      <c r="AV31" s="1090"/>
    </row>
    <row r="32" spans="1:48" ht="14.25" hidden="1" x14ac:dyDescent="0.2">
      <c r="A32" s="1091" t="str">
        <f>Expenses!A22</f>
        <v>Meals and Entertainment</v>
      </c>
      <c r="B32" s="258">
        <f>Expenses!B22</f>
        <v>0</v>
      </c>
      <c r="C32" s="258">
        <f>Expenses!D22</f>
        <v>0</v>
      </c>
      <c r="D32" s="258"/>
      <c r="E32" s="1086">
        <f>Expenses!E22</f>
        <v>0</v>
      </c>
      <c r="F32" s="258">
        <f>Expenses!F22</f>
        <v>0</v>
      </c>
      <c r="G32" s="258">
        <f>Expenses!G22</f>
        <v>0</v>
      </c>
      <c r="H32" s="258">
        <f>Expenses!H22</f>
        <v>0</v>
      </c>
      <c r="I32" s="258">
        <f>Expenses!I22</f>
        <v>0</v>
      </c>
      <c r="J32" s="258">
        <f>Expenses!J22</f>
        <v>0</v>
      </c>
      <c r="K32" s="258">
        <f>Expenses!K22</f>
        <v>0</v>
      </c>
      <c r="L32" s="258">
        <f>Expenses!L22</f>
        <v>0</v>
      </c>
      <c r="M32" s="258">
        <f>Expenses!M22</f>
        <v>0</v>
      </c>
      <c r="N32" s="258">
        <f>Expenses!N22</f>
        <v>0</v>
      </c>
      <c r="O32" s="258">
        <f>Expenses!O22</f>
        <v>0</v>
      </c>
      <c r="P32" s="1087">
        <f>Expenses!P22</f>
        <v>0</v>
      </c>
      <c r="Q32" s="258">
        <f>Expenses!Q22</f>
        <v>0</v>
      </c>
      <c r="R32" s="1086">
        <f>Expenses!R22</f>
        <v>0</v>
      </c>
      <c r="S32" s="258">
        <f>Expenses!S22</f>
        <v>0</v>
      </c>
      <c r="T32" s="258">
        <f>Expenses!T22</f>
        <v>0</v>
      </c>
      <c r="U32" s="258">
        <f>Expenses!U22</f>
        <v>0</v>
      </c>
      <c r="V32" s="258">
        <f>Expenses!V22</f>
        <v>0</v>
      </c>
      <c r="W32" s="258">
        <f>Expenses!W22</f>
        <v>0</v>
      </c>
      <c r="X32" s="258">
        <f>Expenses!X22</f>
        <v>0</v>
      </c>
      <c r="Y32" s="258">
        <f>Expenses!Y22</f>
        <v>0</v>
      </c>
      <c r="Z32" s="258">
        <f>Expenses!Z22</f>
        <v>0</v>
      </c>
      <c r="AA32" s="258">
        <f>Expenses!AA22</f>
        <v>0</v>
      </c>
      <c r="AB32" s="258">
        <f>Expenses!AB22</f>
        <v>0</v>
      </c>
      <c r="AC32" s="1087">
        <f>Expenses!AC22</f>
        <v>0</v>
      </c>
      <c r="AD32" s="258">
        <f>Expenses!AD22</f>
        <v>0</v>
      </c>
      <c r="AE32" s="1086">
        <f>Expenses!AE22</f>
        <v>0</v>
      </c>
      <c r="AF32" s="258">
        <f>Expenses!AF22</f>
        <v>0</v>
      </c>
      <c r="AG32" s="258">
        <f>Expenses!AG22</f>
        <v>0</v>
      </c>
      <c r="AH32" s="258">
        <f>Expenses!AH22</f>
        <v>0</v>
      </c>
      <c r="AI32" s="258">
        <f>Expenses!AI22</f>
        <v>0</v>
      </c>
      <c r="AJ32" s="258">
        <f>Expenses!AJ22</f>
        <v>0</v>
      </c>
      <c r="AK32" s="258">
        <f>Expenses!AK22</f>
        <v>0</v>
      </c>
      <c r="AL32" s="258">
        <f>Expenses!AL22</f>
        <v>0</v>
      </c>
      <c r="AM32" s="258">
        <f>Expenses!AM22</f>
        <v>0</v>
      </c>
      <c r="AN32" s="258">
        <f>Expenses!AN22</f>
        <v>0</v>
      </c>
      <c r="AO32" s="258">
        <f>Expenses!AO22</f>
        <v>0</v>
      </c>
      <c r="AP32" s="1087">
        <f>Expenses!AP22</f>
        <v>0</v>
      </c>
      <c r="AQ32" s="1088"/>
      <c r="AR32" s="1089"/>
      <c r="AS32" s="1089"/>
      <c r="AT32" s="1089"/>
      <c r="AU32" s="1089"/>
      <c r="AV32" s="1090"/>
    </row>
    <row r="33" spans="1:48" ht="14.25" hidden="1" x14ac:dyDescent="0.2">
      <c r="A33" s="1091" t="str">
        <f>Expenses!A23</f>
        <v>Merchant Account Fees</v>
      </c>
      <c r="B33" s="258">
        <f>Expenses!B23</f>
        <v>0</v>
      </c>
      <c r="C33" s="258">
        <f>Expenses!D23</f>
        <v>0</v>
      </c>
      <c r="D33" s="258"/>
      <c r="E33" s="1086">
        <f>Expenses!E23</f>
        <v>0</v>
      </c>
      <c r="F33" s="258">
        <f>Expenses!F23</f>
        <v>0</v>
      </c>
      <c r="G33" s="258">
        <f>Expenses!G23</f>
        <v>0</v>
      </c>
      <c r="H33" s="258">
        <f>Expenses!H23</f>
        <v>0</v>
      </c>
      <c r="I33" s="258">
        <f>Expenses!I23</f>
        <v>0</v>
      </c>
      <c r="J33" s="258">
        <f>Expenses!J23</f>
        <v>0</v>
      </c>
      <c r="K33" s="258">
        <f>Expenses!K23</f>
        <v>0</v>
      </c>
      <c r="L33" s="258">
        <f>Expenses!L23</f>
        <v>0</v>
      </c>
      <c r="M33" s="258">
        <f>Expenses!M23</f>
        <v>0</v>
      </c>
      <c r="N33" s="258">
        <f>Expenses!N23</f>
        <v>0</v>
      </c>
      <c r="O33" s="258">
        <f>Expenses!O23</f>
        <v>0</v>
      </c>
      <c r="P33" s="1087">
        <f>Expenses!P23</f>
        <v>0</v>
      </c>
      <c r="Q33" s="258">
        <f>Expenses!Q23</f>
        <v>0</v>
      </c>
      <c r="R33" s="1086">
        <f>Expenses!R23</f>
        <v>0</v>
      </c>
      <c r="S33" s="258">
        <f>Expenses!S23</f>
        <v>0</v>
      </c>
      <c r="T33" s="258">
        <f>Expenses!T23</f>
        <v>0</v>
      </c>
      <c r="U33" s="258">
        <f>Expenses!U23</f>
        <v>0</v>
      </c>
      <c r="V33" s="258">
        <f>Expenses!V23</f>
        <v>0</v>
      </c>
      <c r="W33" s="258">
        <f>Expenses!W23</f>
        <v>0</v>
      </c>
      <c r="X33" s="258">
        <f>Expenses!X23</f>
        <v>0</v>
      </c>
      <c r="Y33" s="258">
        <f>Expenses!Y23</f>
        <v>0</v>
      </c>
      <c r="Z33" s="258">
        <f>Expenses!Z23</f>
        <v>0</v>
      </c>
      <c r="AA33" s="258">
        <f>Expenses!AA23</f>
        <v>0</v>
      </c>
      <c r="AB33" s="258">
        <f>Expenses!AB23</f>
        <v>0</v>
      </c>
      <c r="AC33" s="1087">
        <f>Expenses!AC23</f>
        <v>0</v>
      </c>
      <c r="AD33" s="258">
        <f>Expenses!AD23</f>
        <v>0</v>
      </c>
      <c r="AE33" s="1086">
        <f>Expenses!AE23</f>
        <v>0</v>
      </c>
      <c r="AF33" s="258">
        <f>Expenses!AF23</f>
        <v>0</v>
      </c>
      <c r="AG33" s="258">
        <f>Expenses!AG23</f>
        <v>0</v>
      </c>
      <c r="AH33" s="258">
        <f>Expenses!AH23</f>
        <v>0</v>
      </c>
      <c r="AI33" s="258">
        <f>Expenses!AI23</f>
        <v>0</v>
      </c>
      <c r="AJ33" s="258">
        <f>Expenses!AJ23</f>
        <v>0</v>
      </c>
      <c r="AK33" s="258">
        <f>Expenses!AK23</f>
        <v>0</v>
      </c>
      <c r="AL33" s="258">
        <f>Expenses!AL23</f>
        <v>0</v>
      </c>
      <c r="AM33" s="258">
        <f>Expenses!AM23</f>
        <v>0</v>
      </c>
      <c r="AN33" s="258">
        <f>Expenses!AN23</f>
        <v>0</v>
      </c>
      <c r="AO33" s="258">
        <f>Expenses!AO23</f>
        <v>0</v>
      </c>
      <c r="AP33" s="1087">
        <f>Expenses!AP23</f>
        <v>0</v>
      </c>
      <c r="AQ33" s="1088"/>
      <c r="AR33" s="1089"/>
      <c r="AS33" s="1089"/>
      <c r="AT33" s="1089"/>
      <c r="AU33" s="1089"/>
      <c r="AV33" s="1090"/>
    </row>
    <row r="34" spans="1:48" ht="14.25" hidden="1" x14ac:dyDescent="0.2">
      <c r="A34" s="1091" t="str">
        <f>Expenses!A24</f>
        <v>Miscellaneous Expense</v>
      </c>
      <c r="B34" s="258">
        <f>Expenses!B24</f>
        <v>0</v>
      </c>
      <c r="C34" s="258">
        <f>Expenses!D24</f>
        <v>0</v>
      </c>
      <c r="D34" s="258"/>
      <c r="E34" s="1086">
        <f>Expenses!E24</f>
        <v>0</v>
      </c>
      <c r="F34" s="258">
        <f>Expenses!F24</f>
        <v>0</v>
      </c>
      <c r="G34" s="258">
        <f>Expenses!G24</f>
        <v>0</v>
      </c>
      <c r="H34" s="258">
        <f>Expenses!H24</f>
        <v>0</v>
      </c>
      <c r="I34" s="258">
        <f>Expenses!I24</f>
        <v>0</v>
      </c>
      <c r="J34" s="258">
        <f>Expenses!J24</f>
        <v>0</v>
      </c>
      <c r="K34" s="258">
        <f>Expenses!K24</f>
        <v>0</v>
      </c>
      <c r="L34" s="258">
        <f>Expenses!L24</f>
        <v>0</v>
      </c>
      <c r="M34" s="258">
        <f>Expenses!M24</f>
        <v>0</v>
      </c>
      <c r="N34" s="258">
        <f>Expenses!N24</f>
        <v>0</v>
      </c>
      <c r="O34" s="258">
        <f>Expenses!O24</f>
        <v>0</v>
      </c>
      <c r="P34" s="1087">
        <f>Expenses!P24</f>
        <v>0</v>
      </c>
      <c r="Q34" s="258">
        <f>Expenses!Q24</f>
        <v>0</v>
      </c>
      <c r="R34" s="1086">
        <f>Expenses!R24</f>
        <v>0</v>
      </c>
      <c r="S34" s="258">
        <f>Expenses!S24</f>
        <v>0</v>
      </c>
      <c r="T34" s="258">
        <f>Expenses!T24</f>
        <v>0</v>
      </c>
      <c r="U34" s="258">
        <f>Expenses!U24</f>
        <v>0</v>
      </c>
      <c r="V34" s="258">
        <f>Expenses!V24</f>
        <v>0</v>
      </c>
      <c r="W34" s="258">
        <f>Expenses!W24</f>
        <v>0</v>
      </c>
      <c r="X34" s="258">
        <f>Expenses!X24</f>
        <v>0</v>
      </c>
      <c r="Y34" s="258">
        <f>Expenses!Y24</f>
        <v>0</v>
      </c>
      <c r="Z34" s="258">
        <f>Expenses!Z24</f>
        <v>0</v>
      </c>
      <c r="AA34" s="258">
        <f>Expenses!AA24</f>
        <v>0</v>
      </c>
      <c r="AB34" s="258">
        <f>Expenses!AB24</f>
        <v>0</v>
      </c>
      <c r="AC34" s="1087">
        <f>Expenses!AC24</f>
        <v>0</v>
      </c>
      <c r="AD34" s="258">
        <f>Expenses!AD24</f>
        <v>0</v>
      </c>
      <c r="AE34" s="1086">
        <f>Expenses!AE24</f>
        <v>0</v>
      </c>
      <c r="AF34" s="258">
        <f>Expenses!AF24</f>
        <v>0</v>
      </c>
      <c r="AG34" s="258">
        <f>Expenses!AG24</f>
        <v>0</v>
      </c>
      <c r="AH34" s="258">
        <f>Expenses!AH24</f>
        <v>0</v>
      </c>
      <c r="AI34" s="258">
        <f>Expenses!AI24</f>
        <v>0</v>
      </c>
      <c r="AJ34" s="258">
        <f>Expenses!AJ24</f>
        <v>0</v>
      </c>
      <c r="AK34" s="258">
        <f>Expenses!AK24</f>
        <v>0</v>
      </c>
      <c r="AL34" s="258">
        <f>Expenses!AL24</f>
        <v>0</v>
      </c>
      <c r="AM34" s="258">
        <f>Expenses!AM24</f>
        <v>0</v>
      </c>
      <c r="AN34" s="258">
        <f>Expenses!AN24</f>
        <v>0</v>
      </c>
      <c r="AO34" s="258">
        <f>Expenses!AO24</f>
        <v>0</v>
      </c>
      <c r="AP34" s="1087">
        <f>Expenses!AP24</f>
        <v>0</v>
      </c>
      <c r="AQ34" s="1088"/>
      <c r="AR34" s="1089"/>
      <c r="AS34" s="1089"/>
      <c r="AT34" s="1089"/>
      <c r="AU34" s="1089"/>
      <c r="AV34" s="1090"/>
    </row>
    <row r="35" spans="1:48" ht="14.25" hidden="1" x14ac:dyDescent="0.2">
      <c r="A35" s="1091" t="str">
        <f>Expenses!A25</f>
        <v>Occupancy</v>
      </c>
      <c r="B35" s="258">
        <f>Expenses!B25</f>
        <v>0</v>
      </c>
      <c r="C35" s="258">
        <f>Expenses!D25</f>
        <v>0</v>
      </c>
      <c r="D35" s="258"/>
      <c r="E35" s="1086">
        <f>Expenses!E25</f>
        <v>0</v>
      </c>
      <c r="F35" s="258">
        <f>Expenses!F25</f>
        <v>0</v>
      </c>
      <c r="G35" s="258">
        <f>Expenses!G25</f>
        <v>0</v>
      </c>
      <c r="H35" s="258">
        <f>Expenses!H25</f>
        <v>0</v>
      </c>
      <c r="I35" s="258">
        <f>Expenses!I25</f>
        <v>0</v>
      </c>
      <c r="J35" s="258">
        <f>Expenses!J25</f>
        <v>0</v>
      </c>
      <c r="K35" s="258">
        <f>Expenses!K25</f>
        <v>0</v>
      </c>
      <c r="L35" s="258">
        <f>Expenses!L25</f>
        <v>0</v>
      </c>
      <c r="M35" s="258">
        <f>Expenses!M25</f>
        <v>0</v>
      </c>
      <c r="N35" s="258">
        <f>Expenses!N25</f>
        <v>0</v>
      </c>
      <c r="O35" s="258">
        <f>Expenses!O25</f>
        <v>0</v>
      </c>
      <c r="P35" s="1087">
        <f>Expenses!P25</f>
        <v>0</v>
      </c>
      <c r="Q35" s="258">
        <f>Expenses!Q25</f>
        <v>0</v>
      </c>
      <c r="R35" s="1086">
        <f>Expenses!R25</f>
        <v>0</v>
      </c>
      <c r="S35" s="258">
        <f>Expenses!S25</f>
        <v>0</v>
      </c>
      <c r="T35" s="258">
        <f>Expenses!T25</f>
        <v>0</v>
      </c>
      <c r="U35" s="258">
        <f>Expenses!U25</f>
        <v>0</v>
      </c>
      <c r="V35" s="258">
        <f>Expenses!V25</f>
        <v>0</v>
      </c>
      <c r="W35" s="258">
        <f>Expenses!W25</f>
        <v>0</v>
      </c>
      <c r="X35" s="258">
        <f>Expenses!X25</f>
        <v>0</v>
      </c>
      <c r="Y35" s="258">
        <f>Expenses!Y25</f>
        <v>0</v>
      </c>
      <c r="Z35" s="258">
        <f>Expenses!Z25</f>
        <v>0</v>
      </c>
      <c r="AA35" s="258">
        <f>Expenses!AA25</f>
        <v>0</v>
      </c>
      <c r="AB35" s="258">
        <f>Expenses!AB25</f>
        <v>0</v>
      </c>
      <c r="AC35" s="1087">
        <f>Expenses!AC25</f>
        <v>0</v>
      </c>
      <c r="AD35" s="258">
        <f>Expenses!AD25</f>
        <v>0</v>
      </c>
      <c r="AE35" s="1086">
        <f>Expenses!AE25</f>
        <v>0</v>
      </c>
      <c r="AF35" s="258">
        <f>Expenses!AF25</f>
        <v>0</v>
      </c>
      <c r="AG35" s="258">
        <f>Expenses!AG25</f>
        <v>0</v>
      </c>
      <c r="AH35" s="258">
        <f>Expenses!AH25</f>
        <v>0</v>
      </c>
      <c r="AI35" s="258">
        <f>Expenses!AI25</f>
        <v>0</v>
      </c>
      <c r="AJ35" s="258">
        <f>Expenses!AJ25</f>
        <v>0</v>
      </c>
      <c r="AK35" s="258">
        <f>Expenses!AK25</f>
        <v>0</v>
      </c>
      <c r="AL35" s="258">
        <f>Expenses!AL25</f>
        <v>0</v>
      </c>
      <c r="AM35" s="258">
        <f>Expenses!AM25</f>
        <v>0</v>
      </c>
      <c r="AN35" s="258">
        <f>Expenses!AN25</f>
        <v>0</v>
      </c>
      <c r="AO35" s="258">
        <f>Expenses!AO25</f>
        <v>0</v>
      </c>
      <c r="AP35" s="1087">
        <f>Expenses!AP25</f>
        <v>0</v>
      </c>
      <c r="AQ35" s="1088"/>
      <c r="AR35" s="1089"/>
      <c r="AS35" s="1089"/>
      <c r="AT35" s="1089"/>
      <c r="AU35" s="1089"/>
      <c r="AV35" s="1090"/>
    </row>
    <row r="36" spans="1:48" ht="14.25" x14ac:dyDescent="0.2">
      <c r="A36" s="1091" t="str">
        <f>Expenses!A26</f>
        <v>Office Supplies</v>
      </c>
      <c r="B36" s="258">
        <f>Expenses!B26</f>
        <v>0</v>
      </c>
      <c r="C36" s="258">
        <f>Expenses!D26</f>
        <v>0</v>
      </c>
      <c r="D36" s="258"/>
      <c r="E36" s="1086">
        <f>Expenses!E26</f>
        <v>0</v>
      </c>
      <c r="F36" s="258">
        <f>Expenses!F26</f>
        <v>0</v>
      </c>
      <c r="G36" s="258">
        <f>Expenses!G26</f>
        <v>3500000</v>
      </c>
      <c r="H36" s="258">
        <f>Expenses!H26</f>
        <v>3500000</v>
      </c>
      <c r="I36" s="258">
        <f>Expenses!I26</f>
        <v>3500000</v>
      </c>
      <c r="J36" s="258">
        <f>Expenses!J26</f>
        <v>5000000</v>
      </c>
      <c r="K36" s="258">
        <f>Expenses!K26</f>
        <v>5000000</v>
      </c>
      <c r="L36" s="258">
        <f>Expenses!L26</f>
        <v>5000000</v>
      </c>
      <c r="M36" s="258">
        <f>Expenses!M26</f>
        <v>5000000</v>
      </c>
      <c r="N36" s="258">
        <f>Expenses!N26</f>
        <v>5000000</v>
      </c>
      <c r="O36" s="258">
        <f>Expenses!O26</f>
        <v>5000000</v>
      </c>
      <c r="P36" s="1087">
        <f>Expenses!P26</f>
        <v>5000000</v>
      </c>
      <c r="Q36" s="258">
        <f>Expenses!Q26</f>
        <v>0</v>
      </c>
      <c r="R36" s="1086">
        <f>Expenses!R26</f>
        <v>5000000</v>
      </c>
      <c r="S36" s="258">
        <f>Expenses!S26</f>
        <v>5000000</v>
      </c>
      <c r="T36" s="258">
        <f>Expenses!T26</f>
        <v>5000000</v>
      </c>
      <c r="U36" s="258">
        <f>Expenses!U26</f>
        <v>5000000</v>
      </c>
      <c r="V36" s="258">
        <f>Expenses!V26</f>
        <v>5000000</v>
      </c>
      <c r="W36" s="258">
        <f>Expenses!W26</f>
        <v>5000000</v>
      </c>
      <c r="X36" s="258">
        <f>Expenses!X26</f>
        <v>5000000</v>
      </c>
      <c r="Y36" s="258">
        <f>Expenses!Y26</f>
        <v>5000000</v>
      </c>
      <c r="Z36" s="258">
        <f>Expenses!Z26</f>
        <v>5000000</v>
      </c>
      <c r="AA36" s="258">
        <f>Expenses!AA26</f>
        <v>5500000</v>
      </c>
      <c r="AB36" s="258">
        <f>Expenses!AB26</f>
        <v>5500000</v>
      </c>
      <c r="AC36" s="1087">
        <f>Expenses!AC26</f>
        <v>5500000</v>
      </c>
      <c r="AD36" s="258">
        <f>Expenses!AD26</f>
        <v>0</v>
      </c>
      <c r="AE36" s="1086">
        <f>Expenses!AE26</f>
        <v>5500000</v>
      </c>
      <c r="AF36" s="258">
        <f>Expenses!AF26</f>
        <v>5500000</v>
      </c>
      <c r="AG36" s="258">
        <f>Expenses!AG26</f>
        <v>5500000</v>
      </c>
      <c r="AH36" s="258">
        <f>Expenses!AH26</f>
        <v>5500000</v>
      </c>
      <c r="AI36" s="258">
        <f>Expenses!AI26</f>
        <v>5500000</v>
      </c>
      <c r="AJ36" s="258">
        <f>Expenses!AJ26</f>
        <v>5500000</v>
      </c>
      <c r="AK36" s="258">
        <f>Expenses!AK26</f>
        <v>5500000</v>
      </c>
      <c r="AL36" s="258">
        <f>Expenses!AL26</f>
        <v>5500000</v>
      </c>
      <c r="AM36" s="258">
        <f>Expenses!AM26</f>
        <v>5500000</v>
      </c>
      <c r="AN36" s="258">
        <f>Expenses!AN26</f>
        <v>5500000</v>
      </c>
      <c r="AO36" s="258">
        <f>Expenses!AO26</f>
        <v>5500000</v>
      </c>
      <c r="AP36" s="1087">
        <f>Expenses!AP26</f>
        <v>5500000</v>
      </c>
      <c r="AQ36" s="1088"/>
      <c r="AR36" s="1089"/>
      <c r="AS36" s="1089"/>
      <c r="AT36" s="1089"/>
      <c r="AU36" s="1089"/>
      <c r="AV36" s="1090"/>
    </row>
    <row r="37" spans="1:48" ht="14.25" hidden="1" x14ac:dyDescent="0.2">
      <c r="A37" s="1091" t="str">
        <f>Expenses!A27</f>
        <v>Postage and Delivery</v>
      </c>
      <c r="B37" s="258">
        <f>Expenses!B27</f>
        <v>0</v>
      </c>
      <c r="C37" s="258">
        <f>Expenses!D27</f>
        <v>0</v>
      </c>
      <c r="D37" s="258"/>
      <c r="E37" s="1086">
        <f>Expenses!E27</f>
        <v>0</v>
      </c>
      <c r="F37" s="258">
        <f>Expenses!F27</f>
        <v>0</v>
      </c>
      <c r="G37" s="258">
        <f>Expenses!G27</f>
        <v>0</v>
      </c>
      <c r="H37" s="258">
        <f>Expenses!H27</f>
        <v>0</v>
      </c>
      <c r="I37" s="258">
        <f>Expenses!I27</f>
        <v>0</v>
      </c>
      <c r="J37" s="258">
        <f>Expenses!J27</f>
        <v>0</v>
      </c>
      <c r="K37" s="258">
        <f>Expenses!K27</f>
        <v>0</v>
      </c>
      <c r="L37" s="258">
        <f>Expenses!L27</f>
        <v>0</v>
      </c>
      <c r="M37" s="258">
        <f>Expenses!M27</f>
        <v>0</v>
      </c>
      <c r="N37" s="258">
        <f>Expenses!N27</f>
        <v>0</v>
      </c>
      <c r="O37" s="258">
        <f>Expenses!O27</f>
        <v>0</v>
      </c>
      <c r="P37" s="1087">
        <f>Expenses!P27</f>
        <v>0</v>
      </c>
      <c r="Q37" s="258">
        <f>Expenses!Q27</f>
        <v>0</v>
      </c>
      <c r="R37" s="1086">
        <f>Expenses!R27</f>
        <v>0</v>
      </c>
      <c r="S37" s="258">
        <f>Expenses!S27</f>
        <v>0</v>
      </c>
      <c r="T37" s="258">
        <f>Expenses!T27</f>
        <v>0</v>
      </c>
      <c r="U37" s="258">
        <f>Expenses!U27</f>
        <v>0</v>
      </c>
      <c r="V37" s="258">
        <f>Expenses!V27</f>
        <v>0</v>
      </c>
      <c r="W37" s="258">
        <f>Expenses!W27</f>
        <v>0</v>
      </c>
      <c r="X37" s="258">
        <f>Expenses!X27</f>
        <v>0</v>
      </c>
      <c r="Y37" s="258">
        <f>Expenses!Y27</f>
        <v>0</v>
      </c>
      <c r="Z37" s="258">
        <f>Expenses!Z27</f>
        <v>0</v>
      </c>
      <c r="AA37" s="258">
        <f>Expenses!AA27</f>
        <v>0</v>
      </c>
      <c r="AB37" s="258">
        <f>Expenses!AB27</f>
        <v>0</v>
      </c>
      <c r="AC37" s="1087">
        <f>Expenses!AC27</f>
        <v>0</v>
      </c>
      <c r="AD37" s="258">
        <f>Expenses!AD27</f>
        <v>0</v>
      </c>
      <c r="AE37" s="1086">
        <f>Expenses!AE27</f>
        <v>0</v>
      </c>
      <c r="AF37" s="258">
        <f>Expenses!AF27</f>
        <v>0</v>
      </c>
      <c r="AG37" s="258">
        <f>Expenses!AG27</f>
        <v>0</v>
      </c>
      <c r="AH37" s="258">
        <f>Expenses!AH27</f>
        <v>0</v>
      </c>
      <c r="AI37" s="258">
        <f>Expenses!AI27</f>
        <v>0</v>
      </c>
      <c r="AJ37" s="258">
        <f>Expenses!AJ27</f>
        <v>0</v>
      </c>
      <c r="AK37" s="258">
        <f>Expenses!AK27</f>
        <v>0</v>
      </c>
      <c r="AL37" s="258">
        <f>Expenses!AL27</f>
        <v>0</v>
      </c>
      <c r="AM37" s="258">
        <f>Expenses!AM27</f>
        <v>0</v>
      </c>
      <c r="AN37" s="258">
        <f>Expenses!AN27</f>
        <v>0</v>
      </c>
      <c r="AO37" s="258">
        <f>Expenses!AO27</f>
        <v>0</v>
      </c>
      <c r="AP37" s="1087">
        <f>Expenses!AP27</f>
        <v>0</v>
      </c>
      <c r="AQ37" s="1088"/>
      <c r="AR37" s="1089"/>
      <c r="AS37" s="1089"/>
      <c r="AT37" s="1089"/>
      <c r="AU37" s="1089"/>
      <c r="AV37" s="1090"/>
    </row>
    <row r="38" spans="1:48" ht="14.25" hidden="1" x14ac:dyDescent="0.2">
      <c r="A38" s="1091" t="str">
        <f>Expenses!A28</f>
        <v>Printing and Reproduction</v>
      </c>
      <c r="B38" s="258">
        <f>Expenses!B28</f>
        <v>0</v>
      </c>
      <c r="C38" s="258">
        <f>Expenses!D28</f>
        <v>0</v>
      </c>
      <c r="D38" s="258"/>
      <c r="E38" s="1086">
        <f>Expenses!E28</f>
        <v>0</v>
      </c>
      <c r="F38" s="258">
        <f>Expenses!F28</f>
        <v>0</v>
      </c>
      <c r="G38" s="258">
        <f>Expenses!G28</f>
        <v>0</v>
      </c>
      <c r="H38" s="258">
        <f>Expenses!H28</f>
        <v>0</v>
      </c>
      <c r="I38" s="258">
        <f>Expenses!I28</f>
        <v>0</v>
      </c>
      <c r="J38" s="258">
        <f>Expenses!J28</f>
        <v>0</v>
      </c>
      <c r="K38" s="258">
        <f>Expenses!K28</f>
        <v>0</v>
      </c>
      <c r="L38" s="258">
        <f>Expenses!L28</f>
        <v>0</v>
      </c>
      <c r="M38" s="258">
        <f>Expenses!M28</f>
        <v>0</v>
      </c>
      <c r="N38" s="258">
        <f>Expenses!N28</f>
        <v>0</v>
      </c>
      <c r="O38" s="258">
        <f>Expenses!O28</f>
        <v>0</v>
      </c>
      <c r="P38" s="1087">
        <f>Expenses!P28</f>
        <v>0</v>
      </c>
      <c r="Q38" s="258">
        <f>Expenses!Q28</f>
        <v>0</v>
      </c>
      <c r="R38" s="1086">
        <f>Expenses!R28</f>
        <v>0</v>
      </c>
      <c r="S38" s="258">
        <f>Expenses!S28</f>
        <v>0</v>
      </c>
      <c r="T38" s="258">
        <f>Expenses!T28</f>
        <v>0</v>
      </c>
      <c r="U38" s="258">
        <f>Expenses!U28</f>
        <v>0</v>
      </c>
      <c r="V38" s="258">
        <f>Expenses!V28</f>
        <v>0</v>
      </c>
      <c r="W38" s="258">
        <f>Expenses!W28</f>
        <v>0</v>
      </c>
      <c r="X38" s="258">
        <f>Expenses!X28</f>
        <v>0</v>
      </c>
      <c r="Y38" s="258">
        <f>Expenses!Y28</f>
        <v>0</v>
      </c>
      <c r="Z38" s="258">
        <f>Expenses!Z28</f>
        <v>0</v>
      </c>
      <c r="AA38" s="258">
        <f>Expenses!AA28</f>
        <v>0</v>
      </c>
      <c r="AB38" s="258">
        <f>Expenses!AB28</f>
        <v>0</v>
      </c>
      <c r="AC38" s="1087">
        <f>Expenses!AC28</f>
        <v>0</v>
      </c>
      <c r="AD38" s="258">
        <f>Expenses!AD28</f>
        <v>0</v>
      </c>
      <c r="AE38" s="1086">
        <f>Expenses!AE28</f>
        <v>0</v>
      </c>
      <c r="AF38" s="258">
        <f>Expenses!AF28</f>
        <v>0</v>
      </c>
      <c r="AG38" s="258">
        <f>Expenses!AG28</f>
        <v>0</v>
      </c>
      <c r="AH38" s="258">
        <f>Expenses!AH28</f>
        <v>0</v>
      </c>
      <c r="AI38" s="258">
        <f>Expenses!AI28</f>
        <v>0</v>
      </c>
      <c r="AJ38" s="258">
        <f>Expenses!AJ28</f>
        <v>0</v>
      </c>
      <c r="AK38" s="258">
        <f>Expenses!AK28</f>
        <v>0</v>
      </c>
      <c r="AL38" s="258">
        <f>Expenses!AL28</f>
        <v>0</v>
      </c>
      <c r="AM38" s="258">
        <f>Expenses!AM28</f>
        <v>0</v>
      </c>
      <c r="AN38" s="258">
        <f>Expenses!AN28</f>
        <v>0</v>
      </c>
      <c r="AO38" s="258">
        <f>Expenses!AO28</f>
        <v>0</v>
      </c>
      <c r="AP38" s="1087">
        <f>Expenses!AP28</f>
        <v>0</v>
      </c>
      <c r="AQ38" s="1088"/>
      <c r="AR38" s="1089"/>
      <c r="AS38" s="1089"/>
      <c r="AT38" s="1089"/>
      <c r="AU38" s="1089"/>
      <c r="AV38" s="1090"/>
    </row>
    <row r="39" spans="1:48" ht="14.25" hidden="1" x14ac:dyDescent="0.2">
      <c r="A39" s="1091" t="str">
        <f>Expenses!A29</f>
        <v>Professional Services - Legal, Accounting</v>
      </c>
      <c r="B39" s="258">
        <f>Expenses!B29</f>
        <v>0</v>
      </c>
      <c r="C39" s="258">
        <f>Expenses!D29</f>
        <v>0</v>
      </c>
      <c r="D39" s="258"/>
      <c r="E39" s="1086">
        <f>Expenses!E29</f>
        <v>0</v>
      </c>
      <c r="F39" s="258">
        <f>Expenses!F29</f>
        <v>0</v>
      </c>
      <c r="G39" s="258">
        <f>Expenses!G29</f>
        <v>0</v>
      </c>
      <c r="H39" s="258">
        <f>Expenses!H29</f>
        <v>0</v>
      </c>
      <c r="I39" s="258">
        <f>Expenses!I29</f>
        <v>0</v>
      </c>
      <c r="J39" s="258">
        <f>Expenses!J29</f>
        <v>0</v>
      </c>
      <c r="K39" s="258">
        <f>Expenses!K29</f>
        <v>0</v>
      </c>
      <c r="L39" s="258">
        <f>Expenses!L29</f>
        <v>0</v>
      </c>
      <c r="M39" s="258">
        <f>Expenses!M29</f>
        <v>0</v>
      </c>
      <c r="N39" s="258">
        <f>Expenses!N29</f>
        <v>0</v>
      </c>
      <c r="O39" s="258">
        <f>Expenses!O29</f>
        <v>0</v>
      </c>
      <c r="P39" s="1087">
        <f>Expenses!P29</f>
        <v>0</v>
      </c>
      <c r="Q39" s="258">
        <f>Expenses!Q29</f>
        <v>0</v>
      </c>
      <c r="R39" s="1086">
        <f>Expenses!R29</f>
        <v>0</v>
      </c>
      <c r="S39" s="258">
        <f>Expenses!S29</f>
        <v>0</v>
      </c>
      <c r="T39" s="258">
        <f>Expenses!T29</f>
        <v>0</v>
      </c>
      <c r="U39" s="258">
        <f>Expenses!U29</f>
        <v>0</v>
      </c>
      <c r="V39" s="258">
        <f>Expenses!V29</f>
        <v>0</v>
      </c>
      <c r="W39" s="258">
        <f>Expenses!W29</f>
        <v>0</v>
      </c>
      <c r="X39" s="258">
        <f>Expenses!X29</f>
        <v>0</v>
      </c>
      <c r="Y39" s="258">
        <f>Expenses!Y29</f>
        <v>0</v>
      </c>
      <c r="Z39" s="258">
        <f>Expenses!Z29</f>
        <v>0</v>
      </c>
      <c r="AA39" s="258">
        <f>Expenses!AA29</f>
        <v>0</v>
      </c>
      <c r="AB39" s="258">
        <f>Expenses!AB29</f>
        <v>0</v>
      </c>
      <c r="AC39" s="1087">
        <f>Expenses!AC29</f>
        <v>0</v>
      </c>
      <c r="AD39" s="258">
        <f>Expenses!AD29</f>
        <v>0</v>
      </c>
      <c r="AE39" s="1086">
        <f>Expenses!AE29</f>
        <v>0</v>
      </c>
      <c r="AF39" s="258">
        <f>Expenses!AF29</f>
        <v>0</v>
      </c>
      <c r="AG39" s="258">
        <f>Expenses!AG29</f>
        <v>0</v>
      </c>
      <c r="AH39" s="258">
        <f>Expenses!AH29</f>
        <v>0</v>
      </c>
      <c r="AI39" s="258">
        <f>Expenses!AI29</f>
        <v>0</v>
      </c>
      <c r="AJ39" s="258">
        <f>Expenses!AJ29</f>
        <v>0</v>
      </c>
      <c r="AK39" s="258">
        <f>Expenses!AK29</f>
        <v>0</v>
      </c>
      <c r="AL39" s="258">
        <f>Expenses!AL29</f>
        <v>0</v>
      </c>
      <c r="AM39" s="258">
        <f>Expenses!AM29</f>
        <v>0</v>
      </c>
      <c r="AN39" s="258">
        <f>Expenses!AN29</f>
        <v>0</v>
      </c>
      <c r="AO39" s="258">
        <f>Expenses!AO29</f>
        <v>0</v>
      </c>
      <c r="AP39" s="1087">
        <f>Expenses!AP29</f>
        <v>0</v>
      </c>
      <c r="AQ39" s="1088"/>
      <c r="AR39" s="1089"/>
      <c r="AS39" s="1089"/>
      <c r="AT39" s="1089"/>
      <c r="AU39" s="1089"/>
      <c r="AV39" s="1090"/>
    </row>
    <row r="40" spans="1:48" ht="14.25" x14ac:dyDescent="0.2">
      <c r="A40" s="1091" t="str">
        <f>Expenses!A30</f>
        <v>Rental Payments</v>
      </c>
      <c r="B40" s="258">
        <f>Expenses!B30</f>
        <v>0</v>
      </c>
      <c r="C40" s="258">
        <f>Expenses!D30</f>
        <v>0</v>
      </c>
      <c r="D40" s="258"/>
      <c r="E40" s="1086">
        <f>Expenses!E30</f>
        <v>0</v>
      </c>
      <c r="F40" s="258">
        <f>Expenses!F30</f>
        <v>50000000</v>
      </c>
      <c r="G40" s="258">
        <f>Expenses!G30</f>
        <v>50000000</v>
      </c>
      <c r="H40" s="258">
        <f>Expenses!H30</f>
        <v>50000000</v>
      </c>
      <c r="I40" s="258">
        <f>Expenses!I30</f>
        <v>50000000</v>
      </c>
      <c r="J40" s="258">
        <f>Expenses!J30</f>
        <v>170000000</v>
      </c>
      <c r="K40" s="258">
        <f>Expenses!K30</f>
        <v>170000000</v>
      </c>
      <c r="L40" s="258">
        <f>Expenses!L30</f>
        <v>170000000</v>
      </c>
      <c r="M40" s="258">
        <f>Expenses!M30</f>
        <v>170000000</v>
      </c>
      <c r="N40" s="258">
        <f>Expenses!N30</f>
        <v>170000000</v>
      </c>
      <c r="O40" s="258">
        <f>Expenses!O30</f>
        <v>170000000</v>
      </c>
      <c r="P40" s="1087">
        <f>Expenses!P30</f>
        <v>170000000</v>
      </c>
      <c r="Q40" s="258">
        <f>Expenses!Q30</f>
        <v>0</v>
      </c>
      <c r="R40" s="1086">
        <f>Expenses!R30</f>
        <v>170000000</v>
      </c>
      <c r="S40" s="258">
        <f>Expenses!S30</f>
        <v>170000000</v>
      </c>
      <c r="T40" s="258">
        <f>Expenses!T30</f>
        <v>170000000</v>
      </c>
      <c r="U40" s="258">
        <f>Expenses!U30</f>
        <v>170000000</v>
      </c>
      <c r="V40" s="258">
        <f>Expenses!V30</f>
        <v>170000000</v>
      </c>
      <c r="W40" s="258">
        <f>Expenses!W30</f>
        <v>170000000</v>
      </c>
      <c r="X40" s="258">
        <f>Expenses!X30</f>
        <v>170000000</v>
      </c>
      <c r="Y40" s="258">
        <f>Expenses!Y30</f>
        <v>170000000</v>
      </c>
      <c r="Z40" s="258">
        <f>Expenses!Z30</f>
        <v>170000000</v>
      </c>
      <c r="AA40" s="258">
        <f>Expenses!AA30</f>
        <v>170000000</v>
      </c>
      <c r="AB40" s="258">
        <f>Expenses!AB30</f>
        <v>170000000</v>
      </c>
      <c r="AC40" s="1087">
        <f>Expenses!AC30</f>
        <v>170000000</v>
      </c>
      <c r="AD40" s="258">
        <f>Expenses!AD30</f>
        <v>0</v>
      </c>
      <c r="AE40" s="1086">
        <f>Expenses!AE30</f>
        <v>170000000</v>
      </c>
      <c r="AF40" s="258">
        <f>Expenses!AF30</f>
        <v>170000000</v>
      </c>
      <c r="AG40" s="258">
        <f>Expenses!AG30</f>
        <v>170000000</v>
      </c>
      <c r="AH40" s="258">
        <f>Expenses!AH30</f>
        <v>170000000</v>
      </c>
      <c r="AI40" s="258">
        <f>Expenses!AI30</f>
        <v>170000000</v>
      </c>
      <c r="AJ40" s="258">
        <f>Expenses!AJ30</f>
        <v>170000000</v>
      </c>
      <c r="AK40" s="258">
        <f>Expenses!AK30</f>
        <v>170000000</v>
      </c>
      <c r="AL40" s="258">
        <f>Expenses!AL30</f>
        <v>170000000</v>
      </c>
      <c r="AM40" s="258">
        <f>Expenses!AM30</f>
        <v>170000000</v>
      </c>
      <c r="AN40" s="258">
        <f>Expenses!AN30</f>
        <v>170000000</v>
      </c>
      <c r="AO40" s="258">
        <f>Expenses!AO30</f>
        <v>170000000</v>
      </c>
      <c r="AP40" s="1087">
        <f>Expenses!AP30</f>
        <v>170000000</v>
      </c>
      <c r="AQ40" s="1088"/>
      <c r="AR40" s="1089"/>
      <c r="AS40" s="1089"/>
      <c r="AT40" s="1089"/>
      <c r="AU40" s="1089"/>
      <c r="AV40" s="1090"/>
    </row>
    <row r="41" spans="1:48" ht="14.25" x14ac:dyDescent="0.2">
      <c r="A41" s="1091" t="str">
        <f>Expenses!A31</f>
        <v>Salaries-Indirect</v>
      </c>
      <c r="B41" s="258">
        <f>Expenses!B31</f>
        <v>0</v>
      </c>
      <c r="C41" s="258">
        <f>Expenses!D31</f>
        <v>0</v>
      </c>
      <c r="D41" s="258"/>
      <c r="E41" s="1086">
        <f>Expenses!E31</f>
        <v>0</v>
      </c>
      <c r="F41" s="258">
        <f>Expenses!F31</f>
        <v>0</v>
      </c>
      <c r="G41" s="258">
        <f>Expenses!G31</f>
        <v>0</v>
      </c>
      <c r="H41" s="258">
        <f>Expenses!H31</f>
        <v>0</v>
      </c>
      <c r="I41" s="258">
        <f>Expenses!I31</f>
        <v>0</v>
      </c>
      <c r="J41" s="258">
        <f>Expenses!J31</f>
        <v>439992000</v>
      </c>
      <c r="K41" s="258">
        <f>Expenses!K31</f>
        <v>439992000</v>
      </c>
      <c r="L41" s="258">
        <f>Expenses!L31</f>
        <v>498657600</v>
      </c>
      <c r="M41" s="258">
        <f>Expenses!M31</f>
        <v>498657600</v>
      </c>
      <c r="N41" s="258">
        <f>Expenses!N31</f>
        <v>522694200</v>
      </c>
      <c r="O41" s="258">
        <f>Expenses!O31</f>
        <v>522694200</v>
      </c>
      <c r="P41" s="1087">
        <f>Expenses!P31</f>
        <v>522694200</v>
      </c>
      <c r="Q41" s="258">
        <f>Expenses!Q31</f>
        <v>0</v>
      </c>
      <c r="R41" s="1086">
        <f>Expenses!R31</f>
        <v>1053066000</v>
      </c>
      <c r="S41" s="258">
        <f>Expenses!S31</f>
        <v>444066000</v>
      </c>
      <c r="T41" s="258">
        <f>Expenses!T31</f>
        <v>444066000</v>
      </c>
      <c r="U41" s="258">
        <f>Expenses!U31</f>
        <v>545101200</v>
      </c>
      <c r="V41" s="258">
        <f>Expenses!V31</f>
        <v>545101200</v>
      </c>
      <c r="W41" s="258">
        <f>Expenses!W31</f>
        <v>545101200</v>
      </c>
      <c r="X41" s="258">
        <f>Expenses!X31</f>
        <v>565471200</v>
      </c>
      <c r="Y41" s="258">
        <f>Expenses!Y31</f>
        <v>565471200</v>
      </c>
      <c r="Z41" s="258">
        <f>Expenses!Z31</f>
        <v>565471200</v>
      </c>
      <c r="AA41" s="258">
        <f>Expenses!AA31</f>
        <v>589507800</v>
      </c>
      <c r="AB41" s="258">
        <f>Expenses!AB31</f>
        <v>882982800</v>
      </c>
      <c r="AC41" s="1087">
        <f>Expenses!AC31</f>
        <v>885019800</v>
      </c>
      <c r="AD41" s="258">
        <f>Expenses!AD31</f>
        <v>0</v>
      </c>
      <c r="AE41" s="1086">
        <f>Expenses!AE31</f>
        <v>1483893200</v>
      </c>
      <c r="AF41" s="258">
        <f>Expenses!AF31</f>
        <v>760099200</v>
      </c>
      <c r="AG41" s="258">
        <f>Expenses!AG31</f>
        <v>760099200</v>
      </c>
      <c r="AH41" s="258">
        <f>Expenses!AH31</f>
        <v>980674800</v>
      </c>
      <c r="AI41" s="258">
        <f>Expenses!AI31</f>
        <v>980674800</v>
      </c>
      <c r="AJ41" s="258">
        <f>Expenses!AJ31</f>
        <v>980674800</v>
      </c>
      <c r="AK41" s="258">
        <f>Expenses!AK31</f>
        <v>1027072200</v>
      </c>
      <c r="AL41" s="258">
        <f>Expenses!AL31</f>
        <v>1027072200</v>
      </c>
      <c r="AM41" s="258">
        <f>Expenses!AM31</f>
        <v>1056216000</v>
      </c>
      <c r="AN41" s="258">
        <f>Expenses!AN31</f>
        <v>1088787000</v>
      </c>
      <c r="AO41" s="258">
        <f>Expenses!AO31</f>
        <v>1094062200</v>
      </c>
      <c r="AP41" s="1087">
        <f>Expenses!AP31</f>
        <v>1099337400</v>
      </c>
      <c r="AQ41" s="1088"/>
      <c r="AR41" s="1089"/>
      <c r="AS41" s="1089"/>
      <c r="AT41" s="1089"/>
      <c r="AU41" s="1089"/>
      <c r="AV41" s="1090"/>
    </row>
    <row r="42" spans="1:48" ht="14.25" hidden="1" x14ac:dyDescent="0.2">
      <c r="A42" s="1091" t="str">
        <f>Expenses!A32</f>
        <v>Subcontractor</v>
      </c>
      <c r="B42" s="258">
        <f>Expenses!B32</f>
        <v>0</v>
      </c>
      <c r="C42" s="258">
        <f>Expenses!D32</f>
        <v>0</v>
      </c>
      <c r="D42" s="258"/>
      <c r="E42" s="1086">
        <f>Expenses!E32</f>
        <v>350000000</v>
      </c>
      <c r="F42" s="258">
        <f>Expenses!F32</f>
        <v>0</v>
      </c>
      <c r="G42" s="258">
        <f>Expenses!G32</f>
        <v>80000000</v>
      </c>
      <c r="H42" s="258">
        <f>Expenses!H32</f>
        <v>0</v>
      </c>
      <c r="I42" s="258">
        <f>Expenses!I32</f>
        <v>0</v>
      </c>
      <c r="J42" s="258">
        <f>Expenses!J32</f>
        <v>180000000</v>
      </c>
      <c r="K42" s="258">
        <f>Expenses!K32</f>
        <v>0</v>
      </c>
      <c r="L42" s="258">
        <f>Expenses!L32</f>
        <v>0</v>
      </c>
      <c r="M42" s="258">
        <f>Expenses!M32</f>
        <v>0</v>
      </c>
      <c r="N42" s="258">
        <f>Expenses!N32</f>
        <v>0</v>
      </c>
      <c r="O42" s="258">
        <f>Expenses!O32</f>
        <v>0</v>
      </c>
      <c r="P42" s="1087">
        <f>Expenses!P32</f>
        <v>0</v>
      </c>
      <c r="Q42" s="258">
        <f>Expenses!Q32</f>
        <v>0</v>
      </c>
      <c r="R42" s="1086">
        <f>Expenses!R32</f>
        <v>0</v>
      </c>
      <c r="S42" s="258">
        <f>Expenses!S32</f>
        <v>0</v>
      </c>
      <c r="T42" s="258">
        <f>Expenses!T32</f>
        <v>0</v>
      </c>
      <c r="U42" s="258">
        <f>Expenses!U32</f>
        <v>0</v>
      </c>
      <c r="V42" s="258">
        <f>Expenses!V32</f>
        <v>0</v>
      </c>
      <c r="W42" s="258">
        <f>Expenses!W32</f>
        <v>0</v>
      </c>
      <c r="X42" s="258">
        <f>Expenses!X32</f>
        <v>0</v>
      </c>
      <c r="Y42" s="258">
        <f>Expenses!Y32</f>
        <v>0</v>
      </c>
      <c r="Z42" s="258">
        <f>Expenses!Z32</f>
        <v>0</v>
      </c>
      <c r="AA42" s="258">
        <f>Expenses!AA32</f>
        <v>0</v>
      </c>
      <c r="AB42" s="258">
        <f>Expenses!AB32</f>
        <v>0</v>
      </c>
      <c r="AC42" s="1087">
        <f>Expenses!AC32</f>
        <v>0</v>
      </c>
      <c r="AD42" s="258">
        <f>Expenses!AD32</f>
        <v>0</v>
      </c>
      <c r="AE42" s="1086">
        <f>Expenses!AE32</f>
        <v>0</v>
      </c>
      <c r="AF42" s="258">
        <f>Expenses!AF32</f>
        <v>0</v>
      </c>
      <c r="AG42" s="258">
        <f>Expenses!AG32</f>
        <v>0</v>
      </c>
      <c r="AH42" s="258">
        <f>Expenses!AH32</f>
        <v>0</v>
      </c>
      <c r="AI42" s="258">
        <f>Expenses!AI32</f>
        <v>0</v>
      </c>
      <c r="AJ42" s="258">
        <f>Expenses!AJ32</f>
        <v>0</v>
      </c>
      <c r="AK42" s="258">
        <f>Expenses!AK32</f>
        <v>0</v>
      </c>
      <c r="AL42" s="258">
        <f>Expenses!AL32</f>
        <v>0</v>
      </c>
      <c r="AM42" s="258">
        <f>Expenses!AM32</f>
        <v>0</v>
      </c>
      <c r="AN42" s="258">
        <f>Expenses!AN32</f>
        <v>0</v>
      </c>
      <c r="AO42" s="258">
        <f>Expenses!AO32</f>
        <v>0</v>
      </c>
      <c r="AP42" s="1087">
        <f>Expenses!AP32</f>
        <v>0</v>
      </c>
      <c r="AQ42" s="1088"/>
      <c r="AR42" s="1089"/>
      <c r="AS42" s="1089"/>
      <c r="AT42" s="1089"/>
      <c r="AU42" s="1089"/>
      <c r="AV42" s="1090"/>
    </row>
    <row r="43" spans="1:48" ht="14.25" hidden="1" x14ac:dyDescent="0.2">
      <c r="A43" s="1091" t="str">
        <f>Expenses!A33</f>
        <v>Telephone</v>
      </c>
      <c r="B43" s="258">
        <f>Expenses!B33</f>
        <v>0</v>
      </c>
      <c r="C43" s="258">
        <f>Expenses!D33</f>
        <v>0</v>
      </c>
      <c r="D43" s="258"/>
      <c r="E43" s="1086">
        <f>Expenses!E33</f>
        <v>0</v>
      </c>
      <c r="F43" s="258">
        <f>Expenses!F33</f>
        <v>0</v>
      </c>
      <c r="G43" s="258">
        <f>Expenses!G33</f>
        <v>0</v>
      </c>
      <c r="H43" s="258">
        <f>Expenses!H33</f>
        <v>0</v>
      </c>
      <c r="I43" s="258">
        <f>Expenses!I33</f>
        <v>0</v>
      </c>
      <c r="J43" s="258">
        <f>Expenses!J33</f>
        <v>0</v>
      </c>
      <c r="K43" s="258">
        <f>Expenses!K33</f>
        <v>0</v>
      </c>
      <c r="L43" s="258">
        <f>Expenses!L33</f>
        <v>0</v>
      </c>
      <c r="M43" s="258">
        <f>Expenses!M33</f>
        <v>0</v>
      </c>
      <c r="N43" s="258">
        <f>Expenses!N33</f>
        <v>0</v>
      </c>
      <c r="O43" s="258">
        <f>Expenses!O33</f>
        <v>0</v>
      </c>
      <c r="P43" s="1087">
        <f>Expenses!P33</f>
        <v>0</v>
      </c>
      <c r="Q43" s="258">
        <f>Expenses!Q33</f>
        <v>0</v>
      </c>
      <c r="R43" s="1086">
        <f>Expenses!R33</f>
        <v>0</v>
      </c>
      <c r="S43" s="258">
        <f>Expenses!S33</f>
        <v>0</v>
      </c>
      <c r="T43" s="258">
        <f>Expenses!T33</f>
        <v>0</v>
      </c>
      <c r="U43" s="258">
        <f>Expenses!U33</f>
        <v>0</v>
      </c>
      <c r="V43" s="258">
        <f>Expenses!V33</f>
        <v>0</v>
      </c>
      <c r="W43" s="258">
        <f>Expenses!W33</f>
        <v>0</v>
      </c>
      <c r="X43" s="258">
        <f>Expenses!X33</f>
        <v>0</v>
      </c>
      <c r="Y43" s="258">
        <f>Expenses!Y33</f>
        <v>0</v>
      </c>
      <c r="Z43" s="258">
        <f>Expenses!Z33</f>
        <v>0</v>
      </c>
      <c r="AA43" s="258">
        <f>Expenses!AA33</f>
        <v>0</v>
      </c>
      <c r="AB43" s="258">
        <f>Expenses!AB33</f>
        <v>0</v>
      </c>
      <c r="AC43" s="1087">
        <f>Expenses!AC33</f>
        <v>0</v>
      </c>
      <c r="AD43" s="258">
        <f>Expenses!AD33</f>
        <v>0</v>
      </c>
      <c r="AE43" s="1086">
        <f>Expenses!AE33</f>
        <v>0</v>
      </c>
      <c r="AF43" s="258">
        <f>Expenses!AF33</f>
        <v>0</v>
      </c>
      <c r="AG43" s="258">
        <f>Expenses!AG33</f>
        <v>0</v>
      </c>
      <c r="AH43" s="258">
        <f>Expenses!AH33</f>
        <v>0</v>
      </c>
      <c r="AI43" s="258">
        <f>Expenses!AI33</f>
        <v>0</v>
      </c>
      <c r="AJ43" s="258">
        <f>Expenses!AJ33</f>
        <v>0</v>
      </c>
      <c r="AK43" s="258">
        <f>Expenses!AK33</f>
        <v>0</v>
      </c>
      <c r="AL43" s="258">
        <f>Expenses!AL33</f>
        <v>0</v>
      </c>
      <c r="AM43" s="258">
        <f>Expenses!AM33</f>
        <v>0</v>
      </c>
      <c r="AN43" s="258">
        <f>Expenses!AN33</f>
        <v>0</v>
      </c>
      <c r="AO43" s="258">
        <f>Expenses!AO33</f>
        <v>0</v>
      </c>
      <c r="AP43" s="1087">
        <f>Expenses!AP33</f>
        <v>0</v>
      </c>
      <c r="AQ43" s="1088"/>
      <c r="AR43" s="1089"/>
      <c r="AS43" s="1089"/>
      <c r="AT43" s="1089"/>
      <c r="AU43" s="1089"/>
      <c r="AV43" s="1090"/>
    </row>
    <row r="44" spans="1:48" ht="14.25" hidden="1" x14ac:dyDescent="0.2">
      <c r="A44" s="1091" t="str">
        <f>Expenses!A34</f>
        <v>Travel</v>
      </c>
      <c r="B44" s="258">
        <f>Expenses!B34</f>
        <v>0</v>
      </c>
      <c r="C44" s="258">
        <f>Expenses!D34</f>
        <v>0</v>
      </c>
      <c r="D44" s="258"/>
      <c r="E44" s="1086">
        <f>Expenses!E34</f>
        <v>0</v>
      </c>
      <c r="F44" s="258">
        <f>Expenses!F34</f>
        <v>0</v>
      </c>
      <c r="G44" s="258">
        <f>Expenses!G34</f>
        <v>0</v>
      </c>
      <c r="H44" s="258">
        <f>Expenses!H34</f>
        <v>0</v>
      </c>
      <c r="I44" s="258">
        <f>Expenses!I34</f>
        <v>0</v>
      </c>
      <c r="J44" s="258">
        <f>Expenses!J34</f>
        <v>0</v>
      </c>
      <c r="K44" s="258">
        <f>Expenses!K34</f>
        <v>0</v>
      </c>
      <c r="L44" s="258">
        <f>Expenses!L34</f>
        <v>0</v>
      </c>
      <c r="M44" s="258">
        <f>Expenses!M34</f>
        <v>0</v>
      </c>
      <c r="N44" s="258">
        <f>Expenses!N34</f>
        <v>0</v>
      </c>
      <c r="O44" s="258">
        <f>Expenses!O34</f>
        <v>0</v>
      </c>
      <c r="P44" s="1087">
        <f>Expenses!P34</f>
        <v>0</v>
      </c>
      <c r="Q44" s="258">
        <f>Expenses!Q34</f>
        <v>0</v>
      </c>
      <c r="R44" s="1086">
        <f>Expenses!R34</f>
        <v>0</v>
      </c>
      <c r="S44" s="258">
        <f>Expenses!S34</f>
        <v>0</v>
      </c>
      <c r="T44" s="258">
        <f>Expenses!T34</f>
        <v>0</v>
      </c>
      <c r="U44" s="258">
        <f>Expenses!U34</f>
        <v>0</v>
      </c>
      <c r="V44" s="258">
        <f>Expenses!V34</f>
        <v>0</v>
      </c>
      <c r="W44" s="258">
        <f>Expenses!W34</f>
        <v>0</v>
      </c>
      <c r="X44" s="258">
        <f>Expenses!X34</f>
        <v>0</v>
      </c>
      <c r="Y44" s="258">
        <f>Expenses!Y34</f>
        <v>0</v>
      </c>
      <c r="Z44" s="258">
        <f>Expenses!Z34</f>
        <v>0</v>
      </c>
      <c r="AA44" s="258">
        <f>Expenses!AA34</f>
        <v>0</v>
      </c>
      <c r="AB44" s="258">
        <f>Expenses!AB34</f>
        <v>0</v>
      </c>
      <c r="AC44" s="1087">
        <f>Expenses!AC34</f>
        <v>0</v>
      </c>
      <c r="AD44" s="258">
        <f>Expenses!AD34</f>
        <v>0</v>
      </c>
      <c r="AE44" s="1086">
        <f>Expenses!AE34</f>
        <v>0</v>
      </c>
      <c r="AF44" s="258">
        <f>Expenses!AF34</f>
        <v>0</v>
      </c>
      <c r="AG44" s="258">
        <f>Expenses!AG34</f>
        <v>0</v>
      </c>
      <c r="AH44" s="258">
        <f>Expenses!AH34</f>
        <v>0</v>
      </c>
      <c r="AI44" s="258">
        <f>Expenses!AI34</f>
        <v>0</v>
      </c>
      <c r="AJ44" s="258">
        <f>Expenses!AJ34</f>
        <v>0</v>
      </c>
      <c r="AK44" s="258">
        <f>Expenses!AK34</f>
        <v>0</v>
      </c>
      <c r="AL44" s="258">
        <f>Expenses!AL34</f>
        <v>0</v>
      </c>
      <c r="AM44" s="258">
        <f>Expenses!AM34</f>
        <v>0</v>
      </c>
      <c r="AN44" s="258">
        <f>Expenses!AN34</f>
        <v>0</v>
      </c>
      <c r="AO44" s="258">
        <f>Expenses!AO34</f>
        <v>0</v>
      </c>
      <c r="AP44" s="1087">
        <f>Expenses!AP34</f>
        <v>0</v>
      </c>
      <c r="AQ44" s="1088"/>
      <c r="AR44" s="1089"/>
      <c r="AS44" s="1089"/>
      <c r="AT44" s="1089"/>
      <c r="AU44" s="1089"/>
      <c r="AV44" s="1090"/>
    </row>
    <row r="45" spans="1:48" ht="14.25" x14ac:dyDescent="0.2">
      <c r="A45" s="1091" t="str">
        <f>Expenses!A35</f>
        <v>Utilities</v>
      </c>
      <c r="B45" s="258">
        <f>Expenses!B35</f>
        <v>0</v>
      </c>
      <c r="C45" s="258">
        <f>Expenses!D35</f>
        <v>0</v>
      </c>
      <c r="D45" s="258"/>
      <c r="E45" s="1086">
        <f>Expenses!E35</f>
        <v>11000000</v>
      </c>
      <c r="F45" s="258">
        <f>Expenses!F35</f>
        <v>11000000</v>
      </c>
      <c r="G45" s="258">
        <f>Expenses!G35</f>
        <v>11000000</v>
      </c>
      <c r="H45" s="258">
        <f>Expenses!H35</f>
        <v>11000000</v>
      </c>
      <c r="I45" s="258">
        <f>Expenses!I35</f>
        <v>11000000</v>
      </c>
      <c r="J45" s="258">
        <f>Expenses!J35</f>
        <v>11000000</v>
      </c>
      <c r="K45" s="258">
        <f>Expenses!K35</f>
        <v>11000000</v>
      </c>
      <c r="L45" s="258">
        <f>Expenses!L35</f>
        <v>11000000</v>
      </c>
      <c r="M45" s="258">
        <f>Expenses!M35</f>
        <v>11000000</v>
      </c>
      <c r="N45" s="258">
        <f>Expenses!N35</f>
        <v>11000000</v>
      </c>
      <c r="O45" s="258">
        <f>Expenses!O35</f>
        <v>11000000</v>
      </c>
      <c r="P45" s="1087">
        <f>Expenses!P35</f>
        <v>11000000</v>
      </c>
      <c r="Q45" s="258">
        <f>Expenses!Q35</f>
        <v>0</v>
      </c>
      <c r="R45" s="1086">
        <f>Expenses!R35</f>
        <v>11000000</v>
      </c>
      <c r="S45" s="258">
        <f>Expenses!S35</f>
        <v>11000000</v>
      </c>
      <c r="T45" s="258">
        <f>Expenses!T35</f>
        <v>11000000</v>
      </c>
      <c r="U45" s="258">
        <f>Expenses!U35</f>
        <v>11000000</v>
      </c>
      <c r="V45" s="258">
        <f>Expenses!V35</f>
        <v>11000000</v>
      </c>
      <c r="W45" s="258">
        <f>Expenses!W35</f>
        <v>11000000</v>
      </c>
      <c r="X45" s="258">
        <f>Expenses!X35</f>
        <v>11000000</v>
      </c>
      <c r="Y45" s="258">
        <f>Expenses!Y35</f>
        <v>11000000</v>
      </c>
      <c r="Z45" s="258">
        <f>Expenses!Z35</f>
        <v>11000000</v>
      </c>
      <c r="AA45" s="258">
        <f>Expenses!AA35</f>
        <v>11000000</v>
      </c>
      <c r="AB45" s="258">
        <f>Expenses!AB35</f>
        <v>11000000</v>
      </c>
      <c r="AC45" s="1087">
        <f>Expenses!AC35</f>
        <v>11000000</v>
      </c>
      <c r="AD45" s="258">
        <f>Expenses!AD35</f>
        <v>0</v>
      </c>
      <c r="AE45" s="1086">
        <f>Expenses!AE35</f>
        <v>11000000</v>
      </c>
      <c r="AF45" s="258">
        <f>Expenses!AF35</f>
        <v>11000000</v>
      </c>
      <c r="AG45" s="258">
        <f>Expenses!AG35</f>
        <v>11000000</v>
      </c>
      <c r="AH45" s="258">
        <f>Expenses!AH35</f>
        <v>11000000</v>
      </c>
      <c r="AI45" s="258">
        <f>Expenses!AI35</f>
        <v>11000000</v>
      </c>
      <c r="AJ45" s="258">
        <f>Expenses!AJ35</f>
        <v>11000000</v>
      </c>
      <c r="AK45" s="258">
        <f>Expenses!AK35</f>
        <v>11000000</v>
      </c>
      <c r="AL45" s="258">
        <f>Expenses!AL35</f>
        <v>11000000</v>
      </c>
      <c r="AM45" s="258">
        <f>Expenses!AM35</f>
        <v>11000000</v>
      </c>
      <c r="AN45" s="258">
        <f>Expenses!AN35</f>
        <v>11000000</v>
      </c>
      <c r="AO45" s="258">
        <f>Expenses!AO35</f>
        <v>11000000</v>
      </c>
      <c r="AP45" s="1087">
        <f>Expenses!AP35</f>
        <v>11000000</v>
      </c>
      <c r="AQ45" s="1088"/>
      <c r="AR45" s="1089"/>
      <c r="AS45" s="1089"/>
      <c r="AT45" s="1089"/>
      <c r="AU45" s="1089"/>
      <c r="AV45" s="1090"/>
    </row>
    <row r="46" spans="1:48" ht="14.25" x14ac:dyDescent="0.2">
      <c r="A46" s="1091" t="str">
        <f>Expenses!A36</f>
        <v>Website Development</v>
      </c>
      <c r="B46" s="258">
        <f>Expenses!B36</f>
        <v>0</v>
      </c>
      <c r="C46" s="258">
        <f>Expenses!D36</f>
        <v>0</v>
      </c>
      <c r="D46" s="258"/>
      <c r="E46" s="1086">
        <f>Expenses!E36</f>
        <v>10000000</v>
      </c>
      <c r="F46" s="258">
        <f>Expenses!F36</f>
        <v>10000000</v>
      </c>
      <c r="G46" s="258">
        <f>Expenses!G36</f>
        <v>10000000</v>
      </c>
      <c r="H46" s="258">
        <f>Expenses!H36</f>
        <v>10000000</v>
      </c>
      <c r="I46" s="258">
        <f>Expenses!I36</f>
        <v>10000000</v>
      </c>
      <c r="J46" s="258">
        <f>Expenses!J36</f>
        <v>0</v>
      </c>
      <c r="K46" s="258">
        <f>Expenses!K36</f>
        <v>0</v>
      </c>
      <c r="L46" s="258">
        <f>Expenses!L36</f>
        <v>0</v>
      </c>
      <c r="M46" s="258">
        <f>Expenses!M36</f>
        <v>0</v>
      </c>
      <c r="N46" s="258">
        <f>Expenses!N36</f>
        <v>0</v>
      </c>
      <c r="O46" s="258">
        <f>Expenses!O36</f>
        <v>0</v>
      </c>
      <c r="P46" s="1087">
        <f>Expenses!P36</f>
        <v>0</v>
      </c>
      <c r="Q46" s="258">
        <f>Expenses!Q36</f>
        <v>0</v>
      </c>
      <c r="R46" s="1086">
        <f>Expenses!R36</f>
        <v>0</v>
      </c>
      <c r="S46" s="258">
        <f>Expenses!S36</f>
        <v>0</v>
      </c>
      <c r="T46" s="258">
        <f>Expenses!T36</f>
        <v>0</v>
      </c>
      <c r="U46" s="258">
        <f>Expenses!U36</f>
        <v>0</v>
      </c>
      <c r="V46" s="258">
        <f>Expenses!V36</f>
        <v>0</v>
      </c>
      <c r="W46" s="258">
        <f>Expenses!W36</f>
        <v>0</v>
      </c>
      <c r="X46" s="258">
        <f>Expenses!X36</f>
        <v>0</v>
      </c>
      <c r="Y46" s="258">
        <f>Expenses!Y36</f>
        <v>0</v>
      </c>
      <c r="Z46" s="258">
        <f>Expenses!Z36</f>
        <v>0</v>
      </c>
      <c r="AA46" s="258">
        <f>Expenses!AA36</f>
        <v>0</v>
      </c>
      <c r="AB46" s="258">
        <f>Expenses!AB36</f>
        <v>0</v>
      </c>
      <c r="AC46" s="1087">
        <f>Expenses!AC36</f>
        <v>0</v>
      </c>
      <c r="AD46" s="258">
        <f>Expenses!AD36</f>
        <v>0</v>
      </c>
      <c r="AE46" s="1086">
        <f>Expenses!AE36</f>
        <v>0</v>
      </c>
      <c r="AF46" s="258">
        <f>Expenses!AF36</f>
        <v>0</v>
      </c>
      <c r="AG46" s="258">
        <f>Expenses!AG36</f>
        <v>0</v>
      </c>
      <c r="AH46" s="258">
        <f>Expenses!AH36</f>
        <v>0</v>
      </c>
      <c r="AI46" s="258">
        <f>Expenses!AI36</f>
        <v>0</v>
      </c>
      <c r="AJ46" s="258">
        <f>Expenses!AJ36</f>
        <v>0</v>
      </c>
      <c r="AK46" s="258">
        <f>Expenses!AK36</f>
        <v>0</v>
      </c>
      <c r="AL46" s="258">
        <f>Expenses!AL36</f>
        <v>0</v>
      </c>
      <c r="AM46" s="258">
        <f>Expenses!AM36</f>
        <v>0</v>
      </c>
      <c r="AN46" s="258">
        <f>Expenses!AN36</f>
        <v>0</v>
      </c>
      <c r="AO46" s="258">
        <f>Expenses!AO36</f>
        <v>0</v>
      </c>
      <c r="AP46" s="1087">
        <f>Expenses!AP36</f>
        <v>0</v>
      </c>
      <c r="AQ46" s="1088"/>
      <c r="AR46" s="1089"/>
      <c r="AS46" s="1089"/>
      <c r="AT46" s="1089"/>
      <c r="AU46" s="1089"/>
      <c r="AV46" s="1090"/>
    </row>
    <row r="47" spans="1:48" ht="14.25" x14ac:dyDescent="0.2">
      <c r="A47" s="1091" t="str">
        <f>Expenses!A37</f>
        <v>Other:</v>
      </c>
      <c r="B47" s="258">
        <f>Expenses!B37</f>
        <v>0</v>
      </c>
      <c r="C47" s="258">
        <f>Expenses!D37</f>
        <v>0</v>
      </c>
      <c r="D47" s="258"/>
      <c r="E47" s="1086">
        <f>Expenses!E37</f>
        <v>0</v>
      </c>
      <c r="F47" s="258">
        <f>Expenses!F37</f>
        <v>0</v>
      </c>
      <c r="G47" s="258">
        <f>Expenses!G37</f>
        <v>8500000</v>
      </c>
      <c r="H47" s="258">
        <f>Expenses!H37</f>
        <v>19000000</v>
      </c>
      <c r="I47" s="258">
        <f>Expenses!I37</f>
        <v>7600000</v>
      </c>
      <c r="J47" s="258">
        <f>Expenses!J37</f>
        <v>0</v>
      </c>
      <c r="K47" s="258">
        <f>Expenses!K37</f>
        <v>10200000</v>
      </c>
      <c r="L47" s="258">
        <f>Expenses!L37</f>
        <v>0</v>
      </c>
      <c r="M47" s="258">
        <f>Expenses!M37</f>
        <v>0</v>
      </c>
      <c r="N47" s="258">
        <f>Expenses!N37</f>
        <v>0</v>
      </c>
      <c r="O47" s="258">
        <f>Expenses!O37</f>
        <v>0</v>
      </c>
      <c r="P47" s="1087">
        <f>Expenses!P37</f>
        <v>0</v>
      </c>
      <c r="Q47" s="258">
        <f>Expenses!Q37</f>
        <v>0</v>
      </c>
      <c r="R47" s="1086">
        <f>Expenses!R37</f>
        <v>0</v>
      </c>
      <c r="S47" s="258">
        <f>Expenses!S37</f>
        <v>5500000</v>
      </c>
      <c r="T47" s="258">
        <f>Expenses!T37</f>
        <v>0</v>
      </c>
      <c r="U47" s="258">
        <f>Expenses!U37</f>
        <v>0</v>
      </c>
      <c r="V47" s="258">
        <f>Expenses!V37</f>
        <v>0</v>
      </c>
      <c r="W47" s="258">
        <f>Expenses!W37</f>
        <v>0</v>
      </c>
      <c r="X47" s="258">
        <f>Expenses!X37</f>
        <v>0</v>
      </c>
      <c r="Y47" s="258">
        <f>Expenses!Y37</f>
        <v>0</v>
      </c>
      <c r="Z47" s="258">
        <f>Expenses!Z37</f>
        <v>0</v>
      </c>
      <c r="AA47" s="258">
        <f>Expenses!AA37</f>
        <v>0</v>
      </c>
      <c r="AB47" s="258">
        <f>Expenses!AB37</f>
        <v>0</v>
      </c>
      <c r="AC47" s="1087">
        <f>Expenses!AC37</f>
        <v>4000000</v>
      </c>
      <c r="AD47" s="258">
        <f>Expenses!AD37</f>
        <v>0</v>
      </c>
      <c r="AE47" s="1086">
        <f>Expenses!AE37</f>
        <v>0</v>
      </c>
      <c r="AF47" s="258">
        <f>Expenses!AF37</f>
        <v>0</v>
      </c>
      <c r="AG47" s="258">
        <f>Expenses!AG37</f>
        <v>0</v>
      </c>
      <c r="AH47" s="258">
        <f>Expenses!AH37</f>
        <v>0</v>
      </c>
      <c r="AI47" s="258">
        <f>Expenses!AI37</f>
        <v>0</v>
      </c>
      <c r="AJ47" s="258">
        <f>Expenses!AJ37</f>
        <v>0</v>
      </c>
      <c r="AK47" s="258">
        <f>Expenses!AK37</f>
        <v>0</v>
      </c>
      <c r="AL47" s="258">
        <f>Expenses!AL37</f>
        <v>0</v>
      </c>
      <c r="AM47" s="258">
        <f>Expenses!AM37</f>
        <v>0</v>
      </c>
      <c r="AN47" s="258">
        <f>Expenses!AN37</f>
        <v>0</v>
      </c>
      <c r="AO47" s="258">
        <f>Expenses!AO37</f>
        <v>0</v>
      </c>
      <c r="AP47" s="1087">
        <f>Expenses!AP37</f>
        <v>0</v>
      </c>
      <c r="AQ47" s="1088"/>
      <c r="AR47" s="1089"/>
      <c r="AS47" s="1089"/>
      <c r="AT47" s="1089"/>
      <c r="AU47" s="1089"/>
      <c r="AV47" s="1090"/>
    </row>
    <row r="48" spans="1:48" ht="14.25" x14ac:dyDescent="0.2">
      <c r="A48" s="1085" t="str">
        <f>Expenses!A38</f>
        <v>TOTAL OPERATING EXPENSES</v>
      </c>
      <c r="B48" s="1092">
        <f>Expenses!B38</f>
        <v>0</v>
      </c>
      <c r="C48" s="1092">
        <f>Expenses!D38</f>
        <v>0</v>
      </c>
      <c r="D48" s="1092"/>
      <c r="E48" s="1093">
        <f ca="1">Expenses!E38</f>
        <v>432250000</v>
      </c>
      <c r="F48" s="1092">
        <f ca="1">Expenses!F38</f>
        <v>132250000</v>
      </c>
      <c r="G48" s="1092">
        <f ca="1">Expenses!G38</f>
        <v>230906000</v>
      </c>
      <c r="H48" s="1092">
        <f ca="1">Expenses!H38</f>
        <v>172218000</v>
      </c>
      <c r="I48" s="1092">
        <f ca="1">Expenses!I38</f>
        <v>183466000</v>
      </c>
      <c r="J48" s="1092">
        <f ca="1">Expenses!J38</f>
        <v>1162462000</v>
      </c>
      <c r="K48" s="1092">
        <f ca="1">Expenses!K38</f>
        <v>982826000</v>
      </c>
      <c r="L48" s="1092">
        <f ca="1">Expenses!L38</f>
        <v>883679600</v>
      </c>
      <c r="M48" s="1092">
        <f ca="1">Expenses!M38</f>
        <v>794179600</v>
      </c>
      <c r="N48" s="1092">
        <f ca="1">Expenses!N38</f>
        <v>992472200</v>
      </c>
      <c r="O48" s="1092">
        <f ca="1">Expenses!O38</f>
        <v>1420984200</v>
      </c>
      <c r="P48" s="1094">
        <f ca="1">Expenses!P38</f>
        <v>1421984200</v>
      </c>
      <c r="Q48" s="1092">
        <f>Expenses!Q38</f>
        <v>0</v>
      </c>
      <c r="R48" s="1093">
        <f ca="1">Expenses!R38</f>
        <v>1427339600</v>
      </c>
      <c r="S48" s="1092">
        <f ca="1">Expenses!S38</f>
        <v>1056057600</v>
      </c>
      <c r="T48" s="1092">
        <f ca="1">Expenses!T38</f>
        <v>827659600</v>
      </c>
      <c r="U48" s="1092">
        <f ca="1">Expenses!U38</f>
        <v>834943200</v>
      </c>
      <c r="V48" s="1092">
        <f ca="1">Expenses!V38</f>
        <v>1063134000</v>
      </c>
      <c r="W48" s="1092">
        <f ca="1">Expenses!W38</f>
        <v>1137299200</v>
      </c>
      <c r="X48" s="1092">
        <f ca="1">Expenses!X38</f>
        <v>1282414000</v>
      </c>
      <c r="Y48" s="1092">
        <f ca="1">Expenses!Y38</f>
        <v>990086000</v>
      </c>
      <c r="Z48" s="1092">
        <f ca="1">Expenses!Z38</f>
        <v>990086000</v>
      </c>
      <c r="AA48" s="1092">
        <f ca="1">Expenses!AA38</f>
        <v>1289236100</v>
      </c>
      <c r="AB48" s="1092">
        <f ca="1">Expenses!AB38</f>
        <v>2574486400</v>
      </c>
      <c r="AC48" s="1094">
        <f ca="1">Expenses!AC38</f>
        <v>2234531800</v>
      </c>
      <c r="AD48" s="1092">
        <f>Expenses!AD38</f>
        <v>0</v>
      </c>
      <c r="AE48" s="1093">
        <f ca="1">Expenses!AE38</f>
        <v>2352929100</v>
      </c>
      <c r="AF48" s="1092">
        <f ca="1">Expenses!AF38</f>
        <v>1601836100</v>
      </c>
      <c r="AG48" s="1092">
        <f ca="1">Expenses!AG38</f>
        <v>1220615100</v>
      </c>
      <c r="AH48" s="1092">
        <f ca="1">Expenses!AH38</f>
        <v>1387266800</v>
      </c>
      <c r="AI48" s="1092">
        <f ca="1">Expenses!AI38</f>
        <v>2107066000</v>
      </c>
      <c r="AJ48" s="1092">
        <f ca="1">Expenses!AJ38</f>
        <v>1874886800</v>
      </c>
      <c r="AK48" s="1092">
        <f ca="1">Expenses!AK38</f>
        <v>1793560500</v>
      </c>
      <c r="AL48" s="1092">
        <f ca="1">Expenses!AL38</f>
        <v>1536544000</v>
      </c>
      <c r="AM48" s="1092">
        <f ca="1">Expenses!AM38</f>
        <v>1570084800</v>
      </c>
      <c r="AN48" s="1092">
        <f ca="1">Expenses!AN38</f>
        <v>2056955700</v>
      </c>
      <c r="AO48" s="1092">
        <f ca="1">Expenses!AO38</f>
        <v>2989530000</v>
      </c>
      <c r="AP48" s="1094">
        <f ca="1">Expenses!AP38</f>
        <v>2595821400</v>
      </c>
      <c r="AQ48" s="1095"/>
      <c r="AR48" s="1096"/>
      <c r="AS48" s="1096"/>
      <c r="AT48" s="1096"/>
      <c r="AU48" s="1096"/>
      <c r="AV48" s="1097"/>
    </row>
    <row r="49" spans="1:48" ht="14.25" x14ac:dyDescent="0.2">
      <c r="A49" s="1085">
        <f>Expenses!A39</f>
        <v>0</v>
      </c>
      <c r="B49" s="258">
        <f>Expenses!B39</f>
        <v>0</v>
      </c>
      <c r="C49" s="258">
        <f>Expenses!D39</f>
        <v>0</v>
      </c>
      <c r="D49" s="258">
        <f>Expenses!E39</f>
        <v>0</v>
      </c>
      <c r="E49" s="1086">
        <f>Expenses!F39</f>
        <v>0</v>
      </c>
      <c r="F49" s="258">
        <f>Expenses!G39</f>
        <v>0</v>
      </c>
      <c r="G49" s="258">
        <f>Expenses!H39</f>
        <v>0</v>
      </c>
      <c r="H49" s="258">
        <f>Expenses!I39</f>
        <v>0</v>
      </c>
      <c r="I49" s="258">
        <f>Expenses!J39</f>
        <v>0</v>
      </c>
      <c r="J49" s="258">
        <f>Expenses!K39</f>
        <v>0</v>
      </c>
      <c r="K49" s="258">
        <f>Expenses!L39</f>
        <v>0</v>
      </c>
      <c r="L49" s="258">
        <f>Expenses!M39</f>
        <v>0</v>
      </c>
      <c r="M49" s="258">
        <f>Expenses!N39</f>
        <v>0</v>
      </c>
      <c r="N49" s="258">
        <f>Expenses!O39</f>
        <v>0</v>
      </c>
      <c r="O49" s="258">
        <f>Expenses!P39</f>
        <v>0</v>
      </c>
      <c r="P49" s="1087">
        <f>Expenses!Q39</f>
        <v>0</v>
      </c>
      <c r="Q49" s="258">
        <f>Expenses!R39</f>
        <v>0</v>
      </c>
      <c r="R49" s="1086">
        <f>Expenses!S39</f>
        <v>0</v>
      </c>
      <c r="S49" s="258">
        <f>Expenses!T39</f>
        <v>0</v>
      </c>
      <c r="T49" s="258">
        <f>Expenses!U39</f>
        <v>0</v>
      </c>
      <c r="U49" s="258">
        <f>Expenses!V39</f>
        <v>0</v>
      </c>
      <c r="V49" s="258">
        <f>Expenses!W39</f>
        <v>0</v>
      </c>
      <c r="W49" s="258">
        <f>Expenses!X39</f>
        <v>0</v>
      </c>
      <c r="X49" s="258">
        <f>Expenses!Y39</f>
        <v>0</v>
      </c>
      <c r="Y49" s="258">
        <f>Expenses!Z39</f>
        <v>0</v>
      </c>
      <c r="Z49" s="258">
        <f>Expenses!AA39</f>
        <v>0</v>
      </c>
      <c r="AA49" s="258">
        <f>Expenses!AB39</f>
        <v>0</v>
      </c>
      <c r="AB49" s="258">
        <f>Expenses!AC39</f>
        <v>0</v>
      </c>
      <c r="AC49" s="1087">
        <f>Expenses!AD39</f>
        <v>0</v>
      </c>
      <c r="AD49" s="258">
        <f>Expenses!AE39</f>
        <v>0</v>
      </c>
      <c r="AE49" s="1086">
        <f>Expenses!AF39</f>
        <v>0</v>
      </c>
      <c r="AF49" s="258">
        <f>Expenses!AG39</f>
        <v>0</v>
      </c>
      <c r="AG49" s="258">
        <f>Expenses!AH39</f>
        <v>0</v>
      </c>
      <c r="AH49" s="258">
        <f>Expenses!AI39</f>
        <v>0</v>
      </c>
      <c r="AI49" s="258">
        <f>Expenses!AJ39</f>
        <v>0</v>
      </c>
      <c r="AJ49" s="258">
        <f>Expenses!AK39</f>
        <v>0</v>
      </c>
      <c r="AK49" s="258">
        <f>Expenses!AL39</f>
        <v>0</v>
      </c>
      <c r="AL49" s="258">
        <f>Expenses!AM39</f>
        <v>0</v>
      </c>
      <c r="AM49" s="258">
        <f>Expenses!AN39</f>
        <v>0</v>
      </c>
      <c r="AN49" s="258">
        <f>Expenses!AO39</f>
        <v>0</v>
      </c>
      <c r="AO49" s="258">
        <f>Expenses!AP39</f>
        <v>0</v>
      </c>
      <c r="AP49" s="1087">
        <f>Expenses!AQ39</f>
        <v>0</v>
      </c>
      <c r="AQ49" s="1088"/>
      <c r="AR49" s="1089"/>
      <c r="AS49" s="1089"/>
      <c r="AT49" s="1089"/>
      <c r="AU49" s="1089"/>
      <c r="AV49" s="1090"/>
    </row>
    <row r="50" spans="1:48" ht="14.25" x14ac:dyDescent="0.2">
      <c r="A50" s="1099" t="s">
        <v>388</v>
      </c>
      <c r="B50" s="1100"/>
      <c r="C50" s="1100"/>
      <c r="D50" s="1100"/>
      <c r="E50" s="1101">
        <f t="shared" ref="E50:AP50" ca="1" si="3">E22-E48</f>
        <v>-672250000</v>
      </c>
      <c r="F50" s="1101">
        <f t="shared" ca="1" si="3"/>
        <v>-597998206.13176775</v>
      </c>
      <c r="G50" s="1101">
        <f t="shared" ca="1" si="3"/>
        <v>-1088563320.7614303</v>
      </c>
      <c r="H50" s="1101">
        <f t="shared" ca="1" si="3"/>
        <v>-1326792831.957798</v>
      </c>
      <c r="I50" s="1101">
        <f t="shared" ca="1" si="3"/>
        <v>-1516657384.3274059</v>
      </c>
      <c r="J50" s="1101">
        <f t="shared" ca="1" si="3"/>
        <v>419826062.62230968</v>
      </c>
      <c r="K50" s="1101">
        <f t="shared" ca="1" si="3"/>
        <v>471207551.85910034</v>
      </c>
      <c r="L50" s="1101">
        <f t="shared" ca="1" si="3"/>
        <v>988318951.85909939</v>
      </c>
      <c r="M50" s="1101">
        <f t="shared" ca="1" si="3"/>
        <v>1097386740.5088062</v>
      </c>
      <c r="N50" s="1101">
        <f t="shared" ca="1" si="3"/>
        <v>1057836351.8591003</v>
      </c>
      <c r="O50" s="1101">
        <f t="shared" ca="1" si="3"/>
        <v>649452140.50880623</v>
      </c>
      <c r="P50" s="1101">
        <f t="shared" ca="1" si="3"/>
        <v>620144351.85910034</v>
      </c>
      <c r="Q50" s="1101">
        <f t="shared" si="3"/>
        <v>0</v>
      </c>
      <c r="R50" s="1093">
        <f t="shared" ca="1" si="3"/>
        <v>34118951.859099388</v>
      </c>
      <c r="S50" s="1092">
        <f t="shared" ca="1" si="3"/>
        <v>435034317.80821896</v>
      </c>
      <c r="T50" s="1092">
        <f t="shared" ca="1" si="3"/>
        <v>527488951.85909939</v>
      </c>
      <c r="U50" s="1092">
        <f t="shared" ca="1" si="3"/>
        <v>1296323140.5088062</v>
      </c>
      <c r="V50" s="1092">
        <f t="shared" ca="1" si="3"/>
        <v>1048004551.8590994</v>
      </c>
      <c r="W50" s="1092">
        <f t="shared" ca="1" si="3"/>
        <v>993477140.50880623</v>
      </c>
      <c r="X50" s="1092">
        <f t="shared" ca="1" si="3"/>
        <v>976704551.85910034</v>
      </c>
      <c r="Y50" s="1092">
        <f t="shared" ca="1" si="3"/>
        <v>1269032551.8590994</v>
      </c>
      <c r="Z50" s="1092">
        <f t="shared" ca="1" si="3"/>
        <v>1288670340.5088062</v>
      </c>
      <c r="AA50" s="1092">
        <f t="shared" ca="1" si="3"/>
        <v>1145602451.8590994</v>
      </c>
      <c r="AB50" s="1092">
        <f t="shared" ca="1" si="3"/>
        <v>1491319940.5088062</v>
      </c>
      <c r="AC50" s="1092">
        <f t="shared" ca="1" si="3"/>
        <v>1824926751.8591003</v>
      </c>
      <c r="AD50" s="1092">
        <f t="shared" si="3"/>
        <v>0</v>
      </c>
      <c r="AE50" s="1093">
        <f t="shared" ca="1" si="3"/>
        <v>985909451.85910034</v>
      </c>
      <c r="AF50" s="1092">
        <f t="shared" ca="1" si="3"/>
        <v>1726185817.808218</v>
      </c>
      <c r="AG50" s="1092">
        <f t="shared" ca="1" si="3"/>
        <v>2044363451.8591003</v>
      </c>
      <c r="AH50" s="1092">
        <f t="shared" ca="1" si="3"/>
        <v>3249689540.5088062</v>
      </c>
      <c r="AI50" s="1092">
        <f t="shared" ca="1" si="3"/>
        <v>2509762551.8591003</v>
      </c>
      <c r="AJ50" s="1092">
        <f t="shared" ca="1" si="3"/>
        <v>2761439540.5088062</v>
      </c>
      <c r="AK50" s="1092">
        <f t="shared" ca="1" si="3"/>
        <v>3106908051.8591003</v>
      </c>
      <c r="AL50" s="1092">
        <f t="shared" ca="1" si="3"/>
        <v>3363644551.8591003</v>
      </c>
      <c r="AM50" s="1092">
        <f t="shared" ca="1" si="3"/>
        <v>3509441540.5088062</v>
      </c>
      <c r="AN50" s="1092">
        <f t="shared" ca="1" si="3"/>
        <v>3246482851.8591003</v>
      </c>
      <c r="AO50" s="1092">
        <f t="shared" ca="1" si="3"/>
        <v>2372316340.5088043</v>
      </c>
      <c r="AP50" s="1094">
        <f t="shared" ca="1" si="3"/>
        <v>2802587151.8591003</v>
      </c>
      <c r="AQ50" s="1095"/>
      <c r="AR50" s="1096"/>
      <c r="AS50" s="1096"/>
      <c r="AT50" s="1096"/>
      <c r="AU50" s="1096"/>
      <c r="AV50" s="1097"/>
    </row>
    <row r="51" spans="1:48" ht="12.75" x14ac:dyDescent="0.2">
      <c r="A51" s="1102"/>
      <c r="B51" s="989"/>
      <c r="C51" s="989"/>
      <c r="D51" s="989"/>
      <c r="E51" s="1103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1086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1086"/>
      <c r="AF51" s="258"/>
      <c r="AG51" s="258"/>
      <c r="AH51" s="258"/>
      <c r="AI51" s="258"/>
      <c r="AJ51" s="258"/>
      <c r="AK51" s="258"/>
      <c r="AL51" s="258"/>
      <c r="AM51" s="258"/>
      <c r="AN51" s="258"/>
      <c r="AO51" s="258"/>
      <c r="AP51" s="1087"/>
      <c r="AQ51" s="1088"/>
      <c r="AR51" s="1089"/>
      <c r="AS51" s="1089"/>
      <c r="AT51" s="1089"/>
      <c r="AU51" s="1089"/>
      <c r="AV51" s="1090"/>
    </row>
    <row r="52" spans="1:48" ht="14.25" x14ac:dyDescent="0.2">
      <c r="A52" s="1099" t="s">
        <v>389</v>
      </c>
      <c r="B52" s="989"/>
      <c r="C52" s="989"/>
      <c r="D52" s="989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1086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1086"/>
      <c r="AF52" s="258"/>
      <c r="AG52" s="258"/>
      <c r="AH52" s="258"/>
      <c r="AI52" s="258"/>
      <c r="AJ52" s="258"/>
      <c r="AK52" s="258"/>
      <c r="AL52" s="258"/>
      <c r="AM52" s="258"/>
      <c r="AN52" s="258"/>
      <c r="AO52" s="258"/>
      <c r="AP52" s="1087"/>
      <c r="AQ52" s="1088"/>
      <c r="AR52" s="1089"/>
      <c r="AS52" s="1089"/>
      <c r="AT52" s="1089"/>
      <c r="AU52" s="1089"/>
      <c r="AV52" s="1090"/>
    </row>
    <row r="53" spans="1:48" ht="14.25" x14ac:dyDescent="0.2">
      <c r="A53" s="1104" t="s">
        <v>390</v>
      </c>
      <c r="B53" s="989"/>
      <c r="C53" s="989"/>
      <c r="D53" s="989"/>
      <c r="E53" s="258">
        <f>'Loan repay {supplement}'!H9</f>
        <v>0</v>
      </c>
      <c r="F53" s="258">
        <f>'Loan repay {supplement}'!I9</f>
        <v>0</v>
      </c>
      <c r="G53" s="258">
        <f>'Loan repay {supplement}'!J9</f>
        <v>0</v>
      </c>
      <c r="H53" s="258">
        <f>'Loan repay {supplement}'!K9</f>
        <v>0</v>
      </c>
      <c r="I53" s="258">
        <f>'Loan repay {supplement}'!L9</f>
        <v>0</v>
      </c>
      <c r="J53" s="258">
        <f>'Loan repay {supplement}'!M9</f>
        <v>1052639999.9999996</v>
      </c>
      <c r="K53" s="258">
        <f>'Loan repay {supplement}'!N9</f>
        <v>964919999.99999964</v>
      </c>
      <c r="L53" s="258">
        <f>'Loan repay {supplement}'!O9</f>
        <v>877199999.99999964</v>
      </c>
      <c r="M53" s="258">
        <f>'Loan repay {supplement}'!P9</f>
        <v>789479999.99999976</v>
      </c>
      <c r="N53" s="258">
        <f>'Loan repay {supplement}'!Q9</f>
        <v>701759999.99999976</v>
      </c>
      <c r="O53" s="258">
        <f>'Loan repay {supplement}'!R9</f>
        <v>614039999.99999976</v>
      </c>
      <c r="P53" s="258">
        <f>'Loan repay {supplement}'!S9</f>
        <v>526319999.9999997</v>
      </c>
      <c r="Q53" s="258">
        <f>'Loan repay {supplement}'!T9</f>
        <v>0</v>
      </c>
      <c r="R53" s="1086">
        <f>'Loan repay {supplement}'!U9</f>
        <v>438599999.9999997</v>
      </c>
      <c r="S53" s="258">
        <f>'Loan repay {supplement}'!V9</f>
        <v>350879999.9999997</v>
      </c>
      <c r="T53" s="258">
        <f>'Loan repay {supplement}'!W9</f>
        <v>263159999.9999997</v>
      </c>
      <c r="U53" s="258">
        <f>'Loan repay {supplement}'!X9</f>
        <v>175439999.99999973</v>
      </c>
      <c r="V53" s="258">
        <f>'Loan repay {supplement}'!Y9</f>
        <v>87719999.999999732</v>
      </c>
      <c r="W53" s="258">
        <f>'Loan repay {supplement}'!Z9</f>
        <v>1052639999.9999994</v>
      </c>
      <c r="X53" s="258">
        <f>'Loan repay {supplement}'!AA9</f>
        <v>964919999.9999994</v>
      </c>
      <c r="Y53" s="258">
        <f>'Loan repay {supplement}'!AB9</f>
        <v>877199999.9999994</v>
      </c>
      <c r="Z53" s="258">
        <f>'Loan repay {supplement}'!AC9</f>
        <v>789479999.9999994</v>
      </c>
      <c r="AA53" s="258">
        <f>'Loan repay {supplement}'!AD9</f>
        <v>701759999.9999994</v>
      </c>
      <c r="AB53" s="258">
        <f>'Loan repay {supplement}'!AE9</f>
        <v>614039999.9999994</v>
      </c>
      <c r="AC53" s="258">
        <f>'Loan repay {supplement}'!AF9</f>
        <v>526319999.9999994</v>
      </c>
      <c r="AD53" s="258">
        <f>'Loan repay {supplement}'!AG9</f>
        <v>0</v>
      </c>
      <c r="AE53" s="1086">
        <f>'Loan repay {supplement}'!AH9</f>
        <v>438599999.9999994</v>
      </c>
      <c r="AF53" s="258">
        <f>'Loan repay {supplement}'!AI9</f>
        <v>350879999.99999946</v>
      </c>
      <c r="AG53" s="258">
        <f>'Loan repay {supplement}'!AJ9</f>
        <v>263159999.99999943</v>
      </c>
      <c r="AH53" s="258">
        <f>'Loan repay {supplement}'!AK9</f>
        <v>175439999.99999943</v>
      </c>
      <c r="AI53" s="258">
        <f>'Loan repay {supplement}'!AL9</f>
        <v>87719999.999999464</v>
      </c>
      <c r="AJ53" s="258">
        <f>'Loan repay {supplement}'!AM9</f>
        <v>1052639999.9999992</v>
      </c>
      <c r="AK53" s="258">
        <f>'Loan repay {supplement}'!AN9</f>
        <v>964919999.99999917</v>
      </c>
      <c r="AL53" s="258">
        <f>'Loan repay {supplement}'!AO9</f>
        <v>877199999.99999917</v>
      </c>
      <c r="AM53" s="258">
        <f>'Loan repay {supplement}'!AP9</f>
        <v>789479999.99999917</v>
      </c>
      <c r="AN53" s="258">
        <f>'Loan repay {supplement}'!AQ9</f>
        <v>701759999.99999917</v>
      </c>
      <c r="AO53" s="258">
        <f>'Loan repay {supplement}'!AR9</f>
        <v>614039999.99999917</v>
      </c>
      <c r="AP53" s="1087">
        <f>'Loan repay {supplement}'!AS9</f>
        <v>526319999.99999917</v>
      </c>
      <c r="AQ53" s="1088"/>
      <c r="AR53" s="1089"/>
      <c r="AS53" s="1089"/>
      <c r="AT53" s="1089"/>
      <c r="AU53" s="1089"/>
      <c r="AV53" s="1090"/>
    </row>
    <row r="54" spans="1:48" ht="14.25" x14ac:dyDescent="0.2">
      <c r="A54" s="1104" t="s">
        <v>391</v>
      </c>
      <c r="B54" s="989"/>
      <c r="C54" s="989"/>
      <c r="D54" s="989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1086">
        <f ca="1">IF(SUM(E57:P57)&lt;0,0,SUM(E57:P57)*Parameter!$B$43)</f>
        <v>0</v>
      </c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258"/>
      <c r="AE54" s="1086">
        <f ca="1">IF(SUM(R57:AC57)&lt;0,0,SUM(R57:AC57)*Parameter!$B$43)</f>
        <v>1097708728.5714293</v>
      </c>
      <c r="AF54" s="258"/>
      <c r="AG54" s="258"/>
      <c r="AH54" s="258"/>
      <c r="AI54" s="258"/>
      <c r="AJ54" s="258"/>
      <c r="AK54" s="258"/>
      <c r="AL54" s="258"/>
      <c r="AM54" s="258"/>
      <c r="AN54" s="258"/>
      <c r="AO54" s="258"/>
      <c r="AP54" s="1087"/>
      <c r="AQ54" s="1088"/>
      <c r="AR54" s="1089"/>
      <c r="AS54" s="1089"/>
      <c r="AT54" s="1089"/>
      <c r="AU54" s="1089"/>
      <c r="AV54" s="1090"/>
    </row>
    <row r="55" spans="1:48" ht="14.25" x14ac:dyDescent="0.2">
      <c r="A55" s="1099" t="s">
        <v>392</v>
      </c>
      <c r="B55" s="1105"/>
      <c r="C55" s="1105"/>
      <c r="D55" s="1105"/>
      <c r="E55" s="1092">
        <f t="shared" ref="E55:P55" si="4">SUM(E53:E54)</f>
        <v>0</v>
      </c>
      <c r="F55" s="1092">
        <f t="shared" si="4"/>
        <v>0</v>
      </c>
      <c r="G55" s="1092">
        <f t="shared" si="4"/>
        <v>0</v>
      </c>
      <c r="H55" s="1092">
        <f t="shared" si="4"/>
        <v>0</v>
      </c>
      <c r="I55" s="1092">
        <f t="shared" si="4"/>
        <v>0</v>
      </c>
      <c r="J55" s="1092">
        <f t="shared" si="4"/>
        <v>1052639999.9999996</v>
      </c>
      <c r="K55" s="1092">
        <f t="shared" si="4"/>
        <v>964919999.99999964</v>
      </c>
      <c r="L55" s="1092">
        <f t="shared" si="4"/>
        <v>877199999.99999964</v>
      </c>
      <c r="M55" s="1092">
        <f t="shared" si="4"/>
        <v>789479999.99999976</v>
      </c>
      <c r="N55" s="1092">
        <f t="shared" si="4"/>
        <v>701759999.99999976</v>
      </c>
      <c r="O55" s="1092">
        <f t="shared" si="4"/>
        <v>614039999.99999976</v>
      </c>
      <c r="P55" s="1092">
        <f t="shared" si="4"/>
        <v>526319999.9999997</v>
      </c>
      <c r="Q55" s="1092"/>
      <c r="R55" s="1093">
        <f t="shared" ref="R55:AC55" ca="1" si="5">SUM(R53:R54)</f>
        <v>438599999.9999997</v>
      </c>
      <c r="S55" s="1092">
        <f t="shared" si="5"/>
        <v>350879999.9999997</v>
      </c>
      <c r="T55" s="1092">
        <f t="shared" si="5"/>
        <v>263159999.9999997</v>
      </c>
      <c r="U55" s="1092">
        <f t="shared" si="5"/>
        <v>175439999.99999973</v>
      </c>
      <c r="V55" s="1092">
        <f t="shared" si="5"/>
        <v>87719999.999999732</v>
      </c>
      <c r="W55" s="1092">
        <f t="shared" si="5"/>
        <v>1052639999.9999994</v>
      </c>
      <c r="X55" s="1092">
        <f t="shared" si="5"/>
        <v>964919999.9999994</v>
      </c>
      <c r="Y55" s="1092">
        <f t="shared" si="5"/>
        <v>877199999.9999994</v>
      </c>
      <c r="Z55" s="1092">
        <f t="shared" si="5"/>
        <v>789479999.9999994</v>
      </c>
      <c r="AA55" s="1092">
        <f t="shared" si="5"/>
        <v>701759999.9999994</v>
      </c>
      <c r="AB55" s="1092">
        <f t="shared" si="5"/>
        <v>614039999.9999994</v>
      </c>
      <c r="AC55" s="1092">
        <f t="shared" si="5"/>
        <v>526319999.9999994</v>
      </c>
      <c r="AD55" s="1092"/>
      <c r="AE55" s="1093">
        <f t="shared" ref="AE55:AP55" ca="1" si="6">SUM(AE53:AE54)</f>
        <v>1536308728.5714288</v>
      </c>
      <c r="AF55" s="1092">
        <f t="shared" si="6"/>
        <v>350879999.99999946</v>
      </c>
      <c r="AG55" s="1092">
        <f t="shared" si="6"/>
        <v>263159999.99999943</v>
      </c>
      <c r="AH55" s="1092">
        <f t="shared" si="6"/>
        <v>175439999.99999943</v>
      </c>
      <c r="AI55" s="1092">
        <f t="shared" si="6"/>
        <v>87719999.999999464</v>
      </c>
      <c r="AJ55" s="1092">
        <f t="shared" si="6"/>
        <v>1052639999.9999992</v>
      </c>
      <c r="AK55" s="1092">
        <f t="shared" si="6"/>
        <v>964919999.99999917</v>
      </c>
      <c r="AL55" s="1092">
        <f t="shared" si="6"/>
        <v>877199999.99999917</v>
      </c>
      <c r="AM55" s="1092">
        <f t="shared" si="6"/>
        <v>789479999.99999917</v>
      </c>
      <c r="AN55" s="1092">
        <f t="shared" si="6"/>
        <v>701759999.99999917</v>
      </c>
      <c r="AO55" s="1092">
        <f t="shared" si="6"/>
        <v>614039999.99999917</v>
      </c>
      <c r="AP55" s="1094">
        <f t="shared" si="6"/>
        <v>526319999.99999917</v>
      </c>
      <c r="AQ55" s="1095"/>
      <c r="AR55" s="1096"/>
      <c r="AS55" s="1096"/>
      <c r="AT55" s="1096"/>
      <c r="AU55" s="1096"/>
      <c r="AV55" s="1097"/>
    </row>
    <row r="56" spans="1:48" ht="12.75" x14ac:dyDescent="0.2">
      <c r="A56" s="1102"/>
      <c r="B56" s="989"/>
      <c r="C56" s="989"/>
      <c r="D56" s="989"/>
      <c r="E56" s="258"/>
      <c r="F56" s="25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1086">
        <f ca="1">IF(SUM(E57:P57)&lt;0,0,SUM(E57:P57)*20%)</f>
        <v>0</v>
      </c>
      <c r="S56" s="258"/>
      <c r="T56" s="258"/>
      <c r="U56" s="258"/>
      <c r="V56" s="258"/>
      <c r="W56" s="258"/>
      <c r="X56" s="258"/>
      <c r="Y56" s="258"/>
      <c r="Z56" s="258"/>
      <c r="AA56" s="258"/>
      <c r="AB56" s="258"/>
      <c r="AC56" s="258"/>
      <c r="AD56" s="258"/>
      <c r="AE56" s="1086"/>
      <c r="AF56" s="258"/>
      <c r="AG56" s="258"/>
      <c r="AH56" s="258"/>
      <c r="AI56" s="258"/>
      <c r="AJ56" s="258"/>
      <c r="AK56" s="258"/>
      <c r="AL56" s="258"/>
      <c r="AM56" s="258"/>
      <c r="AN56" s="258"/>
      <c r="AO56" s="258"/>
      <c r="AP56" s="1087"/>
      <c r="AQ56" s="1088"/>
      <c r="AR56" s="1089"/>
      <c r="AS56" s="1089"/>
      <c r="AT56" s="1089"/>
      <c r="AU56" s="1089"/>
      <c r="AV56" s="1090"/>
    </row>
    <row r="57" spans="1:48" ht="14.25" x14ac:dyDescent="0.2">
      <c r="A57" s="1099" t="s">
        <v>393</v>
      </c>
      <c r="B57" s="1106"/>
      <c r="C57" s="1106"/>
      <c r="D57" s="1107"/>
      <c r="E57" s="1108">
        <f t="shared" ref="E57:AP57" ca="1" si="7">E50-E55</f>
        <v>-672250000</v>
      </c>
      <c r="F57" s="1108">
        <f t="shared" ca="1" si="7"/>
        <v>-597998206.13176775</v>
      </c>
      <c r="G57" s="1108">
        <f t="shared" ca="1" si="7"/>
        <v>-1088563320.7614303</v>
      </c>
      <c r="H57" s="1108">
        <f t="shared" ca="1" si="7"/>
        <v>-1326792831.957798</v>
      </c>
      <c r="I57" s="1108">
        <f t="shared" ca="1" si="7"/>
        <v>-1516657384.3274059</v>
      </c>
      <c r="J57" s="1108">
        <f t="shared" ca="1" si="7"/>
        <v>-632813937.37768996</v>
      </c>
      <c r="K57" s="1108">
        <f t="shared" ca="1" si="7"/>
        <v>-493712448.1408993</v>
      </c>
      <c r="L57" s="1108">
        <f t="shared" ca="1" si="7"/>
        <v>111118951.85909975</v>
      </c>
      <c r="M57" s="1108">
        <f t="shared" ca="1" si="7"/>
        <v>307906740.50880647</v>
      </c>
      <c r="N57" s="1108">
        <f t="shared" ca="1" si="7"/>
        <v>356076351.85910058</v>
      </c>
      <c r="O57" s="1108">
        <f t="shared" ca="1" si="7"/>
        <v>35412140.508806467</v>
      </c>
      <c r="P57" s="1108">
        <f t="shared" ca="1" si="7"/>
        <v>93824351.85910064</v>
      </c>
      <c r="Q57" s="1108">
        <f t="shared" si="7"/>
        <v>0</v>
      </c>
      <c r="R57" s="1108">
        <f t="shared" ca="1" si="7"/>
        <v>-404481048.14090031</v>
      </c>
      <c r="S57" s="1108">
        <f t="shared" ca="1" si="7"/>
        <v>84154317.808219254</v>
      </c>
      <c r="T57" s="1108">
        <f t="shared" ca="1" si="7"/>
        <v>264328951.85909969</v>
      </c>
      <c r="U57" s="1108">
        <f t="shared" ca="1" si="7"/>
        <v>1120883140.5088065</v>
      </c>
      <c r="V57" s="1108">
        <f t="shared" ca="1" si="7"/>
        <v>960284551.85909963</v>
      </c>
      <c r="W57" s="1108">
        <f t="shared" ca="1" si="7"/>
        <v>-59162859.491193175</v>
      </c>
      <c r="X57" s="1108">
        <f t="shared" ca="1" si="7"/>
        <v>11784551.859100938</v>
      </c>
      <c r="Y57" s="1108">
        <f t="shared" ca="1" si="7"/>
        <v>391832551.85909998</v>
      </c>
      <c r="Z57" s="1108">
        <f t="shared" ca="1" si="7"/>
        <v>499190340.50880682</v>
      </c>
      <c r="AA57" s="1108">
        <f t="shared" ca="1" si="7"/>
        <v>443842451.85909998</v>
      </c>
      <c r="AB57" s="1108">
        <f t="shared" ca="1" si="7"/>
        <v>877279940.50880682</v>
      </c>
      <c r="AC57" s="1108">
        <f t="shared" ca="1" si="7"/>
        <v>1298606751.8591008</v>
      </c>
      <c r="AD57" s="1108">
        <f t="shared" si="7"/>
        <v>0</v>
      </c>
      <c r="AE57" s="1109">
        <f t="shared" ca="1" si="7"/>
        <v>-550399276.71232843</v>
      </c>
      <c r="AF57" s="1108">
        <f t="shared" ca="1" si="7"/>
        <v>1375305817.8082185</v>
      </c>
      <c r="AG57" s="1108">
        <f t="shared" ca="1" si="7"/>
        <v>1781203451.8591008</v>
      </c>
      <c r="AH57" s="1108">
        <f t="shared" ca="1" si="7"/>
        <v>3074249540.5088067</v>
      </c>
      <c r="AI57" s="1108">
        <f t="shared" ca="1" si="7"/>
        <v>2422042551.8591008</v>
      </c>
      <c r="AJ57" s="1108">
        <f t="shared" ca="1" si="7"/>
        <v>1708799540.5088072</v>
      </c>
      <c r="AK57" s="1108">
        <f t="shared" ca="1" si="7"/>
        <v>2141988051.8591013</v>
      </c>
      <c r="AL57" s="1108">
        <f t="shared" ca="1" si="7"/>
        <v>2486444551.8591013</v>
      </c>
      <c r="AM57" s="1108">
        <f t="shared" ca="1" si="7"/>
        <v>2719961540.5088072</v>
      </c>
      <c r="AN57" s="1108">
        <f t="shared" ca="1" si="7"/>
        <v>2544722851.8591013</v>
      </c>
      <c r="AO57" s="1108">
        <f t="shared" ca="1" si="7"/>
        <v>1758276340.5088053</v>
      </c>
      <c r="AP57" s="1110">
        <f t="shared" ca="1" si="7"/>
        <v>2276267151.8591013</v>
      </c>
      <c r="AQ57" s="1111"/>
      <c r="AR57" s="1112"/>
      <c r="AS57" s="1112"/>
      <c r="AT57" s="1112"/>
      <c r="AU57" s="1112"/>
      <c r="AV57" s="1113"/>
    </row>
    <row r="58" spans="1:48" ht="49.5" x14ac:dyDescent="0.2">
      <c r="A58" s="1114"/>
      <c r="B58" s="259"/>
      <c r="C58" s="259"/>
      <c r="D58" s="259"/>
      <c r="E58" s="357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115"/>
      <c r="AR58" s="1116"/>
      <c r="AS58" s="1116"/>
      <c r="AT58" s="1116"/>
      <c r="AU58" s="1116"/>
      <c r="AV58" s="1117"/>
    </row>
    <row r="59" spans="1:48" ht="49.5" x14ac:dyDescent="0.2">
      <c r="A59" s="1114"/>
      <c r="B59" s="259"/>
      <c r="C59" s="259"/>
      <c r="D59" s="259"/>
      <c r="E59" s="1118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85"/>
      <c r="AB59" s="285"/>
      <c r="AC59" s="285"/>
      <c r="AD59" s="285"/>
      <c r="AE59" s="285"/>
      <c r="AF59" s="285"/>
      <c r="AG59" s="285"/>
      <c r="AH59" s="285"/>
      <c r="AI59" s="285"/>
      <c r="AJ59" s="285"/>
      <c r="AK59" s="285"/>
      <c r="AL59" s="285"/>
      <c r="AM59" s="285"/>
      <c r="AN59" s="285"/>
      <c r="AO59" s="285"/>
      <c r="AP59" s="285"/>
      <c r="AQ59" s="1115"/>
      <c r="AR59" s="1116"/>
      <c r="AS59" s="1116"/>
      <c r="AT59" s="1116"/>
      <c r="AU59" s="1116"/>
      <c r="AV59" s="1117"/>
    </row>
    <row r="60" spans="1:48" ht="12.75" x14ac:dyDescent="0.2">
      <c r="A60" s="1440" t="s">
        <v>394</v>
      </c>
      <c r="B60" s="243"/>
      <c r="C60" s="243"/>
      <c r="D60" s="243"/>
      <c r="E60" s="1376">
        <v>2025</v>
      </c>
      <c r="F60" s="1367"/>
      <c r="G60" s="1367"/>
      <c r="H60" s="1367"/>
      <c r="I60" s="1367"/>
      <c r="J60" s="1367"/>
      <c r="K60" s="1367"/>
      <c r="L60" s="1367"/>
      <c r="M60" s="1367"/>
      <c r="N60" s="1367"/>
      <c r="O60" s="1367"/>
      <c r="P60" s="1368"/>
      <c r="Q60" s="166"/>
      <c r="R60" s="1377">
        <v>2026</v>
      </c>
      <c r="S60" s="1367"/>
      <c r="T60" s="1367"/>
      <c r="U60" s="1367"/>
      <c r="V60" s="1367"/>
      <c r="W60" s="1367"/>
      <c r="X60" s="1367"/>
      <c r="Y60" s="1367"/>
      <c r="Z60" s="1367"/>
      <c r="AA60" s="1367"/>
      <c r="AB60" s="1367"/>
      <c r="AC60" s="1368"/>
      <c r="AD60" s="167"/>
      <c r="AE60" s="1376">
        <v>2027</v>
      </c>
      <c r="AF60" s="1367"/>
      <c r="AG60" s="1367"/>
      <c r="AH60" s="1367"/>
      <c r="AI60" s="1367"/>
      <c r="AJ60" s="1367"/>
      <c r="AK60" s="1367"/>
      <c r="AL60" s="1367"/>
      <c r="AM60" s="1367"/>
      <c r="AN60" s="1367"/>
      <c r="AO60" s="1367"/>
      <c r="AP60" s="1368"/>
      <c r="AQ60" s="1111"/>
      <c r="AR60" s="1112"/>
      <c r="AS60" s="1112"/>
      <c r="AT60" s="1112"/>
      <c r="AU60" s="1112"/>
      <c r="AV60" s="1113"/>
    </row>
    <row r="61" spans="1:48" ht="12.75" x14ac:dyDescent="0.2">
      <c r="A61" s="1441"/>
      <c r="B61" s="258"/>
      <c r="C61" s="258"/>
      <c r="D61" s="258"/>
      <c r="E61" s="1378" t="s">
        <v>118</v>
      </c>
      <c r="F61" s="1367"/>
      <c r="G61" s="1368"/>
      <c r="H61" s="1371" t="s">
        <v>119</v>
      </c>
      <c r="I61" s="1367"/>
      <c r="J61" s="1368"/>
      <c r="K61" s="1371" t="s">
        <v>120</v>
      </c>
      <c r="L61" s="1367"/>
      <c r="M61" s="1368"/>
      <c r="N61" s="1371" t="s">
        <v>121</v>
      </c>
      <c r="O61" s="1367"/>
      <c r="P61" s="1368"/>
      <c r="Q61" s="174"/>
      <c r="R61" s="1378" t="s">
        <v>118</v>
      </c>
      <c r="S61" s="1367"/>
      <c r="T61" s="1368"/>
      <c r="U61" s="1371" t="s">
        <v>119</v>
      </c>
      <c r="V61" s="1367"/>
      <c r="W61" s="1368"/>
      <c r="X61" s="1371" t="s">
        <v>120</v>
      </c>
      <c r="Y61" s="1367"/>
      <c r="Z61" s="1368"/>
      <c r="AA61" s="1371" t="s">
        <v>121</v>
      </c>
      <c r="AB61" s="1367"/>
      <c r="AC61" s="1368"/>
      <c r="AD61" s="174"/>
      <c r="AE61" s="1378" t="s">
        <v>118</v>
      </c>
      <c r="AF61" s="1367"/>
      <c r="AG61" s="1368"/>
      <c r="AH61" s="1371" t="s">
        <v>119</v>
      </c>
      <c r="AI61" s="1367"/>
      <c r="AJ61" s="1368"/>
      <c r="AK61" s="1371" t="s">
        <v>120</v>
      </c>
      <c r="AL61" s="1367"/>
      <c r="AM61" s="1368"/>
      <c r="AN61" s="1371" t="s">
        <v>121</v>
      </c>
      <c r="AO61" s="1367"/>
      <c r="AP61" s="1368"/>
      <c r="AQ61" s="1111"/>
      <c r="AR61" s="1112"/>
      <c r="AS61" s="1112"/>
      <c r="AT61" s="1112"/>
      <c r="AU61" s="1112"/>
      <c r="AV61" s="1113"/>
    </row>
    <row r="62" spans="1:48" ht="18" x14ac:dyDescent="0.25">
      <c r="A62" s="1441"/>
      <c r="B62" s="243"/>
      <c r="C62" s="243"/>
      <c r="D62" s="243"/>
      <c r="E62" s="1077">
        <v>1</v>
      </c>
      <c r="F62" s="1078">
        <v>2</v>
      </c>
      <c r="G62" s="1078">
        <v>3</v>
      </c>
      <c r="H62" s="1078">
        <v>4</v>
      </c>
      <c r="I62" s="1078">
        <v>5</v>
      </c>
      <c r="J62" s="1078">
        <v>6</v>
      </c>
      <c r="K62" s="1078">
        <v>7</v>
      </c>
      <c r="L62" s="1078">
        <v>8</v>
      </c>
      <c r="M62" s="1078">
        <v>9</v>
      </c>
      <c r="N62" s="1078">
        <v>10</v>
      </c>
      <c r="O62" s="1078">
        <v>11</v>
      </c>
      <c r="P62" s="1078">
        <v>12</v>
      </c>
      <c r="Q62" s="1078"/>
      <c r="R62" s="1078">
        <v>1</v>
      </c>
      <c r="S62" s="1078">
        <v>2</v>
      </c>
      <c r="T62" s="1078">
        <v>3</v>
      </c>
      <c r="U62" s="1078">
        <v>4</v>
      </c>
      <c r="V62" s="1078">
        <v>5</v>
      </c>
      <c r="W62" s="1078">
        <v>6</v>
      </c>
      <c r="X62" s="1078">
        <v>7</v>
      </c>
      <c r="Y62" s="1078">
        <v>8</v>
      </c>
      <c r="Z62" s="1078">
        <v>9</v>
      </c>
      <c r="AA62" s="1078">
        <v>10</v>
      </c>
      <c r="AB62" s="1078">
        <v>11</v>
      </c>
      <c r="AC62" s="1078">
        <v>12</v>
      </c>
      <c r="AD62" s="1078"/>
      <c r="AE62" s="1079">
        <v>1</v>
      </c>
      <c r="AF62" s="1080">
        <v>2</v>
      </c>
      <c r="AG62" s="1080">
        <v>3</v>
      </c>
      <c r="AH62" s="1080">
        <v>4</v>
      </c>
      <c r="AI62" s="1080">
        <v>5</v>
      </c>
      <c r="AJ62" s="1080">
        <v>6</v>
      </c>
      <c r="AK62" s="1080">
        <v>7</v>
      </c>
      <c r="AL62" s="1080">
        <v>8</v>
      </c>
      <c r="AM62" s="1080">
        <v>9</v>
      </c>
      <c r="AN62" s="1080">
        <v>10</v>
      </c>
      <c r="AO62" s="1080">
        <v>11</v>
      </c>
      <c r="AP62" s="1081">
        <v>12</v>
      </c>
      <c r="AQ62" s="1111"/>
      <c r="AR62" s="1112"/>
      <c r="AS62" s="1112"/>
      <c r="AT62" s="1112"/>
      <c r="AU62" s="1112"/>
      <c r="AV62" s="1113"/>
    </row>
    <row r="63" spans="1:48" ht="14.25" x14ac:dyDescent="0.2">
      <c r="A63" s="1085" t="str">
        <f t="shared" ref="A63:A70" si="8">I190</f>
        <v>REVENUES</v>
      </c>
      <c r="B63" s="1092"/>
      <c r="C63" s="1092"/>
      <c r="D63" s="1092"/>
      <c r="E63" s="1093">
        <f t="shared" ref="E63:AP63" si="9">E10</f>
        <v>0</v>
      </c>
      <c r="F63" s="1092">
        <f t="shared" si="9"/>
        <v>0</v>
      </c>
      <c r="G63" s="1092">
        <f t="shared" si="9"/>
        <v>0</v>
      </c>
      <c r="H63" s="1092">
        <f t="shared" si="9"/>
        <v>0</v>
      </c>
      <c r="I63" s="1092">
        <f t="shared" si="9"/>
        <v>0</v>
      </c>
      <c r="J63" s="1092">
        <f t="shared" si="9"/>
        <v>7333200000</v>
      </c>
      <c r="K63" s="1092">
        <f t="shared" si="9"/>
        <v>7333200000</v>
      </c>
      <c r="L63" s="1092">
        <f t="shared" si="9"/>
        <v>8310960000</v>
      </c>
      <c r="M63" s="1092">
        <f t="shared" si="9"/>
        <v>8310960000</v>
      </c>
      <c r="N63" s="1092">
        <f t="shared" si="9"/>
        <v>8711570000</v>
      </c>
      <c r="O63" s="1092">
        <f t="shared" si="9"/>
        <v>8711570000</v>
      </c>
      <c r="P63" s="1094">
        <f t="shared" si="9"/>
        <v>8711570000</v>
      </c>
      <c r="Q63" s="1092">
        <f t="shared" si="9"/>
        <v>0</v>
      </c>
      <c r="R63" s="1093">
        <f t="shared" si="9"/>
        <v>7401100000</v>
      </c>
      <c r="S63" s="1092">
        <f t="shared" si="9"/>
        <v>7401100000</v>
      </c>
      <c r="T63" s="1092">
        <f t="shared" si="9"/>
        <v>7401100000</v>
      </c>
      <c r="U63" s="1092">
        <f t="shared" si="9"/>
        <v>9085020000</v>
      </c>
      <c r="V63" s="1092">
        <f t="shared" si="9"/>
        <v>9085020000</v>
      </c>
      <c r="W63" s="1092">
        <f t="shared" si="9"/>
        <v>9085020000</v>
      </c>
      <c r="X63" s="1092">
        <f t="shared" si="9"/>
        <v>9424520000</v>
      </c>
      <c r="Y63" s="1092">
        <f t="shared" si="9"/>
        <v>9424520000</v>
      </c>
      <c r="Z63" s="1092">
        <f t="shared" si="9"/>
        <v>9424520000</v>
      </c>
      <c r="AA63" s="1092">
        <f t="shared" si="9"/>
        <v>9825130000</v>
      </c>
      <c r="AB63" s="1092">
        <f t="shared" si="9"/>
        <v>14716380000</v>
      </c>
      <c r="AC63" s="1094">
        <f t="shared" si="9"/>
        <v>14750330000</v>
      </c>
      <c r="AD63" s="1092">
        <f t="shared" si="9"/>
        <v>0</v>
      </c>
      <c r="AE63" s="1093">
        <f t="shared" si="9"/>
        <v>12848220000</v>
      </c>
      <c r="AF63" s="1092">
        <f t="shared" si="9"/>
        <v>12668320000</v>
      </c>
      <c r="AG63" s="1092">
        <f t="shared" si="9"/>
        <v>12668320000</v>
      </c>
      <c r="AH63" s="1092">
        <f t="shared" si="9"/>
        <v>16344580000</v>
      </c>
      <c r="AI63" s="1092">
        <f t="shared" si="9"/>
        <v>16344580000</v>
      </c>
      <c r="AJ63" s="1092">
        <f t="shared" si="9"/>
        <v>16344580000</v>
      </c>
      <c r="AK63" s="1092">
        <f t="shared" si="9"/>
        <v>17117870000</v>
      </c>
      <c r="AL63" s="1092">
        <f t="shared" si="9"/>
        <v>17117870000</v>
      </c>
      <c r="AM63" s="1092">
        <f t="shared" si="9"/>
        <v>17603600000</v>
      </c>
      <c r="AN63" s="1092">
        <f t="shared" si="9"/>
        <v>18146450000</v>
      </c>
      <c r="AO63" s="1092">
        <f t="shared" si="9"/>
        <v>18234370000</v>
      </c>
      <c r="AP63" s="1094">
        <f t="shared" si="9"/>
        <v>18322290000</v>
      </c>
      <c r="AQ63" s="1111"/>
      <c r="AR63" s="1112"/>
      <c r="AS63" s="1112"/>
      <c r="AT63" s="1112"/>
      <c r="AU63" s="1112"/>
      <c r="AV63" s="1113"/>
    </row>
    <row r="64" spans="1:48" ht="14.25" x14ac:dyDescent="0.2">
      <c r="A64" s="1085" t="str">
        <f t="shared" si="8"/>
        <v>COST OF GOODS SOLD</v>
      </c>
      <c r="B64" s="1092"/>
      <c r="C64" s="1092"/>
      <c r="D64" s="1092"/>
      <c r="E64" s="1093">
        <f t="shared" ref="E64:AP64" ca="1" si="10">E20</f>
        <v>240000000</v>
      </c>
      <c r="F64" s="1092">
        <f t="shared" ca="1" si="10"/>
        <v>465748206.13176781</v>
      </c>
      <c r="G64" s="1092">
        <f t="shared" ca="1" si="10"/>
        <v>857657320.76143038</v>
      </c>
      <c r="H64" s="1092">
        <f t="shared" ca="1" si="10"/>
        <v>1154574831.957798</v>
      </c>
      <c r="I64" s="1092">
        <f t="shared" ca="1" si="10"/>
        <v>1333191384.3274059</v>
      </c>
      <c r="J64" s="1092">
        <f t="shared" ca="1" si="10"/>
        <v>5750911937.3776903</v>
      </c>
      <c r="K64" s="1092">
        <f t="shared" ca="1" si="10"/>
        <v>5879166448.1408997</v>
      </c>
      <c r="L64" s="1092">
        <f t="shared" ca="1" si="10"/>
        <v>6438961448.1409006</v>
      </c>
      <c r="M64" s="1092">
        <f t="shared" ca="1" si="10"/>
        <v>6419393659.4911938</v>
      </c>
      <c r="N64" s="1092">
        <f t="shared" ca="1" si="10"/>
        <v>6661261448.1408997</v>
      </c>
      <c r="O64" s="1092">
        <f t="shared" ca="1" si="10"/>
        <v>6641133659.4911938</v>
      </c>
      <c r="P64" s="1094">
        <f t="shared" ca="1" si="10"/>
        <v>6669441448.1408997</v>
      </c>
      <c r="Q64" s="1092">
        <f t="shared" si="10"/>
        <v>0</v>
      </c>
      <c r="R64" s="1093">
        <f t="shared" ca="1" si="10"/>
        <v>5939641448.1409006</v>
      </c>
      <c r="S64" s="1092">
        <f t="shared" ca="1" si="10"/>
        <v>5910008082.191781</v>
      </c>
      <c r="T64" s="1092">
        <f t="shared" ca="1" si="10"/>
        <v>6045951448.1409006</v>
      </c>
      <c r="U64" s="1092">
        <f t="shared" ca="1" si="10"/>
        <v>6953753659.4911938</v>
      </c>
      <c r="V64" s="1092">
        <f t="shared" ca="1" si="10"/>
        <v>6973881448.1409006</v>
      </c>
      <c r="W64" s="1092">
        <f t="shared" ca="1" si="10"/>
        <v>6954243659.4911938</v>
      </c>
      <c r="X64" s="1092">
        <f t="shared" ca="1" si="10"/>
        <v>7165401448.1408997</v>
      </c>
      <c r="Y64" s="1092">
        <f t="shared" ca="1" si="10"/>
        <v>7165401448.1409006</v>
      </c>
      <c r="Z64" s="1092">
        <f t="shared" ca="1" si="10"/>
        <v>7145763659.4911938</v>
      </c>
      <c r="AA64" s="1092">
        <f t="shared" ca="1" si="10"/>
        <v>7390291448.1409006</v>
      </c>
      <c r="AB64" s="1092">
        <f t="shared" ca="1" si="10"/>
        <v>10650573659.491194</v>
      </c>
      <c r="AC64" s="1094">
        <f t="shared" ca="1" si="10"/>
        <v>10690871448.1409</v>
      </c>
      <c r="AD64" s="1092">
        <f t="shared" si="10"/>
        <v>0</v>
      </c>
      <c r="AE64" s="1093">
        <f t="shared" ca="1" si="10"/>
        <v>9509381448.1408997</v>
      </c>
      <c r="AF64" s="1092">
        <f t="shared" ca="1" si="10"/>
        <v>9340298082.191782</v>
      </c>
      <c r="AG64" s="1092">
        <f t="shared" ca="1" si="10"/>
        <v>9403341448.1408997</v>
      </c>
      <c r="AH64" s="1092">
        <f t="shared" ca="1" si="10"/>
        <v>11707623659.491194</v>
      </c>
      <c r="AI64" s="1092">
        <f t="shared" ca="1" si="10"/>
        <v>11727751448.1409</v>
      </c>
      <c r="AJ64" s="1092">
        <f t="shared" ca="1" si="10"/>
        <v>11708253659.491194</v>
      </c>
      <c r="AK64" s="1092">
        <f t="shared" ca="1" si="10"/>
        <v>12217401448.1409</v>
      </c>
      <c r="AL64" s="1092">
        <f t="shared" ca="1" si="10"/>
        <v>12217681448.1409</v>
      </c>
      <c r="AM64" s="1092">
        <f t="shared" ca="1" si="10"/>
        <v>12524073659.491194</v>
      </c>
      <c r="AN64" s="1092">
        <f t="shared" ca="1" si="10"/>
        <v>12843011448.1409</v>
      </c>
      <c r="AO64" s="1092">
        <f t="shared" ca="1" si="10"/>
        <v>12872523659.491196</v>
      </c>
      <c r="AP64" s="1094">
        <f t="shared" ca="1" si="10"/>
        <v>12923881448.1409</v>
      </c>
      <c r="AQ64" s="1111"/>
      <c r="AR64" s="1112"/>
      <c r="AS64" s="1112"/>
      <c r="AT64" s="1112"/>
      <c r="AU64" s="1112"/>
      <c r="AV64" s="1113"/>
    </row>
    <row r="65" spans="1:48" ht="14.25" x14ac:dyDescent="0.2">
      <c r="A65" s="1098" t="str">
        <f t="shared" si="8"/>
        <v>GROSS PROFIT (LOSS)</v>
      </c>
      <c r="B65" s="1092"/>
      <c r="C65" s="1092"/>
      <c r="D65" s="1092"/>
      <c r="E65" s="1093">
        <f t="shared" ref="E65:AP65" ca="1" si="11">E22</f>
        <v>-240000000</v>
      </c>
      <c r="F65" s="1092">
        <f t="shared" ca="1" si="11"/>
        <v>-465748206.13176781</v>
      </c>
      <c r="G65" s="1092">
        <f t="shared" ca="1" si="11"/>
        <v>-857657320.76143038</v>
      </c>
      <c r="H65" s="1092">
        <f t="shared" ca="1" si="11"/>
        <v>-1154574831.957798</v>
      </c>
      <c r="I65" s="1092">
        <f t="shared" ca="1" si="11"/>
        <v>-1333191384.3274059</v>
      </c>
      <c r="J65" s="1092">
        <f t="shared" ca="1" si="11"/>
        <v>1582288062.6223097</v>
      </c>
      <c r="K65" s="1092">
        <f t="shared" ca="1" si="11"/>
        <v>1454033551.8591003</v>
      </c>
      <c r="L65" s="1092">
        <f t="shared" ca="1" si="11"/>
        <v>1871998551.8590994</v>
      </c>
      <c r="M65" s="1092">
        <f t="shared" ca="1" si="11"/>
        <v>1891566340.5088062</v>
      </c>
      <c r="N65" s="1092">
        <f t="shared" ca="1" si="11"/>
        <v>2050308551.8591003</v>
      </c>
      <c r="O65" s="1092">
        <f t="shared" ca="1" si="11"/>
        <v>2070436340.5088062</v>
      </c>
      <c r="P65" s="1094">
        <f t="shared" ca="1" si="11"/>
        <v>2042128551.8591003</v>
      </c>
      <c r="Q65" s="1092">
        <f t="shared" si="11"/>
        <v>0</v>
      </c>
      <c r="R65" s="1093">
        <f t="shared" ca="1" si="11"/>
        <v>1461458551.8590994</v>
      </c>
      <c r="S65" s="1092">
        <f t="shared" ca="1" si="11"/>
        <v>1491091917.808219</v>
      </c>
      <c r="T65" s="1092">
        <f t="shared" ca="1" si="11"/>
        <v>1355148551.8590994</v>
      </c>
      <c r="U65" s="1092">
        <f t="shared" ca="1" si="11"/>
        <v>2131266340.5088062</v>
      </c>
      <c r="V65" s="1092">
        <f t="shared" ca="1" si="11"/>
        <v>2111138551.8590994</v>
      </c>
      <c r="W65" s="1092">
        <f t="shared" ca="1" si="11"/>
        <v>2130776340.5088062</v>
      </c>
      <c r="X65" s="1092">
        <f t="shared" ca="1" si="11"/>
        <v>2259118551.8591003</v>
      </c>
      <c r="Y65" s="1092">
        <f t="shared" ca="1" si="11"/>
        <v>2259118551.8590994</v>
      </c>
      <c r="Z65" s="1092">
        <f t="shared" ca="1" si="11"/>
        <v>2278756340.5088062</v>
      </c>
      <c r="AA65" s="1092">
        <f t="shared" ca="1" si="11"/>
        <v>2434838551.8590994</v>
      </c>
      <c r="AB65" s="1092">
        <f t="shared" ca="1" si="11"/>
        <v>4065806340.5088062</v>
      </c>
      <c r="AC65" s="1094">
        <f t="shared" ca="1" si="11"/>
        <v>4059458551.8591003</v>
      </c>
      <c r="AD65" s="1092">
        <f t="shared" si="11"/>
        <v>0</v>
      </c>
      <c r="AE65" s="1093">
        <f t="shared" ca="1" si="11"/>
        <v>3338838551.8591003</v>
      </c>
      <c r="AF65" s="1092">
        <f t="shared" ca="1" si="11"/>
        <v>3328021917.808218</v>
      </c>
      <c r="AG65" s="1092">
        <f t="shared" ca="1" si="11"/>
        <v>3264978551.8591003</v>
      </c>
      <c r="AH65" s="1092">
        <f t="shared" ca="1" si="11"/>
        <v>4636956340.5088062</v>
      </c>
      <c r="AI65" s="1092">
        <f t="shared" ca="1" si="11"/>
        <v>4616828551.8591003</v>
      </c>
      <c r="AJ65" s="1092">
        <f t="shared" ca="1" si="11"/>
        <v>4636326340.5088062</v>
      </c>
      <c r="AK65" s="1092">
        <f t="shared" ca="1" si="11"/>
        <v>4900468551.8591003</v>
      </c>
      <c r="AL65" s="1092">
        <f t="shared" ca="1" si="11"/>
        <v>4900188551.8591003</v>
      </c>
      <c r="AM65" s="1092">
        <f t="shared" ca="1" si="11"/>
        <v>5079526340.5088062</v>
      </c>
      <c r="AN65" s="1092">
        <f t="shared" ca="1" si="11"/>
        <v>5303438551.8591003</v>
      </c>
      <c r="AO65" s="1092">
        <f t="shared" ca="1" si="11"/>
        <v>5361846340.5088043</v>
      </c>
      <c r="AP65" s="1094">
        <f t="shared" ca="1" si="11"/>
        <v>5398408551.8591003</v>
      </c>
      <c r="AQ65" s="1111"/>
      <c r="AR65" s="1112"/>
      <c r="AS65" s="1112"/>
      <c r="AT65" s="1112"/>
      <c r="AU65" s="1112"/>
      <c r="AV65" s="1113"/>
    </row>
    <row r="66" spans="1:48" ht="14.25" x14ac:dyDescent="0.2">
      <c r="A66" s="1085" t="str">
        <f t="shared" si="8"/>
        <v>OPERATING EXPENSES</v>
      </c>
      <c r="B66" s="1092">
        <f>Expenses!B102</f>
        <v>0</v>
      </c>
      <c r="C66" s="1092">
        <f>Expenses!D102</f>
        <v>0</v>
      </c>
      <c r="D66" s="1092"/>
      <c r="E66" s="1093">
        <f t="shared" ref="E66:AP66" ca="1" si="12">E48</f>
        <v>432250000</v>
      </c>
      <c r="F66" s="1092">
        <f t="shared" ca="1" si="12"/>
        <v>132250000</v>
      </c>
      <c r="G66" s="1092">
        <f t="shared" ca="1" si="12"/>
        <v>230906000</v>
      </c>
      <c r="H66" s="1092">
        <f t="shared" ca="1" si="12"/>
        <v>172218000</v>
      </c>
      <c r="I66" s="1092">
        <f t="shared" ca="1" si="12"/>
        <v>183466000</v>
      </c>
      <c r="J66" s="1092">
        <f t="shared" ca="1" si="12"/>
        <v>1162462000</v>
      </c>
      <c r="K66" s="1092">
        <f t="shared" ca="1" si="12"/>
        <v>982826000</v>
      </c>
      <c r="L66" s="1092">
        <f t="shared" ca="1" si="12"/>
        <v>883679600</v>
      </c>
      <c r="M66" s="1092">
        <f t="shared" ca="1" si="12"/>
        <v>794179600</v>
      </c>
      <c r="N66" s="1092">
        <f t="shared" ca="1" si="12"/>
        <v>992472200</v>
      </c>
      <c r="O66" s="1092">
        <f t="shared" ca="1" si="12"/>
        <v>1420984200</v>
      </c>
      <c r="P66" s="1094">
        <f t="shared" ca="1" si="12"/>
        <v>1421984200</v>
      </c>
      <c r="Q66" s="1092">
        <f t="shared" si="12"/>
        <v>0</v>
      </c>
      <c r="R66" s="1093">
        <f t="shared" ca="1" si="12"/>
        <v>1427339600</v>
      </c>
      <c r="S66" s="1092">
        <f t="shared" ca="1" si="12"/>
        <v>1056057600</v>
      </c>
      <c r="T66" s="1092">
        <f t="shared" ca="1" si="12"/>
        <v>827659600</v>
      </c>
      <c r="U66" s="1092">
        <f t="shared" ca="1" si="12"/>
        <v>834943200</v>
      </c>
      <c r="V66" s="1092">
        <f t="shared" ca="1" si="12"/>
        <v>1063134000</v>
      </c>
      <c r="W66" s="1092">
        <f t="shared" ca="1" si="12"/>
        <v>1137299200</v>
      </c>
      <c r="X66" s="1092">
        <f t="shared" ca="1" si="12"/>
        <v>1282414000</v>
      </c>
      <c r="Y66" s="1092">
        <f t="shared" ca="1" si="12"/>
        <v>990086000</v>
      </c>
      <c r="Z66" s="1092">
        <f t="shared" ca="1" si="12"/>
        <v>990086000</v>
      </c>
      <c r="AA66" s="1092">
        <f t="shared" ca="1" si="12"/>
        <v>1289236100</v>
      </c>
      <c r="AB66" s="1092">
        <f t="shared" ca="1" si="12"/>
        <v>2574486400</v>
      </c>
      <c r="AC66" s="1094">
        <f t="shared" ca="1" si="12"/>
        <v>2234531800</v>
      </c>
      <c r="AD66" s="1092">
        <f t="shared" si="12"/>
        <v>0</v>
      </c>
      <c r="AE66" s="1093">
        <f t="shared" ca="1" si="12"/>
        <v>2352929100</v>
      </c>
      <c r="AF66" s="1092">
        <f t="shared" ca="1" si="12"/>
        <v>1601836100</v>
      </c>
      <c r="AG66" s="1092">
        <f t="shared" ca="1" si="12"/>
        <v>1220615100</v>
      </c>
      <c r="AH66" s="1092">
        <f t="shared" ca="1" si="12"/>
        <v>1387266800</v>
      </c>
      <c r="AI66" s="1092">
        <f t="shared" ca="1" si="12"/>
        <v>2107066000</v>
      </c>
      <c r="AJ66" s="1092">
        <f t="shared" ca="1" si="12"/>
        <v>1874886800</v>
      </c>
      <c r="AK66" s="1092">
        <f t="shared" ca="1" si="12"/>
        <v>1793560500</v>
      </c>
      <c r="AL66" s="1092">
        <f t="shared" ca="1" si="12"/>
        <v>1536544000</v>
      </c>
      <c r="AM66" s="1092">
        <f t="shared" ca="1" si="12"/>
        <v>1570084800</v>
      </c>
      <c r="AN66" s="1092">
        <f t="shared" ca="1" si="12"/>
        <v>2056955700</v>
      </c>
      <c r="AO66" s="1092">
        <f t="shared" ca="1" si="12"/>
        <v>2989530000</v>
      </c>
      <c r="AP66" s="1094">
        <f t="shared" ca="1" si="12"/>
        <v>2595821400</v>
      </c>
      <c r="AQ66" s="1111"/>
      <c r="AR66" s="1112"/>
      <c r="AS66" s="1112"/>
      <c r="AT66" s="1112"/>
      <c r="AU66" s="1112"/>
      <c r="AV66" s="1113"/>
    </row>
    <row r="67" spans="1:48" ht="14.25" x14ac:dyDescent="0.2">
      <c r="A67" s="1099" t="str">
        <f t="shared" si="8"/>
        <v>EBIT</v>
      </c>
      <c r="B67" s="1100"/>
      <c r="C67" s="1100"/>
      <c r="D67" s="1100"/>
      <c r="E67" s="1101">
        <f t="shared" ref="E67:AP67" ca="1" si="13">E50</f>
        <v>-672250000</v>
      </c>
      <c r="F67" s="1101">
        <f t="shared" ca="1" si="13"/>
        <v>-597998206.13176775</v>
      </c>
      <c r="G67" s="1101">
        <f t="shared" ca="1" si="13"/>
        <v>-1088563320.7614303</v>
      </c>
      <c r="H67" s="1101">
        <f t="shared" ca="1" si="13"/>
        <v>-1326792831.957798</v>
      </c>
      <c r="I67" s="1101">
        <f t="shared" ca="1" si="13"/>
        <v>-1516657384.3274059</v>
      </c>
      <c r="J67" s="1101">
        <f t="shared" ca="1" si="13"/>
        <v>419826062.62230968</v>
      </c>
      <c r="K67" s="1101">
        <f t="shared" ca="1" si="13"/>
        <v>471207551.85910034</v>
      </c>
      <c r="L67" s="1101">
        <f t="shared" ca="1" si="13"/>
        <v>988318951.85909939</v>
      </c>
      <c r="M67" s="1101">
        <f t="shared" ca="1" si="13"/>
        <v>1097386740.5088062</v>
      </c>
      <c r="N67" s="1101">
        <f t="shared" ca="1" si="13"/>
        <v>1057836351.8591003</v>
      </c>
      <c r="O67" s="1101">
        <f t="shared" ca="1" si="13"/>
        <v>649452140.50880623</v>
      </c>
      <c r="P67" s="1101">
        <f t="shared" ca="1" si="13"/>
        <v>620144351.85910034</v>
      </c>
      <c r="Q67" s="1101">
        <f t="shared" si="13"/>
        <v>0</v>
      </c>
      <c r="R67" s="1093">
        <f t="shared" ca="1" si="13"/>
        <v>34118951.859099388</v>
      </c>
      <c r="S67" s="1092">
        <f t="shared" ca="1" si="13"/>
        <v>435034317.80821896</v>
      </c>
      <c r="T67" s="1092">
        <f t="shared" ca="1" si="13"/>
        <v>527488951.85909939</v>
      </c>
      <c r="U67" s="1092">
        <f t="shared" ca="1" si="13"/>
        <v>1296323140.5088062</v>
      </c>
      <c r="V67" s="1092">
        <f t="shared" ca="1" si="13"/>
        <v>1048004551.8590994</v>
      </c>
      <c r="W67" s="1092">
        <f t="shared" ca="1" si="13"/>
        <v>993477140.50880623</v>
      </c>
      <c r="X67" s="1092">
        <f t="shared" ca="1" si="13"/>
        <v>976704551.85910034</v>
      </c>
      <c r="Y67" s="1092">
        <f t="shared" ca="1" si="13"/>
        <v>1269032551.8590994</v>
      </c>
      <c r="Z67" s="1092">
        <f t="shared" ca="1" si="13"/>
        <v>1288670340.5088062</v>
      </c>
      <c r="AA67" s="1092">
        <f t="shared" ca="1" si="13"/>
        <v>1145602451.8590994</v>
      </c>
      <c r="AB67" s="1092">
        <f t="shared" ca="1" si="13"/>
        <v>1491319940.5088062</v>
      </c>
      <c r="AC67" s="1092">
        <f t="shared" ca="1" si="13"/>
        <v>1824926751.8591003</v>
      </c>
      <c r="AD67" s="1092">
        <f t="shared" si="13"/>
        <v>0</v>
      </c>
      <c r="AE67" s="1093">
        <f t="shared" ca="1" si="13"/>
        <v>985909451.85910034</v>
      </c>
      <c r="AF67" s="1092">
        <f t="shared" ca="1" si="13"/>
        <v>1726185817.808218</v>
      </c>
      <c r="AG67" s="1092">
        <f t="shared" ca="1" si="13"/>
        <v>2044363451.8591003</v>
      </c>
      <c r="AH67" s="1092">
        <f t="shared" ca="1" si="13"/>
        <v>3249689540.5088062</v>
      </c>
      <c r="AI67" s="1092">
        <f t="shared" ca="1" si="13"/>
        <v>2509762551.8591003</v>
      </c>
      <c r="AJ67" s="1092">
        <f t="shared" ca="1" si="13"/>
        <v>2761439540.5088062</v>
      </c>
      <c r="AK67" s="1092">
        <f t="shared" ca="1" si="13"/>
        <v>3106908051.8591003</v>
      </c>
      <c r="AL67" s="1092">
        <f t="shared" ca="1" si="13"/>
        <v>3363644551.8591003</v>
      </c>
      <c r="AM67" s="1092">
        <f t="shared" ca="1" si="13"/>
        <v>3509441540.5088062</v>
      </c>
      <c r="AN67" s="1092">
        <f t="shared" ca="1" si="13"/>
        <v>3246482851.8591003</v>
      </c>
      <c r="AO67" s="1092">
        <f t="shared" ca="1" si="13"/>
        <v>2372316340.5088043</v>
      </c>
      <c r="AP67" s="1094">
        <f t="shared" ca="1" si="13"/>
        <v>2802587151.8591003</v>
      </c>
      <c r="AQ67" s="1111"/>
      <c r="AR67" s="1112"/>
      <c r="AS67" s="1112"/>
      <c r="AT67" s="1112"/>
      <c r="AU67" s="1112"/>
      <c r="AV67" s="1113"/>
    </row>
    <row r="68" spans="1:48" ht="14.25" x14ac:dyDescent="0.2">
      <c r="A68" s="1104" t="str">
        <f t="shared" si="8"/>
        <v>Interest Expense</v>
      </c>
      <c r="B68" s="989"/>
      <c r="C68" s="989"/>
      <c r="D68" s="989"/>
      <c r="E68" s="258">
        <f t="shared" ref="E68:AP68" si="14">E53</f>
        <v>0</v>
      </c>
      <c r="F68" s="258">
        <f t="shared" si="14"/>
        <v>0</v>
      </c>
      <c r="G68" s="258">
        <f t="shared" si="14"/>
        <v>0</v>
      </c>
      <c r="H68" s="258">
        <f t="shared" si="14"/>
        <v>0</v>
      </c>
      <c r="I68" s="258">
        <f t="shared" si="14"/>
        <v>0</v>
      </c>
      <c r="J68" s="258">
        <f t="shared" si="14"/>
        <v>1052639999.9999996</v>
      </c>
      <c r="K68" s="258">
        <f t="shared" si="14"/>
        <v>964919999.99999964</v>
      </c>
      <c r="L68" s="258">
        <f t="shared" si="14"/>
        <v>877199999.99999964</v>
      </c>
      <c r="M68" s="258">
        <f t="shared" si="14"/>
        <v>789479999.99999976</v>
      </c>
      <c r="N68" s="258">
        <f t="shared" si="14"/>
        <v>701759999.99999976</v>
      </c>
      <c r="O68" s="258">
        <f t="shared" si="14"/>
        <v>614039999.99999976</v>
      </c>
      <c r="P68" s="258">
        <f t="shared" si="14"/>
        <v>526319999.9999997</v>
      </c>
      <c r="Q68" s="258">
        <f t="shared" si="14"/>
        <v>0</v>
      </c>
      <c r="R68" s="1086">
        <f t="shared" si="14"/>
        <v>438599999.9999997</v>
      </c>
      <c r="S68" s="258">
        <f t="shared" si="14"/>
        <v>350879999.9999997</v>
      </c>
      <c r="T68" s="258">
        <f t="shared" si="14"/>
        <v>263159999.9999997</v>
      </c>
      <c r="U68" s="258">
        <f t="shared" si="14"/>
        <v>175439999.99999973</v>
      </c>
      <c r="V68" s="258">
        <f t="shared" si="14"/>
        <v>87719999.999999732</v>
      </c>
      <c r="W68" s="258">
        <f t="shared" si="14"/>
        <v>1052639999.9999994</v>
      </c>
      <c r="X68" s="258">
        <f t="shared" si="14"/>
        <v>964919999.9999994</v>
      </c>
      <c r="Y68" s="258">
        <f t="shared" si="14"/>
        <v>877199999.9999994</v>
      </c>
      <c r="Z68" s="258">
        <f t="shared" si="14"/>
        <v>789479999.9999994</v>
      </c>
      <c r="AA68" s="258">
        <f t="shared" si="14"/>
        <v>701759999.9999994</v>
      </c>
      <c r="AB68" s="258">
        <f t="shared" si="14"/>
        <v>614039999.9999994</v>
      </c>
      <c r="AC68" s="258">
        <f t="shared" si="14"/>
        <v>526319999.9999994</v>
      </c>
      <c r="AD68" s="258">
        <f t="shared" si="14"/>
        <v>0</v>
      </c>
      <c r="AE68" s="1086">
        <f t="shared" si="14"/>
        <v>438599999.9999994</v>
      </c>
      <c r="AF68" s="258">
        <f t="shared" si="14"/>
        <v>350879999.99999946</v>
      </c>
      <c r="AG68" s="258">
        <f t="shared" si="14"/>
        <v>263159999.99999943</v>
      </c>
      <c r="AH68" s="258">
        <f t="shared" si="14"/>
        <v>175439999.99999943</v>
      </c>
      <c r="AI68" s="258">
        <f t="shared" si="14"/>
        <v>87719999.999999464</v>
      </c>
      <c r="AJ68" s="258">
        <f t="shared" si="14"/>
        <v>1052639999.9999992</v>
      </c>
      <c r="AK68" s="258">
        <f t="shared" si="14"/>
        <v>964919999.99999917</v>
      </c>
      <c r="AL68" s="258">
        <f t="shared" si="14"/>
        <v>877199999.99999917</v>
      </c>
      <c r="AM68" s="258">
        <f t="shared" si="14"/>
        <v>789479999.99999917</v>
      </c>
      <c r="AN68" s="258">
        <f t="shared" si="14"/>
        <v>701759999.99999917</v>
      </c>
      <c r="AO68" s="258">
        <f t="shared" si="14"/>
        <v>614039999.99999917</v>
      </c>
      <c r="AP68" s="1087">
        <f t="shared" si="14"/>
        <v>526319999.99999917</v>
      </c>
      <c r="AQ68" s="1111"/>
      <c r="AR68" s="1112"/>
      <c r="AS68" s="1112"/>
      <c r="AT68" s="1112"/>
      <c r="AU68" s="1112"/>
      <c r="AV68" s="1113"/>
    </row>
    <row r="69" spans="1:48" ht="14.25" x14ac:dyDescent="0.2">
      <c r="A69" s="1104" t="str">
        <f t="shared" si="8"/>
        <v>Income Tax Expense</v>
      </c>
      <c r="B69" s="989"/>
      <c r="C69" s="989"/>
      <c r="D69" s="989"/>
      <c r="E69" s="258">
        <f t="shared" ref="E69:AP69" si="15">E54</f>
        <v>0</v>
      </c>
      <c r="F69" s="258">
        <f t="shared" si="15"/>
        <v>0</v>
      </c>
      <c r="G69" s="258">
        <f t="shared" si="15"/>
        <v>0</v>
      </c>
      <c r="H69" s="258">
        <f t="shared" si="15"/>
        <v>0</v>
      </c>
      <c r="I69" s="258">
        <f t="shared" si="15"/>
        <v>0</v>
      </c>
      <c r="J69" s="258">
        <f t="shared" si="15"/>
        <v>0</v>
      </c>
      <c r="K69" s="258">
        <f t="shared" si="15"/>
        <v>0</v>
      </c>
      <c r="L69" s="258">
        <f t="shared" si="15"/>
        <v>0</v>
      </c>
      <c r="M69" s="258">
        <f t="shared" si="15"/>
        <v>0</v>
      </c>
      <c r="N69" s="258">
        <f t="shared" si="15"/>
        <v>0</v>
      </c>
      <c r="O69" s="258">
        <f t="shared" si="15"/>
        <v>0</v>
      </c>
      <c r="P69" s="258">
        <f t="shared" si="15"/>
        <v>0</v>
      </c>
      <c r="Q69" s="258">
        <f t="shared" si="15"/>
        <v>0</v>
      </c>
      <c r="R69" s="1086">
        <f t="shared" ca="1" si="15"/>
        <v>0</v>
      </c>
      <c r="S69" s="258">
        <f t="shared" si="15"/>
        <v>0</v>
      </c>
      <c r="T69" s="258">
        <f t="shared" si="15"/>
        <v>0</v>
      </c>
      <c r="U69" s="258">
        <f t="shared" si="15"/>
        <v>0</v>
      </c>
      <c r="V69" s="258">
        <f t="shared" si="15"/>
        <v>0</v>
      </c>
      <c r="W69" s="258">
        <f t="shared" si="15"/>
        <v>0</v>
      </c>
      <c r="X69" s="258">
        <f t="shared" si="15"/>
        <v>0</v>
      </c>
      <c r="Y69" s="258">
        <f t="shared" si="15"/>
        <v>0</v>
      </c>
      <c r="Z69" s="258">
        <f t="shared" si="15"/>
        <v>0</v>
      </c>
      <c r="AA69" s="258">
        <f t="shared" si="15"/>
        <v>0</v>
      </c>
      <c r="AB69" s="258">
        <f t="shared" si="15"/>
        <v>0</v>
      </c>
      <c r="AC69" s="258">
        <f t="shared" si="15"/>
        <v>0</v>
      </c>
      <c r="AD69" s="258">
        <f t="shared" si="15"/>
        <v>0</v>
      </c>
      <c r="AE69" s="1086">
        <f t="shared" ca="1" si="15"/>
        <v>1097708728.5714293</v>
      </c>
      <c r="AF69" s="258">
        <f t="shared" si="15"/>
        <v>0</v>
      </c>
      <c r="AG69" s="258">
        <f t="shared" si="15"/>
        <v>0</v>
      </c>
      <c r="AH69" s="258">
        <f t="shared" si="15"/>
        <v>0</v>
      </c>
      <c r="AI69" s="258">
        <f t="shared" si="15"/>
        <v>0</v>
      </c>
      <c r="AJ69" s="258">
        <f t="shared" si="15"/>
        <v>0</v>
      </c>
      <c r="AK69" s="258">
        <f t="shared" si="15"/>
        <v>0</v>
      </c>
      <c r="AL69" s="258">
        <f t="shared" si="15"/>
        <v>0</v>
      </c>
      <c r="AM69" s="258">
        <f t="shared" si="15"/>
        <v>0</v>
      </c>
      <c r="AN69" s="258">
        <f t="shared" si="15"/>
        <v>0</v>
      </c>
      <c r="AO69" s="258">
        <f t="shared" si="15"/>
        <v>0</v>
      </c>
      <c r="AP69" s="1087">
        <f t="shared" si="15"/>
        <v>0</v>
      </c>
      <c r="AQ69" s="1111"/>
      <c r="AR69" s="1112"/>
      <c r="AS69" s="1112"/>
      <c r="AT69" s="1112"/>
      <c r="AU69" s="1112"/>
      <c r="AV69" s="1113"/>
    </row>
    <row r="70" spans="1:48" ht="14.25" x14ac:dyDescent="0.2">
      <c r="A70" s="1099" t="str">
        <f t="shared" si="8"/>
        <v>NET INCOME (LOSS)</v>
      </c>
      <c r="B70" s="1106"/>
      <c r="C70" s="1106"/>
      <c r="D70" s="1107"/>
      <c r="E70" s="1108">
        <f t="shared" ref="E70:AP70" ca="1" si="16">E57</f>
        <v>-672250000</v>
      </c>
      <c r="F70" s="1108">
        <f t="shared" ca="1" si="16"/>
        <v>-597998206.13176775</v>
      </c>
      <c r="G70" s="1108">
        <f t="shared" ca="1" si="16"/>
        <v>-1088563320.7614303</v>
      </c>
      <c r="H70" s="1108">
        <f t="shared" ca="1" si="16"/>
        <v>-1326792831.957798</v>
      </c>
      <c r="I70" s="1108">
        <f t="shared" ca="1" si="16"/>
        <v>-1516657384.3274059</v>
      </c>
      <c r="J70" s="1108">
        <f t="shared" ca="1" si="16"/>
        <v>-632813937.37768996</v>
      </c>
      <c r="K70" s="1108">
        <f t="shared" ca="1" si="16"/>
        <v>-493712448.1408993</v>
      </c>
      <c r="L70" s="1108">
        <f t="shared" ca="1" si="16"/>
        <v>111118951.85909975</v>
      </c>
      <c r="M70" s="1108">
        <f t="shared" ca="1" si="16"/>
        <v>307906740.50880647</v>
      </c>
      <c r="N70" s="1108">
        <f t="shared" ca="1" si="16"/>
        <v>356076351.85910058</v>
      </c>
      <c r="O70" s="1108">
        <f t="shared" ca="1" si="16"/>
        <v>35412140.508806467</v>
      </c>
      <c r="P70" s="1108">
        <f t="shared" ca="1" si="16"/>
        <v>93824351.85910064</v>
      </c>
      <c r="Q70" s="1108">
        <f t="shared" si="16"/>
        <v>0</v>
      </c>
      <c r="R70" s="1108">
        <f t="shared" ca="1" si="16"/>
        <v>-404481048.14090031</v>
      </c>
      <c r="S70" s="1108">
        <f t="shared" ca="1" si="16"/>
        <v>84154317.808219254</v>
      </c>
      <c r="T70" s="1108">
        <f t="shared" ca="1" si="16"/>
        <v>264328951.85909969</v>
      </c>
      <c r="U70" s="1108">
        <f t="shared" ca="1" si="16"/>
        <v>1120883140.5088065</v>
      </c>
      <c r="V70" s="1108">
        <f t="shared" ca="1" si="16"/>
        <v>960284551.85909963</v>
      </c>
      <c r="W70" s="1108">
        <f t="shared" ca="1" si="16"/>
        <v>-59162859.491193175</v>
      </c>
      <c r="X70" s="1108">
        <f t="shared" ca="1" si="16"/>
        <v>11784551.859100938</v>
      </c>
      <c r="Y70" s="1108">
        <f t="shared" ca="1" si="16"/>
        <v>391832551.85909998</v>
      </c>
      <c r="Z70" s="1108">
        <f t="shared" ca="1" si="16"/>
        <v>499190340.50880682</v>
      </c>
      <c r="AA70" s="1108">
        <f t="shared" ca="1" si="16"/>
        <v>443842451.85909998</v>
      </c>
      <c r="AB70" s="1108">
        <f t="shared" ca="1" si="16"/>
        <v>877279940.50880682</v>
      </c>
      <c r="AC70" s="1108">
        <f t="shared" ca="1" si="16"/>
        <v>1298606751.8591008</v>
      </c>
      <c r="AD70" s="1108">
        <f t="shared" si="16"/>
        <v>0</v>
      </c>
      <c r="AE70" s="1109">
        <f t="shared" ca="1" si="16"/>
        <v>-550399276.71232843</v>
      </c>
      <c r="AF70" s="1108">
        <f t="shared" ca="1" si="16"/>
        <v>1375305817.8082185</v>
      </c>
      <c r="AG70" s="1108">
        <f t="shared" ca="1" si="16"/>
        <v>1781203451.8591008</v>
      </c>
      <c r="AH70" s="1108">
        <f t="shared" ca="1" si="16"/>
        <v>3074249540.5088067</v>
      </c>
      <c r="AI70" s="1108">
        <f t="shared" ca="1" si="16"/>
        <v>2422042551.8591008</v>
      </c>
      <c r="AJ70" s="1108">
        <f t="shared" ca="1" si="16"/>
        <v>1708799540.5088072</v>
      </c>
      <c r="AK70" s="1108">
        <f t="shared" ca="1" si="16"/>
        <v>2141988051.8591013</v>
      </c>
      <c r="AL70" s="1108">
        <f t="shared" ca="1" si="16"/>
        <v>2486444551.8591013</v>
      </c>
      <c r="AM70" s="1108">
        <f t="shared" ca="1" si="16"/>
        <v>2719961540.5088072</v>
      </c>
      <c r="AN70" s="1108">
        <f t="shared" ca="1" si="16"/>
        <v>2544722851.8591013</v>
      </c>
      <c r="AO70" s="1108">
        <f t="shared" ca="1" si="16"/>
        <v>1758276340.5088053</v>
      </c>
      <c r="AP70" s="1110">
        <f t="shared" ca="1" si="16"/>
        <v>2276267151.8591013</v>
      </c>
      <c r="AQ70" s="1111"/>
      <c r="AR70" s="1112"/>
      <c r="AS70" s="1112"/>
      <c r="AT70" s="1112"/>
      <c r="AU70" s="1112"/>
      <c r="AV70" s="1113"/>
    </row>
    <row r="71" spans="1:48" ht="12.75" x14ac:dyDescent="0.2">
      <c r="A71" s="356"/>
      <c r="B71" s="243"/>
      <c r="C71" s="243"/>
      <c r="D71" s="243"/>
      <c r="E71" s="227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225"/>
      <c r="AP71" s="225"/>
      <c r="AQ71" s="1111"/>
      <c r="AR71" s="1112"/>
      <c r="AS71" s="1112"/>
      <c r="AT71" s="1112"/>
      <c r="AU71" s="1112"/>
      <c r="AV71" s="1113"/>
    </row>
    <row r="72" spans="1:48" ht="12.75" x14ac:dyDescent="0.2">
      <c r="A72" s="356"/>
      <c r="B72" s="243"/>
      <c r="C72" s="243"/>
      <c r="D72" s="243"/>
      <c r="E72" s="231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32"/>
      <c r="AQ72" s="1111"/>
      <c r="AR72" s="1112"/>
      <c r="AS72" s="1112"/>
      <c r="AT72" s="1112"/>
      <c r="AU72" s="1112"/>
      <c r="AV72" s="1113"/>
    </row>
    <row r="73" spans="1:48" ht="12.75" x14ac:dyDescent="0.2">
      <c r="A73" s="356"/>
      <c r="B73" s="243"/>
      <c r="C73" s="243"/>
      <c r="D73" s="243"/>
      <c r="E73" s="1376">
        <v>2025</v>
      </c>
      <c r="F73" s="1367"/>
      <c r="G73" s="1367"/>
      <c r="H73" s="1367"/>
      <c r="I73" s="1367"/>
      <c r="J73" s="1367"/>
      <c r="K73" s="1367"/>
      <c r="L73" s="1367"/>
      <c r="M73" s="1367"/>
      <c r="N73" s="1367"/>
      <c r="O73" s="1367"/>
      <c r="P73" s="1368"/>
      <c r="Q73" s="166"/>
      <c r="R73" s="1377">
        <v>2026</v>
      </c>
      <c r="S73" s="1367"/>
      <c r="T73" s="1367"/>
      <c r="U73" s="1367"/>
      <c r="V73" s="1367"/>
      <c r="W73" s="1367"/>
      <c r="X73" s="1367"/>
      <c r="Y73" s="1367"/>
      <c r="Z73" s="1367"/>
      <c r="AA73" s="1367"/>
      <c r="AB73" s="1367"/>
      <c r="AC73" s="1368"/>
      <c r="AD73" s="167"/>
      <c r="AE73" s="1376">
        <v>2027</v>
      </c>
      <c r="AF73" s="1367"/>
      <c r="AG73" s="1367"/>
      <c r="AH73" s="1367"/>
      <c r="AI73" s="1367"/>
      <c r="AJ73" s="1367"/>
      <c r="AK73" s="1367"/>
      <c r="AL73" s="1367"/>
      <c r="AM73" s="1367"/>
      <c r="AN73" s="1367"/>
      <c r="AO73" s="1367"/>
      <c r="AP73" s="1368"/>
      <c r="AQ73" s="1111"/>
      <c r="AR73" s="1112"/>
      <c r="AS73" s="1112"/>
      <c r="AT73" s="1112"/>
      <c r="AU73" s="1112"/>
      <c r="AV73" s="1113"/>
    </row>
    <row r="74" spans="1:48" ht="12.75" x14ac:dyDescent="0.2">
      <c r="A74" s="356"/>
      <c r="B74" s="258"/>
      <c r="C74" s="258"/>
      <c r="D74" s="258"/>
      <c r="E74" s="1378" t="s">
        <v>118</v>
      </c>
      <c r="F74" s="1367"/>
      <c r="G74" s="1368"/>
      <c r="H74" s="1371" t="s">
        <v>119</v>
      </c>
      <c r="I74" s="1367"/>
      <c r="J74" s="1368"/>
      <c r="K74" s="1371" t="s">
        <v>120</v>
      </c>
      <c r="L74" s="1367"/>
      <c r="M74" s="1368"/>
      <c r="N74" s="1371" t="s">
        <v>121</v>
      </c>
      <c r="O74" s="1367"/>
      <c r="P74" s="1368"/>
      <c r="Q74" s="174"/>
      <c r="R74" s="1378" t="s">
        <v>118</v>
      </c>
      <c r="S74" s="1367"/>
      <c r="T74" s="1368"/>
      <c r="U74" s="1371" t="s">
        <v>119</v>
      </c>
      <c r="V74" s="1367"/>
      <c r="W74" s="1368"/>
      <c r="X74" s="1371" t="s">
        <v>120</v>
      </c>
      <c r="Y74" s="1367"/>
      <c r="Z74" s="1368"/>
      <c r="AA74" s="1371" t="s">
        <v>121</v>
      </c>
      <c r="AB74" s="1367"/>
      <c r="AC74" s="1368"/>
      <c r="AD74" s="174"/>
      <c r="AE74" s="1378" t="s">
        <v>118</v>
      </c>
      <c r="AF74" s="1367"/>
      <c r="AG74" s="1368"/>
      <c r="AH74" s="1371" t="s">
        <v>119</v>
      </c>
      <c r="AI74" s="1367"/>
      <c r="AJ74" s="1368"/>
      <c r="AK74" s="1371" t="s">
        <v>120</v>
      </c>
      <c r="AL74" s="1367"/>
      <c r="AM74" s="1368"/>
      <c r="AN74" s="1371" t="s">
        <v>121</v>
      </c>
      <c r="AO74" s="1367"/>
      <c r="AP74" s="1368"/>
      <c r="AQ74" s="1111"/>
      <c r="AR74" s="1112"/>
      <c r="AS74" s="1112"/>
      <c r="AT74" s="1112"/>
      <c r="AU74" s="1112"/>
      <c r="AV74" s="1113"/>
    </row>
    <row r="75" spans="1:48" ht="18" x14ac:dyDescent="0.25">
      <c r="A75" s="1119" t="s">
        <v>395</v>
      </c>
      <c r="B75" s="243"/>
      <c r="C75" s="243"/>
      <c r="D75" s="243"/>
      <c r="E75" s="1077">
        <v>1</v>
      </c>
      <c r="F75" s="1078">
        <v>2</v>
      </c>
      <c r="G75" s="1078">
        <v>3</v>
      </c>
      <c r="H75" s="1078">
        <v>4</v>
      </c>
      <c r="I75" s="1078">
        <v>5</v>
      </c>
      <c r="J75" s="1078">
        <v>6</v>
      </c>
      <c r="K75" s="1078">
        <v>7</v>
      </c>
      <c r="L75" s="1078">
        <v>8</v>
      </c>
      <c r="M75" s="1078">
        <v>9</v>
      </c>
      <c r="N75" s="1078">
        <v>10</v>
      </c>
      <c r="O75" s="1078">
        <v>11</v>
      </c>
      <c r="P75" s="1078">
        <v>12</v>
      </c>
      <c r="Q75" s="1078"/>
      <c r="R75" s="1078">
        <v>1</v>
      </c>
      <c r="S75" s="1078">
        <v>2</v>
      </c>
      <c r="T75" s="1078">
        <v>3</v>
      </c>
      <c r="U75" s="1078">
        <v>4</v>
      </c>
      <c r="V75" s="1078">
        <v>5</v>
      </c>
      <c r="W75" s="1078">
        <v>6</v>
      </c>
      <c r="X75" s="1078">
        <v>7</v>
      </c>
      <c r="Y75" s="1078">
        <v>8</v>
      </c>
      <c r="Z75" s="1078">
        <v>9</v>
      </c>
      <c r="AA75" s="1078">
        <v>10</v>
      </c>
      <c r="AB75" s="1078">
        <v>11</v>
      </c>
      <c r="AC75" s="1078">
        <v>12</v>
      </c>
      <c r="AD75" s="1078"/>
      <c r="AE75" s="1079">
        <v>1</v>
      </c>
      <c r="AF75" s="1080">
        <v>2</v>
      </c>
      <c r="AG75" s="1080">
        <v>3</v>
      </c>
      <c r="AH75" s="1080">
        <v>4</v>
      </c>
      <c r="AI75" s="1080">
        <v>5</v>
      </c>
      <c r="AJ75" s="1080">
        <v>6</v>
      </c>
      <c r="AK75" s="1080">
        <v>7</v>
      </c>
      <c r="AL75" s="1080">
        <v>8</v>
      </c>
      <c r="AM75" s="1080">
        <v>9</v>
      </c>
      <c r="AN75" s="1080">
        <v>10</v>
      </c>
      <c r="AO75" s="1080">
        <v>11</v>
      </c>
      <c r="AP75" s="1081">
        <v>12</v>
      </c>
      <c r="AQ75" s="1111"/>
      <c r="AR75" s="1112"/>
      <c r="AS75" s="1112"/>
      <c r="AT75" s="1112"/>
      <c r="AU75" s="1112"/>
      <c r="AV75" s="1113"/>
    </row>
    <row r="76" spans="1:48" ht="18" x14ac:dyDescent="0.25">
      <c r="A76" s="1085" t="s">
        <v>385</v>
      </c>
      <c r="B76" s="258"/>
      <c r="C76" s="258"/>
      <c r="D76" s="258"/>
      <c r="E76" s="1086">
        <f t="shared" ref="E76:AC76" si="17">IF(ISBLANK(E75),0,E7+D76)</f>
        <v>0</v>
      </c>
      <c r="F76" s="258">
        <f t="shared" si="17"/>
        <v>0</v>
      </c>
      <c r="G76" s="258">
        <f t="shared" si="17"/>
        <v>0</v>
      </c>
      <c r="H76" s="258">
        <f t="shared" si="17"/>
        <v>0</v>
      </c>
      <c r="I76" s="258">
        <f t="shared" si="17"/>
        <v>0</v>
      </c>
      <c r="J76" s="258">
        <f t="shared" si="17"/>
        <v>0</v>
      </c>
      <c r="K76" s="258">
        <f t="shared" si="17"/>
        <v>0</v>
      </c>
      <c r="L76" s="258">
        <f t="shared" si="17"/>
        <v>0</v>
      </c>
      <c r="M76" s="258">
        <f t="shared" si="17"/>
        <v>0</v>
      </c>
      <c r="N76" s="258">
        <f t="shared" si="17"/>
        <v>0</v>
      </c>
      <c r="O76" s="258">
        <f t="shared" si="17"/>
        <v>0</v>
      </c>
      <c r="P76" s="1087">
        <f t="shared" si="17"/>
        <v>0</v>
      </c>
      <c r="Q76" s="1120">
        <f t="shared" si="17"/>
        <v>0</v>
      </c>
      <c r="R76" s="1121">
        <f t="shared" si="17"/>
        <v>0</v>
      </c>
      <c r="S76" s="1120">
        <f t="shared" si="17"/>
        <v>0</v>
      </c>
      <c r="T76" s="1120">
        <f t="shared" si="17"/>
        <v>0</v>
      </c>
      <c r="U76" s="1120">
        <f t="shared" si="17"/>
        <v>0</v>
      </c>
      <c r="V76" s="1120">
        <f t="shared" si="17"/>
        <v>0</v>
      </c>
      <c r="W76" s="1120">
        <f t="shared" si="17"/>
        <v>0</v>
      </c>
      <c r="X76" s="1120">
        <f t="shared" si="17"/>
        <v>0</v>
      </c>
      <c r="Y76" s="1120">
        <f t="shared" si="17"/>
        <v>0</v>
      </c>
      <c r="Z76" s="1120">
        <f t="shared" si="17"/>
        <v>0</v>
      </c>
      <c r="AA76" s="1120">
        <f t="shared" si="17"/>
        <v>0</v>
      </c>
      <c r="AB76" s="1120">
        <f t="shared" si="17"/>
        <v>0</v>
      </c>
      <c r="AC76" s="1122">
        <f t="shared" si="17"/>
        <v>0</v>
      </c>
      <c r="AD76" s="1120">
        <f t="shared" ref="AD76:AD126" si="18">IF(ISBLANK(AD$75),0,AD7+AC76)</f>
        <v>0</v>
      </c>
      <c r="AE76" s="1121">
        <f t="shared" ref="AE76:AP76" si="19">IF(ISBLANK(AE75),0,AE7+AD76)</f>
        <v>0</v>
      </c>
      <c r="AF76" s="1120">
        <f t="shared" si="19"/>
        <v>0</v>
      </c>
      <c r="AG76" s="1120">
        <f t="shared" si="19"/>
        <v>0</v>
      </c>
      <c r="AH76" s="1120">
        <f t="shared" si="19"/>
        <v>0</v>
      </c>
      <c r="AI76" s="1120">
        <f t="shared" si="19"/>
        <v>0</v>
      </c>
      <c r="AJ76" s="1120">
        <f t="shared" si="19"/>
        <v>0</v>
      </c>
      <c r="AK76" s="1120">
        <f t="shared" si="19"/>
        <v>0</v>
      </c>
      <c r="AL76" s="1120">
        <f t="shared" si="19"/>
        <v>0</v>
      </c>
      <c r="AM76" s="1120">
        <f t="shared" si="19"/>
        <v>0</v>
      </c>
      <c r="AN76" s="1120">
        <f t="shared" si="19"/>
        <v>0</v>
      </c>
      <c r="AO76" s="1120">
        <f t="shared" si="19"/>
        <v>0</v>
      </c>
      <c r="AP76" s="1122">
        <f t="shared" si="19"/>
        <v>0</v>
      </c>
      <c r="AQ76" s="1111"/>
      <c r="AR76" s="1112"/>
      <c r="AS76" s="1112"/>
      <c r="AT76" s="1112"/>
      <c r="AU76" s="1112"/>
      <c r="AV76" s="1113"/>
    </row>
    <row r="77" spans="1:48" ht="14.25" x14ac:dyDescent="0.2">
      <c r="A77" s="1091" t="s">
        <v>231</v>
      </c>
      <c r="B77" s="258"/>
      <c r="C77" s="258"/>
      <c r="D77" s="258"/>
      <c r="E77" s="1086">
        <f t="shared" ref="E77:P77" si="20">IF(ISBLANK(E76),0,E8+D77)</f>
        <v>0</v>
      </c>
      <c r="F77" s="258">
        <f t="shared" si="20"/>
        <v>0</v>
      </c>
      <c r="G77" s="258">
        <f t="shared" si="20"/>
        <v>0</v>
      </c>
      <c r="H77" s="258">
        <f t="shared" si="20"/>
        <v>0</v>
      </c>
      <c r="I77" s="258">
        <f t="shared" si="20"/>
        <v>0</v>
      </c>
      <c r="J77" s="258">
        <f t="shared" si="20"/>
        <v>7333200000</v>
      </c>
      <c r="K77" s="258">
        <f t="shared" si="20"/>
        <v>14666400000</v>
      </c>
      <c r="L77" s="258">
        <f t="shared" si="20"/>
        <v>22977360000</v>
      </c>
      <c r="M77" s="258">
        <f t="shared" si="20"/>
        <v>31288320000</v>
      </c>
      <c r="N77" s="258">
        <f t="shared" si="20"/>
        <v>39999890000</v>
      </c>
      <c r="O77" s="258">
        <f t="shared" si="20"/>
        <v>48711460000</v>
      </c>
      <c r="P77" s="1087">
        <f t="shared" si="20"/>
        <v>57423030000</v>
      </c>
      <c r="Q77" s="258">
        <f t="shared" ref="Q77:Q126" si="21">IF(ISBLANK(Q$75),0,Q8+P77)</f>
        <v>0</v>
      </c>
      <c r="R77" s="1086">
        <f t="shared" ref="R77:AC77" si="22">IF(ISBLANK(R76),0,R8+Q77)</f>
        <v>7401100000</v>
      </c>
      <c r="S77" s="258">
        <f t="shared" si="22"/>
        <v>14802200000</v>
      </c>
      <c r="T77" s="258">
        <f t="shared" si="22"/>
        <v>22203300000</v>
      </c>
      <c r="U77" s="258">
        <f t="shared" si="22"/>
        <v>31288320000</v>
      </c>
      <c r="V77" s="258">
        <f t="shared" si="22"/>
        <v>40373340000</v>
      </c>
      <c r="W77" s="258">
        <f t="shared" si="22"/>
        <v>49458360000</v>
      </c>
      <c r="X77" s="258">
        <f t="shared" si="22"/>
        <v>58882880000</v>
      </c>
      <c r="Y77" s="258">
        <f t="shared" si="22"/>
        <v>68307400000</v>
      </c>
      <c r="Z77" s="258">
        <f t="shared" si="22"/>
        <v>77731920000</v>
      </c>
      <c r="AA77" s="258">
        <f t="shared" si="22"/>
        <v>87557050000</v>
      </c>
      <c r="AB77" s="258">
        <f t="shared" si="22"/>
        <v>97416130000</v>
      </c>
      <c r="AC77" s="1087">
        <f t="shared" si="22"/>
        <v>107309160000</v>
      </c>
      <c r="AD77" s="258">
        <f t="shared" si="18"/>
        <v>0</v>
      </c>
      <c r="AE77" s="1086">
        <f t="shared" ref="AE77:AP77" si="23">IF(ISBLANK(AE76),0,AE8+AD77)</f>
        <v>8548610000</v>
      </c>
      <c r="AF77" s="258">
        <f t="shared" si="23"/>
        <v>17097220000</v>
      </c>
      <c r="AG77" s="258">
        <f t="shared" si="23"/>
        <v>25645830000</v>
      </c>
      <c r="AH77" s="258">
        <f t="shared" si="23"/>
        <v>35172200000</v>
      </c>
      <c r="AI77" s="258">
        <f t="shared" si="23"/>
        <v>44698570000</v>
      </c>
      <c r="AJ77" s="258">
        <f t="shared" si="23"/>
        <v>54224940000</v>
      </c>
      <c r="AK77" s="258">
        <f t="shared" si="23"/>
        <v>64056860000</v>
      </c>
      <c r="AL77" s="258">
        <f t="shared" si="23"/>
        <v>73888780000</v>
      </c>
      <c r="AM77" s="258">
        <f t="shared" si="23"/>
        <v>83720700000</v>
      </c>
      <c r="AN77" s="258">
        <f t="shared" si="23"/>
        <v>94041500000</v>
      </c>
      <c r="AO77" s="258">
        <f t="shared" si="23"/>
        <v>104396250000</v>
      </c>
      <c r="AP77" s="1087">
        <f t="shared" si="23"/>
        <v>114784950000</v>
      </c>
      <c r="AQ77" s="1111"/>
      <c r="AR77" s="1112"/>
      <c r="AS77" s="1112"/>
      <c r="AT77" s="1112"/>
      <c r="AU77" s="1112"/>
      <c r="AV77" s="1113"/>
    </row>
    <row r="78" spans="1:48" ht="14.25" x14ac:dyDescent="0.2">
      <c r="A78" s="1091" t="s">
        <v>232</v>
      </c>
      <c r="B78" s="258"/>
      <c r="C78" s="258"/>
      <c r="D78" s="258"/>
      <c r="E78" s="1086">
        <f t="shared" ref="E78:P78" si="24">IF(ISBLANK(E77),0,E9+D78)</f>
        <v>0</v>
      </c>
      <c r="F78" s="258">
        <f t="shared" si="24"/>
        <v>0</v>
      </c>
      <c r="G78" s="258">
        <f t="shared" si="24"/>
        <v>0</v>
      </c>
      <c r="H78" s="258">
        <f t="shared" si="24"/>
        <v>0</v>
      </c>
      <c r="I78" s="258">
        <f t="shared" si="24"/>
        <v>0</v>
      </c>
      <c r="J78" s="258">
        <f t="shared" si="24"/>
        <v>0</v>
      </c>
      <c r="K78" s="258">
        <f t="shared" si="24"/>
        <v>0</v>
      </c>
      <c r="L78" s="258">
        <f t="shared" si="24"/>
        <v>0</v>
      </c>
      <c r="M78" s="258">
        <f t="shared" si="24"/>
        <v>0</v>
      </c>
      <c r="N78" s="258">
        <f t="shared" si="24"/>
        <v>0</v>
      </c>
      <c r="O78" s="258">
        <f t="shared" si="24"/>
        <v>0</v>
      </c>
      <c r="P78" s="1087">
        <f t="shared" si="24"/>
        <v>0</v>
      </c>
      <c r="Q78" s="258">
        <f t="shared" si="21"/>
        <v>0</v>
      </c>
      <c r="R78" s="1086">
        <f t="shared" ref="R78:AC78" si="25">IF(ISBLANK(R77),0,R9+Q78)</f>
        <v>0</v>
      </c>
      <c r="S78" s="258">
        <f t="shared" si="25"/>
        <v>0</v>
      </c>
      <c r="T78" s="258">
        <f t="shared" si="25"/>
        <v>0</v>
      </c>
      <c r="U78" s="258">
        <f t="shared" si="25"/>
        <v>0</v>
      </c>
      <c r="V78" s="258">
        <f t="shared" si="25"/>
        <v>0</v>
      </c>
      <c r="W78" s="258">
        <f t="shared" si="25"/>
        <v>0</v>
      </c>
      <c r="X78" s="258">
        <f t="shared" si="25"/>
        <v>0</v>
      </c>
      <c r="Y78" s="258">
        <f t="shared" si="25"/>
        <v>0</v>
      </c>
      <c r="Z78" s="258">
        <f t="shared" si="25"/>
        <v>0</v>
      </c>
      <c r="AA78" s="258">
        <f t="shared" si="25"/>
        <v>0</v>
      </c>
      <c r="AB78" s="258">
        <f t="shared" si="25"/>
        <v>4857300000</v>
      </c>
      <c r="AC78" s="1087">
        <f t="shared" si="25"/>
        <v>9714600000</v>
      </c>
      <c r="AD78" s="258">
        <f t="shared" si="18"/>
        <v>0</v>
      </c>
      <c r="AE78" s="1086">
        <f t="shared" ref="AE78:AP78" si="26">IF(ISBLANK(AE77),0,AE9+AD78)</f>
        <v>4299610000</v>
      </c>
      <c r="AF78" s="258">
        <f t="shared" si="26"/>
        <v>8419320000</v>
      </c>
      <c r="AG78" s="258">
        <f t="shared" si="26"/>
        <v>12539030000</v>
      </c>
      <c r="AH78" s="258">
        <f t="shared" si="26"/>
        <v>19357240000</v>
      </c>
      <c r="AI78" s="258">
        <f t="shared" si="26"/>
        <v>26175450000</v>
      </c>
      <c r="AJ78" s="258">
        <f t="shared" si="26"/>
        <v>32993660000</v>
      </c>
      <c r="AK78" s="258">
        <f t="shared" si="26"/>
        <v>40279610000</v>
      </c>
      <c r="AL78" s="258">
        <f t="shared" si="26"/>
        <v>47565560000</v>
      </c>
      <c r="AM78" s="258">
        <f t="shared" si="26"/>
        <v>55337240000</v>
      </c>
      <c r="AN78" s="258">
        <f t="shared" si="26"/>
        <v>63162890000</v>
      </c>
      <c r="AO78" s="258">
        <f t="shared" si="26"/>
        <v>71042510000</v>
      </c>
      <c r="AP78" s="1087">
        <f t="shared" si="26"/>
        <v>78976100000</v>
      </c>
      <c r="AQ78" s="1111"/>
      <c r="AR78" s="1112"/>
      <c r="AS78" s="1112"/>
      <c r="AT78" s="1112"/>
      <c r="AU78" s="1112"/>
      <c r="AV78" s="1113"/>
    </row>
    <row r="79" spans="1:48" ht="14.25" x14ac:dyDescent="0.2">
      <c r="A79" s="1085" t="s">
        <v>386</v>
      </c>
      <c r="B79" s="1092"/>
      <c r="C79" s="1092"/>
      <c r="D79" s="1092"/>
      <c r="E79" s="1093">
        <f t="shared" ref="E79:P79" si="27">IF(ISBLANK(E78),0,E10+D79)</f>
        <v>0</v>
      </c>
      <c r="F79" s="1092">
        <f t="shared" si="27"/>
        <v>0</v>
      </c>
      <c r="G79" s="1092">
        <f t="shared" si="27"/>
        <v>0</v>
      </c>
      <c r="H79" s="1092">
        <f t="shared" si="27"/>
        <v>0</v>
      </c>
      <c r="I79" s="1092">
        <f t="shared" si="27"/>
        <v>0</v>
      </c>
      <c r="J79" s="1092">
        <f t="shared" si="27"/>
        <v>7333200000</v>
      </c>
      <c r="K79" s="1092">
        <f t="shared" si="27"/>
        <v>14666400000</v>
      </c>
      <c r="L79" s="1092">
        <f t="shared" si="27"/>
        <v>22977360000</v>
      </c>
      <c r="M79" s="1092">
        <f t="shared" si="27"/>
        <v>31288320000</v>
      </c>
      <c r="N79" s="1092">
        <f t="shared" si="27"/>
        <v>39999890000</v>
      </c>
      <c r="O79" s="1092">
        <f t="shared" si="27"/>
        <v>48711460000</v>
      </c>
      <c r="P79" s="1094">
        <f t="shared" si="27"/>
        <v>57423030000</v>
      </c>
      <c r="Q79" s="1092">
        <f t="shared" si="21"/>
        <v>0</v>
      </c>
      <c r="R79" s="1093">
        <f t="shared" ref="R79:AC79" si="28">IF(ISBLANK(R78),0,R10+Q79)</f>
        <v>7401100000</v>
      </c>
      <c r="S79" s="1092">
        <f t="shared" si="28"/>
        <v>14802200000</v>
      </c>
      <c r="T79" s="1092">
        <f t="shared" si="28"/>
        <v>22203300000</v>
      </c>
      <c r="U79" s="1092">
        <f t="shared" si="28"/>
        <v>31288320000</v>
      </c>
      <c r="V79" s="1092">
        <f t="shared" si="28"/>
        <v>40373340000</v>
      </c>
      <c r="W79" s="1092">
        <f t="shared" si="28"/>
        <v>49458360000</v>
      </c>
      <c r="X79" s="1092">
        <f t="shared" si="28"/>
        <v>58882880000</v>
      </c>
      <c r="Y79" s="1092">
        <f t="shared" si="28"/>
        <v>68307400000</v>
      </c>
      <c r="Z79" s="1092">
        <f t="shared" si="28"/>
        <v>77731920000</v>
      </c>
      <c r="AA79" s="1092">
        <f t="shared" si="28"/>
        <v>87557050000</v>
      </c>
      <c r="AB79" s="1092">
        <f t="shared" si="28"/>
        <v>102273430000</v>
      </c>
      <c r="AC79" s="1094">
        <f t="shared" si="28"/>
        <v>117023760000</v>
      </c>
      <c r="AD79" s="1092">
        <f t="shared" si="18"/>
        <v>0</v>
      </c>
      <c r="AE79" s="1093">
        <f t="shared" ref="AE79:AP79" si="29">IF(ISBLANK(AE78),0,AE10+AD79)</f>
        <v>12848220000</v>
      </c>
      <c r="AF79" s="1092">
        <f t="shared" si="29"/>
        <v>25516540000</v>
      </c>
      <c r="AG79" s="1092">
        <f t="shared" si="29"/>
        <v>38184860000</v>
      </c>
      <c r="AH79" s="1092">
        <f t="shared" si="29"/>
        <v>54529440000</v>
      </c>
      <c r="AI79" s="1092">
        <f t="shared" si="29"/>
        <v>70874020000</v>
      </c>
      <c r="AJ79" s="1092">
        <f t="shared" si="29"/>
        <v>87218600000</v>
      </c>
      <c r="AK79" s="1092">
        <f t="shared" si="29"/>
        <v>104336470000</v>
      </c>
      <c r="AL79" s="1092">
        <f t="shared" si="29"/>
        <v>121454340000</v>
      </c>
      <c r="AM79" s="1092">
        <f t="shared" si="29"/>
        <v>139057940000</v>
      </c>
      <c r="AN79" s="1092">
        <f t="shared" si="29"/>
        <v>157204390000</v>
      </c>
      <c r="AO79" s="1092">
        <f t="shared" si="29"/>
        <v>175438760000</v>
      </c>
      <c r="AP79" s="1094">
        <f t="shared" si="29"/>
        <v>193761050000</v>
      </c>
      <c r="AQ79" s="1111"/>
      <c r="AR79" s="1112"/>
      <c r="AS79" s="1112"/>
      <c r="AT79" s="1112"/>
      <c r="AU79" s="1112"/>
      <c r="AV79" s="1113"/>
    </row>
    <row r="80" spans="1:48" ht="12.75" x14ac:dyDescent="0.2">
      <c r="A80" s="1087"/>
      <c r="B80" s="258"/>
      <c r="C80" s="258"/>
      <c r="D80" s="258"/>
      <c r="E80" s="1086">
        <f t="shared" ref="E80:P80" si="30">IF(ISBLANK(E79),0,E11+D80)</f>
        <v>0</v>
      </c>
      <c r="F80" s="258">
        <f t="shared" si="30"/>
        <v>0</v>
      </c>
      <c r="G80" s="258">
        <f t="shared" si="30"/>
        <v>0</v>
      </c>
      <c r="H80" s="258">
        <f t="shared" si="30"/>
        <v>0</v>
      </c>
      <c r="I80" s="258">
        <f t="shared" si="30"/>
        <v>0</v>
      </c>
      <c r="J80" s="258">
        <f t="shared" si="30"/>
        <v>0</v>
      </c>
      <c r="K80" s="258">
        <f t="shared" si="30"/>
        <v>0</v>
      </c>
      <c r="L80" s="258">
        <f t="shared" si="30"/>
        <v>0</v>
      </c>
      <c r="M80" s="258">
        <f t="shared" si="30"/>
        <v>0</v>
      </c>
      <c r="N80" s="258">
        <f t="shared" si="30"/>
        <v>0</v>
      </c>
      <c r="O80" s="258">
        <f t="shared" si="30"/>
        <v>0</v>
      </c>
      <c r="P80" s="1087">
        <f t="shared" si="30"/>
        <v>0</v>
      </c>
      <c r="Q80" s="258">
        <f t="shared" si="21"/>
        <v>0</v>
      </c>
      <c r="R80" s="1086">
        <f t="shared" ref="R80:AC80" si="31">IF(ISBLANK(R79),0,R11+Q80)</f>
        <v>0</v>
      </c>
      <c r="S80" s="258">
        <f t="shared" si="31"/>
        <v>0</v>
      </c>
      <c r="T80" s="258">
        <f t="shared" si="31"/>
        <v>0</v>
      </c>
      <c r="U80" s="258">
        <f t="shared" si="31"/>
        <v>0</v>
      </c>
      <c r="V80" s="258">
        <f t="shared" si="31"/>
        <v>0</v>
      </c>
      <c r="W80" s="258">
        <f t="shared" si="31"/>
        <v>0</v>
      </c>
      <c r="X80" s="258">
        <f t="shared" si="31"/>
        <v>0</v>
      </c>
      <c r="Y80" s="258">
        <f t="shared" si="31"/>
        <v>0</v>
      </c>
      <c r="Z80" s="258">
        <f t="shared" si="31"/>
        <v>0</v>
      </c>
      <c r="AA80" s="258">
        <f t="shared" si="31"/>
        <v>0</v>
      </c>
      <c r="AB80" s="258">
        <f t="shared" si="31"/>
        <v>0</v>
      </c>
      <c r="AC80" s="1087">
        <f t="shared" si="31"/>
        <v>0</v>
      </c>
      <c r="AD80" s="258">
        <f t="shared" si="18"/>
        <v>0</v>
      </c>
      <c r="AE80" s="1086">
        <f t="shared" ref="AE80:AP80" si="32">IF(ISBLANK(AE79),0,AE11+AD80)</f>
        <v>0</v>
      </c>
      <c r="AF80" s="258">
        <f t="shared" si="32"/>
        <v>0</v>
      </c>
      <c r="AG80" s="258">
        <f t="shared" si="32"/>
        <v>0</v>
      </c>
      <c r="AH80" s="258">
        <f t="shared" si="32"/>
        <v>0</v>
      </c>
      <c r="AI80" s="258">
        <f t="shared" si="32"/>
        <v>0</v>
      </c>
      <c r="AJ80" s="258">
        <f t="shared" si="32"/>
        <v>0</v>
      </c>
      <c r="AK80" s="258">
        <f t="shared" si="32"/>
        <v>0</v>
      </c>
      <c r="AL80" s="258">
        <f t="shared" si="32"/>
        <v>0</v>
      </c>
      <c r="AM80" s="258">
        <f t="shared" si="32"/>
        <v>0</v>
      </c>
      <c r="AN80" s="258">
        <f t="shared" si="32"/>
        <v>0</v>
      </c>
      <c r="AO80" s="258">
        <f t="shared" si="32"/>
        <v>0</v>
      </c>
      <c r="AP80" s="1087">
        <f t="shared" si="32"/>
        <v>0</v>
      </c>
      <c r="AQ80" s="1111"/>
      <c r="AR80" s="1112"/>
      <c r="AS80" s="1112"/>
      <c r="AT80" s="1112"/>
      <c r="AU80" s="1112"/>
      <c r="AV80" s="1113"/>
    </row>
    <row r="81" spans="1:48" ht="14.25" x14ac:dyDescent="0.2">
      <c r="A81" s="1085" t="s">
        <v>229</v>
      </c>
      <c r="B81" s="258"/>
      <c r="C81" s="258"/>
      <c r="D81" s="258"/>
      <c r="E81" s="1086">
        <f t="shared" ref="E81:P81" si="33">IF(ISBLANK(E80),0,E12+D81)</f>
        <v>0</v>
      </c>
      <c r="F81" s="258">
        <f t="shared" si="33"/>
        <v>0</v>
      </c>
      <c r="G81" s="258">
        <f t="shared" si="33"/>
        <v>0</v>
      </c>
      <c r="H81" s="258">
        <f t="shared" si="33"/>
        <v>0</v>
      </c>
      <c r="I81" s="258">
        <f t="shared" si="33"/>
        <v>0</v>
      </c>
      <c r="J81" s="258">
        <f t="shared" si="33"/>
        <v>0</v>
      </c>
      <c r="K81" s="258">
        <f t="shared" si="33"/>
        <v>0</v>
      </c>
      <c r="L81" s="258">
        <f t="shared" si="33"/>
        <v>0</v>
      </c>
      <c r="M81" s="258">
        <f t="shared" si="33"/>
        <v>0</v>
      </c>
      <c r="N81" s="258">
        <f t="shared" si="33"/>
        <v>0</v>
      </c>
      <c r="O81" s="258">
        <f t="shared" si="33"/>
        <v>0</v>
      </c>
      <c r="P81" s="1087">
        <f t="shared" si="33"/>
        <v>0</v>
      </c>
      <c r="Q81" s="258">
        <f t="shared" si="21"/>
        <v>0</v>
      </c>
      <c r="R81" s="1086">
        <f t="shared" ref="R81:AC81" si="34">IF(ISBLANK(R80),0,R12+Q81)</f>
        <v>0</v>
      </c>
      <c r="S81" s="258">
        <f t="shared" si="34"/>
        <v>0</v>
      </c>
      <c r="T81" s="258">
        <f t="shared" si="34"/>
        <v>0</v>
      </c>
      <c r="U81" s="258">
        <f t="shared" si="34"/>
        <v>0</v>
      </c>
      <c r="V81" s="258">
        <f t="shared" si="34"/>
        <v>0</v>
      </c>
      <c r="W81" s="258">
        <f t="shared" si="34"/>
        <v>0</v>
      </c>
      <c r="X81" s="258">
        <f t="shared" si="34"/>
        <v>0</v>
      </c>
      <c r="Y81" s="258">
        <f t="shared" si="34"/>
        <v>0</v>
      </c>
      <c r="Z81" s="258">
        <f t="shared" si="34"/>
        <v>0</v>
      </c>
      <c r="AA81" s="258">
        <f t="shared" si="34"/>
        <v>0</v>
      </c>
      <c r="AB81" s="258">
        <f t="shared" si="34"/>
        <v>0</v>
      </c>
      <c r="AC81" s="1087">
        <f t="shared" si="34"/>
        <v>0</v>
      </c>
      <c r="AD81" s="258">
        <f t="shared" si="18"/>
        <v>0</v>
      </c>
      <c r="AE81" s="1086">
        <f t="shared" ref="AE81:AP81" si="35">IF(ISBLANK(AE80),0,AE12+AD81)</f>
        <v>0</v>
      </c>
      <c r="AF81" s="258">
        <f t="shared" si="35"/>
        <v>0</v>
      </c>
      <c r="AG81" s="258">
        <f t="shared" si="35"/>
        <v>0</v>
      </c>
      <c r="AH81" s="258">
        <f t="shared" si="35"/>
        <v>0</v>
      </c>
      <c r="AI81" s="258">
        <f t="shared" si="35"/>
        <v>0</v>
      </c>
      <c r="AJ81" s="258">
        <f t="shared" si="35"/>
        <v>0</v>
      </c>
      <c r="AK81" s="258">
        <f t="shared" si="35"/>
        <v>0</v>
      </c>
      <c r="AL81" s="258">
        <f t="shared" si="35"/>
        <v>0</v>
      </c>
      <c r="AM81" s="258">
        <f t="shared" si="35"/>
        <v>0</v>
      </c>
      <c r="AN81" s="258">
        <f t="shared" si="35"/>
        <v>0</v>
      </c>
      <c r="AO81" s="258">
        <f t="shared" si="35"/>
        <v>0</v>
      </c>
      <c r="AP81" s="1087">
        <f t="shared" si="35"/>
        <v>0</v>
      </c>
      <c r="AQ81" s="1111"/>
      <c r="AR81" s="1112"/>
      <c r="AS81" s="1112"/>
      <c r="AT81" s="1112"/>
      <c r="AU81" s="1112"/>
      <c r="AV81" s="1113"/>
    </row>
    <row r="82" spans="1:48" ht="14.25" x14ac:dyDescent="0.2">
      <c r="A82" s="1091" t="s">
        <v>230</v>
      </c>
      <c r="B82" s="258"/>
      <c r="C82" s="258"/>
      <c r="D82" s="258"/>
      <c r="E82" s="1086">
        <f t="shared" ref="E82:P82" si="36">IF(ISBLANK(E81),0,E13+D82)</f>
        <v>0</v>
      </c>
      <c r="F82" s="258">
        <f t="shared" si="36"/>
        <v>0</v>
      </c>
      <c r="G82" s="258">
        <f t="shared" si="36"/>
        <v>0</v>
      </c>
      <c r="H82" s="258">
        <f t="shared" si="36"/>
        <v>0</v>
      </c>
      <c r="I82" s="258">
        <f t="shared" si="36"/>
        <v>0</v>
      </c>
      <c r="J82" s="258">
        <f t="shared" si="36"/>
        <v>0</v>
      </c>
      <c r="K82" s="258">
        <f t="shared" si="36"/>
        <v>0</v>
      </c>
      <c r="L82" s="258">
        <f t="shared" si="36"/>
        <v>0</v>
      </c>
      <c r="M82" s="258">
        <f t="shared" si="36"/>
        <v>0</v>
      </c>
      <c r="N82" s="258">
        <f t="shared" si="36"/>
        <v>0</v>
      </c>
      <c r="O82" s="258">
        <f t="shared" si="36"/>
        <v>0</v>
      </c>
      <c r="P82" s="1087">
        <f t="shared" si="36"/>
        <v>0</v>
      </c>
      <c r="Q82" s="258">
        <f t="shared" si="21"/>
        <v>0</v>
      </c>
      <c r="R82" s="1086">
        <f t="shared" ref="R82:AC82" si="37">IF(ISBLANK(R81),0,R13+Q82)</f>
        <v>0</v>
      </c>
      <c r="S82" s="258">
        <f t="shared" si="37"/>
        <v>0</v>
      </c>
      <c r="T82" s="258">
        <f t="shared" si="37"/>
        <v>0</v>
      </c>
      <c r="U82" s="258">
        <f t="shared" si="37"/>
        <v>0</v>
      </c>
      <c r="V82" s="258">
        <f t="shared" si="37"/>
        <v>0</v>
      </c>
      <c r="W82" s="258">
        <f t="shared" si="37"/>
        <v>0</v>
      </c>
      <c r="X82" s="258">
        <f t="shared" si="37"/>
        <v>0</v>
      </c>
      <c r="Y82" s="258">
        <f t="shared" si="37"/>
        <v>0</v>
      </c>
      <c r="Z82" s="258">
        <f t="shared" si="37"/>
        <v>0</v>
      </c>
      <c r="AA82" s="258">
        <f t="shared" si="37"/>
        <v>0</v>
      </c>
      <c r="AB82" s="258">
        <f t="shared" si="37"/>
        <v>0</v>
      </c>
      <c r="AC82" s="1087">
        <f t="shared" si="37"/>
        <v>0</v>
      </c>
      <c r="AD82" s="258">
        <f t="shared" si="18"/>
        <v>0</v>
      </c>
      <c r="AE82" s="1086">
        <f t="shared" ref="AE82:AP82" si="38">IF(ISBLANK(AE81),0,AE13+AD82)</f>
        <v>0</v>
      </c>
      <c r="AF82" s="258">
        <f t="shared" si="38"/>
        <v>0</v>
      </c>
      <c r="AG82" s="258">
        <f t="shared" si="38"/>
        <v>0</v>
      </c>
      <c r="AH82" s="258">
        <f t="shared" si="38"/>
        <v>0</v>
      </c>
      <c r="AI82" s="258">
        <f t="shared" si="38"/>
        <v>0</v>
      </c>
      <c r="AJ82" s="258">
        <f t="shared" si="38"/>
        <v>0</v>
      </c>
      <c r="AK82" s="258">
        <f t="shared" si="38"/>
        <v>0</v>
      </c>
      <c r="AL82" s="258">
        <f t="shared" si="38"/>
        <v>0</v>
      </c>
      <c r="AM82" s="258">
        <f t="shared" si="38"/>
        <v>0</v>
      </c>
      <c r="AN82" s="258">
        <f t="shared" si="38"/>
        <v>0</v>
      </c>
      <c r="AO82" s="258">
        <f t="shared" si="38"/>
        <v>0</v>
      </c>
      <c r="AP82" s="1087">
        <f t="shared" si="38"/>
        <v>0</v>
      </c>
      <c r="AQ82" s="1111"/>
      <c r="AR82" s="1112"/>
      <c r="AS82" s="1112"/>
      <c r="AT82" s="1112"/>
      <c r="AU82" s="1112"/>
      <c r="AV82" s="1113"/>
    </row>
    <row r="83" spans="1:48" ht="14.25" x14ac:dyDescent="0.2">
      <c r="A83" s="1091" t="s">
        <v>231</v>
      </c>
      <c r="B83" s="258"/>
      <c r="C83" s="258"/>
      <c r="D83" s="258"/>
      <c r="E83" s="1086">
        <f t="shared" ref="E83:P83" si="39">IF(ISBLANK(E82),0,E14+D83)</f>
        <v>0</v>
      </c>
      <c r="F83" s="258">
        <f t="shared" si="39"/>
        <v>0</v>
      </c>
      <c r="G83" s="258">
        <f t="shared" si="39"/>
        <v>0</v>
      </c>
      <c r="H83" s="258">
        <f t="shared" si="39"/>
        <v>0</v>
      </c>
      <c r="I83" s="258">
        <f t="shared" si="39"/>
        <v>0</v>
      </c>
      <c r="J83" s="258">
        <f t="shared" si="39"/>
        <v>4020000000</v>
      </c>
      <c r="K83" s="258">
        <f t="shared" si="39"/>
        <v>8040000000</v>
      </c>
      <c r="L83" s="258">
        <f t="shared" si="39"/>
        <v>12562500000</v>
      </c>
      <c r="M83" s="258">
        <f t="shared" si="39"/>
        <v>17085000000</v>
      </c>
      <c r="N83" s="258">
        <f t="shared" si="39"/>
        <v>21825250000</v>
      </c>
      <c r="O83" s="258">
        <f t="shared" si="39"/>
        <v>26565500000</v>
      </c>
      <c r="P83" s="1087">
        <f t="shared" si="39"/>
        <v>31305750000</v>
      </c>
      <c r="Q83" s="258">
        <f t="shared" si="21"/>
        <v>0</v>
      </c>
      <c r="R83" s="1086">
        <f t="shared" ref="R83:AC83" si="40">IF(ISBLANK(R82),0,R14+Q83)</f>
        <v>4033400000</v>
      </c>
      <c r="S83" s="258">
        <f t="shared" si="40"/>
        <v>8066800000</v>
      </c>
      <c r="T83" s="258">
        <f t="shared" si="40"/>
        <v>12100200000</v>
      </c>
      <c r="U83" s="258">
        <f t="shared" si="40"/>
        <v>17044800000</v>
      </c>
      <c r="V83" s="258">
        <f t="shared" si="40"/>
        <v>21989400000</v>
      </c>
      <c r="W83" s="258">
        <f t="shared" si="40"/>
        <v>26934000000</v>
      </c>
      <c r="X83" s="258">
        <f t="shared" si="40"/>
        <v>32066200000</v>
      </c>
      <c r="Y83" s="258">
        <f t="shared" si="40"/>
        <v>37198400000</v>
      </c>
      <c r="Z83" s="258">
        <f t="shared" si="40"/>
        <v>42330600000</v>
      </c>
      <c r="AA83" s="258">
        <f t="shared" si="40"/>
        <v>47680550000</v>
      </c>
      <c r="AB83" s="258">
        <f t="shared" si="40"/>
        <v>53047250000</v>
      </c>
      <c r="AC83" s="1087">
        <f t="shared" si="40"/>
        <v>58430700000</v>
      </c>
      <c r="AD83" s="258">
        <f t="shared" si="18"/>
        <v>0</v>
      </c>
      <c r="AE83" s="1086">
        <f t="shared" ref="AE83:AP83" si="41">IF(ISBLANK(AE82),0,AE14+AD83)</f>
        <v>4659850000</v>
      </c>
      <c r="AF83" s="258">
        <f t="shared" si="41"/>
        <v>9319700000</v>
      </c>
      <c r="AG83" s="258">
        <f t="shared" si="41"/>
        <v>13979550000</v>
      </c>
      <c r="AH83" s="258">
        <f t="shared" si="41"/>
        <v>19162000000</v>
      </c>
      <c r="AI83" s="258">
        <f t="shared" si="41"/>
        <v>24344450000</v>
      </c>
      <c r="AJ83" s="258">
        <f t="shared" si="41"/>
        <v>29526900000</v>
      </c>
      <c r="AK83" s="258">
        <f t="shared" si="41"/>
        <v>34880200000</v>
      </c>
      <c r="AL83" s="258">
        <f t="shared" si="41"/>
        <v>40233500000</v>
      </c>
      <c r="AM83" s="258">
        <f t="shared" si="41"/>
        <v>45586800000</v>
      </c>
      <c r="AN83" s="258">
        <f t="shared" si="41"/>
        <v>51201400000</v>
      </c>
      <c r="AO83" s="258">
        <f t="shared" si="41"/>
        <v>56832750000</v>
      </c>
      <c r="AP83" s="1087">
        <f t="shared" si="41"/>
        <v>62480850000</v>
      </c>
      <c r="AQ83" s="1111"/>
      <c r="AR83" s="1112"/>
      <c r="AS83" s="1112"/>
      <c r="AT83" s="1112"/>
      <c r="AU83" s="1112"/>
      <c r="AV83" s="1113"/>
    </row>
    <row r="84" spans="1:48" ht="14.25" x14ac:dyDescent="0.2">
      <c r="A84" s="1091" t="s">
        <v>232</v>
      </c>
      <c r="B84" s="258"/>
      <c r="C84" s="258"/>
      <c r="D84" s="258"/>
      <c r="E84" s="1086">
        <f t="shared" ref="E84:P84" si="42">IF(ISBLANK(E83),0,E15+D84)</f>
        <v>0</v>
      </c>
      <c r="F84" s="258">
        <f t="shared" si="42"/>
        <v>0</v>
      </c>
      <c r="G84" s="258">
        <f t="shared" si="42"/>
        <v>0</v>
      </c>
      <c r="H84" s="258">
        <f t="shared" si="42"/>
        <v>0</v>
      </c>
      <c r="I84" s="258">
        <f t="shared" si="42"/>
        <v>0</v>
      </c>
      <c r="J84" s="258">
        <f t="shared" si="42"/>
        <v>0</v>
      </c>
      <c r="K84" s="258">
        <f t="shared" si="42"/>
        <v>0</v>
      </c>
      <c r="L84" s="258">
        <f t="shared" si="42"/>
        <v>0</v>
      </c>
      <c r="M84" s="258">
        <f t="shared" si="42"/>
        <v>0</v>
      </c>
      <c r="N84" s="258">
        <f t="shared" si="42"/>
        <v>0</v>
      </c>
      <c r="O84" s="258">
        <f t="shared" si="42"/>
        <v>0</v>
      </c>
      <c r="P84" s="1087">
        <f t="shared" si="42"/>
        <v>0</v>
      </c>
      <c r="Q84" s="258">
        <f t="shared" si="21"/>
        <v>0</v>
      </c>
      <c r="R84" s="1086">
        <f t="shared" ref="R84:AC84" si="43">IF(ISBLANK(R83),0,R15+Q84)</f>
        <v>0</v>
      </c>
      <c r="S84" s="258">
        <f t="shared" si="43"/>
        <v>0</v>
      </c>
      <c r="T84" s="258">
        <f t="shared" si="43"/>
        <v>0</v>
      </c>
      <c r="U84" s="258">
        <f t="shared" si="43"/>
        <v>0</v>
      </c>
      <c r="V84" s="258">
        <f t="shared" si="43"/>
        <v>0</v>
      </c>
      <c r="W84" s="258">
        <f t="shared" si="43"/>
        <v>0</v>
      </c>
      <c r="X84" s="258">
        <f t="shared" si="43"/>
        <v>0</v>
      </c>
      <c r="Y84" s="258">
        <f t="shared" si="43"/>
        <v>0</v>
      </c>
      <c r="Z84" s="258">
        <f t="shared" si="43"/>
        <v>0</v>
      </c>
      <c r="AA84" s="258">
        <f t="shared" si="43"/>
        <v>0</v>
      </c>
      <c r="AB84" s="258">
        <f t="shared" si="43"/>
        <v>3240000000</v>
      </c>
      <c r="AC84" s="1087">
        <f t="shared" si="43"/>
        <v>6480000000</v>
      </c>
      <c r="AD84" s="258">
        <f t="shared" si="18"/>
        <v>0</v>
      </c>
      <c r="AE84" s="1086">
        <f t="shared" ref="AE84:AP84" si="44">IF(ISBLANK(AE83),0,AE15+AD84)</f>
        <v>2808000000</v>
      </c>
      <c r="AF84" s="258">
        <f t="shared" si="44"/>
        <v>5508000000</v>
      </c>
      <c r="AG84" s="258">
        <f t="shared" si="44"/>
        <v>8208000000</v>
      </c>
      <c r="AH84" s="258">
        <f t="shared" si="44"/>
        <v>12690000000</v>
      </c>
      <c r="AI84" s="258">
        <f t="shared" si="44"/>
        <v>17172000000</v>
      </c>
      <c r="AJ84" s="258">
        <f t="shared" si="44"/>
        <v>21654000000</v>
      </c>
      <c r="AK84" s="258">
        <f t="shared" si="44"/>
        <v>26449200000</v>
      </c>
      <c r="AL84" s="258">
        <f t="shared" si="44"/>
        <v>31244400000</v>
      </c>
      <c r="AM84" s="258">
        <f t="shared" si="44"/>
        <v>36363600000</v>
      </c>
      <c r="AN84" s="258">
        <f t="shared" si="44"/>
        <v>41515200000</v>
      </c>
      <c r="AO84" s="258">
        <f t="shared" si="44"/>
        <v>46699200000</v>
      </c>
      <c r="AP84" s="1087">
        <f t="shared" si="44"/>
        <v>51915600000</v>
      </c>
      <c r="AQ84" s="1111"/>
      <c r="AR84" s="1112"/>
      <c r="AS84" s="1112"/>
      <c r="AT84" s="1112"/>
      <c r="AU84" s="1112"/>
      <c r="AV84" s="1113"/>
    </row>
    <row r="85" spans="1:48" ht="14.25" x14ac:dyDescent="0.2">
      <c r="A85" s="1091" t="s">
        <v>233</v>
      </c>
      <c r="B85" s="258"/>
      <c r="C85" s="258"/>
      <c r="D85" s="258"/>
      <c r="E85" s="1086">
        <f t="shared" ref="E85:P85" si="45">IF(ISBLANK(E84),0,E16+D85)</f>
        <v>0</v>
      </c>
      <c r="F85" s="258">
        <f t="shared" si="45"/>
        <v>4761904.7619047621</v>
      </c>
      <c r="G85" s="258">
        <f t="shared" si="45"/>
        <v>356580086.58008659</v>
      </c>
      <c r="H85" s="258">
        <f t="shared" si="45"/>
        <v>1008927912.6670432</v>
      </c>
      <c r="I85" s="258">
        <f t="shared" si="45"/>
        <v>1811971390.9279127</v>
      </c>
      <c r="J85" s="258">
        <f t="shared" si="45"/>
        <v>2633542819.499341</v>
      </c>
      <c r="K85" s="258">
        <f t="shared" si="45"/>
        <v>3543417819.499341</v>
      </c>
      <c r="L85" s="258">
        <f t="shared" si="45"/>
        <v>4501417819.499341</v>
      </c>
      <c r="M85" s="258">
        <f t="shared" si="45"/>
        <v>5459417819.499341</v>
      </c>
      <c r="N85" s="258">
        <f t="shared" si="45"/>
        <v>6417417819.499341</v>
      </c>
      <c r="O85" s="258">
        <f t="shared" si="45"/>
        <v>7375417819.499341</v>
      </c>
      <c r="P85" s="1087">
        <f t="shared" si="45"/>
        <v>8343417819.499341</v>
      </c>
      <c r="Q85" s="258">
        <f t="shared" si="21"/>
        <v>0</v>
      </c>
      <c r="R85" s="1086">
        <f t="shared" ref="R85:AC85" si="46">IF(ISBLANK(R84),0,R16+Q85)</f>
        <v>958000000</v>
      </c>
      <c r="S85" s="258">
        <f t="shared" si="46"/>
        <v>1946750000</v>
      </c>
      <c r="T85" s="258">
        <f t="shared" si="46"/>
        <v>3008750000</v>
      </c>
      <c r="U85" s="258">
        <f t="shared" si="46"/>
        <v>4070750000</v>
      </c>
      <c r="V85" s="258">
        <f t="shared" si="46"/>
        <v>5132750000</v>
      </c>
      <c r="W85" s="258">
        <f t="shared" si="46"/>
        <v>6194750000</v>
      </c>
      <c r="X85" s="258">
        <f t="shared" si="46"/>
        <v>7256750000</v>
      </c>
      <c r="Y85" s="258">
        <f t="shared" si="46"/>
        <v>8318750000</v>
      </c>
      <c r="Z85" s="258">
        <f t="shared" si="46"/>
        <v>9380750000</v>
      </c>
      <c r="AA85" s="258">
        <f t="shared" si="46"/>
        <v>10442750000</v>
      </c>
      <c r="AB85" s="258">
        <f t="shared" si="46"/>
        <v>11504750000</v>
      </c>
      <c r="AC85" s="1087">
        <f t="shared" si="46"/>
        <v>12576750000</v>
      </c>
      <c r="AD85" s="258">
        <f t="shared" si="18"/>
        <v>0</v>
      </c>
      <c r="AE85" s="1086">
        <f t="shared" ref="AE85:AP85" si="47">IF(ISBLANK(AE84),0,AE16+AD85)</f>
        <v>1062000000</v>
      </c>
      <c r="AF85" s="258">
        <f t="shared" si="47"/>
        <v>2124000000</v>
      </c>
      <c r="AG85" s="258">
        <f t="shared" si="47"/>
        <v>3186000000</v>
      </c>
      <c r="AH85" s="258">
        <f t="shared" si="47"/>
        <v>4248000000</v>
      </c>
      <c r="AI85" s="258">
        <f t="shared" si="47"/>
        <v>5310000000</v>
      </c>
      <c r="AJ85" s="258">
        <f t="shared" si="47"/>
        <v>6372000000</v>
      </c>
      <c r="AK85" s="258">
        <f t="shared" si="47"/>
        <v>7434000000</v>
      </c>
      <c r="AL85" s="258">
        <f t="shared" si="47"/>
        <v>8496000000</v>
      </c>
      <c r="AM85" s="258">
        <f t="shared" si="47"/>
        <v>9558000000</v>
      </c>
      <c r="AN85" s="258">
        <f t="shared" si="47"/>
        <v>10620000000</v>
      </c>
      <c r="AO85" s="258">
        <f t="shared" si="47"/>
        <v>11682000000</v>
      </c>
      <c r="AP85" s="1087">
        <f t="shared" si="47"/>
        <v>12744000000</v>
      </c>
      <c r="AQ85" s="1111"/>
      <c r="AR85" s="1112"/>
      <c r="AS85" s="1112"/>
      <c r="AT85" s="1112"/>
      <c r="AU85" s="1112"/>
      <c r="AV85" s="1113"/>
    </row>
    <row r="86" spans="1:48" ht="14.25" x14ac:dyDescent="0.2">
      <c r="A86" s="1091" t="s">
        <v>234</v>
      </c>
      <c r="B86" s="258"/>
      <c r="C86" s="258"/>
      <c r="D86" s="258"/>
      <c r="E86" s="1086">
        <f t="shared" ref="E86:P86" si="48">IF(ISBLANK(E85),0,E17+D86)</f>
        <v>240000000</v>
      </c>
      <c r="F86" s="258">
        <f t="shared" si="48"/>
        <v>480000000</v>
      </c>
      <c r="G86" s="258">
        <f t="shared" si="48"/>
        <v>720000000</v>
      </c>
      <c r="H86" s="258">
        <f t="shared" si="48"/>
        <v>960000000</v>
      </c>
      <c r="I86" s="258">
        <f t="shared" si="48"/>
        <v>1200000000</v>
      </c>
      <c r="J86" s="258">
        <f t="shared" si="48"/>
        <v>1440000000</v>
      </c>
      <c r="K86" s="258">
        <f t="shared" si="48"/>
        <v>1680000000</v>
      </c>
      <c r="L86" s="258">
        <f t="shared" si="48"/>
        <v>1920000000</v>
      </c>
      <c r="M86" s="258">
        <f t="shared" si="48"/>
        <v>2160000000</v>
      </c>
      <c r="N86" s="258">
        <f t="shared" si="48"/>
        <v>2400000000</v>
      </c>
      <c r="O86" s="258">
        <f t="shared" si="48"/>
        <v>2640000000</v>
      </c>
      <c r="P86" s="1087">
        <f t="shared" si="48"/>
        <v>2880000000</v>
      </c>
      <c r="Q86" s="258">
        <f t="shared" si="21"/>
        <v>0</v>
      </c>
      <c r="R86" s="1086">
        <f t="shared" ref="R86:AC86" si="49">IF(ISBLANK(R85),0,R17+Q86)</f>
        <v>240000000</v>
      </c>
      <c r="S86" s="258">
        <f t="shared" si="49"/>
        <v>480000000</v>
      </c>
      <c r="T86" s="258">
        <f t="shared" si="49"/>
        <v>720000000</v>
      </c>
      <c r="U86" s="258">
        <f t="shared" si="49"/>
        <v>960000000</v>
      </c>
      <c r="V86" s="258">
        <f t="shared" si="49"/>
        <v>1200000000</v>
      </c>
      <c r="W86" s="258">
        <f t="shared" si="49"/>
        <v>1440000000</v>
      </c>
      <c r="X86" s="258">
        <f t="shared" si="49"/>
        <v>1680000000</v>
      </c>
      <c r="Y86" s="258">
        <f t="shared" si="49"/>
        <v>1920000000</v>
      </c>
      <c r="Z86" s="258">
        <f t="shared" si="49"/>
        <v>2160000000</v>
      </c>
      <c r="AA86" s="258">
        <f t="shared" si="49"/>
        <v>2400000000</v>
      </c>
      <c r="AB86" s="258">
        <f t="shared" si="49"/>
        <v>2640000000</v>
      </c>
      <c r="AC86" s="1087">
        <f t="shared" si="49"/>
        <v>2880000000</v>
      </c>
      <c r="AD86" s="258">
        <f t="shared" si="18"/>
        <v>0</v>
      </c>
      <c r="AE86" s="1086">
        <f t="shared" ref="AE86:AP86" si="50">IF(ISBLANK(AE85),0,AE17+AD86)</f>
        <v>240000000</v>
      </c>
      <c r="AF86" s="258">
        <f t="shared" si="50"/>
        <v>480000000</v>
      </c>
      <c r="AG86" s="258">
        <f t="shared" si="50"/>
        <v>720000000</v>
      </c>
      <c r="AH86" s="258">
        <f t="shared" si="50"/>
        <v>960000000</v>
      </c>
      <c r="AI86" s="258">
        <f t="shared" si="50"/>
        <v>1200000000</v>
      </c>
      <c r="AJ86" s="258">
        <f t="shared" si="50"/>
        <v>1440000000</v>
      </c>
      <c r="AK86" s="258">
        <f t="shared" si="50"/>
        <v>1680000000</v>
      </c>
      <c r="AL86" s="258">
        <f t="shared" si="50"/>
        <v>1920000000</v>
      </c>
      <c r="AM86" s="258">
        <f t="shared" si="50"/>
        <v>2160000000</v>
      </c>
      <c r="AN86" s="258">
        <f t="shared" si="50"/>
        <v>2400000000</v>
      </c>
      <c r="AO86" s="258">
        <f t="shared" si="50"/>
        <v>2640000000</v>
      </c>
      <c r="AP86" s="1087">
        <f t="shared" si="50"/>
        <v>2880000000</v>
      </c>
      <c r="AQ86" s="1111"/>
      <c r="AR86" s="1112"/>
      <c r="AS86" s="1112"/>
      <c r="AT86" s="1112"/>
      <c r="AU86" s="1112"/>
      <c r="AV86" s="1113"/>
    </row>
    <row r="87" spans="1:48" ht="14.25" x14ac:dyDescent="0.2">
      <c r="A87" s="1091" t="s">
        <v>235</v>
      </c>
      <c r="B87" s="258"/>
      <c r="C87" s="258"/>
      <c r="D87" s="258"/>
      <c r="E87" s="1086">
        <f t="shared" ref="E87:P87" ca="1" si="51">IF(ISBLANK(E86),0,E18+D87)</f>
        <v>0</v>
      </c>
      <c r="F87" s="258">
        <f t="shared" ca="1" si="51"/>
        <v>220986301.36986303</v>
      </c>
      <c r="G87" s="258">
        <f t="shared" ca="1" si="51"/>
        <v>486825440.31311166</v>
      </c>
      <c r="H87" s="258">
        <f t="shared" ca="1" si="51"/>
        <v>749052446.18395317</v>
      </c>
      <c r="I87" s="258">
        <f t="shared" ca="1" si="51"/>
        <v>1020020352.2504894</v>
      </c>
      <c r="J87" s="258">
        <f t="shared" ca="1" si="51"/>
        <v>1605360861.0567517</v>
      </c>
      <c r="K87" s="258">
        <f t="shared" ca="1" si="51"/>
        <v>2229322309.1976519</v>
      </c>
      <c r="L87" s="258">
        <f t="shared" ca="1" si="51"/>
        <v>2853283757.3385525</v>
      </c>
      <c r="M87" s="258">
        <f t="shared" ca="1" si="51"/>
        <v>3457117416.8297462</v>
      </c>
      <c r="N87" s="258">
        <f t="shared" ca="1" si="51"/>
        <v>4081078864.9706464</v>
      </c>
      <c r="O87" s="258">
        <f t="shared" ca="1" si="51"/>
        <v>4684912524.4618406</v>
      </c>
      <c r="P87" s="1087">
        <f t="shared" ca="1" si="51"/>
        <v>5308873972.6027403</v>
      </c>
      <c r="Q87" s="258">
        <f t="shared" si="21"/>
        <v>0</v>
      </c>
      <c r="R87" s="1086">
        <f t="shared" ref="R87:AC87" ca="1" si="52">IF(ISBLANK(R86),0,R18+Q87)</f>
        <v>623961448.14090037</v>
      </c>
      <c r="S87" s="258">
        <f t="shared" ca="1" si="52"/>
        <v>1187539530.3326812</v>
      </c>
      <c r="T87" s="258">
        <f t="shared" ca="1" si="52"/>
        <v>1811500978.4735816</v>
      </c>
      <c r="U87" s="258">
        <f t="shared" ca="1" si="52"/>
        <v>2415334637.9647751</v>
      </c>
      <c r="V87" s="258">
        <f t="shared" ca="1" si="52"/>
        <v>3039296086.1056752</v>
      </c>
      <c r="W87" s="258">
        <f t="shared" ca="1" si="52"/>
        <v>3643129745.596869</v>
      </c>
      <c r="X87" s="258">
        <f t="shared" ca="1" si="52"/>
        <v>4267091193.7377691</v>
      </c>
      <c r="Y87" s="258">
        <f t="shared" ca="1" si="52"/>
        <v>4891052641.8786697</v>
      </c>
      <c r="Z87" s="258">
        <f t="shared" ca="1" si="52"/>
        <v>5494886301.3698635</v>
      </c>
      <c r="AA87" s="258">
        <f t="shared" ca="1" si="52"/>
        <v>6118847749.5107641</v>
      </c>
      <c r="AB87" s="258">
        <f t="shared" ca="1" si="52"/>
        <v>6722681409.0019579</v>
      </c>
      <c r="AC87" s="1087">
        <f t="shared" ca="1" si="52"/>
        <v>7346642857.1428585</v>
      </c>
      <c r="AD87" s="258">
        <f t="shared" si="18"/>
        <v>0</v>
      </c>
      <c r="AE87" s="1086">
        <f t="shared" ref="AE87:AP87" ca="1" si="53">IF(ISBLANK(AE86),0,AE18+AD87)</f>
        <v>623961448.14090037</v>
      </c>
      <c r="AF87" s="258">
        <f t="shared" ca="1" si="53"/>
        <v>1187539530.3326817</v>
      </c>
      <c r="AG87" s="258">
        <f t="shared" ca="1" si="53"/>
        <v>1811500978.473582</v>
      </c>
      <c r="AH87" s="258">
        <f t="shared" ca="1" si="53"/>
        <v>2415334637.9647756</v>
      </c>
      <c r="AI87" s="258">
        <f t="shared" ca="1" si="53"/>
        <v>3039296086.1056757</v>
      </c>
      <c r="AJ87" s="258">
        <f t="shared" ca="1" si="53"/>
        <v>3643129745.5968695</v>
      </c>
      <c r="AK87" s="258">
        <f t="shared" ca="1" si="53"/>
        <v>4267091193.7377701</v>
      </c>
      <c r="AL87" s="258">
        <f t="shared" ca="1" si="53"/>
        <v>4891052641.8786697</v>
      </c>
      <c r="AM87" s="258">
        <f t="shared" ca="1" si="53"/>
        <v>5494886301.3698645</v>
      </c>
      <c r="AN87" s="258">
        <f t="shared" ca="1" si="53"/>
        <v>6118847749.5107641</v>
      </c>
      <c r="AO87" s="258">
        <f t="shared" ca="1" si="53"/>
        <v>6722681409.0019588</v>
      </c>
      <c r="AP87" s="1087">
        <f t="shared" ca="1" si="53"/>
        <v>7346642857.1428585</v>
      </c>
      <c r="AQ87" s="1111"/>
      <c r="AR87" s="1112"/>
      <c r="AS87" s="1112"/>
      <c r="AT87" s="1112"/>
      <c r="AU87" s="1112"/>
      <c r="AV87" s="1113"/>
    </row>
    <row r="88" spans="1:48" ht="14.25" x14ac:dyDescent="0.2">
      <c r="A88" s="1091" t="s">
        <v>396</v>
      </c>
      <c r="B88" s="258"/>
      <c r="C88" s="258"/>
      <c r="D88" s="258"/>
      <c r="E88" s="1086">
        <f t="shared" ref="E88:P88" ca="1" si="54">IF(ISBLANK(E87),0,E19+D88)</f>
        <v>0</v>
      </c>
      <c r="F88" s="258">
        <f t="shared" ca="1" si="54"/>
        <v>0</v>
      </c>
      <c r="G88" s="258">
        <f t="shared" ca="1" si="54"/>
        <v>0</v>
      </c>
      <c r="H88" s="258">
        <f t="shared" ca="1" si="54"/>
        <v>0</v>
      </c>
      <c r="I88" s="258">
        <f t="shared" ca="1" si="54"/>
        <v>19180000</v>
      </c>
      <c r="J88" s="258">
        <f t="shared" ca="1" si="54"/>
        <v>103180000</v>
      </c>
      <c r="K88" s="258">
        <f t="shared" ca="1" si="54"/>
        <v>188510000</v>
      </c>
      <c r="L88" s="258">
        <f t="shared" ca="1" si="54"/>
        <v>283010000</v>
      </c>
      <c r="M88" s="258">
        <f t="shared" ca="1" si="54"/>
        <v>378070000</v>
      </c>
      <c r="N88" s="258">
        <f t="shared" ca="1" si="54"/>
        <v>477120000</v>
      </c>
      <c r="O88" s="258">
        <f t="shared" ca="1" si="54"/>
        <v>576170000</v>
      </c>
      <c r="P88" s="1087">
        <f t="shared" ca="1" si="54"/>
        <v>673400000</v>
      </c>
      <c r="Q88" s="258">
        <f t="shared" si="21"/>
        <v>0</v>
      </c>
      <c r="R88" s="1086">
        <f t="shared" ref="R88:AC88" ca="1" si="55">IF(ISBLANK(R87),0,R19+Q88)</f>
        <v>84280000</v>
      </c>
      <c r="S88" s="258">
        <f t="shared" ca="1" si="55"/>
        <v>168560000</v>
      </c>
      <c r="T88" s="258">
        <f t="shared" ca="1" si="55"/>
        <v>255150000</v>
      </c>
      <c r="U88" s="258">
        <f t="shared" ca="1" si="55"/>
        <v>358470000</v>
      </c>
      <c r="V88" s="258">
        <f t="shared" ca="1" si="55"/>
        <v>461790000</v>
      </c>
      <c r="W88" s="258">
        <f t="shared" ca="1" si="55"/>
        <v>565600000</v>
      </c>
      <c r="X88" s="258">
        <f t="shared" ca="1" si="55"/>
        <v>672840000</v>
      </c>
      <c r="Y88" s="258">
        <f t="shared" ca="1" si="55"/>
        <v>780080000</v>
      </c>
      <c r="Z88" s="258">
        <f t="shared" ca="1" si="55"/>
        <v>887810000</v>
      </c>
      <c r="AA88" s="258">
        <f t="shared" ca="1" si="55"/>
        <v>1002190000</v>
      </c>
      <c r="AB88" s="258">
        <f t="shared" ca="1" si="55"/>
        <v>1140230000</v>
      </c>
      <c r="AC88" s="1087">
        <f t="shared" ca="1" si="55"/>
        <v>1271690000</v>
      </c>
      <c r="AD88" s="258">
        <f t="shared" si="18"/>
        <v>0</v>
      </c>
      <c r="AE88" s="1086">
        <f t="shared" ref="AE88:AP88" ca="1" si="56">IF(ISBLANK(AE87),0,AE19+AD88)</f>
        <v>115570000</v>
      </c>
      <c r="AF88" s="258">
        <f t="shared" ca="1" si="56"/>
        <v>230440000</v>
      </c>
      <c r="AG88" s="258">
        <f t="shared" ca="1" si="56"/>
        <v>347970000</v>
      </c>
      <c r="AH88" s="258">
        <f t="shared" ca="1" si="56"/>
        <v>485310000</v>
      </c>
      <c r="AI88" s="258">
        <f t="shared" ca="1" si="56"/>
        <v>622650000</v>
      </c>
      <c r="AJ88" s="258">
        <f t="shared" ca="1" si="56"/>
        <v>760620000</v>
      </c>
      <c r="AK88" s="258">
        <f t="shared" ca="1" si="56"/>
        <v>903560000</v>
      </c>
      <c r="AL88" s="258">
        <f t="shared" ca="1" si="56"/>
        <v>1046780000</v>
      </c>
      <c r="AM88" s="258">
        <f t="shared" ca="1" si="56"/>
        <v>1192520000</v>
      </c>
      <c r="AN88" s="258">
        <f t="shared" ca="1" si="56"/>
        <v>1343370000</v>
      </c>
      <c r="AO88" s="258">
        <f t="shared" ca="1" si="56"/>
        <v>1494710000</v>
      </c>
      <c r="AP88" s="1087">
        <f t="shared" ca="1" si="56"/>
        <v>1628130000</v>
      </c>
      <c r="AQ88" s="1111"/>
      <c r="AR88" s="1112"/>
      <c r="AS88" s="1112"/>
      <c r="AT88" s="1112"/>
      <c r="AU88" s="1112"/>
      <c r="AV88" s="1113"/>
    </row>
    <row r="89" spans="1:48" ht="14.25" x14ac:dyDescent="0.2">
      <c r="A89" s="1085" t="s">
        <v>237</v>
      </c>
      <c r="B89" s="1092"/>
      <c r="C89" s="1092"/>
      <c r="D89" s="1092"/>
      <c r="E89" s="1093">
        <f t="shared" ref="E89:P89" ca="1" si="57">IF(ISBLANK(E88),0,E20+D89)</f>
        <v>240000000</v>
      </c>
      <c r="F89" s="1092">
        <f t="shared" ca="1" si="57"/>
        <v>705748206.13176775</v>
      </c>
      <c r="G89" s="1092">
        <f t="shared" ca="1" si="57"/>
        <v>1563405526.893198</v>
      </c>
      <c r="H89" s="1092">
        <f t="shared" ca="1" si="57"/>
        <v>2717980358.850996</v>
      </c>
      <c r="I89" s="1092">
        <f t="shared" ca="1" si="57"/>
        <v>4051171743.1784019</v>
      </c>
      <c r="J89" s="1092">
        <f t="shared" ca="1" si="57"/>
        <v>9802083680.5560913</v>
      </c>
      <c r="K89" s="1092">
        <f t="shared" ca="1" si="57"/>
        <v>15681250128.696991</v>
      </c>
      <c r="L89" s="1092">
        <f t="shared" ca="1" si="57"/>
        <v>22120211576.837891</v>
      </c>
      <c r="M89" s="1092">
        <f t="shared" ca="1" si="57"/>
        <v>28539605236.329086</v>
      </c>
      <c r="N89" s="1092">
        <f t="shared" ca="1" si="57"/>
        <v>35200866684.469986</v>
      </c>
      <c r="O89" s="1092">
        <f t="shared" ca="1" si="57"/>
        <v>41842000343.961182</v>
      </c>
      <c r="P89" s="1094">
        <f t="shared" ca="1" si="57"/>
        <v>48511441792.102081</v>
      </c>
      <c r="Q89" s="1092">
        <f t="shared" si="21"/>
        <v>0</v>
      </c>
      <c r="R89" s="1093">
        <f t="shared" ref="R89:AC89" ca="1" si="58">IF(ISBLANK(R88),0,R20+Q89)</f>
        <v>5939641448.1409006</v>
      </c>
      <c r="S89" s="1092">
        <f t="shared" ca="1" si="58"/>
        <v>11849649530.332682</v>
      </c>
      <c r="T89" s="1092">
        <f t="shared" ca="1" si="58"/>
        <v>17895600978.473583</v>
      </c>
      <c r="U89" s="1092">
        <f t="shared" ca="1" si="58"/>
        <v>24849354637.964775</v>
      </c>
      <c r="V89" s="1092">
        <f t="shared" ca="1" si="58"/>
        <v>31823236086.105675</v>
      </c>
      <c r="W89" s="1092">
        <f t="shared" ca="1" si="58"/>
        <v>38777479745.59687</v>
      </c>
      <c r="X89" s="1092">
        <f t="shared" ca="1" si="58"/>
        <v>45942881193.73777</v>
      </c>
      <c r="Y89" s="1092">
        <f t="shared" ca="1" si="58"/>
        <v>53108282641.87867</v>
      </c>
      <c r="Z89" s="1092">
        <f t="shared" ca="1" si="58"/>
        <v>60254046301.369865</v>
      </c>
      <c r="AA89" s="1092">
        <f t="shared" ca="1" si="58"/>
        <v>67644337749.510765</v>
      </c>
      <c r="AB89" s="1092">
        <f t="shared" ca="1" si="58"/>
        <v>78294911409.001953</v>
      </c>
      <c r="AC89" s="1094">
        <f t="shared" ca="1" si="58"/>
        <v>88985782857.142853</v>
      </c>
      <c r="AD89" s="1092">
        <f t="shared" si="18"/>
        <v>0</v>
      </c>
      <c r="AE89" s="1093">
        <f t="shared" ref="AE89:AP89" ca="1" si="59">IF(ISBLANK(AE88),0,AE20+AD89)</f>
        <v>9509381448.1408997</v>
      </c>
      <c r="AF89" s="1092">
        <f t="shared" ca="1" si="59"/>
        <v>18849679530.33268</v>
      </c>
      <c r="AG89" s="1092">
        <f t="shared" ca="1" si="59"/>
        <v>28253020978.473579</v>
      </c>
      <c r="AH89" s="1092">
        <f t="shared" ca="1" si="59"/>
        <v>39960644637.964775</v>
      </c>
      <c r="AI89" s="1092">
        <f t="shared" ca="1" si="59"/>
        <v>51688396086.105675</v>
      </c>
      <c r="AJ89" s="1092">
        <f t="shared" ca="1" si="59"/>
        <v>63396649745.59687</v>
      </c>
      <c r="AK89" s="1092">
        <f t="shared" ca="1" si="59"/>
        <v>75614051193.737762</v>
      </c>
      <c r="AL89" s="1092">
        <f t="shared" ca="1" si="59"/>
        <v>87831732641.878662</v>
      </c>
      <c r="AM89" s="1092">
        <f t="shared" ca="1" si="59"/>
        <v>100355806301.36986</v>
      </c>
      <c r="AN89" s="1092">
        <f t="shared" ca="1" si="59"/>
        <v>113198817749.51076</v>
      </c>
      <c r="AO89" s="1092">
        <f t="shared" ca="1" si="59"/>
        <v>126071341409.00195</v>
      </c>
      <c r="AP89" s="1094">
        <f t="shared" ca="1" si="59"/>
        <v>138995222857.14285</v>
      </c>
      <c r="AQ89" s="1111"/>
      <c r="AR89" s="1112"/>
      <c r="AS89" s="1112"/>
      <c r="AT89" s="1112"/>
      <c r="AU89" s="1112"/>
      <c r="AV89" s="1113"/>
    </row>
    <row r="90" spans="1:48" ht="12.75" x14ac:dyDescent="0.2">
      <c r="A90" s="1087"/>
      <c r="B90" s="258"/>
      <c r="C90" s="258"/>
      <c r="D90" s="258"/>
      <c r="E90" s="1086">
        <f t="shared" ref="E90:P90" ca="1" si="60">IF(ISBLANK(E89),0,E21+D90)</f>
        <v>0</v>
      </c>
      <c r="F90" s="258">
        <f t="shared" ca="1" si="60"/>
        <v>0</v>
      </c>
      <c r="G90" s="258">
        <f t="shared" ca="1" si="60"/>
        <v>0</v>
      </c>
      <c r="H90" s="258">
        <f t="shared" ca="1" si="60"/>
        <v>0</v>
      </c>
      <c r="I90" s="258">
        <f t="shared" ca="1" si="60"/>
        <v>0</v>
      </c>
      <c r="J90" s="258">
        <f t="shared" ca="1" si="60"/>
        <v>0</v>
      </c>
      <c r="K90" s="258">
        <f t="shared" ca="1" si="60"/>
        <v>0</v>
      </c>
      <c r="L90" s="258">
        <f t="shared" ca="1" si="60"/>
        <v>0</v>
      </c>
      <c r="M90" s="258">
        <f t="shared" ca="1" si="60"/>
        <v>0</v>
      </c>
      <c r="N90" s="258">
        <f t="shared" ca="1" si="60"/>
        <v>0</v>
      </c>
      <c r="O90" s="258">
        <f t="shared" ca="1" si="60"/>
        <v>0</v>
      </c>
      <c r="P90" s="1087">
        <f t="shared" ca="1" si="60"/>
        <v>0</v>
      </c>
      <c r="Q90" s="258">
        <f t="shared" si="21"/>
        <v>0</v>
      </c>
      <c r="R90" s="1086">
        <f t="shared" ref="R90:AC90" ca="1" si="61">IF(ISBLANK(R89),0,R21+Q90)</f>
        <v>0</v>
      </c>
      <c r="S90" s="258">
        <f t="shared" ca="1" si="61"/>
        <v>0</v>
      </c>
      <c r="T90" s="258">
        <f t="shared" ca="1" si="61"/>
        <v>0</v>
      </c>
      <c r="U90" s="258">
        <f t="shared" ca="1" si="61"/>
        <v>0</v>
      </c>
      <c r="V90" s="258">
        <f t="shared" ca="1" si="61"/>
        <v>0</v>
      </c>
      <c r="W90" s="258">
        <f t="shared" ca="1" si="61"/>
        <v>0</v>
      </c>
      <c r="X90" s="258">
        <f t="shared" ca="1" si="61"/>
        <v>0</v>
      </c>
      <c r="Y90" s="258">
        <f t="shared" ca="1" si="61"/>
        <v>0</v>
      </c>
      <c r="Z90" s="258">
        <f t="shared" ca="1" si="61"/>
        <v>0</v>
      </c>
      <c r="AA90" s="258">
        <f t="shared" ca="1" si="61"/>
        <v>0</v>
      </c>
      <c r="AB90" s="258">
        <f t="shared" ca="1" si="61"/>
        <v>0</v>
      </c>
      <c r="AC90" s="1087">
        <f t="shared" ca="1" si="61"/>
        <v>0</v>
      </c>
      <c r="AD90" s="258">
        <f t="shared" si="18"/>
        <v>0</v>
      </c>
      <c r="AE90" s="1086">
        <f t="shared" ref="AE90:AP90" ca="1" si="62">IF(ISBLANK(AE89),0,AE21+AD90)</f>
        <v>0</v>
      </c>
      <c r="AF90" s="258">
        <f t="shared" ca="1" si="62"/>
        <v>0</v>
      </c>
      <c r="AG90" s="258">
        <f t="shared" ca="1" si="62"/>
        <v>0</v>
      </c>
      <c r="AH90" s="258">
        <f t="shared" ca="1" si="62"/>
        <v>0</v>
      </c>
      <c r="AI90" s="258">
        <f t="shared" ca="1" si="62"/>
        <v>0</v>
      </c>
      <c r="AJ90" s="258">
        <f t="shared" ca="1" si="62"/>
        <v>0</v>
      </c>
      <c r="AK90" s="258">
        <f t="shared" ca="1" si="62"/>
        <v>0</v>
      </c>
      <c r="AL90" s="258">
        <f t="shared" ca="1" si="62"/>
        <v>0</v>
      </c>
      <c r="AM90" s="258">
        <f t="shared" ca="1" si="62"/>
        <v>0</v>
      </c>
      <c r="AN90" s="258">
        <f t="shared" ca="1" si="62"/>
        <v>0</v>
      </c>
      <c r="AO90" s="258">
        <f t="shared" ca="1" si="62"/>
        <v>0</v>
      </c>
      <c r="AP90" s="1087">
        <f t="shared" ca="1" si="62"/>
        <v>0</v>
      </c>
      <c r="AQ90" s="1111"/>
      <c r="AR90" s="1112"/>
      <c r="AS90" s="1112"/>
      <c r="AT90" s="1112"/>
      <c r="AU90" s="1112"/>
      <c r="AV90" s="1113"/>
    </row>
    <row r="91" spans="1:48" ht="14.25" x14ac:dyDescent="0.2">
      <c r="A91" s="1098" t="s">
        <v>387</v>
      </c>
      <c r="B91" s="1092"/>
      <c r="C91" s="1092"/>
      <c r="D91" s="1092"/>
      <c r="E91" s="1093">
        <f t="shared" ref="E91:P91" ca="1" si="63">IF(ISBLANK(E90),0,E22+D91)</f>
        <v>-240000000</v>
      </c>
      <c r="F91" s="1092">
        <f t="shared" ca="1" si="63"/>
        <v>-705748206.13176775</v>
      </c>
      <c r="G91" s="1092">
        <f t="shared" ca="1" si="63"/>
        <v>-1563405526.893198</v>
      </c>
      <c r="H91" s="1092">
        <f t="shared" ca="1" si="63"/>
        <v>-2717980358.850996</v>
      </c>
      <c r="I91" s="1092">
        <f t="shared" ca="1" si="63"/>
        <v>-4051171743.1784019</v>
      </c>
      <c r="J91" s="1092">
        <f t="shared" ca="1" si="63"/>
        <v>-2468883680.5560923</v>
      </c>
      <c r="K91" s="1092">
        <f t="shared" ca="1" si="63"/>
        <v>-1014850128.6969919</v>
      </c>
      <c r="L91" s="1092">
        <f t="shared" ca="1" si="63"/>
        <v>857148423.16210747</v>
      </c>
      <c r="M91" s="1092">
        <f t="shared" ca="1" si="63"/>
        <v>2748714763.6709137</v>
      </c>
      <c r="N91" s="1092">
        <f t="shared" ca="1" si="63"/>
        <v>4799023315.530014</v>
      </c>
      <c r="O91" s="1092">
        <f t="shared" ca="1" si="63"/>
        <v>6869459656.0388203</v>
      </c>
      <c r="P91" s="1094">
        <f t="shared" ca="1" si="63"/>
        <v>8911588207.8979206</v>
      </c>
      <c r="Q91" s="1092">
        <f t="shared" si="21"/>
        <v>0</v>
      </c>
      <c r="R91" s="1093">
        <f t="shared" ref="R91:AC91" ca="1" si="64">IF(ISBLANK(R90),0,R22+Q91)</f>
        <v>1461458551.8590994</v>
      </c>
      <c r="S91" s="1092">
        <f t="shared" ca="1" si="64"/>
        <v>2952550469.6673183</v>
      </c>
      <c r="T91" s="1092">
        <f t="shared" ca="1" si="64"/>
        <v>4307699021.5264177</v>
      </c>
      <c r="U91" s="1092">
        <f t="shared" ca="1" si="64"/>
        <v>6438965362.035224</v>
      </c>
      <c r="V91" s="1092">
        <f t="shared" ca="1" si="64"/>
        <v>8550103913.8943233</v>
      </c>
      <c r="W91" s="1092">
        <f t="shared" ca="1" si="64"/>
        <v>10680880254.40313</v>
      </c>
      <c r="X91" s="1092">
        <f t="shared" ca="1" si="64"/>
        <v>12939998806.26223</v>
      </c>
      <c r="Y91" s="1092">
        <f t="shared" ca="1" si="64"/>
        <v>15199117358.12133</v>
      </c>
      <c r="Z91" s="1092">
        <f t="shared" ca="1" si="64"/>
        <v>17477873698.630135</v>
      </c>
      <c r="AA91" s="1092">
        <f t="shared" ca="1" si="64"/>
        <v>19912712250.489235</v>
      </c>
      <c r="AB91" s="1092">
        <f t="shared" ca="1" si="64"/>
        <v>23978518590.998039</v>
      </c>
      <c r="AC91" s="1094">
        <f t="shared" ca="1" si="64"/>
        <v>28037977142.85714</v>
      </c>
      <c r="AD91" s="1092">
        <f t="shared" si="18"/>
        <v>0</v>
      </c>
      <c r="AE91" s="1093">
        <f t="shared" ref="AE91:AP91" ca="1" si="65">IF(ISBLANK(AE90),0,AE22+AD91)</f>
        <v>3338838551.8591003</v>
      </c>
      <c r="AF91" s="1092">
        <f t="shared" ca="1" si="65"/>
        <v>6666860469.6673183</v>
      </c>
      <c r="AG91" s="1092">
        <f t="shared" ca="1" si="65"/>
        <v>9931839021.5264187</v>
      </c>
      <c r="AH91" s="1092">
        <f t="shared" ca="1" si="65"/>
        <v>14568795362.035225</v>
      </c>
      <c r="AI91" s="1092">
        <f t="shared" ca="1" si="65"/>
        <v>19185623913.894325</v>
      </c>
      <c r="AJ91" s="1092">
        <f t="shared" ca="1" si="65"/>
        <v>23821950254.40313</v>
      </c>
      <c r="AK91" s="1092">
        <f t="shared" ca="1" si="65"/>
        <v>28722418806.26223</v>
      </c>
      <c r="AL91" s="1092">
        <f t="shared" ca="1" si="65"/>
        <v>33622607358.12133</v>
      </c>
      <c r="AM91" s="1092">
        <f t="shared" ca="1" si="65"/>
        <v>38702133698.630135</v>
      </c>
      <c r="AN91" s="1092">
        <f t="shared" ca="1" si="65"/>
        <v>44005572250.489235</v>
      </c>
      <c r="AO91" s="1092">
        <f t="shared" ca="1" si="65"/>
        <v>49367418590.998039</v>
      </c>
      <c r="AP91" s="1094">
        <f t="shared" ca="1" si="65"/>
        <v>54765827142.85714</v>
      </c>
      <c r="AQ91" s="1111"/>
      <c r="AR91" s="1112"/>
      <c r="AS91" s="1112"/>
      <c r="AT91" s="1112"/>
      <c r="AU91" s="1112"/>
      <c r="AV91" s="1113"/>
    </row>
    <row r="92" spans="1:48" ht="12.75" x14ac:dyDescent="0.2">
      <c r="A92" s="1087"/>
      <c r="B92" s="258"/>
      <c r="C92" s="258"/>
      <c r="D92" s="258"/>
      <c r="E92" s="1086">
        <f t="shared" ref="E92:P92" ca="1" si="66">IF(ISBLANK(E91),0,E23+D92)</f>
        <v>0</v>
      </c>
      <c r="F92" s="258">
        <f t="shared" ca="1" si="66"/>
        <v>0</v>
      </c>
      <c r="G92" s="258">
        <f t="shared" ca="1" si="66"/>
        <v>0</v>
      </c>
      <c r="H92" s="258">
        <f t="shared" ca="1" si="66"/>
        <v>0</v>
      </c>
      <c r="I92" s="258">
        <f t="shared" ca="1" si="66"/>
        <v>0</v>
      </c>
      <c r="J92" s="258">
        <f t="shared" ca="1" si="66"/>
        <v>0</v>
      </c>
      <c r="K92" s="258">
        <f t="shared" ca="1" si="66"/>
        <v>0</v>
      </c>
      <c r="L92" s="258">
        <f t="shared" ca="1" si="66"/>
        <v>0</v>
      </c>
      <c r="M92" s="258">
        <f t="shared" ca="1" si="66"/>
        <v>0</v>
      </c>
      <c r="N92" s="258">
        <f t="shared" ca="1" si="66"/>
        <v>0</v>
      </c>
      <c r="O92" s="258">
        <f t="shared" ca="1" si="66"/>
        <v>0</v>
      </c>
      <c r="P92" s="1087">
        <f t="shared" ca="1" si="66"/>
        <v>0</v>
      </c>
      <c r="Q92" s="258">
        <f t="shared" si="21"/>
        <v>0</v>
      </c>
      <c r="R92" s="1086">
        <f t="shared" ref="R92:AC92" ca="1" si="67">IF(ISBLANK(R91),0,R23+Q92)</f>
        <v>0</v>
      </c>
      <c r="S92" s="258">
        <f t="shared" ca="1" si="67"/>
        <v>0</v>
      </c>
      <c r="T92" s="258">
        <f t="shared" ca="1" si="67"/>
        <v>0</v>
      </c>
      <c r="U92" s="258">
        <f t="shared" ca="1" si="67"/>
        <v>0</v>
      </c>
      <c r="V92" s="258">
        <f t="shared" ca="1" si="67"/>
        <v>0</v>
      </c>
      <c r="W92" s="258">
        <f t="shared" ca="1" si="67"/>
        <v>0</v>
      </c>
      <c r="X92" s="258">
        <f t="shared" ca="1" si="67"/>
        <v>0</v>
      </c>
      <c r="Y92" s="258">
        <f t="shared" ca="1" si="67"/>
        <v>0</v>
      </c>
      <c r="Z92" s="258">
        <f t="shared" ca="1" si="67"/>
        <v>0</v>
      </c>
      <c r="AA92" s="258">
        <f t="shared" ca="1" si="67"/>
        <v>0</v>
      </c>
      <c r="AB92" s="258">
        <f t="shared" ca="1" si="67"/>
        <v>0</v>
      </c>
      <c r="AC92" s="1087">
        <f t="shared" ca="1" si="67"/>
        <v>0</v>
      </c>
      <c r="AD92" s="258">
        <f t="shared" si="18"/>
        <v>0</v>
      </c>
      <c r="AE92" s="1086">
        <f t="shared" ref="AE92:AP92" ca="1" si="68">IF(ISBLANK(AE91),0,AE23+AD92)</f>
        <v>0</v>
      </c>
      <c r="AF92" s="258">
        <f t="shared" ca="1" si="68"/>
        <v>0</v>
      </c>
      <c r="AG92" s="258">
        <f t="shared" ca="1" si="68"/>
        <v>0</v>
      </c>
      <c r="AH92" s="258">
        <f t="shared" ca="1" si="68"/>
        <v>0</v>
      </c>
      <c r="AI92" s="258">
        <f t="shared" ca="1" si="68"/>
        <v>0</v>
      </c>
      <c r="AJ92" s="258">
        <f t="shared" ca="1" si="68"/>
        <v>0</v>
      </c>
      <c r="AK92" s="258">
        <f t="shared" ca="1" si="68"/>
        <v>0</v>
      </c>
      <c r="AL92" s="258">
        <f t="shared" ca="1" si="68"/>
        <v>0</v>
      </c>
      <c r="AM92" s="258">
        <f t="shared" ca="1" si="68"/>
        <v>0</v>
      </c>
      <c r="AN92" s="258">
        <f t="shared" ca="1" si="68"/>
        <v>0</v>
      </c>
      <c r="AO92" s="258">
        <f t="shared" ca="1" si="68"/>
        <v>0</v>
      </c>
      <c r="AP92" s="1087">
        <f t="shared" ca="1" si="68"/>
        <v>0</v>
      </c>
      <c r="AQ92" s="1111"/>
      <c r="AR92" s="1112"/>
      <c r="AS92" s="1112"/>
      <c r="AT92" s="1112"/>
      <c r="AU92" s="1112"/>
      <c r="AV92" s="1113"/>
    </row>
    <row r="93" spans="1:48" ht="14.25" x14ac:dyDescent="0.2">
      <c r="A93" s="1085" t="s">
        <v>238</v>
      </c>
      <c r="B93" s="258"/>
      <c r="C93" s="258"/>
      <c r="D93" s="258"/>
      <c r="E93" s="1086">
        <f t="shared" ref="E93:P93" ca="1" si="69">IF(ISBLANK(E92),0,E24+D93)</f>
        <v>0</v>
      </c>
      <c r="F93" s="258">
        <f t="shared" ca="1" si="69"/>
        <v>0</v>
      </c>
      <c r="G93" s="258">
        <f t="shared" ca="1" si="69"/>
        <v>0</v>
      </c>
      <c r="H93" s="258">
        <f t="shared" ca="1" si="69"/>
        <v>0</v>
      </c>
      <c r="I93" s="258">
        <f t="shared" ca="1" si="69"/>
        <v>0</v>
      </c>
      <c r="J93" s="258">
        <f t="shared" ca="1" si="69"/>
        <v>0</v>
      </c>
      <c r="K93" s="258">
        <f t="shared" ca="1" si="69"/>
        <v>0</v>
      </c>
      <c r="L93" s="258">
        <f t="shared" ca="1" si="69"/>
        <v>0</v>
      </c>
      <c r="M93" s="258">
        <f t="shared" ca="1" si="69"/>
        <v>0</v>
      </c>
      <c r="N93" s="258">
        <f t="shared" ca="1" si="69"/>
        <v>0</v>
      </c>
      <c r="O93" s="258">
        <f t="shared" ca="1" si="69"/>
        <v>0</v>
      </c>
      <c r="P93" s="1087">
        <f t="shared" ca="1" si="69"/>
        <v>0</v>
      </c>
      <c r="Q93" s="258">
        <f t="shared" si="21"/>
        <v>0</v>
      </c>
      <c r="R93" s="1086">
        <f t="shared" ref="R93:AC93" ca="1" si="70">IF(ISBLANK(R92),0,R24+Q93)</f>
        <v>0</v>
      </c>
      <c r="S93" s="258">
        <f t="shared" ca="1" si="70"/>
        <v>0</v>
      </c>
      <c r="T93" s="258">
        <f t="shared" ca="1" si="70"/>
        <v>0</v>
      </c>
      <c r="U93" s="258">
        <f t="shared" ca="1" si="70"/>
        <v>0</v>
      </c>
      <c r="V93" s="258">
        <f t="shared" ca="1" si="70"/>
        <v>0</v>
      </c>
      <c r="W93" s="258">
        <f t="shared" ca="1" si="70"/>
        <v>0</v>
      </c>
      <c r="X93" s="258">
        <f t="shared" ca="1" si="70"/>
        <v>0</v>
      </c>
      <c r="Y93" s="258">
        <f t="shared" ca="1" si="70"/>
        <v>0</v>
      </c>
      <c r="Z93" s="258">
        <f t="shared" ca="1" si="70"/>
        <v>0</v>
      </c>
      <c r="AA93" s="258">
        <f t="shared" ca="1" si="70"/>
        <v>0</v>
      </c>
      <c r="AB93" s="258">
        <f t="shared" ca="1" si="70"/>
        <v>0</v>
      </c>
      <c r="AC93" s="1087">
        <f t="shared" ca="1" si="70"/>
        <v>0</v>
      </c>
      <c r="AD93" s="258">
        <f t="shared" si="18"/>
        <v>0</v>
      </c>
      <c r="AE93" s="1086">
        <f t="shared" ref="AE93:AP93" ca="1" si="71">IF(ISBLANK(AE92),0,AE24+AD93)</f>
        <v>0</v>
      </c>
      <c r="AF93" s="258">
        <f t="shared" ca="1" si="71"/>
        <v>0</v>
      </c>
      <c r="AG93" s="258">
        <f t="shared" ca="1" si="71"/>
        <v>0</v>
      </c>
      <c r="AH93" s="258">
        <f t="shared" ca="1" si="71"/>
        <v>0</v>
      </c>
      <c r="AI93" s="258">
        <f t="shared" ca="1" si="71"/>
        <v>0</v>
      </c>
      <c r="AJ93" s="258">
        <f t="shared" ca="1" si="71"/>
        <v>0</v>
      </c>
      <c r="AK93" s="258">
        <f t="shared" ca="1" si="71"/>
        <v>0</v>
      </c>
      <c r="AL93" s="258">
        <f t="shared" ca="1" si="71"/>
        <v>0</v>
      </c>
      <c r="AM93" s="258">
        <f t="shared" ca="1" si="71"/>
        <v>0</v>
      </c>
      <c r="AN93" s="258">
        <f t="shared" ca="1" si="71"/>
        <v>0</v>
      </c>
      <c r="AO93" s="258">
        <f t="shared" ca="1" si="71"/>
        <v>0</v>
      </c>
      <c r="AP93" s="1087">
        <f t="shared" ca="1" si="71"/>
        <v>0</v>
      </c>
      <c r="AQ93" s="1111"/>
      <c r="AR93" s="1112"/>
      <c r="AS93" s="1112"/>
      <c r="AT93" s="1112"/>
      <c r="AU93" s="1112"/>
      <c r="AV93" s="1113"/>
    </row>
    <row r="94" spans="1:48" ht="14.25" x14ac:dyDescent="0.2">
      <c r="A94" s="1091" t="s">
        <v>239</v>
      </c>
      <c r="B94" s="258"/>
      <c r="C94" s="258"/>
      <c r="D94" s="258"/>
      <c r="E94" s="1086">
        <f t="shared" ref="E94:P94" ca="1" si="72">IF(ISBLANK(E93),0,E25+D94)</f>
        <v>0</v>
      </c>
      <c r="F94" s="258">
        <f t="shared" ca="1" si="72"/>
        <v>0</v>
      </c>
      <c r="G94" s="258">
        <f t="shared" ca="1" si="72"/>
        <v>0</v>
      </c>
      <c r="H94" s="258">
        <f t="shared" ca="1" si="72"/>
        <v>0</v>
      </c>
      <c r="I94" s="258">
        <f t="shared" ca="1" si="72"/>
        <v>0</v>
      </c>
      <c r="J94" s="258">
        <f t="shared" ca="1" si="72"/>
        <v>0</v>
      </c>
      <c r="K94" s="258">
        <f t="shared" ca="1" si="72"/>
        <v>0</v>
      </c>
      <c r="L94" s="258">
        <f t="shared" ca="1" si="72"/>
        <v>0</v>
      </c>
      <c r="M94" s="258">
        <f t="shared" ca="1" si="72"/>
        <v>0</v>
      </c>
      <c r="N94" s="258">
        <f t="shared" ca="1" si="72"/>
        <v>0</v>
      </c>
      <c r="O94" s="258">
        <f t="shared" ca="1" si="72"/>
        <v>0</v>
      </c>
      <c r="P94" s="1087">
        <f t="shared" ca="1" si="72"/>
        <v>0</v>
      </c>
      <c r="Q94" s="258">
        <f t="shared" si="21"/>
        <v>0</v>
      </c>
      <c r="R94" s="1086">
        <f t="shared" ref="R94:AC94" ca="1" si="73">IF(ISBLANK(R93),0,R25+Q94)</f>
        <v>0</v>
      </c>
      <c r="S94" s="258">
        <f t="shared" ca="1" si="73"/>
        <v>0</v>
      </c>
      <c r="T94" s="258">
        <f t="shared" ca="1" si="73"/>
        <v>0</v>
      </c>
      <c r="U94" s="258">
        <f t="shared" ca="1" si="73"/>
        <v>0</v>
      </c>
      <c r="V94" s="258">
        <f t="shared" ca="1" si="73"/>
        <v>0</v>
      </c>
      <c r="W94" s="258">
        <f t="shared" ca="1" si="73"/>
        <v>0</v>
      </c>
      <c r="X94" s="258">
        <f t="shared" ca="1" si="73"/>
        <v>0</v>
      </c>
      <c r="Y94" s="258">
        <f t="shared" ca="1" si="73"/>
        <v>0</v>
      </c>
      <c r="Z94" s="258">
        <f t="shared" ca="1" si="73"/>
        <v>0</v>
      </c>
      <c r="AA94" s="258">
        <f t="shared" ca="1" si="73"/>
        <v>0</v>
      </c>
      <c r="AB94" s="258">
        <f t="shared" ca="1" si="73"/>
        <v>0</v>
      </c>
      <c r="AC94" s="1087">
        <f t="shared" ca="1" si="73"/>
        <v>0</v>
      </c>
      <c r="AD94" s="258">
        <f t="shared" si="18"/>
        <v>0</v>
      </c>
      <c r="AE94" s="1086">
        <f t="shared" ref="AE94:AP94" ca="1" si="74">IF(ISBLANK(AE93),0,AE25+AD94)</f>
        <v>0</v>
      </c>
      <c r="AF94" s="258">
        <f t="shared" ca="1" si="74"/>
        <v>0</v>
      </c>
      <c r="AG94" s="258">
        <f t="shared" ca="1" si="74"/>
        <v>0</v>
      </c>
      <c r="AH94" s="258">
        <f t="shared" ca="1" si="74"/>
        <v>0</v>
      </c>
      <c r="AI94" s="258">
        <f t="shared" ca="1" si="74"/>
        <v>0</v>
      </c>
      <c r="AJ94" s="258">
        <f t="shared" ca="1" si="74"/>
        <v>0</v>
      </c>
      <c r="AK94" s="258">
        <f t="shared" ca="1" si="74"/>
        <v>0</v>
      </c>
      <c r="AL94" s="258">
        <f t="shared" ca="1" si="74"/>
        <v>0</v>
      </c>
      <c r="AM94" s="258">
        <f t="shared" ca="1" si="74"/>
        <v>0</v>
      </c>
      <c r="AN94" s="258">
        <f t="shared" ca="1" si="74"/>
        <v>0</v>
      </c>
      <c r="AO94" s="258">
        <f t="shared" ca="1" si="74"/>
        <v>0</v>
      </c>
      <c r="AP94" s="1087">
        <f t="shared" ca="1" si="74"/>
        <v>0</v>
      </c>
      <c r="AQ94" s="1111"/>
      <c r="AR94" s="1112"/>
      <c r="AS94" s="1112"/>
      <c r="AT94" s="1112"/>
      <c r="AU94" s="1112"/>
      <c r="AV94" s="1113"/>
    </row>
    <row r="95" spans="1:48" ht="14.25" x14ac:dyDescent="0.2">
      <c r="A95" s="1091" t="s">
        <v>240</v>
      </c>
      <c r="B95" s="258"/>
      <c r="C95" s="258"/>
      <c r="D95" s="258"/>
      <c r="E95" s="1086">
        <f t="shared" ref="E95:P95" ca="1" si="75">IF(ISBLANK(E94),0,E26+D95)</f>
        <v>0</v>
      </c>
      <c r="F95" s="258">
        <f t="shared" ca="1" si="75"/>
        <v>0</v>
      </c>
      <c r="G95" s="258">
        <f t="shared" ca="1" si="75"/>
        <v>0</v>
      </c>
      <c r="H95" s="258">
        <f t="shared" ca="1" si="75"/>
        <v>0</v>
      </c>
      <c r="I95" s="258">
        <f t="shared" ca="1" si="75"/>
        <v>0</v>
      </c>
      <c r="J95" s="258">
        <f t="shared" ca="1" si="75"/>
        <v>0</v>
      </c>
      <c r="K95" s="258">
        <f t="shared" ca="1" si="75"/>
        <v>0</v>
      </c>
      <c r="L95" s="258">
        <f t="shared" ca="1" si="75"/>
        <v>0</v>
      </c>
      <c r="M95" s="258">
        <f t="shared" ca="1" si="75"/>
        <v>0</v>
      </c>
      <c r="N95" s="258">
        <f t="shared" ca="1" si="75"/>
        <v>0</v>
      </c>
      <c r="O95" s="258">
        <f t="shared" ca="1" si="75"/>
        <v>0</v>
      </c>
      <c r="P95" s="1087">
        <f t="shared" ca="1" si="75"/>
        <v>0</v>
      </c>
      <c r="Q95" s="258">
        <f t="shared" si="21"/>
        <v>0</v>
      </c>
      <c r="R95" s="1086">
        <f t="shared" ref="R95:AC95" ca="1" si="76">IF(ISBLANK(R94),0,R26+Q95)</f>
        <v>0</v>
      </c>
      <c r="S95" s="258">
        <f t="shared" ca="1" si="76"/>
        <v>0</v>
      </c>
      <c r="T95" s="258">
        <f t="shared" ca="1" si="76"/>
        <v>0</v>
      </c>
      <c r="U95" s="258">
        <f t="shared" ca="1" si="76"/>
        <v>0</v>
      </c>
      <c r="V95" s="258">
        <f t="shared" ca="1" si="76"/>
        <v>0</v>
      </c>
      <c r="W95" s="258">
        <f t="shared" ca="1" si="76"/>
        <v>0</v>
      </c>
      <c r="X95" s="258">
        <f t="shared" ca="1" si="76"/>
        <v>0</v>
      </c>
      <c r="Y95" s="258">
        <f t="shared" ca="1" si="76"/>
        <v>0</v>
      </c>
      <c r="Z95" s="258">
        <f t="shared" ca="1" si="76"/>
        <v>0</v>
      </c>
      <c r="AA95" s="258">
        <f t="shared" ca="1" si="76"/>
        <v>0</v>
      </c>
      <c r="AB95" s="258">
        <f t="shared" ca="1" si="76"/>
        <v>0</v>
      </c>
      <c r="AC95" s="1087">
        <f t="shared" ca="1" si="76"/>
        <v>0</v>
      </c>
      <c r="AD95" s="258">
        <f t="shared" si="18"/>
        <v>0</v>
      </c>
      <c r="AE95" s="1086">
        <f t="shared" ref="AE95:AP95" ca="1" si="77">IF(ISBLANK(AE94),0,AE26+AD95)</f>
        <v>0</v>
      </c>
      <c r="AF95" s="258">
        <f t="shared" ca="1" si="77"/>
        <v>0</v>
      </c>
      <c r="AG95" s="258">
        <f t="shared" ca="1" si="77"/>
        <v>0</v>
      </c>
      <c r="AH95" s="258">
        <f t="shared" ca="1" si="77"/>
        <v>0</v>
      </c>
      <c r="AI95" s="258">
        <f t="shared" ca="1" si="77"/>
        <v>0</v>
      </c>
      <c r="AJ95" s="258">
        <f t="shared" ca="1" si="77"/>
        <v>0</v>
      </c>
      <c r="AK95" s="258">
        <f t="shared" ca="1" si="77"/>
        <v>0</v>
      </c>
      <c r="AL95" s="258">
        <f t="shared" ca="1" si="77"/>
        <v>0</v>
      </c>
      <c r="AM95" s="258">
        <f t="shared" ca="1" si="77"/>
        <v>0</v>
      </c>
      <c r="AN95" s="258">
        <f t="shared" ca="1" si="77"/>
        <v>0</v>
      </c>
      <c r="AO95" s="258">
        <f t="shared" ca="1" si="77"/>
        <v>0</v>
      </c>
      <c r="AP95" s="1087">
        <f t="shared" ca="1" si="77"/>
        <v>0</v>
      </c>
      <c r="AQ95" s="1111"/>
      <c r="AR95" s="1112"/>
      <c r="AS95" s="1112"/>
      <c r="AT95" s="1112"/>
      <c r="AU95" s="1112"/>
      <c r="AV95" s="1113"/>
    </row>
    <row r="96" spans="1:48" ht="14.25" x14ac:dyDescent="0.2">
      <c r="A96" s="1091" t="s">
        <v>241</v>
      </c>
      <c r="B96" s="258"/>
      <c r="C96" s="258"/>
      <c r="D96" s="258"/>
      <c r="E96" s="1086">
        <f t="shared" ref="E96:P96" ca="1" si="78">IF(ISBLANK(E95),0,E27+D96)</f>
        <v>0</v>
      </c>
      <c r="F96" s="258">
        <f t="shared" ca="1" si="78"/>
        <v>0</v>
      </c>
      <c r="G96" s="258">
        <f t="shared" ca="1" si="78"/>
        <v>0</v>
      </c>
      <c r="H96" s="258">
        <f t="shared" ca="1" si="78"/>
        <v>0</v>
      </c>
      <c r="I96" s="258">
        <f t="shared" ca="1" si="78"/>
        <v>0</v>
      </c>
      <c r="J96" s="258">
        <f t="shared" ca="1" si="78"/>
        <v>0</v>
      </c>
      <c r="K96" s="258">
        <f t="shared" ca="1" si="78"/>
        <v>0</v>
      </c>
      <c r="L96" s="258">
        <f t="shared" ca="1" si="78"/>
        <v>0</v>
      </c>
      <c r="M96" s="258">
        <f t="shared" ca="1" si="78"/>
        <v>0</v>
      </c>
      <c r="N96" s="258">
        <f t="shared" ca="1" si="78"/>
        <v>0</v>
      </c>
      <c r="O96" s="258">
        <f t="shared" ca="1" si="78"/>
        <v>0</v>
      </c>
      <c r="P96" s="1087">
        <f t="shared" ca="1" si="78"/>
        <v>0</v>
      </c>
      <c r="Q96" s="258">
        <f t="shared" si="21"/>
        <v>0</v>
      </c>
      <c r="R96" s="1086">
        <f t="shared" ref="R96:AC96" ca="1" si="79">IF(ISBLANK(R95),0,R27+Q96)</f>
        <v>0</v>
      </c>
      <c r="S96" s="258">
        <f t="shared" ca="1" si="79"/>
        <v>0</v>
      </c>
      <c r="T96" s="258">
        <f t="shared" ca="1" si="79"/>
        <v>0</v>
      </c>
      <c r="U96" s="258">
        <f t="shared" ca="1" si="79"/>
        <v>0</v>
      </c>
      <c r="V96" s="258">
        <f t="shared" ca="1" si="79"/>
        <v>0</v>
      </c>
      <c r="W96" s="258">
        <f t="shared" ca="1" si="79"/>
        <v>0</v>
      </c>
      <c r="X96" s="258">
        <f t="shared" ca="1" si="79"/>
        <v>0</v>
      </c>
      <c r="Y96" s="258">
        <f t="shared" ca="1" si="79"/>
        <v>0</v>
      </c>
      <c r="Z96" s="258">
        <f t="shared" ca="1" si="79"/>
        <v>0</v>
      </c>
      <c r="AA96" s="258">
        <f t="shared" ca="1" si="79"/>
        <v>0</v>
      </c>
      <c r="AB96" s="258">
        <f t="shared" ca="1" si="79"/>
        <v>0</v>
      </c>
      <c r="AC96" s="1087">
        <f t="shared" ca="1" si="79"/>
        <v>0</v>
      </c>
      <c r="AD96" s="258">
        <f t="shared" si="18"/>
        <v>0</v>
      </c>
      <c r="AE96" s="1086">
        <f t="shared" ref="AE96:AP96" ca="1" si="80">IF(ISBLANK(AE95),0,AE27+AD96)</f>
        <v>0</v>
      </c>
      <c r="AF96" s="258">
        <f t="shared" ca="1" si="80"/>
        <v>0</v>
      </c>
      <c r="AG96" s="258">
        <f t="shared" ca="1" si="80"/>
        <v>0</v>
      </c>
      <c r="AH96" s="258">
        <f t="shared" ca="1" si="80"/>
        <v>0</v>
      </c>
      <c r="AI96" s="258">
        <f t="shared" ca="1" si="80"/>
        <v>0</v>
      </c>
      <c r="AJ96" s="258">
        <f t="shared" ca="1" si="80"/>
        <v>0</v>
      </c>
      <c r="AK96" s="258">
        <f t="shared" ca="1" si="80"/>
        <v>0</v>
      </c>
      <c r="AL96" s="258">
        <f t="shared" ca="1" si="80"/>
        <v>0</v>
      </c>
      <c r="AM96" s="258">
        <f t="shared" ca="1" si="80"/>
        <v>0</v>
      </c>
      <c r="AN96" s="258">
        <f t="shared" ca="1" si="80"/>
        <v>0</v>
      </c>
      <c r="AO96" s="258">
        <f t="shared" ca="1" si="80"/>
        <v>0</v>
      </c>
      <c r="AP96" s="1087">
        <f t="shared" ca="1" si="80"/>
        <v>0</v>
      </c>
      <c r="AQ96" s="1111"/>
      <c r="AR96" s="1112"/>
      <c r="AS96" s="1112"/>
      <c r="AT96" s="1112"/>
      <c r="AU96" s="1112"/>
      <c r="AV96" s="1113"/>
    </row>
    <row r="97" spans="1:48" ht="14.25" x14ac:dyDescent="0.2">
      <c r="A97" s="1091" t="s">
        <v>242</v>
      </c>
      <c r="B97" s="258"/>
      <c r="C97" s="258"/>
      <c r="D97" s="258"/>
      <c r="E97" s="1086">
        <f t="shared" ref="E97:P97" ca="1" si="81">IF(ISBLANK(E96),0,E28+D97)</f>
        <v>0</v>
      </c>
      <c r="F97" s="258">
        <f t="shared" ca="1" si="81"/>
        <v>0</v>
      </c>
      <c r="G97" s="258">
        <f t="shared" ca="1" si="81"/>
        <v>0</v>
      </c>
      <c r="H97" s="258">
        <f t="shared" ca="1" si="81"/>
        <v>0</v>
      </c>
      <c r="I97" s="258">
        <f t="shared" ca="1" si="81"/>
        <v>0</v>
      </c>
      <c r="J97" s="258">
        <f t="shared" ca="1" si="81"/>
        <v>0</v>
      </c>
      <c r="K97" s="258">
        <f t="shared" ca="1" si="81"/>
        <v>0</v>
      </c>
      <c r="L97" s="258">
        <f t="shared" ca="1" si="81"/>
        <v>0</v>
      </c>
      <c r="M97" s="258">
        <f t="shared" ca="1" si="81"/>
        <v>0</v>
      </c>
      <c r="N97" s="258">
        <f t="shared" ca="1" si="81"/>
        <v>0</v>
      </c>
      <c r="O97" s="258">
        <f t="shared" ca="1" si="81"/>
        <v>0</v>
      </c>
      <c r="P97" s="1087">
        <f t="shared" ca="1" si="81"/>
        <v>0</v>
      </c>
      <c r="Q97" s="258">
        <f t="shared" si="21"/>
        <v>0</v>
      </c>
      <c r="R97" s="1086">
        <f t="shared" ref="R97:AC97" ca="1" si="82">IF(ISBLANK(R96),0,R28+Q97)</f>
        <v>0</v>
      </c>
      <c r="S97" s="258">
        <f t="shared" ca="1" si="82"/>
        <v>0</v>
      </c>
      <c r="T97" s="258">
        <f t="shared" ca="1" si="82"/>
        <v>0</v>
      </c>
      <c r="U97" s="258">
        <f t="shared" ca="1" si="82"/>
        <v>0</v>
      </c>
      <c r="V97" s="258">
        <f t="shared" ca="1" si="82"/>
        <v>0</v>
      </c>
      <c r="W97" s="258">
        <f t="shared" ca="1" si="82"/>
        <v>0</v>
      </c>
      <c r="X97" s="258">
        <f t="shared" ca="1" si="82"/>
        <v>0</v>
      </c>
      <c r="Y97" s="258">
        <f t="shared" ca="1" si="82"/>
        <v>0</v>
      </c>
      <c r="Z97" s="258">
        <f t="shared" ca="1" si="82"/>
        <v>0</v>
      </c>
      <c r="AA97" s="258">
        <f t="shared" ca="1" si="82"/>
        <v>0</v>
      </c>
      <c r="AB97" s="258">
        <f t="shared" ca="1" si="82"/>
        <v>0</v>
      </c>
      <c r="AC97" s="1087">
        <f t="shared" ca="1" si="82"/>
        <v>0</v>
      </c>
      <c r="AD97" s="258">
        <f t="shared" si="18"/>
        <v>0</v>
      </c>
      <c r="AE97" s="1086">
        <f t="shared" ref="AE97:AP97" ca="1" si="83">IF(ISBLANK(AE96),0,AE28+AD97)</f>
        <v>0</v>
      </c>
      <c r="AF97" s="258">
        <f t="shared" ca="1" si="83"/>
        <v>0</v>
      </c>
      <c r="AG97" s="258">
        <f t="shared" ca="1" si="83"/>
        <v>0</v>
      </c>
      <c r="AH97" s="258">
        <f t="shared" ca="1" si="83"/>
        <v>0</v>
      </c>
      <c r="AI97" s="258">
        <f t="shared" ca="1" si="83"/>
        <v>0</v>
      </c>
      <c r="AJ97" s="258">
        <f t="shared" ca="1" si="83"/>
        <v>0</v>
      </c>
      <c r="AK97" s="258">
        <f t="shared" ca="1" si="83"/>
        <v>0</v>
      </c>
      <c r="AL97" s="258">
        <f t="shared" ca="1" si="83"/>
        <v>0</v>
      </c>
      <c r="AM97" s="258">
        <f t="shared" ca="1" si="83"/>
        <v>0</v>
      </c>
      <c r="AN97" s="258">
        <f t="shared" ca="1" si="83"/>
        <v>0</v>
      </c>
      <c r="AO97" s="258">
        <f t="shared" ca="1" si="83"/>
        <v>0</v>
      </c>
      <c r="AP97" s="1087">
        <f t="shared" ca="1" si="83"/>
        <v>0</v>
      </c>
      <c r="AQ97" s="1111"/>
      <c r="AR97" s="1112"/>
      <c r="AS97" s="1112"/>
      <c r="AT97" s="1112"/>
      <c r="AU97" s="1112"/>
      <c r="AV97" s="1113"/>
    </row>
    <row r="98" spans="1:48" ht="14.25" x14ac:dyDescent="0.2">
      <c r="A98" s="1091" t="s">
        <v>243</v>
      </c>
      <c r="B98" s="258"/>
      <c r="C98" s="258"/>
      <c r="D98" s="258"/>
      <c r="E98" s="1086">
        <f t="shared" ref="E98:P98" ca="1" si="84">IF(ISBLANK(E97),0,E29+D98)</f>
        <v>0</v>
      </c>
      <c r="F98" s="258">
        <f t="shared" ca="1" si="84"/>
        <v>0</v>
      </c>
      <c r="G98" s="258">
        <f t="shared" ca="1" si="84"/>
        <v>0</v>
      </c>
      <c r="H98" s="258">
        <f t="shared" ca="1" si="84"/>
        <v>0</v>
      </c>
      <c r="I98" s="258">
        <f t="shared" ca="1" si="84"/>
        <v>0</v>
      </c>
      <c r="J98" s="258">
        <f t="shared" ca="1" si="84"/>
        <v>0</v>
      </c>
      <c r="K98" s="258">
        <f t="shared" ca="1" si="84"/>
        <v>0</v>
      </c>
      <c r="L98" s="258">
        <f t="shared" ca="1" si="84"/>
        <v>0</v>
      </c>
      <c r="M98" s="258">
        <f t="shared" ca="1" si="84"/>
        <v>0</v>
      </c>
      <c r="N98" s="258">
        <f t="shared" ca="1" si="84"/>
        <v>0</v>
      </c>
      <c r="O98" s="258">
        <f t="shared" ca="1" si="84"/>
        <v>0</v>
      </c>
      <c r="P98" s="1087">
        <f t="shared" ca="1" si="84"/>
        <v>0</v>
      </c>
      <c r="Q98" s="258">
        <f t="shared" si="21"/>
        <v>0</v>
      </c>
      <c r="R98" s="1086">
        <f t="shared" ref="R98:AC98" ca="1" si="85">IF(ISBLANK(R97),0,R29+Q98)</f>
        <v>0</v>
      </c>
      <c r="S98" s="258">
        <f t="shared" ca="1" si="85"/>
        <v>0</v>
      </c>
      <c r="T98" s="258">
        <f t="shared" ca="1" si="85"/>
        <v>0</v>
      </c>
      <c r="U98" s="258">
        <f t="shared" ca="1" si="85"/>
        <v>0</v>
      </c>
      <c r="V98" s="258">
        <f t="shared" ca="1" si="85"/>
        <v>0</v>
      </c>
      <c r="W98" s="258">
        <f t="shared" ca="1" si="85"/>
        <v>0</v>
      </c>
      <c r="X98" s="258">
        <f t="shared" ca="1" si="85"/>
        <v>0</v>
      </c>
      <c r="Y98" s="258">
        <f t="shared" ca="1" si="85"/>
        <v>0</v>
      </c>
      <c r="Z98" s="258">
        <f t="shared" ca="1" si="85"/>
        <v>0</v>
      </c>
      <c r="AA98" s="258">
        <f t="shared" ca="1" si="85"/>
        <v>0</v>
      </c>
      <c r="AB98" s="258">
        <f t="shared" ca="1" si="85"/>
        <v>0</v>
      </c>
      <c r="AC98" s="1087">
        <f t="shared" ca="1" si="85"/>
        <v>0</v>
      </c>
      <c r="AD98" s="258">
        <f t="shared" si="18"/>
        <v>0</v>
      </c>
      <c r="AE98" s="1086">
        <f t="shared" ref="AE98:AP98" ca="1" si="86">IF(ISBLANK(AE97),0,AE29+AD98)</f>
        <v>0</v>
      </c>
      <c r="AF98" s="258">
        <f t="shared" ca="1" si="86"/>
        <v>0</v>
      </c>
      <c r="AG98" s="258">
        <f t="shared" ca="1" si="86"/>
        <v>0</v>
      </c>
      <c r="AH98" s="258">
        <f t="shared" ca="1" si="86"/>
        <v>0</v>
      </c>
      <c r="AI98" s="258">
        <f t="shared" ca="1" si="86"/>
        <v>0</v>
      </c>
      <c r="AJ98" s="258">
        <f t="shared" ca="1" si="86"/>
        <v>0</v>
      </c>
      <c r="AK98" s="258">
        <f t="shared" ca="1" si="86"/>
        <v>0</v>
      </c>
      <c r="AL98" s="258">
        <f t="shared" ca="1" si="86"/>
        <v>0</v>
      </c>
      <c r="AM98" s="258">
        <f t="shared" ca="1" si="86"/>
        <v>0</v>
      </c>
      <c r="AN98" s="258">
        <f t="shared" ca="1" si="86"/>
        <v>0</v>
      </c>
      <c r="AO98" s="258">
        <f t="shared" ca="1" si="86"/>
        <v>0</v>
      </c>
      <c r="AP98" s="1087">
        <f t="shared" ca="1" si="86"/>
        <v>0</v>
      </c>
      <c r="AQ98" s="1111"/>
      <c r="AR98" s="1112"/>
      <c r="AS98" s="1112"/>
      <c r="AT98" s="1112"/>
      <c r="AU98" s="1112"/>
      <c r="AV98" s="1113"/>
    </row>
    <row r="99" spans="1:48" ht="14.25" x14ac:dyDescent="0.2">
      <c r="A99" s="1091" t="s">
        <v>98</v>
      </c>
      <c r="B99" s="258"/>
      <c r="C99" s="258"/>
      <c r="D99" s="258"/>
      <c r="E99" s="1086">
        <f t="shared" ref="E99:P99" ca="1" si="87">IF(ISBLANK(E98),0,E30+D99)</f>
        <v>0</v>
      </c>
      <c r="F99" s="258">
        <f t="shared" ca="1" si="87"/>
        <v>0</v>
      </c>
      <c r="G99" s="258">
        <f t="shared" ca="1" si="87"/>
        <v>6656000</v>
      </c>
      <c r="H99" s="258">
        <f t="shared" ca="1" si="87"/>
        <v>26624000</v>
      </c>
      <c r="I99" s="258">
        <f t="shared" ca="1" si="87"/>
        <v>58240000</v>
      </c>
      <c r="J99" s="258">
        <f t="shared" ca="1" si="87"/>
        <v>91520000</v>
      </c>
      <c r="K99" s="258">
        <f t="shared" ca="1" si="87"/>
        <v>126464000</v>
      </c>
      <c r="L99" s="258">
        <f t="shared" ca="1" si="87"/>
        <v>164736000</v>
      </c>
      <c r="M99" s="258">
        <f t="shared" ca="1" si="87"/>
        <v>203008000</v>
      </c>
      <c r="N99" s="258">
        <f t="shared" ca="1" si="87"/>
        <v>241280000</v>
      </c>
      <c r="O99" s="258">
        <f t="shared" ca="1" si="87"/>
        <v>279552000</v>
      </c>
      <c r="P99" s="1087">
        <f t="shared" ca="1" si="87"/>
        <v>317824000</v>
      </c>
      <c r="Q99" s="258">
        <f t="shared" si="21"/>
        <v>0</v>
      </c>
      <c r="R99" s="1086">
        <f t="shared" ref="R99:AC99" ca="1" si="88">IF(ISBLANK(R98),0,R30+Q99)</f>
        <v>38272000</v>
      </c>
      <c r="S99" s="258">
        <f t="shared" ca="1" si="88"/>
        <v>76544000</v>
      </c>
      <c r="T99" s="258">
        <f t="shared" ca="1" si="88"/>
        <v>123136000</v>
      </c>
      <c r="U99" s="258">
        <f t="shared" ca="1" si="88"/>
        <v>169728000</v>
      </c>
      <c r="V99" s="258">
        <f t="shared" ca="1" si="88"/>
        <v>216320000</v>
      </c>
      <c r="W99" s="258">
        <f t="shared" ca="1" si="88"/>
        <v>262912000</v>
      </c>
      <c r="X99" s="258">
        <f t="shared" ca="1" si="88"/>
        <v>309504000</v>
      </c>
      <c r="Y99" s="258">
        <f t="shared" ca="1" si="88"/>
        <v>356096000</v>
      </c>
      <c r="Z99" s="258">
        <f t="shared" ca="1" si="88"/>
        <v>402688000</v>
      </c>
      <c r="AA99" s="258">
        <f t="shared" ca="1" si="88"/>
        <v>449280000</v>
      </c>
      <c r="AB99" s="258">
        <f t="shared" ca="1" si="88"/>
        <v>495872000</v>
      </c>
      <c r="AC99" s="1087">
        <f t="shared" ca="1" si="88"/>
        <v>542464000</v>
      </c>
      <c r="AD99" s="258">
        <f t="shared" si="18"/>
        <v>0</v>
      </c>
      <c r="AE99" s="1086">
        <f t="shared" ref="AE99:AP99" ca="1" si="89">IF(ISBLANK(AE98),0,AE30+AD99)</f>
        <v>46592000</v>
      </c>
      <c r="AF99" s="258">
        <f t="shared" ca="1" si="89"/>
        <v>93184000</v>
      </c>
      <c r="AG99" s="258">
        <f t="shared" ca="1" si="89"/>
        <v>139776000</v>
      </c>
      <c r="AH99" s="258">
        <f t="shared" ca="1" si="89"/>
        <v>186368000</v>
      </c>
      <c r="AI99" s="258">
        <f t="shared" ca="1" si="89"/>
        <v>232960000</v>
      </c>
      <c r="AJ99" s="258">
        <f t="shared" ca="1" si="89"/>
        <v>279552000</v>
      </c>
      <c r="AK99" s="258">
        <f t="shared" ca="1" si="89"/>
        <v>326144000</v>
      </c>
      <c r="AL99" s="258">
        <f t="shared" ca="1" si="89"/>
        <v>372736000</v>
      </c>
      <c r="AM99" s="258">
        <f t="shared" ca="1" si="89"/>
        <v>419328000</v>
      </c>
      <c r="AN99" s="258">
        <f t="shared" ca="1" si="89"/>
        <v>465920000</v>
      </c>
      <c r="AO99" s="258">
        <f t="shared" ca="1" si="89"/>
        <v>512512000</v>
      </c>
      <c r="AP99" s="1087">
        <f t="shared" ca="1" si="89"/>
        <v>559104000</v>
      </c>
      <c r="AQ99" s="1111"/>
      <c r="AR99" s="1112"/>
      <c r="AS99" s="1112"/>
      <c r="AT99" s="1112"/>
      <c r="AU99" s="1112"/>
      <c r="AV99" s="1113"/>
    </row>
    <row r="100" spans="1:48" ht="14.25" x14ac:dyDescent="0.2">
      <c r="A100" s="1091" t="s">
        <v>146</v>
      </c>
      <c r="B100" s="258"/>
      <c r="C100" s="258"/>
      <c r="D100" s="258"/>
      <c r="E100" s="1086">
        <f t="shared" ref="E100:P100" ca="1" si="90">IF(ISBLANK(E99),0,E31+D100)</f>
        <v>61250000</v>
      </c>
      <c r="F100" s="258">
        <f t="shared" ca="1" si="90"/>
        <v>122500000</v>
      </c>
      <c r="G100" s="258">
        <f t="shared" ca="1" si="90"/>
        <v>183750000</v>
      </c>
      <c r="H100" s="258">
        <f t="shared" ca="1" si="90"/>
        <v>242500000</v>
      </c>
      <c r="I100" s="258">
        <f t="shared" ca="1" si="90"/>
        <v>312250000</v>
      </c>
      <c r="J100" s="258">
        <f t="shared" ca="1" si="90"/>
        <v>635440000</v>
      </c>
      <c r="K100" s="258">
        <f t="shared" ca="1" si="90"/>
        <v>947130000</v>
      </c>
      <c r="L100" s="258">
        <f t="shared" ca="1" si="90"/>
        <v>1107880000</v>
      </c>
      <c r="M100" s="258">
        <f t="shared" ca="1" si="90"/>
        <v>1179130000</v>
      </c>
      <c r="N100" s="258">
        <f t="shared" ca="1" si="90"/>
        <v>1424636000</v>
      </c>
      <c r="O100" s="258">
        <f t="shared" ca="1" si="90"/>
        <v>2098654000</v>
      </c>
      <c r="P100" s="1087">
        <f t="shared" ca="1" si="90"/>
        <v>2773672000</v>
      </c>
      <c r="Q100" s="258">
        <f t="shared" si="21"/>
        <v>0</v>
      </c>
      <c r="R100" s="1086">
        <f t="shared" ref="R100:AC100" ca="1" si="91">IF(ISBLANK(R99),0,R31+Q100)</f>
        <v>150001600</v>
      </c>
      <c r="S100" s="258">
        <f t="shared" ca="1" si="91"/>
        <v>532221200</v>
      </c>
      <c r="T100" s="258">
        <f t="shared" ca="1" si="91"/>
        <v>683222800</v>
      </c>
      <c r="U100" s="258">
        <f t="shared" ca="1" si="91"/>
        <v>740472800</v>
      </c>
      <c r="V100" s="258">
        <f t="shared" ca="1" si="91"/>
        <v>1025913600</v>
      </c>
      <c r="W100" s="258">
        <f t="shared" ca="1" si="91"/>
        <v>1385519600</v>
      </c>
      <c r="X100" s="258">
        <f t="shared" ca="1" si="91"/>
        <v>1869870400</v>
      </c>
      <c r="Y100" s="258">
        <f t="shared" ca="1" si="91"/>
        <v>2061893200</v>
      </c>
      <c r="Z100" s="258">
        <f t="shared" ca="1" si="91"/>
        <v>2253916000</v>
      </c>
      <c r="AA100" s="258">
        <f t="shared" ca="1" si="91"/>
        <v>2720552300</v>
      </c>
      <c r="AB100" s="258">
        <f t="shared" ca="1" si="91"/>
        <v>4178963900</v>
      </c>
      <c r="AC100" s="1087">
        <f t="shared" ca="1" si="91"/>
        <v>5291383900</v>
      </c>
      <c r="AD100" s="258">
        <f t="shared" si="18"/>
        <v>0</v>
      </c>
      <c r="AE100" s="1086">
        <f t="shared" ref="AE100:AP100" ca="1" si="92">IF(ISBLANK(AE99),0,AE31+AD100)</f>
        <v>635943900</v>
      </c>
      <c r="AF100" s="258">
        <f t="shared" ca="1" si="92"/>
        <v>1244588800</v>
      </c>
      <c r="AG100" s="258">
        <f t="shared" ca="1" si="92"/>
        <v>1472012700</v>
      </c>
      <c r="AH100" s="258">
        <f t="shared" ca="1" si="92"/>
        <v>1645512700</v>
      </c>
      <c r="AI100" s="258">
        <f t="shared" ca="1" si="92"/>
        <v>2538811900</v>
      </c>
      <c r="AJ100" s="258">
        <f t="shared" ca="1" si="92"/>
        <v>3199931900</v>
      </c>
      <c r="AK100" s="258">
        <f t="shared" ca="1" si="92"/>
        <v>3733328200</v>
      </c>
      <c r="AL100" s="258">
        <f t="shared" ca="1" si="92"/>
        <v>4009708000</v>
      </c>
      <c r="AM100" s="258">
        <f t="shared" ca="1" si="92"/>
        <v>4290484800</v>
      </c>
      <c r="AN100" s="258">
        <f t="shared" ca="1" si="92"/>
        <v>5025561500</v>
      </c>
      <c r="AO100" s="258">
        <f t="shared" ca="1" si="92"/>
        <v>6687937300</v>
      </c>
      <c r="AP100" s="1087">
        <f t="shared" ca="1" si="92"/>
        <v>7951329300</v>
      </c>
      <c r="AQ100" s="1111"/>
      <c r="AR100" s="1112"/>
      <c r="AS100" s="1112"/>
      <c r="AT100" s="1112"/>
      <c r="AU100" s="1112"/>
      <c r="AV100" s="1113"/>
    </row>
    <row r="101" spans="1:48" ht="14.25" x14ac:dyDescent="0.2">
      <c r="A101" s="1091" t="s">
        <v>244</v>
      </c>
      <c r="B101" s="258"/>
      <c r="C101" s="258"/>
      <c r="D101" s="258"/>
      <c r="E101" s="1086">
        <f t="shared" ref="E101:P101" ca="1" si="93">IF(ISBLANK(E100),0,E32+D101)</f>
        <v>0</v>
      </c>
      <c r="F101" s="258">
        <f t="shared" ca="1" si="93"/>
        <v>0</v>
      </c>
      <c r="G101" s="258">
        <f t="shared" ca="1" si="93"/>
        <v>0</v>
      </c>
      <c r="H101" s="258">
        <f t="shared" ca="1" si="93"/>
        <v>0</v>
      </c>
      <c r="I101" s="258">
        <f t="shared" ca="1" si="93"/>
        <v>0</v>
      </c>
      <c r="J101" s="258">
        <f t="shared" ca="1" si="93"/>
        <v>0</v>
      </c>
      <c r="K101" s="258">
        <f t="shared" ca="1" si="93"/>
        <v>0</v>
      </c>
      <c r="L101" s="258">
        <f t="shared" ca="1" si="93"/>
        <v>0</v>
      </c>
      <c r="M101" s="258">
        <f t="shared" ca="1" si="93"/>
        <v>0</v>
      </c>
      <c r="N101" s="258">
        <f t="shared" ca="1" si="93"/>
        <v>0</v>
      </c>
      <c r="O101" s="258">
        <f t="shared" ca="1" si="93"/>
        <v>0</v>
      </c>
      <c r="P101" s="1087">
        <f t="shared" ca="1" si="93"/>
        <v>0</v>
      </c>
      <c r="Q101" s="258">
        <f t="shared" si="21"/>
        <v>0</v>
      </c>
      <c r="R101" s="1086">
        <f t="shared" ref="R101:AC101" ca="1" si="94">IF(ISBLANK(R100),0,R32+Q101)</f>
        <v>0</v>
      </c>
      <c r="S101" s="258">
        <f t="shared" ca="1" si="94"/>
        <v>0</v>
      </c>
      <c r="T101" s="258">
        <f t="shared" ca="1" si="94"/>
        <v>0</v>
      </c>
      <c r="U101" s="258">
        <f t="shared" ca="1" si="94"/>
        <v>0</v>
      </c>
      <c r="V101" s="258">
        <f t="shared" ca="1" si="94"/>
        <v>0</v>
      </c>
      <c r="W101" s="258">
        <f t="shared" ca="1" si="94"/>
        <v>0</v>
      </c>
      <c r="X101" s="258">
        <f t="shared" ca="1" si="94"/>
        <v>0</v>
      </c>
      <c r="Y101" s="258">
        <f t="shared" ca="1" si="94"/>
        <v>0</v>
      </c>
      <c r="Z101" s="258">
        <f t="shared" ca="1" si="94"/>
        <v>0</v>
      </c>
      <c r="AA101" s="258">
        <f t="shared" ca="1" si="94"/>
        <v>0</v>
      </c>
      <c r="AB101" s="258">
        <f t="shared" ca="1" si="94"/>
        <v>0</v>
      </c>
      <c r="AC101" s="1087">
        <f t="shared" ca="1" si="94"/>
        <v>0</v>
      </c>
      <c r="AD101" s="258">
        <f t="shared" si="18"/>
        <v>0</v>
      </c>
      <c r="AE101" s="1086">
        <f t="shared" ref="AE101:AP101" ca="1" si="95">IF(ISBLANK(AE100),0,AE32+AD101)</f>
        <v>0</v>
      </c>
      <c r="AF101" s="258">
        <f t="shared" ca="1" si="95"/>
        <v>0</v>
      </c>
      <c r="AG101" s="258">
        <f t="shared" ca="1" si="95"/>
        <v>0</v>
      </c>
      <c r="AH101" s="258">
        <f t="shared" ca="1" si="95"/>
        <v>0</v>
      </c>
      <c r="AI101" s="258">
        <f t="shared" ca="1" si="95"/>
        <v>0</v>
      </c>
      <c r="AJ101" s="258">
        <f t="shared" ca="1" si="95"/>
        <v>0</v>
      </c>
      <c r="AK101" s="258">
        <f t="shared" ca="1" si="95"/>
        <v>0</v>
      </c>
      <c r="AL101" s="258">
        <f t="shared" ca="1" si="95"/>
        <v>0</v>
      </c>
      <c r="AM101" s="258">
        <f t="shared" ca="1" si="95"/>
        <v>0</v>
      </c>
      <c r="AN101" s="258">
        <f t="shared" ca="1" si="95"/>
        <v>0</v>
      </c>
      <c r="AO101" s="258">
        <f t="shared" ca="1" si="95"/>
        <v>0</v>
      </c>
      <c r="AP101" s="1087">
        <f t="shared" ca="1" si="95"/>
        <v>0</v>
      </c>
      <c r="AQ101" s="1111"/>
      <c r="AR101" s="1112"/>
      <c r="AS101" s="1112"/>
      <c r="AT101" s="1112"/>
      <c r="AU101" s="1112"/>
      <c r="AV101" s="1113"/>
    </row>
    <row r="102" spans="1:48" ht="14.25" x14ac:dyDescent="0.2">
      <c r="A102" s="1091" t="s">
        <v>245</v>
      </c>
      <c r="B102" s="258"/>
      <c r="C102" s="258"/>
      <c r="D102" s="258"/>
      <c r="E102" s="1086">
        <f t="shared" ref="E102:P102" ca="1" si="96">IF(ISBLANK(E101),0,E33+D102)</f>
        <v>0</v>
      </c>
      <c r="F102" s="258">
        <f t="shared" ca="1" si="96"/>
        <v>0</v>
      </c>
      <c r="G102" s="258">
        <f t="shared" ca="1" si="96"/>
        <v>0</v>
      </c>
      <c r="H102" s="258">
        <f t="shared" ca="1" si="96"/>
        <v>0</v>
      </c>
      <c r="I102" s="258">
        <f t="shared" ca="1" si="96"/>
        <v>0</v>
      </c>
      <c r="J102" s="258">
        <f t="shared" ca="1" si="96"/>
        <v>0</v>
      </c>
      <c r="K102" s="258">
        <f t="shared" ca="1" si="96"/>
        <v>0</v>
      </c>
      <c r="L102" s="258">
        <f t="shared" ca="1" si="96"/>
        <v>0</v>
      </c>
      <c r="M102" s="258">
        <f t="shared" ca="1" si="96"/>
        <v>0</v>
      </c>
      <c r="N102" s="258">
        <f t="shared" ca="1" si="96"/>
        <v>0</v>
      </c>
      <c r="O102" s="258">
        <f t="shared" ca="1" si="96"/>
        <v>0</v>
      </c>
      <c r="P102" s="1087">
        <f t="shared" ca="1" si="96"/>
        <v>0</v>
      </c>
      <c r="Q102" s="258">
        <f t="shared" si="21"/>
        <v>0</v>
      </c>
      <c r="R102" s="1086">
        <f t="shared" ref="R102:AC102" ca="1" si="97">IF(ISBLANK(R101),0,R33+Q102)</f>
        <v>0</v>
      </c>
      <c r="S102" s="258">
        <f t="shared" ca="1" si="97"/>
        <v>0</v>
      </c>
      <c r="T102" s="258">
        <f t="shared" ca="1" si="97"/>
        <v>0</v>
      </c>
      <c r="U102" s="258">
        <f t="shared" ca="1" si="97"/>
        <v>0</v>
      </c>
      <c r="V102" s="258">
        <f t="shared" ca="1" si="97"/>
        <v>0</v>
      </c>
      <c r="W102" s="258">
        <f t="shared" ca="1" si="97"/>
        <v>0</v>
      </c>
      <c r="X102" s="258">
        <f t="shared" ca="1" si="97"/>
        <v>0</v>
      </c>
      <c r="Y102" s="258">
        <f t="shared" ca="1" si="97"/>
        <v>0</v>
      </c>
      <c r="Z102" s="258">
        <f t="shared" ca="1" si="97"/>
        <v>0</v>
      </c>
      <c r="AA102" s="258">
        <f t="shared" ca="1" si="97"/>
        <v>0</v>
      </c>
      <c r="AB102" s="258">
        <f t="shared" ca="1" si="97"/>
        <v>0</v>
      </c>
      <c r="AC102" s="1087">
        <f t="shared" ca="1" si="97"/>
        <v>0</v>
      </c>
      <c r="AD102" s="258">
        <f t="shared" si="18"/>
        <v>0</v>
      </c>
      <c r="AE102" s="1086">
        <f t="shared" ref="AE102:AP102" ca="1" si="98">IF(ISBLANK(AE101),0,AE33+AD102)</f>
        <v>0</v>
      </c>
      <c r="AF102" s="258">
        <f t="shared" ca="1" si="98"/>
        <v>0</v>
      </c>
      <c r="AG102" s="258">
        <f t="shared" ca="1" si="98"/>
        <v>0</v>
      </c>
      <c r="AH102" s="258">
        <f t="shared" ca="1" si="98"/>
        <v>0</v>
      </c>
      <c r="AI102" s="258">
        <f t="shared" ca="1" si="98"/>
        <v>0</v>
      </c>
      <c r="AJ102" s="258">
        <f t="shared" ca="1" si="98"/>
        <v>0</v>
      </c>
      <c r="AK102" s="258">
        <f t="shared" ca="1" si="98"/>
        <v>0</v>
      </c>
      <c r="AL102" s="258">
        <f t="shared" ca="1" si="98"/>
        <v>0</v>
      </c>
      <c r="AM102" s="258">
        <f t="shared" ca="1" si="98"/>
        <v>0</v>
      </c>
      <c r="AN102" s="258">
        <f t="shared" ca="1" si="98"/>
        <v>0</v>
      </c>
      <c r="AO102" s="258">
        <f t="shared" ca="1" si="98"/>
        <v>0</v>
      </c>
      <c r="AP102" s="1087">
        <f t="shared" ca="1" si="98"/>
        <v>0</v>
      </c>
      <c r="AQ102" s="1111"/>
      <c r="AR102" s="1112"/>
      <c r="AS102" s="1112"/>
      <c r="AT102" s="1112"/>
      <c r="AU102" s="1112"/>
      <c r="AV102" s="1113"/>
    </row>
    <row r="103" spans="1:48" ht="14.25" x14ac:dyDescent="0.2">
      <c r="A103" s="1091" t="s">
        <v>246</v>
      </c>
      <c r="B103" s="258"/>
      <c r="C103" s="258"/>
      <c r="D103" s="258"/>
      <c r="E103" s="1086">
        <f t="shared" ref="E103:P103" ca="1" si="99">IF(ISBLANK(E102),0,E34+D103)</f>
        <v>0</v>
      </c>
      <c r="F103" s="258">
        <f t="shared" ca="1" si="99"/>
        <v>0</v>
      </c>
      <c r="G103" s="258">
        <f t="shared" ca="1" si="99"/>
        <v>0</v>
      </c>
      <c r="H103" s="258">
        <f t="shared" ca="1" si="99"/>
        <v>0</v>
      </c>
      <c r="I103" s="258">
        <f t="shared" ca="1" si="99"/>
        <v>0</v>
      </c>
      <c r="J103" s="258">
        <f t="shared" ca="1" si="99"/>
        <v>0</v>
      </c>
      <c r="K103" s="258">
        <f t="shared" ca="1" si="99"/>
        <v>0</v>
      </c>
      <c r="L103" s="258">
        <f t="shared" ca="1" si="99"/>
        <v>0</v>
      </c>
      <c r="M103" s="258">
        <f t="shared" ca="1" si="99"/>
        <v>0</v>
      </c>
      <c r="N103" s="258">
        <f t="shared" ca="1" si="99"/>
        <v>0</v>
      </c>
      <c r="O103" s="258">
        <f t="shared" ca="1" si="99"/>
        <v>0</v>
      </c>
      <c r="P103" s="1087">
        <f t="shared" ca="1" si="99"/>
        <v>0</v>
      </c>
      <c r="Q103" s="258">
        <f t="shared" si="21"/>
        <v>0</v>
      </c>
      <c r="R103" s="1086">
        <f t="shared" ref="R103:AC103" ca="1" si="100">IF(ISBLANK(R102),0,R34+Q103)</f>
        <v>0</v>
      </c>
      <c r="S103" s="258">
        <f t="shared" ca="1" si="100"/>
        <v>0</v>
      </c>
      <c r="T103" s="258">
        <f t="shared" ca="1" si="100"/>
        <v>0</v>
      </c>
      <c r="U103" s="258">
        <f t="shared" ca="1" si="100"/>
        <v>0</v>
      </c>
      <c r="V103" s="258">
        <f t="shared" ca="1" si="100"/>
        <v>0</v>
      </c>
      <c r="W103" s="258">
        <f t="shared" ca="1" si="100"/>
        <v>0</v>
      </c>
      <c r="X103" s="258">
        <f t="shared" ca="1" si="100"/>
        <v>0</v>
      </c>
      <c r="Y103" s="258">
        <f t="shared" ca="1" si="100"/>
        <v>0</v>
      </c>
      <c r="Z103" s="258">
        <f t="shared" ca="1" si="100"/>
        <v>0</v>
      </c>
      <c r="AA103" s="258">
        <f t="shared" ca="1" si="100"/>
        <v>0</v>
      </c>
      <c r="AB103" s="258">
        <f t="shared" ca="1" si="100"/>
        <v>0</v>
      </c>
      <c r="AC103" s="1087">
        <f t="shared" ca="1" si="100"/>
        <v>0</v>
      </c>
      <c r="AD103" s="258">
        <f t="shared" si="18"/>
        <v>0</v>
      </c>
      <c r="AE103" s="1086">
        <f t="shared" ref="AE103:AP103" ca="1" si="101">IF(ISBLANK(AE102),0,AE34+AD103)</f>
        <v>0</v>
      </c>
      <c r="AF103" s="258">
        <f t="shared" ca="1" si="101"/>
        <v>0</v>
      </c>
      <c r="AG103" s="258">
        <f t="shared" ca="1" si="101"/>
        <v>0</v>
      </c>
      <c r="AH103" s="258">
        <f t="shared" ca="1" si="101"/>
        <v>0</v>
      </c>
      <c r="AI103" s="258">
        <f t="shared" ca="1" si="101"/>
        <v>0</v>
      </c>
      <c r="AJ103" s="258">
        <f t="shared" ca="1" si="101"/>
        <v>0</v>
      </c>
      <c r="AK103" s="258">
        <f t="shared" ca="1" si="101"/>
        <v>0</v>
      </c>
      <c r="AL103" s="258">
        <f t="shared" ca="1" si="101"/>
        <v>0</v>
      </c>
      <c r="AM103" s="258">
        <f t="shared" ca="1" si="101"/>
        <v>0</v>
      </c>
      <c r="AN103" s="258">
        <f t="shared" ca="1" si="101"/>
        <v>0</v>
      </c>
      <c r="AO103" s="258">
        <f t="shared" ca="1" si="101"/>
        <v>0</v>
      </c>
      <c r="AP103" s="1087">
        <f t="shared" ca="1" si="101"/>
        <v>0</v>
      </c>
      <c r="AQ103" s="1111"/>
      <c r="AR103" s="1112"/>
      <c r="AS103" s="1112"/>
      <c r="AT103" s="1112"/>
      <c r="AU103" s="1112"/>
      <c r="AV103" s="1113"/>
    </row>
    <row r="104" spans="1:48" ht="14.25" x14ac:dyDescent="0.2">
      <c r="A104" s="1091" t="s">
        <v>247</v>
      </c>
      <c r="B104" s="258"/>
      <c r="C104" s="258"/>
      <c r="D104" s="258"/>
      <c r="E104" s="1086">
        <f t="shared" ref="E104:P104" ca="1" si="102">IF(ISBLANK(E103),0,E35+D104)</f>
        <v>0</v>
      </c>
      <c r="F104" s="258">
        <f t="shared" ca="1" si="102"/>
        <v>0</v>
      </c>
      <c r="G104" s="258">
        <f t="shared" ca="1" si="102"/>
        <v>0</v>
      </c>
      <c r="H104" s="258">
        <f t="shared" ca="1" si="102"/>
        <v>0</v>
      </c>
      <c r="I104" s="258">
        <f t="shared" ca="1" si="102"/>
        <v>0</v>
      </c>
      <c r="J104" s="258">
        <f t="shared" ca="1" si="102"/>
        <v>0</v>
      </c>
      <c r="K104" s="258">
        <f t="shared" ca="1" si="102"/>
        <v>0</v>
      </c>
      <c r="L104" s="258">
        <f t="shared" ca="1" si="102"/>
        <v>0</v>
      </c>
      <c r="M104" s="258">
        <f t="shared" ca="1" si="102"/>
        <v>0</v>
      </c>
      <c r="N104" s="258">
        <f t="shared" ca="1" si="102"/>
        <v>0</v>
      </c>
      <c r="O104" s="258">
        <f t="shared" ca="1" si="102"/>
        <v>0</v>
      </c>
      <c r="P104" s="1087">
        <f t="shared" ca="1" si="102"/>
        <v>0</v>
      </c>
      <c r="Q104" s="258">
        <f t="shared" si="21"/>
        <v>0</v>
      </c>
      <c r="R104" s="1086">
        <f t="shared" ref="R104:AC104" ca="1" si="103">IF(ISBLANK(R103),0,R35+Q104)</f>
        <v>0</v>
      </c>
      <c r="S104" s="258">
        <f t="shared" ca="1" si="103"/>
        <v>0</v>
      </c>
      <c r="T104" s="258">
        <f t="shared" ca="1" si="103"/>
        <v>0</v>
      </c>
      <c r="U104" s="258">
        <f t="shared" ca="1" si="103"/>
        <v>0</v>
      </c>
      <c r="V104" s="258">
        <f t="shared" ca="1" si="103"/>
        <v>0</v>
      </c>
      <c r="W104" s="258">
        <f t="shared" ca="1" si="103"/>
        <v>0</v>
      </c>
      <c r="X104" s="258">
        <f t="shared" ca="1" si="103"/>
        <v>0</v>
      </c>
      <c r="Y104" s="258">
        <f t="shared" ca="1" si="103"/>
        <v>0</v>
      </c>
      <c r="Z104" s="258">
        <f t="shared" ca="1" si="103"/>
        <v>0</v>
      </c>
      <c r="AA104" s="258">
        <f t="shared" ca="1" si="103"/>
        <v>0</v>
      </c>
      <c r="AB104" s="258">
        <f t="shared" ca="1" si="103"/>
        <v>0</v>
      </c>
      <c r="AC104" s="1087">
        <f t="shared" ca="1" si="103"/>
        <v>0</v>
      </c>
      <c r="AD104" s="258">
        <f t="shared" si="18"/>
        <v>0</v>
      </c>
      <c r="AE104" s="1086">
        <f t="shared" ref="AE104:AP104" ca="1" si="104">IF(ISBLANK(AE103),0,AE35+AD104)</f>
        <v>0</v>
      </c>
      <c r="AF104" s="258">
        <f t="shared" ca="1" si="104"/>
        <v>0</v>
      </c>
      <c r="AG104" s="258">
        <f t="shared" ca="1" si="104"/>
        <v>0</v>
      </c>
      <c r="AH104" s="258">
        <f t="shared" ca="1" si="104"/>
        <v>0</v>
      </c>
      <c r="AI104" s="258">
        <f t="shared" ca="1" si="104"/>
        <v>0</v>
      </c>
      <c r="AJ104" s="258">
        <f t="shared" ca="1" si="104"/>
        <v>0</v>
      </c>
      <c r="AK104" s="258">
        <f t="shared" ca="1" si="104"/>
        <v>0</v>
      </c>
      <c r="AL104" s="258">
        <f t="shared" ca="1" si="104"/>
        <v>0</v>
      </c>
      <c r="AM104" s="258">
        <f t="shared" ca="1" si="104"/>
        <v>0</v>
      </c>
      <c r="AN104" s="258">
        <f t="shared" ca="1" si="104"/>
        <v>0</v>
      </c>
      <c r="AO104" s="258">
        <f t="shared" ca="1" si="104"/>
        <v>0</v>
      </c>
      <c r="AP104" s="1087">
        <f t="shared" ca="1" si="104"/>
        <v>0</v>
      </c>
      <c r="AQ104" s="1111"/>
      <c r="AR104" s="1112"/>
      <c r="AS104" s="1112"/>
      <c r="AT104" s="1112"/>
      <c r="AU104" s="1112"/>
      <c r="AV104" s="1113"/>
    </row>
    <row r="105" spans="1:48" ht="14.25" x14ac:dyDescent="0.2">
      <c r="A105" s="1091" t="s">
        <v>248</v>
      </c>
      <c r="B105" s="258"/>
      <c r="C105" s="258"/>
      <c r="D105" s="258"/>
      <c r="E105" s="1086">
        <f t="shared" ref="E105:P105" ca="1" si="105">IF(ISBLANK(E104),0,E36+D105)</f>
        <v>0</v>
      </c>
      <c r="F105" s="258">
        <f t="shared" ca="1" si="105"/>
        <v>0</v>
      </c>
      <c r="G105" s="258">
        <f t="shared" ca="1" si="105"/>
        <v>3500000</v>
      </c>
      <c r="H105" s="258">
        <f t="shared" ca="1" si="105"/>
        <v>7000000</v>
      </c>
      <c r="I105" s="258">
        <f t="shared" ca="1" si="105"/>
        <v>10500000</v>
      </c>
      <c r="J105" s="258">
        <f t="shared" ca="1" si="105"/>
        <v>15500000</v>
      </c>
      <c r="K105" s="258">
        <f t="shared" ca="1" si="105"/>
        <v>20500000</v>
      </c>
      <c r="L105" s="258">
        <f t="shared" ca="1" si="105"/>
        <v>25500000</v>
      </c>
      <c r="M105" s="258">
        <f t="shared" ca="1" si="105"/>
        <v>30500000</v>
      </c>
      <c r="N105" s="258">
        <f t="shared" ca="1" si="105"/>
        <v>35500000</v>
      </c>
      <c r="O105" s="258">
        <f t="shared" ca="1" si="105"/>
        <v>40500000</v>
      </c>
      <c r="P105" s="1087">
        <f t="shared" ca="1" si="105"/>
        <v>45500000</v>
      </c>
      <c r="Q105" s="258">
        <f t="shared" si="21"/>
        <v>0</v>
      </c>
      <c r="R105" s="1086">
        <f t="shared" ref="R105:AC105" ca="1" si="106">IF(ISBLANK(R104),0,R36+Q105)</f>
        <v>5000000</v>
      </c>
      <c r="S105" s="258">
        <f t="shared" ca="1" si="106"/>
        <v>10000000</v>
      </c>
      <c r="T105" s="258">
        <f t="shared" ca="1" si="106"/>
        <v>15000000</v>
      </c>
      <c r="U105" s="258">
        <f t="shared" ca="1" si="106"/>
        <v>20000000</v>
      </c>
      <c r="V105" s="258">
        <f t="shared" ca="1" si="106"/>
        <v>25000000</v>
      </c>
      <c r="W105" s="258">
        <f t="shared" ca="1" si="106"/>
        <v>30000000</v>
      </c>
      <c r="X105" s="258">
        <f t="shared" ca="1" si="106"/>
        <v>35000000</v>
      </c>
      <c r="Y105" s="258">
        <f t="shared" ca="1" si="106"/>
        <v>40000000</v>
      </c>
      <c r="Z105" s="258">
        <f t="shared" ca="1" si="106"/>
        <v>45000000</v>
      </c>
      <c r="AA105" s="258">
        <f t="shared" ca="1" si="106"/>
        <v>50500000</v>
      </c>
      <c r="AB105" s="258">
        <f t="shared" ca="1" si="106"/>
        <v>56000000</v>
      </c>
      <c r="AC105" s="1087">
        <f t="shared" ca="1" si="106"/>
        <v>61500000</v>
      </c>
      <c r="AD105" s="258">
        <f t="shared" si="18"/>
        <v>0</v>
      </c>
      <c r="AE105" s="1086">
        <f t="shared" ref="AE105:AP105" ca="1" si="107">IF(ISBLANK(AE104),0,AE36+AD105)</f>
        <v>5500000</v>
      </c>
      <c r="AF105" s="258">
        <f t="shared" ca="1" si="107"/>
        <v>11000000</v>
      </c>
      <c r="AG105" s="258">
        <f t="shared" ca="1" si="107"/>
        <v>16500000</v>
      </c>
      <c r="AH105" s="258">
        <f t="shared" ca="1" si="107"/>
        <v>22000000</v>
      </c>
      <c r="AI105" s="258">
        <f t="shared" ca="1" si="107"/>
        <v>27500000</v>
      </c>
      <c r="AJ105" s="258">
        <f t="shared" ca="1" si="107"/>
        <v>33000000</v>
      </c>
      <c r="AK105" s="258">
        <f t="shared" ca="1" si="107"/>
        <v>38500000</v>
      </c>
      <c r="AL105" s="258">
        <f t="shared" ca="1" si="107"/>
        <v>44000000</v>
      </c>
      <c r="AM105" s="258">
        <f t="shared" ca="1" si="107"/>
        <v>49500000</v>
      </c>
      <c r="AN105" s="258">
        <f t="shared" ca="1" si="107"/>
        <v>55000000</v>
      </c>
      <c r="AO105" s="258">
        <f t="shared" ca="1" si="107"/>
        <v>60500000</v>
      </c>
      <c r="AP105" s="1087">
        <f t="shared" ca="1" si="107"/>
        <v>66000000</v>
      </c>
      <c r="AQ105" s="1111"/>
      <c r="AR105" s="1112"/>
      <c r="AS105" s="1112"/>
      <c r="AT105" s="1112"/>
      <c r="AU105" s="1112"/>
      <c r="AV105" s="1113"/>
    </row>
    <row r="106" spans="1:48" ht="14.25" x14ac:dyDescent="0.2">
      <c r="A106" s="1091" t="s">
        <v>249</v>
      </c>
      <c r="B106" s="258"/>
      <c r="C106" s="258"/>
      <c r="D106" s="258"/>
      <c r="E106" s="1086">
        <f t="shared" ref="E106:P106" ca="1" si="108">IF(ISBLANK(E105),0,E37+D106)</f>
        <v>0</v>
      </c>
      <c r="F106" s="258">
        <f t="shared" ca="1" si="108"/>
        <v>0</v>
      </c>
      <c r="G106" s="258">
        <f t="shared" ca="1" si="108"/>
        <v>0</v>
      </c>
      <c r="H106" s="258">
        <f t="shared" ca="1" si="108"/>
        <v>0</v>
      </c>
      <c r="I106" s="258">
        <f t="shared" ca="1" si="108"/>
        <v>0</v>
      </c>
      <c r="J106" s="258">
        <f t="shared" ca="1" si="108"/>
        <v>0</v>
      </c>
      <c r="K106" s="258">
        <f t="shared" ca="1" si="108"/>
        <v>0</v>
      </c>
      <c r="L106" s="258">
        <f t="shared" ca="1" si="108"/>
        <v>0</v>
      </c>
      <c r="M106" s="258">
        <f t="shared" ca="1" si="108"/>
        <v>0</v>
      </c>
      <c r="N106" s="258">
        <f t="shared" ca="1" si="108"/>
        <v>0</v>
      </c>
      <c r="O106" s="258">
        <f t="shared" ca="1" si="108"/>
        <v>0</v>
      </c>
      <c r="P106" s="1087">
        <f t="shared" ca="1" si="108"/>
        <v>0</v>
      </c>
      <c r="Q106" s="258">
        <f t="shared" si="21"/>
        <v>0</v>
      </c>
      <c r="R106" s="1086">
        <f t="shared" ref="R106:AC106" ca="1" si="109">IF(ISBLANK(R105),0,R37+Q106)</f>
        <v>0</v>
      </c>
      <c r="S106" s="258">
        <f t="shared" ca="1" si="109"/>
        <v>0</v>
      </c>
      <c r="T106" s="258">
        <f t="shared" ca="1" si="109"/>
        <v>0</v>
      </c>
      <c r="U106" s="258">
        <f t="shared" ca="1" si="109"/>
        <v>0</v>
      </c>
      <c r="V106" s="258">
        <f t="shared" ca="1" si="109"/>
        <v>0</v>
      </c>
      <c r="W106" s="258">
        <f t="shared" ca="1" si="109"/>
        <v>0</v>
      </c>
      <c r="X106" s="258">
        <f t="shared" ca="1" si="109"/>
        <v>0</v>
      </c>
      <c r="Y106" s="258">
        <f t="shared" ca="1" si="109"/>
        <v>0</v>
      </c>
      <c r="Z106" s="258">
        <f t="shared" ca="1" si="109"/>
        <v>0</v>
      </c>
      <c r="AA106" s="258">
        <f t="shared" ca="1" si="109"/>
        <v>0</v>
      </c>
      <c r="AB106" s="258">
        <f t="shared" ca="1" si="109"/>
        <v>0</v>
      </c>
      <c r="AC106" s="1087">
        <f t="shared" ca="1" si="109"/>
        <v>0</v>
      </c>
      <c r="AD106" s="258">
        <f t="shared" si="18"/>
        <v>0</v>
      </c>
      <c r="AE106" s="1086">
        <f t="shared" ref="AE106:AP106" ca="1" si="110">IF(ISBLANK(AE105),0,AE37+AD106)</f>
        <v>0</v>
      </c>
      <c r="AF106" s="258">
        <f t="shared" ca="1" si="110"/>
        <v>0</v>
      </c>
      <c r="AG106" s="258">
        <f t="shared" ca="1" si="110"/>
        <v>0</v>
      </c>
      <c r="AH106" s="258">
        <f t="shared" ca="1" si="110"/>
        <v>0</v>
      </c>
      <c r="AI106" s="258">
        <f t="shared" ca="1" si="110"/>
        <v>0</v>
      </c>
      <c r="AJ106" s="258">
        <f t="shared" ca="1" si="110"/>
        <v>0</v>
      </c>
      <c r="AK106" s="258">
        <f t="shared" ca="1" si="110"/>
        <v>0</v>
      </c>
      <c r="AL106" s="258">
        <f t="shared" ca="1" si="110"/>
        <v>0</v>
      </c>
      <c r="AM106" s="258">
        <f t="shared" ca="1" si="110"/>
        <v>0</v>
      </c>
      <c r="AN106" s="258">
        <f t="shared" ca="1" si="110"/>
        <v>0</v>
      </c>
      <c r="AO106" s="258">
        <f t="shared" ca="1" si="110"/>
        <v>0</v>
      </c>
      <c r="AP106" s="1087">
        <f t="shared" ca="1" si="110"/>
        <v>0</v>
      </c>
      <c r="AQ106" s="1111"/>
      <c r="AR106" s="1112"/>
      <c r="AS106" s="1112"/>
      <c r="AT106" s="1112"/>
      <c r="AU106" s="1112"/>
      <c r="AV106" s="1113"/>
    </row>
    <row r="107" spans="1:48" ht="14.25" x14ac:dyDescent="0.2">
      <c r="A107" s="1091" t="s">
        <v>250</v>
      </c>
      <c r="B107" s="258"/>
      <c r="C107" s="258"/>
      <c r="D107" s="258"/>
      <c r="E107" s="1086">
        <f t="shared" ref="E107:P107" ca="1" si="111">IF(ISBLANK(E106),0,E38+D107)</f>
        <v>0</v>
      </c>
      <c r="F107" s="258">
        <f t="shared" ca="1" si="111"/>
        <v>0</v>
      </c>
      <c r="G107" s="258">
        <f t="shared" ca="1" si="111"/>
        <v>0</v>
      </c>
      <c r="H107" s="258">
        <f t="shared" ca="1" si="111"/>
        <v>0</v>
      </c>
      <c r="I107" s="258">
        <f t="shared" ca="1" si="111"/>
        <v>0</v>
      </c>
      <c r="J107" s="258">
        <f t="shared" ca="1" si="111"/>
        <v>0</v>
      </c>
      <c r="K107" s="258">
        <f t="shared" ca="1" si="111"/>
        <v>0</v>
      </c>
      <c r="L107" s="258">
        <f t="shared" ca="1" si="111"/>
        <v>0</v>
      </c>
      <c r="M107" s="258">
        <f t="shared" ca="1" si="111"/>
        <v>0</v>
      </c>
      <c r="N107" s="258">
        <f t="shared" ca="1" si="111"/>
        <v>0</v>
      </c>
      <c r="O107" s="258">
        <f t="shared" ca="1" si="111"/>
        <v>0</v>
      </c>
      <c r="P107" s="1087">
        <f t="shared" ca="1" si="111"/>
        <v>0</v>
      </c>
      <c r="Q107" s="258">
        <f t="shared" si="21"/>
        <v>0</v>
      </c>
      <c r="R107" s="1086">
        <f t="shared" ref="R107:AC107" ca="1" si="112">IF(ISBLANK(R106),0,R38+Q107)</f>
        <v>0</v>
      </c>
      <c r="S107" s="258">
        <f t="shared" ca="1" si="112"/>
        <v>0</v>
      </c>
      <c r="T107" s="258">
        <f t="shared" ca="1" si="112"/>
        <v>0</v>
      </c>
      <c r="U107" s="258">
        <f t="shared" ca="1" si="112"/>
        <v>0</v>
      </c>
      <c r="V107" s="258">
        <f t="shared" ca="1" si="112"/>
        <v>0</v>
      </c>
      <c r="W107" s="258">
        <f t="shared" ca="1" si="112"/>
        <v>0</v>
      </c>
      <c r="X107" s="258">
        <f t="shared" ca="1" si="112"/>
        <v>0</v>
      </c>
      <c r="Y107" s="258">
        <f t="shared" ca="1" si="112"/>
        <v>0</v>
      </c>
      <c r="Z107" s="258">
        <f t="shared" ca="1" si="112"/>
        <v>0</v>
      </c>
      <c r="AA107" s="258">
        <f t="shared" ca="1" si="112"/>
        <v>0</v>
      </c>
      <c r="AB107" s="258">
        <f t="shared" ca="1" si="112"/>
        <v>0</v>
      </c>
      <c r="AC107" s="1087">
        <f t="shared" ca="1" si="112"/>
        <v>0</v>
      </c>
      <c r="AD107" s="258">
        <f t="shared" si="18"/>
        <v>0</v>
      </c>
      <c r="AE107" s="1086">
        <f t="shared" ref="AE107:AP107" ca="1" si="113">IF(ISBLANK(AE106),0,AE38+AD107)</f>
        <v>0</v>
      </c>
      <c r="AF107" s="258">
        <f t="shared" ca="1" si="113"/>
        <v>0</v>
      </c>
      <c r="AG107" s="258">
        <f t="shared" ca="1" si="113"/>
        <v>0</v>
      </c>
      <c r="AH107" s="258">
        <f t="shared" ca="1" si="113"/>
        <v>0</v>
      </c>
      <c r="AI107" s="258">
        <f t="shared" ca="1" si="113"/>
        <v>0</v>
      </c>
      <c r="AJ107" s="258">
        <f t="shared" ca="1" si="113"/>
        <v>0</v>
      </c>
      <c r="AK107" s="258">
        <f t="shared" ca="1" si="113"/>
        <v>0</v>
      </c>
      <c r="AL107" s="258">
        <f t="shared" ca="1" si="113"/>
        <v>0</v>
      </c>
      <c r="AM107" s="258">
        <f t="shared" ca="1" si="113"/>
        <v>0</v>
      </c>
      <c r="AN107" s="258">
        <f t="shared" ca="1" si="113"/>
        <v>0</v>
      </c>
      <c r="AO107" s="258">
        <f t="shared" ca="1" si="113"/>
        <v>0</v>
      </c>
      <c r="AP107" s="1087">
        <f t="shared" ca="1" si="113"/>
        <v>0</v>
      </c>
      <c r="AQ107" s="1111"/>
      <c r="AR107" s="1112"/>
      <c r="AS107" s="1112"/>
      <c r="AT107" s="1112"/>
      <c r="AU107" s="1112"/>
      <c r="AV107" s="1113"/>
    </row>
    <row r="108" spans="1:48" ht="14.25" x14ac:dyDescent="0.2">
      <c r="A108" s="1091" t="s">
        <v>251</v>
      </c>
      <c r="B108" s="258"/>
      <c r="C108" s="258"/>
      <c r="D108" s="258"/>
      <c r="E108" s="1086">
        <f t="shared" ref="E108:P108" ca="1" si="114">IF(ISBLANK(E107),0,E39+D108)</f>
        <v>0</v>
      </c>
      <c r="F108" s="258">
        <f t="shared" ca="1" si="114"/>
        <v>0</v>
      </c>
      <c r="G108" s="258">
        <f t="shared" ca="1" si="114"/>
        <v>0</v>
      </c>
      <c r="H108" s="258">
        <f t="shared" ca="1" si="114"/>
        <v>0</v>
      </c>
      <c r="I108" s="258">
        <f t="shared" ca="1" si="114"/>
        <v>0</v>
      </c>
      <c r="J108" s="258">
        <f t="shared" ca="1" si="114"/>
        <v>0</v>
      </c>
      <c r="K108" s="258">
        <f t="shared" ca="1" si="114"/>
        <v>0</v>
      </c>
      <c r="L108" s="258">
        <f t="shared" ca="1" si="114"/>
        <v>0</v>
      </c>
      <c r="M108" s="258">
        <f t="shared" ca="1" si="114"/>
        <v>0</v>
      </c>
      <c r="N108" s="258">
        <f t="shared" ca="1" si="114"/>
        <v>0</v>
      </c>
      <c r="O108" s="258">
        <f t="shared" ca="1" si="114"/>
        <v>0</v>
      </c>
      <c r="P108" s="1087">
        <f t="shared" ca="1" si="114"/>
        <v>0</v>
      </c>
      <c r="Q108" s="258">
        <f t="shared" si="21"/>
        <v>0</v>
      </c>
      <c r="R108" s="1086">
        <f t="shared" ref="R108:AC108" ca="1" si="115">IF(ISBLANK(R107),0,R39+Q108)</f>
        <v>0</v>
      </c>
      <c r="S108" s="258">
        <f t="shared" ca="1" si="115"/>
        <v>0</v>
      </c>
      <c r="T108" s="258">
        <f t="shared" ca="1" si="115"/>
        <v>0</v>
      </c>
      <c r="U108" s="258">
        <f t="shared" ca="1" si="115"/>
        <v>0</v>
      </c>
      <c r="V108" s="258">
        <f t="shared" ca="1" si="115"/>
        <v>0</v>
      </c>
      <c r="W108" s="258">
        <f t="shared" ca="1" si="115"/>
        <v>0</v>
      </c>
      <c r="X108" s="258">
        <f t="shared" ca="1" si="115"/>
        <v>0</v>
      </c>
      <c r="Y108" s="258">
        <f t="shared" ca="1" si="115"/>
        <v>0</v>
      </c>
      <c r="Z108" s="258">
        <f t="shared" ca="1" si="115"/>
        <v>0</v>
      </c>
      <c r="AA108" s="258">
        <f t="shared" ca="1" si="115"/>
        <v>0</v>
      </c>
      <c r="AB108" s="258">
        <f t="shared" ca="1" si="115"/>
        <v>0</v>
      </c>
      <c r="AC108" s="1087">
        <f t="shared" ca="1" si="115"/>
        <v>0</v>
      </c>
      <c r="AD108" s="258">
        <f t="shared" si="18"/>
        <v>0</v>
      </c>
      <c r="AE108" s="1086">
        <f t="shared" ref="AE108:AP108" ca="1" si="116">IF(ISBLANK(AE107),0,AE39+AD108)</f>
        <v>0</v>
      </c>
      <c r="AF108" s="258">
        <f t="shared" ca="1" si="116"/>
        <v>0</v>
      </c>
      <c r="AG108" s="258">
        <f t="shared" ca="1" si="116"/>
        <v>0</v>
      </c>
      <c r="AH108" s="258">
        <f t="shared" ca="1" si="116"/>
        <v>0</v>
      </c>
      <c r="AI108" s="258">
        <f t="shared" ca="1" si="116"/>
        <v>0</v>
      </c>
      <c r="AJ108" s="258">
        <f t="shared" ca="1" si="116"/>
        <v>0</v>
      </c>
      <c r="AK108" s="258">
        <f t="shared" ca="1" si="116"/>
        <v>0</v>
      </c>
      <c r="AL108" s="258">
        <f t="shared" ca="1" si="116"/>
        <v>0</v>
      </c>
      <c r="AM108" s="258">
        <f t="shared" ca="1" si="116"/>
        <v>0</v>
      </c>
      <c r="AN108" s="258">
        <f t="shared" ca="1" si="116"/>
        <v>0</v>
      </c>
      <c r="AO108" s="258">
        <f t="shared" ca="1" si="116"/>
        <v>0</v>
      </c>
      <c r="AP108" s="1087">
        <f t="shared" ca="1" si="116"/>
        <v>0</v>
      </c>
      <c r="AQ108" s="1111"/>
      <c r="AR108" s="1112"/>
      <c r="AS108" s="1112"/>
      <c r="AT108" s="1112"/>
      <c r="AU108" s="1112"/>
      <c r="AV108" s="1113"/>
    </row>
    <row r="109" spans="1:48" ht="14.25" x14ac:dyDescent="0.2">
      <c r="A109" s="1091" t="s">
        <v>252</v>
      </c>
      <c r="B109" s="258"/>
      <c r="C109" s="258"/>
      <c r="D109" s="258"/>
      <c r="E109" s="1086">
        <f t="shared" ref="E109:P109" ca="1" si="117">IF(ISBLANK(E108),0,E40+D109)</f>
        <v>0</v>
      </c>
      <c r="F109" s="258">
        <f t="shared" ca="1" si="117"/>
        <v>50000000</v>
      </c>
      <c r="G109" s="258">
        <f t="shared" ca="1" si="117"/>
        <v>100000000</v>
      </c>
      <c r="H109" s="258">
        <f t="shared" ca="1" si="117"/>
        <v>150000000</v>
      </c>
      <c r="I109" s="258">
        <f t="shared" ca="1" si="117"/>
        <v>200000000</v>
      </c>
      <c r="J109" s="258">
        <f t="shared" ca="1" si="117"/>
        <v>370000000</v>
      </c>
      <c r="K109" s="258">
        <f t="shared" ca="1" si="117"/>
        <v>540000000</v>
      </c>
      <c r="L109" s="258">
        <f t="shared" ca="1" si="117"/>
        <v>710000000</v>
      </c>
      <c r="M109" s="258">
        <f t="shared" ca="1" si="117"/>
        <v>880000000</v>
      </c>
      <c r="N109" s="258">
        <f t="shared" ca="1" si="117"/>
        <v>1050000000</v>
      </c>
      <c r="O109" s="258">
        <f t="shared" ca="1" si="117"/>
        <v>1220000000</v>
      </c>
      <c r="P109" s="1087">
        <f t="shared" ca="1" si="117"/>
        <v>1390000000</v>
      </c>
      <c r="Q109" s="258">
        <f t="shared" si="21"/>
        <v>0</v>
      </c>
      <c r="R109" s="1086">
        <f t="shared" ref="R109:AC109" ca="1" si="118">IF(ISBLANK(R108),0,R40+Q109)</f>
        <v>170000000</v>
      </c>
      <c r="S109" s="258">
        <f t="shared" ca="1" si="118"/>
        <v>340000000</v>
      </c>
      <c r="T109" s="258">
        <f t="shared" ca="1" si="118"/>
        <v>510000000</v>
      </c>
      <c r="U109" s="258">
        <f t="shared" ca="1" si="118"/>
        <v>680000000</v>
      </c>
      <c r="V109" s="258">
        <f t="shared" ca="1" si="118"/>
        <v>850000000</v>
      </c>
      <c r="W109" s="258">
        <f t="shared" ca="1" si="118"/>
        <v>1020000000</v>
      </c>
      <c r="X109" s="258">
        <f t="shared" ca="1" si="118"/>
        <v>1190000000</v>
      </c>
      <c r="Y109" s="258">
        <f t="shared" ca="1" si="118"/>
        <v>1360000000</v>
      </c>
      <c r="Z109" s="258">
        <f t="shared" ca="1" si="118"/>
        <v>1530000000</v>
      </c>
      <c r="AA109" s="258">
        <f t="shared" ca="1" si="118"/>
        <v>1700000000</v>
      </c>
      <c r="AB109" s="258">
        <f t="shared" ca="1" si="118"/>
        <v>1870000000</v>
      </c>
      <c r="AC109" s="1087">
        <f t="shared" ca="1" si="118"/>
        <v>2040000000</v>
      </c>
      <c r="AD109" s="258">
        <f t="shared" si="18"/>
        <v>0</v>
      </c>
      <c r="AE109" s="1086">
        <f t="shared" ref="AE109:AP109" ca="1" si="119">IF(ISBLANK(AE108),0,AE40+AD109)</f>
        <v>170000000</v>
      </c>
      <c r="AF109" s="258">
        <f t="shared" ca="1" si="119"/>
        <v>340000000</v>
      </c>
      <c r="AG109" s="258">
        <f t="shared" ca="1" si="119"/>
        <v>510000000</v>
      </c>
      <c r="AH109" s="258">
        <f t="shared" ca="1" si="119"/>
        <v>680000000</v>
      </c>
      <c r="AI109" s="258">
        <f t="shared" ca="1" si="119"/>
        <v>850000000</v>
      </c>
      <c r="AJ109" s="258">
        <f t="shared" ca="1" si="119"/>
        <v>1020000000</v>
      </c>
      <c r="AK109" s="258">
        <f t="shared" ca="1" si="119"/>
        <v>1190000000</v>
      </c>
      <c r="AL109" s="258">
        <f t="shared" ca="1" si="119"/>
        <v>1360000000</v>
      </c>
      <c r="AM109" s="258">
        <f t="shared" ca="1" si="119"/>
        <v>1530000000</v>
      </c>
      <c r="AN109" s="258">
        <f t="shared" ca="1" si="119"/>
        <v>1700000000</v>
      </c>
      <c r="AO109" s="258">
        <f t="shared" ca="1" si="119"/>
        <v>1870000000</v>
      </c>
      <c r="AP109" s="1087">
        <f t="shared" ca="1" si="119"/>
        <v>2040000000</v>
      </c>
      <c r="AQ109" s="1111"/>
      <c r="AR109" s="1112"/>
      <c r="AS109" s="1112"/>
      <c r="AT109" s="1112"/>
      <c r="AU109" s="1112"/>
      <c r="AV109" s="1113"/>
    </row>
    <row r="110" spans="1:48" ht="14.25" x14ac:dyDescent="0.2">
      <c r="A110" s="1091" t="s">
        <v>253</v>
      </c>
      <c r="B110" s="258"/>
      <c r="C110" s="258"/>
      <c r="D110" s="258"/>
      <c r="E110" s="1086">
        <f t="shared" ref="E110:P110" ca="1" si="120">IF(ISBLANK(E109),0,E41+D110)</f>
        <v>0</v>
      </c>
      <c r="F110" s="258">
        <f t="shared" ca="1" si="120"/>
        <v>0</v>
      </c>
      <c r="G110" s="258">
        <f t="shared" ca="1" si="120"/>
        <v>0</v>
      </c>
      <c r="H110" s="258">
        <f t="shared" ca="1" si="120"/>
        <v>0</v>
      </c>
      <c r="I110" s="258">
        <f t="shared" ca="1" si="120"/>
        <v>0</v>
      </c>
      <c r="J110" s="258">
        <f t="shared" ca="1" si="120"/>
        <v>439992000</v>
      </c>
      <c r="K110" s="258">
        <f t="shared" ca="1" si="120"/>
        <v>879984000</v>
      </c>
      <c r="L110" s="258">
        <f t="shared" ca="1" si="120"/>
        <v>1378641600</v>
      </c>
      <c r="M110" s="258">
        <f t="shared" ca="1" si="120"/>
        <v>1877299200</v>
      </c>
      <c r="N110" s="258">
        <f t="shared" ca="1" si="120"/>
        <v>2399993400</v>
      </c>
      <c r="O110" s="258">
        <f t="shared" ca="1" si="120"/>
        <v>2922687600</v>
      </c>
      <c r="P110" s="1087">
        <f t="shared" ca="1" si="120"/>
        <v>3445381800</v>
      </c>
      <c r="Q110" s="258">
        <f t="shared" si="21"/>
        <v>0</v>
      </c>
      <c r="R110" s="1086">
        <f t="shared" ref="R110:AC110" ca="1" si="121">IF(ISBLANK(R109),0,R41+Q110)</f>
        <v>1053066000</v>
      </c>
      <c r="S110" s="258">
        <f t="shared" ca="1" si="121"/>
        <v>1497132000</v>
      </c>
      <c r="T110" s="258">
        <f t="shared" ca="1" si="121"/>
        <v>1941198000</v>
      </c>
      <c r="U110" s="258">
        <f t="shared" ca="1" si="121"/>
        <v>2486299200</v>
      </c>
      <c r="V110" s="258">
        <f t="shared" ca="1" si="121"/>
        <v>3031400400</v>
      </c>
      <c r="W110" s="258">
        <f t="shared" ca="1" si="121"/>
        <v>3576501600</v>
      </c>
      <c r="X110" s="258">
        <f t="shared" ca="1" si="121"/>
        <v>4141972800</v>
      </c>
      <c r="Y110" s="258">
        <f t="shared" ca="1" si="121"/>
        <v>4707444000</v>
      </c>
      <c r="Z110" s="258">
        <f t="shared" ca="1" si="121"/>
        <v>5272915200</v>
      </c>
      <c r="AA110" s="258">
        <f t="shared" ca="1" si="121"/>
        <v>5862423000</v>
      </c>
      <c r="AB110" s="258">
        <f t="shared" ca="1" si="121"/>
        <v>6745405800</v>
      </c>
      <c r="AC110" s="1087">
        <f t="shared" ca="1" si="121"/>
        <v>7630425600</v>
      </c>
      <c r="AD110" s="258">
        <f t="shared" si="18"/>
        <v>0</v>
      </c>
      <c r="AE110" s="1086">
        <f t="shared" ref="AE110:AP110" ca="1" si="122">IF(ISBLANK(AE109),0,AE41+AD110)</f>
        <v>1483893200</v>
      </c>
      <c r="AF110" s="258">
        <f t="shared" ca="1" si="122"/>
        <v>2243992400</v>
      </c>
      <c r="AG110" s="258">
        <f t="shared" ca="1" si="122"/>
        <v>3004091600</v>
      </c>
      <c r="AH110" s="258">
        <f t="shared" ca="1" si="122"/>
        <v>3984766400</v>
      </c>
      <c r="AI110" s="258">
        <f t="shared" ca="1" si="122"/>
        <v>4965441200</v>
      </c>
      <c r="AJ110" s="258">
        <f t="shared" ca="1" si="122"/>
        <v>5946116000</v>
      </c>
      <c r="AK110" s="258">
        <f t="shared" ca="1" si="122"/>
        <v>6973188200</v>
      </c>
      <c r="AL110" s="258">
        <f t="shared" ca="1" si="122"/>
        <v>8000260400</v>
      </c>
      <c r="AM110" s="258">
        <f t="shared" ca="1" si="122"/>
        <v>9056476400</v>
      </c>
      <c r="AN110" s="258">
        <f t="shared" ca="1" si="122"/>
        <v>10145263400</v>
      </c>
      <c r="AO110" s="258">
        <f t="shared" ca="1" si="122"/>
        <v>11239325600</v>
      </c>
      <c r="AP110" s="1087">
        <f t="shared" ca="1" si="122"/>
        <v>12338663000</v>
      </c>
      <c r="AQ110" s="1111"/>
      <c r="AR110" s="1112"/>
      <c r="AS110" s="1112"/>
      <c r="AT110" s="1112"/>
      <c r="AU110" s="1112"/>
      <c r="AV110" s="1113"/>
    </row>
    <row r="111" spans="1:48" ht="14.25" x14ac:dyDescent="0.2">
      <c r="A111" s="1091" t="s">
        <v>254</v>
      </c>
      <c r="B111" s="258"/>
      <c r="C111" s="258"/>
      <c r="D111" s="258"/>
      <c r="E111" s="1086">
        <f t="shared" ref="E111:P111" ca="1" si="123">IF(ISBLANK(E110),0,E42+D111)</f>
        <v>350000000</v>
      </c>
      <c r="F111" s="258">
        <f t="shared" ca="1" si="123"/>
        <v>350000000</v>
      </c>
      <c r="G111" s="258">
        <f t="shared" ca="1" si="123"/>
        <v>430000000</v>
      </c>
      <c r="H111" s="258">
        <f t="shared" ca="1" si="123"/>
        <v>430000000</v>
      </c>
      <c r="I111" s="258">
        <f t="shared" ca="1" si="123"/>
        <v>430000000</v>
      </c>
      <c r="J111" s="258">
        <f t="shared" ca="1" si="123"/>
        <v>610000000</v>
      </c>
      <c r="K111" s="258">
        <f t="shared" ca="1" si="123"/>
        <v>610000000</v>
      </c>
      <c r="L111" s="258">
        <f t="shared" ca="1" si="123"/>
        <v>610000000</v>
      </c>
      <c r="M111" s="258">
        <f t="shared" ca="1" si="123"/>
        <v>610000000</v>
      </c>
      <c r="N111" s="258">
        <f t="shared" ca="1" si="123"/>
        <v>610000000</v>
      </c>
      <c r="O111" s="258">
        <f t="shared" ca="1" si="123"/>
        <v>610000000</v>
      </c>
      <c r="P111" s="1087">
        <f t="shared" ca="1" si="123"/>
        <v>610000000</v>
      </c>
      <c r="Q111" s="258">
        <f t="shared" si="21"/>
        <v>0</v>
      </c>
      <c r="R111" s="1086">
        <f t="shared" ref="R111:AC111" ca="1" si="124">IF(ISBLANK(R110),0,R42+Q111)</f>
        <v>0</v>
      </c>
      <c r="S111" s="258">
        <f t="shared" ca="1" si="124"/>
        <v>0</v>
      </c>
      <c r="T111" s="258">
        <f t="shared" ca="1" si="124"/>
        <v>0</v>
      </c>
      <c r="U111" s="258">
        <f t="shared" ca="1" si="124"/>
        <v>0</v>
      </c>
      <c r="V111" s="258">
        <f t="shared" ca="1" si="124"/>
        <v>0</v>
      </c>
      <c r="W111" s="258">
        <f t="shared" ca="1" si="124"/>
        <v>0</v>
      </c>
      <c r="X111" s="258">
        <f t="shared" ca="1" si="124"/>
        <v>0</v>
      </c>
      <c r="Y111" s="258">
        <f t="shared" ca="1" si="124"/>
        <v>0</v>
      </c>
      <c r="Z111" s="258">
        <f t="shared" ca="1" si="124"/>
        <v>0</v>
      </c>
      <c r="AA111" s="258">
        <f t="shared" ca="1" si="124"/>
        <v>0</v>
      </c>
      <c r="AB111" s="258">
        <f t="shared" ca="1" si="124"/>
        <v>0</v>
      </c>
      <c r="AC111" s="1087">
        <f t="shared" ca="1" si="124"/>
        <v>0</v>
      </c>
      <c r="AD111" s="258">
        <f t="shared" si="18"/>
        <v>0</v>
      </c>
      <c r="AE111" s="1086">
        <f t="shared" ref="AE111:AP111" ca="1" si="125">IF(ISBLANK(AE110),0,AE42+AD111)</f>
        <v>0</v>
      </c>
      <c r="AF111" s="258">
        <f t="shared" ca="1" si="125"/>
        <v>0</v>
      </c>
      <c r="AG111" s="258">
        <f t="shared" ca="1" si="125"/>
        <v>0</v>
      </c>
      <c r="AH111" s="258">
        <f t="shared" ca="1" si="125"/>
        <v>0</v>
      </c>
      <c r="AI111" s="258">
        <f t="shared" ca="1" si="125"/>
        <v>0</v>
      </c>
      <c r="AJ111" s="258">
        <f t="shared" ca="1" si="125"/>
        <v>0</v>
      </c>
      <c r="AK111" s="258">
        <f t="shared" ca="1" si="125"/>
        <v>0</v>
      </c>
      <c r="AL111" s="258">
        <f t="shared" ca="1" si="125"/>
        <v>0</v>
      </c>
      <c r="AM111" s="258">
        <f t="shared" ca="1" si="125"/>
        <v>0</v>
      </c>
      <c r="AN111" s="258">
        <f t="shared" ca="1" si="125"/>
        <v>0</v>
      </c>
      <c r="AO111" s="258">
        <f t="shared" ca="1" si="125"/>
        <v>0</v>
      </c>
      <c r="AP111" s="1087">
        <f t="shared" ca="1" si="125"/>
        <v>0</v>
      </c>
      <c r="AQ111" s="1111"/>
      <c r="AR111" s="1112"/>
      <c r="AS111" s="1112"/>
      <c r="AT111" s="1112"/>
      <c r="AU111" s="1112"/>
      <c r="AV111" s="1113"/>
    </row>
    <row r="112" spans="1:48" ht="14.25" x14ac:dyDescent="0.2">
      <c r="A112" s="1091" t="s">
        <v>255</v>
      </c>
      <c r="B112" s="258"/>
      <c r="C112" s="258"/>
      <c r="D112" s="258"/>
      <c r="E112" s="1086">
        <f t="shared" ref="E112:P112" ca="1" si="126">IF(ISBLANK(E111),0,E43+D112)</f>
        <v>0</v>
      </c>
      <c r="F112" s="258">
        <f t="shared" ca="1" si="126"/>
        <v>0</v>
      </c>
      <c r="G112" s="258">
        <f t="shared" ca="1" si="126"/>
        <v>0</v>
      </c>
      <c r="H112" s="258">
        <f t="shared" ca="1" si="126"/>
        <v>0</v>
      </c>
      <c r="I112" s="258">
        <f t="shared" ca="1" si="126"/>
        <v>0</v>
      </c>
      <c r="J112" s="258">
        <f t="shared" ca="1" si="126"/>
        <v>0</v>
      </c>
      <c r="K112" s="258">
        <f t="shared" ca="1" si="126"/>
        <v>0</v>
      </c>
      <c r="L112" s="258">
        <f t="shared" ca="1" si="126"/>
        <v>0</v>
      </c>
      <c r="M112" s="258">
        <f t="shared" ca="1" si="126"/>
        <v>0</v>
      </c>
      <c r="N112" s="258">
        <f t="shared" ca="1" si="126"/>
        <v>0</v>
      </c>
      <c r="O112" s="258">
        <f t="shared" ca="1" si="126"/>
        <v>0</v>
      </c>
      <c r="P112" s="1087">
        <f t="shared" ca="1" si="126"/>
        <v>0</v>
      </c>
      <c r="Q112" s="258">
        <f t="shared" si="21"/>
        <v>0</v>
      </c>
      <c r="R112" s="1086">
        <f t="shared" ref="R112:AC112" ca="1" si="127">IF(ISBLANK(R111),0,R43+Q112)</f>
        <v>0</v>
      </c>
      <c r="S112" s="258">
        <f t="shared" ca="1" si="127"/>
        <v>0</v>
      </c>
      <c r="T112" s="258">
        <f t="shared" ca="1" si="127"/>
        <v>0</v>
      </c>
      <c r="U112" s="258">
        <f t="shared" ca="1" si="127"/>
        <v>0</v>
      </c>
      <c r="V112" s="258">
        <f t="shared" ca="1" si="127"/>
        <v>0</v>
      </c>
      <c r="W112" s="258">
        <f t="shared" ca="1" si="127"/>
        <v>0</v>
      </c>
      <c r="X112" s="258">
        <f t="shared" ca="1" si="127"/>
        <v>0</v>
      </c>
      <c r="Y112" s="258">
        <f t="shared" ca="1" si="127"/>
        <v>0</v>
      </c>
      <c r="Z112" s="258">
        <f t="shared" ca="1" si="127"/>
        <v>0</v>
      </c>
      <c r="AA112" s="258">
        <f t="shared" ca="1" si="127"/>
        <v>0</v>
      </c>
      <c r="AB112" s="258">
        <f t="shared" ca="1" si="127"/>
        <v>0</v>
      </c>
      <c r="AC112" s="1087">
        <f t="shared" ca="1" si="127"/>
        <v>0</v>
      </c>
      <c r="AD112" s="258">
        <f t="shared" si="18"/>
        <v>0</v>
      </c>
      <c r="AE112" s="1086">
        <f t="shared" ref="AE112:AP112" ca="1" si="128">IF(ISBLANK(AE111),0,AE43+AD112)</f>
        <v>0</v>
      </c>
      <c r="AF112" s="258">
        <f t="shared" ca="1" si="128"/>
        <v>0</v>
      </c>
      <c r="AG112" s="258">
        <f t="shared" ca="1" si="128"/>
        <v>0</v>
      </c>
      <c r="AH112" s="258">
        <f t="shared" ca="1" si="128"/>
        <v>0</v>
      </c>
      <c r="AI112" s="258">
        <f t="shared" ca="1" si="128"/>
        <v>0</v>
      </c>
      <c r="AJ112" s="258">
        <f t="shared" ca="1" si="128"/>
        <v>0</v>
      </c>
      <c r="AK112" s="258">
        <f t="shared" ca="1" si="128"/>
        <v>0</v>
      </c>
      <c r="AL112" s="258">
        <f t="shared" ca="1" si="128"/>
        <v>0</v>
      </c>
      <c r="AM112" s="258">
        <f t="shared" ca="1" si="128"/>
        <v>0</v>
      </c>
      <c r="AN112" s="258">
        <f t="shared" ca="1" si="128"/>
        <v>0</v>
      </c>
      <c r="AO112" s="258">
        <f t="shared" ca="1" si="128"/>
        <v>0</v>
      </c>
      <c r="AP112" s="1087">
        <f t="shared" ca="1" si="128"/>
        <v>0</v>
      </c>
      <c r="AQ112" s="1111"/>
      <c r="AR112" s="1112"/>
      <c r="AS112" s="1112"/>
      <c r="AT112" s="1112"/>
      <c r="AU112" s="1112"/>
      <c r="AV112" s="1113"/>
    </row>
    <row r="113" spans="1:48" ht="14.25" x14ac:dyDescent="0.2">
      <c r="A113" s="1091" t="s">
        <v>256</v>
      </c>
      <c r="B113" s="258"/>
      <c r="C113" s="258"/>
      <c r="D113" s="258"/>
      <c r="E113" s="1086">
        <f t="shared" ref="E113:P113" ca="1" si="129">IF(ISBLANK(E112),0,E44+D113)</f>
        <v>0</v>
      </c>
      <c r="F113" s="258">
        <f t="shared" ca="1" si="129"/>
        <v>0</v>
      </c>
      <c r="G113" s="258">
        <f t="shared" ca="1" si="129"/>
        <v>0</v>
      </c>
      <c r="H113" s="258">
        <f t="shared" ca="1" si="129"/>
        <v>0</v>
      </c>
      <c r="I113" s="258">
        <f t="shared" ca="1" si="129"/>
        <v>0</v>
      </c>
      <c r="J113" s="258">
        <f t="shared" ca="1" si="129"/>
        <v>0</v>
      </c>
      <c r="K113" s="258">
        <f t="shared" ca="1" si="129"/>
        <v>0</v>
      </c>
      <c r="L113" s="258">
        <f t="shared" ca="1" si="129"/>
        <v>0</v>
      </c>
      <c r="M113" s="258">
        <f t="shared" ca="1" si="129"/>
        <v>0</v>
      </c>
      <c r="N113" s="258">
        <f t="shared" ca="1" si="129"/>
        <v>0</v>
      </c>
      <c r="O113" s="258">
        <f t="shared" ca="1" si="129"/>
        <v>0</v>
      </c>
      <c r="P113" s="1087">
        <f t="shared" ca="1" si="129"/>
        <v>0</v>
      </c>
      <c r="Q113" s="258">
        <f t="shared" si="21"/>
        <v>0</v>
      </c>
      <c r="R113" s="1086">
        <f t="shared" ref="R113:AC113" ca="1" si="130">IF(ISBLANK(R112),0,R44+Q113)</f>
        <v>0</v>
      </c>
      <c r="S113" s="258">
        <f t="shared" ca="1" si="130"/>
        <v>0</v>
      </c>
      <c r="T113" s="258">
        <f t="shared" ca="1" si="130"/>
        <v>0</v>
      </c>
      <c r="U113" s="258">
        <f t="shared" ca="1" si="130"/>
        <v>0</v>
      </c>
      <c r="V113" s="258">
        <f t="shared" ca="1" si="130"/>
        <v>0</v>
      </c>
      <c r="W113" s="258">
        <f t="shared" ca="1" si="130"/>
        <v>0</v>
      </c>
      <c r="X113" s="258">
        <f t="shared" ca="1" si="130"/>
        <v>0</v>
      </c>
      <c r="Y113" s="258">
        <f t="shared" ca="1" si="130"/>
        <v>0</v>
      </c>
      <c r="Z113" s="258">
        <f t="shared" ca="1" si="130"/>
        <v>0</v>
      </c>
      <c r="AA113" s="258">
        <f t="shared" ca="1" si="130"/>
        <v>0</v>
      </c>
      <c r="AB113" s="258">
        <f t="shared" ca="1" si="130"/>
        <v>0</v>
      </c>
      <c r="AC113" s="1087">
        <f t="shared" ca="1" si="130"/>
        <v>0</v>
      </c>
      <c r="AD113" s="258">
        <f t="shared" si="18"/>
        <v>0</v>
      </c>
      <c r="AE113" s="1086">
        <f t="shared" ref="AE113:AP113" ca="1" si="131">IF(ISBLANK(AE112),0,AE44+AD113)</f>
        <v>0</v>
      </c>
      <c r="AF113" s="258">
        <f t="shared" ca="1" si="131"/>
        <v>0</v>
      </c>
      <c r="AG113" s="258">
        <f t="shared" ca="1" si="131"/>
        <v>0</v>
      </c>
      <c r="AH113" s="258">
        <f t="shared" ca="1" si="131"/>
        <v>0</v>
      </c>
      <c r="AI113" s="258">
        <f t="shared" ca="1" si="131"/>
        <v>0</v>
      </c>
      <c r="AJ113" s="258">
        <f t="shared" ca="1" si="131"/>
        <v>0</v>
      </c>
      <c r="AK113" s="258">
        <f t="shared" ca="1" si="131"/>
        <v>0</v>
      </c>
      <c r="AL113" s="258">
        <f t="shared" ca="1" si="131"/>
        <v>0</v>
      </c>
      <c r="AM113" s="258">
        <f t="shared" ca="1" si="131"/>
        <v>0</v>
      </c>
      <c r="AN113" s="258">
        <f t="shared" ca="1" si="131"/>
        <v>0</v>
      </c>
      <c r="AO113" s="258">
        <f t="shared" ca="1" si="131"/>
        <v>0</v>
      </c>
      <c r="AP113" s="1087">
        <f t="shared" ca="1" si="131"/>
        <v>0</v>
      </c>
      <c r="AQ113" s="1111"/>
      <c r="AR113" s="1112"/>
      <c r="AS113" s="1112"/>
      <c r="AT113" s="1112"/>
      <c r="AU113" s="1112"/>
      <c r="AV113" s="1113"/>
    </row>
    <row r="114" spans="1:48" ht="14.25" x14ac:dyDescent="0.2">
      <c r="A114" s="1091" t="s">
        <v>257</v>
      </c>
      <c r="B114" s="258"/>
      <c r="C114" s="258"/>
      <c r="D114" s="258"/>
      <c r="E114" s="1086">
        <f t="shared" ref="E114:P114" ca="1" si="132">IF(ISBLANK(E113),0,E45+D114)</f>
        <v>11000000</v>
      </c>
      <c r="F114" s="258">
        <f t="shared" ca="1" si="132"/>
        <v>22000000</v>
      </c>
      <c r="G114" s="258">
        <f t="shared" ca="1" si="132"/>
        <v>33000000</v>
      </c>
      <c r="H114" s="258">
        <f t="shared" ca="1" si="132"/>
        <v>44000000</v>
      </c>
      <c r="I114" s="258">
        <f t="shared" ca="1" si="132"/>
        <v>55000000</v>
      </c>
      <c r="J114" s="258">
        <f t="shared" ca="1" si="132"/>
        <v>66000000</v>
      </c>
      <c r="K114" s="258">
        <f t="shared" ca="1" si="132"/>
        <v>77000000</v>
      </c>
      <c r="L114" s="258">
        <f t="shared" ca="1" si="132"/>
        <v>88000000</v>
      </c>
      <c r="M114" s="258">
        <f t="shared" ca="1" si="132"/>
        <v>99000000</v>
      </c>
      <c r="N114" s="258">
        <f t="shared" ca="1" si="132"/>
        <v>110000000</v>
      </c>
      <c r="O114" s="258">
        <f t="shared" ca="1" si="132"/>
        <v>121000000</v>
      </c>
      <c r="P114" s="1087">
        <f t="shared" ca="1" si="132"/>
        <v>132000000</v>
      </c>
      <c r="Q114" s="258">
        <f t="shared" si="21"/>
        <v>0</v>
      </c>
      <c r="R114" s="1086">
        <f t="shared" ref="R114:AC114" ca="1" si="133">IF(ISBLANK(R113),0,R45+Q114)</f>
        <v>11000000</v>
      </c>
      <c r="S114" s="258">
        <f t="shared" ca="1" si="133"/>
        <v>22000000</v>
      </c>
      <c r="T114" s="258">
        <f t="shared" ca="1" si="133"/>
        <v>33000000</v>
      </c>
      <c r="U114" s="258">
        <f t="shared" ca="1" si="133"/>
        <v>44000000</v>
      </c>
      <c r="V114" s="258">
        <f t="shared" ca="1" si="133"/>
        <v>55000000</v>
      </c>
      <c r="W114" s="258">
        <f t="shared" ca="1" si="133"/>
        <v>66000000</v>
      </c>
      <c r="X114" s="258">
        <f t="shared" ca="1" si="133"/>
        <v>77000000</v>
      </c>
      <c r="Y114" s="258">
        <f t="shared" ca="1" si="133"/>
        <v>88000000</v>
      </c>
      <c r="Z114" s="258">
        <f t="shared" ca="1" si="133"/>
        <v>99000000</v>
      </c>
      <c r="AA114" s="258">
        <f t="shared" ca="1" si="133"/>
        <v>110000000</v>
      </c>
      <c r="AB114" s="258">
        <f t="shared" ca="1" si="133"/>
        <v>121000000</v>
      </c>
      <c r="AC114" s="1087">
        <f t="shared" ca="1" si="133"/>
        <v>132000000</v>
      </c>
      <c r="AD114" s="258">
        <f t="shared" si="18"/>
        <v>0</v>
      </c>
      <c r="AE114" s="1086">
        <f t="shared" ref="AE114:AP114" ca="1" si="134">IF(ISBLANK(AE113),0,AE45+AD114)</f>
        <v>11000000</v>
      </c>
      <c r="AF114" s="258">
        <f t="shared" ca="1" si="134"/>
        <v>22000000</v>
      </c>
      <c r="AG114" s="258">
        <f t="shared" ca="1" si="134"/>
        <v>33000000</v>
      </c>
      <c r="AH114" s="258">
        <f t="shared" ca="1" si="134"/>
        <v>44000000</v>
      </c>
      <c r="AI114" s="258">
        <f t="shared" ca="1" si="134"/>
        <v>55000000</v>
      </c>
      <c r="AJ114" s="258">
        <f t="shared" ca="1" si="134"/>
        <v>66000000</v>
      </c>
      <c r="AK114" s="258">
        <f t="shared" ca="1" si="134"/>
        <v>77000000</v>
      </c>
      <c r="AL114" s="258">
        <f t="shared" ca="1" si="134"/>
        <v>88000000</v>
      </c>
      <c r="AM114" s="258">
        <f t="shared" ca="1" si="134"/>
        <v>99000000</v>
      </c>
      <c r="AN114" s="258">
        <f t="shared" ca="1" si="134"/>
        <v>110000000</v>
      </c>
      <c r="AO114" s="258">
        <f t="shared" ca="1" si="134"/>
        <v>121000000</v>
      </c>
      <c r="AP114" s="1087">
        <f t="shared" ca="1" si="134"/>
        <v>132000000</v>
      </c>
      <c r="AQ114" s="1111"/>
      <c r="AR114" s="1112"/>
      <c r="AS114" s="1112"/>
      <c r="AT114" s="1112"/>
      <c r="AU114" s="1112"/>
      <c r="AV114" s="1113"/>
    </row>
    <row r="115" spans="1:48" ht="14.25" x14ac:dyDescent="0.2">
      <c r="A115" s="1091" t="s">
        <v>258</v>
      </c>
      <c r="B115" s="258"/>
      <c r="C115" s="258"/>
      <c r="D115" s="258"/>
      <c r="E115" s="1086">
        <f t="shared" ref="E115:P115" ca="1" si="135">IF(ISBLANK(E114),0,E46+D115)</f>
        <v>10000000</v>
      </c>
      <c r="F115" s="258">
        <f t="shared" ca="1" si="135"/>
        <v>20000000</v>
      </c>
      <c r="G115" s="258">
        <f t="shared" ca="1" si="135"/>
        <v>30000000</v>
      </c>
      <c r="H115" s="258">
        <f t="shared" ca="1" si="135"/>
        <v>40000000</v>
      </c>
      <c r="I115" s="258">
        <f t="shared" ca="1" si="135"/>
        <v>50000000</v>
      </c>
      <c r="J115" s="258">
        <f t="shared" ca="1" si="135"/>
        <v>50000000</v>
      </c>
      <c r="K115" s="258">
        <f t="shared" ca="1" si="135"/>
        <v>50000000</v>
      </c>
      <c r="L115" s="258">
        <f t="shared" ca="1" si="135"/>
        <v>50000000</v>
      </c>
      <c r="M115" s="258">
        <f t="shared" ca="1" si="135"/>
        <v>50000000</v>
      </c>
      <c r="N115" s="258">
        <f t="shared" ca="1" si="135"/>
        <v>50000000</v>
      </c>
      <c r="O115" s="258">
        <f t="shared" ca="1" si="135"/>
        <v>50000000</v>
      </c>
      <c r="P115" s="1087">
        <f t="shared" ca="1" si="135"/>
        <v>50000000</v>
      </c>
      <c r="Q115" s="258">
        <f t="shared" si="21"/>
        <v>0</v>
      </c>
      <c r="R115" s="1086">
        <f t="shared" ref="R115:AC115" ca="1" si="136">IF(ISBLANK(R114),0,R46+Q115)</f>
        <v>0</v>
      </c>
      <c r="S115" s="258">
        <f t="shared" ca="1" si="136"/>
        <v>0</v>
      </c>
      <c r="T115" s="258">
        <f t="shared" ca="1" si="136"/>
        <v>0</v>
      </c>
      <c r="U115" s="258">
        <f t="shared" ca="1" si="136"/>
        <v>0</v>
      </c>
      <c r="V115" s="258">
        <f t="shared" ca="1" si="136"/>
        <v>0</v>
      </c>
      <c r="W115" s="258">
        <f t="shared" ca="1" si="136"/>
        <v>0</v>
      </c>
      <c r="X115" s="258">
        <f t="shared" ca="1" si="136"/>
        <v>0</v>
      </c>
      <c r="Y115" s="258">
        <f t="shared" ca="1" si="136"/>
        <v>0</v>
      </c>
      <c r="Z115" s="258">
        <f t="shared" ca="1" si="136"/>
        <v>0</v>
      </c>
      <c r="AA115" s="258">
        <f t="shared" ca="1" si="136"/>
        <v>0</v>
      </c>
      <c r="AB115" s="258">
        <f t="shared" ca="1" si="136"/>
        <v>0</v>
      </c>
      <c r="AC115" s="1087">
        <f t="shared" ca="1" si="136"/>
        <v>0</v>
      </c>
      <c r="AD115" s="258">
        <f t="shared" si="18"/>
        <v>0</v>
      </c>
      <c r="AE115" s="1086">
        <f t="shared" ref="AE115:AP115" ca="1" si="137">IF(ISBLANK(AE114),0,AE46+AD115)</f>
        <v>0</v>
      </c>
      <c r="AF115" s="258">
        <f t="shared" ca="1" si="137"/>
        <v>0</v>
      </c>
      <c r="AG115" s="258">
        <f t="shared" ca="1" si="137"/>
        <v>0</v>
      </c>
      <c r="AH115" s="258">
        <f t="shared" ca="1" si="137"/>
        <v>0</v>
      </c>
      <c r="AI115" s="258">
        <f t="shared" ca="1" si="137"/>
        <v>0</v>
      </c>
      <c r="AJ115" s="258">
        <f t="shared" ca="1" si="137"/>
        <v>0</v>
      </c>
      <c r="AK115" s="258">
        <f t="shared" ca="1" si="137"/>
        <v>0</v>
      </c>
      <c r="AL115" s="258">
        <f t="shared" ca="1" si="137"/>
        <v>0</v>
      </c>
      <c r="AM115" s="258">
        <f t="shared" ca="1" si="137"/>
        <v>0</v>
      </c>
      <c r="AN115" s="258">
        <f t="shared" ca="1" si="137"/>
        <v>0</v>
      </c>
      <c r="AO115" s="258">
        <f t="shared" ca="1" si="137"/>
        <v>0</v>
      </c>
      <c r="AP115" s="1087">
        <f t="shared" ca="1" si="137"/>
        <v>0</v>
      </c>
      <c r="AQ115" s="1111"/>
      <c r="AR115" s="1112"/>
      <c r="AS115" s="1112"/>
      <c r="AT115" s="1112"/>
      <c r="AU115" s="1112"/>
      <c r="AV115" s="1113"/>
    </row>
    <row r="116" spans="1:48" ht="14.25" x14ac:dyDescent="0.2">
      <c r="A116" s="1091" t="s">
        <v>259</v>
      </c>
      <c r="B116" s="258"/>
      <c r="C116" s="258"/>
      <c r="D116" s="258"/>
      <c r="E116" s="1086">
        <f t="shared" ref="E116:P116" ca="1" si="138">IF(ISBLANK(E115),0,E47+D116)</f>
        <v>0</v>
      </c>
      <c r="F116" s="258">
        <f t="shared" ca="1" si="138"/>
        <v>0</v>
      </c>
      <c r="G116" s="258">
        <f t="shared" ca="1" si="138"/>
        <v>8500000</v>
      </c>
      <c r="H116" s="258">
        <f t="shared" ca="1" si="138"/>
        <v>27500000</v>
      </c>
      <c r="I116" s="258">
        <f t="shared" ca="1" si="138"/>
        <v>35100000</v>
      </c>
      <c r="J116" s="258">
        <f t="shared" ca="1" si="138"/>
        <v>35100000</v>
      </c>
      <c r="K116" s="258">
        <f t="shared" ca="1" si="138"/>
        <v>45300000</v>
      </c>
      <c r="L116" s="258">
        <f t="shared" ca="1" si="138"/>
        <v>45300000</v>
      </c>
      <c r="M116" s="258">
        <f t="shared" ca="1" si="138"/>
        <v>45300000</v>
      </c>
      <c r="N116" s="258">
        <f t="shared" ca="1" si="138"/>
        <v>45300000</v>
      </c>
      <c r="O116" s="258">
        <f t="shared" ca="1" si="138"/>
        <v>45300000</v>
      </c>
      <c r="P116" s="1087">
        <f t="shared" ca="1" si="138"/>
        <v>45300000</v>
      </c>
      <c r="Q116" s="258">
        <f t="shared" si="21"/>
        <v>0</v>
      </c>
      <c r="R116" s="1086">
        <f t="shared" ref="R116:AC116" ca="1" si="139">IF(ISBLANK(R115),0,R47+Q116)</f>
        <v>0</v>
      </c>
      <c r="S116" s="258">
        <f t="shared" ca="1" si="139"/>
        <v>5500000</v>
      </c>
      <c r="T116" s="258">
        <f t="shared" ca="1" si="139"/>
        <v>5500000</v>
      </c>
      <c r="U116" s="258">
        <f t="shared" ca="1" si="139"/>
        <v>5500000</v>
      </c>
      <c r="V116" s="258">
        <f t="shared" ca="1" si="139"/>
        <v>5500000</v>
      </c>
      <c r="W116" s="258">
        <f t="shared" ca="1" si="139"/>
        <v>5500000</v>
      </c>
      <c r="X116" s="258">
        <f t="shared" ca="1" si="139"/>
        <v>5500000</v>
      </c>
      <c r="Y116" s="258">
        <f t="shared" ca="1" si="139"/>
        <v>5500000</v>
      </c>
      <c r="Z116" s="258">
        <f t="shared" ca="1" si="139"/>
        <v>5500000</v>
      </c>
      <c r="AA116" s="258">
        <f t="shared" ca="1" si="139"/>
        <v>5500000</v>
      </c>
      <c r="AB116" s="258">
        <f t="shared" ca="1" si="139"/>
        <v>5500000</v>
      </c>
      <c r="AC116" s="1087">
        <f t="shared" ca="1" si="139"/>
        <v>9500000</v>
      </c>
      <c r="AD116" s="258">
        <f t="shared" si="18"/>
        <v>0</v>
      </c>
      <c r="AE116" s="1086">
        <f t="shared" ref="AE116:AP116" ca="1" si="140">IF(ISBLANK(AE115),0,AE47+AD116)</f>
        <v>0</v>
      </c>
      <c r="AF116" s="258">
        <f t="shared" ca="1" si="140"/>
        <v>0</v>
      </c>
      <c r="AG116" s="258">
        <f t="shared" ca="1" si="140"/>
        <v>0</v>
      </c>
      <c r="AH116" s="258">
        <f t="shared" ca="1" si="140"/>
        <v>0</v>
      </c>
      <c r="AI116" s="258">
        <f t="shared" ca="1" si="140"/>
        <v>0</v>
      </c>
      <c r="AJ116" s="258">
        <f t="shared" ca="1" si="140"/>
        <v>0</v>
      </c>
      <c r="AK116" s="258">
        <f t="shared" ca="1" si="140"/>
        <v>0</v>
      </c>
      <c r="AL116" s="258">
        <f t="shared" ca="1" si="140"/>
        <v>0</v>
      </c>
      <c r="AM116" s="258">
        <f t="shared" ca="1" si="140"/>
        <v>0</v>
      </c>
      <c r="AN116" s="258">
        <f t="shared" ca="1" si="140"/>
        <v>0</v>
      </c>
      <c r="AO116" s="258">
        <f t="shared" ca="1" si="140"/>
        <v>0</v>
      </c>
      <c r="AP116" s="1087">
        <f t="shared" ca="1" si="140"/>
        <v>0</v>
      </c>
      <c r="AQ116" s="1111"/>
      <c r="AR116" s="1112"/>
      <c r="AS116" s="1112"/>
      <c r="AT116" s="1112"/>
      <c r="AU116" s="1112"/>
      <c r="AV116" s="1113"/>
    </row>
    <row r="117" spans="1:48" ht="14.25" x14ac:dyDescent="0.2">
      <c r="A117" s="1085" t="s">
        <v>260</v>
      </c>
      <c r="B117" s="1092"/>
      <c r="C117" s="1092"/>
      <c r="D117" s="1092"/>
      <c r="E117" s="1093">
        <f t="shared" ref="E117:P117" ca="1" si="141">IF(ISBLANK(E116),0,E48+D117)</f>
        <v>432250000</v>
      </c>
      <c r="F117" s="1092">
        <f t="shared" ca="1" si="141"/>
        <v>564500000</v>
      </c>
      <c r="G117" s="1092">
        <f t="shared" ca="1" si="141"/>
        <v>795406000</v>
      </c>
      <c r="H117" s="1092">
        <f t="shared" ca="1" si="141"/>
        <v>967624000</v>
      </c>
      <c r="I117" s="1092">
        <f t="shared" ca="1" si="141"/>
        <v>1151090000</v>
      </c>
      <c r="J117" s="1092">
        <f t="shared" ca="1" si="141"/>
        <v>2313552000</v>
      </c>
      <c r="K117" s="1092">
        <f t="shared" ca="1" si="141"/>
        <v>3296378000</v>
      </c>
      <c r="L117" s="1092">
        <f t="shared" ca="1" si="141"/>
        <v>4180057600</v>
      </c>
      <c r="M117" s="1092">
        <f t="shared" ca="1" si="141"/>
        <v>4974237200</v>
      </c>
      <c r="N117" s="1092">
        <f t="shared" ca="1" si="141"/>
        <v>5966709400</v>
      </c>
      <c r="O117" s="1092">
        <f t="shared" ca="1" si="141"/>
        <v>7387693600</v>
      </c>
      <c r="P117" s="1094">
        <f t="shared" ca="1" si="141"/>
        <v>8809677800</v>
      </c>
      <c r="Q117" s="1092">
        <f t="shared" si="21"/>
        <v>0</v>
      </c>
      <c r="R117" s="1093">
        <f t="shared" ref="R117:AC117" ca="1" si="142">IF(ISBLANK(R116),0,R48+Q117)</f>
        <v>1427339600</v>
      </c>
      <c r="S117" s="1092">
        <f t="shared" ca="1" si="142"/>
        <v>2483397200</v>
      </c>
      <c r="T117" s="1092">
        <f t="shared" ca="1" si="142"/>
        <v>3311056800</v>
      </c>
      <c r="U117" s="1092">
        <f t="shared" ca="1" si="142"/>
        <v>4146000000</v>
      </c>
      <c r="V117" s="1092">
        <f t="shared" ca="1" si="142"/>
        <v>5209134000</v>
      </c>
      <c r="W117" s="1092">
        <f t="shared" ca="1" si="142"/>
        <v>6346433200</v>
      </c>
      <c r="X117" s="1092">
        <f t="shared" ca="1" si="142"/>
        <v>7628847200</v>
      </c>
      <c r="Y117" s="1092">
        <f t="shared" ca="1" si="142"/>
        <v>8618933200</v>
      </c>
      <c r="Z117" s="1092">
        <f t="shared" ca="1" si="142"/>
        <v>9609019200</v>
      </c>
      <c r="AA117" s="1092">
        <f t="shared" ca="1" si="142"/>
        <v>10898255300</v>
      </c>
      <c r="AB117" s="1092">
        <f t="shared" ca="1" si="142"/>
        <v>13472741700</v>
      </c>
      <c r="AC117" s="1094">
        <f t="shared" ca="1" si="142"/>
        <v>15707273500</v>
      </c>
      <c r="AD117" s="1092">
        <f t="shared" si="18"/>
        <v>0</v>
      </c>
      <c r="AE117" s="1093">
        <f t="shared" ref="AE117:AP117" ca="1" si="143">IF(ISBLANK(AE116),0,AE48+AD117)</f>
        <v>2352929100</v>
      </c>
      <c r="AF117" s="1092">
        <f t="shared" ca="1" si="143"/>
        <v>3954765200</v>
      </c>
      <c r="AG117" s="1092">
        <f t="shared" ca="1" si="143"/>
        <v>5175380300</v>
      </c>
      <c r="AH117" s="1092">
        <f t="shared" ca="1" si="143"/>
        <v>6562647100</v>
      </c>
      <c r="AI117" s="1092">
        <f t="shared" ca="1" si="143"/>
        <v>8669713100</v>
      </c>
      <c r="AJ117" s="1092">
        <f t="shared" ca="1" si="143"/>
        <v>10544599900</v>
      </c>
      <c r="AK117" s="1092">
        <f t="shared" ca="1" si="143"/>
        <v>12338160400</v>
      </c>
      <c r="AL117" s="1092">
        <f t="shared" ca="1" si="143"/>
        <v>13874704400</v>
      </c>
      <c r="AM117" s="1092">
        <f t="shared" ca="1" si="143"/>
        <v>15444789200</v>
      </c>
      <c r="AN117" s="1092">
        <f t="shared" ca="1" si="143"/>
        <v>17501744900</v>
      </c>
      <c r="AO117" s="1092">
        <f t="shared" ca="1" si="143"/>
        <v>20491274900</v>
      </c>
      <c r="AP117" s="1094">
        <f t="shared" ca="1" si="143"/>
        <v>23087096300</v>
      </c>
      <c r="AQ117" s="1111"/>
      <c r="AR117" s="1112"/>
      <c r="AS117" s="1112"/>
      <c r="AT117" s="1112"/>
      <c r="AU117" s="1112"/>
      <c r="AV117" s="1113"/>
    </row>
    <row r="118" spans="1:48" ht="14.25" x14ac:dyDescent="0.2">
      <c r="A118" s="1085"/>
      <c r="B118" s="258"/>
      <c r="C118" s="258"/>
      <c r="D118" s="258"/>
      <c r="E118" s="1086">
        <f t="shared" ref="E118:P118" ca="1" si="144">IF(ISBLANK(E117),0,E49+D118)</f>
        <v>0</v>
      </c>
      <c r="F118" s="258">
        <f t="shared" ca="1" si="144"/>
        <v>0</v>
      </c>
      <c r="G118" s="258">
        <f t="shared" ca="1" si="144"/>
        <v>0</v>
      </c>
      <c r="H118" s="258">
        <f t="shared" ca="1" si="144"/>
        <v>0</v>
      </c>
      <c r="I118" s="258">
        <f t="shared" ca="1" si="144"/>
        <v>0</v>
      </c>
      <c r="J118" s="258">
        <f t="shared" ca="1" si="144"/>
        <v>0</v>
      </c>
      <c r="K118" s="258">
        <f t="shared" ca="1" si="144"/>
        <v>0</v>
      </c>
      <c r="L118" s="258">
        <f t="shared" ca="1" si="144"/>
        <v>0</v>
      </c>
      <c r="M118" s="258">
        <f t="shared" ca="1" si="144"/>
        <v>0</v>
      </c>
      <c r="N118" s="258">
        <f t="shared" ca="1" si="144"/>
        <v>0</v>
      </c>
      <c r="O118" s="258">
        <f t="shared" ca="1" si="144"/>
        <v>0</v>
      </c>
      <c r="P118" s="1087">
        <f t="shared" ca="1" si="144"/>
        <v>0</v>
      </c>
      <c r="Q118" s="258">
        <f t="shared" si="21"/>
        <v>0</v>
      </c>
      <c r="R118" s="1086">
        <f t="shared" ref="R118:AC118" ca="1" si="145">IF(ISBLANK(R117),0,R49+Q118)</f>
        <v>0</v>
      </c>
      <c r="S118" s="258">
        <f t="shared" ca="1" si="145"/>
        <v>0</v>
      </c>
      <c r="T118" s="258">
        <f t="shared" ca="1" si="145"/>
        <v>0</v>
      </c>
      <c r="U118" s="258">
        <f t="shared" ca="1" si="145"/>
        <v>0</v>
      </c>
      <c r="V118" s="258">
        <f t="shared" ca="1" si="145"/>
        <v>0</v>
      </c>
      <c r="W118" s="258">
        <f t="shared" ca="1" si="145"/>
        <v>0</v>
      </c>
      <c r="X118" s="258">
        <f t="shared" ca="1" si="145"/>
        <v>0</v>
      </c>
      <c r="Y118" s="258">
        <f t="shared" ca="1" si="145"/>
        <v>0</v>
      </c>
      <c r="Z118" s="258">
        <f t="shared" ca="1" si="145"/>
        <v>0</v>
      </c>
      <c r="AA118" s="258">
        <f t="shared" ca="1" si="145"/>
        <v>0</v>
      </c>
      <c r="AB118" s="258">
        <f t="shared" ca="1" si="145"/>
        <v>0</v>
      </c>
      <c r="AC118" s="1087">
        <f t="shared" ca="1" si="145"/>
        <v>0</v>
      </c>
      <c r="AD118" s="258">
        <f t="shared" si="18"/>
        <v>0</v>
      </c>
      <c r="AE118" s="1086">
        <f t="shared" ref="AE118:AP118" ca="1" si="146">IF(ISBLANK(AE117),0,AE49+AD118)</f>
        <v>0</v>
      </c>
      <c r="AF118" s="258">
        <f t="shared" ca="1" si="146"/>
        <v>0</v>
      </c>
      <c r="AG118" s="258">
        <f t="shared" ca="1" si="146"/>
        <v>0</v>
      </c>
      <c r="AH118" s="258">
        <f t="shared" ca="1" si="146"/>
        <v>0</v>
      </c>
      <c r="AI118" s="258">
        <f t="shared" ca="1" si="146"/>
        <v>0</v>
      </c>
      <c r="AJ118" s="258">
        <f t="shared" ca="1" si="146"/>
        <v>0</v>
      </c>
      <c r="AK118" s="258">
        <f t="shared" ca="1" si="146"/>
        <v>0</v>
      </c>
      <c r="AL118" s="258">
        <f t="shared" ca="1" si="146"/>
        <v>0</v>
      </c>
      <c r="AM118" s="258">
        <f t="shared" ca="1" si="146"/>
        <v>0</v>
      </c>
      <c r="AN118" s="258">
        <f t="shared" ca="1" si="146"/>
        <v>0</v>
      </c>
      <c r="AO118" s="258">
        <f t="shared" ca="1" si="146"/>
        <v>0</v>
      </c>
      <c r="AP118" s="1087">
        <f t="shared" ca="1" si="146"/>
        <v>0</v>
      </c>
      <c r="AQ118" s="1111"/>
      <c r="AR118" s="1112"/>
      <c r="AS118" s="1112"/>
      <c r="AT118" s="1112"/>
      <c r="AU118" s="1112"/>
      <c r="AV118" s="1113"/>
    </row>
    <row r="119" spans="1:48" ht="14.25" x14ac:dyDescent="0.2">
      <c r="A119" s="1099" t="s">
        <v>388</v>
      </c>
      <c r="B119" s="1100"/>
      <c r="C119" s="1100"/>
      <c r="D119" s="1100"/>
      <c r="E119" s="1101">
        <f t="shared" ref="E119:P119" ca="1" si="147">IF(ISBLANK(E118),0,E50+D119)</f>
        <v>-672250000</v>
      </c>
      <c r="F119" s="1101">
        <f t="shared" ca="1" si="147"/>
        <v>-1270248206.1317677</v>
      </c>
      <c r="G119" s="1101">
        <f t="shared" ca="1" si="147"/>
        <v>-2358811526.893198</v>
      </c>
      <c r="H119" s="1101">
        <f t="shared" ca="1" si="147"/>
        <v>-3685604358.850996</v>
      </c>
      <c r="I119" s="1101">
        <f t="shared" ca="1" si="147"/>
        <v>-5202261743.1784019</v>
      </c>
      <c r="J119" s="1101">
        <f t="shared" ca="1" si="147"/>
        <v>-4782435680.5560923</v>
      </c>
      <c r="K119" s="1101">
        <f t="shared" ca="1" si="147"/>
        <v>-4311228128.6969919</v>
      </c>
      <c r="L119" s="1101">
        <f t="shared" ca="1" si="147"/>
        <v>-3322909176.8378925</v>
      </c>
      <c r="M119" s="1101">
        <f t="shared" ca="1" si="147"/>
        <v>-2225522436.3290863</v>
      </c>
      <c r="N119" s="1101">
        <f t="shared" ca="1" si="147"/>
        <v>-1167686084.469986</v>
      </c>
      <c r="O119" s="1101">
        <f t="shared" ca="1" si="147"/>
        <v>-518233943.96117973</v>
      </c>
      <c r="P119" s="1101">
        <f t="shared" ca="1" si="147"/>
        <v>101910407.89792061</v>
      </c>
      <c r="Q119" s="1101">
        <f t="shared" si="21"/>
        <v>0</v>
      </c>
      <c r="R119" s="1093">
        <f t="shared" ref="R119:AC119" ca="1" si="148">IF(ISBLANK(R118),0,R50+Q119)</f>
        <v>34118951.859099388</v>
      </c>
      <c r="S119" s="1092">
        <f t="shared" ca="1" si="148"/>
        <v>469153269.66731834</v>
      </c>
      <c r="T119" s="1092">
        <f t="shared" ca="1" si="148"/>
        <v>996642221.52641773</v>
      </c>
      <c r="U119" s="1092">
        <f t="shared" ca="1" si="148"/>
        <v>2292965362.035224</v>
      </c>
      <c r="V119" s="1092">
        <f t="shared" ca="1" si="148"/>
        <v>3340969913.8943233</v>
      </c>
      <c r="W119" s="1092">
        <f t="shared" ca="1" si="148"/>
        <v>4334447054.4031296</v>
      </c>
      <c r="X119" s="1092">
        <f t="shared" ca="1" si="148"/>
        <v>5311151606.2622299</v>
      </c>
      <c r="Y119" s="1092">
        <f t="shared" ca="1" si="148"/>
        <v>6580184158.1213293</v>
      </c>
      <c r="Z119" s="1092">
        <f t="shared" ca="1" si="148"/>
        <v>7868854498.6301355</v>
      </c>
      <c r="AA119" s="1092">
        <f t="shared" ca="1" si="148"/>
        <v>9014456950.4892349</v>
      </c>
      <c r="AB119" s="1092">
        <f t="shared" ca="1" si="148"/>
        <v>10505776890.998041</v>
      </c>
      <c r="AC119" s="1092">
        <f t="shared" ca="1" si="148"/>
        <v>12330703642.857141</v>
      </c>
      <c r="AD119" s="1092">
        <f t="shared" si="18"/>
        <v>0</v>
      </c>
      <c r="AE119" s="1093">
        <f t="shared" ref="AE119:AP119" ca="1" si="149">IF(ISBLANK(AE118),0,AE50+AD119)</f>
        <v>985909451.85910034</v>
      </c>
      <c r="AF119" s="1092">
        <f t="shared" ca="1" si="149"/>
        <v>2712095269.6673183</v>
      </c>
      <c r="AG119" s="1092">
        <f t="shared" ca="1" si="149"/>
        <v>4756458721.5264187</v>
      </c>
      <c r="AH119" s="1092">
        <f t="shared" ca="1" si="149"/>
        <v>8006148262.0352249</v>
      </c>
      <c r="AI119" s="1092">
        <f t="shared" ca="1" si="149"/>
        <v>10515910813.894325</v>
      </c>
      <c r="AJ119" s="1092">
        <f t="shared" ca="1" si="149"/>
        <v>13277350354.403131</v>
      </c>
      <c r="AK119" s="1092">
        <f t="shared" ca="1" si="149"/>
        <v>16384258406.262232</v>
      </c>
      <c r="AL119" s="1092">
        <f t="shared" ca="1" si="149"/>
        <v>19747902958.12133</v>
      </c>
      <c r="AM119" s="1092">
        <f t="shared" ca="1" si="149"/>
        <v>23257344498.630135</v>
      </c>
      <c r="AN119" s="1092">
        <f t="shared" ca="1" si="149"/>
        <v>26503827350.489235</v>
      </c>
      <c r="AO119" s="1092">
        <f t="shared" ca="1" si="149"/>
        <v>28876143690.998039</v>
      </c>
      <c r="AP119" s="1094">
        <f t="shared" ca="1" si="149"/>
        <v>31678730842.85714</v>
      </c>
      <c r="AQ119" s="1111"/>
      <c r="AR119" s="1112"/>
      <c r="AS119" s="1112"/>
      <c r="AT119" s="1112"/>
      <c r="AU119" s="1112"/>
      <c r="AV119" s="1113"/>
    </row>
    <row r="120" spans="1:48" ht="12.75" x14ac:dyDescent="0.2">
      <c r="A120" s="1102"/>
      <c r="B120" s="989"/>
      <c r="C120" s="989"/>
      <c r="D120" s="989"/>
      <c r="E120" s="1103">
        <f t="shared" ref="E120:P120" ca="1" si="150">IF(ISBLANK(E119),0,E51+D120)</f>
        <v>0</v>
      </c>
      <c r="F120" s="258">
        <f t="shared" ca="1" si="150"/>
        <v>0</v>
      </c>
      <c r="G120" s="258">
        <f t="shared" ca="1" si="150"/>
        <v>0</v>
      </c>
      <c r="H120" s="258">
        <f t="shared" ca="1" si="150"/>
        <v>0</v>
      </c>
      <c r="I120" s="258">
        <f t="shared" ca="1" si="150"/>
        <v>0</v>
      </c>
      <c r="J120" s="258">
        <f t="shared" ca="1" si="150"/>
        <v>0</v>
      </c>
      <c r="K120" s="258">
        <f t="shared" ca="1" si="150"/>
        <v>0</v>
      </c>
      <c r="L120" s="258">
        <f t="shared" ca="1" si="150"/>
        <v>0</v>
      </c>
      <c r="M120" s="258">
        <f t="shared" ca="1" si="150"/>
        <v>0</v>
      </c>
      <c r="N120" s="258">
        <f t="shared" ca="1" si="150"/>
        <v>0</v>
      </c>
      <c r="O120" s="258">
        <f t="shared" ca="1" si="150"/>
        <v>0</v>
      </c>
      <c r="P120" s="258">
        <f t="shared" ca="1" si="150"/>
        <v>0</v>
      </c>
      <c r="Q120" s="258">
        <f t="shared" si="21"/>
        <v>0</v>
      </c>
      <c r="R120" s="1086">
        <f t="shared" ref="R120:AC120" ca="1" si="151">IF(ISBLANK(R119),0,R51+Q120)</f>
        <v>0</v>
      </c>
      <c r="S120" s="258">
        <f t="shared" ca="1" si="151"/>
        <v>0</v>
      </c>
      <c r="T120" s="258">
        <f t="shared" ca="1" si="151"/>
        <v>0</v>
      </c>
      <c r="U120" s="258">
        <f t="shared" ca="1" si="151"/>
        <v>0</v>
      </c>
      <c r="V120" s="258">
        <f t="shared" ca="1" si="151"/>
        <v>0</v>
      </c>
      <c r="W120" s="258">
        <f t="shared" ca="1" si="151"/>
        <v>0</v>
      </c>
      <c r="X120" s="258">
        <f t="shared" ca="1" si="151"/>
        <v>0</v>
      </c>
      <c r="Y120" s="258">
        <f t="shared" ca="1" si="151"/>
        <v>0</v>
      </c>
      <c r="Z120" s="258">
        <f t="shared" ca="1" si="151"/>
        <v>0</v>
      </c>
      <c r="AA120" s="258">
        <f t="shared" ca="1" si="151"/>
        <v>0</v>
      </c>
      <c r="AB120" s="258">
        <f t="shared" ca="1" si="151"/>
        <v>0</v>
      </c>
      <c r="AC120" s="258">
        <f t="shared" ca="1" si="151"/>
        <v>0</v>
      </c>
      <c r="AD120" s="258">
        <f t="shared" si="18"/>
        <v>0</v>
      </c>
      <c r="AE120" s="1086">
        <f t="shared" ref="AE120:AP120" ca="1" si="152">IF(ISBLANK(AE119),0,AE51+AD120)</f>
        <v>0</v>
      </c>
      <c r="AF120" s="258">
        <f t="shared" ca="1" si="152"/>
        <v>0</v>
      </c>
      <c r="AG120" s="258">
        <f t="shared" ca="1" si="152"/>
        <v>0</v>
      </c>
      <c r="AH120" s="258">
        <f t="shared" ca="1" si="152"/>
        <v>0</v>
      </c>
      <c r="AI120" s="258">
        <f t="shared" ca="1" si="152"/>
        <v>0</v>
      </c>
      <c r="AJ120" s="258">
        <f t="shared" ca="1" si="152"/>
        <v>0</v>
      </c>
      <c r="AK120" s="258">
        <f t="shared" ca="1" si="152"/>
        <v>0</v>
      </c>
      <c r="AL120" s="258">
        <f t="shared" ca="1" si="152"/>
        <v>0</v>
      </c>
      <c r="AM120" s="258">
        <f t="shared" ca="1" si="152"/>
        <v>0</v>
      </c>
      <c r="AN120" s="258">
        <f t="shared" ca="1" si="152"/>
        <v>0</v>
      </c>
      <c r="AO120" s="258">
        <f t="shared" ca="1" si="152"/>
        <v>0</v>
      </c>
      <c r="AP120" s="1087">
        <f t="shared" ca="1" si="152"/>
        <v>0</v>
      </c>
      <c r="AQ120" s="1111"/>
      <c r="AR120" s="1112"/>
      <c r="AS120" s="1112"/>
      <c r="AT120" s="1112"/>
      <c r="AU120" s="1112"/>
      <c r="AV120" s="1113"/>
    </row>
    <row r="121" spans="1:48" ht="14.25" x14ac:dyDescent="0.2">
      <c r="A121" s="1099" t="s">
        <v>389</v>
      </c>
      <c r="B121" s="989"/>
      <c r="C121" s="989"/>
      <c r="D121" s="989"/>
      <c r="E121" s="258">
        <f t="shared" ref="E121:P121" ca="1" si="153">IF(ISBLANK(E120),0,E52+D121)</f>
        <v>0</v>
      </c>
      <c r="F121" s="258">
        <f t="shared" ca="1" si="153"/>
        <v>0</v>
      </c>
      <c r="G121" s="258">
        <f t="shared" ca="1" si="153"/>
        <v>0</v>
      </c>
      <c r="H121" s="258">
        <f t="shared" ca="1" si="153"/>
        <v>0</v>
      </c>
      <c r="I121" s="258">
        <f t="shared" ca="1" si="153"/>
        <v>0</v>
      </c>
      <c r="J121" s="258">
        <f t="shared" ca="1" si="153"/>
        <v>0</v>
      </c>
      <c r="K121" s="258">
        <f t="shared" ca="1" si="153"/>
        <v>0</v>
      </c>
      <c r="L121" s="258">
        <f t="shared" ca="1" si="153"/>
        <v>0</v>
      </c>
      <c r="M121" s="258">
        <f t="shared" ca="1" si="153"/>
        <v>0</v>
      </c>
      <c r="N121" s="258">
        <f t="shared" ca="1" si="153"/>
        <v>0</v>
      </c>
      <c r="O121" s="258">
        <f t="shared" ca="1" si="153"/>
        <v>0</v>
      </c>
      <c r="P121" s="258">
        <f t="shared" ca="1" si="153"/>
        <v>0</v>
      </c>
      <c r="Q121" s="258">
        <f t="shared" si="21"/>
        <v>0</v>
      </c>
      <c r="R121" s="1086">
        <f t="shared" ref="R121:AC121" ca="1" si="154">IF(ISBLANK(R120),0,R52+Q121)</f>
        <v>0</v>
      </c>
      <c r="S121" s="258">
        <f t="shared" ca="1" si="154"/>
        <v>0</v>
      </c>
      <c r="T121" s="258">
        <f t="shared" ca="1" si="154"/>
        <v>0</v>
      </c>
      <c r="U121" s="258">
        <f t="shared" ca="1" si="154"/>
        <v>0</v>
      </c>
      <c r="V121" s="258">
        <f t="shared" ca="1" si="154"/>
        <v>0</v>
      </c>
      <c r="W121" s="258">
        <f t="shared" ca="1" si="154"/>
        <v>0</v>
      </c>
      <c r="X121" s="258">
        <f t="shared" ca="1" si="154"/>
        <v>0</v>
      </c>
      <c r="Y121" s="258">
        <f t="shared" ca="1" si="154"/>
        <v>0</v>
      </c>
      <c r="Z121" s="258">
        <f t="shared" ca="1" si="154"/>
        <v>0</v>
      </c>
      <c r="AA121" s="258">
        <f t="shared" ca="1" si="154"/>
        <v>0</v>
      </c>
      <c r="AB121" s="258">
        <f t="shared" ca="1" si="154"/>
        <v>0</v>
      </c>
      <c r="AC121" s="258">
        <f t="shared" ca="1" si="154"/>
        <v>0</v>
      </c>
      <c r="AD121" s="258">
        <f t="shared" si="18"/>
        <v>0</v>
      </c>
      <c r="AE121" s="1086">
        <f t="shared" ref="AE121:AP121" ca="1" si="155">IF(ISBLANK(AE120),0,AE52+AD121)</f>
        <v>0</v>
      </c>
      <c r="AF121" s="258">
        <f t="shared" ca="1" si="155"/>
        <v>0</v>
      </c>
      <c r="AG121" s="258">
        <f t="shared" ca="1" si="155"/>
        <v>0</v>
      </c>
      <c r="AH121" s="258">
        <f t="shared" ca="1" si="155"/>
        <v>0</v>
      </c>
      <c r="AI121" s="258">
        <f t="shared" ca="1" si="155"/>
        <v>0</v>
      </c>
      <c r="AJ121" s="258">
        <f t="shared" ca="1" si="155"/>
        <v>0</v>
      </c>
      <c r="AK121" s="258">
        <f t="shared" ca="1" si="155"/>
        <v>0</v>
      </c>
      <c r="AL121" s="258">
        <f t="shared" ca="1" si="155"/>
        <v>0</v>
      </c>
      <c r="AM121" s="258">
        <f t="shared" ca="1" si="155"/>
        <v>0</v>
      </c>
      <c r="AN121" s="258">
        <f t="shared" ca="1" si="155"/>
        <v>0</v>
      </c>
      <c r="AO121" s="258">
        <f t="shared" ca="1" si="155"/>
        <v>0</v>
      </c>
      <c r="AP121" s="1087">
        <f t="shared" ca="1" si="155"/>
        <v>0</v>
      </c>
      <c r="AQ121" s="1111"/>
      <c r="AR121" s="1112"/>
      <c r="AS121" s="1112"/>
      <c r="AT121" s="1112"/>
      <c r="AU121" s="1112"/>
      <c r="AV121" s="1113"/>
    </row>
    <row r="122" spans="1:48" ht="14.25" x14ac:dyDescent="0.2">
      <c r="A122" s="1104" t="s">
        <v>390</v>
      </c>
      <c r="B122" s="989"/>
      <c r="C122" s="989"/>
      <c r="D122" s="989"/>
      <c r="E122" s="258">
        <f t="shared" ref="E122:P122" ca="1" si="156">IF(ISBLANK(E121),0,E53+D122)</f>
        <v>0</v>
      </c>
      <c r="F122" s="258">
        <f t="shared" ca="1" si="156"/>
        <v>0</v>
      </c>
      <c r="G122" s="258">
        <f t="shared" ca="1" si="156"/>
        <v>0</v>
      </c>
      <c r="H122" s="258">
        <f t="shared" ca="1" si="156"/>
        <v>0</v>
      </c>
      <c r="I122" s="258">
        <f t="shared" ca="1" si="156"/>
        <v>0</v>
      </c>
      <c r="J122" s="258">
        <f t="shared" ca="1" si="156"/>
        <v>1052639999.9999996</v>
      </c>
      <c r="K122" s="258">
        <f t="shared" ca="1" si="156"/>
        <v>2017559999.9999993</v>
      </c>
      <c r="L122" s="258">
        <f t="shared" ca="1" si="156"/>
        <v>2894759999.999999</v>
      </c>
      <c r="M122" s="258">
        <f t="shared" ca="1" si="156"/>
        <v>3684239999.999999</v>
      </c>
      <c r="N122" s="258">
        <f t="shared" ca="1" si="156"/>
        <v>4385999999.999999</v>
      </c>
      <c r="O122" s="258">
        <f t="shared" ca="1" si="156"/>
        <v>5000039999.999999</v>
      </c>
      <c r="P122" s="258">
        <f t="shared" ca="1" si="156"/>
        <v>5526359999.999999</v>
      </c>
      <c r="Q122" s="258">
        <f t="shared" si="21"/>
        <v>0</v>
      </c>
      <c r="R122" s="1086">
        <f t="shared" ref="R122:AC122" ca="1" si="157">IF(ISBLANK(R121),0,R53+Q122)</f>
        <v>438599999.9999997</v>
      </c>
      <c r="S122" s="258">
        <f t="shared" ca="1" si="157"/>
        <v>789479999.9999994</v>
      </c>
      <c r="T122" s="258">
        <f t="shared" ca="1" si="157"/>
        <v>1052639999.999999</v>
      </c>
      <c r="U122" s="258">
        <f t="shared" ca="1" si="157"/>
        <v>1228079999.9999988</v>
      </c>
      <c r="V122" s="258">
        <f t="shared" ca="1" si="157"/>
        <v>1315799999.9999986</v>
      </c>
      <c r="W122" s="258">
        <f t="shared" ca="1" si="157"/>
        <v>2368439999.9999981</v>
      </c>
      <c r="X122" s="258">
        <f t="shared" ca="1" si="157"/>
        <v>3333359999.9999976</v>
      </c>
      <c r="Y122" s="258">
        <f t="shared" ca="1" si="157"/>
        <v>4210559999.9999971</v>
      </c>
      <c r="Z122" s="258">
        <f t="shared" ca="1" si="157"/>
        <v>5000039999.9999962</v>
      </c>
      <c r="AA122" s="258">
        <f t="shared" ca="1" si="157"/>
        <v>5701799999.9999952</v>
      </c>
      <c r="AB122" s="258">
        <f t="shared" ca="1" si="157"/>
        <v>6315839999.9999943</v>
      </c>
      <c r="AC122" s="258">
        <f t="shared" ca="1" si="157"/>
        <v>6842159999.9999933</v>
      </c>
      <c r="AD122" s="258">
        <f t="shared" si="18"/>
        <v>0</v>
      </c>
      <c r="AE122" s="1086">
        <f t="shared" ref="AE122:AP122" ca="1" si="158">IF(ISBLANK(AE121),0,AE53+AD122)</f>
        <v>438599999.9999994</v>
      </c>
      <c r="AF122" s="258">
        <f t="shared" ca="1" si="158"/>
        <v>789479999.99999881</v>
      </c>
      <c r="AG122" s="258">
        <f t="shared" ca="1" si="158"/>
        <v>1052639999.9999982</v>
      </c>
      <c r="AH122" s="258">
        <f t="shared" ca="1" si="158"/>
        <v>1228079999.9999976</v>
      </c>
      <c r="AI122" s="258">
        <f t="shared" ca="1" si="158"/>
        <v>1315799999.9999971</v>
      </c>
      <c r="AJ122" s="258">
        <f t="shared" ca="1" si="158"/>
        <v>2368439999.9999962</v>
      </c>
      <c r="AK122" s="258">
        <f t="shared" ca="1" si="158"/>
        <v>3333359999.9999952</v>
      </c>
      <c r="AL122" s="258">
        <f t="shared" ca="1" si="158"/>
        <v>4210559999.9999943</v>
      </c>
      <c r="AM122" s="258">
        <f t="shared" ca="1" si="158"/>
        <v>5000039999.9999933</v>
      </c>
      <c r="AN122" s="258">
        <f t="shared" ca="1" si="158"/>
        <v>5701799999.9999924</v>
      </c>
      <c r="AO122" s="258">
        <f t="shared" ca="1" si="158"/>
        <v>6315839999.9999914</v>
      </c>
      <c r="AP122" s="1087">
        <f t="shared" ca="1" si="158"/>
        <v>6842159999.9999905</v>
      </c>
      <c r="AQ122" s="1111"/>
      <c r="AR122" s="1112"/>
      <c r="AS122" s="1112"/>
      <c r="AT122" s="1112"/>
      <c r="AU122" s="1112"/>
      <c r="AV122" s="1113"/>
    </row>
    <row r="123" spans="1:48" ht="14.25" x14ac:dyDescent="0.2">
      <c r="A123" s="1104" t="s">
        <v>391</v>
      </c>
      <c r="B123" s="989"/>
      <c r="C123" s="989"/>
      <c r="D123" s="989"/>
      <c r="E123" s="258">
        <f t="shared" ref="E123:P123" ca="1" si="159">IF(ISBLANK(E122),0,E54+D123)</f>
        <v>0</v>
      </c>
      <c r="F123" s="258">
        <f t="shared" ca="1" si="159"/>
        <v>0</v>
      </c>
      <c r="G123" s="258">
        <f t="shared" ca="1" si="159"/>
        <v>0</v>
      </c>
      <c r="H123" s="258">
        <f t="shared" ca="1" si="159"/>
        <v>0</v>
      </c>
      <c r="I123" s="258">
        <f t="shared" ca="1" si="159"/>
        <v>0</v>
      </c>
      <c r="J123" s="258">
        <f t="shared" ca="1" si="159"/>
        <v>0</v>
      </c>
      <c r="K123" s="258">
        <f t="shared" ca="1" si="159"/>
        <v>0</v>
      </c>
      <c r="L123" s="258">
        <f t="shared" ca="1" si="159"/>
        <v>0</v>
      </c>
      <c r="M123" s="258">
        <f t="shared" ca="1" si="159"/>
        <v>0</v>
      </c>
      <c r="N123" s="258">
        <f t="shared" ca="1" si="159"/>
        <v>0</v>
      </c>
      <c r="O123" s="258">
        <f t="shared" ca="1" si="159"/>
        <v>0</v>
      </c>
      <c r="P123" s="258">
        <f t="shared" ca="1" si="159"/>
        <v>0</v>
      </c>
      <c r="Q123" s="258">
        <f t="shared" si="21"/>
        <v>0</v>
      </c>
      <c r="R123" s="1086">
        <f t="shared" ref="R123:AC123" ca="1" si="160">IF(ISBLANK(R122),0,R54+Q123)</f>
        <v>0</v>
      </c>
      <c r="S123" s="258">
        <f t="shared" ca="1" si="160"/>
        <v>0</v>
      </c>
      <c r="T123" s="258">
        <f t="shared" ca="1" si="160"/>
        <v>0</v>
      </c>
      <c r="U123" s="258">
        <f t="shared" ca="1" si="160"/>
        <v>0</v>
      </c>
      <c r="V123" s="258">
        <f t="shared" ca="1" si="160"/>
        <v>0</v>
      </c>
      <c r="W123" s="258">
        <f t="shared" ca="1" si="160"/>
        <v>0</v>
      </c>
      <c r="X123" s="258">
        <f t="shared" ca="1" si="160"/>
        <v>0</v>
      </c>
      <c r="Y123" s="258">
        <f t="shared" ca="1" si="160"/>
        <v>0</v>
      </c>
      <c r="Z123" s="258">
        <f t="shared" ca="1" si="160"/>
        <v>0</v>
      </c>
      <c r="AA123" s="258">
        <f t="shared" ca="1" si="160"/>
        <v>0</v>
      </c>
      <c r="AB123" s="258">
        <f t="shared" ca="1" si="160"/>
        <v>0</v>
      </c>
      <c r="AC123" s="258">
        <f t="shared" ca="1" si="160"/>
        <v>0</v>
      </c>
      <c r="AD123" s="258">
        <f t="shared" si="18"/>
        <v>0</v>
      </c>
      <c r="AE123" s="1086">
        <f t="shared" ref="AE123:AP123" ca="1" si="161">IF(ISBLANK(AE122),0,AE54+AD123)</f>
        <v>1097708728.5714293</v>
      </c>
      <c r="AF123" s="258">
        <f t="shared" ca="1" si="161"/>
        <v>1097708728.5714293</v>
      </c>
      <c r="AG123" s="258">
        <f t="shared" ca="1" si="161"/>
        <v>1097708728.5714293</v>
      </c>
      <c r="AH123" s="258">
        <f t="shared" ca="1" si="161"/>
        <v>1097708728.5714293</v>
      </c>
      <c r="AI123" s="258">
        <f t="shared" ca="1" si="161"/>
        <v>1097708728.5714293</v>
      </c>
      <c r="AJ123" s="258">
        <f t="shared" ca="1" si="161"/>
        <v>1097708728.5714293</v>
      </c>
      <c r="AK123" s="258">
        <f t="shared" ca="1" si="161"/>
        <v>1097708728.5714293</v>
      </c>
      <c r="AL123" s="258">
        <f t="shared" ca="1" si="161"/>
        <v>1097708728.5714293</v>
      </c>
      <c r="AM123" s="258">
        <f t="shared" ca="1" si="161"/>
        <v>1097708728.5714293</v>
      </c>
      <c r="AN123" s="258">
        <f t="shared" ca="1" si="161"/>
        <v>1097708728.5714293</v>
      </c>
      <c r="AO123" s="258">
        <f t="shared" ca="1" si="161"/>
        <v>1097708728.5714293</v>
      </c>
      <c r="AP123" s="1087">
        <f t="shared" ca="1" si="161"/>
        <v>1097708728.5714293</v>
      </c>
      <c r="AQ123" s="1111"/>
      <c r="AR123" s="1112"/>
      <c r="AS123" s="1112"/>
      <c r="AT123" s="1112"/>
      <c r="AU123" s="1112"/>
      <c r="AV123" s="1113"/>
    </row>
    <row r="124" spans="1:48" ht="14.25" x14ac:dyDescent="0.2">
      <c r="A124" s="1099" t="s">
        <v>392</v>
      </c>
      <c r="B124" s="1105"/>
      <c r="C124" s="1105"/>
      <c r="D124" s="1105"/>
      <c r="E124" s="1092">
        <f t="shared" ref="E124:P124" ca="1" si="162">IF(ISBLANK(E123),0,E55+D124)</f>
        <v>0</v>
      </c>
      <c r="F124" s="1092">
        <f t="shared" ca="1" si="162"/>
        <v>0</v>
      </c>
      <c r="G124" s="1092">
        <f t="shared" ca="1" si="162"/>
        <v>0</v>
      </c>
      <c r="H124" s="1092">
        <f t="shared" ca="1" si="162"/>
        <v>0</v>
      </c>
      <c r="I124" s="1092">
        <f t="shared" ca="1" si="162"/>
        <v>0</v>
      </c>
      <c r="J124" s="1092">
        <f t="shared" ca="1" si="162"/>
        <v>1052639999.9999996</v>
      </c>
      <c r="K124" s="1092">
        <f t="shared" ca="1" si="162"/>
        <v>2017559999.9999993</v>
      </c>
      <c r="L124" s="1092">
        <f t="shared" ca="1" si="162"/>
        <v>2894759999.999999</v>
      </c>
      <c r="M124" s="1092">
        <f t="shared" ca="1" si="162"/>
        <v>3684239999.999999</v>
      </c>
      <c r="N124" s="1092">
        <f t="shared" ca="1" si="162"/>
        <v>4385999999.999999</v>
      </c>
      <c r="O124" s="1092">
        <f t="shared" ca="1" si="162"/>
        <v>5000039999.999999</v>
      </c>
      <c r="P124" s="1092">
        <f t="shared" ca="1" si="162"/>
        <v>5526359999.999999</v>
      </c>
      <c r="Q124" s="1092">
        <f t="shared" si="21"/>
        <v>0</v>
      </c>
      <c r="R124" s="1093">
        <f t="shared" ref="R124:AC124" ca="1" si="163">IF(ISBLANK(R123),0,R55+Q124)</f>
        <v>438599999.9999997</v>
      </c>
      <c r="S124" s="1092">
        <f t="shared" ca="1" si="163"/>
        <v>789479999.9999994</v>
      </c>
      <c r="T124" s="1092">
        <f t="shared" ca="1" si="163"/>
        <v>1052639999.999999</v>
      </c>
      <c r="U124" s="1092">
        <f t="shared" ca="1" si="163"/>
        <v>1228079999.9999988</v>
      </c>
      <c r="V124" s="1092">
        <f t="shared" ca="1" si="163"/>
        <v>1315799999.9999986</v>
      </c>
      <c r="W124" s="1092">
        <f t="shared" ca="1" si="163"/>
        <v>2368439999.9999981</v>
      </c>
      <c r="X124" s="1092">
        <f t="shared" ca="1" si="163"/>
        <v>3333359999.9999976</v>
      </c>
      <c r="Y124" s="1092">
        <f t="shared" ca="1" si="163"/>
        <v>4210559999.9999971</v>
      </c>
      <c r="Z124" s="1092">
        <f t="shared" ca="1" si="163"/>
        <v>5000039999.9999962</v>
      </c>
      <c r="AA124" s="1092">
        <f t="shared" ca="1" si="163"/>
        <v>5701799999.9999952</v>
      </c>
      <c r="AB124" s="1092">
        <f t="shared" ca="1" si="163"/>
        <v>6315839999.9999943</v>
      </c>
      <c r="AC124" s="1092">
        <f t="shared" ca="1" si="163"/>
        <v>6842159999.9999933</v>
      </c>
      <c r="AD124" s="1092">
        <f t="shared" si="18"/>
        <v>0</v>
      </c>
      <c r="AE124" s="1093">
        <f t="shared" ref="AE124:AP124" ca="1" si="164">IF(ISBLANK(AE123),0,AE55+AD124)</f>
        <v>1536308728.5714288</v>
      </c>
      <c r="AF124" s="1092">
        <f t="shared" ca="1" si="164"/>
        <v>1887188728.5714283</v>
      </c>
      <c r="AG124" s="1092">
        <f t="shared" ca="1" si="164"/>
        <v>2150348728.5714278</v>
      </c>
      <c r="AH124" s="1092">
        <f t="shared" ca="1" si="164"/>
        <v>2325788728.5714273</v>
      </c>
      <c r="AI124" s="1092">
        <f t="shared" ca="1" si="164"/>
        <v>2413508728.5714269</v>
      </c>
      <c r="AJ124" s="1092">
        <f t="shared" ca="1" si="164"/>
        <v>3466148728.5714259</v>
      </c>
      <c r="AK124" s="1092">
        <f t="shared" ca="1" si="164"/>
        <v>4431068728.5714254</v>
      </c>
      <c r="AL124" s="1092">
        <f t="shared" ca="1" si="164"/>
        <v>5308268728.5714245</v>
      </c>
      <c r="AM124" s="1092">
        <f t="shared" ca="1" si="164"/>
        <v>6097748728.5714235</v>
      </c>
      <c r="AN124" s="1092">
        <f t="shared" ca="1" si="164"/>
        <v>6799508728.5714226</v>
      </c>
      <c r="AO124" s="1092">
        <f t="shared" ca="1" si="164"/>
        <v>7413548728.5714216</v>
      </c>
      <c r="AP124" s="1094">
        <f t="shared" ca="1" si="164"/>
        <v>7939868728.5714207</v>
      </c>
      <c r="AQ124" s="1111"/>
      <c r="AR124" s="1112"/>
      <c r="AS124" s="1112"/>
      <c r="AT124" s="1112"/>
      <c r="AU124" s="1112"/>
      <c r="AV124" s="1113"/>
    </row>
    <row r="125" spans="1:48" ht="12.75" x14ac:dyDescent="0.2">
      <c r="A125" s="1102"/>
      <c r="B125" s="989"/>
      <c r="C125" s="989"/>
      <c r="D125" s="989"/>
      <c r="E125" s="258">
        <f t="shared" ref="E125:P125" ca="1" si="165">IF(ISBLANK(E124),0,E56+D125)</f>
        <v>0</v>
      </c>
      <c r="F125" s="258">
        <f t="shared" ca="1" si="165"/>
        <v>0</v>
      </c>
      <c r="G125" s="258">
        <f t="shared" ca="1" si="165"/>
        <v>0</v>
      </c>
      <c r="H125" s="258">
        <f t="shared" ca="1" si="165"/>
        <v>0</v>
      </c>
      <c r="I125" s="258">
        <f t="shared" ca="1" si="165"/>
        <v>0</v>
      </c>
      <c r="J125" s="258">
        <f t="shared" ca="1" si="165"/>
        <v>0</v>
      </c>
      <c r="K125" s="258">
        <f t="shared" ca="1" si="165"/>
        <v>0</v>
      </c>
      <c r="L125" s="258">
        <f t="shared" ca="1" si="165"/>
        <v>0</v>
      </c>
      <c r="M125" s="258">
        <f t="shared" ca="1" si="165"/>
        <v>0</v>
      </c>
      <c r="N125" s="258">
        <f t="shared" ca="1" si="165"/>
        <v>0</v>
      </c>
      <c r="O125" s="258">
        <f t="shared" ca="1" si="165"/>
        <v>0</v>
      </c>
      <c r="P125" s="258">
        <f t="shared" ca="1" si="165"/>
        <v>0</v>
      </c>
      <c r="Q125" s="258">
        <f t="shared" si="21"/>
        <v>0</v>
      </c>
      <c r="R125" s="1086">
        <f t="shared" ref="R125:AC125" ca="1" si="166">IF(ISBLANK(R124),0,R56+Q125)</f>
        <v>0</v>
      </c>
      <c r="S125" s="258">
        <f t="shared" ca="1" si="166"/>
        <v>0</v>
      </c>
      <c r="T125" s="258">
        <f t="shared" ca="1" si="166"/>
        <v>0</v>
      </c>
      <c r="U125" s="258">
        <f t="shared" ca="1" si="166"/>
        <v>0</v>
      </c>
      <c r="V125" s="258">
        <f t="shared" ca="1" si="166"/>
        <v>0</v>
      </c>
      <c r="W125" s="258">
        <f t="shared" ca="1" si="166"/>
        <v>0</v>
      </c>
      <c r="X125" s="258">
        <f t="shared" ca="1" si="166"/>
        <v>0</v>
      </c>
      <c r="Y125" s="258">
        <f t="shared" ca="1" si="166"/>
        <v>0</v>
      </c>
      <c r="Z125" s="258">
        <f t="shared" ca="1" si="166"/>
        <v>0</v>
      </c>
      <c r="AA125" s="258">
        <f t="shared" ca="1" si="166"/>
        <v>0</v>
      </c>
      <c r="AB125" s="258">
        <f t="shared" ca="1" si="166"/>
        <v>0</v>
      </c>
      <c r="AC125" s="258">
        <f t="shared" ca="1" si="166"/>
        <v>0</v>
      </c>
      <c r="AD125" s="258">
        <f t="shared" si="18"/>
        <v>0</v>
      </c>
      <c r="AE125" s="1086">
        <f t="shared" ref="AE125:AP125" ca="1" si="167">IF(ISBLANK(AE124),0,AE56+AD125)</f>
        <v>0</v>
      </c>
      <c r="AF125" s="258">
        <f t="shared" ca="1" si="167"/>
        <v>0</v>
      </c>
      <c r="AG125" s="258">
        <f t="shared" ca="1" si="167"/>
        <v>0</v>
      </c>
      <c r="AH125" s="258">
        <f t="shared" ca="1" si="167"/>
        <v>0</v>
      </c>
      <c r="AI125" s="258">
        <f t="shared" ca="1" si="167"/>
        <v>0</v>
      </c>
      <c r="AJ125" s="258">
        <f t="shared" ca="1" si="167"/>
        <v>0</v>
      </c>
      <c r="AK125" s="258">
        <f t="shared" ca="1" si="167"/>
        <v>0</v>
      </c>
      <c r="AL125" s="258">
        <f t="shared" ca="1" si="167"/>
        <v>0</v>
      </c>
      <c r="AM125" s="258">
        <f t="shared" ca="1" si="167"/>
        <v>0</v>
      </c>
      <c r="AN125" s="258">
        <f t="shared" ca="1" si="167"/>
        <v>0</v>
      </c>
      <c r="AO125" s="258">
        <f t="shared" ca="1" si="167"/>
        <v>0</v>
      </c>
      <c r="AP125" s="1087">
        <f t="shared" ca="1" si="167"/>
        <v>0</v>
      </c>
      <c r="AQ125" s="1111"/>
      <c r="AR125" s="1112"/>
      <c r="AS125" s="1112"/>
      <c r="AT125" s="1112"/>
      <c r="AU125" s="1112"/>
      <c r="AV125" s="1113"/>
    </row>
    <row r="126" spans="1:48" ht="14.25" x14ac:dyDescent="0.2">
      <c r="A126" s="1099" t="s">
        <v>393</v>
      </c>
      <c r="B126" s="1106"/>
      <c r="C126" s="1106"/>
      <c r="D126" s="1107"/>
      <c r="E126" s="1108">
        <f t="shared" ref="E126:P126" ca="1" si="168">IF(ISBLANK(E125),0,E57+D126)</f>
        <v>-672250000</v>
      </c>
      <c r="F126" s="1108">
        <f t="shared" ca="1" si="168"/>
        <v>-1270248206.1317677</v>
      </c>
      <c r="G126" s="1108">
        <f t="shared" ca="1" si="168"/>
        <v>-2358811526.893198</v>
      </c>
      <c r="H126" s="1108">
        <f t="shared" ca="1" si="168"/>
        <v>-3685604358.850996</v>
      </c>
      <c r="I126" s="1108">
        <f t="shared" ca="1" si="168"/>
        <v>-5202261743.1784019</v>
      </c>
      <c r="J126" s="1108">
        <f t="shared" ca="1" si="168"/>
        <v>-5835075680.5560923</v>
      </c>
      <c r="K126" s="1108">
        <f t="shared" ca="1" si="168"/>
        <v>-6328788128.6969919</v>
      </c>
      <c r="L126" s="1108">
        <f t="shared" ca="1" si="168"/>
        <v>-6217669176.8378925</v>
      </c>
      <c r="M126" s="1108">
        <f t="shared" ca="1" si="168"/>
        <v>-5909762436.3290863</v>
      </c>
      <c r="N126" s="1108">
        <f t="shared" ca="1" si="168"/>
        <v>-5553686084.469986</v>
      </c>
      <c r="O126" s="1108">
        <f t="shared" ca="1" si="168"/>
        <v>-5518273943.9611797</v>
      </c>
      <c r="P126" s="1108">
        <f t="shared" ca="1" si="168"/>
        <v>-5424449592.1020794</v>
      </c>
      <c r="Q126" s="1108">
        <f t="shared" si="21"/>
        <v>0</v>
      </c>
      <c r="R126" s="1108">
        <f t="shared" ref="R126:AC126" ca="1" si="169">IF(ISBLANK(R125),0,R57+Q126)</f>
        <v>-404481048.14090031</v>
      </c>
      <c r="S126" s="1108">
        <f t="shared" ca="1" si="169"/>
        <v>-320326730.33268106</v>
      </c>
      <c r="T126" s="1108">
        <f t="shared" ca="1" si="169"/>
        <v>-55997778.473581374</v>
      </c>
      <c r="U126" s="1108">
        <f t="shared" ca="1" si="169"/>
        <v>1064885362.0352252</v>
      </c>
      <c r="V126" s="1108">
        <f t="shared" ca="1" si="169"/>
        <v>2025169913.8943248</v>
      </c>
      <c r="W126" s="1108">
        <f t="shared" ca="1" si="169"/>
        <v>1966007054.4031315</v>
      </c>
      <c r="X126" s="1108">
        <f t="shared" ca="1" si="169"/>
        <v>1977791606.2622323</v>
      </c>
      <c r="Y126" s="1108">
        <f t="shared" ca="1" si="169"/>
        <v>2369624158.1213322</v>
      </c>
      <c r="Z126" s="1108">
        <f t="shared" ca="1" si="169"/>
        <v>2868814498.6301389</v>
      </c>
      <c r="AA126" s="1108">
        <f t="shared" ca="1" si="169"/>
        <v>3312656950.4892387</v>
      </c>
      <c r="AB126" s="1108">
        <f t="shared" ca="1" si="169"/>
        <v>4189936890.9980454</v>
      </c>
      <c r="AC126" s="1108">
        <f t="shared" ca="1" si="169"/>
        <v>5488543642.8571463</v>
      </c>
      <c r="AD126" s="1108">
        <f t="shared" si="18"/>
        <v>0</v>
      </c>
      <c r="AE126" s="1109">
        <f t="shared" ref="AE126:AP126" ca="1" si="170">IF(ISBLANK(AE125),0,AE57+AD126)</f>
        <v>-550399276.71232843</v>
      </c>
      <c r="AF126" s="1108">
        <f t="shared" ca="1" si="170"/>
        <v>824906541.09589005</v>
      </c>
      <c r="AG126" s="1108">
        <f t="shared" ca="1" si="170"/>
        <v>2606109992.9549909</v>
      </c>
      <c r="AH126" s="1108">
        <f t="shared" ca="1" si="170"/>
        <v>5680359533.4637976</v>
      </c>
      <c r="AI126" s="1108">
        <f t="shared" ca="1" si="170"/>
        <v>8102402085.3228989</v>
      </c>
      <c r="AJ126" s="1108">
        <f t="shared" ca="1" si="170"/>
        <v>9811201625.831707</v>
      </c>
      <c r="AK126" s="1108">
        <f t="shared" ca="1" si="170"/>
        <v>11953189677.690807</v>
      </c>
      <c r="AL126" s="1108">
        <f t="shared" ca="1" si="170"/>
        <v>14439634229.549908</v>
      </c>
      <c r="AM126" s="1108">
        <f t="shared" ca="1" si="170"/>
        <v>17159595770.058716</v>
      </c>
      <c r="AN126" s="1108">
        <f t="shared" ca="1" si="170"/>
        <v>19704318621.917816</v>
      </c>
      <c r="AO126" s="1108">
        <f t="shared" ca="1" si="170"/>
        <v>21462594962.42662</v>
      </c>
      <c r="AP126" s="1110">
        <f t="shared" ca="1" si="170"/>
        <v>23738862114.285721</v>
      </c>
      <c r="AQ126" s="1111"/>
      <c r="AR126" s="1112"/>
      <c r="AS126" s="1112"/>
      <c r="AT126" s="1112"/>
      <c r="AU126" s="1112"/>
      <c r="AV126" s="1113"/>
    </row>
    <row r="127" spans="1:48" ht="12.75" x14ac:dyDescent="0.2">
      <c r="A127" s="223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1123"/>
      <c r="AR127" s="1123"/>
      <c r="AS127" s="1123"/>
      <c r="AT127" s="1123"/>
      <c r="AU127" s="1123"/>
      <c r="AV127" s="1124"/>
    </row>
    <row r="128" spans="1:48" ht="12.75" x14ac:dyDescent="0.2">
      <c r="A128" s="227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  <c r="AB128" s="225"/>
      <c r="AC128" s="225"/>
      <c r="AD128" s="225"/>
      <c r="AE128" s="225"/>
      <c r="AF128" s="225"/>
      <c r="AG128" s="225"/>
      <c r="AH128" s="225"/>
      <c r="AI128" s="225"/>
      <c r="AJ128" s="225"/>
      <c r="AK128" s="225"/>
      <c r="AL128" s="225"/>
      <c r="AM128" s="225"/>
      <c r="AN128" s="225"/>
      <c r="AO128" s="225"/>
      <c r="AP128" s="225"/>
      <c r="AQ128" s="1125"/>
      <c r="AR128" s="1125"/>
      <c r="AS128" s="1125"/>
      <c r="AT128" s="1125"/>
      <c r="AU128" s="1125"/>
      <c r="AV128" s="1126"/>
    </row>
    <row r="129" spans="1:48" ht="12.75" x14ac:dyDescent="0.2">
      <c r="A129" s="227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127"/>
      <c r="AR129" s="1125"/>
      <c r="AS129" s="1125"/>
      <c r="AT129" s="1125"/>
      <c r="AU129" s="1125"/>
      <c r="AV129" s="1126"/>
    </row>
    <row r="130" spans="1:48" ht="12.75" x14ac:dyDescent="0.2">
      <c r="A130" s="227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127"/>
      <c r="AR130" s="1125"/>
      <c r="AS130" s="1125"/>
      <c r="AT130" s="1125"/>
      <c r="AU130" s="1125"/>
      <c r="AV130" s="1126"/>
    </row>
    <row r="131" spans="1:48" ht="12.75" x14ac:dyDescent="0.2">
      <c r="A131" s="227"/>
      <c r="B131" s="802"/>
      <c r="C131" s="802"/>
      <c r="D131" s="802"/>
      <c r="E131" s="1128"/>
      <c r="F131" s="1128"/>
      <c r="G131" s="1128"/>
      <c r="H131" s="1128"/>
      <c r="I131" s="1128"/>
      <c r="J131" s="1128"/>
      <c r="K131" s="1128"/>
      <c r="L131" s="1128"/>
      <c r="M131" s="1128"/>
      <c r="N131" s="1128"/>
      <c r="O131" s="1128"/>
      <c r="P131" s="1128"/>
      <c r="Q131" s="1128"/>
      <c r="R131" s="353"/>
      <c r="S131" s="353"/>
      <c r="T131" s="353"/>
      <c r="U131" s="353"/>
      <c r="V131" s="353"/>
      <c r="W131" s="353"/>
      <c r="X131" s="353"/>
      <c r="Y131" s="353"/>
      <c r="Z131" s="353"/>
      <c r="AA131" s="353"/>
      <c r="AB131" s="353"/>
      <c r="AC131" s="353"/>
      <c r="AD131" s="353"/>
      <c r="AE131" s="353"/>
      <c r="AF131" s="353"/>
      <c r="AG131" s="353"/>
      <c r="AH131" s="353"/>
      <c r="AI131" s="353"/>
      <c r="AJ131" s="353"/>
      <c r="AK131" s="353"/>
      <c r="AL131" s="353"/>
      <c r="AM131" s="353"/>
      <c r="AN131" s="353"/>
      <c r="AO131" s="353"/>
      <c r="AP131" s="353"/>
      <c r="AQ131" s="1127"/>
      <c r="AR131" s="1129"/>
      <c r="AS131" s="1129"/>
      <c r="AT131" s="1129"/>
      <c r="AU131" s="1129"/>
      <c r="AV131" s="1130"/>
    </row>
    <row r="132" spans="1:48" ht="18" x14ac:dyDescent="0.25">
      <c r="A132" s="1119" t="s">
        <v>397</v>
      </c>
      <c r="B132" s="243"/>
      <c r="C132" s="243"/>
      <c r="D132" s="243"/>
      <c r="E132" s="1077" t="s">
        <v>118</v>
      </c>
      <c r="F132" s="1078" t="s">
        <v>119</v>
      </c>
      <c r="G132" s="1078" t="s">
        <v>120</v>
      </c>
      <c r="H132" s="1131" t="s">
        <v>121</v>
      </c>
      <c r="I132" s="1078" t="s">
        <v>118</v>
      </c>
      <c r="J132" s="1078" t="s">
        <v>119</v>
      </c>
      <c r="K132" s="1078" t="s">
        <v>120</v>
      </c>
      <c r="L132" s="1131" t="s">
        <v>121</v>
      </c>
      <c r="M132" s="1078" t="s">
        <v>118</v>
      </c>
      <c r="N132" s="1078" t="s">
        <v>119</v>
      </c>
      <c r="O132" s="1078" t="s">
        <v>120</v>
      </c>
      <c r="P132" s="1078" t="s">
        <v>121</v>
      </c>
      <c r="Q132" s="1078"/>
      <c r="R132" s="353"/>
      <c r="S132" s="353"/>
      <c r="T132" s="353"/>
      <c r="U132" s="353"/>
      <c r="V132" s="353"/>
      <c r="W132" s="353"/>
      <c r="X132" s="353"/>
      <c r="Y132" s="353"/>
      <c r="Z132" s="353"/>
      <c r="AA132" s="353"/>
      <c r="AB132" s="353"/>
      <c r="AC132" s="353"/>
      <c r="AD132" s="353"/>
      <c r="AE132" s="353"/>
      <c r="AF132" s="353"/>
      <c r="AG132" s="353"/>
      <c r="AH132" s="353"/>
      <c r="AI132" s="353"/>
      <c r="AJ132" s="353"/>
      <c r="AK132" s="353"/>
      <c r="AL132" s="353"/>
      <c r="AM132" s="353"/>
      <c r="AN132" s="353"/>
      <c r="AO132" s="353"/>
      <c r="AP132" s="353"/>
      <c r="AQ132" s="1127"/>
      <c r="AR132" s="1111"/>
      <c r="AS132" s="1112"/>
      <c r="AT132" s="1112"/>
      <c r="AU132" s="1112"/>
      <c r="AV132" s="1113"/>
    </row>
    <row r="133" spans="1:48" ht="18" x14ac:dyDescent="0.25">
      <c r="A133" s="1085" t="s">
        <v>385</v>
      </c>
      <c r="B133" s="258"/>
      <c r="C133" s="258"/>
      <c r="D133" s="258"/>
      <c r="E133" s="1086">
        <f t="shared" ref="E133:E183" si="171">G76</f>
        <v>0</v>
      </c>
      <c r="F133" s="258">
        <f t="shared" ref="F133:F183" si="172">J76</f>
        <v>0</v>
      </c>
      <c r="G133" s="258">
        <f t="shared" ref="G133:G183" si="173">M76</f>
        <v>0</v>
      </c>
      <c r="H133" s="1008">
        <f t="shared" ref="H133:H183" si="174">P76</f>
        <v>0</v>
      </c>
      <c r="I133" s="258">
        <f t="shared" ref="I133:I183" si="175">T76</f>
        <v>0</v>
      </c>
      <c r="J133" s="258">
        <f t="shared" ref="J133:J183" si="176">W76</f>
        <v>0</v>
      </c>
      <c r="K133" s="258">
        <f t="shared" ref="K133:K183" si="177">Z76</f>
        <v>0</v>
      </c>
      <c r="L133" s="1008">
        <f t="shared" ref="L133:L183" si="178">AC76</f>
        <v>0</v>
      </c>
      <c r="M133" s="258">
        <f t="shared" ref="M133:M183" si="179">AG76</f>
        <v>0</v>
      </c>
      <c r="N133" s="258">
        <f t="shared" ref="N133:N183" si="180">AJ76</f>
        <v>0</v>
      </c>
      <c r="O133" s="258">
        <f t="shared" ref="O133:O183" si="181">AM76</f>
        <v>0</v>
      </c>
      <c r="P133" s="1087">
        <f t="shared" ref="P133:P183" si="182">AP76</f>
        <v>0</v>
      </c>
      <c r="Q133" s="1120">
        <f t="shared" ref="Q133:Q183" si="183">IF(ISBLANK(Q132),0,Q76+P133)</f>
        <v>0</v>
      </c>
      <c r="R133" s="784"/>
      <c r="S133" s="784"/>
      <c r="T133" s="784"/>
      <c r="U133" s="784"/>
      <c r="V133" s="784"/>
      <c r="W133" s="784"/>
      <c r="X133" s="784"/>
      <c r="Y133" s="784"/>
      <c r="Z133" s="784"/>
      <c r="AA133" s="784"/>
      <c r="AB133" s="784"/>
      <c r="AC133" s="784"/>
      <c r="AD133" s="784"/>
      <c r="AE133" s="784"/>
      <c r="AF133" s="784"/>
      <c r="AG133" s="784"/>
      <c r="AH133" s="784"/>
      <c r="AI133" s="784"/>
      <c r="AJ133" s="784"/>
      <c r="AK133" s="784"/>
      <c r="AL133" s="784"/>
      <c r="AM133" s="784"/>
      <c r="AN133" s="784"/>
      <c r="AO133" s="784"/>
      <c r="AP133" s="784"/>
      <c r="AQ133" s="1127"/>
      <c r="AR133" s="1111"/>
      <c r="AS133" s="1112"/>
      <c r="AT133" s="1112"/>
      <c r="AU133" s="1112"/>
      <c r="AV133" s="1113"/>
    </row>
    <row r="134" spans="1:48" ht="14.25" x14ac:dyDescent="0.2">
      <c r="A134" s="1091" t="s">
        <v>231</v>
      </c>
      <c r="B134" s="258"/>
      <c r="C134" s="258"/>
      <c r="D134" s="258"/>
      <c r="E134" s="1086">
        <f t="shared" si="171"/>
        <v>0</v>
      </c>
      <c r="F134" s="258">
        <f t="shared" si="172"/>
        <v>7333200000</v>
      </c>
      <c r="G134" s="258">
        <f t="shared" si="173"/>
        <v>31288320000</v>
      </c>
      <c r="H134" s="1008">
        <f t="shared" si="174"/>
        <v>57423030000</v>
      </c>
      <c r="I134" s="258">
        <f t="shared" si="175"/>
        <v>22203300000</v>
      </c>
      <c r="J134" s="258">
        <f t="shared" si="176"/>
        <v>49458360000</v>
      </c>
      <c r="K134" s="258">
        <f t="shared" si="177"/>
        <v>77731920000</v>
      </c>
      <c r="L134" s="1008">
        <f t="shared" si="178"/>
        <v>107309160000</v>
      </c>
      <c r="M134" s="258">
        <f t="shared" si="179"/>
        <v>25645830000</v>
      </c>
      <c r="N134" s="258">
        <f t="shared" si="180"/>
        <v>54224940000</v>
      </c>
      <c r="O134" s="258">
        <f t="shared" si="181"/>
        <v>83720700000</v>
      </c>
      <c r="P134" s="1087">
        <f t="shared" si="182"/>
        <v>114784950000</v>
      </c>
      <c r="Q134" s="258">
        <f t="shared" si="183"/>
        <v>114784950000</v>
      </c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  <c r="AE134" s="229"/>
      <c r="AF134" s="229"/>
      <c r="AG134" s="229"/>
      <c r="AH134" s="229"/>
      <c r="AI134" s="229"/>
      <c r="AJ134" s="229"/>
      <c r="AK134" s="229"/>
      <c r="AL134" s="229"/>
      <c r="AM134" s="229"/>
      <c r="AN134" s="229"/>
      <c r="AO134" s="229"/>
      <c r="AP134" s="229"/>
      <c r="AQ134" s="1132"/>
      <c r="AR134" s="1112"/>
      <c r="AS134" s="1112"/>
      <c r="AT134" s="1112"/>
      <c r="AU134" s="1112"/>
      <c r="AV134" s="1113"/>
    </row>
    <row r="135" spans="1:48" ht="14.25" x14ac:dyDescent="0.2">
      <c r="A135" s="1091" t="s">
        <v>232</v>
      </c>
      <c r="B135" s="258"/>
      <c r="C135" s="258"/>
      <c r="D135" s="258"/>
      <c r="E135" s="1086">
        <f t="shared" si="171"/>
        <v>0</v>
      </c>
      <c r="F135" s="258">
        <f t="shared" si="172"/>
        <v>0</v>
      </c>
      <c r="G135" s="258">
        <f t="shared" si="173"/>
        <v>0</v>
      </c>
      <c r="H135" s="1008">
        <f t="shared" si="174"/>
        <v>0</v>
      </c>
      <c r="I135" s="258">
        <f t="shared" si="175"/>
        <v>0</v>
      </c>
      <c r="J135" s="258">
        <f t="shared" si="176"/>
        <v>0</v>
      </c>
      <c r="K135" s="258">
        <f t="shared" si="177"/>
        <v>0</v>
      </c>
      <c r="L135" s="1008">
        <f t="shared" si="178"/>
        <v>9714600000</v>
      </c>
      <c r="M135" s="258">
        <f t="shared" si="179"/>
        <v>12539030000</v>
      </c>
      <c r="N135" s="258">
        <f t="shared" si="180"/>
        <v>32993660000</v>
      </c>
      <c r="O135" s="258">
        <f t="shared" si="181"/>
        <v>55337240000</v>
      </c>
      <c r="P135" s="1087">
        <f t="shared" si="182"/>
        <v>78976100000</v>
      </c>
      <c r="Q135" s="258">
        <f t="shared" si="183"/>
        <v>78976100000</v>
      </c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1111"/>
      <c r="AR135" s="1112"/>
      <c r="AS135" s="1112"/>
      <c r="AT135" s="1112"/>
      <c r="AU135" s="1112"/>
      <c r="AV135" s="1113"/>
    </row>
    <row r="136" spans="1:48" ht="14.25" x14ac:dyDescent="0.2">
      <c r="A136" s="1085" t="s">
        <v>386</v>
      </c>
      <c r="B136" s="1092"/>
      <c r="C136" s="1092"/>
      <c r="D136" s="1092"/>
      <c r="E136" s="1093">
        <f t="shared" si="171"/>
        <v>0</v>
      </c>
      <c r="F136" s="1092">
        <f t="shared" si="172"/>
        <v>7333200000</v>
      </c>
      <c r="G136" s="1092">
        <f t="shared" si="173"/>
        <v>31288320000</v>
      </c>
      <c r="H136" s="1133">
        <f t="shared" si="174"/>
        <v>57423030000</v>
      </c>
      <c r="I136" s="1092">
        <f t="shared" si="175"/>
        <v>22203300000</v>
      </c>
      <c r="J136" s="1092">
        <f t="shared" si="176"/>
        <v>49458360000</v>
      </c>
      <c r="K136" s="1092">
        <f t="shared" si="177"/>
        <v>77731920000</v>
      </c>
      <c r="L136" s="1133">
        <f t="shared" si="178"/>
        <v>117023760000</v>
      </c>
      <c r="M136" s="1092">
        <f t="shared" si="179"/>
        <v>38184860000</v>
      </c>
      <c r="N136" s="1092">
        <f t="shared" si="180"/>
        <v>87218600000</v>
      </c>
      <c r="O136" s="1092">
        <f t="shared" si="181"/>
        <v>139057940000</v>
      </c>
      <c r="P136" s="1094">
        <f t="shared" si="182"/>
        <v>193761050000</v>
      </c>
      <c r="Q136" s="1092">
        <f t="shared" si="183"/>
        <v>193761050000</v>
      </c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29"/>
      <c r="AQ136" s="1111"/>
      <c r="AR136" s="1112"/>
      <c r="AS136" s="1112"/>
      <c r="AT136" s="1112"/>
      <c r="AU136" s="1112"/>
      <c r="AV136" s="1113"/>
    </row>
    <row r="137" spans="1:48" ht="12.75" x14ac:dyDescent="0.2">
      <c r="A137" s="1087"/>
      <c r="B137" s="258"/>
      <c r="C137" s="258"/>
      <c r="D137" s="258"/>
      <c r="E137" s="1086">
        <f t="shared" si="171"/>
        <v>0</v>
      </c>
      <c r="F137" s="258">
        <f t="shared" si="172"/>
        <v>0</v>
      </c>
      <c r="G137" s="258">
        <f t="shared" si="173"/>
        <v>0</v>
      </c>
      <c r="H137" s="1008">
        <f t="shared" si="174"/>
        <v>0</v>
      </c>
      <c r="I137" s="258">
        <f t="shared" si="175"/>
        <v>0</v>
      </c>
      <c r="J137" s="258">
        <f t="shared" si="176"/>
        <v>0</v>
      </c>
      <c r="K137" s="258">
        <f t="shared" si="177"/>
        <v>0</v>
      </c>
      <c r="L137" s="1008">
        <f t="shared" si="178"/>
        <v>0</v>
      </c>
      <c r="M137" s="258">
        <f t="shared" si="179"/>
        <v>0</v>
      </c>
      <c r="N137" s="258">
        <f t="shared" si="180"/>
        <v>0</v>
      </c>
      <c r="O137" s="258">
        <f t="shared" si="181"/>
        <v>0</v>
      </c>
      <c r="P137" s="1087">
        <f t="shared" si="182"/>
        <v>0</v>
      </c>
      <c r="Q137" s="258">
        <f t="shared" si="183"/>
        <v>0</v>
      </c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  <c r="AD137" s="229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229"/>
      <c r="AQ137" s="1111"/>
      <c r="AR137" s="1112"/>
      <c r="AS137" s="1112"/>
      <c r="AT137" s="1112"/>
      <c r="AU137" s="1112"/>
      <c r="AV137" s="1113"/>
    </row>
    <row r="138" spans="1:48" ht="14.25" x14ac:dyDescent="0.2">
      <c r="A138" s="1085" t="s">
        <v>229</v>
      </c>
      <c r="B138" s="258"/>
      <c r="C138" s="258"/>
      <c r="D138" s="258"/>
      <c r="E138" s="1086">
        <f t="shared" si="171"/>
        <v>0</v>
      </c>
      <c r="F138" s="258">
        <f t="shared" si="172"/>
        <v>0</v>
      </c>
      <c r="G138" s="258">
        <f t="shared" si="173"/>
        <v>0</v>
      </c>
      <c r="H138" s="1008">
        <f t="shared" si="174"/>
        <v>0</v>
      </c>
      <c r="I138" s="258">
        <f t="shared" si="175"/>
        <v>0</v>
      </c>
      <c r="J138" s="258">
        <f t="shared" si="176"/>
        <v>0</v>
      </c>
      <c r="K138" s="258">
        <f t="shared" si="177"/>
        <v>0</v>
      </c>
      <c r="L138" s="1008">
        <f t="shared" si="178"/>
        <v>0</v>
      </c>
      <c r="M138" s="258">
        <f t="shared" si="179"/>
        <v>0</v>
      </c>
      <c r="N138" s="258">
        <f t="shared" si="180"/>
        <v>0</v>
      </c>
      <c r="O138" s="258">
        <f t="shared" si="181"/>
        <v>0</v>
      </c>
      <c r="P138" s="1087">
        <f t="shared" si="182"/>
        <v>0</v>
      </c>
      <c r="Q138" s="258">
        <f t="shared" si="183"/>
        <v>0</v>
      </c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  <c r="AE138" s="229"/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29"/>
      <c r="AQ138" s="1111"/>
      <c r="AR138" s="1112"/>
      <c r="AS138" s="1112"/>
      <c r="AT138" s="1112"/>
      <c r="AU138" s="1112"/>
      <c r="AV138" s="1113"/>
    </row>
    <row r="139" spans="1:48" ht="14.25" x14ac:dyDescent="0.2">
      <c r="A139" s="1091" t="s">
        <v>230</v>
      </c>
      <c r="B139" s="258"/>
      <c r="C139" s="258"/>
      <c r="D139" s="258"/>
      <c r="E139" s="1086">
        <f t="shared" si="171"/>
        <v>0</v>
      </c>
      <c r="F139" s="258">
        <f t="shared" si="172"/>
        <v>0</v>
      </c>
      <c r="G139" s="258">
        <f t="shared" si="173"/>
        <v>0</v>
      </c>
      <c r="H139" s="1008">
        <f t="shared" si="174"/>
        <v>0</v>
      </c>
      <c r="I139" s="258">
        <f t="shared" si="175"/>
        <v>0</v>
      </c>
      <c r="J139" s="258">
        <f t="shared" si="176"/>
        <v>0</v>
      </c>
      <c r="K139" s="258">
        <f t="shared" si="177"/>
        <v>0</v>
      </c>
      <c r="L139" s="1008">
        <f t="shared" si="178"/>
        <v>0</v>
      </c>
      <c r="M139" s="258">
        <f t="shared" si="179"/>
        <v>0</v>
      </c>
      <c r="N139" s="258">
        <f t="shared" si="180"/>
        <v>0</v>
      </c>
      <c r="O139" s="258">
        <f t="shared" si="181"/>
        <v>0</v>
      </c>
      <c r="P139" s="1087">
        <f t="shared" si="182"/>
        <v>0</v>
      </c>
      <c r="Q139" s="258">
        <f t="shared" si="183"/>
        <v>0</v>
      </c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  <c r="AD139" s="229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29"/>
      <c r="AQ139" s="1111"/>
      <c r="AR139" s="1112"/>
      <c r="AS139" s="1112"/>
      <c r="AT139" s="1112"/>
      <c r="AU139" s="1112"/>
      <c r="AV139" s="1113"/>
    </row>
    <row r="140" spans="1:48" ht="14.25" x14ac:dyDescent="0.2">
      <c r="A140" s="1091" t="s">
        <v>231</v>
      </c>
      <c r="B140" s="258"/>
      <c r="C140" s="258"/>
      <c r="D140" s="258"/>
      <c r="E140" s="1086">
        <f t="shared" si="171"/>
        <v>0</v>
      </c>
      <c r="F140" s="258">
        <f t="shared" si="172"/>
        <v>4020000000</v>
      </c>
      <c r="G140" s="258">
        <f t="shared" si="173"/>
        <v>17085000000</v>
      </c>
      <c r="H140" s="1008">
        <f t="shared" si="174"/>
        <v>31305750000</v>
      </c>
      <c r="I140" s="258">
        <f t="shared" si="175"/>
        <v>12100200000</v>
      </c>
      <c r="J140" s="258">
        <f t="shared" si="176"/>
        <v>26934000000</v>
      </c>
      <c r="K140" s="258">
        <f t="shared" si="177"/>
        <v>42330600000</v>
      </c>
      <c r="L140" s="1008">
        <f t="shared" si="178"/>
        <v>58430700000</v>
      </c>
      <c r="M140" s="258">
        <f t="shared" si="179"/>
        <v>13979550000</v>
      </c>
      <c r="N140" s="258">
        <f t="shared" si="180"/>
        <v>29526900000</v>
      </c>
      <c r="O140" s="258">
        <f t="shared" si="181"/>
        <v>45586800000</v>
      </c>
      <c r="P140" s="1087">
        <f t="shared" si="182"/>
        <v>62480850000</v>
      </c>
      <c r="Q140" s="258">
        <f t="shared" si="183"/>
        <v>62480850000</v>
      </c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29"/>
      <c r="AQ140" s="1111"/>
      <c r="AR140" s="1112"/>
      <c r="AS140" s="1112"/>
      <c r="AT140" s="1112"/>
      <c r="AU140" s="1112"/>
      <c r="AV140" s="1113"/>
    </row>
    <row r="141" spans="1:48" ht="14.25" x14ac:dyDescent="0.2">
      <c r="A141" s="1091" t="s">
        <v>232</v>
      </c>
      <c r="B141" s="258"/>
      <c r="C141" s="258"/>
      <c r="D141" s="258"/>
      <c r="E141" s="1086">
        <f t="shared" si="171"/>
        <v>0</v>
      </c>
      <c r="F141" s="258">
        <f t="shared" si="172"/>
        <v>0</v>
      </c>
      <c r="G141" s="258">
        <f t="shared" si="173"/>
        <v>0</v>
      </c>
      <c r="H141" s="1008">
        <f t="shared" si="174"/>
        <v>0</v>
      </c>
      <c r="I141" s="258">
        <f t="shared" si="175"/>
        <v>0</v>
      </c>
      <c r="J141" s="258">
        <f t="shared" si="176"/>
        <v>0</v>
      </c>
      <c r="K141" s="258">
        <f t="shared" si="177"/>
        <v>0</v>
      </c>
      <c r="L141" s="1008">
        <f t="shared" si="178"/>
        <v>6480000000</v>
      </c>
      <c r="M141" s="258">
        <f t="shared" si="179"/>
        <v>8208000000</v>
      </c>
      <c r="N141" s="258">
        <f t="shared" si="180"/>
        <v>21654000000</v>
      </c>
      <c r="O141" s="258">
        <f t="shared" si="181"/>
        <v>36363600000</v>
      </c>
      <c r="P141" s="1087">
        <f t="shared" si="182"/>
        <v>51915600000</v>
      </c>
      <c r="Q141" s="258">
        <f t="shared" si="183"/>
        <v>51915600000</v>
      </c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29"/>
      <c r="AQ141" s="1111"/>
      <c r="AR141" s="1112"/>
      <c r="AS141" s="1112"/>
      <c r="AT141" s="1112"/>
      <c r="AU141" s="1112"/>
      <c r="AV141" s="1113"/>
    </row>
    <row r="142" spans="1:48" ht="14.25" x14ac:dyDescent="0.2">
      <c r="A142" s="1091" t="s">
        <v>233</v>
      </c>
      <c r="B142" s="258"/>
      <c r="C142" s="258"/>
      <c r="D142" s="258"/>
      <c r="E142" s="1086">
        <f t="shared" si="171"/>
        <v>356580086.58008659</v>
      </c>
      <c r="F142" s="258">
        <f t="shared" si="172"/>
        <v>2633542819.499341</v>
      </c>
      <c r="G142" s="258">
        <f t="shared" si="173"/>
        <v>5459417819.499341</v>
      </c>
      <c r="H142" s="1008">
        <f t="shared" si="174"/>
        <v>8343417819.499341</v>
      </c>
      <c r="I142" s="258">
        <f t="shared" si="175"/>
        <v>3008750000</v>
      </c>
      <c r="J142" s="258">
        <f t="shared" si="176"/>
        <v>6194750000</v>
      </c>
      <c r="K142" s="258">
        <f t="shared" si="177"/>
        <v>9380750000</v>
      </c>
      <c r="L142" s="1008">
        <f t="shared" si="178"/>
        <v>12576750000</v>
      </c>
      <c r="M142" s="258">
        <f t="shared" si="179"/>
        <v>3186000000</v>
      </c>
      <c r="N142" s="258">
        <f t="shared" si="180"/>
        <v>6372000000</v>
      </c>
      <c r="O142" s="258">
        <f t="shared" si="181"/>
        <v>9558000000</v>
      </c>
      <c r="P142" s="1087">
        <f t="shared" si="182"/>
        <v>12744000000</v>
      </c>
      <c r="Q142" s="258">
        <f t="shared" si="183"/>
        <v>12744000000</v>
      </c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  <c r="AE142" s="229"/>
      <c r="AF142" s="229"/>
      <c r="AG142" s="229"/>
      <c r="AH142" s="229"/>
      <c r="AI142" s="229"/>
      <c r="AJ142" s="229"/>
      <c r="AK142" s="229"/>
      <c r="AL142" s="229"/>
      <c r="AM142" s="229"/>
      <c r="AN142" s="229"/>
      <c r="AO142" s="229"/>
      <c r="AP142" s="229"/>
      <c r="AQ142" s="1111"/>
      <c r="AR142" s="1112"/>
      <c r="AS142" s="1112"/>
      <c r="AT142" s="1112"/>
      <c r="AU142" s="1112"/>
      <c r="AV142" s="1113"/>
    </row>
    <row r="143" spans="1:48" ht="14.25" x14ac:dyDescent="0.2">
      <c r="A143" s="1091" t="s">
        <v>234</v>
      </c>
      <c r="B143" s="258"/>
      <c r="C143" s="258"/>
      <c r="D143" s="258"/>
      <c r="E143" s="1086">
        <f t="shared" si="171"/>
        <v>720000000</v>
      </c>
      <c r="F143" s="258">
        <f t="shared" si="172"/>
        <v>1440000000</v>
      </c>
      <c r="G143" s="258">
        <f t="shared" si="173"/>
        <v>2160000000</v>
      </c>
      <c r="H143" s="1008">
        <f t="shared" si="174"/>
        <v>2880000000</v>
      </c>
      <c r="I143" s="258">
        <f t="shared" si="175"/>
        <v>720000000</v>
      </c>
      <c r="J143" s="258">
        <f t="shared" si="176"/>
        <v>1440000000</v>
      </c>
      <c r="K143" s="258">
        <f t="shared" si="177"/>
        <v>2160000000</v>
      </c>
      <c r="L143" s="1008">
        <f t="shared" si="178"/>
        <v>2880000000</v>
      </c>
      <c r="M143" s="258">
        <f t="shared" si="179"/>
        <v>720000000</v>
      </c>
      <c r="N143" s="258">
        <f t="shared" si="180"/>
        <v>1440000000</v>
      </c>
      <c r="O143" s="258">
        <f t="shared" si="181"/>
        <v>2160000000</v>
      </c>
      <c r="P143" s="1087">
        <f t="shared" si="182"/>
        <v>2880000000</v>
      </c>
      <c r="Q143" s="258">
        <f t="shared" si="183"/>
        <v>2880000000</v>
      </c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29"/>
      <c r="AQ143" s="1111"/>
      <c r="AR143" s="1112"/>
      <c r="AS143" s="1112"/>
      <c r="AT143" s="1112"/>
      <c r="AU143" s="1112"/>
      <c r="AV143" s="1113"/>
    </row>
    <row r="144" spans="1:48" ht="14.25" x14ac:dyDescent="0.2">
      <c r="A144" s="1091" t="s">
        <v>235</v>
      </c>
      <c r="B144" s="258"/>
      <c r="C144" s="258"/>
      <c r="D144" s="258"/>
      <c r="E144" s="1086">
        <f t="shared" ca="1" si="171"/>
        <v>486825440.31311166</v>
      </c>
      <c r="F144" s="258">
        <f t="shared" ca="1" si="172"/>
        <v>1605360861.0567517</v>
      </c>
      <c r="G144" s="258">
        <f t="shared" ca="1" si="173"/>
        <v>3457117416.8297462</v>
      </c>
      <c r="H144" s="1008">
        <f t="shared" ca="1" si="174"/>
        <v>5308873972.6027403</v>
      </c>
      <c r="I144" s="258">
        <f t="shared" ca="1" si="175"/>
        <v>1811500978.4735816</v>
      </c>
      <c r="J144" s="258">
        <f t="shared" ca="1" si="176"/>
        <v>3643129745.596869</v>
      </c>
      <c r="K144" s="258">
        <f t="shared" ca="1" si="177"/>
        <v>5494886301.3698635</v>
      </c>
      <c r="L144" s="1008">
        <f t="shared" ca="1" si="178"/>
        <v>7346642857.1428585</v>
      </c>
      <c r="M144" s="258">
        <f t="shared" ca="1" si="179"/>
        <v>1811500978.473582</v>
      </c>
      <c r="N144" s="258">
        <f t="shared" ca="1" si="180"/>
        <v>3643129745.5968695</v>
      </c>
      <c r="O144" s="258">
        <f t="shared" ca="1" si="181"/>
        <v>5494886301.3698645</v>
      </c>
      <c r="P144" s="1087">
        <f t="shared" ca="1" si="182"/>
        <v>7346642857.1428585</v>
      </c>
      <c r="Q144" s="258">
        <f t="shared" ca="1" si="183"/>
        <v>7346642857.1428585</v>
      </c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29"/>
      <c r="AQ144" s="1111"/>
      <c r="AR144" s="1112"/>
      <c r="AS144" s="1112"/>
      <c r="AT144" s="1112"/>
      <c r="AU144" s="1112"/>
      <c r="AV144" s="1113"/>
    </row>
    <row r="145" spans="1:48" ht="14.25" x14ac:dyDescent="0.2">
      <c r="A145" s="1091" t="s">
        <v>396</v>
      </c>
      <c r="B145" s="258"/>
      <c r="C145" s="258"/>
      <c r="D145" s="258"/>
      <c r="E145" s="1086">
        <f t="shared" ca="1" si="171"/>
        <v>0</v>
      </c>
      <c r="F145" s="258">
        <f t="shared" ca="1" si="172"/>
        <v>103180000</v>
      </c>
      <c r="G145" s="258">
        <f t="shared" ca="1" si="173"/>
        <v>378070000</v>
      </c>
      <c r="H145" s="1008">
        <f t="shared" ca="1" si="174"/>
        <v>673400000</v>
      </c>
      <c r="I145" s="258">
        <f t="shared" ca="1" si="175"/>
        <v>255150000</v>
      </c>
      <c r="J145" s="258">
        <f t="shared" ca="1" si="176"/>
        <v>565600000</v>
      </c>
      <c r="K145" s="258">
        <f t="shared" ca="1" si="177"/>
        <v>887810000</v>
      </c>
      <c r="L145" s="1008">
        <f t="shared" ca="1" si="178"/>
        <v>1271690000</v>
      </c>
      <c r="M145" s="258">
        <f t="shared" ca="1" si="179"/>
        <v>347970000</v>
      </c>
      <c r="N145" s="258">
        <f t="shared" ca="1" si="180"/>
        <v>760620000</v>
      </c>
      <c r="O145" s="258">
        <f t="shared" ca="1" si="181"/>
        <v>1192520000</v>
      </c>
      <c r="P145" s="1087">
        <f t="shared" ca="1" si="182"/>
        <v>1628130000</v>
      </c>
      <c r="Q145" s="258">
        <f t="shared" ca="1" si="183"/>
        <v>1628130000</v>
      </c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229"/>
      <c r="AQ145" s="1111"/>
      <c r="AR145" s="1112"/>
      <c r="AS145" s="1112"/>
      <c r="AT145" s="1112"/>
      <c r="AU145" s="1112"/>
      <c r="AV145" s="1113"/>
    </row>
    <row r="146" spans="1:48" ht="14.25" x14ac:dyDescent="0.2">
      <c r="A146" s="1085" t="s">
        <v>237</v>
      </c>
      <c r="B146" s="1092"/>
      <c r="C146" s="1092"/>
      <c r="D146" s="1092"/>
      <c r="E146" s="1093">
        <f t="shared" ca="1" si="171"/>
        <v>1563405526.893198</v>
      </c>
      <c r="F146" s="1092">
        <f t="shared" ca="1" si="172"/>
        <v>9802083680.5560913</v>
      </c>
      <c r="G146" s="1092">
        <f t="shared" ca="1" si="173"/>
        <v>28539605236.329086</v>
      </c>
      <c r="H146" s="1133">
        <f t="shared" ca="1" si="174"/>
        <v>48511441792.102081</v>
      </c>
      <c r="I146" s="1092">
        <f t="shared" ca="1" si="175"/>
        <v>17895600978.473583</v>
      </c>
      <c r="J146" s="1092">
        <f t="shared" ca="1" si="176"/>
        <v>38777479745.59687</v>
      </c>
      <c r="K146" s="1092">
        <f t="shared" ca="1" si="177"/>
        <v>60254046301.369865</v>
      </c>
      <c r="L146" s="1133">
        <f t="shared" ca="1" si="178"/>
        <v>88985782857.142853</v>
      </c>
      <c r="M146" s="1092">
        <f t="shared" ca="1" si="179"/>
        <v>28253020978.473579</v>
      </c>
      <c r="N146" s="1092">
        <f t="shared" ca="1" si="180"/>
        <v>63396649745.59687</v>
      </c>
      <c r="O146" s="1092">
        <f t="shared" ca="1" si="181"/>
        <v>100355806301.36986</v>
      </c>
      <c r="P146" s="1094">
        <f t="shared" ca="1" si="182"/>
        <v>138995222857.14285</v>
      </c>
      <c r="Q146" s="1092">
        <f t="shared" ca="1" si="183"/>
        <v>138995222857.14285</v>
      </c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1111"/>
      <c r="AR146" s="1112"/>
      <c r="AS146" s="1112"/>
      <c r="AT146" s="1112"/>
      <c r="AU146" s="1112"/>
      <c r="AV146" s="1113"/>
    </row>
    <row r="147" spans="1:48" ht="12.75" x14ac:dyDescent="0.2">
      <c r="A147" s="1087"/>
      <c r="B147" s="258"/>
      <c r="C147" s="258"/>
      <c r="D147" s="258"/>
      <c r="E147" s="1086">
        <f t="shared" ca="1" si="171"/>
        <v>0</v>
      </c>
      <c r="F147" s="258">
        <f t="shared" ca="1" si="172"/>
        <v>0</v>
      </c>
      <c r="G147" s="258">
        <f t="shared" ca="1" si="173"/>
        <v>0</v>
      </c>
      <c r="H147" s="1008">
        <f t="shared" ca="1" si="174"/>
        <v>0</v>
      </c>
      <c r="I147" s="258">
        <f t="shared" ca="1" si="175"/>
        <v>0</v>
      </c>
      <c r="J147" s="258">
        <f t="shared" ca="1" si="176"/>
        <v>0</v>
      </c>
      <c r="K147" s="258">
        <f t="shared" ca="1" si="177"/>
        <v>0</v>
      </c>
      <c r="L147" s="1008">
        <f t="shared" ca="1" si="178"/>
        <v>0</v>
      </c>
      <c r="M147" s="258">
        <f t="shared" ca="1" si="179"/>
        <v>0</v>
      </c>
      <c r="N147" s="258">
        <f t="shared" ca="1" si="180"/>
        <v>0</v>
      </c>
      <c r="O147" s="258">
        <f t="shared" ca="1" si="181"/>
        <v>0</v>
      </c>
      <c r="P147" s="1087">
        <f t="shared" ca="1" si="182"/>
        <v>0</v>
      </c>
      <c r="Q147" s="258">
        <f t="shared" ca="1" si="183"/>
        <v>0</v>
      </c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229"/>
      <c r="AQ147" s="1111"/>
      <c r="AR147" s="1112"/>
      <c r="AS147" s="1112"/>
      <c r="AT147" s="1112"/>
      <c r="AU147" s="1112"/>
      <c r="AV147" s="1113"/>
    </row>
    <row r="148" spans="1:48" ht="14.25" x14ac:dyDescent="0.2">
      <c r="A148" s="1098" t="s">
        <v>387</v>
      </c>
      <c r="B148" s="1092"/>
      <c r="C148" s="1092"/>
      <c r="D148" s="1092"/>
      <c r="E148" s="1093">
        <f t="shared" ca="1" si="171"/>
        <v>-1563405526.893198</v>
      </c>
      <c r="F148" s="1092">
        <f t="shared" ca="1" si="172"/>
        <v>-2468883680.5560923</v>
      </c>
      <c r="G148" s="1092">
        <f t="shared" ca="1" si="173"/>
        <v>2748714763.6709137</v>
      </c>
      <c r="H148" s="1133">
        <f t="shared" ca="1" si="174"/>
        <v>8911588207.8979206</v>
      </c>
      <c r="I148" s="1092">
        <f t="shared" ca="1" si="175"/>
        <v>4307699021.5264177</v>
      </c>
      <c r="J148" s="1092">
        <f t="shared" ca="1" si="176"/>
        <v>10680880254.40313</v>
      </c>
      <c r="K148" s="1092">
        <f t="shared" ca="1" si="177"/>
        <v>17477873698.630135</v>
      </c>
      <c r="L148" s="1133">
        <f t="shared" ca="1" si="178"/>
        <v>28037977142.85714</v>
      </c>
      <c r="M148" s="1092">
        <f t="shared" ca="1" si="179"/>
        <v>9931839021.5264187</v>
      </c>
      <c r="N148" s="1092">
        <f t="shared" ca="1" si="180"/>
        <v>23821950254.40313</v>
      </c>
      <c r="O148" s="1092">
        <f t="shared" ca="1" si="181"/>
        <v>38702133698.630135</v>
      </c>
      <c r="P148" s="1094">
        <f t="shared" ca="1" si="182"/>
        <v>54765827142.85714</v>
      </c>
      <c r="Q148" s="1092">
        <f t="shared" ca="1" si="183"/>
        <v>54765827142.85714</v>
      </c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  <c r="AK148" s="229"/>
      <c r="AL148" s="229"/>
      <c r="AM148" s="229"/>
      <c r="AN148" s="229"/>
      <c r="AO148" s="229"/>
      <c r="AP148" s="229"/>
      <c r="AQ148" s="1111"/>
      <c r="AR148" s="1112"/>
      <c r="AS148" s="1112"/>
      <c r="AT148" s="1112"/>
      <c r="AU148" s="1112"/>
      <c r="AV148" s="1113"/>
    </row>
    <row r="149" spans="1:48" ht="12.75" x14ac:dyDescent="0.2">
      <c r="A149" s="1087"/>
      <c r="B149" s="258"/>
      <c r="C149" s="258"/>
      <c r="D149" s="258"/>
      <c r="E149" s="1086">
        <f t="shared" ca="1" si="171"/>
        <v>0</v>
      </c>
      <c r="F149" s="258">
        <f t="shared" ca="1" si="172"/>
        <v>0</v>
      </c>
      <c r="G149" s="258">
        <f t="shared" ca="1" si="173"/>
        <v>0</v>
      </c>
      <c r="H149" s="1008">
        <f t="shared" ca="1" si="174"/>
        <v>0</v>
      </c>
      <c r="I149" s="258">
        <f t="shared" ca="1" si="175"/>
        <v>0</v>
      </c>
      <c r="J149" s="258">
        <f t="shared" ca="1" si="176"/>
        <v>0</v>
      </c>
      <c r="K149" s="258">
        <f t="shared" ca="1" si="177"/>
        <v>0</v>
      </c>
      <c r="L149" s="1008">
        <f t="shared" ca="1" si="178"/>
        <v>0</v>
      </c>
      <c r="M149" s="258">
        <f t="shared" ca="1" si="179"/>
        <v>0</v>
      </c>
      <c r="N149" s="258">
        <f t="shared" ca="1" si="180"/>
        <v>0</v>
      </c>
      <c r="O149" s="258">
        <f t="shared" ca="1" si="181"/>
        <v>0</v>
      </c>
      <c r="P149" s="1087">
        <f t="shared" ca="1" si="182"/>
        <v>0</v>
      </c>
      <c r="Q149" s="258">
        <f t="shared" ca="1" si="183"/>
        <v>0</v>
      </c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1111"/>
      <c r="AR149" s="1112"/>
      <c r="AS149" s="1112"/>
      <c r="AT149" s="1112"/>
      <c r="AU149" s="1112"/>
      <c r="AV149" s="1113"/>
    </row>
    <row r="150" spans="1:48" ht="14.25" x14ac:dyDescent="0.2">
      <c r="A150" s="1085" t="s">
        <v>238</v>
      </c>
      <c r="B150" s="258"/>
      <c r="C150" s="258"/>
      <c r="D150" s="258"/>
      <c r="E150" s="1086">
        <f t="shared" ca="1" si="171"/>
        <v>0</v>
      </c>
      <c r="F150" s="258">
        <f t="shared" ca="1" si="172"/>
        <v>0</v>
      </c>
      <c r="G150" s="258">
        <f t="shared" ca="1" si="173"/>
        <v>0</v>
      </c>
      <c r="H150" s="1008">
        <f t="shared" ca="1" si="174"/>
        <v>0</v>
      </c>
      <c r="I150" s="258">
        <f t="shared" ca="1" si="175"/>
        <v>0</v>
      </c>
      <c r="J150" s="258">
        <f t="shared" ca="1" si="176"/>
        <v>0</v>
      </c>
      <c r="K150" s="258">
        <f t="shared" ca="1" si="177"/>
        <v>0</v>
      </c>
      <c r="L150" s="1008">
        <f t="shared" ca="1" si="178"/>
        <v>0</v>
      </c>
      <c r="M150" s="258">
        <f t="shared" ca="1" si="179"/>
        <v>0</v>
      </c>
      <c r="N150" s="258">
        <f t="shared" ca="1" si="180"/>
        <v>0</v>
      </c>
      <c r="O150" s="258">
        <f t="shared" ca="1" si="181"/>
        <v>0</v>
      </c>
      <c r="P150" s="1087">
        <f t="shared" ca="1" si="182"/>
        <v>0</v>
      </c>
      <c r="Q150" s="258">
        <f t="shared" ca="1" si="183"/>
        <v>0</v>
      </c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1111"/>
      <c r="AR150" s="1112"/>
      <c r="AS150" s="1112"/>
      <c r="AT150" s="1112"/>
      <c r="AU150" s="1112"/>
      <c r="AV150" s="1113"/>
    </row>
    <row r="151" spans="1:48" ht="14.25" x14ac:dyDescent="0.2">
      <c r="A151" s="1091" t="s">
        <v>239</v>
      </c>
      <c r="B151" s="258"/>
      <c r="C151" s="258"/>
      <c r="D151" s="258"/>
      <c r="E151" s="1086">
        <f t="shared" ca="1" si="171"/>
        <v>0</v>
      </c>
      <c r="F151" s="258">
        <f t="shared" ca="1" si="172"/>
        <v>0</v>
      </c>
      <c r="G151" s="258">
        <f t="shared" ca="1" si="173"/>
        <v>0</v>
      </c>
      <c r="H151" s="1008">
        <f t="shared" ca="1" si="174"/>
        <v>0</v>
      </c>
      <c r="I151" s="258">
        <f t="shared" ca="1" si="175"/>
        <v>0</v>
      </c>
      <c r="J151" s="258">
        <f t="shared" ca="1" si="176"/>
        <v>0</v>
      </c>
      <c r="K151" s="258">
        <f t="shared" ca="1" si="177"/>
        <v>0</v>
      </c>
      <c r="L151" s="1008">
        <f t="shared" ca="1" si="178"/>
        <v>0</v>
      </c>
      <c r="M151" s="258">
        <f t="shared" ca="1" si="179"/>
        <v>0</v>
      </c>
      <c r="N151" s="258">
        <f t="shared" ca="1" si="180"/>
        <v>0</v>
      </c>
      <c r="O151" s="258">
        <f t="shared" ca="1" si="181"/>
        <v>0</v>
      </c>
      <c r="P151" s="1087">
        <f t="shared" ca="1" si="182"/>
        <v>0</v>
      </c>
      <c r="Q151" s="258">
        <f t="shared" ca="1" si="183"/>
        <v>0</v>
      </c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229"/>
      <c r="AQ151" s="1111"/>
      <c r="AR151" s="1112"/>
      <c r="AS151" s="1112"/>
      <c r="AT151" s="1112"/>
      <c r="AU151" s="1112"/>
      <c r="AV151" s="1113"/>
    </row>
    <row r="152" spans="1:48" ht="14.25" x14ac:dyDescent="0.2">
      <c r="A152" s="1091" t="s">
        <v>240</v>
      </c>
      <c r="B152" s="258"/>
      <c r="C152" s="258"/>
      <c r="D152" s="258"/>
      <c r="E152" s="1086">
        <f t="shared" ca="1" si="171"/>
        <v>0</v>
      </c>
      <c r="F152" s="258">
        <f t="shared" ca="1" si="172"/>
        <v>0</v>
      </c>
      <c r="G152" s="258">
        <f t="shared" ca="1" si="173"/>
        <v>0</v>
      </c>
      <c r="H152" s="1008">
        <f t="shared" ca="1" si="174"/>
        <v>0</v>
      </c>
      <c r="I152" s="258">
        <f t="shared" ca="1" si="175"/>
        <v>0</v>
      </c>
      <c r="J152" s="258">
        <f t="shared" ca="1" si="176"/>
        <v>0</v>
      </c>
      <c r="K152" s="258">
        <f t="shared" ca="1" si="177"/>
        <v>0</v>
      </c>
      <c r="L152" s="1008">
        <f t="shared" ca="1" si="178"/>
        <v>0</v>
      </c>
      <c r="M152" s="258">
        <f t="shared" ca="1" si="179"/>
        <v>0</v>
      </c>
      <c r="N152" s="258">
        <f t="shared" ca="1" si="180"/>
        <v>0</v>
      </c>
      <c r="O152" s="258">
        <f t="shared" ca="1" si="181"/>
        <v>0</v>
      </c>
      <c r="P152" s="1087">
        <f t="shared" ca="1" si="182"/>
        <v>0</v>
      </c>
      <c r="Q152" s="258">
        <f t="shared" ca="1" si="183"/>
        <v>0</v>
      </c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  <c r="AE152" s="229"/>
      <c r="AF152" s="229"/>
      <c r="AG152" s="229"/>
      <c r="AH152" s="229"/>
      <c r="AI152" s="229"/>
      <c r="AJ152" s="229"/>
      <c r="AK152" s="229"/>
      <c r="AL152" s="229"/>
      <c r="AM152" s="229"/>
      <c r="AN152" s="229"/>
      <c r="AO152" s="229"/>
      <c r="AP152" s="229"/>
      <c r="AQ152" s="1111"/>
      <c r="AR152" s="1112"/>
      <c r="AS152" s="1112"/>
      <c r="AT152" s="1112"/>
      <c r="AU152" s="1112"/>
      <c r="AV152" s="1113"/>
    </row>
    <row r="153" spans="1:48" ht="14.25" x14ac:dyDescent="0.2">
      <c r="A153" s="1091" t="s">
        <v>241</v>
      </c>
      <c r="B153" s="258"/>
      <c r="C153" s="258"/>
      <c r="D153" s="258"/>
      <c r="E153" s="1086">
        <f t="shared" ca="1" si="171"/>
        <v>0</v>
      </c>
      <c r="F153" s="258">
        <f t="shared" ca="1" si="172"/>
        <v>0</v>
      </c>
      <c r="G153" s="258">
        <f t="shared" ca="1" si="173"/>
        <v>0</v>
      </c>
      <c r="H153" s="1008">
        <f t="shared" ca="1" si="174"/>
        <v>0</v>
      </c>
      <c r="I153" s="258">
        <f t="shared" ca="1" si="175"/>
        <v>0</v>
      </c>
      <c r="J153" s="258">
        <f t="shared" ca="1" si="176"/>
        <v>0</v>
      </c>
      <c r="K153" s="258">
        <f t="shared" ca="1" si="177"/>
        <v>0</v>
      </c>
      <c r="L153" s="1008">
        <f t="shared" ca="1" si="178"/>
        <v>0</v>
      </c>
      <c r="M153" s="258">
        <f t="shared" ca="1" si="179"/>
        <v>0</v>
      </c>
      <c r="N153" s="258">
        <f t="shared" ca="1" si="180"/>
        <v>0</v>
      </c>
      <c r="O153" s="258">
        <f t="shared" ca="1" si="181"/>
        <v>0</v>
      </c>
      <c r="P153" s="1087">
        <f t="shared" ca="1" si="182"/>
        <v>0</v>
      </c>
      <c r="Q153" s="258">
        <f t="shared" ca="1" si="183"/>
        <v>0</v>
      </c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1111"/>
      <c r="AR153" s="1112"/>
      <c r="AS153" s="1112"/>
      <c r="AT153" s="1112"/>
      <c r="AU153" s="1112"/>
      <c r="AV153" s="1113"/>
    </row>
    <row r="154" spans="1:48" ht="14.25" x14ac:dyDescent="0.2">
      <c r="A154" s="1091" t="s">
        <v>242</v>
      </c>
      <c r="B154" s="258"/>
      <c r="C154" s="258"/>
      <c r="D154" s="258"/>
      <c r="E154" s="1086">
        <f t="shared" ca="1" si="171"/>
        <v>0</v>
      </c>
      <c r="F154" s="258">
        <f t="shared" ca="1" si="172"/>
        <v>0</v>
      </c>
      <c r="G154" s="258">
        <f t="shared" ca="1" si="173"/>
        <v>0</v>
      </c>
      <c r="H154" s="1008">
        <f t="shared" ca="1" si="174"/>
        <v>0</v>
      </c>
      <c r="I154" s="258">
        <f t="shared" ca="1" si="175"/>
        <v>0</v>
      </c>
      <c r="J154" s="258">
        <f t="shared" ca="1" si="176"/>
        <v>0</v>
      </c>
      <c r="K154" s="258">
        <f t="shared" ca="1" si="177"/>
        <v>0</v>
      </c>
      <c r="L154" s="1008">
        <f t="shared" ca="1" si="178"/>
        <v>0</v>
      </c>
      <c r="M154" s="258">
        <f t="shared" ca="1" si="179"/>
        <v>0</v>
      </c>
      <c r="N154" s="258">
        <f t="shared" ca="1" si="180"/>
        <v>0</v>
      </c>
      <c r="O154" s="258">
        <f t="shared" ca="1" si="181"/>
        <v>0</v>
      </c>
      <c r="P154" s="1087">
        <f t="shared" ca="1" si="182"/>
        <v>0</v>
      </c>
      <c r="Q154" s="258">
        <f t="shared" ca="1" si="183"/>
        <v>0</v>
      </c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1111"/>
      <c r="AR154" s="1112"/>
      <c r="AS154" s="1112"/>
      <c r="AT154" s="1112"/>
      <c r="AU154" s="1112"/>
      <c r="AV154" s="1113"/>
    </row>
    <row r="155" spans="1:48" ht="14.25" x14ac:dyDescent="0.2">
      <c r="A155" s="1091" t="s">
        <v>243</v>
      </c>
      <c r="B155" s="258"/>
      <c r="C155" s="258"/>
      <c r="D155" s="258"/>
      <c r="E155" s="1086">
        <f t="shared" ca="1" si="171"/>
        <v>0</v>
      </c>
      <c r="F155" s="258">
        <f t="shared" ca="1" si="172"/>
        <v>0</v>
      </c>
      <c r="G155" s="258">
        <f t="shared" ca="1" si="173"/>
        <v>0</v>
      </c>
      <c r="H155" s="1008">
        <f t="shared" ca="1" si="174"/>
        <v>0</v>
      </c>
      <c r="I155" s="258">
        <f t="shared" ca="1" si="175"/>
        <v>0</v>
      </c>
      <c r="J155" s="258">
        <f t="shared" ca="1" si="176"/>
        <v>0</v>
      </c>
      <c r="K155" s="258">
        <f t="shared" ca="1" si="177"/>
        <v>0</v>
      </c>
      <c r="L155" s="1008">
        <f t="shared" ca="1" si="178"/>
        <v>0</v>
      </c>
      <c r="M155" s="258">
        <f t="shared" ca="1" si="179"/>
        <v>0</v>
      </c>
      <c r="N155" s="258">
        <f t="shared" ca="1" si="180"/>
        <v>0</v>
      </c>
      <c r="O155" s="258">
        <f t="shared" ca="1" si="181"/>
        <v>0</v>
      </c>
      <c r="P155" s="1087">
        <f t="shared" ca="1" si="182"/>
        <v>0</v>
      </c>
      <c r="Q155" s="258">
        <f t="shared" ca="1" si="183"/>
        <v>0</v>
      </c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1111"/>
      <c r="AR155" s="1112"/>
      <c r="AS155" s="1112"/>
      <c r="AT155" s="1112"/>
      <c r="AU155" s="1112"/>
      <c r="AV155" s="1113"/>
    </row>
    <row r="156" spans="1:48" ht="14.25" x14ac:dyDescent="0.2">
      <c r="A156" s="1091" t="s">
        <v>98</v>
      </c>
      <c r="B156" s="258"/>
      <c r="C156" s="258"/>
      <c r="D156" s="258"/>
      <c r="E156" s="1086">
        <f t="shared" ca="1" si="171"/>
        <v>6656000</v>
      </c>
      <c r="F156" s="258">
        <f t="shared" ca="1" si="172"/>
        <v>91520000</v>
      </c>
      <c r="G156" s="258">
        <f t="shared" ca="1" si="173"/>
        <v>203008000</v>
      </c>
      <c r="H156" s="1008">
        <f t="shared" ca="1" si="174"/>
        <v>317824000</v>
      </c>
      <c r="I156" s="258">
        <f t="shared" ca="1" si="175"/>
        <v>123136000</v>
      </c>
      <c r="J156" s="258">
        <f t="shared" ca="1" si="176"/>
        <v>262912000</v>
      </c>
      <c r="K156" s="258">
        <f t="shared" ca="1" si="177"/>
        <v>402688000</v>
      </c>
      <c r="L156" s="1008">
        <f t="shared" ca="1" si="178"/>
        <v>542464000</v>
      </c>
      <c r="M156" s="258">
        <f t="shared" ca="1" si="179"/>
        <v>139776000</v>
      </c>
      <c r="N156" s="258">
        <f t="shared" ca="1" si="180"/>
        <v>279552000</v>
      </c>
      <c r="O156" s="258">
        <f t="shared" ca="1" si="181"/>
        <v>419328000</v>
      </c>
      <c r="P156" s="1087">
        <f t="shared" ca="1" si="182"/>
        <v>559104000</v>
      </c>
      <c r="Q156" s="258">
        <f t="shared" ca="1" si="183"/>
        <v>559104000</v>
      </c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1111"/>
      <c r="AR156" s="1112"/>
      <c r="AS156" s="1112"/>
      <c r="AT156" s="1112"/>
      <c r="AU156" s="1112"/>
      <c r="AV156" s="1113"/>
    </row>
    <row r="157" spans="1:48" ht="14.25" x14ac:dyDescent="0.2">
      <c r="A157" s="1091" t="s">
        <v>146</v>
      </c>
      <c r="B157" s="258"/>
      <c r="C157" s="258"/>
      <c r="D157" s="258"/>
      <c r="E157" s="1086">
        <f t="shared" ca="1" si="171"/>
        <v>183750000</v>
      </c>
      <c r="F157" s="258">
        <f t="shared" ca="1" si="172"/>
        <v>635440000</v>
      </c>
      <c r="G157" s="258">
        <f t="shared" ca="1" si="173"/>
        <v>1179130000</v>
      </c>
      <c r="H157" s="1008">
        <f t="shared" ca="1" si="174"/>
        <v>2773672000</v>
      </c>
      <c r="I157" s="258">
        <f t="shared" ca="1" si="175"/>
        <v>683222800</v>
      </c>
      <c r="J157" s="258">
        <f t="shared" ca="1" si="176"/>
        <v>1385519600</v>
      </c>
      <c r="K157" s="258">
        <f t="shared" ca="1" si="177"/>
        <v>2253916000</v>
      </c>
      <c r="L157" s="1008">
        <f t="shared" ca="1" si="178"/>
        <v>5291383900</v>
      </c>
      <c r="M157" s="258">
        <f t="shared" ca="1" si="179"/>
        <v>1472012700</v>
      </c>
      <c r="N157" s="258">
        <f t="shared" ca="1" si="180"/>
        <v>3199931900</v>
      </c>
      <c r="O157" s="258">
        <f t="shared" ca="1" si="181"/>
        <v>4290484800</v>
      </c>
      <c r="P157" s="1087">
        <f t="shared" ca="1" si="182"/>
        <v>7951329300</v>
      </c>
      <c r="Q157" s="258">
        <f t="shared" ca="1" si="183"/>
        <v>7951329300</v>
      </c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1111"/>
      <c r="AR157" s="1112"/>
      <c r="AS157" s="1112"/>
      <c r="AT157" s="1112"/>
      <c r="AU157" s="1112"/>
      <c r="AV157" s="1113"/>
    </row>
    <row r="158" spans="1:48" ht="14.25" x14ac:dyDescent="0.2">
      <c r="A158" s="1091" t="s">
        <v>244</v>
      </c>
      <c r="B158" s="258"/>
      <c r="C158" s="258"/>
      <c r="D158" s="258"/>
      <c r="E158" s="1086">
        <f t="shared" ca="1" si="171"/>
        <v>0</v>
      </c>
      <c r="F158" s="258">
        <f t="shared" ca="1" si="172"/>
        <v>0</v>
      </c>
      <c r="G158" s="258">
        <f t="shared" ca="1" si="173"/>
        <v>0</v>
      </c>
      <c r="H158" s="1008">
        <f t="shared" ca="1" si="174"/>
        <v>0</v>
      </c>
      <c r="I158" s="258">
        <f t="shared" ca="1" si="175"/>
        <v>0</v>
      </c>
      <c r="J158" s="258">
        <f t="shared" ca="1" si="176"/>
        <v>0</v>
      </c>
      <c r="K158" s="258">
        <f t="shared" ca="1" si="177"/>
        <v>0</v>
      </c>
      <c r="L158" s="1008">
        <f t="shared" ca="1" si="178"/>
        <v>0</v>
      </c>
      <c r="M158" s="258">
        <f t="shared" ca="1" si="179"/>
        <v>0</v>
      </c>
      <c r="N158" s="258">
        <f t="shared" ca="1" si="180"/>
        <v>0</v>
      </c>
      <c r="O158" s="258">
        <f t="shared" ca="1" si="181"/>
        <v>0</v>
      </c>
      <c r="P158" s="1087">
        <f t="shared" ca="1" si="182"/>
        <v>0</v>
      </c>
      <c r="Q158" s="258">
        <f t="shared" ca="1" si="183"/>
        <v>0</v>
      </c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1111"/>
      <c r="AR158" s="1112"/>
      <c r="AS158" s="1112"/>
      <c r="AT158" s="1112"/>
      <c r="AU158" s="1112"/>
      <c r="AV158" s="1113"/>
    </row>
    <row r="159" spans="1:48" ht="14.25" x14ac:dyDescent="0.2">
      <c r="A159" s="1091" t="s">
        <v>245</v>
      </c>
      <c r="B159" s="258"/>
      <c r="C159" s="258"/>
      <c r="D159" s="258"/>
      <c r="E159" s="1086">
        <f t="shared" ca="1" si="171"/>
        <v>0</v>
      </c>
      <c r="F159" s="258">
        <f t="shared" ca="1" si="172"/>
        <v>0</v>
      </c>
      <c r="G159" s="258">
        <f t="shared" ca="1" si="173"/>
        <v>0</v>
      </c>
      <c r="H159" s="1008">
        <f t="shared" ca="1" si="174"/>
        <v>0</v>
      </c>
      <c r="I159" s="258">
        <f t="shared" ca="1" si="175"/>
        <v>0</v>
      </c>
      <c r="J159" s="258">
        <f t="shared" ca="1" si="176"/>
        <v>0</v>
      </c>
      <c r="K159" s="258">
        <f t="shared" ca="1" si="177"/>
        <v>0</v>
      </c>
      <c r="L159" s="1008">
        <f t="shared" ca="1" si="178"/>
        <v>0</v>
      </c>
      <c r="M159" s="258">
        <f t="shared" ca="1" si="179"/>
        <v>0</v>
      </c>
      <c r="N159" s="258">
        <f t="shared" ca="1" si="180"/>
        <v>0</v>
      </c>
      <c r="O159" s="258">
        <f t="shared" ca="1" si="181"/>
        <v>0</v>
      </c>
      <c r="P159" s="1087">
        <f t="shared" ca="1" si="182"/>
        <v>0</v>
      </c>
      <c r="Q159" s="258">
        <f t="shared" ca="1" si="183"/>
        <v>0</v>
      </c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229"/>
      <c r="AQ159" s="1111"/>
      <c r="AR159" s="1112"/>
      <c r="AS159" s="1112"/>
      <c r="AT159" s="1112"/>
      <c r="AU159" s="1112"/>
      <c r="AV159" s="1113"/>
    </row>
    <row r="160" spans="1:48" ht="14.25" x14ac:dyDescent="0.2">
      <c r="A160" s="1091" t="s">
        <v>246</v>
      </c>
      <c r="B160" s="258"/>
      <c r="C160" s="258"/>
      <c r="D160" s="258"/>
      <c r="E160" s="1086">
        <f t="shared" ca="1" si="171"/>
        <v>0</v>
      </c>
      <c r="F160" s="258">
        <f t="shared" ca="1" si="172"/>
        <v>0</v>
      </c>
      <c r="G160" s="258">
        <f t="shared" ca="1" si="173"/>
        <v>0</v>
      </c>
      <c r="H160" s="1008">
        <f t="shared" ca="1" si="174"/>
        <v>0</v>
      </c>
      <c r="I160" s="258">
        <f t="shared" ca="1" si="175"/>
        <v>0</v>
      </c>
      <c r="J160" s="258">
        <f t="shared" ca="1" si="176"/>
        <v>0</v>
      </c>
      <c r="K160" s="258">
        <f t="shared" ca="1" si="177"/>
        <v>0</v>
      </c>
      <c r="L160" s="1008">
        <f t="shared" ca="1" si="178"/>
        <v>0</v>
      </c>
      <c r="M160" s="258">
        <f t="shared" ca="1" si="179"/>
        <v>0</v>
      </c>
      <c r="N160" s="258">
        <f t="shared" ca="1" si="180"/>
        <v>0</v>
      </c>
      <c r="O160" s="258">
        <f t="shared" ca="1" si="181"/>
        <v>0</v>
      </c>
      <c r="P160" s="1087">
        <f t="shared" ca="1" si="182"/>
        <v>0</v>
      </c>
      <c r="Q160" s="258">
        <f t="shared" ca="1" si="183"/>
        <v>0</v>
      </c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1111"/>
      <c r="AR160" s="1112"/>
      <c r="AS160" s="1112"/>
      <c r="AT160" s="1112"/>
      <c r="AU160" s="1112"/>
      <c r="AV160" s="1113"/>
    </row>
    <row r="161" spans="1:48" ht="14.25" x14ac:dyDescent="0.2">
      <c r="A161" s="1091" t="s">
        <v>247</v>
      </c>
      <c r="B161" s="258"/>
      <c r="C161" s="258"/>
      <c r="D161" s="258"/>
      <c r="E161" s="1086">
        <f t="shared" ca="1" si="171"/>
        <v>0</v>
      </c>
      <c r="F161" s="258">
        <f t="shared" ca="1" si="172"/>
        <v>0</v>
      </c>
      <c r="G161" s="258">
        <f t="shared" ca="1" si="173"/>
        <v>0</v>
      </c>
      <c r="H161" s="1008">
        <f t="shared" ca="1" si="174"/>
        <v>0</v>
      </c>
      <c r="I161" s="258">
        <f t="shared" ca="1" si="175"/>
        <v>0</v>
      </c>
      <c r="J161" s="258">
        <f t="shared" ca="1" si="176"/>
        <v>0</v>
      </c>
      <c r="K161" s="258">
        <f t="shared" ca="1" si="177"/>
        <v>0</v>
      </c>
      <c r="L161" s="1008">
        <f t="shared" ca="1" si="178"/>
        <v>0</v>
      </c>
      <c r="M161" s="258">
        <f t="shared" ca="1" si="179"/>
        <v>0</v>
      </c>
      <c r="N161" s="258">
        <f t="shared" ca="1" si="180"/>
        <v>0</v>
      </c>
      <c r="O161" s="258">
        <f t="shared" ca="1" si="181"/>
        <v>0</v>
      </c>
      <c r="P161" s="1087">
        <f t="shared" ca="1" si="182"/>
        <v>0</v>
      </c>
      <c r="Q161" s="258">
        <f t="shared" ca="1" si="183"/>
        <v>0</v>
      </c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1111"/>
      <c r="AR161" s="1112"/>
      <c r="AS161" s="1112"/>
      <c r="AT161" s="1112"/>
      <c r="AU161" s="1112"/>
      <c r="AV161" s="1113"/>
    </row>
    <row r="162" spans="1:48" ht="14.25" x14ac:dyDescent="0.2">
      <c r="A162" s="1091" t="s">
        <v>248</v>
      </c>
      <c r="B162" s="258"/>
      <c r="C162" s="258"/>
      <c r="D162" s="258"/>
      <c r="E162" s="1086">
        <f t="shared" ca="1" si="171"/>
        <v>3500000</v>
      </c>
      <c r="F162" s="258">
        <f t="shared" ca="1" si="172"/>
        <v>15500000</v>
      </c>
      <c r="G162" s="258">
        <f t="shared" ca="1" si="173"/>
        <v>30500000</v>
      </c>
      <c r="H162" s="1008">
        <f t="shared" ca="1" si="174"/>
        <v>45500000</v>
      </c>
      <c r="I162" s="258">
        <f t="shared" ca="1" si="175"/>
        <v>15000000</v>
      </c>
      <c r="J162" s="258">
        <f t="shared" ca="1" si="176"/>
        <v>30000000</v>
      </c>
      <c r="K162" s="258">
        <f t="shared" ca="1" si="177"/>
        <v>45000000</v>
      </c>
      <c r="L162" s="1008">
        <f t="shared" ca="1" si="178"/>
        <v>61500000</v>
      </c>
      <c r="M162" s="258">
        <f t="shared" ca="1" si="179"/>
        <v>16500000</v>
      </c>
      <c r="N162" s="258">
        <f t="shared" ca="1" si="180"/>
        <v>33000000</v>
      </c>
      <c r="O162" s="258">
        <f t="shared" ca="1" si="181"/>
        <v>49500000</v>
      </c>
      <c r="P162" s="1087">
        <f t="shared" ca="1" si="182"/>
        <v>66000000</v>
      </c>
      <c r="Q162" s="258">
        <f t="shared" ca="1" si="183"/>
        <v>66000000</v>
      </c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229"/>
      <c r="AQ162" s="1111"/>
      <c r="AR162" s="1112"/>
      <c r="AS162" s="1112"/>
      <c r="AT162" s="1112"/>
      <c r="AU162" s="1112"/>
      <c r="AV162" s="1113"/>
    </row>
    <row r="163" spans="1:48" ht="14.25" x14ac:dyDescent="0.2">
      <c r="A163" s="1091" t="s">
        <v>249</v>
      </c>
      <c r="B163" s="258"/>
      <c r="C163" s="258"/>
      <c r="D163" s="258"/>
      <c r="E163" s="1086">
        <f t="shared" ca="1" si="171"/>
        <v>0</v>
      </c>
      <c r="F163" s="258">
        <f t="shared" ca="1" si="172"/>
        <v>0</v>
      </c>
      <c r="G163" s="258">
        <f t="shared" ca="1" si="173"/>
        <v>0</v>
      </c>
      <c r="H163" s="1008">
        <f t="shared" ca="1" si="174"/>
        <v>0</v>
      </c>
      <c r="I163" s="258">
        <f t="shared" ca="1" si="175"/>
        <v>0</v>
      </c>
      <c r="J163" s="258">
        <f t="shared" ca="1" si="176"/>
        <v>0</v>
      </c>
      <c r="K163" s="258">
        <f t="shared" ca="1" si="177"/>
        <v>0</v>
      </c>
      <c r="L163" s="1008">
        <f t="shared" ca="1" si="178"/>
        <v>0</v>
      </c>
      <c r="M163" s="258">
        <f t="shared" ca="1" si="179"/>
        <v>0</v>
      </c>
      <c r="N163" s="258">
        <f t="shared" ca="1" si="180"/>
        <v>0</v>
      </c>
      <c r="O163" s="258">
        <f t="shared" ca="1" si="181"/>
        <v>0</v>
      </c>
      <c r="P163" s="1087">
        <f t="shared" ca="1" si="182"/>
        <v>0</v>
      </c>
      <c r="Q163" s="258">
        <f t="shared" ca="1" si="183"/>
        <v>0</v>
      </c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1111"/>
      <c r="AR163" s="1112"/>
      <c r="AS163" s="1112"/>
      <c r="AT163" s="1112"/>
      <c r="AU163" s="1112"/>
      <c r="AV163" s="1113"/>
    </row>
    <row r="164" spans="1:48" ht="14.25" x14ac:dyDescent="0.2">
      <c r="A164" s="1091" t="s">
        <v>250</v>
      </c>
      <c r="B164" s="258"/>
      <c r="C164" s="258"/>
      <c r="D164" s="258"/>
      <c r="E164" s="1086">
        <f t="shared" ca="1" si="171"/>
        <v>0</v>
      </c>
      <c r="F164" s="258">
        <f t="shared" ca="1" si="172"/>
        <v>0</v>
      </c>
      <c r="G164" s="258">
        <f t="shared" ca="1" si="173"/>
        <v>0</v>
      </c>
      <c r="H164" s="1008">
        <f t="shared" ca="1" si="174"/>
        <v>0</v>
      </c>
      <c r="I164" s="258">
        <f t="shared" ca="1" si="175"/>
        <v>0</v>
      </c>
      <c r="J164" s="258">
        <f t="shared" ca="1" si="176"/>
        <v>0</v>
      </c>
      <c r="K164" s="258">
        <f t="shared" ca="1" si="177"/>
        <v>0</v>
      </c>
      <c r="L164" s="1008">
        <f t="shared" ca="1" si="178"/>
        <v>0</v>
      </c>
      <c r="M164" s="258">
        <f t="shared" ca="1" si="179"/>
        <v>0</v>
      </c>
      <c r="N164" s="258">
        <f t="shared" ca="1" si="180"/>
        <v>0</v>
      </c>
      <c r="O164" s="258">
        <f t="shared" ca="1" si="181"/>
        <v>0</v>
      </c>
      <c r="P164" s="1087">
        <f t="shared" ca="1" si="182"/>
        <v>0</v>
      </c>
      <c r="Q164" s="258">
        <f t="shared" ca="1" si="183"/>
        <v>0</v>
      </c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229"/>
      <c r="AQ164" s="1111"/>
      <c r="AR164" s="1112"/>
      <c r="AS164" s="1112"/>
      <c r="AT164" s="1112"/>
      <c r="AU164" s="1112"/>
      <c r="AV164" s="1113"/>
    </row>
    <row r="165" spans="1:48" ht="14.25" x14ac:dyDescent="0.2">
      <c r="A165" s="1091" t="s">
        <v>251</v>
      </c>
      <c r="B165" s="258"/>
      <c r="C165" s="258"/>
      <c r="D165" s="258"/>
      <c r="E165" s="1086">
        <f t="shared" ca="1" si="171"/>
        <v>0</v>
      </c>
      <c r="F165" s="258">
        <f t="shared" ca="1" si="172"/>
        <v>0</v>
      </c>
      <c r="G165" s="258">
        <f t="shared" ca="1" si="173"/>
        <v>0</v>
      </c>
      <c r="H165" s="1008">
        <f t="shared" ca="1" si="174"/>
        <v>0</v>
      </c>
      <c r="I165" s="258">
        <f t="shared" ca="1" si="175"/>
        <v>0</v>
      </c>
      <c r="J165" s="258">
        <f t="shared" ca="1" si="176"/>
        <v>0</v>
      </c>
      <c r="K165" s="258">
        <f t="shared" ca="1" si="177"/>
        <v>0</v>
      </c>
      <c r="L165" s="1008">
        <f t="shared" ca="1" si="178"/>
        <v>0</v>
      </c>
      <c r="M165" s="258">
        <f t="shared" ca="1" si="179"/>
        <v>0</v>
      </c>
      <c r="N165" s="258">
        <f t="shared" ca="1" si="180"/>
        <v>0</v>
      </c>
      <c r="O165" s="258">
        <f t="shared" ca="1" si="181"/>
        <v>0</v>
      </c>
      <c r="P165" s="1087">
        <f t="shared" ca="1" si="182"/>
        <v>0</v>
      </c>
      <c r="Q165" s="258">
        <f t="shared" ca="1" si="183"/>
        <v>0</v>
      </c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1111"/>
      <c r="AR165" s="1112"/>
      <c r="AS165" s="1112"/>
      <c r="AT165" s="1112"/>
      <c r="AU165" s="1112"/>
      <c r="AV165" s="1113"/>
    </row>
    <row r="166" spans="1:48" ht="14.25" x14ac:dyDescent="0.2">
      <c r="A166" s="1091" t="s">
        <v>252</v>
      </c>
      <c r="B166" s="258"/>
      <c r="C166" s="258"/>
      <c r="D166" s="258"/>
      <c r="E166" s="1086">
        <f t="shared" ca="1" si="171"/>
        <v>100000000</v>
      </c>
      <c r="F166" s="258">
        <f t="shared" ca="1" si="172"/>
        <v>370000000</v>
      </c>
      <c r="G166" s="258">
        <f t="shared" ca="1" si="173"/>
        <v>880000000</v>
      </c>
      <c r="H166" s="1008">
        <f t="shared" ca="1" si="174"/>
        <v>1390000000</v>
      </c>
      <c r="I166" s="258">
        <f t="shared" ca="1" si="175"/>
        <v>510000000</v>
      </c>
      <c r="J166" s="258">
        <f t="shared" ca="1" si="176"/>
        <v>1020000000</v>
      </c>
      <c r="K166" s="258">
        <f t="shared" ca="1" si="177"/>
        <v>1530000000</v>
      </c>
      <c r="L166" s="1008">
        <f t="shared" ca="1" si="178"/>
        <v>2040000000</v>
      </c>
      <c r="M166" s="258">
        <f t="shared" ca="1" si="179"/>
        <v>510000000</v>
      </c>
      <c r="N166" s="258">
        <f t="shared" ca="1" si="180"/>
        <v>1020000000</v>
      </c>
      <c r="O166" s="258">
        <f t="shared" ca="1" si="181"/>
        <v>1530000000</v>
      </c>
      <c r="P166" s="1087">
        <f t="shared" ca="1" si="182"/>
        <v>2040000000</v>
      </c>
      <c r="Q166" s="258">
        <f t="shared" ca="1" si="183"/>
        <v>2040000000</v>
      </c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1111"/>
      <c r="AR166" s="1112"/>
      <c r="AS166" s="1112"/>
      <c r="AT166" s="1112"/>
      <c r="AU166" s="1112"/>
      <c r="AV166" s="1113"/>
    </row>
    <row r="167" spans="1:48" ht="14.25" x14ac:dyDescent="0.2">
      <c r="A167" s="1091" t="s">
        <v>253</v>
      </c>
      <c r="B167" s="258"/>
      <c r="C167" s="258"/>
      <c r="D167" s="258"/>
      <c r="E167" s="1086">
        <f t="shared" ca="1" si="171"/>
        <v>0</v>
      </c>
      <c r="F167" s="258">
        <f t="shared" ca="1" si="172"/>
        <v>439992000</v>
      </c>
      <c r="G167" s="258">
        <f t="shared" ca="1" si="173"/>
        <v>1877299200</v>
      </c>
      <c r="H167" s="1008">
        <f t="shared" ca="1" si="174"/>
        <v>3445381800</v>
      </c>
      <c r="I167" s="258">
        <f t="shared" ca="1" si="175"/>
        <v>1941198000</v>
      </c>
      <c r="J167" s="258">
        <f t="shared" ca="1" si="176"/>
        <v>3576501600</v>
      </c>
      <c r="K167" s="258">
        <f t="shared" ca="1" si="177"/>
        <v>5272915200</v>
      </c>
      <c r="L167" s="1008">
        <f t="shared" ca="1" si="178"/>
        <v>7630425600</v>
      </c>
      <c r="M167" s="258">
        <f t="shared" ca="1" si="179"/>
        <v>3004091600</v>
      </c>
      <c r="N167" s="258">
        <f t="shared" ca="1" si="180"/>
        <v>5946116000</v>
      </c>
      <c r="O167" s="258">
        <f t="shared" ca="1" si="181"/>
        <v>9056476400</v>
      </c>
      <c r="P167" s="1087">
        <f t="shared" ca="1" si="182"/>
        <v>12338663000</v>
      </c>
      <c r="Q167" s="258">
        <f t="shared" ca="1" si="183"/>
        <v>12338663000</v>
      </c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1111"/>
      <c r="AR167" s="1112"/>
      <c r="AS167" s="1112"/>
      <c r="AT167" s="1112"/>
      <c r="AU167" s="1112"/>
      <c r="AV167" s="1113"/>
    </row>
    <row r="168" spans="1:48" ht="14.25" x14ac:dyDescent="0.2">
      <c r="A168" s="1091" t="s">
        <v>254</v>
      </c>
      <c r="B168" s="258"/>
      <c r="C168" s="258"/>
      <c r="D168" s="258"/>
      <c r="E168" s="1086">
        <f t="shared" ca="1" si="171"/>
        <v>430000000</v>
      </c>
      <c r="F168" s="258">
        <f t="shared" ca="1" si="172"/>
        <v>610000000</v>
      </c>
      <c r="G168" s="258">
        <f t="shared" ca="1" si="173"/>
        <v>610000000</v>
      </c>
      <c r="H168" s="1008">
        <f t="shared" ca="1" si="174"/>
        <v>610000000</v>
      </c>
      <c r="I168" s="258">
        <f t="shared" ca="1" si="175"/>
        <v>0</v>
      </c>
      <c r="J168" s="258">
        <f t="shared" ca="1" si="176"/>
        <v>0</v>
      </c>
      <c r="K168" s="258">
        <f t="shared" ca="1" si="177"/>
        <v>0</v>
      </c>
      <c r="L168" s="1008">
        <f t="shared" ca="1" si="178"/>
        <v>0</v>
      </c>
      <c r="M168" s="258">
        <f t="shared" ca="1" si="179"/>
        <v>0</v>
      </c>
      <c r="N168" s="258">
        <f t="shared" ca="1" si="180"/>
        <v>0</v>
      </c>
      <c r="O168" s="258">
        <f t="shared" ca="1" si="181"/>
        <v>0</v>
      </c>
      <c r="P168" s="1087">
        <f t="shared" ca="1" si="182"/>
        <v>0</v>
      </c>
      <c r="Q168" s="258">
        <f t="shared" ca="1" si="183"/>
        <v>0</v>
      </c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1111"/>
      <c r="AR168" s="1112"/>
      <c r="AS168" s="1112"/>
      <c r="AT168" s="1112"/>
      <c r="AU168" s="1112"/>
      <c r="AV168" s="1113"/>
    </row>
    <row r="169" spans="1:48" ht="14.25" x14ac:dyDescent="0.2">
      <c r="A169" s="1091" t="s">
        <v>255</v>
      </c>
      <c r="B169" s="258"/>
      <c r="C169" s="258"/>
      <c r="D169" s="258"/>
      <c r="E169" s="1086">
        <f t="shared" ca="1" si="171"/>
        <v>0</v>
      </c>
      <c r="F169" s="258">
        <f t="shared" ca="1" si="172"/>
        <v>0</v>
      </c>
      <c r="G169" s="258">
        <f t="shared" ca="1" si="173"/>
        <v>0</v>
      </c>
      <c r="H169" s="1008">
        <f t="shared" ca="1" si="174"/>
        <v>0</v>
      </c>
      <c r="I169" s="258">
        <f t="shared" ca="1" si="175"/>
        <v>0</v>
      </c>
      <c r="J169" s="258">
        <f t="shared" ca="1" si="176"/>
        <v>0</v>
      </c>
      <c r="K169" s="258">
        <f t="shared" ca="1" si="177"/>
        <v>0</v>
      </c>
      <c r="L169" s="1008">
        <f t="shared" ca="1" si="178"/>
        <v>0</v>
      </c>
      <c r="M169" s="258">
        <f t="shared" ca="1" si="179"/>
        <v>0</v>
      </c>
      <c r="N169" s="258">
        <f t="shared" ca="1" si="180"/>
        <v>0</v>
      </c>
      <c r="O169" s="258">
        <f t="shared" ca="1" si="181"/>
        <v>0</v>
      </c>
      <c r="P169" s="1087">
        <f t="shared" ca="1" si="182"/>
        <v>0</v>
      </c>
      <c r="Q169" s="258">
        <f t="shared" ca="1" si="183"/>
        <v>0</v>
      </c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1111"/>
      <c r="AR169" s="1112"/>
      <c r="AS169" s="1112"/>
      <c r="AT169" s="1112"/>
      <c r="AU169" s="1112"/>
      <c r="AV169" s="1113"/>
    </row>
    <row r="170" spans="1:48" ht="14.25" x14ac:dyDescent="0.2">
      <c r="A170" s="1091" t="s">
        <v>256</v>
      </c>
      <c r="B170" s="258"/>
      <c r="C170" s="258"/>
      <c r="D170" s="258"/>
      <c r="E170" s="1086">
        <f t="shared" ca="1" si="171"/>
        <v>0</v>
      </c>
      <c r="F170" s="258">
        <f t="shared" ca="1" si="172"/>
        <v>0</v>
      </c>
      <c r="G170" s="258">
        <f t="shared" ca="1" si="173"/>
        <v>0</v>
      </c>
      <c r="H170" s="1008">
        <f t="shared" ca="1" si="174"/>
        <v>0</v>
      </c>
      <c r="I170" s="258">
        <f t="shared" ca="1" si="175"/>
        <v>0</v>
      </c>
      <c r="J170" s="258">
        <f t="shared" ca="1" si="176"/>
        <v>0</v>
      </c>
      <c r="K170" s="258">
        <f t="shared" ca="1" si="177"/>
        <v>0</v>
      </c>
      <c r="L170" s="1008">
        <f t="shared" ca="1" si="178"/>
        <v>0</v>
      </c>
      <c r="M170" s="258">
        <f t="shared" ca="1" si="179"/>
        <v>0</v>
      </c>
      <c r="N170" s="258">
        <f t="shared" ca="1" si="180"/>
        <v>0</v>
      </c>
      <c r="O170" s="258">
        <f t="shared" ca="1" si="181"/>
        <v>0</v>
      </c>
      <c r="P170" s="1087">
        <f t="shared" ca="1" si="182"/>
        <v>0</v>
      </c>
      <c r="Q170" s="258">
        <f t="shared" ca="1" si="183"/>
        <v>0</v>
      </c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1111"/>
      <c r="AR170" s="1112"/>
      <c r="AS170" s="1112"/>
      <c r="AT170" s="1112"/>
      <c r="AU170" s="1112"/>
      <c r="AV170" s="1113"/>
    </row>
    <row r="171" spans="1:48" ht="14.25" x14ac:dyDescent="0.2">
      <c r="A171" s="1091" t="s">
        <v>257</v>
      </c>
      <c r="B171" s="258"/>
      <c r="C171" s="258"/>
      <c r="D171" s="258"/>
      <c r="E171" s="1086">
        <f t="shared" ca="1" si="171"/>
        <v>33000000</v>
      </c>
      <c r="F171" s="258">
        <f t="shared" ca="1" si="172"/>
        <v>66000000</v>
      </c>
      <c r="G171" s="258">
        <f t="shared" ca="1" si="173"/>
        <v>99000000</v>
      </c>
      <c r="H171" s="1008">
        <f t="shared" ca="1" si="174"/>
        <v>132000000</v>
      </c>
      <c r="I171" s="258">
        <f t="shared" ca="1" si="175"/>
        <v>33000000</v>
      </c>
      <c r="J171" s="258">
        <f t="shared" ca="1" si="176"/>
        <v>66000000</v>
      </c>
      <c r="K171" s="258">
        <f t="shared" ca="1" si="177"/>
        <v>99000000</v>
      </c>
      <c r="L171" s="1008">
        <f t="shared" ca="1" si="178"/>
        <v>132000000</v>
      </c>
      <c r="M171" s="258">
        <f t="shared" ca="1" si="179"/>
        <v>33000000</v>
      </c>
      <c r="N171" s="258">
        <f t="shared" ca="1" si="180"/>
        <v>66000000</v>
      </c>
      <c r="O171" s="258">
        <f t="shared" ca="1" si="181"/>
        <v>99000000</v>
      </c>
      <c r="P171" s="1087">
        <f t="shared" ca="1" si="182"/>
        <v>132000000</v>
      </c>
      <c r="Q171" s="258">
        <f t="shared" ca="1" si="183"/>
        <v>132000000</v>
      </c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1111"/>
      <c r="AR171" s="1112"/>
      <c r="AS171" s="1112"/>
      <c r="AT171" s="1112"/>
      <c r="AU171" s="1112"/>
      <c r="AV171" s="1113"/>
    </row>
    <row r="172" spans="1:48" ht="14.25" x14ac:dyDescent="0.2">
      <c r="A172" s="1091" t="s">
        <v>258</v>
      </c>
      <c r="B172" s="258"/>
      <c r="C172" s="258"/>
      <c r="D172" s="258"/>
      <c r="E172" s="1086">
        <f t="shared" ca="1" si="171"/>
        <v>30000000</v>
      </c>
      <c r="F172" s="258">
        <f t="shared" ca="1" si="172"/>
        <v>50000000</v>
      </c>
      <c r="G172" s="258">
        <f t="shared" ca="1" si="173"/>
        <v>50000000</v>
      </c>
      <c r="H172" s="1008">
        <f t="shared" ca="1" si="174"/>
        <v>50000000</v>
      </c>
      <c r="I172" s="258">
        <f t="shared" ca="1" si="175"/>
        <v>0</v>
      </c>
      <c r="J172" s="258">
        <f t="shared" ca="1" si="176"/>
        <v>0</v>
      </c>
      <c r="K172" s="258">
        <f t="shared" ca="1" si="177"/>
        <v>0</v>
      </c>
      <c r="L172" s="1008">
        <f t="shared" ca="1" si="178"/>
        <v>0</v>
      </c>
      <c r="M172" s="258">
        <f t="shared" ca="1" si="179"/>
        <v>0</v>
      </c>
      <c r="N172" s="258">
        <f t="shared" ca="1" si="180"/>
        <v>0</v>
      </c>
      <c r="O172" s="258">
        <f t="shared" ca="1" si="181"/>
        <v>0</v>
      </c>
      <c r="P172" s="1087">
        <f t="shared" ca="1" si="182"/>
        <v>0</v>
      </c>
      <c r="Q172" s="258">
        <f t="shared" ca="1" si="183"/>
        <v>0</v>
      </c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1111"/>
      <c r="AR172" s="1112"/>
      <c r="AS172" s="1112"/>
      <c r="AT172" s="1112"/>
      <c r="AU172" s="1112"/>
      <c r="AV172" s="1113"/>
    </row>
    <row r="173" spans="1:48" ht="14.25" x14ac:dyDescent="0.2">
      <c r="A173" s="1091" t="s">
        <v>259</v>
      </c>
      <c r="B173" s="258"/>
      <c r="C173" s="258"/>
      <c r="D173" s="258"/>
      <c r="E173" s="1086">
        <f t="shared" ca="1" si="171"/>
        <v>8500000</v>
      </c>
      <c r="F173" s="258">
        <f t="shared" ca="1" si="172"/>
        <v>35100000</v>
      </c>
      <c r="G173" s="258">
        <f t="shared" ca="1" si="173"/>
        <v>45300000</v>
      </c>
      <c r="H173" s="1008">
        <f t="shared" ca="1" si="174"/>
        <v>45300000</v>
      </c>
      <c r="I173" s="258">
        <f t="shared" ca="1" si="175"/>
        <v>5500000</v>
      </c>
      <c r="J173" s="258">
        <f t="shared" ca="1" si="176"/>
        <v>5500000</v>
      </c>
      <c r="K173" s="258">
        <f t="shared" ca="1" si="177"/>
        <v>5500000</v>
      </c>
      <c r="L173" s="1008">
        <f t="shared" ca="1" si="178"/>
        <v>9500000</v>
      </c>
      <c r="M173" s="258">
        <f t="shared" ca="1" si="179"/>
        <v>0</v>
      </c>
      <c r="N173" s="258">
        <f t="shared" ca="1" si="180"/>
        <v>0</v>
      </c>
      <c r="O173" s="258">
        <f t="shared" ca="1" si="181"/>
        <v>0</v>
      </c>
      <c r="P173" s="1087">
        <f t="shared" ca="1" si="182"/>
        <v>0</v>
      </c>
      <c r="Q173" s="258">
        <f t="shared" ca="1" si="183"/>
        <v>0</v>
      </c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1111"/>
      <c r="AR173" s="1112"/>
      <c r="AS173" s="1112"/>
      <c r="AT173" s="1112"/>
      <c r="AU173" s="1112"/>
      <c r="AV173" s="1113"/>
    </row>
    <row r="174" spans="1:48" ht="14.25" x14ac:dyDescent="0.2">
      <c r="A174" s="1085" t="s">
        <v>260</v>
      </c>
      <c r="B174" s="1092"/>
      <c r="C174" s="1092"/>
      <c r="D174" s="1092"/>
      <c r="E174" s="1093">
        <f t="shared" ca="1" si="171"/>
        <v>795406000</v>
      </c>
      <c r="F174" s="1092">
        <f t="shared" ca="1" si="172"/>
        <v>2313552000</v>
      </c>
      <c r="G174" s="1092">
        <f t="shared" ca="1" si="173"/>
        <v>4974237200</v>
      </c>
      <c r="H174" s="1133">
        <f t="shared" ca="1" si="174"/>
        <v>8809677800</v>
      </c>
      <c r="I174" s="1092">
        <f t="shared" ca="1" si="175"/>
        <v>3311056800</v>
      </c>
      <c r="J174" s="1092">
        <f t="shared" ca="1" si="176"/>
        <v>6346433200</v>
      </c>
      <c r="K174" s="1092">
        <f t="shared" ca="1" si="177"/>
        <v>9609019200</v>
      </c>
      <c r="L174" s="1133">
        <f t="shared" ca="1" si="178"/>
        <v>15707273500</v>
      </c>
      <c r="M174" s="1092">
        <f t="shared" ca="1" si="179"/>
        <v>5175380300</v>
      </c>
      <c r="N174" s="1092">
        <f t="shared" ca="1" si="180"/>
        <v>10544599900</v>
      </c>
      <c r="O174" s="1092">
        <f t="shared" ca="1" si="181"/>
        <v>15444789200</v>
      </c>
      <c r="P174" s="1094">
        <f t="shared" ca="1" si="182"/>
        <v>23087096300</v>
      </c>
      <c r="Q174" s="1092">
        <f t="shared" ca="1" si="183"/>
        <v>23087096300</v>
      </c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1111"/>
      <c r="AR174" s="1112"/>
      <c r="AS174" s="1112"/>
      <c r="AT174" s="1112"/>
      <c r="AU174" s="1112"/>
      <c r="AV174" s="1113"/>
    </row>
    <row r="175" spans="1:48" ht="14.25" x14ac:dyDescent="0.2">
      <c r="A175" s="1085"/>
      <c r="B175" s="258"/>
      <c r="C175" s="258"/>
      <c r="D175" s="258"/>
      <c r="E175" s="1086">
        <f t="shared" ca="1" si="171"/>
        <v>0</v>
      </c>
      <c r="F175" s="258">
        <f t="shared" ca="1" si="172"/>
        <v>0</v>
      </c>
      <c r="G175" s="258">
        <f t="shared" ca="1" si="173"/>
        <v>0</v>
      </c>
      <c r="H175" s="1008">
        <f t="shared" ca="1" si="174"/>
        <v>0</v>
      </c>
      <c r="I175" s="258">
        <f t="shared" ca="1" si="175"/>
        <v>0</v>
      </c>
      <c r="J175" s="258">
        <f t="shared" ca="1" si="176"/>
        <v>0</v>
      </c>
      <c r="K175" s="258">
        <f t="shared" ca="1" si="177"/>
        <v>0</v>
      </c>
      <c r="L175" s="1008">
        <f t="shared" ca="1" si="178"/>
        <v>0</v>
      </c>
      <c r="M175" s="258">
        <f t="shared" ca="1" si="179"/>
        <v>0</v>
      </c>
      <c r="N175" s="258">
        <f t="shared" ca="1" si="180"/>
        <v>0</v>
      </c>
      <c r="O175" s="258">
        <f t="shared" ca="1" si="181"/>
        <v>0</v>
      </c>
      <c r="P175" s="1087">
        <f t="shared" ca="1" si="182"/>
        <v>0</v>
      </c>
      <c r="Q175" s="258">
        <f t="shared" ca="1" si="183"/>
        <v>0</v>
      </c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1111"/>
      <c r="AR175" s="1112"/>
      <c r="AS175" s="1112"/>
      <c r="AT175" s="1112"/>
      <c r="AU175" s="1112"/>
      <c r="AV175" s="1113"/>
    </row>
    <row r="176" spans="1:48" ht="14.25" x14ac:dyDescent="0.2">
      <c r="A176" s="1099" t="s">
        <v>388</v>
      </c>
      <c r="B176" s="1100"/>
      <c r="C176" s="1100"/>
      <c r="D176" s="1100"/>
      <c r="E176" s="1101">
        <f t="shared" ca="1" si="171"/>
        <v>-2358811526.893198</v>
      </c>
      <c r="F176" s="1101">
        <f t="shared" ca="1" si="172"/>
        <v>-4782435680.5560923</v>
      </c>
      <c r="G176" s="1101">
        <f t="shared" ca="1" si="173"/>
        <v>-2225522436.3290863</v>
      </c>
      <c r="H176" s="1134">
        <f t="shared" ca="1" si="174"/>
        <v>101910407.89792061</v>
      </c>
      <c r="I176" s="1101">
        <f t="shared" ca="1" si="175"/>
        <v>996642221.52641773</v>
      </c>
      <c r="J176" s="1101">
        <f t="shared" ca="1" si="176"/>
        <v>4334447054.4031296</v>
      </c>
      <c r="K176" s="1101">
        <f t="shared" ca="1" si="177"/>
        <v>7868854498.6301355</v>
      </c>
      <c r="L176" s="1134">
        <f t="shared" ca="1" si="178"/>
        <v>12330703642.857141</v>
      </c>
      <c r="M176" s="1101">
        <f t="shared" ca="1" si="179"/>
        <v>4756458721.5264187</v>
      </c>
      <c r="N176" s="1101">
        <f t="shared" ca="1" si="180"/>
        <v>13277350354.403131</v>
      </c>
      <c r="O176" s="1101">
        <f t="shared" ca="1" si="181"/>
        <v>23257344498.630135</v>
      </c>
      <c r="P176" s="1101">
        <f t="shared" ca="1" si="182"/>
        <v>31678730842.85714</v>
      </c>
      <c r="Q176" s="1101">
        <f t="shared" ca="1" si="183"/>
        <v>31678730842.85714</v>
      </c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1111"/>
      <c r="AR176" s="1112"/>
      <c r="AS176" s="1112"/>
      <c r="AT176" s="1112"/>
      <c r="AU176" s="1112"/>
      <c r="AV176" s="1113"/>
    </row>
    <row r="177" spans="1:48" ht="12.75" x14ac:dyDescent="0.2">
      <c r="A177" s="1102"/>
      <c r="B177" s="989"/>
      <c r="C177" s="989"/>
      <c r="D177" s="989"/>
      <c r="E177" s="1103">
        <f t="shared" ca="1" si="171"/>
        <v>0</v>
      </c>
      <c r="F177" s="258">
        <f t="shared" ca="1" si="172"/>
        <v>0</v>
      </c>
      <c r="G177" s="258">
        <f t="shared" ca="1" si="173"/>
        <v>0</v>
      </c>
      <c r="H177" s="1008">
        <f t="shared" ca="1" si="174"/>
        <v>0</v>
      </c>
      <c r="I177" s="258">
        <f t="shared" ca="1" si="175"/>
        <v>0</v>
      </c>
      <c r="J177" s="258">
        <f t="shared" ca="1" si="176"/>
        <v>0</v>
      </c>
      <c r="K177" s="258">
        <f t="shared" ca="1" si="177"/>
        <v>0</v>
      </c>
      <c r="L177" s="1008">
        <f t="shared" ca="1" si="178"/>
        <v>0</v>
      </c>
      <c r="M177" s="258">
        <f t="shared" ca="1" si="179"/>
        <v>0</v>
      </c>
      <c r="N177" s="258">
        <f t="shared" ca="1" si="180"/>
        <v>0</v>
      </c>
      <c r="O177" s="258">
        <f t="shared" ca="1" si="181"/>
        <v>0</v>
      </c>
      <c r="P177" s="258">
        <f t="shared" ca="1" si="182"/>
        <v>0</v>
      </c>
      <c r="Q177" s="258">
        <f t="shared" ca="1" si="183"/>
        <v>0</v>
      </c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1111"/>
      <c r="AR177" s="1112"/>
      <c r="AS177" s="1112"/>
      <c r="AT177" s="1112"/>
      <c r="AU177" s="1112"/>
      <c r="AV177" s="1113"/>
    </row>
    <row r="178" spans="1:48" ht="14.25" x14ac:dyDescent="0.2">
      <c r="A178" s="1099" t="s">
        <v>389</v>
      </c>
      <c r="B178" s="989"/>
      <c r="C178" s="989"/>
      <c r="D178" s="989"/>
      <c r="E178" s="258">
        <f t="shared" ca="1" si="171"/>
        <v>0</v>
      </c>
      <c r="F178" s="258">
        <f t="shared" ca="1" si="172"/>
        <v>0</v>
      </c>
      <c r="G178" s="258">
        <f t="shared" ca="1" si="173"/>
        <v>0</v>
      </c>
      <c r="H178" s="1008">
        <f t="shared" ca="1" si="174"/>
        <v>0</v>
      </c>
      <c r="I178" s="258">
        <f t="shared" ca="1" si="175"/>
        <v>0</v>
      </c>
      <c r="J178" s="258">
        <f t="shared" ca="1" si="176"/>
        <v>0</v>
      </c>
      <c r="K178" s="258">
        <f t="shared" ca="1" si="177"/>
        <v>0</v>
      </c>
      <c r="L178" s="1008">
        <f t="shared" ca="1" si="178"/>
        <v>0</v>
      </c>
      <c r="M178" s="258">
        <f t="shared" ca="1" si="179"/>
        <v>0</v>
      </c>
      <c r="N178" s="258">
        <f t="shared" ca="1" si="180"/>
        <v>0</v>
      </c>
      <c r="O178" s="258">
        <f t="shared" ca="1" si="181"/>
        <v>0</v>
      </c>
      <c r="P178" s="258">
        <f t="shared" ca="1" si="182"/>
        <v>0</v>
      </c>
      <c r="Q178" s="258">
        <f t="shared" ca="1" si="183"/>
        <v>0</v>
      </c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1111"/>
      <c r="AR178" s="1112"/>
      <c r="AS178" s="1112"/>
      <c r="AT178" s="1112"/>
      <c r="AU178" s="1112"/>
      <c r="AV178" s="1113"/>
    </row>
    <row r="179" spans="1:48" ht="14.25" x14ac:dyDescent="0.2">
      <c r="A179" s="1104" t="s">
        <v>390</v>
      </c>
      <c r="B179" s="989"/>
      <c r="C179" s="989"/>
      <c r="D179" s="989"/>
      <c r="E179" s="258">
        <f t="shared" ca="1" si="171"/>
        <v>0</v>
      </c>
      <c r="F179" s="258">
        <f t="shared" ca="1" si="172"/>
        <v>1052639999.9999996</v>
      </c>
      <c r="G179" s="258">
        <f t="shared" ca="1" si="173"/>
        <v>3684239999.999999</v>
      </c>
      <c r="H179" s="1008">
        <f t="shared" ca="1" si="174"/>
        <v>5526359999.999999</v>
      </c>
      <c r="I179" s="258">
        <f t="shared" ca="1" si="175"/>
        <v>1052639999.999999</v>
      </c>
      <c r="J179" s="258">
        <f t="shared" ca="1" si="176"/>
        <v>2368439999.9999981</v>
      </c>
      <c r="K179" s="258">
        <f t="shared" ca="1" si="177"/>
        <v>5000039999.9999962</v>
      </c>
      <c r="L179" s="1008">
        <f t="shared" ca="1" si="178"/>
        <v>6842159999.9999933</v>
      </c>
      <c r="M179" s="258">
        <f t="shared" ca="1" si="179"/>
        <v>1052639999.9999982</v>
      </c>
      <c r="N179" s="258">
        <f t="shared" ca="1" si="180"/>
        <v>2368439999.9999962</v>
      </c>
      <c r="O179" s="258">
        <f t="shared" ca="1" si="181"/>
        <v>5000039999.9999933</v>
      </c>
      <c r="P179" s="258">
        <f t="shared" ca="1" si="182"/>
        <v>6842159999.9999905</v>
      </c>
      <c r="Q179" s="258">
        <f t="shared" ca="1" si="183"/>
        <v>6842159999.9999905</v>
      </c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1111"/>
      <c r="AR179" s="1112"/>
      <c r="AS179" s="1112"/>
      <c r="AT179" s="1112"/>
      <c r="AU179" s="1112"/>
      <c r="AV179" s="1113"/>
    </row>
    <row r="180" spans="1:48" ht="14.25" x14ac:dyDescent="0.2">
      <c r="A180" s="1104" t="s">
        <v>391</v>
      </c>
      <c r="B180" s="989"/>
      <c r="C180" s="989"/>
      <c r="D180" s="989"/>
      <c r="E180" s="258">
        <f t="shared" ca="1" si="171"/>
        <v>0</v>
      </c>
      <c r="F180" s="258">
        <f t="shared" ca="1" si="172"/>
        <v>0</v>
      </c>
      <c r="G180" s="258">
        <f t="shared" ca="1" si="173"/>
        <v>0</v>
      </c>
      <c r="H180" s="1008">
        <f t="shared" ca="1" si="174"/>
        <v>0</v>
      </c>
      <c r="I180" s="258">
        <f t="shared" ca="1" si="175"/>
        <v>0</v>
      </c>
      <c r="J180" s="258">
        <f t="shared" ca="1" si="176"/>
        <v>0</v>
      </c>
      <c r="K180" s="258">
        <f t="shared" ca="1" si="177"/>
        <v>0</v>
      </c>
      <c r="L180" s="1008">
        <f t="shared" ca="1" si="178"/>
        <v>0</v>
      </c>
      <c r="M180" s="258">
        <f t="shared" ca="1" si="179"/>
        <v>1097708728.5714293</v>
      </c>
      <c r="N180" s="258">
        <f t="shared" ca="1" si="180"/>
        <v>1097708728.5714293</v>
      </c>
      <c r="O180" s="258">
        <f t="shared" ca="1" si="181"/>
        <v>1097708728.5714293</v>
      </c>
      <c r="P180" s="258">
        <f t="shared" ca="1" si="182"/>
        <v>1097708728.5714293</v>
      </c>
      <c r="Q180" s="258">
        <f t="shared" ca="1" si="183"/>
        <v>1097708728.5714293</v>
      </c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1111"/>
      <c r="AR180" s="1112"/>
      <c r="AS180" s="1112"/>
      <c r="AT180" s="1112"/>
      <c r="AU180" s="1112"/>
      <c r="AV180" s="1113"/>
    </row>
    <row r="181" spans="1:48" ht="14.25" x14ac:dyDescent="0.2">
      <c r="A181" s="1099" t="s">
        <v>392</v>
      </c>
      <c r="B181" s="1105"/>
      <c r="C181" s="1105"/>
      <c r="D181" s="1105"/>
      <c r="E181" s="1092">
        <f t="shared" ca="1" si="171"/>
        <v>0</v>
      </c>
      <c r="F181" s="1092">
        <f t="shared" ca="1" si="172"/>
        <v>1052639999.9999996</v>
      </c>
      <c r="G181" s="1092">
        <f t="shared" ca="1" si="173"/>
        <v>3684239999.999999</v>
      </c>
      <c r="H181" s="1133">
        <f t="shared" ca="1" si="174"/>
        <v>5526359999.999999</v>
      </c>
      <c r="I181" s="1092">
        <f t="shared" ca="1" si="175"/>
        <v>1052639999.999999</v>
      </c>
      <c r="J181" s="1092">
        <f t="shared" ca="1" si="176"/>
        <v>2368439999.9999981</v>
      </c>
      <c r="K181" s="1092">
        <f t="shared" ca="1" si="177"/>
        <v>5000039999.9999962</v>
      </c>
      <c r="L181" s="1133">
        <f t="shared" ca="1" si="178"/>
        <v>6842159999.9999933</v>
      </c>
      <c r="M181" s="1092">
        <f t="shared" ca="1" si="179"/>
        <v>2150348728.5714278</v>
      </c>
      <c r="N181" s="1092">
        <f t="shared" ca="1" si="180"/>
        <v>3466148728.5714259</v>
      </c>
      <c r="O181" s="1092">
        <f t="shared" ca="1" si="181"/>
        <v>6097748728.5714235</v>
      </c>
      <c r="P181" s="1092">
        <f t="shared" ca="1" si="182"/>
        <v>7939868728.5714207</v>
      </c>
      <c r="Q181" s="1092">
        <f t="shared" ca="1" si="183"/>
        <v>7939868728.5714207</v>
      </c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1111"/>
      <c r="AR181" s="1112"/>
      <c r="AS181" s="1112"/>
      <c r="AT181" s="1112"/>
      <c r="AU181" s="1112"/>
      <c r="AV181" s="1113"/>
    </row>
    <row r="182" spans="1:48" ht="12.75" x14ac:dyDescent="0.2">
      <c r="A182" s="1102"/>
      <c r="B182" s="989"/>
      <c r="C182" s="989"/>
      <c r="D182" s="989"/>
      <c r="E182" s="258">
        <f t="shared" ca="1" si="171"/>
        <v>0</v>
      </c>
      <c r="F182" s="258">
        <f t="shared" ca="1" si="172"/>
        <v>0</v>
      </c>
      <c r="G182" s="258">
        <f t="shared" ca="1" si="173"/>
        <v>0</v>
      </c>
      <c r="H182" s="1008">
        <f t="shared" ca="1" si="174"/>
        <v>0</v>
      </c>
      <c r="I182" s="258">
        <f t="shared" ca="1" si="175"/>
        <v>0</v>
      </c>
      <c r="J182" s="258">
        <f t="shared" ca="1" si="176"/>
        <v>0</v>
      </c>
      <c r="K182" s="258">
        <f t="shared" ca="1" si="177"/>
        <v>0</v>
      </c>
      <c r="L182" s="1008">
        <f t="shared" ca="1" si="178"/>
        <v>0</v>
      </c>
      <c r="M182" s="258">
        <f t="shared" ca="1" si="179"/>
        <v>0</v>
      </c>
      <c r="N182" s="258">
        <f t="shared" ca="1" si="180"/>
        <v>0</v>
      </c>
      <c r="O182" s="258">
        <f t="shared" ca="1" si="181"/>
        <v>0</v>
      </c>
      <c r="P182" s="258">
        <f t="shared" ca="1" si="182"/>
        <v>0</v>
      </c>
      <c r="Q182" s="258">
        <f t="shared" ca="1" si="183"/>
        <v>0</v>
      </c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1111"/>
      <c r="AR182" s="1112"/>
      <c r="AS182" s="1112"/>
      <c r="AT182" s="1112"/>
      <c r="AU182" s="1112"/>
      <c r="AV182" s="1113"/>
    </row>
    <row r="183" spans="1:48" ht="14.25" x14ac:dyDescent="0.2">
      <c r="A183" s="1099" t="s">
        <v>393</v>
      </c>
      <c r="B183" s="1106"/>
      <c r="C183" s="1106"/>
      <c r="D183" s="1107"/>
      <c r="E183" s="1108">
        <f t="shared" ca="1" si="171"/>
        <v>-2358811526.893198</v>
      </c>
      <c r="F183" s="1108">
        <f t="shared" ca="1" si="172"/>
        <v>-5835075680.5560923</v>
      </c>
      <c r="G183" s="1108">
        <f t="shared" ca="1" si="173"/>
        <v>-5909762436.3290863</v>
      </c>
      <c r="H183" s="1135">
        <f t="shared" ca="1" si="174"/>
        <v>-5424449592.1020794</v>
      </c>
      <c r="I183" s="1108">
        <f t="shared" ca="1" si="175"/>
        <v>-55997778.473581374</v>
      </c>
      <c r="J183" s="1108">
        <f t="shared" ca="1" si="176"/>
        <v>1966007054.4031315</v>
      </c>
      <c r="K183" s="1108">
        <f t="shared" ca="1" si="177"/>
        <v>2868814498.6301389</v>
      </c>
      <c r="L183" s="1135">
        <f t="shared" ca="1" si="178"/>
        <v>5488543642.8571463</v>
      </c>
      <c r="M183" s="1108">
        <f t="shared" ca="1" si="179"/>
        <v>2606109992.9549909</v>
      </c>
      <c r="N183" s="1108">
        <f t="shared" ca="1" si="180"/>
        <v>9811201625.831707</v>
      </c>
      <c r="O183" s="1108">
        <f t="shared" ca="1" si="181"/>
        <v>17159595770.058716</v>
      </c>
      <c r="P183" s="1108">
        <f t="shared" ca="1" si="182"/>
        <v>23738862114.285721</v>
      </c>
      <c r="Q183" s="1136">
        <f t="shared" ca="1" si="183"/>
        <v>23738862114.285721</v>
      </c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1137"/>
      <c r="AR183" s="1138"/>
      <c r="AS183" s="1138"/>
      <c r="AT183" s="1138"/>
      <c r="AU183" s="1138"/>
      <c r="AV183" s="1139"/>
    </row>
    <row r="184" spans="1:48" ht="14.25" x14ac:dyDescent="0.2">
      <c r="A184" s="223"/>
      <c r="B184" s="224"/>
      <c r="C184" s="224"/>
      <c r="D184" s="224"/>
      <c r="E184" s="224"/>
      <c r="F184" s="224"/>
      <c r="G184" s="224"/>
      <c r="H184" s="224"/>
      <c r="I184" s="163"/>
      <c r="J184" s="163"/>
      <c r="K184" s="163"/>
      <c r="L184" s="163"/>
      <c r="M184" s="163"/>
      <c r="N184" s="163"/>
      <c r="O184" s="163"/>
      <c r="P184" s="163"/>
      <c r="Q184" s="1140"/>
      <c r="R184" s="784"/>
      <c r="S184" s="1140"/>
      <c r="T184" s="1140"/>
      <c r="U184" s="1140"/>
      <c r="V184" s="1140"/>
      <c r="W184" s="1140"/>
      <c r="X184" s="1140"/>
      <c r="Y184" s="1140"/>
      <c r="Z184" s="1140"/>
      <c r="AA184" s="1140"/>
      <c r="AB184" s="1140"/>
      <c r="AC184" s="1140"/>
      <c r="AD184" s="1140"/>
      <c r="AE184" s="784"/>
      <c r="AF184" s="1140"/>
      <c r="AG184" s="1140"/>
      <c r="AH184" s="1140"/>
      <c r="AI184" s="1140"/>
      <c r="AJ184" s="1140"/>
      <c r="AK184" s="1140"/>
      <c r="AL184" s="1140"/>
      <c r="AM184" s="1140"/>
      <c r="AN184" s="1140"/>
      <c r="AO184" s="1140"/>
      <c r="AP184" s="1140"/>
      <c r="AQ184" s="1127"/>
      <c r="AR184" s="1127"/>
      <c r="AS184" s="1127"/>
      <c r="AT184" s="1127"/>
      <c r="AU184" s="1127"/>
      <c r="AV184" s="1127"/>
    </row>
    <row r="185" spans="1:48" ht="14.25" x14ac:dyDescent="0.2">
      <c r="A185" s="227"/>
      <c r="B185" s="225"/>
      <c r="C185" s="225"/>
      <c r="D185" s="225"/>
      <c r="E185" s="225"/>
      <c r="F185" s="225"/>
      <c r="G185" s="225"/>
      <c r="H185" s="225"/>
      <c r="I185" s="163"/>
      <c r="J185" s="163"/>
      <c r="K185" s="163"/>
      <c r="L185" s="163"/>
      <c r="M185" s="163"/>
      <c r="N185" s="163"/>
      <c r="O185" s="163"/>
      <c r="P185" s="163"/>
      <c r="Q185" s="1140"/>
      <c r="R185" s="784"/>
      <c r="S185" s="1140"/>
      <c r="T185" s="1140"/>
      <c r="U185" s="1140"/>
      <c r="V185" s="1140"/>
      <c r="W185" s="1140"/>
      <c r="X185" s="1140"/>
      <c r="Y185" s="1140"/>
      <c r="Z185" s="1140"/>
      <c r="AA185" s="1140"/>
      <c r="AB185" s="1140"/>
      <c r="AC185" s="1140"/>
      <c r="AD185" s="1140"/>
      <c r="AE185" s="784"/>
      <c r="AF185" s="1140"/>
      <c r="AG185" s="1140"/>
      <c r="AH185" s="1140"/>
      <c r="AI185" s="1140"/>
      <c r="AJ185" s="1140"/>
      <c r="AK185" s="1140"/>
      <c r="AL185" s="1140"/>
      <c r="AM185" s="1140"/>
      <c r="AN185" s="1140"/>
      <c r="AO185" s="1140"/>
      <c r="AP185" s="1140"/>
      <c r="AQ185" s="1127"/>
      <c r="AR185" s="1127"/>
      <c r="AS185" s="1127"/>
      <c r="AT185" s="1127"/>
      <c r="AU185" s="1127"/>
      <c r="AV185" s="1127"/>
    </row>
    <row r="186" spans="1:48" ht="14.25" x14ac:dyDescent="0.2">
      <c r="A186" s="227"/>
      <c r="B186" s="225"/>
      <c r="C186" s="225"/>
      <c r="D186" s="225"/>
      <c r="E186" s="225"/>
      <c r="F186" s="225"/>
      <c r="G186" s="225"/>
      <c r="H186" s="225"/>
      <c r="I186" s="163"/>
      <c r="J186" s="163"/>
      <c r="K186" s="163"/>
      <c r="L186" s="163"/>
      <c r="M186" s="163"/>
      <c r="N186" s="163"/>
      <c r="O186" s="163"/>
      <c r="P186" s="163"/>
      <c r="Q186" s="1140"/>
      <c r="R186" s="784"/>
      <c r="S186" s="1140"/>
      <c r="T186" s="1140"/>
      <c r="U186" s="1140"/>
      <c r="V186" s="1140"/>
      <c r="W186" s="1140"/>
      <c r="X186" s="1140"/>
      <c r="Y186" s="1140"/>
      <c r="Z186" s="1140"/>
      <c r="AA186" s="1140"/>
      <c r="AB186" s="1140"/>
      <c r="AC186" s="1140"/>
      <c r="AD186" s="1140"/>
      <c r="AE186" s="784"/>
      <c r="AF186" s="1140"/>
      <c r="AG186" s="1140"/>
      <c r="AH186" s="1140"/>
      <c r="AI186" s="1140"/>
      <c r="AJ186" s="1140"/>
      <c r="AK186" s="1140"/>
      <c r="AL186" s="1140"/>
      <c r="AM186" s="1140"/>
      <c r="AN186" s="1140"/>
      <c r="AO186" s="1140"/>
      <c r="AP186" s="1140"/>
      <c r="AQ186" s="1127"/>
      <c r="AR186" s="1127"/>
      <c r="AS186" s="1127"/>
      <c r="AT186" s="1127"/>
      <c r="AU186" s="1127"/>
      <c r="AV186" s="1127"/>
    </row>
    <row r="187" spans="1:48" ht="14.25" x14ac:dyDescent="0.2">
      <c r="A187" s="227"/>
      <c r="B187" s="225"/>
      <c r="C187" s="225"/>
      <c r="D187" s="225"/>
      <c r="E187" s="225"/>
      <c r="F187" s="225"/>
      <c r="G187" s="225"/>
      <c r="H187" s="225"/>
      <c r="I187" s="163"/>
      <c r="J187" s="163"/>
      <c r="K187" s="163"/>
      <c r="L187" s="163"/>
      <c r="M187" s="163"/>
      <c r="N187" s="163"/>
      <c r="O187" s="163"/>
      <c r="P187" s="163"/>
      <c r="Q187" s="1140"/>
      <c r="R187" s="784"/>
      <c r="S187" s="1140"/>
      <c r="T187" s="1140"/>
      <c r="U187" s="1140"/>
      <c r="V187" s="1140"/>
      <c r="W187" s="1140"/>
      <c r="X187" s="1140"/>
      <c r="Y187" s="1140"/>
      <c r="Z187" s="1140"/>
      <c r="AA187" s="1140"/>
      <c r="AB187" s="1140"/>
      <c r="AC187" s="1140"/>
      <c r="AD187" s="1140"/>
      <c r="AE187" s="784"/>
      <c r="AF187" s="1140"/>
      <c r="AG187" s="1140"/>
      <c r="AH187" s="1140"/>
      <c r="AI187" s="1140"/>
      <c r="AJ187" s="1140"/>
      <c r="AK187" s="1140"/>
      <c r="AL187" s="1140"/>
      <c r="AM187" s="1140"/>
      <c r="AN187" s="1140"/>
      <c r="AO187" s="1140"/>
      <c r="AP187" s="1140"/>
      <c r="AQ187" s="1127"/>
      <c r="AR187" s="1127"/>
      <c r="AS187" s="1127"/>
      <c r="AT187" s="1127"/>
      <c r="AU187" s="1127"/>
      <c r="AV187" s="1127"/>
    </row>
    <row r="188" spans="1:48" ht="14.25" x14ac:dyDescent="0.2">
      <c r="A188" s="227"/>
      <c r="B188" s="802"/>
      <c r="C188" s="802"/>
      <c r="D188" s="802"/>
      <c r="E188" s="1128"/>
      <c r="F188" s="1128"/>
      <c r="G188" s="1128"/>
      <c r="H188" s="1128"/>
      <c r="I188" s="353"/>
      <c r="J188" s="353"/>
      <c r="K188" s="353"/>
      <c r="L188" s="353"/>
      <c r="M188" s="353"/>
      <c r="N188" s="353"/>
      <c r="O188" s="353"/>
      <c r="P188" s="353"/>
      <c r="Q188" s="1140"/>
      <c r="R188" s="784"/>
      <c r="S188" s="1140"/>
      <c r="T188" s="1140"/>
      <c r="U188" s="1140"/>
      <c r="V188" s="1140"/>
      <c r="W188" s="1140"/>
      <c r="X188" s="1140"/>
      <c r="Y188" s="1140"/>
      <c r="Z188" s="1140"/>
      <c r="AA188" s="1140"/>
      <c r="AB188" s="1140"/>
      <c r="AC188" s="1140"/>
      <c r="AD188" s="1140"/>
      <c r="AE188" s="784"/>
      <c r="AF188" s="1140"/>
      <c r="AG188" s="1140"/>
      <c r="AH188" s="1140"/>
      <c r="AI188" s="1140"/>
      <c r="AJ188" s="1140"/>
      <c r="AK188" s="1140"/>
      <c r="AL188" s="1140"/>
      <c r="AM188" s="1140"/>
      <c r="AN188" s="1140"/>
      <c r="AO188" s="1140"/>
      <c r="AP188" s="1140"/>
      <c r="AQ188" s="1127"/>
      <c r="AR188" s="1127"/>
      <c r="AS188" s="1127"/>
      <c r="AT188" s="1127"/>
      <c r="AU188" s="1127"/>
      <c r="AV188" s="1127"/>
    </row>
    <row r="189" spans="1:48" ht="18" x14ac:dyDescent="0.25">
      <c r="A189" s="1119" t="s">
        <v>398</v>
      </c>
      <c r="B189" s="243"/>
      <c r="C189" s="243"/>
      <c r="D189" s="243"/>
      <c r="E189" s="1077" t="s">
        <v>399</v>
      </c>
      <c r="F189" s="1078" t="s">
        <v>400</v>
      </c>
      <c r="G189" s="1078" t="s">
        <v>401</v>
      </c>
      <c r="H189" s="504"/>
      <c r="I189" s="1141" t="s">
        <v>402</v>
      </c>
      <c r="J189" s="1142" t="s">
        <v>399</v>
      </c>
      <c r="K189" s="1143" t="s">
        <v>400</v>
      </c>
      <c r="L189" s="1143" t="s">
        <v>401</v>
      </c>
      <c r="M189" s="318"/>
      <c r="N189" s="281"/>
      <c r="O189" s="319"/>
      <c r="P189" s="504"/>
      <c r="Q189" s="1140"/>
      <c r="R189" s="784"/>
      <c r="S189" s="1140"/>
      <c r="T189" s="1140"/>
      <c r="U189" s="1140"/>
      <c r="V189" s="1140"/>
      <c r="W189" s="1140"/>
      <c r="X189" s="1140"/>
      <c r="Y189" s="1140"/>
      <c r="Z189" s="1140"/>
      <c r="AA189" s="1140"/>
      <c r="AB189" s="1140"/>
      <c r="AC189" s="1140"/>
      <c r="AD189" s="1140"/>
      <c r="AE189" s="784"/>
      <c r="AF189" s="1140"/>
      <c r="AG189" s="1140"/>
      <c r="AH189" s="1140"/>
      <c r="AI189" s="1140"/>
      <c r="AJ189" s="1140"/>
      <c r="AK189" s="1140"/>
      <c r="AL189" s="1140"/>
      <c r="AM189" s="1140"/>
      <c r="AN189" s="1140"/>
      <c r="AO189" s="1140"/>
      <c r="AP189" s="1140"/>
      <c r="AQ189" s="1127"/>
      <c r="AR189" s="1127"/>
      <c r="AS189" s="1127"/>
      <c r="AT189" s="1127"/>
      <c r="AU189" s="1127"/>
      <c r="AV189" s="1127"/>
    </row>
    <row r="190" spans="1:48" ht="14.25" x14ac:dyDescent="0.2">
      <c r="A190" s="1085" t="s">
        <v>385</v>
      </c>
      <c r="B190" s="258"/>
      <c r="C190" s="258"/>
      <c r="D190" s="258"/>
      <c r="E190" s="1086">
        <f t="shared" ref="E190:E231" si="184">H133</f>
        <v>0</v>
      </c>
      <c r="F190" s="258">
        <f t="shared" ref="F190:F231" si="185">L133</f>
        <v>0</v>
      </c>
      <c r="G190" s="258">
        <f t="shared" ref="G190:G231" si="186">P133</f>
        <v>0</v>
      </c>
      <c r="H190" s="784"/>
      <c r="I190" s="1085" t="str">
        <f>A190</f>
        <v>REVENUES</v>
      </c>
      <c r="J190" s="1144">
        <f t="shared" ref="J190:L190" si="187">E193</f>
        <v>57423030000</v>
      </c>
      <c r="K190" s="1145">
        <f t="shared" si="187"/>
        <v>117023760000</v>
      </c>
      <c r="L190" s="1145">
        <f t="shared" si="187"/>
        <v>193761050000</v>
      </c>
      <c r="M190" s="357"/>
      <c r="N190" s="163"/>
      <c r="O190" s="321"/>
      <c r="P190" s="784"/>
      <c r="Q190" s="1140"/>
      <c r="R190" s="784"/>
      <c r="S190" s="1140"/>
      <c r="T190" s="1140"/>
      <c r="U190" s="1140"/>
      <c r="V190" s="1140"/>
      <c r="W190" s="1140"/>
      <c r="X190" s="1140"/>
      <c r="Y190" s="1140"/>
      <c r="Z190" s="1140"/>
      <c r="AA190" s="1140"/>
      <c r="AB190" s="1140"/>
      <c r="AC190" s="1140"/>
      <c r="AD190" s="1140"/>
      <c r="AE190" s="784"/>
      <c r="AF190" s="1140"/>
      <c r="AG190" s="1140"/>
      <c r="AH190" s="1140"/>
      <c r="AI190" s="1140"/>
      <c r="AJ190" s="1140"/>
      <c r="AK190" s="1140"/>
      <c r="AL190" s="1140"/>
      <c r="AM190" s="1140"/>
      <c r="AN190" s="1140"/>
      <c r="AO190" s="1140"/>
      <c r="AP190" s="1140"/>
      <c r="AQ190" s="1127"/>
      <c r="AR190" s="1127"/>
      <c r="AS190" s="1127"/>
      <c r="AT190" s="1127"/>
      <c r="AU190" s="1127"/>
      <c r="AV190" s="1127"/>
    </row>
    <row r="191" spans="1:48" ht="14.25" x14ac:dyDescent="0.2">
      <c r="A191" s="1091" t="s">
        <v>231</v>
      </c>
      <c r="B191" s="258"/>
      <c r="C191" s="258"/>
      <c r="D191" s="258"/>
      <c r="E191" s="1086">
        <f t="shared" si="184"/>
        <v>57423030000</v>
      </c>
      <c r="F191" s="258">
        <f t="shared" si="185"/>
        <v>107309160000</v>
      </c>
      <c r="G191" s="258">
        <f t="shared" si="186"/>
        <v>114784950000</v>
      </c>
      <c r="H191" s="784"/>
      <c r="I191" s="1091" t="str">
        <f>A195</f>
        <v>COST OF GOODS SOLD</v>
      </c>
      <c r="J191" s="1146">
        <f t="shared" ref="J191:L191" ca="1" si="188">E203</f>
        <v>48511441792.102081</v>
      </c>
      <c r="K191" s="1103">
        <f t="shared" ca="1" si="188"/>
        <v>88985782857.142853</v>
      </c>
      <c r="L191" s="1103">
        <f t="shared" ca="1" si="188"/>
        <v>138995222857.14285</v>
      </c>
      <c r="M191" s="357"/>
      <c r="N191" s="163"/>
      <c r="O191" s="321"/>
      <c r="P191" s="784"/>
      <c r="Q191" s="1140"/>
      <c r="R191" s="784"/>
      <c r="S191" s="1140"/>
      <c r="T191" s="1140"/>
      <c r="U191" s="1140"/>
      <c r="V191" s="1140"/>
      <c r="W191" s="1140"/>
      <c r="X191" s="1140"/>
      <c r="Y191" s="1140"/>
      <c r="Z191" s="1140"/>
      <c r="AA191" s="1140"/>
      <c r="AB191" s="1140"/>
      <c r="AC191" s="1140"/>
      <c r="AD191" s="1140"/>
      <c r="AE191" s="784"/>
      <c r="AF191" s="1140"/>
      <c r="AG191" s="1140"/>
      <c r="AH191" s="1140"/>
      <c r="AI191" s="1140"/>
      <c r="AJ191" s="1140"/>
      <c r="AK191" s="1140"/>
      <c r="AL191" s="1140"/>
      <c r="AM191" s="1140"/>
      <c r="AN191" s="1140"/>
      <c r="AO191" s="1140"/>
      <c r="AP191" s="1140"/>
      <c r="AQ191" s="1127"/>
      <c r="AR191" s="1127"/>
      <c r="AS191" s="1127"/>
      <c r="AT191" s="1127"/>
      <c r="AU191" s="1127"/>
      <c r="AV191" s="1127"/>
    </row>
    <row r="192" spans="1:48" ht="14.25" x14ac:dyDescent="0.2">
      <c r="A192" s="1091" t="s">
        <v>232</v>
      </c>
      <c r="B192" s="258"/>
      <c r="C192" s="258"/>
      <c r="D192" s="258"/>
      <c r="E192" s="1086">
        <f t="shared" si="184"/>
        <v>0</v>
      </c>
      <c r="F192" s="258">
        <f t="shared" si="185"/>
        <v>9714600000</v>
      </c>
      <c r="G192" s="258">
        <f t="shared" si="186"/>
        <v>78976100000</v>
      </c>
      <c r="H192" s="784"/>
      <c r="I192" s="1091" t="str">
        <f>A205</f>
        <v>GROSS PROFIT (LOSS)</v>
      </c>
      <c r="J192" s="1146">
        <f t="shared" ref="J192:L192" ca="1" si="189">E205</f>
        <v>8911588207.8979206</v>
      </c>
      <c r="K192" s="1103">
        <f t="shared" ca="1" si="189"/>
        <v>28037977142.85714</v>
      </c>
      <c r="L192" s="1103">
        <f t="shared" ca="1" si="189"/>
        <v>54765827142.85714</v>
      </c>
      <c r="M192" s="357"/>
      <c r="N192" s="163"/>
      <c r="O192" s="321"/>
      <c r="P192" s="784"/>
      <c r="Q192" s="1140"/>
      <c r="R192" s="784"/>
      <c r="S192" s="1140"/>
      <c r="T192" s="1140"/>
      <c r="U192" s="1140"/>
      <c r="V192" s="1140"/>
      <c r="W192" s="1140"/>
      <c r="X192" s="1140"/>
      <c r="Y192" s="1140"/>
      <c r="Z192" s="1140"/>
      <c r="AA192" s="1140"/>
      <c r="AB192" s="1140"/>
      <c r="AC192" s="1140"/>
      <c r="AD192" s="1140"/>
      <c r="AE192" s="784"/>
      <c r="AF192" s="1140"/>
      <c r="AG192" s="1140"/>
      <c r="AH192" s="1140"/>
      <c r="AI192" s="1140"/>
      <c r="AJ192" s="1140"/>
      <c r="AK192" s="1140"/>
      <c r="AL192" s="1140"/>
      <c r="AM192" s="1140"/>
      <c r="AN192" s="1140"/>
      <c r="AO192" s="1140"/>
      <c r="AP192" s="1140"/>
      <c r="AQ192" s="1127"/>
      <c r="AR192" s="1127"/>
      <c r="AS192" s="1127"/>
      <c r="AT192" s="1127"/>
      <c r="AU192" s="1127"/>
      <c r="AV192" s="1127"/>
    </row>
    <row r="193" spans="1:48" ht="14.25" x14ac:dyDescent="0.2">
      <c r="A193" s="1085" t="s">
        <v>386</v>
      </c>
      <c r="B193" s="1092"/>
      <c r="C193" s="1092"/>
      <c r="D193" s="1092"/>
      <c r="E193" s="1093">
        <f t="shared" si="184"/>
        <v>57423030000</v>
      </c>
      <c r="F193" s="1092">
        <f t="shared" si="185"/>
        <v>117023760000</v>
      </c>
      <c r="G193" s="1092">
        <f t="shared" si="186"/>
        <v>193761050000</v>
      </c>
      <c r="H193" s="793"/>
      <c r="I193" s="1085" t="str">
        <f>A207</f>
        <v>OPERATING EXPENSES</v>
      </c>
      <c r="J193" s="1147">
        <f t="shared" ref="J193:L193" ca="1" si="190">E231</f>
        <v>8809677800</v>
      </c>
      <c r="K193" s="1101">
        <f t="shared" ca="1" si="190"/>
        <v>15707273500</v>
      </c>
      <c r="L193" s="1101">
        <f t="shared" ca="1" si="190"/>
        <v>23087096300</v>
      </c>
      <c r="M193" s="357"/>
      <c r="N193" s="163"/>
      <c r="O193" s="321"/>
      <c r="P193" s="793"/>
      <c r="Q193" s="1140"/>
      <c r="R193" s="784"/>
      <c r="S193" s="1140"/>
      <c r="T193" s="1140"/>
      <c r="U193" s="1140"/>
      <c r="V193" s="1140"/>
      <c r="W193" s="1140"/>
      <c r="X193" s="1140"/>
      <c r="Y193" s="1140"/>
      <c r="Z193" s="1140"/>
      <c r="AA193" s="1140"/>
      <c r="AB193" s="1140"/>
      <c r="AC193" s="1140"/>
      <c r="AD193" s="1140"/>
      <c r="AE193" s="784"/>
      <c r="AF193" s="1140"/>
      <c r="AG193" s="1140"/>
      <c r="AH193" s="1140"/>
      <c r="AI193" s="1140"/>
      <c r="AJ193" s="1140"/>
      <c r="AK193" s="1140"/>
      <c r="AL193" s="1140"/>
      <c r="AM193" s="1140"/>
      <c r="AN193" s="1140"/>
      <c r="AO193" s="1140"/>
      <c r="AP193" s="1140"/>
      <c r="AQ193" s="1127"/>
      <c r="AR193" s="1127"/>
      <c r="AS193" s="1127"/>
      <c r="AT193" s="1127"/>
      <c r="AU193" s="1127"/>
      <c r="AV193" s="1127"/>
    </row>
    <row r="194" spans="1:48" ht="14.25" x14ac:dyDescent="0.2">
      <c r="A194" s="1087"/>
      <c r="B194" s="258"/>
      <c r="C194" s="258"/>
      <c r="D194" s="258"/>
      <c r="E194" s="1086">
        <f t="shared" si="184"/>
        <v>0</v>
      </c>
      <c r="F194" s="258">
        <f t="shared" si="185"/>
        <v>0</v>
      </c>
      <c r="G194" s="258">
        <f t="shared" si="186"/>
        <v>0</v>
      </c>
      <c r="H194" s="784"/>
      <c r="I194" s="1087" t="s">
        <v>403</v>
      </c>
      <c r="J194" s="1146">
        <f t="shared" ref="J194:L194" ca="1" si="191">E233</f>
        <v>101910407.89792061</v>
      </c>
      <c r="K194" s="1103">
        <f t="shared" ca="1" si="191"/>
        <v>12330703642.857141</v>
      </c>
      <c r="L194" s="1103">
        <f t="shared" ca="1" si="191"/>
        <v>31678730842.85714</v>
      </c>
      <c r="M194" s="357"/>
      <c r="N194" s="163"/>
      <c r="O194" s="321"/>
      <c r="P194" s="784"/>
      <c r="Q194" s="1140"/>
      <c r="R194" s="784"/>
      <c r="S194" s="1140"/>
      <c r="T194" s="1140"/>
      <c r="U194" s="1140"/>
      <c r="V194" s="1140"/>
      <c r="W194" s="1140"/>
      <c r="X194" s="1140"/>
      <c r="Y194" s="1140"/>
      <c r="Z194" s="1140"/>
      <c r="AA194" s="1140"/>
      <c r="AB194" s="1140"/>
      <c r="AC194" s="1140"/>
      <c r="AD194" s="1140"/>
      <c r="AE194" s="784"/>
      <c r="AF194" s="1140"/>
      <c r="AG194" s="1140"/>
      <c r="AH194" s="1140"/>
      <c r="AI194" s="1140"/>
      <c r="AJ194" s="1140"/>
      <c r="AK194" s="1140"/>
      <c r="AL194" s="1140"/>
      <c r="AM194" s="1140"/>
      <c r="AN194" s="1140"/>
      <c r="AO194" s="1140"/>
      <c r="AP194" s="1140"/>
      <c r="AQ194" s="1127"/>
      <c r="AR194" s="1127"/>
      <c r="AS194" s="1127"/>
      <c r="AT194" s="1127"/>
      <c r="AU194" s="1127"/>
      <c r="AV194" s="1127"/>
    </row>
    <row r="195" spans="1:48" ht="14.25" x14ac:dyDescent="0.2">
      <c r="A195" s="1085" t="s">
        <v>229</v>
      </c>
      <c r="B195" s="258"/>
      <c r="C195" s="258"/>
      <c r="D195" s="258"/>
      <c r="E195" s="1086">
        <f t="shared" si="184"/>
        <v>0</v>
      </c>
      <c r="F195" s="258">
        <f t="shared" si="185"/>
        <v>0</v>
      </c>
      <c r="G195" s="258">
        <f t="shared" si="186"/>
        <v>0</v>
      </c>
      <c r="H195" s="784"/>
      <c r="I195" s="1085" t="str">
        <f t="shared" ref="I195:I196" si="192">A236</f>
        <v>Interest Expense</v>
      </c>
      <c r="J195" s="1146">
        <f t="shared" ref="J195:L195" ca="1" si="193">E236</f>
        <v>5526359999.999999</v>
      </c>
      <c r="K195" s="1103">
        <f t="shared" ca="1" si="193"/>
        <v>6842159999.9999933</v>
      </c>
      <c r="L195" s="1103">
        <f t="shared" ca="1" si="193"/>
        <v>6842159999.9999905</v>
      </c>
      <c r="M195" s="357"/>
      <c r="N195" s="163"/>
      <c r="O195" s="321"/>
      <c r="P195" s="784"/>
      <c r="Q195" s="1140"/>
      <c r="R195" s="784"/>
      <c r="S195" s="1140"/>
      <c r="T195" s="1140"/>
      <c r="U195" s="1140"/>
      <c r="V195" s="1140"/>
      <c r="W195" s="1140"/>
      <c r="X195" s="1140"/>
      <c r="Y195" s="1140"/>
      <c r="Z195" s="1140"/>
      <c r="AA195" s="1140"/>
      <c r="AB195" s="1140"/>
      <c r="AC195" s="1140"/>
      <c r="AD195" s="1140"/>
      <c r="AE195" s="784"/>
      <c r="AF195" s="1140"/>
      <c r="AG195" s="1140"/>
      <c r="AH195" s="1140"/>
      <c r="AI195" s="1140"/>
      <c r="AJ195" s="1140"/>
      <c r="AK195" s="1140"/>
      <c r="AL195" s="1140"/>
      <c r="AM195" s="1140"/>
      <c r="AN195" s="1140"/>
      <c r="AO195" s="1140"/>
      <c r="AP195" s="1140"/>
      <c r="AQ195" s="1127"/>
      <c r="AR195" s="1127"/>
      <c r="AS195" s="1127"/>
      <c r="AT195" s="1127"/>
      <c r="AU195" s="1127"/>
      <c r="AV195" s="1127"/>
    </row>
    <row r="196" spans="1:48" ht="14.25" x14ac:dyDescent="0.2">
      <c r="A196" s="1091" t="s">
        <v>230</v>
      </c>
      <c r="B196" s="258"/>
      <c r="C196" s="258"/>
      <c r="D196" s="258"/>
      <c r="E196" s="1086">
        <f t="shared" si="184"/>
        <v>0</v>
      </c>
      <c r="F196" s="258">
        <f t="shared" si="185"/>
        <v>0</v>
      </c>
      <c r="G196" s="258">
        <f t="shared" si="186"/>
        <v>0</v>
      </c>
      <c r="H196" s="784"/>
      <c r="I196" s="1091" t="str">
        <f t="shared" si="192"/>
        <v>Income Tax Expense</v>
      </c>
      <c r="J196" s="1146">
        <f t="shared" ref="J196:L196" ca="1" si="194">E237</f>
        <v>0</v>
      </c>
      <c r="K196" s="1103">
        <f t="shared" ca="1" si="194"/>
        <v>0</v>
      </c>
      <c r="L196" s="1103">
        <f t="shared" ca="1" si="194"/>
        <v>1097708728.5714293</v>
      </c>
      <c r="M196" s="357"/>
      <c r="N196" s="163"/>
      <c r="O196" s="321"/>
      <c r="P196" s="784"/>
      <c r="Q196" s="1140"/>
      <c r="R196" s="784"/>
      <c r="S196" s="1140"/>
      <c r="T196" s="1140"/>
      <c r="U196" s="1140"/>
      <c r="V196" s="1140"/>
      <c r="W196" s="1140"/>
      <c r="X196" s="1140"/>
      <c r="Y196" s="1140"/>
      <c r="Z196" s="1140"/>
      <c r="AA196" s="1140"/>
      <c r="AB196" s="1140"/>
      <c r="AC196" s="1140"/>
      <c r="AD196" s="1140"/>
      <c r="AE196" s="784"/>
      <c r="AF196" s="1140"/>
      <c r="AG196" s="1140"/>
      <c r="AH196" s="1140"/>
      <c r="AI196" s="1140"/>
      <c r="AJ196" s="1140"/>
      <c r="AK196" s="1140"/>
      <c r="AL196" s="1140"/>
      <c r="AM196" s="1140"/>
      <c r="AN196" s="1140"/>
      <c r="AO196" s="1140"/>
      <c r="AP196" s="1140"/>
      <c r="AQ196" s="1127"/>
      <c r="AR196" s="1127"/>
      <c r="AS196" s="1127"/>
      <c r="AT196" s="1127"/>
      <c r="AU196" s="1127"/>
      <c r="AV196" s="1127"/>
    </row>
    <row r="197" spans="1:48" ht="14.25" x14ac:dyDescent="0.2">
      <c r="A197" s="1091" t="s">
        <v>231</v>
      </c>
      <c r="B197" s="258"/>
      <c r="C197" s="258"/>
      <c r="D197" s="258"/>
      <c r="E197" s="1086">
        <f t="shared" si="184"/>
        <v>31305750000</v>
      </c>
      <c r="F197" s="258">
        <f t="shared" si="185"/>
        <v>58430700000</v>
      </c>
      <c r="G197" s="258">
        <f t="shared" si="186"/>
        <v>62480850000</v>
      </c>
      <c r="H197" s="784"/>
      <c r="I197" s="1091" t="str">
        <f>A240</f>
        <v>NET INCOME (LOSS)</v>
      </c>
      <c r="J197" s="1146">
        <f t="shared" ref="J197:L197" ca="1" si="195">E240</f>
        <v>-5424449592.1020794</v>
      </c>
      <c r="K197" s="1103">
        <f t="shared" ca="1" si="195"/>
        <v>5488543642.8571463</v>
      </c>
      <c r="L197" s="1103">
        <f t="shared" ca="1" si="195"/>
        <v>23738862114.285721</v>
      </c>
      <c r="M197" s="357"/>
      <c r="N197" s="163"/>
      <c r="O197" s="321"/>
      <c r="P197" s="784"/>
      <c r="Q197" s="1140"/>
      <c r="R197" s="784"/>
      <c r="S197" s="1140"/>
      <c r="T197" s="1140"/>
      <c r="U197" s="1140"/>
      <c r="V197" s="1140"/>
      <c r="W197" s="1140"/>
      <c r="X197" s="1140"/>
      <c r="Y197" s="1140"/>
      <c r="Z197" s="1140"/>
      <c r="AA197" s="1140"/>
      <c r="AB197" s="1140"/>
      <c r="AC197" s="1140"/>
      <c r="AD197" s="1140"/>
      <c r="AE197" s="784"/>
      <c r="AF197" s="1140"/>
      <c r="AG197" s="1140"/>
      <c r="AH197" s="1140"/>
      <c r="AI197" s="1140"/>
      <c r="AJ197" s="1140"/>
      <c r="AK197" s="1140"/>
      <c r="AL197" s="1140"/>
      <c r="AM197" s="1140"/>
      <c r="AN197" s="1140"/>
      <c r="AO197" s="1140"/>
      <c r="AP197" s="1140"/>
      <c r="AQ197" s="1127"/>
      <c r="AR197" s="1127"/>
      <c r="AS197" s="1127"/>
      <c r="AT197" s="1127"/>
      <c r="AU197" s="1127"/>
      <c r="AV197" s="1127"/>
    </row>
    <row r="198" spans="1:48" ht="14.25" x14ac:dyDescent="0.2">
      <c r="A198" s="1091" t="s">
        <v>232</v>
      </c>
      <c r="B198" s="258"/>
      <c r="C198" s="258"/>
      <c r="D198" s="258"/>
      <c r="E198" s="1086">
        <f t="shared" si="184"/>
        <v>0</v>
      </c>
      <c r="F198" s="258">
        <f t="shared" si="185"/>
        <v>6480000000</v>
      </c>
      <c r="G198" s="258">
        <f t="shared" si="186"/>
        <v>51915600000</v>
      </c>
      <c r="H198" s="784"/>
      <c r="I198" s="1091"/>
      <c r="J198" s="1146"/>
      <c r="K198" s="1103"/>
      <c r="L198" s="1103"/>
      <c r="M198" s="357"/>
      <c r="N198" s="163"/>
      <c r="O198" s="321"/>
      <c r="P198" s="784"/>
      <c r="Q198" s="1140"/>
      <c r="R198" s="784"/>
      <c r="S198" s="1140"/>
      <c r="T198" s="1140"/>
      <c r="U198" s="1140"/>
      <c r="V198" s="1140"/>
      <c r="W198" s="1140"/>
      <c r="X198" s="1140"/>
      <c r="Y198" s="1140"/>
      <c r="Z198" s="1140"/>
      <c r="AA198" s="1140"/>
      <c r="AB198" s="1140"/>
      <c r="AC198" s="1140"/>
      <c r="AD198" s="1140"/>
      <c r="AE198" s="784"/>
      <c r="AF198" s="1140"/>
      <c r="AG198" s="1140"/>
      <c r="AH198" s="1140"/>
      <c r="AI198" s="1140"/>
      <c r="AJ198" s="1140"/>
      <c r="AK198" s="1140"/>
      <c r="AL198" s="1140"/>
      <c r="AM198" s="1140"/>
      <c r="AN198" s="1140"/>
      <c r="AO198" s="1140"/>
      <c r="AP198" s="1140"/>
      <c r="AQ198" s="1127"/>
      <c r="AR198" s="1127"/>
      <c r="AS198" s="1127"/>
      <c r="AT198" s="1127"/>
      <c r="AU198" s="1127"/>
      <c r="AV198" s="1127"/>
    </row>
    <row r="199" spans="1:48" ht="14.25" x14ac:dyDescent="0.2">
      <c r="A199" s="1091" t="s">
        <v>233</v>
      </c>
      <c r="B199" s="258"/>
      <c r="C199" s="258"/>
      <c r="D199" s="258"/>
      <c r="E199" s="1086">
        <f t="shared" si="184"/>
        <v>8343417819.499341</v>
      </c>
      <c r="F199" s="258">
        <f t="shared" si="185"/>
        <v>12576750000</v>
      </c>
      <c r="G199" s="258">
        <f t="shared" si="186"/>
        <v>12744000000</v>
      </c>
      <c r="H199" s="784"/>
      <c r="I199" s="1091"/>
      <c r="J199" s="1146"/>
      <c r="K199" s="1103"/>
      <c r="L199" s="1103"/>
      <c r="M199" s="357"/>
      <c r="N199" s="163"/>
      <c r="O199" s="321"/>
      <c r="P199" s="784"/>
      <c r="Q199" s="1140"/>
      <c r="R199" s="784"/>
      <c r="S199" s="1140"/>
      <c r="T199" s="1140"/>
      <c r="U199" s="1140"/>
      <c r="V199" s="1140"/>
      <c r="W199" s="1140"/>
      <c r="X199" s="1140"/>
      <c r="Y199" s="1140"/>
      <c r="Z199" s="1140"/>
      <c r="AA199" s="1140"/>
      <c r="AB199" s="1140"/>
      <c r="AC199" s="1140"/>
      <c r="AD199" s="1140"/>
      <c r="AE199" s="784"/>
      <c r="AF199" s="1140"/>
      <c r="AG199" s="1140"/>
      <c r="AH199" s="1140"/>
      <c r="AI199" s="1140"/>
      <c r="AJ199" s="1140"/>
      <c r="AK199" s="1140"/>
      <c r="AL199" s="1140"/>
      <c r="AM199" s="1140"/>
      <c r="AN199" s="1140"/>
      <c r="AO199" s="1140"/>
      <c r="AP199" s="1140"/>
      <c r="AQ199" s="1127"/>
      <c r="AR199" s="1127"/>
      <c r="AS199" s="1127"/>
      <c r="AT199" s="1127"/>
      <c r="AU199" s="1127"/>
      <c r="AV199" s="1127"/>
    </row>
    <row r="200" spans="1:48" ht="14.25" x14ac:dyDescent="0.2">
      <c r="A200" s="1091" t="s">
        <v>234</v>
      </c>
      <c r="B200" s="258"/>
      <c r="C200" s="258"/>
      <c r="D200" s="258"/>
      <c r="E200" s="1086">
        <f t="shared" si="184"/>
        <v>2880000000</v>
      </c>
      <c r="F200" s="258">
        <f t="shared" si="185"/>
        <v>2880000000</v>
      </c>
      <c r="G200" s="258">
        <f t="shared" si="186"/>
        <v>2880000000</v>
      </c>
      <c r="H200" s="784"/>
      <c r="I200" s="1091"/>
      <c r="J200" s="1146"/>
      <c r="K200" s="1103"/>
      <c r="L200" s="1103"/>
      <c r="M200" s="357"/>
      <c r="N200" s="163"/>
      <c r="O200" s="321"/>
      <c r="P200" s="784"/>
      <c r="Q200" s="1140"/>
      <c r="R200" s="784"/>
      <c r="S200" s="1140"/>
      <c r="T200" s="1140"/>
      <c r="U200" s="1140"/>
      <c r="V200" s="1140"/>
      <c r="W200" s="1140"/>
      <c r="X200" s="1140"/>
      <c r="Y200" s="1140"/>
      <c r="Z200" s="1140"/>
      <c r="AA200" s="1140"/>
      <c r="AB200" s="1140"/>
      <c r="AC200" s="1140"/>
      <c r="AD200" s="1140"/>
      <c r="AE200" s="784"/>
      <c r="AF200" s="1140"/>
      <c r="AG200" s="1140"/>
      <c r="AH200" s="1140"/>
      <c r="AI200" s="1140"/>
      <c r="AJ200" s="1140"/>
      <c r="AK200" s="1140"/>
      <c r="AL200" s="1140"/>
      <c r="AM200" s="1140"/>
      <c r="AN200" s="1140"/>
      <c r="AO200" s="1140"/>
      <c r="AP200" s="1140"/>
      <c r="AQ200" s="1127"/>
      <c r="AR200" s="1127"/>
      <c r="AS200" s="1127"/>
      <c r="AT200" s="1127"/>
      <c r="AU200" s="1127"/>
      <c r="AV200" s="1127"/>
    </row>
    <row r="201" spans="1:48" ht="14.25" x14ac:dyDescent="0.2">
      <c r="A201" s="1091" t="s">
        <v>235</v>
      </c>
      <c r="B201" s="258"/>
      <c r="C201" s="258"/>
      <c r="D201" s="258"/>
      <c r="E201" s="1086">
        <f t="shared" ca="1" si="184"/>
        <v>5308873972.6027403</v>
      </c>
      <c r="F201" s="258">
        <f t="shared" ca="1" si="185"/>
        <v>7346642857.1428585</v>
      </c>
      <c r="G201" s="258">
        <f t="shared" ca="1" si="186"/>
        <v>7346642857.1428585</v>
      </c>
      <c r="H201" s="784"/>
      <c r="I201" s="1091"/>
      <c r="J201" s="1146"/>
      <c r="K201" s="1103"/>
      <c r="L201" s="1103"/>
      <c r="M201" s="357"/>
      <c r="N201" s="163"/>
      <c r="O201" s="321"/>
      <c r="P201" s="784"/>
      <c r="Q201" s="1140"/>
      <c r="R201" s="784"/>
      <c r="S201" s="1140"/>
      <c r="T201" s="1140"/>
      <c r="U201" s="1140"/>
      <c r="V201" s="1140"/>
      <c r="W201" s="1140"/>
      <c r="X201" s="1140"/>
      <c r="Y201" s="1140"/>
      <c r="Z201" s="1140"/>
      <c r="AA201" s="1140"/>
      <c r="AB201" s="1140"/>
      <c r="AC201" s="1140"/>
      <c r="AD201" s="1140"/>
      <c r="AE201" s="784"/>
      <c r="AF201" s="1140"/>
      <c r="AG201" s="1140"/>
      <c r="AH201" s="1140"/>
      <c r="AI201" s="1140"/>
      <c r="AJ201" s="1140"/>
      <c r="AK201" s="1140"/>
      <c r="AL201" s="1140"/>
      <c r="AM201" s="1140"/>
      <c r="AN201" s="1140"/>
      <c r="AO201" s="1140"/>
      <c r="AP201" s="1140"/>
      <c r="AQ201" s="1127"/>
      <c r="AR201" s="1127"/>
      <c r="AS201" s="1127"/>
      <c r="AT201" s="1127"/>
      <c r="AU201" s="1127"/>
      <c r="AV201" s="1127"/>
    </row>
    <row r="202" spans="1:48" ht="14.25" x14ac:dyDescent="0.2">
      <c r="A202" s="1091" t="s">
        <v>396</v>
      </c>
      <c r="B202" s="258"/>
      <c r="C202" s="258"/>
      <c r="D202" s="258"/>
      <c r="E202" s="1086">
        <f t="shared" ca="1" si="184"/>
        <v>673400000</v>
      </c>
      <c r="F202" s="258">
        <f t="shared" ca="1" si="185"/>
        <v>1271690000</v>
      </c>
      <c r="G202" s="258">
        <f t="shared" ca="1" si="186"/>
        <v>1628130000</v>
      </c>
      <c r="H202" s="784"/>
      <c r="I202" s="1091"/>
      <c r="J202" s="1146"/>
      <c r="K202" s="1103"/>
      <c r="L202" s="1103"/>
      <c r="M202" s="357"/>
      <c r="N202" s="163"/>
      <c r="O202" s="321"/>
      <c r="P202" s="784"/>
      <c r="Q202" s="1140"/>
      <c r="R202" s="784"/>
      <c r="S202" s="1140"/>
      <c r="T202" s="1140"/>
      <c r="U202" s="1140"/>
      <c r="V202" s="1140"/>
      <c r="W202" s="1140"/>
      <c r="X202" s="1140"/>
      <c r="Y202" s="1140"/>
      <c r="Z202" s="1140"/>
      <c r="AA202" s="1140"/>
      <c r="AB202" s="1140"/>
      <c r="AC202" s="1140"/>
      <c r="AD202" s="1140"/>
      <c r="AE202" s="784"/>
      <c r="AF202" s="1140"/>
      <c r="AG202" s="1140"/>
      <c r="AH202" s="1140"/>
      <c r="AI202" s="1140"/>
      <c r="AJ202" s="1140"/>
      <c r="AK202" s="1140"/>
      <c r="AL202" s="1140"/>
      <c r="AM202" s="1140"/>
      <c r="AN202" s="1140"/>
      <c r="AO202" s="1140"/>
      <c r="AP202" s="1140"/>
      <c r="AQ202" s="1127"/>
      <c r="AR202" s="1127"/>
      <c r="AS202" s="1127"/>
      <c r="AT202" s="1127"/>
      <c r="AU202" s="1127"/>
      <c r="AV202" s="1127"/>
    </row>
    <row r="203" spans="1:48" ht="14.25" x14ac:dyDescent="0.2">
      <c r="A203" s="1085" t="s">
        <v>237</v>
      </c>
      <c r="B203" s="1092"/>
      <c r="C203" s="1092"/>
      <c r="D203" s="1092"/>
      <c r="E203" s="1093">
        <f t="shared" ca="1" si="184"/>
        <v>48511441792.102081</v>
      </c>
      <c r="F203" s="1092">
        <f t="shared" ca="1" si="185"/>
        <v>88985782857.142853</v>
      </c>
      <c r="G203" s="1092">
        <f t="shared" ca="1" si="186"/>
        <v>138995222857.14285</v>
      </c>
      <c r="H203" s="793"/>
      <c r="I203" s="1085"/>
      <c r="J203" s="1147"/>
      <c r="K203" s="1101"/>
      <c r="L203" s="1101"/>
      <c r="M203" s="357"/>
      <c r="N203" s="163"/>
      <c r="O203" s="321"/>
      <c r="P203" s="793"/>
      <c r="Q203" s="1140"/>
      <c r="R203" s="784"/>
      <c r="S203" s="1140"/>
      <c r="T203" s="1140"/>
      <c r="U203" s="1140"/>
      <c r="V203" s="1140"/>
      <c r="W203" s="1140"/>
      <c r="X203" s="1140"/>
      <c r="Y203" s="1140"/>
      <c r="Z203" s="1140"/>
      <c r="AA203" s="1140"/>
      <c r="AB203" s="1140"/>
      <c r="AC203" s="1140"/>
      <c r="AD203" s="1140"/>
      <c r="AE203" s="784"/>
      <c r="AF203" s="1140"/>
      <c r="AG203" s="1140"/>
      <c r="AH203" s="1140"/>
      <c r="AI203" s="1140"/>
      <c r="AJ203" s="1140"/>
      <c r="AK203" s="1140"/>
      <c r="AL203" s="1140"/>
      <c r="AM203" s="1140"/>
      <c r="AN203" s="1140"/>
      <c r="AO203" s="1140"/>
      <c r="AP203" s="1140"/>
      <c r="AQ203" s="1127"/>
      <c r="AR203" s="1127"/>
      <c r="AS203" s="1127"/>
      <c r="AT203" s="1127"/>
      <c r="AU203" s="1127"/>
      <c r="AV203" s="1127"/>
    </row>
    <row r="204" spans="1:48" ht="14.25" x14ac:dyDescent="0.2">
      <c r="A204" s="1087"/>
      <c r="B204" s="258"/>
      <c r="C204" s="258"/>
      <c r="D204" s="258"/>
      <c r="E204" s="1086">
        <f t="shared" ca="1" si="184"/>
        <v>0</v>
      </c>
      <c r="F204" s="258">
        <f t="shared" ca="1" si="185"/>
        <v>0</v>
      </c>
      <c r="G204" s="258">
        <f t="shared" ca="1" si="186"/>
        <v>0</v>
      </c>
      <c r="H204" s="784"/>
      <c r="I204" s="1087"/>
      <c r="J204" s="1146"/>
      <c r="K204" s="1103"/>
      <c r="L204" s="1103"/>
      <c r="M204" s="357"/>
      <c r="N204" s="163"/>
      <c r="O204" s="321"/>
      <c r="P204" s="784"/>
      <c r="Q204" s="1140"/>
      <c r="R204" s="784"/>
      <c r="S204" s="1140"/>
      <c r="T204" s="1140"/>
      <c r="U204" s="1140"/>
      <c r="V204" s="1140"/>
      <c r="W204" s="1140"/>
      <c r="X204" s="1140"/>
      <c r="Y204" s="1140"/>
      <c r="Z204" s="1140"/>
      <c r="AA204" s="1140"/>
      <c r="AB204" s="1140"/>
      <c r="AC204" s="1140"/>
      <c r="AD204" s="1140"/>
      <c r="AE204" s="784"/>
      <c r="AF204" s="1140"/>
      <c r="AG204" s="1140"/>
      <c r="AH204" s="1140"/>
      <c r="AI204" s="1140"/>
      <c r="AJ204" s="1140"/>
      <c r="AK204" s="1140"/>
      <c r="AL204" s="1140"/>
      <c r="AM204" s="1140"/>
      <c r="AN204" s="1140"/>
      <c r="AO204" s="1140"/>
      <c r="AP204" s="1140"/>
      <c r="AQ204" s="1127"/>
      <c r="AR204" s="1127"/>
      <c r="AS204" s="1127"/>
      <c r="AT204" s="1127"/>
      <c r="AU204" s="1127"/>
      <c r="AV204" s="1127"/>
    </row>
    <row r="205" spans="1:48" ht="14.25" x14ac:dyDescent="0.2">
      <c r="A205" s="1098" t="s">
        <v>387</v>
      </c>
      <c r="B205" s="1092"/>
      <c r="C205" s="1092"/>
      <c r="D205" s="1092"/>
      <c r="E205" s="1093">
        <f t="shared" ca="1" si="184"/>
        <v>8911588207.8979206</v>
      </c>
      <c r="F205" s="1092">
        <f t="shared" ca="1" si="185"/>
        <v>28037977142.85714</v>
      </c>
      <c r="G205" s="1092">
        <f t="shared" ca="1" si="186"/>
        <v>54765827142.85714</v>
      </c>
      <c r="H205" s="793"/>
      <c r="I205" s="1099"/>
      <c r="J205" s="1147"/>
      <c r="K205" s="1101"/>
      <c r="L205" s="1101"/>
      <c r="M205" s="357"/>
      <c r="N205" s="163"/>
      <c r="O205" s="321"/>
      <c r="P205" s="793"/>
      <c r="Q205" s="1140"/>
      <c r="R205" s="784"/>
      <c r="S205" s="1140"/>
      <c r="T205" s="1140"/>
      <c r="U205" s="1140"/>
      <c r="V205" s="1140"/>
      <c r="W205" s="1140"/>
      <c r="X205" s="1140"/>
      <c r="Y205" s="1140"/>
      <c r="Z205" s="1140"/>
      <c r="AA205" s="1140"/>
      <c r="AB205" s="1140"/>
      <c r="AC205" s="1140"/>
      <c r="AD205" s="1140"/>
      <c r="AE205" s="784"/>
      <c r="AF205" s="1140"/>
      <c r="AG205" s="1140"/>
      <c r="AH205" s="1140"/>
      <c r="AI205" s="1140"/>
      <c r="AJ205" s="1140"/>
      <c r="AK205" s="1140"/>
      <c r="AL205" s="1140"/>
      <c r="AM205" s="1140"/>
      <c r="AN205" s="1140"/>
      <c r="AO205" s="1140"/>
      <c r="AP205" s="1140"/>
      <c r="AQ205" s="1127"/>
      <c r="AR205" s="1127"/>
      <c r="AS205" s="1127"/>
      <c r="AT205" s="1127"/>
      <c r="AU205" s="1127"/>
      <c r="AV205" s="1127"/>
    </row>
    <row r="206" spans="1:48" ht="14.25" x14ac:dyDescent="0.2">
      <c r="A206" s="1087"/>
      <c r="B206" s="258"/>
      <c r="C206" s="258"/>
      <c r="D206" s="258"/>
      <c r="E206" s="1086">
        <f t="shared" ca="1" si="184"/>
        <v>0</v>
      </c>
      <c r="F206" s="258">
        <f t="shared" ca="1" si="185"/>
        <v>0</v>
      </c>
      <c r="G206" s="258">
        <f t="shared" ca="1" si="186"/>
        <v>0</v>
      </c>
      <c r="H206" s="784"/>
      <c r="I206" s="1087"/>
      <c r="J206" s="1146"/>
      <c r="K206" s="1103"/>
      <c r="L206" s="1103"/>
      <c r="M206" s="357"/>
      <c r="N206" s="163"/>
      <c r="O206" s="321"/>
      <c r="P206" s="784"/>
      <c r="Q206" s="1140"/>
      <c r="R206" s="784"/>
      <c r="S206" s="1140"/>
      <c r="T206" s="1140"/>
      <c r="U206" s="1140"/>
      <c r="V206" s="1140"/>
      <c r="W206" s="1140"/>
      <c r="X206" s="1140"/>
      <c r="Y206" s="1140"/>
      <c r="Z206" s="1140"/>
      <c r="AA206" s="1140"/>
      <c r="AB206" s="1140"/>
      <c r="AC206" s="1140"/>
      <c r="AD206" s="1140"/>
      <c r="AE206" s="784"/>
      <c r="AF206" s="1140"/>
      <c r="AG206" s="1140"/>
      <c r="AH206" s="1140"/>
      <c r="AI206" s="1140"/>
      <c r="AJ206" s="1140"/>
      <c r="AK206" s="1140"/>
      <c r="AL206" s="1140"/>
      <c r="AM206" s="1140"/>
      <c r="AN206" s="1140"/>
      <c r="AO206" s="1140"/>
      <c r="AP206" s="1140"/>
      <c r="AQ206" s="1127"/>
      <c r="AR206" s="1127"/>
      <c r="AS206" s="1127"/>
      <c r="AT206" s="1127"/>
      <c r="AU206" s="1127"/>
      <c r="AV206" s="1127"/>
    </row>
    <row r="207" spans="1:48" ht="14.25" x14ac:dyDescent="0.2">
      <c r="A207" s="1085" t="s">
        <v>238</v>
      </c>
      <c r="B207" s="258"/>
      <c r="C207" s="258"/>
      <c r="D207" s="258"/>
      <c r="E207" s="1086">
        <f t="shared" ca="1" si="184"/>
        <v>0</v>
      </c>
      <c r="F207" s="258">
        <f t="shared" ca="1" si="185"/>
        <v>0</v>
      </c>
      <c r="G207" s="258">
        <f t="shared" ca="1" si="186"/>
        <v>0</v>
      </c>
      <c r="H207" s="784"/>
      <c r="I207" s="1085"/>
      <c r="J207" s="1146"/>
      <c r="K207" s="1103"/>
      <c r="L207" s="1103"/>
      <c r="M207" s="357"/>
      <c r="N207" s="163"/>
      <c r="O207" s="321"/>
      <c r="P207" s="784"/>
      <c r="Q207" s="1140"/>
      <c r="R207" s="784"/>
      <c r="S207" s="1140"/>
      <c r="T207" s="1140"/>
      <c r="U207" s="1140"/>
      <c r="V207" s="1140"/>
      <c r="W207" s="1140"/>
      <c r="X207" s="1140"/>
      <c r="Y207" s="1140"/>
      <c r="Z207" s="1140"/>
      <c r="AA207" s="1140"/>
      <c r="AB207" s="1140"/>
      <c r="AC207" s="1140"/>
      <c r="AD207" s="1140"/>
      <c r="AE207" s="784"/>
      <c r="AF207" s="1140"/>
      <c r="AG207" s="1140"/>
      <c r="AH207" s="1140"/>
      <c r="AI207" s="1140"/>
      <c r="AJ207" s="1140"/>
      <c r="AK207" s="1140"/>
      <c r="AL207" s="1140"/>
      <c r="AM207" s="1140"/>
      <c r="AN207" s="1140"/>
      <c r="AO207" s="1140"/>
      <c r="AP207" s="1140"/>
      <c r="AQ207" s="1127"/>
      <c r="AR207" s="1127"/>
      <c r="AS207" s="1127"/>
      <c r="AT207" s="1127"/>
      <c r="AU207" s="1127"/>
      <c r="AV207" s="1127"/>
    </row>
    <row r="208" spans="1:48" ht="14.25" x14ac:dyDescent="0.2">
      <c r="A208" s="1091" t="s">
        <v>239</v>
      </c>
      <c r="B208" s="258"/>
      <c r="C208" s="258"/>
      <c r="D208" s="258"/>
      <c r="E208" s="1086">
        <f t="shared" ca="1" si="184"/>
        <v>0</v>
      </c>
      <c r="F208" s="258">
        <f t="shared" ca="1" si="185"/>
        <v>0</v>
      </c>
      <c r="G208" s="258">
        <f t="shared" ca="1" si="186"/>
        <v>0</v>
      </c>
      <c r="H208" s="784"/>
      <c r="I208" s="1091"/>
      <c r="J208" s="1146"/>
      <c r="K208" s="1103"/>
      <c r="L208" s="1103"/>
      <c r="M208" s="357"/>
      <c r="N208" s="163"/>
      <c r="O208" s="321"/>
      <c r="P208" s="784"/>
      <c r="Q208" s="1140"/>
      <c r="R208" s="784"/>
      <c r="S208" s="1140"/>
      <c r="T208" s="1140"/>
      <c r="U208" s="1140"/>
      <c r="V208" s="1140"/>
      <c r="W208" s="1140"/>
      <c r="X208" s="1140"/>
      <c r="Y208" s="1140"/>
      <c r="Z208" s="1140"/>
      <c r="AA208" s="1140"/>
      <c r="AB208" s="1140"/>
      <c r="AC208" s="1140"/>
      <c r="AD208" s="1140"/>
      <c r="AE208" s="784"/>
      <c r="AF208" s="1140"/>
      <c r="AG208" s="1140"/>
      <c r="AH208" s="1140"/>
      <c r="AI208" s="1140"/>
      <c r="AJ208" s="1140"/>
      <c r="AK208" s="1140"/>
      <c r="AL208" s="1140"/>
      <c r="AM208" s="1140"/>
      <c r="AN208" s="1140"/>
      <c r="AO208" s="1140"/>
      <c r="AP208" s="1140"/>
      <c r="AQ208" s="1127"/>
      <c r="AR208" s="1127"/>
      <c r="AS208" s="1127"/>
      <c r="AT208" s="1127"/>
      <c r="AU208" s="1127"/>
      <c r="AV208" s="1127"/>
    </row>
    <row r="209" spans="1:48" ht="14.25" x14ac:dyDescent="0.2">
      <c r="A209" s="1091" t="s">
        <v>240</v>
      </c>
      <c r="B209" s="258"/>
      <c r="C209" s="258"/>
      <c r="D209" s="258"/>
      <c r="E209" s="1086">
        <f t="shared" ca="1" si="184"/>
        <v>0</v>
      </c>
      <c r="F209" s="258">
        <f t="shared" ca="1" si="185"/>
        <v>0</v>
      </c>
      <c r="G209" s="258">
        <f t="shared" ca="1" si="186"/>
        <v>0</v>
      </c>
      <c r="H209" s="784"/>
      <c r="I209" s="1091"/>
      <c r="J209" s="1146"/>
      <c r="K209" s="1103"/>
      <c r="L209" s="1103"/>
      <c r="M209" s="357"/>
      <c r="N209" s="163"/>
      <c r="O209" s="321"/>
      <c r="P209" s="784"/>
      <c r="Q209" s="1140"/>
      <c r="R209" s="784"/>
      <c r="S209" s="1140"/>
      <c r="T209" s="1140"/>
      <c r="U209" s="1140"/>
      <c r="V209" s="1140"/>
      <c r="W209" s="1140"/>
      <c r="X209" s="1140"/>
      <c r="Y209" s="1140"/>
      <c r="Z209" s="1140"/>
      <c r="AA209" s="1140"/>
      <c r="AB209" s="1140"/>
      <c r="AC209" s="1140"/>
      <c r="AD209" s="1140"/>
      <c r="AE209" s="784"/>
      <c r="AF209" s="1140"/>
      <c r="AG209" s="1140"/>
      <c r="AH209" s="1140"/>
      <c r="AI209" s="1140"/>
      <c r="AJ209" s="1140"/>
      <c r="AK209" s="1140"/>
      <c r="AL209" s="1140"/>
      <c r="AM209" s="1140"/>
      <c r="AN209" s="1140"/>
      <c r="AO209" s="1140"/>
      <c r="AP209" s="1140"/>
      <c r="AQ209" s="1127"/>
      <c r="AR209" s="1127"/>
      <c r="AS209" s="1127"/>
      <c r="AT209" s="1127"/>
      <c r="AU209" s="1127"/>
      <c r="AV209" s="1127"/>
    </row>
    <row r="210" spans="1:48" ht="14.25" x14ac:dyDescent="0.2">
      <c r="A210" s="1091" t="s">
        <v>241</v>
      </c>
      <c r="B210" s="258"/>
      <c r="C210" s="258"/>
      <c r="D210" s="258"/>
      <c r="E210" s="1086">
        <f t="shared" ca="1" si="184"/>
        <v>0</v>
      </c>
      <c r="F210" s="258">
        <f t="shared" ca="1" si="185"/>
        <v>0</v>
      </c>
      <c r="G210" s="258">
        <f t="shared" ca="1" si="186"/>
        <v>0</v>
      </c>
      <c r="H210" s="784"/>
      <c r="I210" s="1091"/>
      <c r="J210" s="1146"/>
      <c r="K210" s="1103"/>
      <c r="L210" s="1103"/>
      <c r="M210" s="357"/>
      <c r="N210" s="163"/>
      <c r="O210" s="321"/>
      <c r="P210" s="784"/>
      <c r="Q210" s="1140"/>
      <c r="R210" s="784"/>
      <c r="S210" s="1140"/>
      <c r="T210" s="1140"/>
      <c r="U210" s="1140"/>
      <c r="V210" s="1140"/>
      <c r="W210" s="1140"/>
      <c r="X210" s="1140"/>
      <c r="Y210" s="1140"/>
      <c r="Z210" s="1140"/>
      <c r="AA210" s="1140"/>
      <c r="AB210" s="1140"/>
      <c r="AC210" s="1140"/>
      <c r="AD210" s="1140"/>
      <c r="AE210" s="784"/>
      <c r="AF210" s="1140"/>
      <c r="AG210" s="1140"/>
      <c r="AH210" s="1140"/>
      <c r="AI210" s="1140"/>
      <c r="AJ210" s="1140"/>
      <c r="AK210" s="1140"/>
      <c r="AL210" s="1140"/>
      <c r="AM210" s="1140"/>
      <c r="AN210" s="1140"/>
      <c r="AO210" s="1140"/>
      <c r="AP210" s="1140"/>
      <c r="AQ210" s="1127"/>
      <c r="AR210" s="1127"/>
      <c r="AS210" s="1127"/>
      <c r="AT210" s="1127"/>
      <c r="AU210" s="1127"/>
      <c r="AV210" s="1127"/>
    </row>
    <row r="211" spans="1:48" ht="14.25" x14ac:dyDescent="0.2">
      <c r="A211" s="1091" t="s">
        <v>242</v>
      </c>
      <c r="B211" s="258"/>
      <c r="C211" s="258"/>
      <c r="D211" s="258"/>
      <c r="E211" s="1086">
        <f t="shared" ca="1" si="184"/>
        <v>0</v>
      </c>
      <c r="F211" s="258">
        <f t="shared" ca="1" si="185"/>
        <v>0</v>
      </c>
      <c r="G211" s="258">
        <f t="shared" ca="1" si="186"/>
        <v>0</v>
      </c>
      <c r="H211" s="784"/>
      <c r="I211" s="1091"/>
      <c r="J211" s="1146"/>
      <c r="K211" s="1103"/>
      <c r="L211" s="1103"/>
      <c r="M211" s="357"/>
      <c r="N211" s="163"/>
      <c r="O211" s="321"/>
      <c r="P211" s="784"/>
      <c r="Q211" s="1140"/>
      <c r="R211" s="784"/>
      <c r="S211" s="1140"/>
      <c r="T211" s="1140"/>
      <c r="U211" s="1140"/>
      <c r="V211" s="1140"/>
      <c r="W211" s="1140"/>
      <c r="X211" s="1140"/>
      <c r="Y211" s="1140"/>
      <c r="Z211" s="1140"/>
      <c r="AA211" s="1140"/>
      <c r="AB211" s="1140"/>
      <c r="AC211" s="1140"/>
      <c r="AD211" s="1140"/>
      <c r="AE211" s="784"/>
      <c r="AF211" s="1140"/>
      <c r="AG211" s="1140"/>
      <c r="AH211" s="1140"/>
      <c r="AI211" s="1140"/>
      <c r="AJ211" s="1140"/>
      <c r="AK211" s="1140"/>
      <c r="AL211" s="1140"/>
      <c r="AM211" s="1140"/>
      <c r="AN211" s="1140"/>
      <c r="AO211" s="1140"/>
      <c r="AP211" s="1140"/>
      <c r="AQ211" s="1127"/>
      <c r="AR211" s="1127"/>
      <c r="AS211" s="1127"/>
      <c r="AT211" s="1127"/>
      <c r="AU211" s="1127"/>
      <c r="AV211" s="1127"/>
    </row>
    <row r="212" spans="1:48" ht="14.25" x14ac:dyDescent="0.2">
      <c r="A212" s="1091" t="s">
        <v>243</v>
      </c>
      <c r="B212" s="258"/>
      <c r="C212" s="258"/>
      <c r="D212" s="258"/>
      <c r="E212" s="1086">
        <f t="shared" ca="1" si="184"/>
        <v>0</v>
      </c>
      <c r="F212" s="258">
        <f t="shared" ca="1" si="185"/>
        <v>0</v>
      </c>
      <c r="G212" s="258">
        <f t="shared" ca="1" si="186"/>
        <v>0</v>
      </c>
      <c r="H212" s="784"/>
      <c r="I212" s="1091"/>
      <c r="J212" s="1146"/>
      <c r="K212" s="1103"/>
      <c r="L212" s="1103"/>
      <c r="M212" s="357"/>
      <c r="N212" s="163"/>
      <c r="O212" s="321"/>
      <c r="P212" s="784"/>
      <c r="Q212" s="1140"/>
      <c r="R212" s="784"/>
      <c r="S212" s="1140"/>
      <c r="T212" s="1140"/>
      <c r="U212" s="1140"/>
      <c r="V212" s="1140"/>
      <c r="W212" s="1140"/>
      <c r="X212" s="1140"/>
      <c r="Y212" s="1140"/>
      <c r="Z212" s="1140"/>
      <c r="AA212" s="1140"/>
      <c r="AB212" s="1140"/>
      <c r="AC212" s="1140"/>
      <c r="AD212" s="1140"/>
      <c r="AE212" s="784"/>
      <c r="AF212" s="1140"/>
      <c r="AG212" s="1140"/>
      <c r="AH212" s="1140"/>
      <c r="AI212" s="1140"/>
      <c r="AJ212" s="1140"/>
      <c r="AK212" s="1140"/>
      <c r="AL212" s="1140"/>
      <c r="AM212" s="1140"/>
      <c r="AN212" s="1140"/>
      <c r="AO212" s="1140"/>
      <c r="AP212" s="1140"/>
      <c r="AQ212" s="1127"/>
      <c r="AR212" s="1127"/>
      <c r="AS212" s="1127"/>
      <c r="AT212" s="1127"/>
      <c r="AU212" s="1127"/>
      <c r="AV212" s="1127"/>
    </row>
    <row r="213" spans="1:48" ht="14.25" x14ac:dyDescent="0.2">
      <c r="A213" s="1091" t="s">
        <v>98</v>
      </c>
      <c r="B213" s="258"/>
      <c r="C213" s="258"/>
      <c r="D213" s="258"/>
      <c r="E213" s="1086">
        <f t="shared" ca="1" si="184"/>
        <v>317824000</v>
      </c>
      <c r="F213" s="258">
        <f t="shared" ca="1" si="185"/>
        <v>542464000</v>
      </c>
      <c r="G213" s="258">
        <f t="shared" ca="1" si="186"/>
        <v>559104000</v>
      </c>
      <c r="H213" s="784"/>
      <c r="I213" s="1091"/>
      <c r="J213" s="1146"/>
      <c r="K213" s="1103"/>
      <c r="L213" s="1103"/>
      <c r="M213" s="357"/>
      <c r="N213" s="163"/>
      <c r="O213" s="321"/>
      <c r="P213" s="784"/>
      <c r="Q213" s="1140"/>
      <c r="R213" s="784"/>
      <c r="S213" s="1140"/>
      <c r="T213" s="1140"/>
      <c r="U213" s="1140"/>
      <c r="V213" s="1140"/>
      <c r="W213" s="1140"/>
      <c r="X213" s="1140"/>
      <c r="Y213" s="1140"/>
      <c r="Z213" s="1140"/>
      <c r="AA213" s="1140"/>
      <c r="AB213" s="1140"/>
      <c r="AC213" s="1140"/>
      <c r="AD213" s="1140"/>
      <c r="AE213" s="784"/>
      <c r="AF213" s="1140"/>
      <c r="AG213" s="1140"/>
      <c r="AH213" s="1140"/>
      <c r="AI213" s="1140"/>
      <c r="AJ213" s="1140"/>
      <c r="AK213" s="1140"/>
      <c r="AL213" s="1140"/>
      <c r="AM213" s="1140"/>
      <c r="AN213" s="1140"/>
      <c r="AO213" s="1140"/>
      <c r="AP213" s="1140"/>
      <c r="AQ213" s="1127"/>
      <c r="AR213" s="1127"/>
      <c r="AS213" s="1127"/>
      <c r="AT213" s="1127"/>
      <c r="AU213" s="1127"/>
      <c r="AV213" s="1127"/>
    </row>
    <row r="214" spans="1:48" ht="14.25" x14ac:dyDescent="0.2">
      <c r="A214" s="1091" t="s">
        <v>146</v>
      </c>
      <c r="B214" s="258"/>
      <c r="C214" s="258"/>
      <c r="D214" s="258"/>
      <c r="E214" s="1086">
        <f t="shared" ca="1" si="184"/>
        <v>2773672000</v>
      </c>
      <c r="F214" s="258">
        <f t="shared" ca="1" si="185"/>
        <v>5291383900</v>
      </c>
      <c r="G214" s="258">
        <f t="shared" ca="1" si="186"/>
        <v>7951329300</v>
      </c>
      <c r="H214" s="784"/>
      <c r="I214" s="1091"/>
      <c r="J214" s="1146"/>
      <c r="K214" s="1103"/>
      <c r="L214" s="1103"/>
      <c r="M214" s="357"/>
      <c r="N214" s="163"/>
      <c r="O214" s="321"/>
      <c r="P214" s="784"/>
      <c r="Q214" s="1140"/>
      <c r="R214" s="784"/>
      <c r="S214" s="1140"/>
      <c r="T214" s="1140"/>
      <c r="U214" s="1140"/>
      <c r="V214" s="1140"/>
      <c r="W214" s="1140"/>
      <c r="X214" s="1140"/>
      <c r="Y214" s="1140"/>
      <c r="Z214" s="1140"/>
      <c r="AA214" s="1140"/>
      <c r="AB214" s="1140"/>
      <c r="AC214" s="1140"/>
      <c r="AD214" s="1140"/>
      <c r="AE214" s="784"/>
      <c r="AF214" s="1140"/>
      <c r="AG214" s="1140"/>
      <c r="AH214" s="1140"/>
      <c r="AI214" s="1140"/>
      <c r="AJ214" s="1140"/>
      <c r="AK214" s="1140"/>
      <c r="AL214" s="1140"/>
      <c r="AM214" s="1140"/>
      <c r="AN214" s="1140"/>
      <c r="AO214" s="1140"/>
      <c r="AP214" s="1140"/>
      <c r="AQ214" s="1127"/>
      <c r="AR214" s="1127"/>
      <c r="AS214" s="1127"/>
      <c r="AT214" s="1127"/>
      <c r="AU214" s="1127"/>
      <c r="AV214" s="1127"/>
    </row>
    <row r="215" spans="1:48" ht="14.25" x14ac:dyDescent="0.2">
      <c r="A215" s="1091" t="s">
        <v>244</v>
      </c>
      <c r="B215" s="258"/>
      <c r="C215" s="258"/>
      <c r="D215" s="258"/>
      <c r="E215" s="1086">
        <f t="shared" ca="1" si="184"/>
        <v>0</v>
      </c>
      <c r="F215" s="258">
        <f t="shared" ca="1" si="185"/>
        <v>0</v>
      </c>
      <c r="G215" s="258">
        <f t="shared" ca="1" si="186"/>
        <v>0</v>
      </c>
      <c r="H215" s="784"/>
      <c r="I215" s="1091"/>
      <c r="J215" s="1146"/>
      <c r="K215" s="1103"/>
      <c r="L215" s="1103"/>
      <c r="M215" s="357"/>
      <c r="N215" s="163"/>
      <c r="O215" s="321"/>
      <c r="P215" s="784"/>
      <c r="Q215" s="1140"/>
      <c r="R215" s="784"/>
      <c r="S215" s="1140"/>
      <c r="T215" s="1140"/>
      <c r="U215" s="1140"/>
      <c r="V215" s="1140"/>
      <c r="W215" s="1140"/>
      <c r="X215" s="1140"/>
      <c r="Y215" s="1140"/>
      <c r="Z215" s="1140"/>
      <c r="AA215" s="1140"/>
      <c r="AB215" s="1140"/>
      <c r="AC215" s="1140"/>
      <c r="AD215" s="1140"/>
      <c r="AE215" s="784"/>
      <c r="AF215" s="1140"/>
      <c r="AG215" s="1140"/>
      <c r="AH215" s="1140"/>
      <c r="AI215" s="1140"/>
      <c r="AJ215" s="1140"/>
      <c r="AK215" s="1140"/>
      <c r="AL215" s="1140"/>
      <c r="AM215" s="1140"/>
      <c r="AN215" s="1140"/>
      <c r="AO215" s="1140"/>
      <c r="AP215" s="1140"/>
      <c r="AQ215" s="1127"/>
      <c r="AR215" s="1127"/>
      <c r="AS215" s="1127"/>
      <c r="AT215" s="1127"/>
      <c r="AU215" s="1127"/>
      <c r="AV215" s="1127"/>
    </row>
    <row r="216" spans="1:48" ht="14.25" x14ac:dyDescent="0.2">
      <c r="A216" s="1091" t="s">
        <v>245</v>
      </c>
      <c r="B216" s="258"/>
      <c r="C216" s="258"/>
      <c r="D216" s="258"/>
      <c r="E216" s="1086">
        <f t="shared" ca="1" si="184"/>
        <v>0</v>
      </c>
      <c r="F216" s="258">
        <f t="shared" ca="1" si="185"/>
        <v>0</v>
      </c>
      <c r="G216" s="258">
        <f t="shared" ca="1" si="186"/>
        <v>0</v>
      </c>
      <c r="H216" s="784"/>
      <c r="I216" s="1091"/>
      <c r="J216" s="1146"/>
      <c r="K216" s="1103"/>
      <c r="L216" s="1103"/>
      <c r="M216" s="357"/>
      <c r="N216" s="163"/>
      <c r="O216" s="321"/>
      <c r="P216" s="784"/>
      <c r="Q216" s="1140"/>
      <c r="R216" s="784"/>
      <c r="S216" s="1140"/>
      <c r="T216" s="1140"/>
      <c r="U216" s="1140"/>
      <c r="V216" s="1140"/>
      <c r="W216" s="1140"/>
      <c r="X216" s="1140"/>
      <c r="Y216" s="1140"/>
      <c r="Z216" s="1140"/>
      <c r="AA216" s="1140"/>
      <c r="AB216" s="1140"/>
      <c r="AC216" s="1140"/>
      <c r="AD216" s="1140"/>
      <c r="AE216" s="784"/>
      <c r="AF216" s="1140"/>
      <c r="AG216" s="1140"/>
      <c r="AH216" s="1140"/>
      <c r="AI216" s="1140"/>
      <c r="AJ216" s="1140"/>
      <c r="AK216" s="1140"/>
      <c r="AL216" s="1140"/>
      <c r="AM216" s="1140"/>
      <c r="AN216" s="1140"/>
      <c r="AO216" s="1140"/>
      <c r="AP216" s="1140"/>
      <c r="AQ216" s="1127"/>
      <c r="AR216" s="1127"/>
      <c r="AS216" s="1127"/>
      <c r="AT216" s="1127"/>
      <c r="AU216" s="1127"/>
      <c r="AV216" s="1127"/>
    </row>
    <row r="217" spans="1:48" ht="14.25" x14ac:dyDescent="0.2">
      <c r="A217" s="1091" t="s">
        <v>246</v>
      </c>
      <c r="B217" s="258"/>
      <c r="C217" s="258"/>
      <c r="D217" s="258"/>
      <c r="E217" s="1086">
        <f t="shared" ca="1" si="184"/>
        <v>0</v>
      </c>
      <c r="F217" s="258">
        <f t="shared" ca="1" si="185"/>
        <v>0</v>
      </c>
      <c r="G217" s="258">
        <f t="shared" ca="1" si="186"/>
        <v>0</v>
      </c>
      <c r="H217" s="784"/>
      <c r="I217" s="1091"/>
      <c r="J217" s="1146"/>
      <c r="K217" s="1103"/>
      <c r="L217" s="1103"/>
      <c r="M217" s="357"/>
      <c r="N217" s="163"/>
      <c r="O217" s="321"/>
      <c r="P217" s="784"/>
      <c r="Q217" s="1140"/>
      <c r="R217" s="784"/>
      <c r="S217" s="1140"/>
      <c r="T217" s="1140"/>
      <c r="U217" s="1140"/>
      <c r="V217" s="1140"/>
      <c r="W217" s="1140"/>
      <c r="X217" s="1140"/>
      <c r="Y217" s="1140"/>
      <c r="Z217" s="1140"/>
      <c r="AA217" s="1140"/>
      <c r="AB217" s="1140"/>
      <c r="AC217" s="1140"/>
      <c r="AD217" s="1140"/>
      <c r="AE217" s="784"/>
      <c r="AF217" s="1140"/>
      <c r="AG217" s="1140"/>
      <c r="AH217" s="1140"/>
      <c r="AI217" s="1140"/>
      <c r="AJ217" s="1140"/>
      <c r="AK217" s="1140"/>
      <c r="AL217" s="1140"/>
      <c r="AM217" s="1140"/>
      <c r="AN217" s="1140"/>
      <c r="AO217" s="1140"/>
      <c r="AP217" s="1140"/>
      <c r="AQ217" s="1127"/>
      <c r="AR217" s="1127"/>
      <c r="AS217" s="1127"/>
      <c r="AT217" s="1127"/>
      <c r="AU217" s="1127"/>
      <c r="AV217" s="1127"/>
    </row>
    <row r="218" spans="1:48" ht="14.25" x14ac:dyDescent="0.2">
      <c r="A218" s="1091" t="s">
        <v>247</v>
      </c>
      <c r="B218" s="258"/>
      <c r="C218" s="258"/>
      <c r="D218" s="258"/>
      <c r="E218" s="1086">
        <f t="shared" ca="1" si="184"/>
        <v>0</v>
      </c>
      <c r="F218" s="258">
        <f t="shared" ca="1" si="185"/>
        <v>0</v>
      </c>
      <c r="G218" s="258">
        <f t="shared" ca="1" si="186"/>
        <v>0</v>
      </c>
      <c r="H218" s="784"/>
      <c r="I218" s="1091"/>
      <c r="J218" s="1146"/>
      <c r="K218" s="1103"/>
      <c r="L218" s="1103"/>
      <c r="M218" s="357"/>
      <c r="N218" s="163"/>
      <c r="O218" s="321"/>
      <c r="P218" s="784"/>
      <c r="Q218" s="1140"/>
      <c r="R218" s="784"/>
      <c r="S218" s="1140"/>
      <c r="T218" s="1140"/>
      <c r="U218" s="1140"/>
      <c r="V218" s="1140"/>
      <c r="W218" s="1140"/>
      <c r="X218" s="1140"/>
      <c r="Y218" s="1140"/>
      <c r="Z218" s="1140"/>
      <c r="AA218" s="1140"/>
      <c r="AB218" s="1140"/>
      <c r="AC218" s="1140"/>
      <c r="AD218" s="1140"/>
      <c r="AE218" s="784"/>
      <c r="AF218" s="1140"/>
      <c r="AG218" s="1140"/>
      <c r="AH218" s="1140"/>
      <c r="AI218" s="1140"/>
      <c r="AJ218" s="1140"/>
      <c r="AK218" s="1140"/>
      <c r="AL218" s="1140"/>
      <c r="AM218" s="1140"/>
      <c r="AN218" s="1140"/>
      <c r="AO218" s="1140"/>
      <c r="AP218" s="1140"/>
      <c r="AQ218" s="1127"/>
      <c r="AR218" s="1127"/>
      <c r="AS218" s="1127"/>
      <c r="AT218" s="1127"/>
      <c r="AU218" s="1127"/>
      <c r="AV218" s="1127"/>
    </row>
    <row r="219" spans="1:48" ht="14.25" x14ac:dyDescent="0.2">
      <c r="A219" s="1091" t="s">
        <v>248</v>
      </c>
      <c r="B219" s="258"/>
      <c r="C219" s="258"/>
      <c r="D219" s="258"/>
      <c r="E219" s="1086">
        <f t="shared" ca="1" si="184"/>
        <v>45500000</v>
      </c>
      <c r="F219" s="258">
        <f t="shared" ca="1" si="185"/>
        <v>61500000</v>
      </c>
      <c r="G219" s="258">
        <f t="shared" ca="1" si="186"/>
        <v>66000000</v>
      </c>
      <c r="H219" s="784"/>
      <c r="I219" s="1091"/>
      <c r="J219" s="1146"/>
      <c r="K219" s="1103"/>
      <c r="L219" s="1103"/>
      <c r="M219" s="357"/>
      <c r="N219" s="163"/>
      <c r="O219" s="321"/>
      <c r="P219" s="784"/>
      <c r="Q219" s="1140"/>
      <c r="R219" s="784"/>
      <c r="S219" s="1140"/>
      <c r="T219" s="1140"/>
      <c r="U219" s="1140"/>
      <c r="V219" s="1140"/>
      <c r="W219" s="1140"/>
      <c r="X219" s="1140"/>
      <c r="Y219" s="1140"/>
      <c r="Z219" s="1140"/>
      <c r="AA219" s="1140"/>
      <c r="AB219" s="1140"/>
      <c r="AC219" s="1140"/>
      <c r="AD219" s="1140"/>
      <c r="AE219" s="784"/>
      <c r="AF219" s="1140"/>
      <c r="AG219" s="1140"/>
      <c r="AH219" s="1140"/>
      <c r="AI219" s="1140"/>
      <c r="AJ219" s="1140"/>
      <c r="AK219" s="1140"/>
      <c r="AL219" s="1140"/>
      <c r="AM219" s="1140"/>
      <c r="AN219" s="1140"/>
      <c r="AO219" s="1140"/>
      <c r="AP219" s="1140"/>
      <c r="AQ219" s="1127"/>
      <c r="AR219" s="1127"/>
      <c r="AS219" s="1127"/>
      <c r="AT219" s="1127"/>
      <c r="AU219" s="1127"/>
      <c r="AV219" s="1127"/>
    </row>
    <row r="220" spans="1:48" ht="14.25" x14ac:dyDescent="0.2">
      <c r="A220" s="1091" t="s">
        <v>249</v>
      </c>
      <c r="B220" s="258"/>
      <c r="C220" s="258"/>
      <c r="D220" s="258"/>
      <c r="E220" s="1086">
        <f t="shared" ca="1" si="184"/>
        <v>0</v>
      </c>
      <c r="F220" s="258">
        <f t="shared" ca="1" si="185"/>
        <v>0</v>
      </c>
      <c r="G220" s="258">
        <f t="shared" ca="1" si="186"/>
        <v>0</v>
      </c>
      <c r="H220" s="784"/>
      <c r="I220" s="1091"/>
      <c r="J220" s="1146"/>
      <c r="K220" s="1103"/>
      <c r="L220" s="1103"/>
      <c r="M220" s="357"/>
      <c r="N220" s="163"/>
      <c r="O220" s="321"/>
      <c r="P220" s="784"/>
      <c r="Q220" s="1140"/>
      <c r="R220" s="784"/>
      <c r="S220" s="1140"/>
      <c r="T220" s="1140"/>
      <c r="U220" s="1140"/>
      <c r="V220" s="1140"/>
      <c r="W220" s="1140"/>
      <c r="X220" s="1140"/>
      <c r="Y220" s="1140"/>
      <c r="Z220" s="1140"/>
      <c r="AA220" s="1140"/>
      <c r="AB220" s="1140"/>
      <c r="AC220" s="1140"/>
      <c r="AD220" s="1140"/>
      <c r="AE220" s="784"/>
      <c r="AF220" s="1140"/>
      <c r="AG220" s="1140"/>
      <c r="AH220" s="1140"/>
      <c r="AI220" s="1140"/>
      <c r="AJ220" s="1140"/>
      <c r="AK220" s="1140"/>
      <c r="AL220" s="1140"/>
      <c r="AM220" s="1140"/>
      <c r="AN220" s="1140"/>
      <c r="AO220" s="1140"/>
      <c r="AP220" s="1140"/>
      <c r="AQ220" s="1127"/>
      <c r="AR220" s="1127"/>
      <c r="AS220" s="1127"/>
      <c r="AT220" s="1127"/>
      <c r="AU220" s="1127"/>
      <c r="AV220" s="1127"/>
    </row>
    <row r="221" spans="1:48" ht="14.25" x14ac:dyDescent="0.2">
      <c r="A221" s="1091" t="s">
        <v>250</v>
      </c>
      <c r="B221" s="258"/>
      <c r="C221" s="258"/>
      <c r="D221" s="258"/>
      <c r="E221" s="1086">
        <f t="shared" ca="1" si="184"/>
        <v>0</v>
      </c>
      <c r="F221" s="258">
        <f t="shared" ca="1" si="185"/>
        <v>0</v>
      </c>
      <c r="G221" s="258">
        <f t="shared" ca="1" si="186"/>
        <v>0</v>
      </c>
      <c r="H221" s="784"/>
      <c r="I221" s="1091"/>
      <c r="J221" s="1146"/>
      <c r="K221" s="1103"/>
      <c r="L221" s="1103"/>
      <c r="M221" s="357"/>
      <c r="N221" s="163"/>
      <c r="O221" s="321"/>
      <c r="P221" s="784"/>
      <c r="Q221" s="1140"/>
      <c r="R221" s="784"/>
      <c r="S221" s="1140"/>
      <c r="T221" s="1140"/>
      <c r="U221" s="1140"/>
      <c r="V221" s="1140"/>
      <c r="W221" s="1140"/>
      <c r="X221" s="1140"/>
      <c r="Y221" s="1140"/>
      <c r="Z221" s="1140"/>
      <c r="AA221" s="1140"/>
      <c r="AB221" s="1140"/>
      <c r="AC221" s="1140"/>
      <c r="AD221" s="1140"/>
      <c r="AE221" s="784"/>
      <c r="AF221" s="1140"/>
      <c r="AG221" s="1140"/>
      <c r="AH221" s="1140"/>
      <c r="AI221" s="1140"/>
      <c r="AJ221" s="1140"/>
      <c r="AK221" s="1140"/>
      <c r="AL221" s="1140"/>
      <c r="AM221" s="1140"/>
      <c r="AN221" s="1140"/>
      <c r="AO221" s="1140"/>
      <c r="AP221" s="1140"/>
      <c r="AQ221" s="1127"/>
      <c r="AR221" s="1127"/>
      <c r="AS221" s="1127"/>
      <c r="AT221" s="1127"/>
      <c r="AU221" s="1127"/>
      <c r="AV221" s="1127"/>
    </row>
    <row r="222" spans="1:48" ht="14.25" x14ac:dyDescent="0.2">
      <c r="A222" s="1091" t="s">
        <v>251</v>
      </c>
      <c r="B222" s="258"/>
      <c r="C222" s="258"/>
      <c r="D222" s="258"/>
      <c r="E222" s="1086">
        <f t="shared" ca="1" si="184"/>
        <v>0</v>
      </c>
      <c r="F222" s="258">
        <f t="shared" ca="1" si="185"/>
        <v>0</v>
      </c>
      <c r="G222" s="258">
        <f t="shared" ca="1" si="186"/>
        <v>0</v>
      </c>
      <c r="H222" s="784"/>
      <c r="I222" s="1091"/>
      <c r="J222" s="1146"/>
      <c r="K222" s="1103"/>
      <c r="L222" s="1103"/>
      <c r="M222" s="357"/>
      <c r="N222" s="163"/>
      <c r="O222" s="321"/>
      <c r="P222" s="784"/>
      <c r="Q222" s="1140"/>
      <c r="R222" s="784"/>
      <c r="S222" s="1140"/>
      <c r="T222" s="1140"/>
      <c r="U222" s="1140"/>
      <c r="V222" s="1140"/>
      <c r="W222" s="1140"/>
      <c r="X222" s="1140"/>
      <c r="Y222" s="1140"/>
      <c r="Z222" s="1140"/>
      <c r="AA222" s="1140"/>
      <c r="AB222" s="1140"/>
      <c r="AC222" s="1140"/>
      <c r="AD222" s="1140"/>
      <c r="AE222" s="784"/>
      <c r="AF222" s="1140"/>
      <c r="AG222" s="1140"/>
      <c r="AH222" s="1140"/>
      <c r="AI222" s="1140"/>
      <c r="AJ222" s="1140"/>
      <c r="AK222" s="1140"/>
      <c r="AL222" s="1140"/>
      <c r="AM222" s="1140"/>
      <c r="AN222" s="1140"/>
      <c r="AO222" s="1140"/>
      <c r="AP222" s="1140"/>
      <c r="AQ222" s="1127"/>
      <c r="AR222" s="1127"/>
      <c r="AS222" s="1127"/>
      <c r="AT222" s="1127"/>
      <c r="AU222" s="1127"/>
      <c r="AV222" s="1127"/>
    </row>
    <row r="223" spans="1:48" ht="14.25" x14ac:dyDescent="0.2">
      <c r="A223" s="1091" t="s">
        <v>252</v>
      </c>
      <c r="B223" s="258"/>
      <c r="C223" s="258"/>
      <c r="D223" s="258"/>
      <c r="E223" s="1086">
        <f t="shared" ca="1" si="184"/>
        <v>1390000000</v>
      </c>
      <c r="F223" s="258">
        <f t="shared" ca="1" si="185"/>
        <v>2040000000</v>
      </c>
      <c r="G223" s="258">
        <f t="shared" ca="1" si="186"/>
        <v>2040000000</v>
      </c>
      <c r="H223" s="784"/>
      <c r="I223" s="1091"/>
      <c r="J223" s="1146"/>
      <c r="K223" s="1103"/>
      <c r="L223" s="1103"/>
      <c r="M223" s="357"/>
      <c r="N223" s="163"/>
      <c r="O223" s="321"/>
      <c r="P223" s="784"/>
      <c r="Q223" s="1140"/>
      <c r="R223" s="784"/>
      <c r="S223" s="1140"/>
      <c r="T223" s="1140"/>
      <c r="U223" s="1140"/>
      <c r="V223" s="1140"/>
      <c r="W223" s="1140"/>
      <c r="X223" s="1140"/>
      <c r="Y223" s="1140"/>
      <c r="Z223" s="1140"/>
      <c r="AA223" s="1140"/>
      <c r="AB223" s="1140"/>
      <c r="AC223" s="1140"/>
      <c r="AD223" s="1140"/>
      <c r="AE223" s="784"/>
      <c r="AF223" s="1140"/>
      <c r="AG223" s="1140"/>
      <c r="AH223" s="1140"/>
      <c r="AI223" s="1140"/>
      <c r="AJ223" s="1140"/>
      <c r="AK223" s="1140"/>
      <c r="AL223" s="1140"/>
      <c r="AM223" s="1140"/>
      <c r="AN223" s="1140"/>
      <c r="AO223" s="1140"/>
      <c r="AP223" s="1140"/>
      <c r="AQ223" s="1127"/>
      <c r="AR223" s="1127"/>
      <c r="AS223" s="1127"/>
      <c r="AT223" s="1127"/>
      <c r="AU223" s="1127"/>
      <c r="AV223" s="1127"/>
    </row>
    <row r="224" spans="1:48" ht="14.25" x14ac:dyDescent="0.2">
      <c r="A224" s="1091" t="s">
        <v>253</v>
      </c>
      <c r="B224" s="258"/>
      <c r="C224" s="258"/>
      <c r="D224" s="258"/>
      <c r="E224" s="1086">
        <f t="shared" ca="1" si="184"/>
        <v>3445381800</v>
      </c>
      <c r="F224" s="258">
        <f t="shared" ca="1" si="185"/>
        <v>7630425600</v>
      </c>
      <c r="G224" s="258">
        <f t="shared" ca="1" si="186"/>
        <v>12338663000</v>
      </c>
      <c r="H224" s="784"/>
      <c r="I224" s="1091"/>
      <c r="J224" s="1146"/>
      <c r="K224" s="1103"/>
      <c r="L224" s="1103"/>
      <c r="M224" s="357"/>
      <c r="N224" s="163"/>
      <c r="O224" s="321"/>
      <c r="P224" s="784"/>
      <c r="Q224" s="1140"/>
      <c r="R224" s="784"/>
      <c r="S224" s="1140"/>
      <c r="T224" s="1140"/>
      <c r="U224" s="1140"/>
      <c r="V224" s="1140"/>
      <c r="W224" s="1140"/>
      <c r="X224" s="1140"/>
      <c r="Y224" s="1140"/>
      <c r="Z224" s="1140"/>
      <c r="AA224" s="1140"/>
      <c r="AB224" s="1140"/>
      <c r="AC224" s="1140"/>
      <c r="AD224" s="1140"/>
      <c r="AE224" s="784"/>
      <c r="AF224" s="1140"/>
      <c r="AG224" s="1140"/>
      <c r="AH224" s="1140"/>
      <c r="AI224" s="1140"/>
      <c r="AJ224" s="1140"/>
      <c r="AK224" s="1140"/>
      <c r="AL224" s="1140"/>
      <c r="AM224" s="1140"/>
      <c r="AN224" s="1140"/>
      <c r="AO224" s="1140"/>
      <c r="AP224" s="1140"/>
      <c r="AQ224" s="1127"/>
      <c r="AR224" s="1127"/>
      <c r="AS224" s="1127"/>
      <c r="AT224" s="1127"/>
      <c r="AU224" s="1127"/>
      <c r="AV224" s="1127"/>
    </row>
    <row r="225" spans="1:48" ht="14.25" x14ac:dyDescent="0.2">
      <c r="A225" s="1091" t="s">
        <v>254</v>
      </c>
      <c r="B225" s="258"/>
      <c r="C225" s="258"/>
      <c r="D225" s="258"/>
      <c r="E225" s="1086">
        <f t="shared" ca="1" si="184"/>
        <v>610000000</v>
      </c>
      <c r="F225" s="258">
        <f t="shared" ca="1" si="185"/>
        <v>0</v>
      </c>
      <c r="G225" s="258">
        <f t="shared" ca="1" si="186"/>
        <v>0</v>
      </c>
      <c r="H225" s="784"/>
      <c r="I225" s="1091"/>
      <c r="J225" s="1146"/>
      <c r="K225" s="1103"/>
      <c r="L225" s="1103"/>
      <c r="M225" s="357"/>
      <c r="N225" s="163"/>
      <c r="O225" s="321"/>
      <c r="P225" s="784"/>
      <c r="Q225" s="1140"/>
      <c r="R225" s="784"/>
      <c r="S225" s="1140"/>
      <c r="T225" s="1140"/>
      <c r="U225" s="1140"/>
      <c r="V225" s="1140"/>
      <c r="W225" s="1140"/>
      <c r="X225" s="1140"/>
      <c r="Y225" s="1140"/>
      <c r="Z225" s="1140"/>
      <c r="AA225" s="1140"/>
      <c r="AB225" s="1140"/>
      <c r="AC225" s="1140"/>
      <c r="AD225" s="1140"/>
      <c r="AE225" s="784"/>
      <c r="AF225" s="1140"/>
      <c r="AG225" s="1140"/>
      <c r="AH225" s="1140"/>
      <c r="AI225" s="1140"/>
      <c r="AJ225" s="1140"/>
      <c r="AK225" s="1140"/>
      <c r="AL225" s="1140"/>
      <c r="AM225" s="1140"/>
      <c r="AN225" s="1140"/>
      <c r="AO225" s="1140"/>
      <c r="AP225" s="1140"/>
      <c r="AQ225" s="1127"/>
      <c r="AR225" s="1127"/>
      <c r="AS225" s="1127"/>
      <c r="AT225" s="1127"/>
      <c r="AU225" s="1127"/>
      <c r="AV225" s="1127"/>
    </row>
    <row r="226" spans="1:48" ht="14.25" x14ac:dyDescent="0.2">
      <c r="A226" s="1091" t="s">
        <v>255</v>
      </c>
      <c r="B226" s="258"/>
      <c r="C226" s="258"/>
      <c r="D226" s="258"/>
      <c r="E226" s="1086">
        <f t="shared" ca="1" si="184"/>
        <v>0</v>
      </c>
      <c r="F226" s="258">
        <f t="shared" ca="1" si="185"/>
        <v>0</v>
      </c>
      <c r="G226" s="258">
        <f t="shared" ca="1" si="186"/>
        <v>0</v>
      </c>
      <c r="H226" s="784"/>
      <c r="I226" s="1091"/>
      <c r="J226" s="1146"/>
      <c r="K226" s="1103"/>
      <c r="L226" s="1103"/>
      <c r="M226" s="357"/>
      <c r="N226" s="163"/>
      <c r="O226" s="321"/>
      <c r="P226" s="784"/>
      <c r="Q226" s="1140"/>
      <c r="R226" s="784"/>
      <c r="S226" s="1140"/>
      <c r="T226" s="1140"/>
      <c r="U226" s="1140"/>
      <c r="V226" s="1140"/>
      <c r="W226" s="1140"/>
      <c r="X226" s="1140"/>
      <c r="Y226" s="1140"/>
      <c r="Z226" s="1140"/>
      <c r="AA226" s="1140"/>
      <c r="AB226" s="1140"/>
      <c r="AC226" s="1140"/>
      <c r="AD226" s="1140"/>
      <c r="AE226" s="784"/>
      <c r="AF226" s="1140"/>
      <c r="AG226" s="1140"/>
      <c r="AH226" s="1140"/>
      <c r="AI226" s="1140"/>
      <c r="AJ226" s="1140"/>
      <c r="AK226" s="1140"/>
      <c r="AL226" s="1140"/>
      <c r="AM226" s="1140"/>
      <c r="AN226" s="1140"/>
      <c r="AO226" s="1140"/>
      <c r="AP226" s="1140"/>
      <c r="AQ226" s="1127"/>
      <c r="AR226" s="1127"/>
      <c r="AS226" s="1127"/>
      <c r="AT226" s="1127"/>
      <c r="AU226" s="1127"/>
      <c r="AV226" s="1127"/>
    </row>
    <row r="227" spans="1:48" ht="14.25" x14ac:dyDescent="0.2">
      <c r="A227" s="1091" t="s">
        <v>256</v>
      </c>
      <c r="B227" s="258"/>
      <c r="C227" s="258"/>
      <c r="D227" s="258"/>
      <c r="E227" s="1086">
        <f t="shared" ca="1" si="184"/>
        <v>0</v>
      </c>
      <c r="F227" s="258">
        <f t="shared" ca="1" si="185"/>
        <v>0</v>
      </c>
      <c r="G227" s="258">
        <f t="shared" ca="1" si="186"/>
        <v>0</v>
      </c>
      <c r="H227" s="784"/>
      <c r="I227" s="1091"/>
      <c r="J227" s="1146"/>
      <c r="K227" s="1103"/>
      <c r="L227" s="1103"/>
      <c r="M227" s="357"/>
      <c r="N227" s="163"/>
      <c r="O227" s="321"/>
      <c r="P227" s="784"/>
      <c r="Q227" s="1140"/>
      <c r="R227" s="784"/>
      <c r="S227" s="1140"/>
      <c r="T227" s="1140"/>
      <c r="U227" s="1140"/>
      <c r="V227" s="1140"/>
      <c r="W227" s="1140"/>
      <c r="X227" s="1140"/>
      <c r="Y227" s="1140"/>
      <c r="Z227" s="1140"/>
      <c r="AA227" s="1140"/>
      <c r="AB227" s="1140"/>
      <c r="AC227" s="1140"/>
      <c r="AD227" s="1140"/>
      <c r="AE227" s="784"/>
      <c r="AF227" s="1140"/>
      <c r="AG227" s="1140"/>
      <c r="AH227" s="1140"/>
      <c r="AI227" s="1140"/>
      <c r="AJ227" s="1140"/>
      <c r="AK227" s="1140"/>
      <c r="AL227" s="1140"/>
      <c r="AM227" s="1140"/>
      <c r="AN227" s="1140"/>
      <c r="AO227" s="1140"/>
      <c r="AP227" s="1140"/>
      <c r="AQ227" s="1127"/>
      <c r="AR227" s="1127"/>
      <c r="AS227" s="1127"/>
      <c r="AT227" s="1127"/>
      <c r="AU227" s="1127"/>
      <c r="AV227" s="1127"/>
    </row>
    <row r="228" spans="1:48" ht="14.25" x14ac:dyDescent="0.2">
      <c r="A228" s="1091" t="s">
        <v>257</v>
      </c>
      <c r="B228" s="258"/>
      <c r="C228" s="258"/>
      <c r="D228" s="258"/>
      <c r="E228" s="1086">
        <f t="shared" ca="1" si="184"/>
        <v>132000000</v>
      </c>
      <c r="F228" s="258">
        <f t="shared" ca="1" si="185"/>
        <v>132000000</v>
      </c>
      <c r="G228" s="258">
        <f t="shared" ca="1" si="186"/>
        <v>132000000</v>
      </c>
      <c r="H228" s="784"/>
      <c r="I228" s="1091"/>
      <c r="J228" s="1146"/>
      <c r="K228" s="1103"/>
      <c r="L228" s="1103"/>
      <c r="M228" s="357"/>
      <c r="N228" s="163"/>
      <c r="O228" s="321"/>
      <c r="P228" s="784"/>
      <c r="Q228" s="1140"/>
      <c r="R228" s="784"/>
      <c r="S228" s="1140"/>
      <c r="T228" s="1140"/>
      <c r="U228" s="1140"/>
      <c r="V228" s="1140"/>
      <c r="W228" s="1140"/>
      <c r="X228" s="1140"/>
      <c r="Y228" s="1140"/>
      <c r="Z228" s="1140"/>
      <c r="AA228" s="1140"/>
      <c r="AB228" s="1140"/>
      <c r="AC228" s="1140"/>
      <c r="AD228" s="1140"/>
      <c r="AE228" s="784"/>
      <c r="AF228" s="1140"/>
      <c r="AG228" s="1140"/>
      <c r="AH228" s="1140"/>
      <c r="AI228" s="1140"/>
      <c r="AJ228" s="1140"/>
      <c r="AK228" s="1140"/>
      <c r="AL228" s="1140"/>
      <c r="AM228" s="1140"/>
      <c r="AN228" s="1140"/>
      <c r="AO228" s="1140"/>
      <c r="AP228" s="1140"/>
      <c r="AQ228" s="1127"/>
      <c r="AR228" s="1127"/>
      <c r="AS228" s="1127"/>
      <c r="AT228" s="1127"/>
      <c r="AU228" s="1127"/>
      <c r="AV228" s="1127"/>
    </row>
    <row r="229" spans="1:48" ht="14.25" x14ac:dyDescent="0.2">
      <c r="A229" s="1091" t="s">
        <v>258</v>
      </c>
      <c r="B229" s="258"/>
      <c r="C229" s="258"/>
      <c r="D229" s="258"/>
      <c r="E229" s="1086">
        <f t="shared" ca="1" si="184"/>
        <v>50000000</v>
      </c>
      <c r="F229" s="258">
        <f t="shared" ca="1" si="185"/>
        <v>0</v>
      </c>
      <c r="G229" s="258">
        <f t="shared" ca="1" si="186"/>
        <v>0</v>
      </c>
      <c r="H229" s="784"/>
      <c r="I229" s="1091"/>
      <c r="J229" s="1146"/>
      <c r="K229" s="1103"/>
      <c r="L229" s="1103"/>
      <c r="M229" s="357"/>
      <c r="N229" s="163"/>
      <c r="O229" s="321"/>
      <c r="P229" s="784"/>
      <c r="Q229" s="1140"/>
      <c r="R229" s="784"/>
      <c r="S229" s="1140"/>
      <c r="T229" s="1140"/>
      <c r="U229" s="1140"/>
      <c r="V229" s="1140"/>
      <c r="W229" s="1140"/>
      <c r="X229" s="1140"/>
      <c r="Y229" s="1140"/>
      <c r="Z229" s="1140"/>
      <c r="AA229" s="1140"/>
      <c r="AB229" s="1140"/>
      <c r="AC229" s="1140"/>
      <c r="AD229" s="1140"/>
      <c r="AE229" s="784"/>
      <c r="AF229" s="1140"/>
      <c r="AG229" s="1140"/>
      <c r="AH229" s="1140"/>
      <c r="AI229" s="1140"/>
      <c r="AJ229" s="1140"/>
      <c r="AK229" s="1140"/>
      <c r="AL229" s="1140"/>
      <c r="AM229" s="1140"/>
      <c r="AN229" s="1140"/>
      <c r="AO229" s="1140"/>
      <c r="AP229" s="1140"/>
      <c r="AQ229" s="1127"/>
      <c r="AR229" s="1127"/>
      <c r="AS229" s="1127"/>
      <c r="AT229" s="1127"/>
      <c r="AU229" s="1127"/>
      <c r="AV229" s="1127"/>
    </row>
    <row r="230" spans="1:48" ht="14.25" x14ac:dyDescent="0.2">
      <c r="A230" s="1091" t="s">
        <v>259</v>
      </c>
      <c r="B230" s="258"/>
      <c r="C230" s="258"/>
      <c r="D230" s="258"/>
      <c r="E230" s="1086">
        <f t="shared" ca="1" si="184"/>
        <v>45300000</v>
      </c>
      <c r="F230" s="258">
        <f t="shared" ca="1" si="185"/>
        <v>9500000</v>
      </c>
      <c r="G230" s="258">
        <f t="shared" ca="1" si="186"/>
        <v>0</v>
      </c>
      <c r="H230" s="784"/>
      <c r="I230" s="1091"/>
      <c r="J230" s="1146"/>
      <c r="K230" s="1103"/>
      <c r="L230" s="1103"/>
      <c r="M230" s="357"/>
      <c r="N230" s="163"/>
      <c r="O230" s="321"/>
      <c r="P230" s="784"/>
      <c r="Q230" s="1140"/>
      <c r="R230" s="784"/>
      <c r="S230" s="1140"/>
      <c r="T230" s="1140"/>
      <c r="U230" s="1140"/>
      <c r="V230" s="1140"/>
      <c r="W230" s="1140"/>
      <c r="X230" s="1140"/>
      <c r="Y230" s="1140"/>
      <c r="Z230" s="1140"/>
      <c r="AA230" s="1140"/>
      <c r="AB230" s="1140"/>
      <c r="AC230" s="1140"/>
      <c r="AD230" s="1140"/>
      <c r="AE230" s="784"/>
      <c r="AF230" s="1140"/>
      <c r="AG230" s="1140"/>
      <c r="AH230" s="1140"/>
      <c r="AI230" s="1140"/>
      <c r="AJ230" s="1140"/>
      <c r="AK230" s="1140"/>
      <c r="AL230" s="1140"/>
      <c r="AM230" s="1140"/>
      <c r="AN230" s="1140"/>
      <c r="AO230" s="1140"/>
      <c r="AP230" s="1140"/>
      <c r="AQ230" s="1127"/>
      <c r="AR230" s="1127"/>
      <c r="AS230" s="1127"/>
      <c r="AT230" s="1127"/>
      <c r="AU230" s="1127"/>
      <c r="AV230" s="1127"/>
    </row>
    <row r="231" spans="1:48" ht="14.25" x14ac:dyDescent="0.2">
      <c r="A231" s="1085" t="s">
        <v>260</v>
      </c>
      <c r="B231" s="1092"/>
      <c r="C231" s="1092"/>
      <c r="D231" s="1092"/>
      <c r="E231" s="1093">
        <f t="shared" ca="1" si="184"/>
        <v>8809677800</v>
      </c>
      <c r="F231" s="1092">
        <f t="shared" ca="1" si="185"/>
        <v>15707273500</v>
      </c>
      <c r="G231" s="1092">
        <f t="shared" ca="1" si="186"/>
        <v>23087096300</v>
      </c>
      <c r="H231" s="793"/>
      <c r="I231" s="1085"/>
      <c r="J231" s="1147"/>
      <c r="K231" s="1101"/>
      <c r="L231" s="1101"/>
      <c r="M231" s="357"/>
      <c r="N231" s="163"/>
      <c r="O231" s="321"/>
      <c r="P231" s="793"/>
      <c r="Q231" s="1140"/>
      <c r="R231" s="784"/>
      <c r="S231" s="1140"/>
      <c r="T231" s="1140"/>
      <c r="U231" s="1140"/>
      <c r="V231" s="1140"/>
      <c r="W231" s="1140"/>
      <c r="X231" s="1140"/>
      <c r="Y231" s="1140"/>
      <c r="Z231" s="1140"/>
      <c r="AA231" s="1140"/>
      <c r="AB231" s="1140"/>
      <c r="AC231" s="1140"/>
      <c r="AD231" s="1140"/>
      <c r="AE231" s="784"/>
      <c r="AF231" s="1140"/>
      <c r="AG231" s="1140"/>
      <c r="AH231" s="1140"/>
      <c r="AI231" s="1140"/>
      <c r="AJ231" s="1140"/>
      <c r="AK231" s="1140"/>
      <c r="AL231" s="1140"/>
      <c r="AM231" s="1140"/>
      <c r="AN231" s="1140"/>
      <c r="AO231" s="1140"/>
      <c r="AP231" s="1140"/>
      <c r="AQ231" s="1127"/>
      <c r="AR231" s="1127"/>
      <c r="AS231" s="1127"/>
      <c r="AT231" s="1127"/>
      <c r="AU231" s="1127"/>
      <c r="AV231" s="1127"/>
    </row>
    <row r="232" spans="1:48" ht="14.25" x14ac:dyDescent="0.2">
      <c r="A232" s="1085"/>
      <c r="B232" s="258"/>
      <c r="C232" s="258"/>
      <c r="D232" s="258"/>
      <c r="E232" s="1086"/>
      <c r="F232" s="258"/>
      <c r="G232" s="258"/>
      <c r="H232" s="784"/>
      <c r="I232" s="1087"/>
      <c r="J232" s="1146"/>
      <c r="K232" s="1103"/>
      <c r="L232" s="1103"/>
      <c r="M232" s="357"/>
      <c r="N232" s="163"/>
      <c r="O232" s="321"/>
      <c r="P232" s="784"/>
      <c r="Q232" s="1140"/>
      <c r="R232" s="784"/>
      <c r="S232" s="1140"/>
      <c r="T232" s="1140"/>
      <c r="U232" s="1140"/>
      <c r="V232" s="1140"/>
      <c r="W232" s="1140"/>
      <c r="X232" s="1140"/>
      <c r="Y232" s="1140"/>
      <c r="Z232" s="1140"/>
      <c r="AA232" s="1140"/>
      <c r="AB232" s="1140"/>
      <c r="AC232" s="1140"/>
      <c r="AD232" s="1140"/>
      <c r="AE232" s="784"/>
      <c r="AF232" s="1140"/>
      <c r="AG232" s="1140"/>
      <c r="AH232" s="1140"/>
      <c r="AI232" s="1140"/>
      <c r="AJ232" s="1140"/>
      <c r="AK232" s="1140"/>
      <c r="AL232" s="1140"/>
      <c r="AM232" s="1140"/>
      <c r="AN232" s="1140"/>
      <c r="AO232" s="1140"/>
      <c r="AP232" s="1140"/>
      <c r="AQ232" s="1127"/>
      <c r="AR232" s="1127"/>
      <c r="AS232" s="1127"/>
      <c r="AT232" s="1127"/>
      <c r="AU232" s="1127"/>
      <c r="AV232" s="1127"/>
    </row>
    <row r="233" spans="1:48" ht="14.25" x14ac:dyDescent="0.2">
      <c r="A233" s="1099" t="s">
        <v>388</v>
      </c>
      <c r="B233" s="1100"/>
      <c r="C233" s="1100"/>
      <c r="D233" s="1100"/>
      <c r="E233" s="1101">
        <f t="shared" ref="E233:E240" ca="1" si="196">H176</f>
        <v>101910407.89792061</v>
      </c>
      <c r="F233" s="1101">
        <f t="shared" ref="F233:F240" ca="1" si="197">L176</f>
        <v>12330703642.857141</v>
      </c>
      <c r="G233" s="1101">
        <f t="shared" ref="G233:G240" ca="1" si="198">P176</f>
        <v>31678730842.85714</v>
      </c>
      <c r="H233" s="625"/>
      <c r="I233" s="625"/>
      <c r="J233" s="625"/>
      <c r="K233" s="625"/>
      <c r="L233" s="625"/>
      <c r="M233" s="625"/>
      <c r="N233" s="625"/>
      <c r="O233" s="625"/>
      <c r="P233" s="625"/>
      <c r="Q233" s="1140"/>
      <c r="R233" s="784"/>
      <c r="S233" s="1140"/>
      <c r="T233" s="1140"/>
      <c r="U233" s="1140"/>
      <c r="V233" s="1140"/>
      <c r="W233" s="1140"/>
      <c r="X233" s="1140"/>
      <c r="Y233" s="1140"/>
      <c r="Z233" s="1140"/>
      <c r="AA233" s="1140"/>
      <c r="AB233" s="1140"/>
      <c r="AC233" s="1140"/>
      <c r="AD233" s="1140"/>
      <c r="AE233" s="784"/>
      <c r="AF233" s="1140"/>
      <c r="AG233" s="1140"/>
      <c r="AH233" s="1140"/>
      <c r="AI233" s="1140"/>
      <c r="AJ233" s="1140"/>
      <c r="AK233" s="1140"/>
      <c r="AL233" s="1140"/>
      <c r="AM233" s="1140"/>
      <c r="AN233" s="1140"/>
      <c r="AO233" s="1140"/>
      <c r="AP233" s="1140"/>
      <c r="AQ233" s="1127"/>
      <c r="AR233" s="1127"/>
      <c r="AS233" s="1127"/>
      <c r="AT233" s="1127"/>
      <c r="AU233" s="1127"/>
      <c r="AV233" s="1127"/>
    </row>
    <row r="234" spans="1:48" ht="14.25" x14ac:dyDescent="0.2">
      <c r="A234" s="1102"/>
      <c r="B234" s="989"/>
      <c r="C234" s="989"/>
      <c r="D234" s="989"/>
      <c r="E234" s="1103">
        <f t="shared" ca="1" si="196"/>
        <v>0</v>
      </c>
      <c r="F234" s="258">
        <f t="shared" ca="1" si="197"/>
        <v>0</v>
      </c>
      <c r="G234" s="258">
        <f t="shared" ca="1" si="198"/>
        <v>0</v>
      </c>
      <c r="H234" s="784"/>
      <c r="I234" s="784"/>
      <c r="J234" s="784"/>
      <c r="K234" s="784"/>
      <c r="L234" s="784"/>
      <c r="M234" s="784"/>
      <c r="N234" s="784"/>
      <c r="O234" s="784"/>
      <c r="P234" s="784"/>
      <c r="Q234" s="1140"/>
      <c r="R234" s="784"/>
      <c r="S234" s="1140"/>
      <c r="T234" s="1140"/>
      <c r="U234" s="1140"/>
      <c r="V234" s="1140"/>
      <c r="W234" s="1140"/>
      <c r="X234" s="1140"/>
      <c r="Y234" s="1140"/>
      <c r="Z234" s="1140"/>
      <c r="AA234" s="1140"/>
      <c r="AB234" s="1140"/>
      <c r="AC234" s="1140"/>
      <c r="AD234" s="1140"/>
      <c r="AE234" s="784"/>
      <c r="AF234" s="1140"/>
      <c r="AG234" s="1140"/>
      <c r="AH234" s="1140"/>
      <c r="AI234" s="1140"/>
      <c r="AJ234" s="1140"/>
      <c r="AK234" s="1140"/>
      <c r="AL234" s="1140"/>
      <c r="AM234" s="1140"/>
      <c r="AN234" s="1140"/>
      <c r="AO234" s="1140"/>
      <c r="AP234" s="1140"/>
      <c r="AQ234" s="1127"/>
      <c r="AR234" s="1127"/>
      <c r="AS234" s="1127"/>
      <c r="AT234" s="1127"/>
      <c r="AU234" s="1127"/>
      <c r="AV234" s="1127"/>
    </row>
    <row r="235" spans="1:48" ht="14.25" x14ac:dyDescent="0.2">
      <c r="A235" s="1099" t="s">
        <v>389</v>
      </c>
      <c r="B235" s="989"/>
      <c r="C235" s="989"/>
      <c r="D235" s="989"/>
      <c r="E235" s="258">
        <f t="shared" ca="1" si="196"/>
        <v>0</v>
      </c>
      <c r="F235" s="258">
        <f t="shared" ca="1" si="197"/>
        <v>0</v>
      </c>
      <c r="G235" s="258">
        <f t="shared" ca="1" si="198"/>
        <v>0</v>
      </c>
      <c r="H235" s="784"/>
      <c r="I235" s="784"/>
      <c r="J235" s="784"/>
      <c r="K235" s="784"/>
      <c r="L235" s="784"/>
      <c r="M235" s="784"/>
      <c r="N235" s="784"/>
      <c r="O235" s="784"/>
      <c r="P235" s="784"/>
      <c r="Q235" s="1140"/>
      <c r="R235" s="784"/>
      <c r="S235" s="1140"/>
      <c r="T235" s="1140"/>
      <c r="U235" s="1140"/>
      <c r="V235" s="1140"/>
      <c r="W235" s="1140"/>
      <c r="X235" s="1140"/>
      <c r="Y235" s="1140"/>
      <c r="Z235" s="1140"/>
      <c r="AA235" s="1140"/>
      <c r="AB235" s="1140"/>
      <c r="AC235" s="1140"/>
      <c r="AD235" s="1140"/>
      <c r="AE235" s="784"/>
      <c r="AF235" s="1140"/>
      <c r="AG235" s="1140"/>
      <c r="AH235" s="1140"/>
      <c r="AI235" s="1140"/>
      <c r="AJ235" s="1140"/>
      <c r="AK235" s="1140"/>
      <c r="AL235" s="1140"/>
      <c r="AM235" s="1140"/>
      <c r="AN235" s="1140"/>
      <c r="AO235" s="1140"/>
      <c r="AP235" s="1140"/>
      <c r="AQ235" s="1127"/>
      <c r="AR235" s="1127"/>
      <c r="AS235" s="1127"/>
      <c r="AT235" s="1127"/>
      <c r="AU235" s="1127"/>
      <c r="AV235" s="1127"/>
    </row>
    <row r="236" spans="1:48" ht="14.25" x14ac:dyDescent="0.2">
      <c r="A236" s="1104" t="s">
        <v>390</v>
      </c>
      <c r="B236" s="989"/>
      <c r="C236" s="989"/>
      <c r="D236" s="989"/>
      <c r="E236" s="258">
        <f t="shared" ca="1" si="196"/>
        <v>5526359999.999999</v>
      </c>
      <c r="F236" s="258">
        <f t="shared" ca="1" si="197"/>
        <v>6842159999.9999933</v>
      </c>
      <c r="G236" s="258">
        <f t="shared" ca="1" si="198"/>
        <v>6842159999.9999905</v>
      </c>
      <c r="H236" s="784"/>
      <c r="I236" s="784"/>
      <c r="J236" s="784"/>
      <c r="K236" s="784"/>
      <c r="L236" s="784"/>
      <c r="M236" s="784"/>
      <c r="N236" s="784"/>
      <c r="O236" s="784"/>
      <c r="P236" s="784"/>
      <c r="Q236" s="1140"/>
      <c r="R236" s="784"/>
      <c r="S236" s="1140"/>
      <c r="T236" s="1140"/>
      <c r="U236" s="1140"/>
      <c r="V236" s="1140"/>
      <c r="W236" s="1140"/>
      <c r="X236" s="1140"/>
      <c r="Y236" s="1140"/>
      <c r="Z236" s="1140"/>
      <c r="AA236" s="1140"/>
      <c r="AB236" s="1140"/>
      <c r="AC236" s="1140"/>
      <c r="AD236" s="1140"/>
      <c r="AE236" s="784"/>
      <c r="AF236" s="1140"/>
      <c r="AG236" s="1140"/>
      <c r="AH236" s="1140"/>
      <c r="AI236" s="1140"/>
      <c r="AJ236" s="1140"/>
      <c r="AK236" s="1140"/>
      <c r="AL236" s="1140"/>
      <c r="AM236" s="1140"/>
      <c r="AN236" s="1140"/>
      <c r="AO236" s="1140"/>
      <c r="AP236" s="1140"/>
      <c r="AQ236" s="1127"/>
      <c r="AR236" s="1127"/>
      <c r="AS236" s="1127"/>
      <c r="AT236" s="1127"/>
      <c r="AU236" s="1127"/>
      <c r="AV236" s="1127"/>
    </row>
    <row r="237" spans="1:48" ht="14.25" x14ac:dyDescent="0.2">
      <c r="A237" s="1104" t="s">
        <v>391</v>
      </c>
      <c r="B237" s="989"/>
      <c r="C237" s="989"/>
      <c r="D237" s="989"/>
      <c r="E237" s="258">
        <f t="shared" ca="1" si="196"/>
        <v>0</v>
      </c>
      <c r="F237" s="258">
        <f t="shared" ca="1" si="197"/>
        <v>0</v>
      </c>
      <c r="G237" s="258">
        <f t="shared" ca="1" si="198"/>
        <v>1097708728.5714293</v>
      </c>
      <c r="H237" s="784"/>
      <c r="I237" s="784"/>
      <c r="J237" s="784"/>
      <c r="K237" s="784"/>
      <c r="L237" s="784"/>
      <c r="M237" s="784"/>
      <c r="N237" s="784"/>
      <c r="O237" s="784"/>
      <c r="P237" s="784"/>
      <c r="Q237" s="1140"/>
      <c r="R237" s="784"/>
      <c r="S237" s="1140"/>
      <c r="T237" s="1140"/>
      <c r="U237" s="1140"/>
      <c r="V237" s="1140"/>
      <c r="W237" s="1140"/>
      <c r="X237" s="1140"/>
      <c r="Y237" s="1140"/>
      <c r="Z237" s="1140"/>
      <c r="AA237" s="1140"/>
      <c r="AB237" s="1140"/>
      <c r="AC237" s="1140"/>
      <c r="AD237" s="1140"/>
      <c r="AE237" s="784"/>
      <c r="AF237" s="1140"/>
      <c r="AG237" s="1140"/>
      <c r="AH237" s="1140"/>
      <c r="AI237" s="1140"/>
      <c r="AJ237" s="1140"/>
      <c r="AK237" s="1140"/>
      <c r="AL237" s="1140"/>
      <c r="AM237" s="1140"/>
      <c r="AN237" s="1140"/>
      <c r="AO237" s="1140"/>
      <c r="AP237" s="1140"/>
      <c r="AQ237" s="1127"/>
      <c r="AR237" s="1127"/>
      <c r="AS237" s="1127"/>
      <c r="AT237" s="1127"/>
      <c r="AU237" s="1127"/>
      <c r="AV237" s="1127"/>
    </row>
    <row r="238" spans="1:48" ht="14.25" x14ac:dyDescent="0.2">
      <c r="A238" s="1099" t="s">
        <v>392</v>
      </c>
      <c r="B238" s="1105"/>
      <c r="C238" s="1105"/>
      <c r="D238" s="1105"/>
      <c r="E238" s="1092">
        <f t="shared" ca="1" si="196"/>
        <v>5526359999.999999</v>
      </c>
      <c r="F238" s="1092">
        <f t="shared" ca="1" si="197"/>
        <v>6842159999.9999933</v>
      </c>
      <c r="G238" s="1092">
        <f t="shared" ca="1" si="198"/>
        <v>7939868728.5714207</v>
      </c>
      <c r="H238" s="793"/>
      <c r="I238" s="793"/>
      <c r="J238" s="793"/>
      <c r="K238" s="793"/>
      <c r="L238" s="793"/>
      <c r="M238" s="793"/>
      <c r="N238" s="793"/>
      <c r="O238" s="793"/>
      <c r="P238" s="793"/>
      <c r="Q238" s="1140"/>
      <c r="R238" s="784"/>
      <c r="S238" s="1140"/>
      <c r="T238" s="1140"/>
      <c r="U238" s="1140"/>
      <c r="V238" s="1140"/>
      <c r="W238" s="1140"/>
      <c r="X238" s="1140"/>
      <c r="Y238" s="1140"/>
      <c r="Z238" s="1140"/>
      <c r="AA238" s="1140"/>
      <c r="AB238" s="1140"/>
      <c r="AC238" s="1140"/>
      <c r="AD238" s="1140"/>
      <c r="AE238" s="784"/>
      <c r="AF238" s="1140"/>
      <c r="AG238" s="1140"/>
      <c r="AH238" s="1140"/>
      <c r="AI238" s="1140"/>
      <c r="AJ238" s="1140"/>
      <c r="AK238" s="1140"/>
      <c r="AL238" s="1140"/>
      <c r="AM238" s="1140"/>
      <c r="AN238" s="1140"/>
      <c r="AO238" s="1140"/>
      <c r="AP238" s="1140"/>
      <c r="AQ238" s="1127"/>
      <c r="AR238" s="1127"/>
      <c r="AS238" s="1127"/>
      <c r="AT238" s="1127"/>
      <c r="AU238" s="1127"/>
      <c r="AV238" s="1127"/>
    </row>
    <row r="239" spans="1:48" ht="14.25" x14ac:dyDescent="0.2">
      <c r="A239" s="1102"/>
      <c r="B239" s="989"/>
      <c r="C239" s="989"/>
      <c r="D239" s="989"/>
      <c r="E239" s="258">
        <f t="shared" ca="1" si="196"/>
        <v>0</v>
      </c>
      <c r="F239" s="258">
        <f t="shared" ca="1" si="197"/>
        <v>0</v>
      </c>
      <c r="G239" s="258">
        <f t="shared" ca="1" si="198"/>
        <v>0</v>
      </c>
      <c r="H239" s="784"/>
      <c r="I239" s="784"/>
      <c r="J239" s="784"/>
      <c r="K239" s="784"/>
      <c r="L239" s="784"/>
      <c r="M239" s="784"/>
      <c r="N239" s="784"/>
      <c r="O239" s="784"/>
      <c r="P239" s="784"/>
      <c r="Q239" s="1140"/>
      <c r="R239" s="784"/>
      <c r="S239" s="1140"/>
      <c r="T239" s="1140"/>
      <c r="U239" s="1140"/>
      <c r="V239" s="1140"/>
      <c r="W239" s="1140"/>
      <c r="X239" s="1140"/>
      <c r="Y239" s="1140"/>
      <c r="Z239" s="1140"/>
      <c r="AA239" s="1140"/>
      <c r="AB239" s="1140"/>
      <c r="AC239" s="1140"/>
      <c r="AD239" s="1140"/>
      <c r="AE239" s="784"/>
      <c r="AF239" s="1140"/>
      <c r="AG239" s="1140"/>
      <c r="AH239" s="1140"/>
      <c r="AI239" s="1140"/>
      <c r="AJ239" s="1140"/>
      <c r="AK239" s="1140"/>
      <c r="AL239" s="1140"/>
      <c r="AM239" s="1140"/>
      <c r="AN239" s="1140"/>
      <c r="AO239" s="1140"/>
      <c r="AP239" s="1140"/>
      <c r="AQ239" s="1127"/>
      <c r="AR239" s="1127"/>
      <c r="AS239" s="1127"/>
      <c r="AT239" s="1127"/>
      <c r="AU239" s="1127"/>
      <c r="AV239" s="1127"/>
    </row>
    <row r="240" spans="1:48" ht="14.25" x14ac:dyDescent="0.2">
      <c r="A240" s="1099" t="s">
        <v>393</v>
      </c>
      <c r="B240" s="1106"/>
      <c r="C240" s="1106"/>
      <c r="D240" s="1107"/>
      <c r="E240" s="1108">
        <f t="shared" ca="1" si="196"/>
        <v>-5424449592.1020794</v>
      </c>
      <c r="F240" s="1108">
        <f t="shared" ca="1" si="197"/>
        <v>5488543642.8571463</v>
      </c>
      <c r="G240" s="1108">
        <f t="shared" ca="1" si="198"/>
        <v>23738862114.285721</v>
      </c>
      <c r="H240" s="1148"/>
      <c r="I240" s="1148"/>
      <c r="J240" s="1148"/>
      <c r="K240" s="1148"/>
      <c r="L240" s="1148"/>
      <c r="M240" s="1148"/>
      <c r="N240" s="1148"/>
      <c r="O240" s="1148"/>
      <c r="P240" s="1148"/>
      <c r="Q240" s="1140"/>
      <c r="R240" s="784"/>
      <c r="S240" s="1140"/>
      <c r="T240" s="1140"/>
      <c r="U240" s="1140"/>
      <c r="V240" s="1140"/>
      <c r="W240" s="1140"/>
      <c r="X240" s="1140"/>
      <c r="Y240" s="1140"/>
      <c r="Z240" s="1140"/>
      <c r="AA240" s="1140"/>
      <c r="AB240" s="1140"/>
      <c r="AC240" s="1140"/>
      <c r="AD240" s="1140"/>
      <c r="AE240" s="784"/>
      <c r="AF240" s="1140"/>
      <c r="AG240" s="1140"/>
      <c r="AH240" s="1140"/>
      <c r="AI240" s="1140"/>
      <c r="AJ240" s="1140"/>
      <c r="AK240" s="1140"/>
      <c r="AL240" s="1140"/>
      <c r="AM240" s="1140"/>
      <c r="AN240" s="1140"/>
      <c r="AO240" s="1140"/>
      <c r="AP240" s="1140"/>
      <c r="AQ240" s="1127"/>
      <c r="AR240" s="1127"/>
      <c r="AS240" s="1127"/>
      <c r="AT240" s="1127"/>
      <c r="AU240" s="1127"/>
      <c r="AV240" s="1127"/>
    </row>
  </sheetData>
  <mergeCells count="47">
    <mergeCell ref="AE60:AP60"/>
    <mergeCell ref="AE73:AP73"/>
    <mergeCell ref="AE74:AG74"/>
    <mergeCell ref="AH74:AJ74"/>
    <mergeCell ref="AK74:AM74"/>
    <mergeCell ref="AN74:AP74"/>
    <mergeCell ref="AE61:AG61"/>
    <mergeCell ref="AH61:AJ61"/>
    <mergeCell ref="AK61:AM61"/>
    <mergeCell ref="AN61:AP61"/>
    <mergeCell ref="A1:A6"/>
    <mergeCell ref="E4:P4"/>
    <mergeCell ref="R4:AC4"/>
    <mergeCell ref="AE4:AP4"/>
    <mergeCell ref="E5:G5"/>
    <mergeCell ref="H5:J5"/>
    <mergeCell ref="K5:M5"/>
    <mergeCell ref="AN5:AP5"/>
    <mergeCell ref="N5:P5"/>
    <mergeCell ref="R5:T5"/>
    <mergeCell ref="AK5:AM5"/>
    <mergeCell ref="U5:W5"/>
    <mergeCell ref="X5:Z5"/>
    <mergeCell ref="AA5:AC5"/>
    <mergeCell ref="AE5:AG5"/>
    <mergeCell ref="AH5:AJ5"/>
    <mergeCell ref="E73:P73"/>
    <mergeCell ref="E74:G74"/>
    <mergeCell ref="H74:J74"/>
    <mergeCell ref="K74:M74"/>
    <mergeCell ref="N74:P74"/>
    <mergeCell ref="R73:AC73"/>
    <mergeCell ref="R74:T74"/>
    <mergeCell ref="U74:W74"/>
    <mergeCell ref="X74:Z74"/>
    <mergeCell ref="AA74:AC74"/>
    <mergeCell ref="A60:A62"/>
    <mergeCell ref="E60:P60"/>
    <mergeCell ref="R60:AC60"/>
    <mergeCell ref="E61:G61"/>
    <mergeCell ref="H61:J61"/>
    <mergeCell ref="R61:T61"/>
    <mergeCell ref="U61:W61"/>
    <mergeCell ref="X61:Z61"/>
    <mergeCell ref="AA61:AC61"/>
    <mergeCell ref="K61:M61"/>
    <mergeCell ref="N61:P61"/>
  </mergeCells>
  <conditionalFormatting sqref="A7:A70 A76:A240 I189">
    <cfRule type="cellIs" dxfId="6" priority="1" operator="equal">
      <formula>0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4125"/>
    <outlinePr summaryBelow="0" summaryRight="0"/>
  </sheetPr>
  <dimension ref="A1:AV58"/>
  <sheetViews>
    <sheetView workbookViewId="0"/>
  </sheetViews>
  <sheetFormatPr defaultColWidth="12.5703125" defaultRowHeight="15.75" customHeight="1" x14ac:dyDescent="0.2"/>
  <cols>
    <col min="1" max="1" width="47.42578125" customWidth="1"/>
    <col min="2" max="3" width="15.7109375" hidden="1" customWidth="1"/>
    <col min="4" max="15" width="18.28515625" customWidth="1"/>
    <col min="16" max="16" width="17.7109375" customWidth="1"/>
    <col min="17" max="19" width="18.28515625" customWidth="1"/>
    <col min="20" max="20" width="18.42578125" customWidth="1"/>
    <col min="21" max="24" width="18.28515625" customWidth="1"/>
    <col min="25" max="25" width="18.42578125" customWidth="1"/>
    <col min="26" max="26" width="18.28515625" customWidth="1"/>
    <col min="27" max="28" width="18.5703125" customWidth="1"/>
    <col min="29" max="29" width="16.28515625" customWidth="1"/>
    <col min="30" max="30" width="18.42578125" customWidth="1"/>
    <col min="31" max="31" width="18.28515625" customWidth="1"/>
    <col min="32" max="32" width="18.42578125" customWidth="1"/>
    <col min="33" max="33" width="18.5703125" customWidth="1"/>
    <col min="34" max="34" width="18.42578125" customWidth="1"/>
    <col min="35" max="36" width="18.5703125" customWidth="1"/>
    <col min="37" max="37" width="18.42578125" customWidth="1"/>
    <col min="38" max="38" width="18.28515625" customWidth="1"/>
    <col min="39" max="39" width="18.5703125" customWidth="1"/>
    <col min="40" max="40" width="18.42578125" customWidth="1"/>
    <col min="41" max="48" width="18.28515625" customWidth="1"/>
  </cols>
  <sheetData>
    <row r="1" spans="1:48" ht="12.75" x14ac:dyDescent="0.2">
      <c r="A1" s="1443" t="s">
        <v>404</v>
      </c>
      <c r="B1" s="1380"/>
      <c r="C1" s="1380"/>
      <c r="D1" s="1389"/>
      <c r="E1" s="1149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1"/>
      <c r="R1" s="1151"/>
      <c r="S1" s="1151"/>
      <c r="T1" s="1151"/>
      <c r="U1" s="1151"/>
      <c r="V1" s="1151"/>
      <c r="W1" s="1151"/>
      <c r="X1" s="1151"/>
      <c r="Y1" s="1151"/>
      <c r="Z1" s="1151"/>
      <c r="AA1" s="1151"/>
      <c r="AB1" s="1151"/>
      <c r="AC1" s="1152"/>
      <c r="AD1" s="1152"/>
      <c r="AE1" s="1152"/>
      <c r="AF1" s="1152"/>
      <c r="AG1" s="1152"/>
      <c r="AH1" s="1152"/>
      <c r="AI1" s="1152"/>
      <c r="AJ1" s="1152"/>
      <c r="AK1" s="1152"/>
      <c r="AL1" s="1152"/>
      <c r="AM1" s="1152"/>
      <c r="AN1" s="1152"/>
      <c r="AO1" s="1152"/>
      <c r="AP1" s="1152"/>
      <c r="AQ1" s="1152"/>
      <c r="AR1" s="1152"/>
      <c r="AS1" s="1152"/>
      <c r="AT1" s="1152"/>
      <c r="AU1" s="1152"/>
      <c r="AV1" s="1153"/>
    </row>
    <row r="2" spans="1:48" ht="12.75" x14ac:dyDescent="0.2">
      <c r="A2" s="1381"/>
      <c r="B2" s="1343"/>
      <c r="C2" s="1343"/>
      <c r="D2" s="1390"/>
      <c r="E2" s="1154"/>
      <c r="F2" s="1155"/>
      <c r="G2" s="1155"/>
      <c r="H2" s="1155"/>
      <c r="I2" s="1155"/>
      <c r="J2" s="1155"/>
      <c r="K2" s="1155"/>
      <c r="L2" s="1155"/>
      <c r="M2" s="1155"/>
      <c r="N2" s="1155"/>
      <c r="O2" s="1155"/>
      <c r="P2" s="1155"/>
      <c r="Q2" s="1156"/>
      <c r="R2" s="1156"/>
      <c r="S2" s="1156"/>
      <c r="T2" s="1156"/>
      <c r="U2" s="1156"/>
      <c r="V2" s="1156"/>
      <c r="W2" s="1156"/>
      <c r="X2" s="1156"/>
      <c r="Y2" s="1156"/>
      <c r="Z2" s="1156"/>
      <c r="AA2" s="1156"/>
      <c r="AB2" s="1156"/>
      <c r="AC2" s="1157"/>
      <c r="AD2" s="1157"/>
      <c r="AE2" s="1157"/>
      <c r="AF2" s="1157"/>
      <c r="AG2" s="1157"/>
      <c r="AH2" s="1157"/>
      <c r="AI2" s="1157"/>
      <c r="AJ2" s="1157"/>
      <c r="AK2" s="1157"/>
      <c r="AL2" s="1157"/>
      <c r="AM2" s="1157"/>
      <c r="AN2" s="1157"/>
      <c r="AO2" s="1157"/>
      <c r="AP2" s="1157"/>
      <c r="AQ2" s="1157"/>
      <c r="AR2" s="1157"/>
      <c r="AS2" s="1157"/>
      <c r="AT2" s="1157"/>
      <c r="AU2" s="1157"/>
      <c r="AV2" s="1158"/>
    </row>
    <row r="3" spans="1:48" ht="12.75" x14ac:dyDescent="0.2">
      <c r="A3" s="1381"/>
      <c r="B3" s="1343"/>
      <c r="C3" s="1343"/>
      <c r="D3" s="1390"/>
      <c r="E3" s="1154"/>
      <c r="F3" s="1155"/>
      <c r="G3" s="1155"/>
      <c r="H3" s="1155"/>
      <c r="I3" s="1155"/>
      <c r="J3" s="1155"/>
      <c r="K3" s="1155"/>
      <c r="L3" s="1155"/>
      <c r="M3" s="1155"/>
      <c r="N3" s="1155"/>
      <c r="O3" s="1155"/>
      <c r="P3" s="1155"/>
      <c r="Q3" s="1156"/>
      <c r="R3" s="1156"/>
      <c r="S3" s="1156"/>
      <c r="T3" s="1156"/>
      <c r="U3" s="1156"/>
      <c r="V3" s="1156"/>
      <c r="W3" s="1156"/>
      <c r="X3" s="1156"/>
      <c r="Y3" s="1156"/>
      <c r="Z3" s="1156"/>
      <c r="AA3" s="1156"/>
      <c r="AB3" s="1156"/>
      <c r="AC3" s="1157"/>
      <c r="AD3" s="1157"/>
      <c r="AE3" s="1157"/>
      <c r="AF3" s="1157"/>
      <c r="AG3" s="1157"/>
      <c r="AH3" s="1157"/>
      <c r="AI3" s="1157"/>
      <c r="AJ3" s="1157"/>
      <c r="AK3" s="1157"/>
      <c r="AL3" s="1157"/>
      <c r="AM3" s="1157"/>
      <c r="AN3" s="1157"/>
      <c r="AO3" s="1157"/>
      <c r="AP3" s="1157"/>
      <c r="AQ3" s="1157"/>
      <c r="AR3" s="1157"/>
      <c r="AS3" s="1157"/>
      <c r="AT3" s="1157"/>
      <c r="AU3" s="1157"/>
      <c r="AV3" s="1158"/>
    </row>
    <row r="4" spans="1:48" ht="12.75" x14ac:dyDescent="0.2">
      <c r="A4" s="1416"/>
      <c r="B4" s="1417"/>
      <c r="C4" s="1417"/>
      <c r="D4" s="1435"/>
      <c r="E4" s="1159"/>
      <c r="F4" s="1160"/>
      <c r="G4" s="1160"/>
      <c r="H4" s="1160"/>
      <c r="I4" s="1160"/>
      <c r="J4" s="1160"/>
      <c r="K4" s="1160"/>
      <c r="L4" s="1160"/>
      <c r="M4" s="1160"/>
      <c r="N4" s="1160"/>
      <c r="O4" s="1160"/>
      <c r="P4" s="1160"/>
      <c r="Q4" s="1161"/>
      <c r="R4" s="1161"/>
      <c r="S4" s="1161"/>
      <c r="T4" s="1161"/>
      <c r="U4" s="1161"/>
      <c r="V4" s="1161"/>
      <c r="W4" s="1161"/>
      <c r="X4" s="1161"/>
      <c r="Y4" s="1161"/>
      <c r="Z4" s="1161"/>
      <c r="AA4" s="1161"/>
      <c r="AB4" s="1161"/>
      <c r="AC4" s="1162"/>
      <c r="AD4" s="1162"/>
      <c r="AE4" s="1162"/>
      <c r="AF4" s="1162"/>
      <c r="AG4" s="1162"/>
      <c r="AH4" s="1162"/>
      <c r="AI4" s="1162"/>
      <c r="AJ4" s="1162"/>
      <c r="AK4" s="1162"/>
      <c r="AL4" s="1162"/>
      <c r="AM4" s="1162"/>
      <c r="AN4" s="1162"/>
      <c r="AO4" s="1162"/>
      <c r="AP4" s="1157"/>
      <c r="AQ4" s="1157"/>
      <c r="AR4" s="1157"/>
      <c r="AS4" s="1157"/>
      <c r="AT4" s="1157"/>
      <c r="AU4" s="1157"/>
      <c r="AV4" s="1158"/>
    </row>
    <row r="5" spans="1:48" ht="15.75" customHeight="1" x14ac:dyDescent="0.25">
      <c r="A5" s="1163"/>
      <c r="B5" s="1164"/>
      <c r="C5" s="1164"/>
      <c r="D5" s="1165" t="s">
        <v>405</v>
      </c>
      <c r="E5" s="1165" t="s">
        <v>406</v>
      </c>
      <c r="F5" s="1165" t="s">
        <v>407</v>
      </c>
      <c r="G5" s="1165" t="s">
        <v>408</v>
      </c>
      <c r="H5" s="1165" t="s">
        <v>409</v>
      </c>
      <c r="I5" s="1165" t="s">
        <v>410</v>
      </c>
      <c r="J5" s="1165" t="s">
        <v>411</v>
      </c>
      <c r="K5" s="1165" t="s">
        <v>412</v>
      </c>
      <c r="L5" s="1165" t="s">
        <v>413</v>
      </c>
      <c r="M5" s="1165" t="s">
        <v>414</v>
      </c>
      <c r="N5" s="1165" t="s">
        <v>415</v>
      </c>
      <c r="O5" s="1166" t="s">
        <v>416</v>
      </c>
      <c r="P5" s="1165"/>
      <c r="Q5" s="1167" t="s">
        <v>417</v>
      </c>
      <c r="R5" s="1165" t="s">
        <v>418</v>
      </c>
      <c r="S5" s="1165" t="s">
        <v>419</v>
      </c>
      <c r="T5" s="1165" t="s">
        <v>420</v>
      </c>
      <c r="U5" s="1165" t="s">
        <v>421</v>
      </c>
      <c r="V5" s="1165" t="s">
        <v>422</v>
      </c>
      <c r="W5" s="1165" t="s">
        <v>423</v>
      </c>
      <c r="X5" s="1165" t="s">
        <v>424</v>
      </c>
      <c r="Y5" s="1165" t="s">
        <v>425</v>
      </c>
      <c r="Z5" s="1165" t="s">
        <v>426</v>
      </c>
      <c r="AA5" s="1165" t="s">
        <v>427</v>
      </c>
      <c r="AB5" s="1166" t="s">
        <v>428</v>
      </c>
      <c r="AC5" s="1168"/>
      <c r="AD5" s="1169" t="s">
        <v>429</v>
      </c>
      <c r="AE5" s="1168" t="s">
        <v>430</v>
      </c>
      <c r="AF5" s="1168" t="s">
        <v>431</v>
      </c>
      <c r="AG5" s="1168" t="s">
        <v>432</v>
      </c>
      <c r="AH5" s="1168" t="s">
        <v>433</v>
      </c>
      <c r="AI5" s="1168" t="s">
        <v>434</v>
      </c>
      <c r="AJ5" s="1168" t="s">
        <v>435</v>
      </c>
      <c r="AK5" s="1168" t="s">
        <v>436</v>
      </c>
      <c r="AL5" s="1168" t="s">
        <v>437</v>
      </c>
      <c r="AM5" s="1168" t="s">
        <v>438</v>
      </c>
      <c r="AN5" s="1168" t="s">
        <v>439</v>
      </c>
      <c r="AO5" s="1170" t="s">
        <v>440</v>
      </c>
      <c r="AP5" s="1171"/>
      <c r="AQ5" s="1172"/>
      <c r="AR5" s="1172"/>
      <c r="AS5" s="1172"/>
      <c r="AT5" s="1172"/>
      <c r="AU5" s="1172"/>
      <c r="AV5" s="1173"/>
    </row>
    <row r="6" spans="1:48" ht="15.75" customHeight="1" x14ac:dyDescent="0.25">
      <c r="A6" s="1174" t="s">
        <v>441</v>
      </c>
      <c r="B6" s="1175"/>
      <c r="C6" s="1175"/>
      <c r="D6" s="1175"/>
      <c r="E6" s="1175"/>
      <c r="F6" s="1175"/>
      <c r="G6" s="1175"/>
      <c r="H6" s="1175"/>
      <c r="I6" s="1175"/>
      <c r="J6" s="1175"/>
      <c r="K6" s="1175"/>
      <c r="L6" s="1175"/>
      <c r="M6" s="1175"/>
      <c r="N6" s="1175"/>
      <c r="O6" s="1175"/>
      <c r="P6" s="1175"/>
      <c r="Q6" s="1175"/>
      <c r="R6" s="1175"/>
      <c r="S6" s="1175"/>
      <c r="T6" s="1175"/>
      <c r="U6" s="1175"/>
      <c r="V6" s="1175"/>
      <c r="W6" s="1175"/>
      <c r="X6" s="1175"/>
      <c r="Y6" s="1175"/>
      <c r="Z6" s="1175"/>
      <c r="AA6" s="1175"/>
      <c r="AB6" s="1175"/>
      <c r="AC6" s="1175"/>
      <c r="AD6" s="1175"/>
      <c r="AE6" s="1175"/>
      <c r="AF6" s="1175"/>
      <c r="AG6" s="1175"/>
      <c r="AH6" s="1175"/>
      <c r="AI6" s="1175"/>
      <c r="AJ6" s="1175"/>
      <c r="AK6" s="1175"/>
      <c r="AL6" s="1175"/>
      <c r="AM6" s="1175"/>
      <c r="AN6" s="1175"/>
      <c r="AO6" s="1176"/>
      <c r="AP6" s="1177"/>
      <c r="AQ6" s="1178"/>
      <c r="AR6" s="1178"/>
      <c r="AS6" s="1178"/>
      <c r="AT6" s="1178"/>
      <c r="AU6" s="1178"/>
      <c r="AV6" s="1179"/>
    </row>
    <row r="7" spans="1:48" ht="15.75" customHeight="1" x14ac:dyDescent="0.25">
      <c r="A7" s="1180" t="s">
        <v>442</v>
      </c>
      <c r="B7" s="1181"/>
      <c r="C7" s="1182"/>
      <c r="D7" s="1182">
        <f t="shared" ref="D7:O7" ca="1" si="0">SUM(D8:D10)</f>
        <v>35327750000</v>
      </c>
      <c r="E7" s="1183">
        <f t="shared" ca="1" si="0"/>
        <v>39355738095.238098</v>
      </c>
      <c r="F7" s="1183">
        <f t="shared" ca="1" si="0"/>
        <v>38365013913.419914</v>
      </c>
      <c r="G7" s="1183">
        <f t="shared" ca="1" si="0"/>
        <v>37300448087.332954</v>
      </c>
      <c r="H7" s="1183">
        <f t="shared" ca="1" si="0"/>
        <v>16515128609.07209</v>
      </c>
      <c r="I7" s="1183">
        <f t="shared" ca="1" si="0"/>
        <v>16198285180.500656</v>
      </c>
      <c r="J7" s="1183">
        <f t="shared" ca="1" si="0"/>
        <v>15147629180.500656</v>
      </c>
      <c r="K7" s="1183">
        <f t="shared" ca="1" si="0"/>
        <v>14814364580.500656</v>
      </c>
      <c r="L7" s="1183">
        <f t="shared" ca="1" si="0"/>
        <v>14534144980.500656</v>
      </c>
      <c r="M7" s="1183">
        <f t="shared" ca="1" si="0"/>
        <v>14371467780.500656</v>
      </c>
      <c r="N7" s="1183">
        <f t="shared" ca="1" si="0"/>
        <v>13810713580.500656</v>
      </c>
      <c r="O7" s="1183">
        <f t="shared" ca="1" si="0"/>
        <v>13302369380.500656</v>
      </c>
      <c r="P7" s="1183"/>
      <c r="Q7" s="1182">
        <f t="shared" ref="Q7:AB7" ca="1" si="1">SUM(Q8:Q10)</f>
        <v>12135924780.500656</v>
      </c>
      <c r="R7" s="1183">
        <f t="shared" ca="1" si="1"/>
        <v>11583657180.500656</v>
      </c>
      <c r="S7" s="1183">
        <f t="shared" ca="1" si="1"/>
        <v>11305112580.500656</v>
      </c>
      <c r="T7" s="1183">
        <f t="shared" ca="1" si="1"/>
        <v>12070024380.500656</v>
      </c>
      <c r="U7" s="1183">
        <f t="shared" ca="1" si="1"/>
        <v>26854270380.500652</v>
      </c>
      <c r="V7" s="1183">
        <f t="shared" ca="1" si="1"/>
        <v>26205976180.50066</v>
      </c>
      <c r="W7" s="1183">
        <f t="shared" ca="1" si="1"/>
        <v>25690967180.500664</v>
      </c>
      <c r="X7" s="1183">
        <f t="shared" ca="1" si="1"/>
        <v>25506761180.500664</v>
      </c>
      <c r="Y7" s="1183">
        <f t="shared" ca="1" si="1"/>
        <v>25416820180.500664</v>
      </c>
      <c r="Z7" s="1183">
        <f t="shared" ca="1" si="1"/>
        <v>25460559080.500664</v>
      </c>
      <c r="AA7" s="1183">
        <f t="shared" ca="1" si="1"/>
        <v>26827852680.500664</v>
      </c>
      <c r="AB7" s="1183">
        <f t="shared" ca="1" si="1"/>
        <v>27290560880.500668</v>
      </c>
      <c r="AC7" s="1183"/>
      <c r="AD7" s="1182">
        <f t="shared" ref="AD7:AO7" ca="1" si="2">SUM(AD8:AD10)</f>
        <v>25855528051.929237</v>
      </c>
      <c r="AE7" s="1183">
        <f t="shared" ca="1" si="2"/>
        <v>26562011951.929241</v>
      </c>
      <c r="AF7" s="1183">
        <f t="shared" ca="1" si="2"/>
        <v>27850066851.929245</v>
      </c>
      <c r="AG7" s="1183">
        <f t="shared" ca="1" si="2"/>
        <v>30936640051.929245</v>
      </c>
      <c r="AH7" s="1183">
        <f t="shared" ca="1" si="2"/>
        <v>47182644051.929237</v>
      </c>
      <c r="AI7" s="1183">
        <f t="shared" ca="1" si="2"/>
        <v>48311027251.929237</v>
      </c>
      <c r="AJ7" s="1183">
        <f t="shared" ca="1" si="2"/>
        <v>50006441751.929237</v>
      </c>
      <c r="AK7" s="1183">
        <f t="shared" ca="1" si="2"/>
        <v>51929807751.929245</v>
      </c>
      <c r="AL7" s="1183">
        <f t="shared" ca="1" si="2"/>
        <v>54147892951.929245</v>
      </c>
      <c r="AM7" s="1183">
        <f t="shared" ca="1" si="2"/>
        <v>56198882251.929245</v>
      </c>
      <c r="AN7" s="1183">
        <f t="shared" ca="1" si="2"/>
        <v>57372497251.929245</v>
      </c>
      <c r="AO7" s="1184">
        <f t="shared" ca="1" si="2"/>
        <v>58690285851.929245</v>
      </c>
      <c r="AP7" s="1185"/>
      <c r="AQ7" s="1186"/>
      <c r="AR7" s="1186"/>
      <c r="AS7" s="1186"/>
      <c r="AT7" s="1186"/>
      <c r="AU7" s="1186"/>
      <c r="AV7" s="1187"/>
    </row>
    <row r="8" spans="1:48" ht="15.75" customHeight="1" x14ac:dyDescent="0.25">
      <c r="A8" s="1188" t="s">
        <v>443</v>
      </c>
      <c r="B8" s="1189"/>
      <c r="C8" s="1190"/>
      <c r="D8" s="1190">
        <f ca="1">'CASH FLOW STATEMENT'!E40</f>
        <v>35327750000</v>
      </c>
      <c r="E8" s="1191">
        <f ca="1">'CASH FLOW STATEMENT'!F40</f>
        <v>39355738095.238098</v>
      </c>
      <c r="F8" s="1191">
        <f ca="1">'CASH FLOW STATEMENT'!G40</f>
        <v>38365013913.419914</v>
      </c>
      <c r="G8" s="1191">
        <f ca="1">'CASH FLOW STATEMENT'!H40</f>
        <v>37300448087.332954</v>
      </c>
      <c r="H8" s="1191">
        <f ca="1">'CASH FLOW STATEMENT'!I40</f>
        <v>15597228609.07209</v>
      </c>
      <c r="I8" s="1191">
        <f ca="1">'CASH FLOW STATEMENT'!J40</f>
        <v>11613785180.500656</v>
      </c>
      <c r="J8" s="1191">
        <f ca="1">'CASH FLOW STATEMENT'!K40</f>
        <v>9032839180.5006561</v>
      </c>
      <c r="K8" s="1191">
        <f ca="1">'CASH FLOW STATEMENT'!L40</f>
        <v>8516244580.5006561</v>
      </c>
      <c r="L8" s="1191">
        <f ca="1">'CASH FLOW STATEMENT'!M40</f>
        <v>8135892980.5006561</v>
      </c>
      <c r="M8" s="1192">
        <f ca="1">'CASH FLOW STATEMENT'!N40</f>
        <v>7789885780.5006561</v>
      </c>
      <c r="N8" s="1191">
        <f ca="1">'CASH FLOW STATEMENT'!O40</f>
        <v>7155799580.5006561</v>
      </c>
      <c r="O8" s="1193">
        <f ca="1">'CASH FLOW STATEMENT'!P40</f>
        <v>6734555380.5006561</v>
      </c>
      <c r="P8" s="1191">
        <f ca="1">'CASH FLOW STATEMENT'!Q40</f>
        <v>6734555380.5006561</v>
      </c>
      <c r="Q8" s="1190">
        <f ca="1">'CASH FLOW STATEMENT'!R40</f>
        <v>6118100780.5006561</v>
      </c>
      <c r="R8" s="1191">
        <f ca="1">'CASH FLOW STATEMENT'!S40</f>
        <v>5785829180.5006561</v>
      </c>
      <c r="S8" s="1191">
        <f ca="1">'CASH FLOW STATEMENT'!T40</f>
        <v>5396734580.5006561</v>
      </c>
      <c r="T8" s="1191">
        <f ca="1">'CASH FLOW STATEMENT'!U40</f>
        <v>5428326380.5006552</v>
      </c>
      <c r="U8" s="1191">
        <f ca="1">'CASH FLOW STATEMENT'!V40</f>
        <v>19919244380.500652</v>
      </c>
      <c r="V8" s="1191">
        <f ca="1">'CASH FLOW STATEMENT'!W40</f>
        <v>19247500180.50066</v>
      </c>
      <c r="W8" s="1191">
        <f ca="1">'CASH FLOW STATEMENT'!X40</f>
        <v>18549161180.500664</v>
      </c>
      <c r="X8" s="1191">
        <f ca="1">'CASH FLOW STATEMENT'!Y40</f>
        <v>18291623180.500664</v>
      </c>
      <c r="Y8" s="1191">
        <f ca="1">'CASH FLOW STATEMENT'!Z40</f>
        <v>18178232180.500664</v>
      </c>
      <c r="Z8" s="1191">
        <f ca="1">'CASH FLOW STATEMENT'!AA40</f>
        <v>17646491080.500664</v>
      </c>
      <c r="AA8" s="1191">
        <f ca="1">'CASH FLOW STATEMENT'!AB40</f>
        <v>15755802680.500666</v>
      </c>
      <c r="AB8" s="1193">
        <f ca="1">'CASH FLOW STATEMENT'!AC40</f>
        <v>15374000880.500668</v>
      </c>
      <c r="AC8" s="1191">
        <f ca="1">'CASH FLOW STATEMENT'!AD40</f>
        <v>15374000880.500668</v>
      </c>
      <c r="AD8" s="1190">
        <f ca="1">'CASH FLOW STATEMENT'!AE40</f>
        <v>15217553051.929239</v>
      </c>
      <c r="AE8" s="1191">
        <f ca="1">'CASH FLOW STATEMENT'!AF40</f>
        <v>16435470951.929241</v>
      </c>
      <c r="AF8" s="1191">
        <f ca="1">'CASH FLOW STATEMENT'!AG40</f>
        <v>17447225851.929245</v>
      </c>
      <c r="AG8" s="1191">
        <f ca="1">'CASH FLOW STATEMENT'!AH40</f>
        <v>18952814051.929245</v>
      </c>
      <c r="AH8" s="1191">
        <f ca="1">'CASH FLOW STATEMENT'!AI40</f>
        <v>34566424051.929237</v>
      </c>
      <c r="AI8" s="1191">
        <f ca="1">'CASH FLOW STATEMENT'!AJ40</f>
        <v>35642307251.929237</v>
      </c>
      <c r="AJ8" s="1191">
        <f ca="1">'CASH FLOW STATEMENT'!AK40</f>
        <v>36911526751.929237</v>
      </c>
      <c r="AK8" s="1191">
        <f ca="1">'CASH FLOW STATEMENT'!AL40</f>
        <v>38621214751.929245</v>
      </c>
      <c r="AL8" s="1191">
        <f ca="1">'CASH FLOW STATEMENT'!AM40</f>
        <v>40562934951.929245</v>
      </c>
      <c r="AM8" s="1191">
        <f ca="1">'CASH FLOW STATEMENT'!AN40</f>
        <v>42319298251.929245</v>
      </c>
      <c r="AN8" s="1191">
        <f ca="1">'CASH FLOW STATEMENT'!AO40</f>
        <v>43416231251.929245</v>
      </c>
      <c r="AO8" s="1193">
        <f ca="1">'CASH FLOW STATEMENT'!AP40</f>
        <v>46054619851.929245</v>
      </c>
      <c r="AP8" s="1194"/>
      <c r="AQ8" s="1195"/>
      <c r="AR8" s="1195"/>
      <c r="AS8" s="1195"/>
      <c r="AT8" s="1195"/>
      <c r="AU8" s="1195"/>
      <c r="AV8" s="1196"/>
    </row>
    <row r="9" spans="1:48" ht="15.75" customHeight="1" x14ac:dyDescent="0.25">
      <c r="A9" s="1188" t="s">
        <v>444</v>
      </c>
      <c r="B9" s="1197"/>
      <c r="C9" s="1198"/>
      <c r="D9" s="1199">
        <f>IF(ISBLANK(D5),C9,'Delayed payment'!G27)</f>
        <v>0</v>
      </c>
      <c r="E9" s="1199">
        <f>IF(ISBLANK(E5),D9,'Delayed payment'!H27)</f>
        <v>0</v>
      </c>
      <c r="F9" s="1199">
        <f>IF(ISBLANK(F5),E9,'Delayed payment'!I27)</f>
        <v>0</v>
      </c>
      <c r="G9" s="1199">
        <f>IF(ISBLANK(G5),F9,'Delayed payment'!J27)</f>
        <v>0</v>
      </c>
      <c r="H9" s="1199">
        <f>IF(ISBLANK(H5),G9,'Delayed payment'!K27)</f>
        <v>0</v>
      </c>
      <c r="I9" s="1199">
        <f>IF(ISBLANK(I5),H9,'Delayed payment'!L27)</f>
        <v>3666600000</v>
      </c>
      <c r="J9" s="1199">
        <f>IF(ISBLANK(J5),I9,'Delayed payment'!M27)</f>
        <v>5133240000</v>
      </c>
      <c r="K9" s="1199">
        <f>IF(ISBLANK(K5),J9,'Delayed payment'!N27)</f>
        <v>5316570000</v>
      </c>
      <c r="L9" s="1199">
        <f>IF(ISBLANK(L5),K9,'Delayed payment'!O27)</f>
        <v>5389902000</v>
      </c>
      <c r="M9" s="1199">
        <f>IF(ISBLANK(M5),L9,'Delayed payment'!P27)</f>
        <v>5573232000</v>
      </c>
      <c r="N9" s="1199">
        <f>IF(ISBLANK(N5),M9,'Delayed payment'!Q27)</f>
        <v>5646564000</v>
      </c>
      <c r="O9" s="1199">
        <f>IF(ISBLANK(O5),N9,'Delayed payment'!R27)</f>
        <v>5646564000</v>
      </c>
      <c r="P9" s="1199">
        <f>IF(ISBLANK(P5),O9,'Delayed payment'!S27)</f>
        <v>5646564000</v>
      </c>
      <c r="Q9" s="1199">
        <f>IF(ISBLANK(Q5),P9,'Delayed payment'!T27)</f>
        <v>5096574000</v>
      </c>
      <c r="R9" s="1199">
        <f>IF(ISBLANK(R5),Q9,'Delayed payment'!U27)</f>
        <v>4876578000</v>
      </c>
      <c r="S9" s="1199">
        <f>IF(ISBLANK(S5),R9,'Delayed payment'!V27)</f>
        <v>4876578000</v>
      </c>
      <c r="T9" s="1199">
        <f>IF(ISBLANK(T5),S9,'Delayed payment'!W27)</f>
        <v>5609898000</v>
      </c>
      <c r="U9" s="1199">
        <f>IF(ISBLANK(U5),T9,'Delayed payment'!X27)</f>
        <v>5903226000</v>
      </c>
      <c r="V9" s="1199">
        <f>IF(ISBLANK(V5),U9,'Delayed payment'!Y27)</f>
        <v>5903226000</v>
      </c>
      <c r="W9" s="1199">
        <f>IF(ISBLANK(W5),V9,'Delayed payment'!Z27)</f>
        <v>6086556000</v>
      </c>
      <c r="X9" s="1199">
        <f>IF(ISBLANK(X5),W9,'Delayed payment'!AA27)</f>
        <v>6159888000</v>
      </c>
      <c r="Y9" s="1199">
        <f>IF(ISBLANK(Y5),X9,'Delayed payment'!AB27)</f>
        <v>6159888000</v>
      </c>
      <c r="Z9" s="1199">
        <f>IF(ISBLANK(Z5),Y9,'Delayed payment'!AC27)</f>
        <v>6343218000</v>
      </c>
      <c r="AA9" s="1199">
        <f>IF(ISBLANK(AA5),Z9,'Delayed payment'!AD27)</f>
        <v>8845200000</v>
      </c>
      <c r="AB9" s="1200">
        <f>IF(ISBLANK(AB5),AA9,'Delayed payment'!AE27)</f>
        <v>9816660000</v>
      </c>
      <c r="AC9" s="1199">
        <f>IF(ISBLANK(AC5),AB9,'Delayed payment'!AF27)</f>
        <v>9816660000</v>
      </c>
      <c r="AD9" s="1198">
        <f>IF(ISBLANK(AD5),AC9,'Delayed payment'!AG27)</f>
        <v>8538075000</v>
      </c>
      <c r="AE9" s="1199">
        <f>IF(ISBLANK(AE5),AD9,'Delayed payment'!AH27)</f>
        <v>8026641000</v>
      </c>
      <c r="AF9" s="1199">
        <f>IF(ISBLANK(AF5),AE9,'Delayed payment'!AI27)</f>
        <v>8026641000</v>
      </c>
      <c r="AG9" s="1199">
        <f>IF(ISBLANK(AG5),AF9,'Delayed payment'!AJ27)</f>
        <v>9607626000</v>
      </c>
      <c r="AH9" s="1199">
        <f>IF(ISBLANK(AH5),AG9,'Delayed payment'!AK27)</f>
        <v>10240020000</v>
      </c>
      <c r="AI9" s="1199">
        <f>IF(ISBLANK(AI5),AH9,'Delayed payment'!AL27)</f>
        <v>10240020000</v>
      </c>
      <c r="AJ9" s="1199">
        <f>IF(ISBLANK(AJ5),AI9,'Delayed payment'!AM27)</f>
        <v>10666215000</v>
      </c>
      <c r="AK9" s="1199">
        <f>IF(ISBLANK(AK5),AJ9,'Delayed payment'!AN27)</f>
        <v>10836693000</v>
      </c>
      <c r="AL9" s="1199">
        <f>IF(ISBLANK(AL5),AK9,'Delayed payment'!AO27)</f>
        <v>11079558000</v>
      </c>
      <c r="AM9" s="1199">
        <f>IF(ISBLANK(AM5),AL9,'Delayed payment'!AP27)</f>
        <v>11360034000</v>
      </c>
      <c r="AN9" s="1199">
        <f>IF(ISBLANK(AN5),AM9,'Delayed payment'!AQ27)</f>
        <v>11433366000</v>
      </c>
      <c r="AO9" s="1200">
        <f>IF(ISBLANK(AO5),AN9,'Delayed payment'!AR27)</f>
        <v>11433366000</v>
      </c>
      <c r="AP9" s="1201"/>
      <c r="AQ9" s="1202"/>
      <c r="AR9" s="1202"/>
      <c r="AS9" s="1202"/>
      <c r="AT9" s="1202"/>
      <c r="AU9" s="1202"/>
      <c r="AV9" s="1203"/>
    </row>
    <row r="10" spans="1:48" ht="15.75" customHeight="1" x14ac:dyDescent="0.25">
      <c r="A10" s="1188" t="s">
        <v>26</v>
      </c>
      <c r="B10" s="1197"/>
      <c r="C10" s="1198"/>
      <c r="D10" s="1198">
        <f>IF(ISBLANK(D5),C10,(Parameter!$B$65*'Operations plan'!E101+Parameter!$B$66*'Operations plan'!E102)+C10)</f>
        <v>0</v>
      </c>
      <c r="E10" s="1199">
        <f>IF(ISBLANK(E5),D10,(Parameter!$B$65*'Operations plan'!F101+Parameter!$B$66*'Operations plan'!F102)+D10)</f>
        <v>0</v>
      </c>
      <c r="F10" s="1204">
        <f>IF(ISBLANK(F5),E10,(Parameter!$B$65*'Operations plan'!G101+Parameter!$B$66*'Operations plan'!G102)+E10)</f>
        <v>0</v>
      </c>
      <c r="G10" s="1204">
        <f>IF(ISBLANK(G5),F10,(Parameter!$B$65*'Operations plan'!H101+Parameter!$B$66*'Operations plan'!H102)+F10)</f>
        <v>0</v>
      </c>
      <c r="H10" s="1204">
        <f>IF(ISBLANK(H5),G10,(Parameter!$B$65*'Operations plan'!I101+Parameter!$B$66*'Operations plan'!I102)+G10)</f>
        <v>917900000</v>
      </c>
      <c r="I10" s="1204">
        <f>IF(ISBLANK(I5),H10,(Parameter!$B$65*'Operations plan'!J101+Parameter!$B$66*'Operations plan'!J102)+H10)</f>
        <v>917900000</v>
      </c>
      <c r="J10" s="1204">
        <f>IF(ISBLANK(J5),I10,(Parameter!$B$65*'Operations plan'!K101+Parameter!$B$66*'Operations plan'!K102)+I10)</f>
        <v>981550000</v>
      </c>
      <c r="K10" s="1204">
        <f>IF(ISBLANK(K5),J10,(Parameter!$B$65*'Operations plan'!L101+Parameter!$B$66*'Operations plan'!L102)+J10)</f>
        <v>981550000</v>
      </c>
      <c r="L10" s="1204">
        <f>IF(ISBLANK(L5),K10,(Parameter!$B$65*'Operations plan'!M101+Parameter!$B$66*'Operations plan'!M102)+K10)</f>
        <v>1008350000</v>
      </c>
      <c r="M10" s="1204">
        <f>IF(ISBLANK(M5),L10,(Parameter!$B$65*'Operations plan'!N101+Parameter!$B$66*'Operations plan'!N102)+L10)</f>
        <v>1008350000</v>
      </c>
      <c r="N10" s="1204">
        <f>IF(ISBLANK(N5),M10,(Parameter!$B$65*'Operations plan'!O101+Parameter!$B$66*'Operations plan'!O102)+M10)</f>
        <v>1008350000</v>
      </c>
      <c r="O10" s="1205">
        <f>IF(ISBLANK(O5),N10,(Parameter!$B$65*'Operations plan'!P101+Parameter!$B$66*'Operations plan'!P102)+N10)</f>
        <v>921250000</v>
      </c>
      <c r="P10" s="1204">
        <f>IF(ISBLANK(P5),O10,(Parameter!$B$65*'Operations plan'!Q101+Parameter!$B$66*'Operations plan'!Q102)+O10)</f>
        <v>921250000</v>
      </c>
      <c r="Q10" s="1198">
        <f>IF(ISBLANK(Q5),P10,(Parameter!$B$65*'Operations plan'!R101+Parameter!$B$66*'Operations plan'!R102)+P10)</f>
        <v>921250000</v>
      </c>
      <c r="R10" s="1199">
        <f>IF(ISBLANK(R5),Q10,(Parameter!$B$65*'Operations plan'!S101+Parameter!$B$66*'Operations plan'!S102)+Q10)</f>
        <v>921250000</v>
      </c>
      <c r="S10" s="1204">
        <f>IF(ISBLANK(S5),R10,(Parameter!$B$65*'Operations plan'!T101+Parameter!$B$66*'Operations plan'!T102)+R10)</f>
        <v>1031800000</v>
      </c>
      <c r="T10" s="1204">
        <f>IF(ISBLANK(T5),S10,(Parameter!$B$65*'Operations plan'!U101+Parameter!$B$66*'Operations plan'!U102)+S10)</f>
        <v>1031800000</v>
      </c>
      <c r="U10" s="1204">
        <f>IF(ISBLANK(U5),T10,(Parameter!$B$65*'Operations plan'!V101+Parameter!$B$66*'Operations plan'!V102)+T10)</f>
        <v>1031800000</v>
      </c>
      <c r="V10" s="1204">
        <f>IF(ISBLANK(V5),U10,(Parameter!$B$65*'Operations plan'!W101+Parameter!$B$66*'Operations plan'!W102)+U10)</f>
        <v>1055250000</v>
      </c>
      <c r="W10" s="1204">
        <f>IF(ISBLANK(W5),V10,(Parameter!$B$65*'Operations plan'!X101+Parameter!$B$66*'Operations plan'!X102)+V10)</f>
        <v>1055250000</v>
      </c>
      <c r="X10" s="1204">
        <f>IF(ISBLANK(X5),W10,(Parameter!$B$65*'Operations plan'!Y101+Parameter!$B$66*'Operations plan'!Y102)+W10)</f>
        <v>1055250000</v>
      </c>
      <c r="Y10" s="1204">
        <f>IF(ISBLANK(Y5),X10,(Parameter!$B$65*'Operations plan'!Z101+Parameter!$B$66*'Operations plan'!Z102)+X10)</f>
        <v>1078700000</v>
      </c>
      <c r="Z10" s="1204">
        <f>IF(ISBLANK(Z5),Y10,(Parameter!$B$65*'Operations plan'!AA101+Parameter!$B$66*'Operations plan'!AA102)+Y10)</f>
        <v>1470850000</v>
      </c>
      <c r="AA10" s="1204">
        <f>IF(ISBLANK(AA5),Z10,(Parameter!$B$65*'Operations plan'!AB101+Parameter!$B$66*'Operations plan'!AB102)+Z10)</f>
        <v>2226850000</v>
      </c>
      <c r="AB10" s="1205">
        <f>IF(ISBLANK(AB5),AA10,(Parameter!$B$65*'Operations plan'!AC101+Parameter!$B$66*'Operations plan'!AC102)+AA10)</f>
        <v>2099900000</v>
      </c>
      <c r="AC10" s="1204">
        <f>IF(ISBLANK(AC5),AB10,(Parameter!$B$65*'Operations plan'!AD101+Parameter!$B$66*'Operations plan'!AD102)+AB10)</f>
        <v>2099900000</v>
      </c>
      <c r="AD10" s="1198">
        <f>IF(ISBLANK(AD5),AC10,(Parameter!$B$65*'Operations plan'!AE101+Parameter!$B$66*'Operations plan'!AE102)+AC10)</f>
        <v>2099900000</v>
      </c>
      <c r="AE10" s="1199">
        <f>IF(ISBLANK(AE5),AD10,(Parameter!$B$65*'Operations plan'!AF101+Parameter!$B$66*'Operations plan'!AF102)+AD10)</f>
        <v>2099900000</v>
      </c>
      <c r="AF10" s="1204">
        <f>IF(ISBLANK(AF5),AE10,(Parameter!$B$65*'Operations plan'!AG101+Parameter!$B$66*'Operations plan'!AG102)+AE10)</f>
        <v>2376200000</v>
      </c>
      <c r="AG10" s="1204">
        <f>IF(ISBLANK(AG5),AF10,(Parameter!$B$65*'Operations plan'!AH101+Parameter!$B$66*'Operations plan'!AH102)+AF10)</f>
        <v>2376200000</v>
      </c>
      <c r="AH10" s="1204">
        <f>IF(ISBLANK(AH5),AG10,(Parameter!$B$65*'Operations plan'!AI101+Parameter!$B$66*'Operations plan'!AI102)+AG10)</f>
        <v>2376200000</v>
      </c>
      <c r="AI10" s="1204">
        <f>IF(ISBLANK(AI5),AH10,(Parameter!$B$65*'Operations plan'!AJ101+Parameter!$B$66*'Operations plan'!AJ102)+AH10)</f>
        <v>2428700000</v>
      </c>
      <c r="AJ10" s="1204">
        <f>IF(ISBLANK(AJ5),AI10,(Parameter!$B$65*'Operations plan'!AK101+Parameter!$B$66*'Operations plan'!AK102)+AI10)</f>
        <v>2428700000</v>
      </c>
      <c r="AK10" s="1204">
        <f>IF(ISBLANK(AK5),AJ10,(Parameter!$B$65*'Operations plan'!AL101+Parameter!$B$66*'Operations plan'!AL102)+AJ10)</f>
        <v>2471900000</v>
      </c>
      <c r="AL10" s="1204">
        <f>IF(ISBLANK(AL5),AK10,(Parameter!$B$65*'Operations plan'!AM101+Parameter!$B$66*'Operations plan'!AM102)+AK10)</f>
        <v>2505400000</v>
      </c>
      <c r="AM10" s="1204">
        <f>IF(ISBLANK(AM5),AL10,(Parameter!$B$65*'Operations plan'!AN101+Parameter!$B$66*'Operations plan'!AN102)+AL10)</f>
        <v>2519550000</v>
      </c>
      <c r="AN10" s="1204">
        <f>IF(ISBLANK(AN5),AM10,(Parameter!$B$65*'Operations plan'!AO101+Parameter!$B$66*'Operations plan'!AO102)+AM10)</f>
        <v>2522900000</v>
      </c>
      <c r="AO10" s="1205">
        <f>IF(ISBLANK(AO5),AN10,(Parameter!$B$65*'Operations plan'!AP101+Parameter!$B$66*'Operations plan'!AP102)+AN10)</f>
        <v>1202300000</v>
      </c>
      <c r="AP10" s="1206"/>
      <c r="AQ10" s="1207"/>
      <c r="AR10" s="1207"/>
      <c r="AS10" s="1207"/>
      <c r="AT10" s="1207"/>
      <c r="AU10" s="1207"/>
      <c r="AV10" s="1208"/>
    </row>
    <row r="11" spans="1:48" ht="15.75" customHeight="1" x14ac:dyDescent="0.25">
      <c r="A11" s="1188"/>
      <c r="B11" s="1209"/>
      <c r="C11" s="1199"/>
      <c r="D11" s="1199"/>
      <c r="E11" s="1199"/>
      <c r="F11" s="1199"/>
      <c r="G11" s="1199"/>
      <c r="H11" s="1199"/>
      <c r="I11" s="1199"/>
      <c r="J11" s="1199"/>
      <c r="K11" s="1199"/>
      <c r="L11" s="1199"/>
      <c r="M11" s="1199"/>
      <c r="N11" s="1199"/>
      <c r="O11" s="1200"/>
      <c r="P11" s="1199"/>
      <c r="Q11" s="1199"/>
      <c r="R11" s="1199"/>
      <c r="S11" s="1199"/>
      <c r="T11" s="1199"/>
      <c r="U11" s="1199"/>
      <c r="V11" s="1199"/>
      <c r="W11" s="1199"/>
      <c r="X11" s="1199"/>
      <c r="Y11" s="1199"/>
      <c r="Z11" s="1199"/>
      <c r="AA11" s="1199"/>
      <c r="AB11" s="1200"/>
      <c r="AC11" s="1199"/>
      <c r="AD11" s="1199"/>
      <c r="AE11" s="1199"/>
      <c r="AF11" s="1199"/>
      <c r="AG11" s="1199"/>
      <c r="AH11" s="1199"/>
      <c r="AI11" s="1199"/>
      <c r="AJ11" s="1199"/>
      <c r="AK11" s="1199"/>
      <c r="AL11" s="1199"/>
      <c r="AM11" s="1199"/>
      <c r="AN11" s="1199"/>
      <c r="AO11" s="1200"/>
      <c r="AP11" s="1201"/>
      <c r="AQ11" s="1202"/>
      <c r="AR11" s="1202"/>
      <c r="AS11" s="1202"/>
      <c r="AT11" s="1202"/>
      <c r="AU11" s="1202"/>
      <c r="AV11" s="1203"/>
    </row>
    <row r="12" spans="1:48" ht="15.75" customHeight="1" x14ac:dyDescent="0.25">
      <c r="A12" s="1180" t="s">
        <v>445</v>
      </c>
      <c r="B12" s="1210"/>
      <c r="C12" s="1183"/>
      <c r="D12" s="1183">
        <f t="shared" ref="D12:AO12" ca="1" si="3">D13-D14</f>
        <v>0</v>
      </c>
      <c r="E12" s="1183">
        <f t="shared" ca="1" si="3"/>
        <v>16974013698.630136</v>
      </c>
      <c r="F12" s="1183">
        <f t="shared" ca="1" si="3"/>
        <v>16876174559.686888</v>
      </c>
      <c r="G12" s="1183">
        <f t="shared" ca="1" si="3"/>
        <v>16613947553.816048</v>
      </c>
      <c r="H12" s="1183">
        <f t="shared" ca="1" si="3"/>
        <v>50557979647.749512</v>
      </c>
      <c r="I12" s="1183">
        <f t="shared" ca="1" si="3"/>
        <v>49972639138.943245</v>
      </c>
      <c r="J12" s="1183">
        <f t="shared" ca="1" si="3"/>
        <v>49348677690.802345</v>
      </c>
      <c r="K12" s="1183">
        <f t="shared" ca="1" si="3"/>
        <v>48724716242.661446</v>
      </c>
      <c r="L12" s="1183">
        <f t="shared" ca="1" si="3"/>
        <v>48120882583.170258</v>
      </c>
      <c r="M12" s="1183">
        <f t="shared" ca="1" si="3"/>
        <v>47496921135.02935</v>
      </c>
      <c r="N12" s="1183">
        <f t="shared" ca="1" si="3"/>
        <v>46893087475.538162</v>
      </c>
      <c r="O12" s="1184">
        <f t="shared" ca="1" si="3"/>
        <v>46269126027.397263</v>
      </c>
      <c r="P12" s="1183">
        <f t="shared" ca="1" si="3"/>
        <v>46269126027.397263</v>
      </c>
      <c r="Q12" s="1183">
        <f t="shared" ca="1" si="3"/>
        <v>45645164579.256363</v>
      </c>
      <c r="R12" s="1183">
        <f t="shared" ca="1" si="3"/>
        <v>45081586497.064575</v>
      </c>
      <c r="S12" s="1183">
        <f t="shared" ca="1" si="3"/>
        <v>44457625048.923676</v>
      </c>
      <c r="T12" s="1183">
        <f t="shared" ca="1" si="3"/>
        <v>43853791389.43248</v>
      </c>
      <c r="U12" s="1183">
        <f t="shared" ca="1" si="3"/>
        <v>43229829941.29158</v>
      </c>
      <c r="V12" s="1183">
        <f t="shared" ca="1" si="3"/>
        <v>42625996281.800385</v>
      </c>
      <c r="W12" s="1183">
        <f t="shared" ca="1" si="3"/>
        <v>42002034833.659485</v>
      </c>
      <c r="X12" s="1183">
        <f t="shared" ca="1" si="3"/>
        <v>41378073385.518585</v>
      </c>
      <c r="Y12" s="1183">
        <f t="shared" ca="1" si="3"/>
        <v>40774239726.027397</v>
      </c>
      <c r="Z12" s="1183">
        <f t="shared" ca="1" si="3"/>
        <v>40150278277.886497</v>
      </c>
      <c r="AA12" s="1183">
        <f t="shared" ca="1" si="3"/>
        <v>39546444618.395302</v>
      </c>
      <c r="AB12" s="1184">
        <f t="shared" ca="1" si="3"/>
        <v>38922483170.254402</v>
      </c>
      <c r="AC12" s="1183">
        <f t="shared" ca="1" si="3"/>
        <v>38922483170.254402</v>
      </c>
      <c r="AD12" s="1183">
        <f t="shared" ca="1" si="3"/>
        <v>38298521722.113503</v>
      </c>
      <c r="AE12" s="1183">
        <f t="shared" ca="1" si="3"/>
        <v>37734943639.921722</v>
      </c>
      <c r="AF12" s="1183">
        <f t="shared" ca="1" si="3"/>
        <v>37110982191.780823</v>
      </c>
      <c r="AG12" s="1183">
        <f t="shared" ca="1" si="3"/>
        <v>36507148532.289627</v>
      </c>
      <c r="AH12" s="1183">
        <f t="shared" ca="1" si="3"/>
        <v>35883187084.148727</v>
      </c>
      <c r="AI12" s="1183">
        <f t="shared" ca="1" si="3"/>
        <v>35279353424.657532</v>
      </c>
      <c r="AJ12" s="1183">
        <f t="shared" ca="1" si="3"/>
        <v>34655391976.516632</v>
      </c>
      <c r="AK12" s="1183">
        <f t="shared" ca="1" si="3"/>
        <v>34031430528.375732</v>
      </c>
      <c r="AL12" s="1183">
        <f t="shared" ca="1" si="3"/>
        <v>33427596868.884537</v>
      </c>
      <c r="AM12" s="1183">
        <f t="shared" ca="1" si="3"/>
        <v>32803635420.743637</v>
      </c>
      <c r="AN12" s="1183">
        <f t="shared" ca="1" si="3"/>
        <v>32199801761.252441</v>
      </c>
      <c r="AO12" s="1184">
        <f t="shared" ca="1" si="3"/>
        <v>31575840313.111542</v>
      </c>
      <c r="AP12" s="1185"/>
      <c r="AQ12" s="1186"/>
      <c r="AR12" s="1186"/>
      <c r="AS12" s="1186"/>
      <c r="AT12" s="1186"/>
      <c r="AU12" s="1186"/>
      <c r="AV12" s="1187"/>
    </row>
    <row r="13" spans="1:48" ht="15.75" customHeight="1" x14ac:dyDescent="0.25">
      <c r="A13" s="1188" t="s">
        <v>446</v>
      </c>
      <c r="B13" s="1189"/>
      <c r="C13" s="1190"/>
      <c r="D13" s="1190">
        <f>B13+'Spending {supplement}'!F5</f>
        <v>0</v>
      </c>
      <c r="E13" s="1204">
        <f>D13+'Spending {supplement}'!G5</f>
        <v>17195000000</v>
      </c>
      <c r="F13" s="1204">
        <f>E13+'Spending {supplement}'!H5</f>
        <v>17363000000</v>
      </c>
      <c r="G13" s="1204">
        <f>F13+'Spending {supplement}'!I5</f>
        <v>17363000000</v>
      </c>
      <c r="H13" s="1204">
        <f>G13+'Spending {supplement}'!J5</f>
        <v>51578000000</v>
      </c>
      <c r="I13" s="1204">
        <f>H13+'Spending {supplement}'!K5</f>
        <v>51578000000</v>
      </c>
      <c r="J13" s="1204">
        <f>I13+'Spending {supplement}'!L5</f>
        <v>51578000000</v>
      </c>
      <c r="K13" s="1204">
        <f>J13+'Spending {supplement}'!M5</f>
        <v>51578000000</v>
      </c>
      <c r="L13" s="1204">
        <f>K13+'Spending {supplement}'!N5</f>
        <v>51578000000</v>
      </c>
      <c r="M13" s="1204">
        <f>L13+'Spending {supplement}'!O5</f>
        <v>51578000000</v>
      </c>
      <c r="N13" s="1204">
        <f>M13+'Spending {supplement}'!P5</f>
        <v>51578000000</v>
      </c>
      <c r="O13" s="1205">
        <f>N13+'Spending {supplement}'!Q5</f>
        <v>51578000000</v>
      </c>
      <c r="P13" s="1204">
        <f>O13+'Spending {supplement}'!R5</f>
        <v>51578000000</v>
      </c>
      <c r="Q13" s="1190">
        <f>P13+'Spending {supplement}'!S5</f>
        <v>51578000000</v>
      </c>
      <c r="R13" s="1204">
        <f>Q13+'Spending {supplement}'!T5</f>
        <v>51578000000</v>
      </c>
      <c r="S13" s="1204">
        <f>R13+'Spending {supplement}'!U5</f>
        <v>51578000000</v>
      </c>
      <c r="T13" s="1204">
        <f>S13+'Spending {supplement}'!V5</f>
        <v>51578000000</v>
      </c>
      <c r="U13" s="1204">
        <f>T13+'Spending {supplement}'!W5</f>
        <v>51578000000</v>
      </c>
      <c r="V13" s="1204">
        <f>U13+'Spending {supplement}'!X5</f>
        <v>51578000000</v>
      </c>
      <c r="W13" s="1204">
        <f>V13+'Spending {supplement}'!Y5</f>
        <v>51578000000</v>
      </c>
      <c r="X13" s="1204">
        <f>W13+'Spending {supplement}'!Z5</f>
        <v>51578000000</v>
      </c>
      <c r="Y13" s="1204">
        <f>X13+'Spending {supplement}'!AA5</f>
        <v>51578000000</v>
      </c>
      <c r="Z13" s="1204">
        <f>Y13+'Spending {supplement}'!AB5</f>
        <v>51578000000</v>
      </c>
      <c r="AA13" s="1204">
        <f>Z13+'Spending {supplement}'!AC5</f>
        <v>51578000000</v>
      </c>
      <c r="AB13" s="1205">
        <f>AA13+'Spending {supplement}'!AD5</f>
        <v>51578000000</v>
      </c>
      <c r="AC13" s="1204">
        <f>AB13+'Spending {supplement}'!AE5</f>
        <v>51578000000</v>
      </c>
      <c r="AD13" s="1190">
        <f>AC13+'Spending {supplement}'!AF5</f>
        <v>51578000000</v>
      </c>
      <c r="AE13" s="1204">
        <f>AD13+'Spending {supplement}'!AG5</f>
        <v>51578000000</v>
      </c>
      <c r="AF13" s="1204">
        <f>AE13+'Spending {supplement}'!AH5</f>
        <v>51578000000</v>
      </c>
      <c r="AG13" s="1204">
        <f>AF13+'Spending {supplement}'!AI5</f>
        <v>51578000000</v>
      </c>
      <c r="AH13" s="1204">
        <f>AG13+'Spending {supplement}'!AJ5</f>
        <v>51578000000</v>
      </c>
      <c r="AI13" s="1204">
        <f>AH13+'Spending {supplement}'!AK5</f>
        <v>51578000000</v>
      </c>
      <c r="AJ13" s="1204">
        <f>AI13+'Spending {supplement}'!AL5</f>
        <v>51578000000</v>
      </c>
      <c r="AK13" s="1204">
        <f>AJ13+'Spending {supplement}'!AM5</f>
        <v>51578000000</v>
      </c>
      <c r="AL13" s="1204">
        <f>AK13+'Spending {supplement}'!AN5</f>
        <v>51578000000</v>
      </c>
      <c r="AM13" s="1204">
        <f>AL13+'Spending {supplement}'!AO5</f>
        <v>51578000000</v>
      </c>
      <c r="AN13" s="1204">
        <f>AM13+'Spending {supplement}'!AP5</f>
        <v>51578000000</v>
      </c>
      <c r="AO13" s="1205">
        <f>AN13+'Spending {supplement}'!AQ5</f>
        <v>51578000000</v>
      </c>
      <c r="AP13" s="1206"/>
      <c r="AQ13" s="1207"/>
      <c r="AR13" s="1207"/>
      <c r="AS13" s="1207"/>
      <c r="AT13" s="1207"/>
      <c r="AU13" s="1207"/>
      <c r="AV13" s="1208"/>
    </row>
    <row r="14" spans="1:48" ht="15.75" customHeight="1" x14ac:dyDescent="0.25">
      <c r="A14" s="1188" t="s">
        <v>447</v>
      </c>
      <c r="B14" s="1189"/>
      <c r="C14" s="1190"/>
      <c r="D14" s="1190">
        <f ca="1">B14+Expenses!E10</f>
        <v>0</v>
      </c>
      <c r="E14" s="1204">
        <f ca="1">D14+Expenses!F10</f>
        <v>220986301.36986303</v>
      </c>
      <c r="F14" s="1204">
        <f ca="1">E14+Expenses!G10</f>
        <v>486825440.31311166</v>
      </c>
      <c r="G14" s="1204">
        <f ca="1">F14+Expenses!H10</f>
        <v>749052446.18395317</v>
      </c>
      <c r="H14" s="1204">
        <f ca="1">G14+Expenses!I10</f>
        <v>1020020352.2504894</v>
      </c>
      <c r="I14" s="1204">
        <f ca="1">H14+Expenses!J10</f>
        <v>1605360861.0567517</v>
      </c>
      <c r="J14" s="1204">
        <f ca="1">I14+Expenses!K10</f>
        <v>2229322309.1976519</v>
      </c>
      <c r="K14" s="1204">
        <f ca="1">J14+Expenses!L10</f>
        <v>2853283757.3385525</v>
      </c>
      <c r="L14" s="1204">
        <f ca="1">K14+Expenses!M10</f>
        <v>3457117416.8297462</v>
      </c>
      <c r="M14" s="1204">
        <f ca="1">L14+Expenses!N10</f>
        <v>4081078864.9706464</v>
      </c>
      <c r="N14" s="1204">
        <f ca="1">M14+Expenses!O10</f>
        <v>4684912524.4618406</v>
      </c>
      <c r="O14" s="1205">
        <f ca="1">N14+Expenses!P10</f>
        <v>5308873972.6027403</v>
      </c>
      <c r="P14" s="1204">
        <f ca="1">O14+Expenses!Q10</f>
        <v>5308873972.6027403</v>
      </c>
      <c r="Q14" s="1190">
        <f ca="1">P14+Expenses!R10</f>
        <v>5932835420.7436409</v>
      </c>
      <c r="R14" s="1204">
        <f ca="1">Q14+Expenses!S10</f>
        <v>6496413502.9354219</v>
      </c>
      <c r="S14" s="1204">
        <f ca="1">R14+Expenses!T10</f>
        <v>7120374951.0763226</v>
      </c>
      <c r="T14" s="1204">
        <f ca="1">S14+Expenses!U10</f>
        <v>7724208610.5675163</v>
      </c>
      <c r="U14" s="1204">
        <f ca="1">T14+Expenses!V10</f>
        <v>8348170058.7084169</v>
      </c>
      <c r="V14" s="1204">
        <f ca="1">U14+Expenses!W10</f>
        <v>8952003718.1996117</v>
      </c>
      <c r="W14" s="1204">
        <f ca="1">V14+Expenses!X10</f>
        <v>9575965166.3405113</v>
      </c>
      <c r="X14" s="1204">
        <f ca="1">W14+Expenses!Y10</f>
        <v>10199926614.481411</v>
      </c>
      <c r="Y14" s="1204">
        <f ca="1">X14+Expenses!Z10</f>
        <v>10803760273.972605</v>
      </c>
      <c r="Z14" s="1204">
        <f ca="1">Y14+Expenses!AA10</f>
        <v>11427721722.113504</v>
      </c>
      <c r="AA14" s="1204">
        <f ca="1">Z14+Expenses!AB10</f>
        <v>12031555381.604698</v>
      </c>
      <c r="AB14" s="1205">
        <f ca="1">AA14+Expenses!AC10</f>
        <v>12655516829.745598</v>
      </c>
      <c r="AC14" s="1204">
        <f ca="1">AB14+Expenses!AD10</f>
        <v>12655516829.745598</v>
      </c>
      <c r="AD14" s="1190">
        <f ca="1">AC14+Expenses!AE10</f>
        <v>13279478277.886497</v>
      </c>
      <c r="AE14" s="1204">
        <f ca="1">AD14+Expenses!AF10</f>
        <v>13843056360.078279</v>
      </c>
      <c r="AF14" s="1204">
        <f ca="1">AE14+Expenses!AG10</f>
        <v>14467017808.219179</v>
      </c>
      <c r="AG14" s="1204">
        <f ca="1">AF14+Expenses!AH10</f>
        <v>15070851467.710373</v>
      </c>
      <c r="AH14" s="1204">
        <f ca="1">AG14+Expenses!AI10</f>
        <v>15694812915.851273</v>
      </c>
      <c r="AI14" s="1204">
        <f ca="1">AH14+Expenses!AJ10</f>
        <v>16298646575.342466</v>
      </c>
      <c r="AJ14" s="1204">
        <f ca="1">AI14+Expenses!AK10</f>
        <v>16922608023.483366</v>
      </c>
      <c r="AK14" s="1204">
        <f ca="1">AJ14+Expenses!AL10</f>
        <v>17546569471.624268</v>
      </c>
      <c r="AL14" s="1204">
        <f ca="1">AK14+Expenses!AM10</f>
        <v>18150403131.115463</v>
      </c>
      <c r="AM14" s="1204">
        <f ca="1">AL14+Expenses!AN10</f>
        <v>18774364579.256363</v>
      </c>
      <c r="AN14" s="1204">
        <f ca="1">AM14+Expenses!AO10</f>
        <v>19378198238.747559</v>
      </c>
      <c r="AO14" s="1205">
        <f ca="1">AN14+Expenses!AP10</f>
        <v>20002159686.888458</v>
      </c>
      <c r="AP14" s="1206"/>
      <c r="AQ14" s="1207"/>
      <c r="AR14" s="1207"/>
      <c r="AS14" s="1207"/>
      <c r="AT14" s="1207"/>
      <c r="AU14" s="1207"/>
      <c r="AV14" s="1208"/>
    </row>
    <row r="15" spans="1:48" ht="15.75" customHeight="1" x14ac:dyDescent="0.25">
      <c r="A15" s="1188"/>
      <c r="B15" s="1189"/>
      <c r="C15" s="1190"/>
      <c r="D15" s="1190"/>
      <c r="E15" s="1204"/>
      <c r="F15" s="1204"/>
      <c r="G15" s="1204"/>
      <c r="H15" s="1204"/>
      <c r="I15" s="1204"/>
      <c r="J15" s="1204"/>
      <c r="K15" s="1204"/>
      <c r="L15" s="1204"/>
      <c r="M15" s="1204"/>
      <c r="N15" s="1204"/>
      <c r="O15" s="1205"/>
      <c r="P15" s="1204"/>
      <c r="Q15" s="1190"/>
      <c r="R15" s="1204"/>
      <c r="S15" s="1204"/>
      <c r="T15" s="1204"/>
      <c r="U15" s="1204"/>
      <c r="V15" s="1204"/>
      <c r="W15" s="1204"/>
      <c r="X15" s="1204"/>
      <c r="Y15" s="1204"/>
      <c r="Z15" s="1204"/>
      <c r="AA15" s="1204"/>
      <c r="AB15" s="1205"/>
      <c r="AC15" s="1204"/>
      <c r="AD15" s="1190"/>
      <c r="AE15" s="1204"/>
      <c r="AF15" s="1204"/>
      <c r="AG15" s="1204"/>
      <c r="AH15" s="1204"/>
      <c r="AI15" s="1204"/>
      <c r="AJ15" s="1204"/>
      <c r="AK15" s="1204"/>
      <c r="AL15" s="1204"/>
      <c r="AM15" s="1204"/>
      <c r="AN15" s="1204"/>
      <c r="AO15" s="1205"/>
      <c r="AP15" s="1206"/>
      <c r="AQ15" s="1207"/>
      <c r="AR15" s="1207"/>
      <c r="AS15" s="1207"/>
      <c r="AT15" s="1207"/>
      <c r="AU15" s="1207"/>
      <c r="AV15" s="1208"/>
    </row>
    <row r="16" spans="1:48" ht="15.75" customHeight="1" x14ac:dyDescent="0.25">
      <c r="A16" s="1180" t="s">
        <v>448</v>
      </c>
      <c r="B16" s="1181"/>
      <c r="C16" s="1182"/>
      <c r="D16" s="1182">
        <f t="shared" ref="D16:O16" ca="1" si="4">D7+D12</f>
        <v>35327750000</v>
      </c>
      <c r="E16" s="1183">
        <f t="shared" ca="1" si="4"/>
        <v>56329751793.868233</v>
      </c>
      <c r="F16" s="1183">
        <f t="shared" ca="1" si="4"/>
        <v>55241188473.106804</v>
      </c>
      <c r="G16" s="1183">
        <f t="shared" ca="1" si="4"/>
        <v>53914395641.149002</v>
      </c>
      <c r="H16" s="1183">
        <f t="shared" ca="1" si="4"/>
        <v>67073108256.821602</v>
      </c>
      <c r="I16" s="1183">
        <f t="shared" ca="1" si="4"/>
        <v>66170924319.443901</v>
      </c>
      <c r="J16" s="1183">
        <f t="shared" ca="1" si="4"/>
        <v>64496306871.303001</v>
      </c>
      <c r="K16" s="1183">
        <f t="shared" ca="1" si="4"/>
        <v>63539080823.162102</v>
      </c>
      <c r="L16" s="1183">
        <f t="shared" ca="1" si="4"/>
        <v>62655027563.670914</v>
      </c>
      <c r="M16" s="1183">
        <f t="shared" ca="1" si="4"/>
        <v>61868388915.530006</v>
      </c>
      <c r="N16" s="1183">
        <f t="shared" ca="1" si="4"/>
        <v>60703801056.038818</v>
      </c>
      <c r="O16" s="1184">
        <f t="shared" ca="1" si="4"/>
        <v>59571495407.897919</v>
      </c>
      <c r="P16" s="1183"/>
      <c r="Q16" s="1182">
        <f t="shared" ref="Q16:AB16" ca="1" si="5">Q7+Q12</f>
        <v>57781089359.757019</v>
      </c>
      <c r="R16" s="1183">
        <f t="shared" ca="1" si="5"/>
        <v>56665243677.565231</v>
      </c>
      <c r="S16" s="1183">
        <f t="shared" ca="1" si="5"/>
        <v>55762737629.424332</v>
      </c>
      <c r="T16" s="1183">
        <f t="shared" ca="1" si="5"/>
        <v>55923815769.933136</v>
      </c>
      <c r="U16" s="1183">
        <f t="shared" ca="1" si="5"/>
        <v>70084100321.792236</v>
      </c>
      <c r="V16" s="1183">
        <f t="shared" ca="1" si="5"/>
        <v>68831972462.301041</v>
      </c>
      <c r="W16" s="1183">
        <f t="shared" ca="1" si="5"/>
        <v>67693002014.160149</v>
      </c>
      <c r="X16" s="1183">
        <f t="shared" ca="1" si="5"/>
        <v>66884834566.019249</v>
      </c>
      <c r="Y16" s="1183">
        <f t="shared" ca="1" si="5"/>
        <v>66191059906.528061</v>
      </c>
      <c r="Z16" s="1183">
        <f t="shared" ca="1" si="5"/>
        <v>65610837358.387161</v>
      </c>
      <c r="AA16" s="1183">
        <f t="shared" ca="1" si="5"/>
        <v>66374297298.895966</v>
      </c>
      <c r="AB16" s="1184">
        <f t="shared" ca="1" si="5"/>
        <v>66213044050.755066</v>
      </c>
      <c r="AC16" s="1183"/>
      <c r="AD16" s="1182">
        <f t="shared" ref="AD16:AO16" ca="1" si="6">AD7+AD12</f>
        <v>64154049774.04274</v>
      </c>
      <c r="AE16" s="1183">
        <f t="shared" ca="1" si="6"/>
        <v>64296955591.850967</v>
      </c>
      <c r="AF16" s="1183">
        <f t="shared" ca="1" si="6"/>
        <v>64961049043.710068</v>
      </c>
      <c r="AG16" s="1183">
        <f t="shared" ca="1" si="6"/>
        <v>67443788584.218872</v>
      </c>
      <c r="AH16" s="1183">
        <f t="shared" ca="1" si="6"/>
        <v>83065831136.077972</v>
      </c>
      <c r="AI16" s="1183">
        <f t="shared" ca="1" si="6"/>
        <v>83590380676.586761</v>
      </c>
      <c r="AJ16" s="1183">
        <f t="shared" ca="1" si="6"/>
        <v>84661833728.445862</v>
      </c>
      <c r="AK16" s="1183">
        <f t="shared" ca="1" si="6"/>
        <v>85961238280.304977</v>
      </c>
      <c r="AL16" s="1183">
        <f t="shared" ca="1" si="6"/>
        <v>87575489820.813782</v>
      </c>
      <c r="AM16" s="1183">
        <f t="shared" ca="1" si="6"/>
        <v>89002517672.672882</v>
      </c>
      <c r="AN16" s="1183">
        <f t="shared" ca="1" si="6"/>
        <v>89572299013.181686</v>
      </c>
      <c r="AO16" s="1184">
        <f t="shared" ca="1" si="6"/>
        <v>90266126165.040787</v>
      </c>
      <c r="AP16" s="1185"/>
      <c r="AQ16" s="1186"/>
      <c r="AR16" s="1186"/>
      <c r="AS16" s="1186"/>
      <c r="AT16" s="1186"/>
      <c r="AU16" s="1186"/>
      <c r="AV16" s="1187"/>
    </row>
    <row r="17" spans="1:48" ht="15.75" customHeight="1" x14ac:dyDescent="0.25">
      <c r="A17" s="1211"/>
      <c r="B17" s="1212"/>
      <c r="C17" s="1213"/>
      <c r="D17" s="1213"/>
      <c r="E17" s="1213"/>
      <c r="F17" s="1213"/>
      <c r="G17" s="1213"/>
      <c r="H17" s="1213"/>
      <c r="I17" s="1213"/>
      <c r="J17" s="1213"/>
      <c r="K17" s="1213"/>
      <c r="L17" s="1213"/>
      <c r="M17" s="1213"/>
      <c r="N17" s="1213"/>
      <c r="O17" s="1213"/>
      <c r="P17" s="1213"/>
      <c r="Q17" s="1213"/>
      <c r="R17" s="1213"/>
      <c r="S17" s="1213"/>
      <c r="T17" s="1213"/>
      <c r="U17" s="1213"/>
      <c r="V17" s="1213"/>
      <c r="W17" s="1213"/>
      <c r="X17" s="1213"/>
      <c r="Y17" s="1213"/>
      <c r="Z17" s="1213"/>
      <c r="AA17" s="1213"/>
      <c r="AB17" s="1213"/>
      <c r="AC17" s="1213"/>
      <c r="AD17" s="1213"/>
      <c r="AE17" s="1213"/>
      <c r="AF17" s="1213"/>
      <c r="AG17" s="1213"/>
      <c r="AH17" s="1213"/>
      <c r="AI17" s="1213"/>
      <c r="AJ17" s="1213"/>
      <c r="AK17" s="1213"/>
      <c r="AL17" s="1213"/>
      <c r="AM17" s="1213"/>
      <c r="AN17" s="1213"/>
      <c r="AO17" s="1214"/>
      <c r="AP17" s="1201"/>
      <c r="AQ17" s="1202"/>
      <c r="AR17" s="1202"/>
      <c r="AS17" s="1202"/>
      <c r="AT17" s="1202"/>
      <c r="AU17" s="1202"/>
      <c r="AV17" s="1203"/>
    </row>
    <row r="18" spans="1:48" ht="15.75" customHeight="1" x14ac:dyDescent="0.25">
      <c r="A18" s="1215"/>
      <c r="B18" s="1216"/>
      <c r="C18" s="1217"/>
      <c r="D18" s="1217"/>
      <c r="E18" s="1217"/>
      <c r="F18" s="1217"/>
      <c r="G18" s="1217"/>
      <c r="H18" s="1217"/>
      <c r="I18" s="1217"/>
      <c r="J18" s="1217"/>
      <c r="K18" s="1217"/>
      <c r="L18" s="1217"/>
      <c r="M18" s="1217"/>
      <c r="N18" s="1217"/>
      <c r="O18" s="1217"/>
      <c r="P18" s="1217"/>
      <c r="Q18" s="1217"/>
      <c r="R18" s="1217"/>
      <c r="S18" s="1217"/>
      <c r="T18" s="1217"/>
      <c r="U18" s="1217"/>
      <c r="V18" s="1217"/>
      <c r="W18" s="1217"/>
      <c r="X18" s="1217"/>
      <c r="Y18" s="1217"/>
      <c r="Z18" s="1217"/>
      <c r="AA18" s="1217"/>
      <c r="AB18" s="1217"/>
      <c r="AC18" s="1217"/>
      <c r="AD18" s="1217"/>
      <c r="AE18" s="1217"/>
      <c r="AF18" s="1217"/>
      <c r="AG18" s="1217"/>
      <c r="AH18" s="1217"/>
      <c r="AI18" s="1217"/>
      <c r="AJ18" s="1217"/>
      <c r="AK18" s="1217"/>
      <c r="AL18" s="1217"/>
      <c r="AM18" s="1217"/>
      <c r="AN18" s="1217"/>
      <c r="AO18" s="1218"/>
      <c r="AP18" s="1201"/>
      <c r="AQ18" s="1202"/>
      <c r="AR18" s="1202"/>
      <c r="AS18" s="1202"/>
      <c r="AT18" s="1202"/>
      <c r="AU18" s="1202"/>
      <c r="AV18" s="1203"/>
    </row>
    <row r="19" spans="1:48" ht="15.75" customHeight="1" x14ac:dyDescent="0.25">
      <c r="A19" s="1219" t="s">
        <v>449</v>
      </c>
      <c r="B19" s="1220"/>
      <c r="C19" s="1221"/>
      <c r="D19" s="1221">
        <f t="shared" ref="D19:O19" si="7">SUM(D20:D21)</f>
        <v>0</v>
      </c>
      <c r="E19" s="1222">
        <f t="shared" si="7"/>
        <v>0</v>
      </c>
      <c r="F19" s="1222">
        <f t="shared" si="7"/>
        <v>0</v>
      </c>
      <c r="G19" s="1222">
        <f t="shared" si="7"/>
        <v>0</v>
      </c>
      <c r="H19" s="1222">
        <f t="shared" si="7"/>
        <v>14675369999.999996</v>
      </c>
      <c r="I19" s="1222">
        <f t="shared" si="7"/>
        <v>14405999999.999996</v>
      </c>
      <c r="J19" s="1222">
        <f t="shared" si="7"/>
        <v>13225094999.999996</v>
      </c>
      <c r="K19" s="1222">
        <f t="shared" si="7"/>
        <v>12156749999.999996</v>
      </c>
      <c r="L19" s="1222">
        <f t="shared" si="7"/>
        <v>10964789999.999996</v>
      </c>
      <c r="M19" s="1222">
        <f t="shared" si="7"/>
        <v>9822074999.9999962</v>
      </c>
      <c r="N19" s="1222">
        <f t="shared" si="7"/>
        <v>8622074999.9999962</v>
      </c>
      <c r="O19" s="1223">
        <f t="shared" si="7"/>
        <v>7395944999.9999962</v>
      </c>
      <c r="P19" s="1222"/>
      <c r="Q19" s="1221">
        <f t="shared" ref="Q19:AB19" si="8">SUM(Q20:Q21)</f>
        <v>6010019999.9999962</v>
      </c>
      <c r="R19" s="1222">
        <f t="shared" si="8"/>
        <v>4810019999.9999962</v>
      </c>
      <c r="S19" s="1222">
        <f t="shared" si="8"/>
        <v>3643184999.9999962</v>
      </c>
      <c r="T19" s="1222">
        <f t="shared" si="8"/>
        <v>2683379999.9999967</v>
      </c>
      <c r="U19" s="1222">
        <f t="shared" si="8"/>
        <v>15883379999.999992</v>
      </c>
      <c r="V19" s="1222">
        <f t="shared" si="8"/>
        <v>14690414999.999992</v>
      </c>
      <c r="W19" s="1222">
        <f t="shared" si="8"/>
        <v>13539659999.999992</v>
      </c>
      <c r="X19" s="1222">
        <f t="shared" si="8"/>
        <v>12339659999.999992</v>
      </c>
      <c r="Y19" s="1222">
        <f t="shared" si="8"/>
        <v>11146694999.999992</v>
      </c>
      <c r="Z19" s="1222">
        <f t="shared" si="8"/>
        <v>10122629999.999992</v>
      </c>
      <c r="AA19" s="1222">
        <f t="shared" si="8"/>
        <v>10008809999.999992</v>
      </c>
      <c r="AB19" s="1223">
        <f t="shared" si="8"/>
        <v>8548949999.9999924</v>
      </c>
      <c r="AC19" s="1222"/>
      <c r="AD19" s="1221">
        <f t="shared" ref="AD19:AO19" si="9">SUM(AD20:AD21)</f>
        <v>7040354999.9999924</v>
      </c>
      <c r="AE19" s="1222">
        <f t="shared" si="9"/>
        <v>5807954999.9999924</v>
      </c>
      <c r="AF19" s="1222">
        <f t="shared" si="9"/>
        <v>4690844999.9999924</v>
      </c>
      <c r="AG19" s="1222">
        <f t="shared" si="9"/>
        <v>4099334999.9999933</v>
      </c>
      <c r="AH19" s="1222">
        <f t="shared" si="9"/>
        <v>17299334999.999989</v>
      </c>
      <c r="AI19" s="1222">
        <f t="shared" si="9"/>
        <v>16115084999.999989</v>
      </c>
      <c r="AJ19" s="1222">
        <f t="shared" si="9"/>
        <v>15044549999.999989</v>
      </c>
      <c r="AK19" s="1222">
        <f t="shared" si="9"/>
        <v>13857509999.999989</v>
      </c>
      <c r="AL19" s="1222">
        <f t="shared" si="9"/>
        <v>12751799999.999989</v>
      </c>
      <c r="AM19" s="1222">
        <f t="shared" si="9"/>
        <v>11634104999.999989</v>
      </c>
      <c r="AN19" s="1222">
        <f t="shared" si="9"/>
        <v>10445609999.999989</v>
      </c>
      <c r="AO19" s="1223">
        <f t="shared" si="9"/>
        <v>8863169999.9999886</v>
      </c>
      <c r="AP19" s="1185"/>
      <c r="AQ19" s="1186"/>
      <c r="AR19" s="1186"/>
      <c r="AS19" s="1186"/>
      <c r="AT19" s="1186"/>
      <c r="AU19" s="1186"/>
      <c r="AV19" s="1187"/>
    </row>
    <row r="20" spans="1:48" ht="15.75" customHeight="1" x14ac:dyDescent="0.25">
      <c r="A20" s="1224" t="s">
        <v>450</v>
      </c>
      <c r="B20" s="1197"/>
      <c r="C20" s="1198"/>
      <c r="D20" s="1198">
        <f>IF(ISBLANK(D5),C20,'Delayed payment'!G43)</f>
        <v>0</v>
      </c>
      <c r="E20" s="1199">
        <f>IF(ISBLANK(E5),D20,'Delayed payment'!H43)</f>
        <v>0</v>
      </c>
      <c r="F20" s="1199">
        <f>IF(ISBLANK(F5),E20,'Delayed payment'!I43)</f>
        <v>0</v>
      </c>
      <c r="G20" s="1199">
        <f>IF(ISBLANK(G5),F20,'Delayed payment'!J43)</f>
        <v>0</v>
      </c>
      <c r="H20" s="1199">
        <f>IF(ISBLANK(H5),G20,'Delayed payment'!K43)</f>
        <v>275370000.00000006</v>
      </c>
      <c r="I20" s="1199">
        <f>IF(ISBLANK(I5),H20,'Delayed payment'!L43)</f>
        <v>1206000000.0000002</v>
      </c>
      <c r="J20" s="1199">
        <f>IF(ISBLANK(J5),I20,'Delayed payment'!M43)</f>
        <v>1225095000.0000002</v>
      </c>
      <c r="K20" s="1199">
        <f>IF(ISBLANK(K5),J20,'Delayed payment'!N43)</f>
        <v>1356750000.0000002</v>
      </c>
      <c r="L20" s="1199">
        <f>IF(ISBLANK(L5),K20,'Delayed payment'!O43)</f>
        <v>1364790000.0000002</v>
      </c>
      <c r="M20" s="1199">
        <f>IF(ISBLANK(M5),L20,'Delayed payment'!P43)</f>
        <v>1422075000.0000002</v>
      </c>
      <c r="N20" s="1199">
        <f>IF(ISBLANK(N5),M20,'Delayed payment'!Q43)</f>
        <v>1422075000.0000002</v>
      </c>
      <c r="O20" s="1200">
        <f>IF(ISBLANK(O5),N20,'Delayed payment'!R43)</f>
        <v>1395945000.0000002</v>
      </c>
      <c r="P20" s="1199">
        <f>IF(ISBLANK(P5),O20,'Delayed payment'!S43)</f>
        <v>1395945000.0000002</v>
      </c>
      <c r="Q20" s="1198">
        <f>IF(ISBLANK(Q5),P20,'Delayed payment'!T43)</f>
        <v>1210020000.0000002</v>
      </c>
      <c r="R20" s="1199">
        <f>IF(ISBLANK(R5),Q20,'Delayed payment'!U43)</f>
        <v>1210020000.0000002</v>
      </c>
      <c r="S20" s="1199">
        <f>IF(ISBLANK(S5),R20,'Delayed payment'!V43)</f>
        <v>1243185000.0000002</v>
      </c>
      <c r="T20" s="1199">
        <f>IF(ISBLANK(T5),S20,'Delayed payment'!W43)</f>
        <v>1483380000.0000002</v>
      </c>
      <c r="U20" s="1199">
        <f>IF(ISBLANK(U5),T20,'Delayed payment'!X43)</f>
        <v>1483380000.0000002</v>
      </c>
      <c r="V20" s="1199">
        <f>IF(ISBLANK(V5),U20,'Delayed payment'!Y43)</f>
        <v>1490415000.0000002</v>
      </c>
      <c r="W20" s="1199">
        <f>IF(ISBLANK(W5),V20,'Delayed payment'!Z43)</f>
        <v>1539660000.0000002</v>
      </c>
      <c r="X20" s="1199">
        <f>IF(ISBLANK(X5),W20,'Delayed payment'!AA43)</f>
        <v>1539660000.0000002</v>
      </c>
      <c r="Y20" s="1199">
        <f>IF(ISBLANK(Y5),X20,'Delayed payment'!AB43)</f>
        <v>1546695000.0000002</v>
      </c>
      <c r="Z20" s="1199">
        <f>IF(ISBLANK(Z5),Y20,'Delayed payment'!AC43)</f>
        <v>1722630000.0000002</v>
      </c>
      <c r="AA20" s="1199">
        <f>IF(ISBLANK(AA5),Z20,'Delayed payment'!AD43)</f>
        <v>2808810000.0000005</v>
      </c>
      <c r="AB20" s="1200">
        <f>IF(ISBLANK(AB5),AA20,'Delayed payment'!AE43)</f>
        <v>2548950000.0000005</v>
      </c>
      <c r="AC20" s="1199">
        <f>IF(ISBLANK(AC5),AB20,'Delayed payment'!AF43)</f>
        <v>2548950000.0000005</v>
      </c>
      <c r="AD20" s="1198">
        <f>IF(ISBLANK(AD5),AC20,'Delayed payment'!AG43)</f>
        <v>2240355000.0000005</v>
      </c>
      <c r="AE20" s="1199">
        <f>IF(ISBLANK(AE5),AD20,'Delayed payment'!AH43)</f>
        <v>2207955000.0000005</v>
      </c>
      <c r="AF20" s="1199">
        <f>IF(ISBLANK(AF5),AE20,'Delayed payment'!AI43)</f>
        <v>2290845000.0000005</v>
      </c>
      <c r="AG20" s="1199">
        <f>IF(ISBLANK(AG5),AF20,'Delayed payment'!AJ43)</f>
        <v>2899335000.0000005</v>
      </c>
      <c r="AH20" s="1199">
        <f>IF(ISBLANK(AH5),AG20,'Delayed payment'!AK43)</f>
        <v>2899335000.0000005</v>
      </c>
      <c r="AI20" s="1199">
        <f>IF(ISBLANK(AI5),AH20,'Delayed payment'!AL43)</f>
        <v>2915085000.0000005</v>
      </c>
      <c r="AJ20" s="1199">
        <f>IF(ISBLANK(AJ5),AI20,'Delayed payment'!AM43)</f>
        <v>3044550000.0000005</v>
      </c>
      <c r="AK20" s="1199">
        <f>IF(ISBLANK(AK5),AJ20,'Delayed payment'!AN43)</f>
        <v>3057510000.0000005</v>
      </c>
      <c r="AL20" s="1199">
        <f>IF(ISBLANK(AL5),AK20,'Delayed payment'!AO43)</f>
        <v>3151800000.0000005</v>
      </c>
      <c r="AM20" s="1199">
        <f>IF(ISBLANK(AM5),AL20,'Delayed payment'!AP43)</f>
        <v>3234105000.0000005</v>
      </c>
      <c r="AN20" s="1199">
        <f>IF(ISBLANK(AN5),AM20,'Delayed payment'!AQ43)</f>
        <v>3245610000.0000005</v>
      </c>
      <c r="AO20" s="1200">
        <f>IF(ISBLANK(AO5),AN20,'Delayed payment'!AR43)</f>
        <v>2863170000.0000005</v>
      </c>
      <c r="AP20" s="1201"/>
      <c r="AQ20" s="1202"/>
      <c r="AR20" s="1202"/>
      <c r="AS20" s="1202"/>
      <c r="AT20" s="1202"/>
      <c r="AU20" s="1202"/>
      <c r="AV20" s="1203"/>
    </row>
    <row r="21" spans="1:48" ht="15.75" customHeight="1" x14ac:dyDescent="0.25">
      <c r="A21" s="1224" t="s">
        <v>451</v>
      </c>
      <c r="B21" s="1189"/>
      <c r="C21" s="1190"/>
      <c r="D21" s="1190">
        <f>'Loan repay {supplement}'!H12</f>
        <v>0</v>
      </c>
      <c r="E21" s="1204">
        <f>'Loan repay {supplement}'!I12</f>
        <v>0</v>
      </c>
      <c r="F21" s="1204">
        <f>'Loan repay {supplement}'!J12</f>
        <v>0</v>
      </c>
      <c r="G21" s="1204">
        <f>'Loan repay {supplement}'!K12</f>
        <v>0</v>
      </c>
      <c r="H21" s="1204">
        <f>'Loan repay {supplement}'!L12</f>
        <v>14399999999.999996</v>
      </c>
      <c r="I21" s="1204">
        <f>'Loan repay {supplement}'!M12</f>
        <v>13199999999.999996</v>
      </c>
      <c r="J21" s="1204">
        <f>'Loan repay {supplement}'!N12</f>
        <v>11999999999.999996</v>
      </c>
      <c r="K21" s="1204">
        <f>'Loan repay {supplement}'!O12</f>
        <v>10799999999.999996</v>
      </c>
      <c r="L21" s="1204">
        <f>'Loan repay {supplement}'!P12</f>
        <v>9599999999.9999962</v>
      </c>
      <c r="M21" s="1204">
        <f>'Loan repay {supplement}'!Q12</f>
        <v>8399999999.9999962</v>
      </c>
      <c r="N21" s="1204">
        <f>'Loan repay {supplement}'!R12</f>
        <v>7199999999.9999962</v>
      </c>
      <c r="O21" s="1204">
        <f>'Loan repay {supplement}'!S12</f>
        <v>5999999999.9999962</v>
      </c>
      <c r="P21" s="1204">
        <f>'Loan repay {supplement}'!T12</f>
        <v>5999999999.9999962</v>
      </c>
      <c r="Q21" s="1190">
        <f>'Loan repay {supplement}'!U12</f>
        <v>4799999999.9999962</v>
      </c>
      <c r="R21" s="1204">
        <f>'Loan repay {supplement}'!V12</f>
        <v>3599999999.9999962</v>
      </c>
      <c r="S21" s="1204">
        <f>'Loan repay {supplement}'!W12</f>
        <v>2399999999.9999962</v>
      </c>
      <c r="T21" s="1204">
        <f>'Loan repay {supplement}'!X12</f>
        <v>1199999999.9999964</v>
      </c>
      <c r="U21" s="1204">
        <f>'Loan repay {supplement}'!Y12</f>
        <v>14399999999.999992</v>
      </c>
      <c r="V21" s="1204">
        <f>'Loan repay {supplement}'!Z12</f>
        <v>13199999999.999992</v>
      </c>
      <c r="W21" s="1204">
        <f>'Loan repay {supplement}'!AA12</f>
        <v>11999999999.999992</v>
      </c>
      <c r="X21" s="1204">
        <f>'Loan repay {supplement}'!AB12</f>
        <v>10799999999.999992</v>
      </c>
      <c r="Y21" s="1204">
        <f>'Loan repay {supplement}'!AC12</f>
        <v>9599999999.9999924</v>
      </c>
      <c r="Z21" s="1204">
        <f>'Loan repay {supplement}'!AD12</f>
        <v>8399999999.9999924</v>
      </c>
      <c r="AA21" s="1204">
        <f>'Loan repay {supplement}'!AE12</f>
        <v>7199999999.9999924</v>
      </c>
      <c r="AB21" s="1205">
        <f>'Loan repay {supplement}'!AF12</f>
        <v>5999999999.9999924</v>
      </c>
      <c r="AC21" s="1204">
        <f>'Loan repay {supplement}'!AG12</f>
        <v>5999999999.9999924</v>
      </c>
      <c r="AD21" s="1190">
        <f>'Loan repay {supplement}'!AH12</f>
        <v>4799999999.9999924</v>
      </c>
      <c r="AE21" s="1204">
        <f>'Loan repay {supplement}'!AI12</f>
        <v>3599999999.9999924</v>
      </c>
      <c r="AF21" s="1204">
        <f>'Loan repay {supplement}'!AJ12</f>
        <v>2399999999.9999924</v>
      </c>
      <c r="AG21" s="1204">
        <f>'Loan repay {supplement}'!AK12</f>
        <v>1199999999.9999926</v>
      </c>
      <c r="AH21" s="1204">
        <f>'Loan repay {supplement}'!AL12</f>
        <v>14399999999.999989</v>
      </c>
      <c r="AI21" s="1204">
        <f>'Loan repay {supplement}'!AM12</f>
        <v>13199999999.999989</v>
      </c>
      <c r="AJ21" s="1204">
        <f>'Loan repay {supplement}'!AN12</f>
        <v>11999999999.999989</v>
      </c>
      <c r="AK21" s="1204">
        <f>'Loan repay {supplement}'!AO12</f>
        <v>10799999999.999989</v>
      </c>
      <c r="AL21" s="1204">
        <f>'Loan repay {supplement}'!AP12</f>
        <v>9599999999.9999886</v>
      </c>
      <c r="AM21" s="1204">
        <f>'Loan repay {supplement}'!AQ12</f>
        <v>8399999999.9999886</v>
      </c>
      <c r="AN21" s="1204">
        <f>'Loan repay {supplement}'!AR12</f>
        <v>7199999999.9999886</v>
      </c>
      <c r="AO21" s="1205">
        <f>'Loan repay {supplement}'!AS12</f>
        <v>5999999999.9999886</v>
      </c>
      <c r="AP21" s="1206"/>
      <c r="AQ21" s="1207"/>
      <c r="AR21" s="1207"/>
      <c r="AS21" s="1207"/>
      <c r="AT21" s="1207"/>
      <c r="AU21" s="1207"/>
      <c r="AV21" s="1208"/>
    </row>
    <row r="22" spans="1:48" ht="16.5" x14ac:dyDescent="0.25">
      <c r="A22" s="1224"/>
      <c r="B22" s="1189"/>
      <c r="C22" s="1190"/>
      <c r="D22" s="1190"/>
      <c r="E22" s="1204"/>
      <c r="F22" s="1204"/>
      <c r="G22" s="1204"/>
      <c r="H22" s="1204"/>
      <c r="I22" s="1204"/>
      <c r="J22" s="1204"/>
      <c r="K22" s="1204"/>
      <c r="L22" s="1204"/>
      <c r="M22" s="1204"/>
      <c r="N22" s="1204"/>
      <c r="O22" s="1205"/>
      <c r="P22" s="1204"/>
      <c r="Q22" s="1190"/>
      <c r="R22" s="1204"/>
      <c r="S22" s="1204"/>
      <c r="T22" s="1204"/>
      <c r="U22" s="1204"/>
      <c r="V22" s="1204"/>
      <c r="W22" s="1204"/>
      <c r="X22" s="1204"/>
      <c r="Y22" s="1204"/>
      <c r="Z22" s="1204"/>
      <c r="AA22" s="1204"/>
      <c r="AB22" s="1205"/>
      <c r="AC22" s="1204"/>
      <c r="AD22" s="1190"/>
      <c r="AE22" s="1204"/>
      <c r="AF22" s="1204"/>
      <c r="AG22" s="1204"/>
      <c r="AH22" s="1204"/>
      <c r="AI22" s="1204"/>
      <c r="AJ22" s="1204"/>
      <c r="AK22" s="1204"/>
      <c r="AL22" s="1204"/>
      <c r="AM22" s="1204"/>
      <c r="AN22" s="1204"/>
      <c r="AO22" s="1205"/>
      <c r="AP22" s="1206"/>
      <c r="AQ22" s="1207"/>
      <c r="AR22" s="1207"/>
      <c r="AS22" s="1207"/>
      <c r="AT22" s="1207"/>
      <c r="AU22" s="1207"/>
      <c r="AV22" s="1208"/>
    </row>
    <row r="23" spans="1:48" ht="16.5" x14ac:dyDescent="0.25">
      <c r="A23" s="1174" t="s">
        <v>452</v>
      </c>
      <c r="B23" s="1181"/>
      <c r="C23" s="1182"/>
      <c r="D23" s="1182">
        <f t="shared" ref="D23:O23" ca="1" si="10">SUM(D24:D25)</f>
        <v>35327750000</v>
      </c>
      <c r="E23" s="1183">
        <f t="shared" ca="1" si="10"/>
        <v>56329751793.868233</v>
      </c>
      <c r="F23" s="1183">
        <f t="shared" ca="1" si="10"/>
        <v>55241188473.106804</v>
      </c>
      <c r="G23" s="1183">
        <f t="shared" ca="1" si="10"/>
        <v>53914395641.149002</v>
      </c>
      <c r="H23" s="1183">
        <f t="shared" ca="1" si="10"/>
        <v>52397738256.821594</v>
      </c>
      <c r="I23" s="1183">
        <f t="shared" ca="1" si="10"/>
        <v>51764924319.443909</v>
      </c>
      <c r="J23" s="1183">
        <f t="shared" ca="1" si="10"/>
        <v>51271211871.303009</v>
      </c>
      <c r="K23" s="1183">
        <f t="shared" ca="1" si="10"/>
        <v>51382330823.162109</v>
      </c>
      <c r="L23" s="1183">
        <f t="shared" ca="1" si="10"/>
        <v>51690237563.670914</v>
      </c>
      <c r="M23" s="1183">
        <f t="shared" ca="1" si="10"/>
        <v>52046313915.530014</v>
      </c>
      <c r="N23" s="1183">
        <f t="shared" ca="1" si="10"/>
        <v>52081726056.038818</v>
      </c>
      <c r="O23" s="1184">
        <f t="shared" ca="1" si="10"/>
        <v>52175550407.897919</v>
      </c>
      <c r="P23" s="1183"/>
      <c r="Q23" s="1182">
        <f t="shared" ref="Q23:AB23" ca="1" si="11">SUM(Q24:Q25)</f>
        <v>51771069359.757019</v>
      </c>
      <c r="R23" s="1183">
        <f t="shared" ca="1" si="11"/>
        <v>51855223677.565239</v>
      </c>
      <c r="S23" s="1183">
        <f t="shared" ca="1" si="11"/>
        <v>52119552629.424339</v>
      </c>
      <c r="T23" s="1183">
        <f t="shared" ca="1" si="11"/>
        <v>53240435769.933144</v>
      </c>
      <c r="U23" s="1183">
        <f t="shared" ca="1" si="11"/>
        <v>54200720321.792244</v>
      </c>
      <c r="V23" s="1183">
        <f t="shared" ca="1" si="11"/>
        <v>54141557462.301048</v>
      </c>
      <c r="W23" s="1183">
        <f t="shared" ca="1" si="11"/>
        <v>54153342014.160149</v>
      </c>
      <c r="X23" s="1183">
        <f t="shared" ca="1" si="11"/>
        <v>54545174566.019249</v>
      </c>
      <c r="Y23" s="1183">
        <f t="shared" ca="1" si="11"/>
        <v>55044364906.528061</v>
      </c>
      <c r="Z23" s="1183">
        <f t="shared" ca="1" si="11"/>
        <v>55488207358.387161</v>
      </c>
      <c r="AA23" s="1183">
        <f t="shared" ca="1" si="11"/>
        <v>56365487298.895966</v>
      </c>
      <c r="AB23" s="1184">
        <f t="shared" ca="1" si="11"/>
        <v>57664094050.755066</v>
      </c>
      <c r="AC23" s="1183"/>
      <c r="AD23" s="1182">
        <f t="shared" ref="AD23:AO23" ca="1" si="12">SUM(AD24:AD25)</f>
        <v>57113694774.04274</v>
      </c>
      <c r="AE23" s="1183">
        <f t="shared" ca="1" si="12"/>
        <v>58489000591.850952</v>
      </c>
      <c r="AF23" s="1183">
        <f t="shared" ca="1" si="12"/>
        <v>60270204043.710052</v>
      </c>
      <c r="AG23" s="1183">
        <f t="shared" ca="1" si="12"/>
        <v>63344453584.218864</v>
      </c>
      <c r="AH23" s="1183">
        <f t="shared" ca="1" si="12"/>
        <v>65766496136.077965</v>
      </c>
      <c r="AI23" s="1183">
        <f t="shared" ca="1" si="12"/>
        <v>67475295676.586769</v>
      </c>
      <c r="AJ23" s="1183">
        <f t="shared" ca="1" si="12"/>
        <v>69617283728.445862</v>
      </c>
      <c r="AK23" s="1183">
        <f t="shared" ca="1" si="12"/>
        <v>72103728280.304962</v>
      </c>
      <c r="AL23" s="1183">
        <f t="shared" ca="1" si="12"/>
        <v>74823689820.813782</v>
      </c>
      <c r="AM23" s="1183">
        <f t="shared" ca="1" si="12"/>
        <v>77368412672.672882</v>
      </c>
      <c r="AN23" s="1183">
        <f t="shared" ca="1" si="12"/>
        <v>79126689013.181686</v>
      </c>
      <c r="AO23" s="1184">
        <f t="shared" ca="1" si="12"/>
        <v>81402956165.040787</v>
      </c>
      <c r="AP23" s="1185"/>
      <c r="AQ23" s="1186"/>
      <c r="AR23" s="1186"/>
      <c r="AS23" s="1186"/>
      <c r="AT23" s="1186"/>
      <c r="AU23" s="1186"/>
      <c r="AV23" s="1187"/>
    </row>
    <row r="24" spans="1:48" ht="16.5" x14ac:dyDescent="0.25">
      <c r="A24" s="1224" t="s">
        <v>453</v>
      </c>
      <c r="B24" s="1189"/>
      <c r="C24" s="1190"/>
      <c r="D24" s="1190">
        <f>Parameter!B20</f>
        <v>36000000000</v>
      </c>
      <c r="E24" s="1204">
        <f>D24+Parameter!B26</f>
        <v>57600000000</v>
      </c>
      <c r="F24" s="1204">
        <f t="shared" ref="F24:AO24" si="13">E24</f>
        <v>57600000000</v>
      </c>
      <c r="G24" s="1204">
        <f t="shared" si="13"/>
        <v>57600000000</v>
      </c>
      <c r="H24" s="1204">
        <f t="shared" si="13"/>
        <v>57600000000</v>
      </c>
      <c r="I24" s="1204">
        <f t="shared" si="13"/>
        <v>57600000000</v>
      </c>
      <c r="J24" s="1204">
        <f t="shared" si="13"/>
        <v>57600000000</v>
      </c>
      <c r="K24" s="1204">
        <f t="shared" si="13"/>
        <v>57600000000</v>
      </c>
      <c r="L24" s="1204">
        <f t="shared" si="13"/>
        <v>57600000000</v>
      </c>
      <c r="M24" s="1204">
        <f t="shared" si="13"/>
        <v>57600000000</v>
      </c>
      <c r="N24" s="1204">
        <f t="shared" si="13"/>
        <v>57600000000</v>
      </c>
      <c r="O24" s="1205">
        <f t="shared" si="13"/>
        <v>57600000000</v>
      </c>
      <c r="P24" s="1204">
        <f t="shared" si="13"/>
        <v>57600000000</v>
      </c>
      <c r="Q24" s="1190">
        <f t="shared" si="13"/>
        <v>57600000000</v>
      </c>
      <c r="R24" s="1204">
        <f t="shared" si="13"/>
        <v>57600000000</v>
      </c>
      <c r="S24" s="1204">
        <f t="shared" si="13"/>
        <v>57600000000</v>
      </c>
      <c r="T24" s="1204">
        <f t="shared" si="13"/>
        <v>57600000000</v>
      </c>
      <c r="U24" s="1204">
        <f t="shared" si="13"/>
        <v>57600000000</v>
      </c>
      <c r="V24" s="1204">
        <f t="shared" si="13"/>
        <v>57600000000</v>
      </c>
      <c r="W24" s="1204">
        <f t="shared" si="13"/>
        <v>57600000000</v>
      </c>
      <c r="X24" s="1204">
        <f t="shared" si="13"/>
        <v>57600000000</v>
      </c>
      <c r="Y24" s="1204">
        <f t="shared" si="13"/>
        <v>57600000000</v>
      </c>
      <c r="Z24" s="1204">
        <f t="shared" si="13"/>
        <v>57600000000</v>
      </c>
      <c r="AA24" s="1204">
        <f t="shared" si="13"/>
        <v>57600000000</v>
      </c>
      <c r="AB24" s="1205">
        <f t="shared" si="13"/>
        <v>57600000000</v>
      </c>
      <c r="AC24" s="1204">
        <f t="shared" si="13"/>
        <v>57600000000</v>
      </c>
      <c r="AD24" s="1190">
        <f t="shared" si="13"/>
        <v>57600000000</v>
      </c>
      <c r="AE24" s="1204">
        <f t="shared" si="13"/>
        <v>57600000000</v>
      </c>
      <c r="AF24" s="1204">
        <f t="shared" si="13"/>
        <v>57600000000</v>
      </c>
      <c r="AG24" s="1204">
        <f t="shared" si="13"/>
        <v>57600000000</v>
      </c>
      <c r="AH24" s="1204">
        <f t="shared" si="13"/>
        <v>57600000000</v>
      </c>
      <c r="AI24" s="1204">
        <f t="shared" si="13"/>
        <v>57600000000</v>
      </c>
      <c r="AJ24" s="1204">
        <f t="shared" si="13"/>
        <v>57600000000</v>
      </c>
      <c r="AK24" s="1204">
        <f t="shared" si="13"/>
        <v>57600000000</v>
      </c>
      <c r="AL24" s="1204">
        <f t="shared" si="13"/>
        <v>57600000000</v>
      </c>
      <c r="AM24" s="1204">
        <f t="shared" si="13"/>
        <v>57600000000</v>
      </c>
      <c r="AN24" s="1204">
        <f t="shared" si="13"/>
        <v>57600000000</v>
      </c>
      <c r="AO24" s="1205">
        <f t="shared" si="13"/>
        <v>57600000000</v>
      </c>
      <c r="AP24" s="1206"/>
      <c r="AQ24" s="1207"/>
      <c r="AR24" s="1207"/>
      <c r="AS24" s="1207"/>
      <c r="AT24" s="1207"/>
      <c r="AU24" s="1207"/>
      <c r="AV24" s="1208"/>
    </row>
    <row r="25" spans="1:48" ht="16.5" x14ac:dyDescent="0.25">
      <c r="A25" s="1224" t="s">
        <v>454</v>
      </c>
      <c r="B25" s="1189"/>
      <c r="C25" s="1190"/>
      <c r="D25" s="1190">
        <f ca="1">C25+'INCOME STATEMENT'!E57</f>
        <v>-672250000</v>
      </c>
      <c r="E25" s="1204">
        <f ca="1">D25+'INCOME STATEMENT'!F57</f>
        <v>-1270248206.1317677</v>
      </c>
      <c r="F25" s="1204">
        <f ca="1">E25+'INCOME STATEMENT'!G57</f>
        <v>-2358811526.893198</v>
      </c>
      <c r="G25" s="1204">
        <f ca="1">F25+'INCOME STATEMENT'!H57</f>
        <v>-3685604358.850996</v>
      </c>
      <c r="H25" s="1204">
        <f ca="1">G25+'INCOME STATEMENT'!I57</f>
        <v>-5202261743.1784019</v>
      </c>
      <c r="I25" s="1204">
        <f ca="1">H25+'INCOME STATEMENT'!J57</f>
        <v>-5835075680.5560923</v>
      </c>
      <c r="J25" s="1204">
        <f ca="1">I25+'INCOME STATEMENT'!K57</f>
        <v>-6328788128.6969919</v>
      </c>
      <c r="K25" s="1204">
        <f ca="1">J25+'INCOME STATEMENT'!L57</f>
        <v>-6217669176.8378925</v>
      </c>
      <c r="L25" s="1204">
        <f ca="1">K25+'INCOME STATEMENT'!M57</f>
        <v>-5909762436.3290863</v>
      </c>
      <c r="M25" s="1204">
        <f ca="1">L25+'INCOME STATEMENT'!N57</f>
        <v>-5553686084.469986</v>
      </c>
      <c r="N25" s="1204">
        <f ca="1">M25+'INCOME STATEMENT'!O57</f>
        <v>-5518273943.9611797</v>
      </c>
      <c r="O25" s="1205">
        <f ca="1">N25+'INCOME STATEMENT'!P57</f>
        <v>-5424449592.1020794</v>
      </c>
      <c r="P25" s="1204">
        <f ca="1">O25+'INCOME STATEMENT'!Q57</f>
        <v>-5424449592.1020794</v>
      </c>
      <c r="Q25" s="1190">
        <f ca="1">P25+'INCOME STATEMENT'!R57</f>
        <v>-5828930640.24298</v>
      </c>
      <c r="R25" s="1204">
        <f ca="1">Q25+'INCOME STATEMENT'!S57</f>
        <v>-5744776322.434761</v>
      </c>
      <c r="S25" s="1204">
        <f ca="1">R25+'INCOME STATEMENT'!T57</f>
        <v>-5480447370.5756617</v>
      </c>
      <c r="T25" s="1204">
        <f ca="1">S25+'INCOME STATEMENT'!U57</f>
        <v>-4359564230.0668554</v>
      </c>
      <c r="U25" s="1204">
        <f ca="1">T25+'INCOME STATEMENT'!V57</f>
        <v>-3399279678.207756</v>
      </c>
      <c r="V25" s="1204">
        <f ca="1">U25+'INCOME STATEMENT'!W57</f>
        <v>-3458442537.6989493</v>
      </c>
      <c r="W25" s="1204">
        <f ca="1">V25+'INCOME STATEMENT'!X57</f>
        <v>-3446657985.8398485</v>
      </c>
      <c r="X25" s="1204">
        <f ca="1">W25+'INCOME STATEMENT'!Y57</f>
        <v>-3054825433.9807487</v>
      </c>
      <c r="Y25" s="1204">
        <f ca="1">X25+'INCOME STATEMENT'!Z57</f>
        <v>-2555635093.4719419</v>
      </c>
      <c r="Z25" s="1204">
        <f ca="1">Y25+'INCOME STATEMENT'!AA57</f>
        <v>-2111792641.6128421</v>
      </c>
      <c r="AA25" s="1204">
        <f ca="1">Z25+'INCOME STATEMENT'!AB57</f>
        <v>-1234512701.1040354</v>
      </c>
      <c r="AB25" s="1205">
        <f ca="1">AA25+'INCOME STATEMENT'!AC57</f>
        <v>64094050.755065441</v>
      </c>
      <c r="AC25" s="1204">
        <f ca="1">AB25+'INCOME STATEMENT'!AD57</f>
        <v>64094050.755065441</v>
      </c>
      <c r="AD25" s="1190">
        <f ca="1">AC25+'INCOME STATEMENT'!AE57</f>
        <v>-486305225.95726299</v>
      </c>
      <c r="AE25" s="1204">
        <f ca="1">AD25+'INCOME STATEMENT'!AF57</f>
        <v>889000591.85095549</v>
      </c>
      <c r="AF25" s="1204">
        <f ca="1">AE25+'INCOME STATEMENT'!AG57</f>
        <v>2670204043.7100563</v>
      </c>
      <c r="AG25" s="1204">
        <f ca="1">AF25+'INCOME STATEMENT'!AH57</f>
        <v>5744453584.2188625</v>
      </c>
      <c r="AH25" s="1204">
        <f ca="1">AG25+'INCOME STATEMENT'!AI57</f>
        <v>8166496136.0779629</v>
      </c>
      <c r="AI25" s="1204">
        <f ca="1">AH25+'INCOME STATEMENT'!AJ57</f>
        <v>9875295676.5867691</v>
      </c>
      <c r="AJ25" s="1204">
        <f ca="1">AI25+'INCOME STATEMENT'!AK57</f>
        <v>12017283728.445869</v>
      </c>
      <c r="AK25" s="1204">
        <f ca="1">AJ25+'INCOME STATEMENT'!AL57</f>
        <v>14503728280.30497</v>
      </c>
      <c r="AL25" s="1204">
        <f ca="1">AK25+'INCOME STATEMENT'!AM57</f>
        <v>17223689820.813778</v>
      </c>
      <c r="AM25" s="1204">
        <f ca="1">AL25+'INCOME STATEMENT'!AN57</f>
        <v>19768412672.672878</v>
      </c>
      <c r="AN25" s="1204">
        <f ca="1">AM25+'INCOME STATEMENT'!AO57</f>
        <v>21526689013.181683</v>
      </c>
      <c r="AO25" s="1205">
        <f ca="1">AN25+'INCOME STATEMENT'!AP57</f>
        <v>23802956165.040783</v>
      </c>
      <c r="AP25" s="1206"/>
      <c r="AQ25" s="1207"/>
      <c r="AR25" s="1207"/>
      <c r="AS25" s="1207"/>
      <c r="AT25" s="1207"/>
      <c r="AU25" s="1207"/>
      <c r="AV25" s="1208"/>
    </row>
    <row r="26" spans="1:48" ht="16.5" x14ac:dyDescent="0.25">
      <c r="A26" s="1225"/>
      <c r="B26" s="1189"/>
      <c r="C26" s="1190"/>
      <c r="D26" s="1226"/>
      <c r="E26" s="1227"/>
      <c r="F26" s="1227"/>
      <c r="G26" s="1227"/>
      <c r="H26" s="1227"/>
      <c r="I26" s="1227"/>
      <c r="J26" s="1227"/>
      <c r="K26" s="1227"/>
      <c r="L26" s="1227"/>
      <c r="M26" s="1227"/>
      <c r="N26" s="1227"/>
      <c r="O26" s="1228"/>
      <c r="P26" s="1227"/>
      <c r="Q26" s="1226"/>
      <c r="R26" s="1227"/>
      <c r="S26" s="1227"/>
      <c r="T26" s="1227"/>
      <c r="U26" s="1227"/>
      <c r="V26" s="1227"/>
      <c r="W26" s="1227"/>
      <c r="X26" s="1227"/>
      <c r="Y26" s="1227"/>
      <c r="Z26" s="1227"/>
      <c r="AA26" s="1227"/>
      <c r="AB26" s="1228"/>
      <c r="AC26" s="1227"/>
      <c r="AD26" s="1226"/>
      <c r="AE26" s="1227"/>
      <c r="AF26" s="1227"/>
      <c r="AG26" s="1227"/>
      <c r="AH26" s="1227"/>
      <c r="AI26" s="1227"/>
      <c r="AJ26" s="1227"/>
      <c r="AK26" s="1227"/>
      <c r="AL26" s="1227"/>
      <c r="AM26" s="1227"/>
      <c r="AN26" s="1227"/>
      <c r="AO26" s="1228"/>
      <c r="AP26" s="1206"/>
      <c r="AQ26" s="1207"/>
      <c r="AR26" s="1207"/>
      <c r="AS26" s="1207"/>
      <c r="AT26" s="1207"/>
      <c r="AU26" s="1207"/>
      <c r="AV26" s="1208"/>
    </row>
    <row r="27" spans="1:48" ht="16.5" x14ac:dyDescent="0.25">
      <c r="A27" s="1180" t="s">
        <v>455</v>
      </c>
      <c r="B27" s="1220"/>
      <c r="C27" s="1221"/>
      <c r="D27" s="1221">
        <f t="shared" ref="D27:O27" ca="1" si="14">D19+D23</f>
        <v>35327750000</v>
      </c>
      <c r="E27" s="1222">
        <f t="shared" ca="1" si="14"/>
        <v>56329751793.868233</v>
      </c>
      <c r="F27" s="1222">
        <f t="shared" ca="1" si="14"/>
        <v>55241188473.106804</v>
      </c>
      <c r="G27" s="1222">
        <f t="shared" ca="1" si="14"/>
        <v>53914395641.149002</v>
      </c>
      <c r="H27" s="1222">
        <f t="shared" ca="1" si="14"/>
        <v>67073108256.821594</v>
      </c>
      <c r="I27" s="1222">
        <f t="shared" ca="1" si="14"/>
        <v>66170924319.443909</v>
      </c>
      <c r="J27" s="1222">
        <f t="shared" ca="1" si="14"/>
        <v>64496306871.303009</v>
      </c>
      <c r="K27" s="1222">
        <f t="shared" ca="1" si="14"/>
        <v>63539080823.162109</v>
      </c>
      <c r="L27" s="1222">
        <f t="shared" ca="1" si="14"/>
        <v>62655027563.670914</v>
      </c>
      <c r="M27" s="1222">
        <f t="shared" ca="1" si="14"/>
        <v>61868388915.530014</v>
      </c>
      <c r="N27" s="1222">
        <f t="shared" ca="1" si="14"/>
        <v>60703801056.038818</v>
      </c>
      <c r="O27" s="1223">
        <f t="shared" ca="1" si="14"/>
        <v>59571495407.897919</v>
      </c>
      <c r="P27" s="1222"/>
      <c r="Q27" s="1221">
        <f t="shared" ref="Q27:AB27" ca="1" si="15">Q19+Q23</f>
        <v>57781089359.757019</v>
      </c>
      <c r="R27" s="1222">
        <f t="shared" ca="1" si="15"/>
        <v>56665243677.565231</v>
      </c>
      <c r="S27" s="1222">
        <f t="shared" ca="1" si="15"/>
        <v>55762737629.424332</v>
      </c>
      <c r="T27" s="1222">
        <f t="shared" ca="1" si="15"/>
        <v>55923815769.933144</v>
      </c>
      <c r="U27" s="1222">
        <f t="shared" ca="1" si="15"/>
        <v>70084100321.792236</v>
      </c>
      <c r="V27" s="1222">
        <f t="shared" ca="1" si="15"/>
        <v>68831972462.301041</v>
      </c>
      <c r="W27" s="1222">
        <f t="shared" ca="1" si="15"/>
        <v>67693002014.160141</v>
      </c>
      <c r="X27" s="1222">
        <f t="shared" ca="1" si="15"/>
        <v>66884834566.019241</v>
      </c>
      <c r="Y27" s="1222">
        <f t="shared" ca="1" si="15"/>
        <v>66191059906.528053</v>
      </c>
      <c r="Z27" s="1222">
        <f t="shared" ca="1" si="15"/>
        <v>65610837358.387154</v>
      </c>
      <c r="AA27" s="1222">
        <f t="shared" ca="1" si="15"/>
        <v>66374297298.895958</v>
      </c>
      <c r="AB27" s="1223">
        <f t="shared" ca="1" si="15"/>
        <v>66213044050.755058</v>
      </c>
      <c r="AC27" s="1222"/>
      <c r="AD27" s="1221">
        <f t="shared" ref="AD27:AO27" ca="1" si="16">AD19+AD23</f>
        <v>64154049774.042732</v>
      </c>
      <c r="AE27" s="1222">
        <f t="shared" ca="1" si="16"/>
        <v>64296955591.850945</v>
      </c>
      <c r="AF27" s="1222">
        <f t="shared" ca="1" si="16"/>
        <v>64961049043.710045</v>
      </c>
      <c r="AG27" s="1222">
        <f t="shared" ca="1" si="16"/>
        <v>67443788584.218857</v>
      </c>
      <c r="AH27" s="1222">
        <f t="shared" ca="1" si="16"/>
        <v>83065831136.077957</v>
      </c>
      <c r="AI27" s="1222">
        <f t="shared" ca="1" si="16"/>
        <v>83590380676.586761</v>
      </c>
      <c r="AJ27" s="1222">
        <f t="shared" ca="1" si="16"/>
        <v>84661833728.445847</v>
      </c>
      <c r="AK27" s="1222">
        <f t="shared" ca="1" si="16"/>
        <v>85961238280.304947</v>
      </c>
      <c r="AL27" s="1222">
        <f t="shared" ca="1" si="16"/>
        <v>87575489820.813766</v>
      </c>
      <c r="AM27" s="1222">
        <f t="shared" ca="1" si="16"/>
        <v>89002517672.672867</v>
      </c>
      <c r="AN27" s="1222">
        <f t="shared" ca="1" si="16"/>
        <v>89572299013.181671</v>
      </c>
      <c r="AO27" s="1223">
        <f t="shared" ca="1" si="16"/>
        <v>90266126165.040771</v>
      </c>
      <c r="AP27" s="1185"/>
      <c r="AQ27" s="1186"/>
      <c r="AR27" s="1186"/>
      <c r="AS27" s="1186"/>
      <c r="AT27" s="1186"/>
      <c r="AU27" s="1186"/>
      <c r="AV27" s="1187"/>
    </row>
    <row r="28" spans="1:48" ht="12.75" x14ac:dyDescent="0.2">
      <c r="A28" s="223"/>
      <c r="B28" s="224"/>
      <c r="C28" s="224"/>
      <c r="D28" s="975"/>
      <c r="E28" s="1149"/>
      <c r="F28" s="1150"/>
      <c r="G28" s="1150"/>
      <c r="H28" s="1150"/>
      <c r="I28" s="1150"/>
      <c r="J28" s="1150"/>
      <c r="K28" s="1150"/>
      <c r="L28" s="1150"/>
      <c r="M28" s="1150"/>
      <c r="N28" s="1150"/>
      <c r="O28" s="1150"/>
      <c r="P28" s="1150"/>
      <c r="Q28" s="1151"/>
      <c r="R28" s="1151"/>
      <c r="S28" s="1151"/>
      <c r="T28" s="1151"/>
      <c r="U28" s="1151"/>
      <c r="V28" s="1151"/>
      <c r="W28" s="1151"/>
      <c r="X28" s="1151"/>
      <c r="Y28" s="1151"/>
      <c r="Z28" s="1151"/>
      <c r="AA28" s="1151"/>
      <c r="AB28" s="1151"/>
      <c r="AC28" s="1152"/>
      <c r="AD28" s="1152"/>
      <c r="AE28" s="1152"/>
      <c r="AF28" s="1152"/>
      <c r="AG28" s="1152"/>
      <c r="AH28" s="1152"/>
      <c r="AI28" s="1152"/>
      <c r="AJ28" s="1152"/>
      <c r="AK28" s="1152"/>
      <c r="AL28" s="1152"/>
      <c r="AM28" s="1152"/>
      <c r="AN28" s="1152"/>
      <c r="AO28" s="1152"/>
      <c r="AP28" s="1152"/>
      <c r="AQ28" s="1152"/>
      <c r="AR28" s="1152"/>
      <c r="AS28" s="1152"/>
      <c r="AT28" s="1152"/>
      <c r="AU28" s="1152"/>
      <c r="AV28" s="1153"/>
    </row>
    <row r="29" spans="1:48" ht="12.75" x14ac:dyDescent="0.2">
      <c r="A29" s="227"/>
      <c r="B29" s="225"/>
      <c r="C29" s="225"/>
      <c r="D29" s="1154"/>
      <c r="E29" s="1154"/>
      <c r="F29" s="1154"/>
      <c r="G29" s="1154"/>
      <c r="H29" s="1154"/>
      <c r="I29" s="1154"/>
      <c r="J29" s="1154"/>
      <c r="K29" s="1154"/>
      <c r="L29" s="1154"/>
      <c r="M29" s="1154"/>
      <c r="N29" s="1154"/>
      <c r="O29" s="1154"/>
      <c r="P29" s="1154"/>
      <c r="Q29" s="1154"/>
      <c r="R29" s="1154"/>
      <c r="S29" s="1154"/>
      <c r="T29" s="1154"/>
      <c r="U29" s="1154"/>
      <c r="V29" s="1154"/>
      <c r="W29" s="1154"/>
      <c r="X29" s="1154"/>
      <c r="Y29" s="1154"/>
      <c r="Z29" s="1154"/>
      <c r="AA29" s="1154"/>
      <c r="AB29" s="1154"/>
      <c r="AC29" s="1154"/>
      <c r="AD29" s="1154"/>
      <c r="AE29" s="1154"/>
      <c r="AF29" s="1154"/>
      <c r="AG29" s="1154"/>
      <c r="AH29" s="1154"/>
      <c r="AI29" s="1154"/>
      <c r="AJ29" s="1154"/>
      <c r="AK29" s="1154"/>
      <c r="AL29" s="1154"/>
      <c r="AM29" s="1154"/>
      <c r="AN29" s="1154"/>
      <c r="AO29" s="1154"/>
      <c r="AP29" s="1157"/>
      <c r="AQ29" s="1157"/>
      <c r="AR29" s="1157"/>
      <c r="AS29" s="1157"/>
      <c r="AT29" s="1157"/>
      <c r="AU29" s="1157"/>
      <c r="AV29" s="1158"/>
    </row>
    <row r="30" spans="1:48" ht="12.75" x14ac:dyDescent="0.2">
      <c r="A30" s="227"/>
      <c r="B30" s="225"/>
      <c r="C30" s="225"/>
      <c r="D30" s="226"/>
      <c r="E30" s="1154"/>
      <c r="F30" s="1155"/>
      <c r="G30" s="1155"/>
      <c r="H30" s="1155"/>
      <c r="I30" s="1155"/>
      <c r="J30" s="1155"/>
      <c r="K30" s="1155"/>
      <c r="L30" s="1155"/>
      <c r="M30" s="1155"/>
      <c r="N30" s="1155"/>
      <c r="O30" s="1155"/>
      <c r="P30" s="1155"/>
      <c r="Q30" s="1156"/>
      <c r="R30" s="1156"/>
      <c r="S30" s="1156"/>
      <c r="T30" s="1156"/>
      <c r="U30" s="1156"/>
      <c r="V30" s="1156"/>
      <c r="W30" s="1156"/>
      <c r="X30" s="1156"/>
      <c r="Y30" s="1156"/>
      <c r="Z30" s="1156"/>
      <c r="AA30" s="1156"/>
      <c r="AB30" s="1156"/>
      <c r="AC30" s="1157"/>
      <c r="AD30" s="1157"/>
      <c r="AE30" s="1157"/>
      <c r="AF30" s="1157"/>
      <c r="AG30" s="1157"/>
      <c r="AH30" s="1157"/>
      <c r="AI30" s="1157"/>
      <c r="AJ30" s="1157"/>
      <c r="AK30" s="1157"/>
      <c r="AL30" s="1157"/>
      <c r="AM30" s="1157"/>
      <c r="AN30" s="1157"/>
      <c r="AO30" s="1157"/>
      <c r="AP30" s="1157"/>
      <c r="AQ30" s="1157"/>
      <c r="AR30" s="1157"/>
      <c r="AS30" s="1157"/>
      <c r="AT30" s="1157"/>
      <c r="AU30" s="1157"/>
      <c r="AV30" s="1158"/>
    </row>
    <row r="31" spans="1:48" ht="18" x14ac:dyDescent="0.25">
      <c r="A31" s="1119" t="s">
        <v>397</v>
      </c>
      <c r="B31" s="232"/>
      <c r="C31" s="232"/>
      <c r="D31" s="315"/>
      <c r="E31" s="1159"/>
      <c r="F31" s="1160"/>
      <c r="G31" s="1160"/>
      <c r="H31" s="1160"/>
      <c r="I31" s="1160"/>
      <c r="J31" s="1160"/>
      <c r="K31" s="1160"/>
      <c r="L31" s="1160"/>
      <c r="M31" s="1160"/>
      <c r="N31" s="1160"/>
      <c r="O31" s="1160"/>
      <c r="P31" s="1160"/>
      <c r="Q31" s="1161"/>
      <c r="R31" s="1161"/>
      <c r="S31" s="1119" t="s">
        <v>398</v>
      </c>
      <c r="T31" s="232"/>
      <c r="U31" s="232"/>
      <c r="V31" s="315"/>
      <c r="W31" s="1159"/>
      <c r="X31" s="1160"/>
      <c r="Y31" s="1161"/>
      <c r="Z31" s="1161"/>
      <c r="AA31" s="1161"/>
      <c r="AB31" s="1161"/>
      <c r="AC31" s="1162"/>
      <c r="AD31" s="1162"/>
      <c r="AE31" s="1162"/>
      <c r="AF31" s="1162"/>
      <c r="AG31" s="1162"/>
      <c r="AH31" s="1162"/>
      <c r="AI31" s="1162"/>
      <c r="AJ31" s="1162"/>
      <c r="AK31" s="1162"/>
      <c r="AL31" s="1162"/>
      <c r="AM31" s="1162"/>
      <c r="AN31" s="1162"/>
      <c r="AO31" s="1162"/>
      <c r="AP31" s="1157"/>
      <c r="AQ31" s="1157"/>
      <c r="AR31" s="1157"/>
      <c r="AS31" s="1157"/>
      <c r="AT31" s="1157"/>
      <c r="AU31" s="1157"/>
      <c r="AV31" s="1158"/>
    </row>
    <row r="32" spans="1:48" ht="16.5" x14ac:dyDescent="0.25">
      <c r="A32" s="1163"/>
      <c r="B32" s="1164"/>
      <c r="C32" s="1164"/>
      <c r="D32" s="1165" t="s">
        <v>118</v>
      </c>
      <c r="E32" s="1165" t="s">
        <v>119</v>
      </c>
      <c r="F32" s="1165" t="s">
        <v>120</v>
      </c>
      <c r="G32" s="1165" t="s">
        <v>121</v>
      </c>
      <c r="H32" s="1167" t="s">
        <v>118</v>
      </c>
      <c r="I32" s="1165" t="s">
        <v>119</v>
      </c>
      <c r="J32" s="1165" t="s">
        <v>120</v>
      </c>
      <c r="K32" s="1166" t="s">
        <v>121</v>
      </c>
      <c r="L32" s="1167" t="s">
        <v>118</v>
      </c>
      <c r="M32" s="1165" t="s">
        <v>119</v>
      </c>
      <c r="N32" s="1165" t="s">
        <v>120</v>
      </c>
      <c r="O32" s="1166" t="s">
        <v>121</v>
      </c>
      <c r="P32" s="1165"/>
      <c r="Q32" s="1172"/>
      <c r="R32" s="1172"/>
      <c r="S32" s="1163"/>
      <c r="T32" s="1164"/>
      <c r="U32" s="1164"/>
      <c r="V32" s="1165" t="s">
        <v>399</v>
      </c>
      <c r="W32" s="1165" t="s">
        <v>400</v>
      </c>
      <c r="X32" s="1165" t="s">
        <v>401</v>
      </c>
      <c r="Y32" s="1172"/>
      <c r="Z32" s="1172"/>
      <c r="AA32" s="1172"/>
      <c r="AB32" s="1172"/>
      <c r="AC32" s="1172"/>
      <c r="AD32" s="1172"/>
      <c r="AE32" s="1172"/>
      <c r="AF32" s="1172"/>
      <c r="AG32" s="1172"/>
      <c r="AH32" s="1172"/>
      <c r="AI32" s="1172"/>
      <c r="AJ32" s="1172"/>
      <c r="AK32" s="1172"/>
      <c r="AL32" s="1172"/>
      <c r="AM32" s="1172"/>
      <c r="AN32" s="1172"/>
      <c r="AO32" s="1172"/>
      <c r="AP32" s="1171"/>
      <c r="AQ32" s="1172"/>
      <c r="AR32" s="1172"/>
      <c r="AS32" s="1172"/>
      <c r="AT32" s="1172"/>
      <c r="AU32" s="1172"/>
      <c r="AV32" s="1173"/>
    </row>
    <row r="33" spans="1:48" ht="16.5" x14ac:dyDescent="0.25">
      <c r="A33" s="1174" t="s">
        <v>441</v>
      </c>
      <c r="B33" s="1175"/>
      <c r="C33" s="1175"/>
      <c r="D33" s="1175"/>
      <c r="E33" s="1175"/>
      <c r="F33" s="1175"/>
      <c r="G33" s="1175"/>
      <c r="H33" s="1229"/>
      <c r="I33" s="1175"/>
      <c r="J33" s="1175"/>
      <c r="K33" s="1176"/>
      <c r="L33" s="1229"/>
      <c r="M33" s="1175"/>
      <c r="N33" s="1175"/>
      <c r="O33" s="1176"/>
      <c r="P33" s="1175"/>
      <c r="Q33" s="1178"/>
      <c r="R33" s="1178"/>
      <c r="S33" s="1174" t="s">
        <v>441</v>
      </c>
      <c r="T33" s="1175"/>
      <c r="U33" s="1175"/>
      <c r="V33" s="1175"/>
      <c r="W33" s="1175"/>
      <c r="X33" s="1175"/>
      <c r="Y33" s="1178"/>
      <c r="Z33" s="1178"/>
      <c r="AA33" s="1178"/>
      <c r="AB33" s="1178"/>
      <c r="AC33" s="1178"/>
      <c r="AD33" s="1178"/>
      <c r="AE33" s="1178"/>
      <c r="AF33" s="1178"/>
      <c r="AG33" s="1178"/>
      <c r="AH33" s="1178"/>
      <c r="AI33" s="1178"/>
      <c r="AJ33" s="1178"/>
      <c r="AK33" s="1178"/>
      <c r="AL33" s="1178"/>
      <c r="AM33" s="1178"/>
      <c r="AN33" s="1178"/>
      <c r="AO33" s="1178"/>
      <c r="AP33" s="1177"/>
      <c r="AQ33" s="1178"/>
      <c r="AR33" s="1178"/>
      <c r="AS33" s="1178"/>
      <c r="AT33" s="1178"/>
      <c r="AU33" s="1178"/>
      <c r="AV33" s="1179"/>
    </row>
    <row r="34" spans="1:48" ht="16.5" x14ac:dyDescent="0.25">
      <c r="A34" s="1180" t="s">
        <v>442</v>
      </c>
      <c r="B34" s="1181"/>
      <c r="C34" s="1182"/>
      <c r="D34" s="1182">
        <f t="shared" ref="D34:D54" ca="1" si="17">F7</f>
        <v>38365013913.419914</v>
      </c>
      <c r="E34" s="1183">
        <f t="shared" ref="E34:E54" ca="1" si="18">I7</f>
        <v>16198285180.500656</v>
      </c>
      <c r="F34" s="1183">
        <f t="shared" ref="F34:F54" ca="1" si="19">L7</f>
        <v>14534144980.500656</v>
      </c>
      <c r="G34" s="1183">
        <f t="shared" ref="G34:G54" ca="1" si="20">O7</f>
        <v>13302369380.500656</v>
      </c>
      <c r="H34" s="1182">
        <f t="shared" ref="H34:H54" ca="1" si="21">S7</f>
        <v>11305112580.500656</v>
      </c>
      <c r="I34" s="1183">
        <f t="shared" ref="I34:I54" ca="1" si="22">V7</f>
        <v>26205976180.50066</v>
      </c>
      <c r="J34" s="1183">
        <f t="shared" ref="J34:J54" ca="1" si="23">Y7</f>
        <v>25416820180.500664</v>
      </c>
      <c r="K34" s="1184">
        <f t="shared" ref="K34:K54" ca="1" si="24">AB7</f>
        <v>27290560880.500668</v>
      </c>
      <c r="L34" s="1182">
        <f t="shared" ref="L34:L54" ca="1" si="25">AF7</f>
        <v>27850066851.929245</v>
      </c>
      <c r="M34" s="1183">
        <f t="shared" ref="M34:M54" ca="1" si="26">AI7</f>
        <v>48311027251.929237</v>
      </c>
      <c r="N34" s="1183">
        <f t="shared" ref="N34:N54" ca="1" si="27">AL7</f>
        <v>54147892951.929245</v>
      </c>
      <c r="O34" s="1184">
        <f t="shared" ref="O34:O54" ca="1" si="28">AO7</f>
        <v>58690285851.929245</v>
      </c>
      <c r="P34" s="1183"/>
      <c r="Q34" s="1186"/>
      <c r="R34" s="1186"/>
      <c r="S34" s="1180" t="s">
        <v>442</v>
      </c>
      <c r="T34" s="1181"/>
      <c r="U34" s="1182"/>
      <c r="V34" s="1182">
        <f t="shared" ref="V34:V54" ca="1" si="29">G34</f>
        <v>13302369380.500656</v>
      </c>
      <c r="W34" s="1183">
        <f t="shared" ref="W34:W54" ca="1" si="30">K34</f>
        <v>27290560880.500668</v>
      </c>
      <c r="X34" s="1183">
        <f t="shared" ref="X34:X54" ca="1" si="31">O34</f>
        <v>58690285851.929245</v>
      </c>
      <c r="Y34" s="1186"/>
      <c r="Z34" s="1186"/>
      <c r="AA34" s="1186"/>
      <c r="AB34" s="1186"/>
      <c r="AC34" s="1186"/>
      <c r="AD34" s="1186"/>
      <c r="AE34" s="1186"/>
      <c r="AF34" s="1186"/>
      <c r="AG34" s="1186"/>
      <c r="AH34" s="1186"/>
      <c r="AI34" s="1186"/>
      <c r="AJ34" s="1186"/>
      <c r="AK34" s="1186"/>
      <c r="AL34" s="1186"/>
      <c r="AM34" s="1186"/>
      <c r="AN34" s="1186"/>
      <c r="AO34" s="1186"/>
      <c r="AP34" s="1185"/>
      <c r="AQ34" s="1186"/>
      <c r="AR34" s="1186"/>
      <c r="AS34" s="1186"/>
      <c r="AT34" s="1186"/>
      <c r="AU34" s="1186"/>
      <c r="AV34" s="1187"/>
    </row>
    <row r="35" spans="1:48" ht="16.5" x14ac:dyDescent="0.25">
      <c r="A35" s="1188" t="s">
        <v>443</v>
      </c>
      <c r="B35" s="1189"/>
      <c r="C35" s="1190"/>
      <c r="D35" s="1190">
        <f t="shared" ca="1" si="17"/>
        <v>38365013913.419914</v>
      </c>
      <c r="E35" s="1191">
        <f t="shared" ca="1" si="18"/>
        <v>11613785180.500656</v>
      </c>
      <c r="F35" s="1191">
        <f t="shared" ca="1" si="19"/>
        <v>8135892980.5006561</v>
      </c>
      <c r="G35" s="1191">
        <f t="shared" ca="1" si="20"/>
        <v>6734555380.5006561</v>
      </c>
      <c r="H35" s="1230">
        <f t="shared" ca="1" si="21"/>
        <v>5396734580.5006561</v>
      </c>
      <c r="I35" s="1191">
        <f t="shared" ca="1" si="22"/>
        <v>19247500180.50066</v>
      </c>
      <c r="J35" s="1191">
        <f t="shared" ca="1" si="23"/>
        <v>18178232180.500664</v>
      </c>
      <c r="K35" s="1193">
        <f t="shared" ca="1" si="24"/>
        <v>15374000880.500668</v>
      </c>
      <c r="L35" s="1230">
        <f t="shared" ca="1" si="25"/>
        <v>17447225851.929245</v>
      </c>
      <c r="M35" s="1191">
        <f t="shared" ca="1" si="26"/>
        <v>35642307251.929237</v>
      </c>
      <c r="N35" s="1191">
        <f t="shared" ca="1" si="27"/>
        <v>40562934951.929245</v>
      </c>
      <c r="O35" s="1193">
        <f t="shared" ca="1" si="28"/>
        <v>46054619851.929245</v>
      </c>
      <c r="P35" s="1191">
        <f>'CASH FLOW STATEMENT'!Q71</f>
        <v>0</v>
      </c>
      <c r="Q35" s="1207"/>
      <c r="R35" s="1195"/>
      <c r="S35" s="1188" t="s">
        <v>443</v>
      </c>
      <c r="T35" s="1189"/>
      <c r="U35" s="1190"/>
      <c r="V35" s="1190">
        <f t="shared" ca="1" si="29"/>
        <v>6734555380.5006561</v>
      </c>
      <c r="W35" s="1191">
        <f t="shared" ca="1" si="30"/>
        <v>15374000880.500668</v>
      </c>
      <c r="X35" s="1191">
        <f t="shared" ca="1" si="31"/>
        <v>46054619851.929245</v>
      </c>
      <c r="Y35" s="1195"/>
      <c r="Z35" s="1195"/>
      <c r="AA35" s="1195"/>
      <c r="AB35" s="1195"/>
      <c r="AC35" s="1195"/>
      <c r="AD35" s="1207"/>
      <c r="AE35" s="1195"/>
      <c r="AF35" s="1195"/>
      <c r="AG35" s="1195"/>
      <c r="AH35" s="1195"/>
      <c r="AI35" s="1195"/>
      <c r="AJ35" s="1195"/>
      <c r="AK35" s="1195"/>
      <c r="AL35" s="1195"/>
      <c r="AM35" s="1195"/>
      <c r="AN35" s="1195"/>
      <c r="AO35" s="1195"/>
      <c r="AP35" s="1194"/>
      <c r="AQ35" s="1195"/>
      <c r="AR35" s="1195"/>
      <c r="AS35" s="1195"/>
      <c r="AT35" s="1195"/>
      <c r="AU35" s="1195"/>
      <c r="AV35" s="1196"/>
    </row>
    <row r="36" spans="1:48" ht="16.5" x14ac:dyDescent="0.25">
      <c r="A36" s="1188" t="s">
        <v>444</v>
      </c>
      <c r="B36" s="1197"/>
      <c r="C36" s="1198"/>
      <c r="D36" s="1199">
        <f t="shared" si="17"/>
        <v>0</v>
      </c>
      <c r="E36" s="1199">
        <f t="shared" si="18"/>
        <v>3666600000</v>
      </c>
      <c r="F36" s="1199">
        <f t="shared" si="19"/>
        <v>5389902000</v>
      </c>
      <c r="G36" s="1199">
        <f t="shared" si="20"/>
        <v>5646564000</v>
      </c>
      <c r="H36" s="1198">
        <f t="shared" si="21"/>
        <v>4876578000</v>
      </c>
      <c r="I36" s="1199">
        <f t="shared" si="22"/>
        <v>5903226000</v>
      </c>
      <c r="J36" s="1199">
        <f t="shared" si="23"/>
        <v>6159888000</v>
      </c>
      <c r="K36" s="1200">
        <f t="shared" si="24"/>
        <v>9816660000</v>
      </c>
      <c r="L36" s="1198">
        <f t="shared" si="25"/>
        <v>8026641000</v>
      </c>
      <c r="M36" s="1199">
        <f t="shared" si="26"/>
        <v>10240020000</v>
      </c>
      <c r="N36" s="1199">
        <f t="shared" si="27"/>
        <v>11079558000</v>
      </c>
      <c r="O36" s="1200">
        <f t="shared" si="28"/>
        <v>11433366000</v>
      </c>
      <c r="P36" s="1199">
        <f>IF(ISBLANK(P32),O36,#REF!)</f>
        <v>11433366000</v>
      </c>
      <c r="Q36" s="1202"/>
      <c r="R36" s="1202"/>
      <c r="S36" s="1188" t="s">
        <v>444</v>
      </c>
      <c r="T36" s="1197"/>
      <c r="U36" s="1198"/>
      <c r="V36" s="1199">
        <f t="shared" si="29"/>
        <v>5646564000</v>
      </c>
      <c r="W36" s="1199">
        <f t="shared" si="30"/>
        <v>9816660000</v>
      </c>
      <c r="X36" s="1199">
        <f t="shared" si="31"/>
        <v>11433366000</v>
      </c>
      <c r="Y36" s="1202"/>
      <c r="Z36" s="1202"/>
      <c r="AA36" s="1202"/>
      <c r="AB36" s="1202"/>
      <c r="AC36" s="1202"/>
      <c r="AD36" s="1202"/>
      <c r="AE36" s="1202"/>
      <c r="AF36" s="1202"/>
      <c r="AG36" s="1202"/>
      <c r="AH36" s="1202"/>
      <c r="AI36" s="1202"/>
      <c r="AJ36" s="1202"/>
      <c r="AK36" s="1202"/>
      <c r="AL36" s="1202"/>
      <c r="AM36" s="1202"/>
      <c r="AN36" s="1202"/>
      <c r="AO36" s="1202"/>
      <c r="AP36" s="1201"/>
      <c r="AQ36" s="1202"/>
      <c r="AR36" s="1202"/>
      <c r="AS36" s="1202"/>
      <c r="AT36" s="1202"/>
      <c r="AU36" s="1202"/>
      <c r="AV36" s="1203"/>
    </row>
    <row r="37" spans="1:48" ht="16.5" x14ac:dyDescent="0.25">
      <c r="A37" s="1188" t="s">
        <v>26</v>
      </c>
      <c r="B37" s="1197"/>
      <c r="C37" s="1198"/>
      <c r="D37" s="1198">
        <f t="shared" si="17"/>
        <v>0</v>
      </c>
      <c r="E37" s="1199">
        <f t="shared" si="18"/>
        <v>917900000</v>
      </c>
      <c r="F37" s="1204">
        <f t="shared" si="19"/>
        <v>1008350000</v>
      </c>
      <c r="G37" s="1204">
        <f t="shared" si="20"/>
        <v>921250000</v>
      </c>
      <c r="H37" s="1190">
        <f t="shared" si="21"/>
        <v>1031800000</v>
      </c>
      <c r="I37" s="1204">
        <f t="shared" si="22"/>
        <v>1055250000</v>
      </c>
      <c r="J37" s="1204">
        <f t="shared" si="23"/>
        <v>1078700000</v>
      </c>
      <c r="K37" s="1205">
        <f t="shared" si="24"/>
        <v>2099900000</v>
      </c>
      <c r="L37" s="1190">
        <f t="shared" si="25"/>
        <v>2376200000</v>
      </c>
      <c r="M37" s="1204">
        <f t="shared" si="26"/>
        <v>2428700000</v>
      </c>
      <c r="N37" s="1204">
        <f t="shared" si="27"/>
        <v>2505400000</v>
      </c>
      <c r="O37" s="1205">
        <f t="shared" si="28"/>
        <v>1202300000</v>
      </c>
      <c r="P37" s="1204">
        <f>IF(ISBLANK(P32),O37,(Parameter!$B$65*#REF!+Parameter!$B$66*#REF!)+O37)</f>
        <v>1202300000</v>
      </c>
      <c r="Q37" s="1202"/>
      <c r="R37" s="1202"/>
      <c r="S37" s="1188" t="s">
        <v>26</v>
      </c>
      <c r="T37" s="1197"/>
      <c r="U37" s="1198"/>
      <c r="V37" s="1198">
        <f t="shared" si="29"/>
        <v>921250000</v>
      </c>
      <c r="W37" s="1199">
        <f t="shared" si="30"/>
        <v>2099900000</v>
      </c>
      <c r="X37" s="1204">
        <f t="shared" si="31"/>
        <v>1202300000</v>
      </c>
      <c r="Y37" s="1207"/>
      <c r="Z37" s="1207"/>
      <c r="AA37" s="1207"/>
      <c r="AB37" s="1207"/>
      <c r="AC37" s="1207"/>
      <c r="AD37" s="1202"/>
      <c r="AE37" s="1202"/>
      <c r="AF37" s="1207"/>
      <c r="AG37" s="1207"/>
      <c r="AH37" s="1207"/>
      <c r="AI37" s="1207"/>
      <c r="AJ37" s="1207"/>
      <c r="AK37" s="1207"/>
      <c r="AL37" s="1207"/>
      <c r="AM37" s="1207"/>
      <c r="AN37" s="1207"/>
      <c r="AO37" s="1207"/>
      <c r="AP37" s="1206"/>
      <c r="AQ37" s="1207"/>
      <c r="AR37" s="1207"/>
      <c r="AS37" s="1207"/>
      <c r="AT37" s="1207"/>
      <c r="AU37" s="1207"/>
      <c r="AV37" s="1208"/>
    </row>
    <row r="38" spans="1:48" ht="16.5" x14ac:dyDescent="0.25">
      <c r="A38" s="1188"/>
      <c r="B38" s="1209"/>
      <c r="C38" s="1199"/>
      <c r="D38" s="1199">
        <f t="shared" si="17"/>
        <v>0</v>
      </c>
      <c r="E38" s="1199">
        <f t="shared" si="18"/>
        <v>0</v>
      </c>
      <c r="F38" s="1199">
        <f t="shared" si="19"/>
        <v>0</v>
      </c>
      <c r="G38" s="1199">
        <f t="shared" si="20"/>
        <v>0</v>
      </c>
      <c r="H38" s="1198">
        <f t="shared" si="21"/>
        <v>0</v>
      </c>
      <c r="I38" s="1199">
        <f t="shared" si="22"/>
        <v>0</v>
      </c>
      <c r="J38" s="1199">
        <f t="shared" si="23"/>
        <v>0</v>
      </c>
      <c r="K38" s="1200">
        <f t="shared" si="24"/>
        <v>0</v>
      </c>
      <c r="L38" s="1198">
        <f t="shared" si="25"/>
        <v>0</v>
      </c>
      <c r="M38" s="1199">
        <f t="shared" si="26"/>
        <v>0</v>
      </c>
      <c r="N38" s="1199">
        <f t="shared" si="27"/>
        <v>0</v>
      </c>
      <c r="O38" s="1200">
        <f t="shared" si="28"/>
        <v>0</v>
      </c>
      <c r="P38" s="1199"/>
      <c r="Q38" s="1202"/>
      <c r="R38" s="1202"/>
      <c r="S38" s="1188"/>
      <c r="T38" s="1209"/>
      <c r="U38" s="1199"/>
      <c r="V38" s="1199">
        <f t="shared" si="29"/>
        <v>0</v>
      </c>
      <c r="W38" s="1199">
        <f t="shared" si="30"/>
        <v>0</v>
      </c>
      <c r="X38" s="1199">
        <f t="shared" si="31"/>
        <v>0</v>
      </c>
      <c r="Y38" s="1202"/>
      <c r="Z38" s="1202"/>
      <c r="AA38" s="1202"/>
      <c r="AB38" s="1202"/>
      <c r="AC38" s="1202"/>
      <c r="AD38" s="1202"/>
      <c r="AE38" s="1202"/>
      <c r="AF38" s="1202"/>
      <c r="AG38" s="1202"/>
      <c r="AH38" s="1202"/>
      <c r="AI38" s="1202"/>
      <c r="AJ38" s="1202"/>
      <c r="AK38" s="1202"/>
      <c r="AL38" s="1202"/>
      <c r="AM38" s="1202"/>
      <c r="AN38" s="1202"/>
      <c r="AO38" s="1202"/>
      <c r="AP38" s="1201"/>
      <c r="AQ38" s="1202"/>
      <c r="AR38" s="1202"/>
      <c r="AS38" s="1202"/>
      <c r="AT38" s="1202"/>
      <c r="AU38" s="1202"/>
      <c r="AV38" s="1203"/>
    </row>
    <row r="39" spans="1:48" ht="16.5" x14ac:dyDescent="0.25">
      <c r="A39" s="1180" t="s">
        <v>445</v>
      </c>
      <c r="B39" s="1210"/>
      <c r="C39" s="1183"/>
      <c r="D39" s="1183">
        <f t="shared" ca="1" si="17"/>
        <v>16876174559.686888</v>
      </c>
      <c r="E39" s="1183">
        <f t="shared" ca="1" si="18"/>
        <v>49972639138.943245</v>
      </c>
      <c r="F39" s="1183">
        <f t="shared" ca="1" si="19"/>
        <v>48120882583.170258</v>
      </c>
      <c r="G39" s="1183">
        <f t="shared" ca="1" si="20"/>
        <v>46269126027.397263</v>
      </c>
      <c r="H39" s="1182">
        <f t="shared" ca="1" si="21"/>
        <v>44457625048.923676</v>
      </c>
      <c r="I39" s="1183">
        <f t="shared" ca="1" si="22"/>
        <v>42625996281.800385</v>
      </c>
      <c r="J39" s="1183">
        <f t="shared" ca="1" si="23"/>
        <v>40774239726.027397</v>
      </c>
      <c r="K39" s="1184">
        <f t="shared" ca="1" si="24"/>
        <v>38922483170.254402</v>
      </c>
      <c r="L39" s="1182">
        <f t="shared" ca="1" si="25"/>
        <v>37110982191.780823</v>
      </c>
      <c r="M39" s="1183">
        <f t="shared" ca="1" si="26"/>
        <v>35279353424.657532</v>
      </c>
      <c r="N39" s="1183">
        <f t="shared" ca="1" si="27"/>
        <v>33427596868.884537</v>
      </c>
      <c r="O39" s="1184">
        <f t="shared" ca="1" si="28"/>
        <v>31575840313.111542</v>
      </c>
      <c r="P39" s="1183">
        <f ca="1">P40-P41</f>
        <v>31575840313.111542</v>
      </c>
      <c r="Q39" s="1186"/>
      <c r="R39" s="1186"/>
      <c r="S39" s="1180" t="s">
        <v>445</v>
      </c>
      <c r="T39" s="1210"/>
      <c r="U39" s="1183"/>
      <c r="V39" s="1183">
        <f t="shared" ca="1" si="29"/>
        <v>46269126027.397263</v>
      </c>
      <c r="W39" s="1183">
        <f t="shared" ca="1" si="30"/>
        <v>38922483170.254402</v>
      </c>
      <c r="X39" s="1183">
        <f t="shared" ca="1" si="31"/>
        <v>31575840313.111542</v>
      </c>
      <c r="Y39" s="1186"/>
      <c r="Z39" s="1186"/>
      <c r="AA39" s="1186"/>
      <c r="AB39" s="1186"/>
      <c r="AC39" s="1186"/>
      <c r="AD39" s="1186"/>
      <c r="AE39" s="1186"/>
      <c r="AF39" s="1186"/>
      <c r="AG39" s="1186"/>
      <c r="AH39" s="1186"/>
      <c r="AI39" s="1186"/>
      <c r="AJ39" s="1186"/>
      <c r="AK39" s="1186"/>
      <c r="AL39" s="1186"/>
      <c r="AM39" s="1186"/>
      <c r="AN39" s="1186"/>
      <c r="AO39" s="1186"/>
      <c r="AP39" s="1185"/>
      <c r="AQ39" s="1186"/>
      <c r="AR39" s="1186"/>
      <c r="AS39" s="1186"/>
      <c r="AT39" s="1186"/>
      <c r="AU39" s="1186"/>
      <c r="AV39" s="1187"/>
    </row>
    <row r="40" spans="1:48" ht="16.5" x14ac:dyDescent="0.25">
      <c r="A40" s="1188" t="s">
        <v>446</v>
      </c>
      <c r="B40" s="1189"/>
      <c r="C40" s="1190"/>
      <c r="D40" s="1190">
        <f t="shared" si="17"/>
        <v>17363000000</v>
      </c>
      <c r="E40" s="1204">
        <f t="shared" si="18"/>
        <v>51578000000</v>
      </c>
      <c r="F40" s="1204">
        <f t="shared" si="19"/>
        <v>51578000000</v>
      </c>
      <c r="G40" s="1204">
        <f t="shared" si="20"/>
        <v>51578000000</v>
      </c>
      <c r="H40" s="1190">
        <f t="shared" si="21"/>
        <v>51578000000</v>
      </c>
      <c r="I40" s="1204">
        <f t="shared" si="22"/>
        <v>51578000000</v>
      </c>
      <c r="J40" s="1204">
        <f t="shared" si="23"/>
        <v>51578000000</v>
      </c>
      <c r="K40" s="1205">
        <f t="shared" si="24"/>
        <v>51578000000</v>
      </c>
      <c r="L40" s="1190">
        <f t="shared" si="25"/>
        <v>51578000000</v>
      </c>
      <c r="M40" s="1204">
        <f t="shared" si="26"/>
        <v>51578000000</v>
      </c>
      <c r="N40" s="1204">
        <f t="shared" si="27"/>
        <v>51578000000</v>
      </c>
      <c r="O40" s="1205">
        <f t="shared" si="28"/>
        <v>51578000000</v>
      </c>
      <c r="P40" s="1204">
        <f>O40+'Spending {supplement}'!R34</f>
        <v>51578000000</v>
      </c>
      <c r="Q40" s="1207"/>
      <c r="R40" s="1207"/>
      <c r="S40" s="1188" t="s">
        <v>446</v>
      </c>
      <c r="T40" s="1189"/>
      <c r="U40" s="1190"/>
      <c r="V40" s="1190">
        <f t="shared" si="29"/>
        <v>51578000000</v>
      </c>
      <c r="W40" s="1204">
        <f t="shared" si="30"/>
        <v>51578000000</v>
      </c>
      <c r="X40" s="1204">
        <f t="shared" si="31"/>
        <v>51578000000</v>
      </c>
      <c r="Y40" s="1207"/>
      <c r="Z40" s="1207"/>
      <c r="AA40" s="1207"/>
      <c r="AB40" s="1207"/>
      <c r="AC40" s="1207"/>
      <c r="AD40" s="1207"/>
      <c r="AE40" s="1207"/>
      <c r="AF40" s="1207"/>
      <c r="AG40" s="1207"/>
      <c r="AH40" s="1207"/>
      <c r="AI40" s="1207"/>
      <c r="AJ40" s="1207"/>
      <c r="AK40" s="1207"/>
      <c r="AL40" s="1207"/>
      <c r="AM40" s="1207"/>
      <c r="AN40" s="1207"/>
      <c r="AO40" s="1207"/>
      <c r="AP40" s="1206"/>
      <c r="AQ40" s="1207"/>
      <c r="AR40" s="1207"/>
      <c r="AS40" s="1207"/>
      <c r="AT40" s="1207"/>
      <c r="AU40" s="1207"/>
      <c r="AV40" s="1208"/>
    </row>
    <row r="41" spans="1:48" ht="16.5" x14ac:dyDescent="0.25">
      <c r="A41" s="1188" t="s">
        <v>447</v>
      </c>
      <c r="B41" s="1189"/>
      <c r="C41" s="1190"/>
      <c r="D41" s="1231">
        <f t="shared" ca="1" si="17"/>
        <v>486825440.31311166</v>
      </c>
      <c r="E41" s="1232">
        <f t="shared" ca="1" si="18"/>
        <v>1605360861.0567517</v>
      </c>
      <c r="F41" s="1232">
        <f t="shared" ca="1" si="19"/>
        <v>3457117416.8297462</v>
      </c>
      <c r="G41" s="1232">
        <f t="shared" ca="1" si="20"/>
        <v>5308873972.6027403</v>
      </c>
      <c r="H41" s="1231">
        <f t="shared" ca="1" si="21"/>
        <v>7120374951.0763226</v>
      </c>
      <c r="I41" s="1232">
        <f t="shared" ca="1" si="22"/>
        <v>8952003718.1996117</v>
      </c>
      <c r="J41" s="1232">
        <f t="shared" ca="1" si="23"/>
        <v>10803760273.972605</v>
      </c>
      <c r="K41" s="1233">
        <f t="shared" ca="1" si="24"/>
        <v>12655516829.745598</v>
      </c>
      <c r="L41" s="1231">
        <f t="shared" ca="1" si="25"/>
        <v>14467017808.219179</v>
      </c>
      <c r="M41" s="1232">
        <f t="shared" ca="1" si="26"/>
        <v>16298646575.342466</v>
      </c>
      <c r="N41" s="1232">
        <f t="shared" ca="1" si="27"/>
        <v>18150403131.115463</v>
      </c>
      <c r="O41" s="1233">
        <f t="shared" ca="1" si="28"/>
        <v>20002159686.888458</v>
      </c>
      <c r="P41" s="1204">
        <f ca="1">O41+Expenses!Q39</f>
        <v>20002159686.888458</v>
      </c>
      <c r="Q41" s="1207"/>
      <c r="R41" s="1207"/>
      <c r="S41" s="1188" t="s">
        <v>447</v>
      </c>
      <c r="T41" s="1189"/>
      <c r="U41" s="1190"/>
      <c r="V41" s="1190">
        <f t="shared" ca="1" si="29"/>
        <v>5308873972.6027403</v>
      </c>
      <c r="W41" s="1204">
        <f t="shared" ca="1" si="30"/>
        <v>12655516829.745598</v>
      </c>
      <c r="X41" s="1204">
        <f t="shared" ca="1" si="31"/>
        <v>20002159686.888458</v>
      </c>
      <c r="Y41" s="1207"/>
      <c r="Z41" s="1207"/>
      <c r="AA41" s="1207"/>
      <c r="AB41" s="1207"/>
      <c r="AC41" s="1207"/>
      <c r="AD41" s="1207"/>
      <c r="AE41" s="1207"/>
      <c r="AF41" s="1207"/>
      <c r="AG41" s="1207"/>
      <c r="AH41" s="1207"/>
      <c r="AI41" s="1207"/>
      <c r="AJ41" s="1207"/>
      <c r="AK41" s="1207"/>
      <c r="AL41" s="1207"/>
      <c r="AM41" s="1207"/>
      <c r="AN41" s="1207"/>
      <c r="AO41" s="1207"/>
      <c r="AP41" s="1206"/>
      <c r="AQ41" s="1207"/>
      <c r="AR41" s="1207"/>
      <c r="AS41" s="1207"/>
      <c r="AT41" s="1207"/>
      <c r="AU41" s="1207"/>
      <c r="AV41" s="1208"/>
    </row>
    <row r="42" spans="1:48" ht="16.5" x14ac:dyDescent="0.25">
      <c r="A42" s="1188"/>
      <c r="B42" s="1189"/>
      <c r="C42" s="1190"/>
      <c r="D42" s="1190">
        <f t="shared" si="17"/>
        <v>0</v>
      </c>
      <c r="E42" s="1204">
        <f t="shared" si="18"/>
        <v>0</v>
      </c>
      <c r="F42" s="1204">
        <f t="shared" si="19"/>
        <v>0</v>
      </c>
      <c r="G42" s="1204">
        <f t="shared" si="20"/>
        <v>0</v>
      </c>
      <c r="H42" s="1190">
        <f t="shared" si="21"/>
        <v>0</v>
      </c>
      <c r="I42" s="1204">
        <f t="shared" si="22"/>
        <v>0</v>
      </c>
      <c r="J42" s="1204">
        <f t="shared" si="23"/>
        <v>0</v>
      </c>
      <c r="K42" s="1205">
        <f t="shared" si="24"/>
        <v>0</v>
      </c>
      <c r="L42" s="1190">
        <f t="shared" si="25"/>
        <v>0</v>
      </c>
      <c r="M42" s="1204">
        <f t="shared" si="26"/>
        <v>0</v>
      </c>
      <c r="N42" s="1204">
        <f t="shared" si="27"/>
        <v>0</v>
      </c>
      <c r="O42" s="1205">
        <f t="shared" si="28"/>
        <v>0</v>
      </c>
      <c r="P42" s="1204"/>
      <c r="Q42" s="1207"/>
      <c r="R42" s="1207"/>
      <c r="S42" s="1188"/>
      <c r="T42" s="1189"/>
      <c r="U42" s="1190"/>
      <c r="V42" s="1190">
        <f t="shared" si="29"/>
        <v>0</v>
      </c>
      <c r="W42" s="1204">
        <f t="shared" si="30"/>
        <v>0</v>
      </c>
      <c r="X42" s="1204">
        <f t="shared" si="31"/>
        <v>0</v>
      </c>
      <c r="Y42" s="1207"/>
      <c r="Z42" s="1207"/>
      <c r="AA42" s="1207"/>
      <c r="AB42" s="1207"/>
      <c r="AC42" s="1207"/>
      <c r="AD42" s="1207"/>
      <c r="AE42" s="1207"/>
      <c r="AF42" s="1207"/>
      <c r="AG42" s="1207"/>
      <c r="AH42" s="1207"/>
      <c r="AI42" s="1207"/>
      <c r="AJ42" s="1207"/>
      <c r="AK42" s="1207"/>
      <c r="AL42" s="1207"/>
      <c r="AM42" s="1207"/>
      <c r="AN42" s="1207"/>
      <c r="AO42" s="1207"/>
      <c r="AP42" s="1206"/>
      <c r="AQ42" s="1207"/>
      <c r="AR42" s="1207"/>
      <c r="AS42" s="1207"/>
      <c r="AT42" s="1207"/>
      <c r="AU42" s="1207"/>
      <c r="AV42" s="1208"/>
    </row>
    <row r="43" spans="1:48" ht="16.5" x14ac:dyDescent="0.25">
      <c r="A43" s="1180" t="s">
        <v>448</v>
      </c>
      <c r="B43" s="1181"/>
      <c r="C43" s="1182"/>
      <c r="D43" s="1182">
        <f t="shared" ca="1" si="17"/>
        <v>55241188473.106804</v>
      </c>
      <c r="E43" s="1183">
        <f t="shared" ca="1" si="18"/>
        <v>66170924319.443901</v>
      </c>
      <c r="F43" s="1183">
        <f t="shared" ca="1" si="19"/>
        <v>62655027563.670914</v>
      </c>
      <c r="G43" s="1183">
        <f t="shared" ca="1" si="20"/>
        <v>59571495407.897919</v>
      </c>
      <c r="H43" s="1182">
        <f t="shared" ca="1" si="21"/>
        <v>55762737629.424332</v>
      </c>
      <c r="I43" s="1183">
        <f t="shared" ca="1" si="22"/>
        <v>68831972462.301041</v>
      </c>
      <c r="J43" s="1183">
        <f t="shared" ca="1" si="23"/>
        <v>66191059906.528061</v>
      </c>
      <c r="K43" s="1184">
        <f t="shared" ca="1" si="24"/>
        <v>66213044050.755066</v>
      </c>
      <c r="L43" s="1182">
        <f t="shared" ca="1" si="25"/>
        <v>64961049043.710068</v>
      </c>
      <c r="M43" s="1183">
        <f t="shared" ca="1" si="26"/>
        <v>83590380676.586761</v>
      </c>
      <c r="N43" s="1183">
        <f t="shared" ca="1" si="27"/>
        <v>87575489820.813782</v>
      </c>
      <c r="O43" s="1184">
        <f t="shared" ca="1" si="28"/>
        <v>90266126165.040787</v>
      </c>
      <c r="P43" s="1183"/>
      <c r="Q43" s="1186"/>
      <c r="R43" s="1186"/>
      <c r="S43" s="1180" t="s">
        <v>448</v>
      </c>
      <c r="T43" s="1181"/>
      <c r="U43" s="1182"/>
      <c r="V43" s="1182">
        <f t="shared" ca="1" si="29"/>
        <v>59571495407.897919</v>
      </c>
      <c r="W43" s="1183">
        <f t="shared" ca="1" si="30"/>
        <v>66213044050.755066</v>
      </c>
      <c r="X43" s="1183">
        <f t="shared" ca="1" si="31"/>
        <v>90266126165.040787</v>
      </c>
      <c r="Y43" s="1186"/>
      <c r="Z43" s="1186"/>
      <c r="AA43" s="1186"/>
      <c r="AB43" s="1186"/>
      <c r="AC43" s="1186"/>
      <c r="AD43" s="1186"/>
      <c r="AE43" s="1186"/>
      <c r="AF43" s="1186"/>
      <c r="AG43" s="1186"/>
      <c r="AH43" s="1186"/>
      <c r="AI43" s="1186"/>
      <c r="AJ43" s="1186"/>
      <c r="AK43" s="1186"/>
      <c r="AL43" s="1186"/>
      <c r="AM43" s="1186"/>
      <c r="AN43" s="1186"/>
      <c r="AO43" s="1186"/>
      <c r="AP43" s="1185"/>
      <c r="AQ43" s="1186"/>
      <c r="AR43" s="1186"/>
      <c r="AS43" s="1186"/>
      <c r="AT43" s="1186"/>
      <c r="AU43" s="1186"/>
      <c r="AV43" s="1187"/>
    </row>
    <row r="44" spans="1:48" ht="16.5" x14ac:dyDescent="0.25">
      <c r="A44" s="1211"/>
      <c r="B44" s="1212"/>
      <c r="C44" s="1213"/>
      <c r="D44" s="1213">
        <f t="shared" si="17"/>
        <v>0</v>
      </c>
      <c r="E44" s="1213">
        <f t="shared" si="18"/>
        <v>0</v>
      </c>
      <c r="F44" s="1213">
        <f t="shared" si="19"/>
        <v>0</v>
      </c>
      <c r="G44" s="1234">
        <f t="shared" si="20"/>
        <v>0</v>
      </c>
      <c r="H44" s="1235">
        <f t="shared" si="21"/>
        <v>0</v>
      </c>
      <c r="I44" s="1213">
        <f t="shared" si="22"/>
        <v>0</v>
      </c>
      <c r="J44" s="1213">
        <f t="shared" si="23"/>
        <v>0</v>
      </c>
      <c r="K44" s="1214">
        <f t="shared" si="24"/>
        <v>0</v>
      </c>
      <c r="L44" s="1235">
        <f t="shared" si="25"/>
        <v>0</v>
      </c>
      <c r="M44" s="1213">
        <f t="shared" si="26"/>
        <v>0</v>
      </c>
      <c r="N44" s="1213">
        <f t="shared" si="27"/>
        <v>0</v>
      </c>
      <c r="O44" s="1214">
        <f t="shared" si="28"/>
        <v>0</v>
      </c>
      <c r="P44" s="1236"/>
      <c r="Q44" s="1202"/>
      <c r="R44" s="1202"/>
      <c r="S44" s="1211"/>
      <c r="T44" s="1212"/>
      <c r="U44" s="1213"/>
      <c r="V44" s="1213">
        <f t="shared" si="29"/>
        <v>0</v>
      </c>
      <c r="W44" s="1213">
        <f t="shared" si="30"/>
        <v>0</v>
      </c>
      <c r="X44" s="1234">
        <f t="shared" si="31"/>
        <v>0</v>
      </c>
      <c r="Y44" s="1202"/>
      <c r="Z44" s="1202"/>
      <c r="AA44" s="1202"/>
      <c r="AB44" s="1202"/>
      <c r="AC44" s="1202"/>
      <c r="AD44" s="1202"/>
      <c r="AE44" s="1202"/>
      <c r="AF44" s="1202"/>
      <c r="AG44" s="1202"/>
      <c r="AH44" s="1202"/>
      <c r="AI44" s="1202"/>
      <c r="AJ44" s="1202"/>
      <c r="AK44" s="1202"/>
      <c r="AL44" s="1202"/>
      <c r="AM44" s="1202"/>
      <c r="AN44" s="1202"/>
      <c r="AO44" s="1202"/>
      <c r="AP44" s="1201"/>
      <c r="AQ44" s="1202"/>
      <c r="AR44" s="1202"/>
      <c r="AS44" s="1202"/>
      <c r="AT44" s="1202"/>
      <c r="AU44" s="1202"/>
      <c r="AV44" s="1203"/>
    </row>
    <row r="45" spans="1:48" ht="16.5" x14ac:dyDescent="0.25">
      <c r="A45" s="1215"/>
      <c r="B45" s="1216"/>
      <c r="C45" s="1217"/>
      <c r="D45" s="1217">
        <f t="shared" si="17"/>
        <v>0</v>
      </c>
      <c r="E45" s="1217">
        <f t="shared" si="18"/>
        <v>0</v>
      </c>
      <c r="F45" s="1217">
        <f t="shared" si="19"/>
        <v>0</v>
      </c>
      <c r="G45" s="1237">
        <f t="shared" si="20"/>
        <v>0</v>
      </c>
      <c r="H45" s="1238">
        <f t="shared" si="21"/>
        <v>0</v>
      </c>
      <c r="I45" s="1217">
        <f t="shared" si="22"/>
        <v>0</v>
      </c>
      <c r="J45" s="1217">
        <f t="shared" si="23"/>
        <v>0</v>
      </c>
      <c r="K45" s="1218">
        <f t="shared" si="24"/>
        <v>0</v>
      </c>
      <c r="L45" s="1238">
        <f t="shared" si="25"/>
        <v>0</v>
      </c>
      <c r="M45" s="1217">
        <f t="shared" si="26"/>
        <v>0</v>
      </c>
      <c r="N45" s="1217">
        <f t="shared" si="27"/>
        <v>0</v>
      </c>
      <c r="O45" s="1218">
        <f t="shared" si="28"/>
        <v>0</v>
      </c>
      <c r="P45" s="1239"/>
      <c r="Q45" s="1202"/>
      <c r="R45" s="1202"/>
      <c r="S45" s="1215"/>
      <c r="T45" s="1216"/>
      <c r="U45" s="1217"/>
      <c r="V45" s="1217">
        <f t="shared" si="29"/>
        <v>0</v>
      </c>
      <c r="W45" s="1217">
        <f t="shared" si="30"/>
        <v>0</v>
      </c>
      <c r="X45" s="1237">
        <f t="shared" si="31"/>
        <v>0</v>
      </c>
      <c r="Y45" s="1202"/>
      <c r="Z45" s="1202"/>
      <c r="AA45" s="1202"/>
      <c r="AB45" s="1202"/>
      <c r="AC45" s="1202"/>
      <c r="AD45" s="1202"/>
      <c r="AE45" s="1202"/>
      <c r="AF45" s="1202"/>
      <c r="AG45" s="1202"/>
      <c r="AH45" s="1202"/>
      <c r="AI45" s="1202"/>
      <c r="AJ45" s="1202"/>
      <c r="AK45" s="1202"/>
      <c r="AL45" s="1202"/>
      <c r="AM45" s="1202"/>
      <c r="AN45" s="1202"/>
      <c r="AO45" s="1202"/>
      <c r="AP45" s="1201"/>
      <c r="AQ45" s="1202"/>
      <c r="AR45" s="1202"/>
      <c r="AS45" s="1202"/>
      <c r="AT45" s="1202"/>
      <c r="AU45" s="1202"/>
      <c r="AV45" s="1203"/>
    </row>
    <row r="46" spans="1:48" ht="16.5" x14ac:dyDescent="0.25">
      <c r="A46" s="1219" t="s">
        <v>449</v>
      </c>
      <c r="B46" s="1220"/>
      <c r="C46" s="1221"/>
      <c r="D46" s="1221">
        <f t="shared" si="17"/>
        <v>0</v>
      </c>
      <c r="E46" s="1222">
        <f t="shared" si="18"/>
        <v>14405999999.999996</v>
      </c>
      <c r="F46" s="1222">
        <f t="shared" si="19"/>
        <v>10964789999.999996</v>
      </c>
      <c r="G46" s="1222">
        <f t="shared" si="20"/>
        <v>7395944999.9999962</v>
      </c>
      <c r="H46" s="1221">
        <f t="shared" si="21"/>
        <v>3643184999.9999962</v>
      </c>
      <c r="I46" s="1222">
        <f t="shared" si="22"/>
        <v>14690414999.999992</v>
      </c>
      <c r="J46" s="1222">
        <f t="shared" si="23"/>
        <v>11146694999.999992</v>
      </c>
      <c r="K46" s="1223">
        <f t="shared" si="24"/>
        <v>8548949999.9999924</v>
      </c>
      <c r="L46" s="1221">
        <f t="shared" si="25"/>
        <v>4690844999.9999924</v>
      </c>
      <c r="M46" s="1222">
        <f t="shared" si="26"/>
        <v>16115084999.999989</v>
      </c>
      <c r="N46" s="1222">
        <f t="shared" si="27"/>
        <v>12751799999.999989</v>
      </c>
      <c r="O46" s="1223">
        <f t="shared" si="28"/>
        <v>8863169999.9999886</v>
      </c>
      <c r="P46" s="1222"/>
      <c r="Q46" s="1186"/>
      <c r="R46" s="1186"/>
      <c r="S46" s="1219" t="s">
        <v>449</v>
      </c>
      <c r="T46" s="1220"/>
      <c r="U46" s="1221"/>
      <c r="V46" s="1221">
        <f t="shared" si="29"/>
        <v>7395944999.9999962</v>
      </c>
      <c r="W46" s="1222">
        <f t="shared" si="30"/>
        <v>8548949999.9999924</v>
      </c>
      <c r="X46" s="1222">
        <f t="shared" si="31"/>
        <v>8863169999.9999886</v>
      </c>
      <c r="Y46" s="1186"/>
      <c r="Z46" s="1186"/>
      <c r="AA46" s="1186"/>
      <c r="AB46" s="1186"/>
      <c r="AC46" s="1186"/>
      <c r="AD46" s="1186"/>
      <c r="AE46" s="1186"/>
      <c r="AF46" s="1186"/>
      <c r="AG46" s="1186"/>
      <c r="AH46" s="1186"/>
      <c r="AI46" s="1186"/>
      <c r="AJ46" s="1186"/>
      <c r="AK46" s="1186"/>
      <c r="AL46" s="1186"/>
      <c r="AM46" s="1186"/>
      <c r="AN46" s="1186"/>
      <c r="AO46" s="1186"/>
      <c r="AP46" s="1185"/>
      <c r="AQ46" s="1186"/>
      <c r="AR46" s="1186"/>
      <c r="AS46" s="1186"/>
      <c r="AT46" s="1186"/>
      <c r="AU46" s="1186"/>
      <c r="AV46" s="1187"/>
    </row>
    <row r="47" spans="1:48" ht="16.5" x14ac:dyDescent="0.25">
      <c r="A47" s="1224" t="s">
        <v>450</v>
      </c>
      <c r="B47" s="1197"/>
      <c r="C47" s="1198"/>
      <c r="D47" s="1198">
        <f t="shared" si="17"/>
        <v>0</v>
      </c>
      <c r="E47" s="1199">
        <f t="shared" si="18"/>
        <v>1206000000.0000002</v>
      </c>
      <c r="F47" s="1199">
        <f t="shared" si="19"/>
        <v>1364790000.0000002</v>
      </c>
      <c r="G47" s="1199">
        <f t="shared" si="20"/>
        <v>1395945000.0000002</v>
      </c>
      <c r="H47" s="1198">
        <f t="shared" si="21"/>
        <v>1243185000.0000002</v>
      </c>
      <c r="I47" s="1199">
        <f t="shared" si="22"/>
        <v>1490415000.0000002</v>
      </c>
      <c r="J47" s="1199">
        <f t="shared" si="23"/>
        <v>1546695000.0000002</v>
      </c>
      <c r="K47" s="1200">
        <f t="shared" si="24"/>
        <v>2548950000.0000005</v>
      </c>
      <c r="L47" s="1198">
        <f t="shared" si="25"/>
        <v>2290845000.0000005</v>
      </c>
      <c r="M47" s="1199">
        <f t="shared" si="26"/>
        <v>2915085000.0000005</v>
      </c>
      <c r="N47" s="1199">
        <f t="shared" si="27"/>
        <v>3151800000.0000005</v>
      </c>
      <c r="O47" s="1200">
        <f t="shared" si="28"/>
        <v>2863170000.0000005</v>
      </c>
      <c r="P47" s="1199">
        <f>IF(ISBLANK(P32),O47,'Delayed payment'!S72+O47)</f>
        <v>2863170000.0000005</v>
      </c>
      <c r="Q47" s="1202"/>
      <c r="R47" s="1202"/>
      <c r="S47" s="1224" t="s">
        <v>450</v>
      </c>
      <c r="T47" s="1197"/>
      <c r="U47" s="1198"/>
      <c r="V47" s="1198">
        <f t="shared" si="29"/>
        <v>1395945000.0000002</v>
      </c>
      <c r="W47" s="1199">
        <f t="shared" si="30"/>
        <v>2548950000.0000005</v>
      </c>
      <c r="X47" s="1199">
        <f t="shared" si="31"/>
        <v>2863170000.0000005</v>
      </c>
      <c r="Y47" s="1202"/>
      <c r="Z47" s="1202"/>
      <c r="AA47" s="1202"/>
      <c r="AB47" s="1202"/>
      <c r="AC47" s="1202"/>
      <c r="AD47" s="1202"/>
      <c r="AE47" s="1202"/>
      <c r="AF47" s="1202"/>
      <c r="AG47" s="1202"/>
      <c r="AH47" s="1202"/>
      <c r="AI47" s="1202"/>
      <c r="AJ47" s="1202"/>
      <c r="AK47" s="1202"/>
      <c r="AL47" s="1202"/>
      <c r="AM47" s="1202"/>
      <c r="AN47" s="1202"/>
      <c r="AO47" s="1202"/>
      <c r="AP47" s="1201"/>
      <c r="AQ47" s="1202"/>
      <c r="AR47" s="1202"/>
      <c r="AS47" s="1202"/>
      <c r="AT47" s="1202"/>
      <c r="AU47" s="1202"/>
      <c r="AV47" s="1203"/>
    </row>
    <row r="48" spans="1:48" ht="16.5" x14ac:dyDescent="0.25">
      <c r="A48" s="1224" t="s">
        <v>451</v>
      </c>
      <c r="B48" s="1189"/>
      <c r="C48" s="1190"/>
      <c r="D48" s="1190">
        <f t="shared" si="17"/>
        <v>0</v>
      </c>
      <c r="E48" s="1204">
        <f t="shared" si="18"/>
        <v>13199999999.999996</v>
      </c>
      <c r="F48" s="1204">
        <f t="shared" si="19"/>
        <v>9599999999.9999962</v>
      </c>
      <c r="G48" s="1204">
        <f t="shared" si="20"/>
        <v>5999999999.9999962</v>
      </c>
      <c r="H48" s="1190">
        <f t="shared" si="21"/>
        <v>2399999999.9999962</v>
      </c>
      <c r="I48" s="1204">
        <f t="shared" si="22"/>
        <v>13199999999.999992</v>
      </c>
      <c r="J48" s="1204">
        <f t="shared" si="23"/>
        <v>9599999999.9999924</v>
      </c>
      <c r="K48" s="1205">
        <f t="shared" si="24"/>
        <v>5999999999.9999924</v>
      </c>
      <c r="L48" s="1190">
        <f t="shared" si="25"/>
        <v>2399999999.9999924</v>
      </c>
      <c r="M48" s="1204">
        <f t="shared" si="26"/>
        <v>13199999999.999989</v>
      </c>
      <c r="N48" s="1204">
        <f t="shared" si="27"/>
        <v>9599999999.9999886</v>
      </c>
      <c r="O48" s="1205">
        <f t="shared" si="28"/>
        <v>5999999999.9999886</v>
      </c>
      <c r="P48" s="1204">
        <f>'Loan repay {supplement}'!T40+O48-'Loan repay {supplement}'!T39</f>
        <v>5999999999.9999886</v>
      </c>
      <c r="Q48" s="1207"/>
      <c r="R48" s="1207"/>
      <c r="S48" s="1224" t="s">
        <v>451</v>
      </c>
      <c r="T48" s="1189"/>
      <c r="U48" s="1190"/>
      <c r="V48" s="1190">
        <f t="shared" si="29"/>
        <v>5999999999.9999962</v>
      </c>
      <c r="W48" s="1204">
        <f t="shared" si="30"/>
        <v>5999999999.9999924</v>
      </c>
      <c r="X48" s="1204">
        <f t="shared" si="31"/>
        <v>5999999999.9999886</v>
      </c>
      <c r="Y48" s="1207"/>
      <c r="Z48" s="1207"/>
      <c r="AA48" s="1207"/>
      <c r="AB48" s="1207"/>
      <c r="AC48" s="1207"/>
      <c r="AD48" s="1207"/>
      <c r="AE48" s="1207"/>
      <c r="AF48" s="1207"/>
      <c r="AG48" s="1207"/>
      <c r="AH48" s="1207"/>
      <c r="AI48" s="1207"/>
      <c r="AJ48" s="1207"/>
      <c r="AK48" s="1207"/>
      <c r="AL48" s="1207"/>
      <c r="AM48" s="1207"/>
      <c r="AN48" s="1207"/>
      <c r="AO48" s="1207"/>
      <c r="AP48" s="1206"/>
      <c r="AQ48" s="1207"/>
      <c r="AR48" s="1207"/>
      <c r="AS48" s="1207"/>
      <c r="AT48" s="1207"/>
      <c r="AU48" s="1207"/>
      <c r="AV48" s="1208"/>
    </row>
    <row r="49" spans="1:48" ht="16.5" x14ac:dyDescent="0.25">
      <c r="A49" s="1224"/>
      <c r="B49" s="1189"/>
      <c r="C49" s="1190"/>
      <c r="D49" s="1190">
        <f t="shared" si="17"/>
        <v>0</v>
      </c>
      <c r="E49" s="1204">
        <f t="shared" si="18"/>
        <v>0</v>
      </c>
      <c r="F49" s="1204">
        <f t="shared" si="19"/>
        <v>0</v>
      </c>
      <c r="G49" s="1204">
        <f t="shared" si="20"/>
        <v>0</v>
      </c>
      <c r="H49" s="1190">
        <f t="shared" si="21"/>
        <v>0</v>
      </c>
      <c r="I49" s="1204">
        <f t="shared" si="22"/>
        <v>0</v>
      </c>
      <c r="J49" s="1204">
        <f t="shared" si="23"/>
        <v>0</v>
      </c>
      <c r="K49" s="1205">
        <f t="shared" si="24"/>
        <v>0</v>
      </c>
      <c r="L49" s="1190">
        <f t="shared" si="25"/>
        <v>0</v>
      </c>
      <c r="M49" s="1204">
        <f t="shared" si="26"/>
        <v>0</v>
      </c>
      <c r="N49" s="1204">
        <f t="shared" si="27"/>
        <v>0</v>
      </c>
      <c r="O49" s="1205">
        <f t="shared" si="28"/>
        <v>0</v>
      </c>
      <c r="P49" s="1204"/>
      <c r="Q49" s="1207"/>
      <c r="R49" s="1207"/>
      <c r="S49" s="1224"/>
      <c r="T49" s="1189"/>
      <c r="U49" s="1190"/>
      <c r="V49" s="1190">
        <f t="shared" si="29"/>
        <v>0</v>
      </c>
      <c r="W49" s="1204">
        <f t="shared" si="30"/>
        <v>0</v>
      </c>
      <c r="X49" s="1204">
        <f t="shared" si="31"/>
        <v>0</v>
      </c>
      <c r="Y49" s="1207"/>
      <c r="Z49" s="1207"/>
      <c r="AA49" s="1207"/>
      <c r="AB49" s="1207"/>
      <c r="AC49" s="1207"/>
      <c r="AD49" s="1207"/>
      <c r="AE49" s="1207"/>
      <c r="AF49" s="1207"/>
      <c r="AG49" s="1207"/>
      <c r="AH49" s="1207"/>
      <c r="AI49" s="1207"/>
      <c r="AJ49" s="1207"/>
      <c r="AK49" s="1207"/>
      <c r="AL49" s="1207"/>
      <c r="AM49" s="1207"/>
      <c r="AN49" s="1207"/>
      <c r="AO49" s="1207"/>
      <c r="AP49" s="1206"/>
      <c r="AQ49" s="1207"/>
      <c r="AR49" s="1207"/>
      <c r="AS49" s="1207"/>
      <c r="AT49" s="1207"/>
      <c r="AU49" s="1207"/>
      <c r="AV49" s="1208"/>
    </row>
    <row r="50" spans="1:48" ht="16.5" x14ac:dyDescent="0.25">
      <c r="A50" s="1174" t="s">
        <v>452</v>
      </c>
      <c r="B50" s="1181"/>
      <c r="C50" s="1182"/>
      <c r="D50" s="1182">
        <f t="shared" ca="1" si="17"/>
        <v>55241188473.106804</v>
      </c>
      <c r="E50" s="1183">
        <f t="shared" ca="1" si="18"/>
        <v>51764924319.443909</v>
      </c>
      <c r="F50" s="1183">
        <f t="shared" ca="1" si="19"/>
        <v>51690237563.670914</v>
      </c>
      <c r="G50" s="1183">
        <f t="shared" ca="1" si="20"/>
        <v>52175550407.897919</v>
      </c>
      <c r="H50" s="1182">
        <f t="shared" ca="1" si="21"/>
        <v>52119552629.424339</v>
      </c>
      <c r="I50" s="1183">
        <f t="shared" ca="1" si="22"/>
        <v>54141557462.301048</v>
      </c>
      <c r="J50" s="1183">
        <f t="shared" ca="1" si="23"/>
        <v>55044364906.528061</v>
      </c>
      <c r="K50" s="1184">
        <f t="shared" ca="1" si="24"/>
        <v>57664094050.755066</v>
      </c>
      <c r="L50" s="1182">
        <f t="shared" ca="1" si="25"/>
        <v>60270204043.710052</v>
      </c>
      <c r="M50" s="1183">
        <f t="shared" ca="1" si="26"/>
        <v>67475295676.586769</v>
      </c>
      <c r="N50" s="1183">
        <f t="shared" ca="1" si="27"/>
        <v>74823689820.813782</v>
      </c>
      <c r="O50" s="1184">
        <f t="shared" ca="1" si="28"/>
        <v>81402956165.040787</v>
      </c>
      <c r="P50" s="1183"/>
      <c r="Q50" s="1186"/>
      <c r="R50" s="1186"/>
      <c r="S50" s="1174" t="s">
        <v>452</v>
      </c>
      <c r="T50" s="1181"/>
      <c r="U50" s="1182"/>
      <c r="V50" s="1182">
        <f t="shared" ca="1" si="29"/>
        <v>52175550407.897919</v>
      </c>
      <c r="W50" s="1183">
        <f t="shared" ca="1" si="30"/>
        <v>57664094050.755066</v>
      </c>
      <c r="X50" s="1183">
        <f t="shared" ca="1" si="31"/>
        <v>81402956165.040787</v>
      </c>
      <c r="Y50" s="1186"/>
      <c r="Z50" s="1186"/>
      <c r="AA50" s="1186"/>
      <c r="AB50" s="1186"/>
      <c r="AC50" s="1186"/>
      <c r="AD50" s="1186"/>
      <c r="AE50" s="1186"/>
      <c r="AF50" s="1186"/>
      <c r="AG50" s="1186"/>
      <c r="AH50" s="1186"/>
      <c r="AI50" s="1186"/>
      <c r="AJ50" s="1186"/>
      <c r="AK50" s="1186"/>
      <c r="AL50" s="1186"/>
      <c r="AM50" s="1186"/>
      <c r="AN50" s="1186"/>
      <c r="AO50" s="1186"/>
      <c r="AP50" s="1185"/>
      <c r="AQ50" s="1186"/>
      <c r="AR50" s="1186"/>
      <c r="AS50" s="1186"/>
      <c r="AT50" s="1186"/>
      <c r="AU50" s="1186"/>
      <c r="AV50" s="1187"/>
    </row>
    <row r="51" spans="1:48" ht="16.5" x14ac:dyDescent="0.25">
      <c r="A51" s="1224" t="s">
        <v>453</v>
      </c>
      <c r="B51" s="1189"/>
      <c r="C51" s="1190"/>
      <c r="D51" s="1190">
        <f t="shared" si="17"/>
        <v>57600000000</v>
      </c>
      <c r="E51" s="1204">
        <f t="shared" si="18"/>
        <v>57600000000</v>
      </c>
      <c r="F51" s="1204">
        <f t="shared" si="19"/>
        <v>57600000000</v>
      </c>
      <c r="G51" s="1204">
        <f t="shared" si="20"/>
        <v>57600000000</v>
      </c>
      <c r="H51" s="1190">
        <f t="shared" si="21"/>
        <v>57600000000</v>
      </c>
      <c r="I51" s="1204">
        <f t="shared" si="22"/>
        <v>57600000000</v>
      </c>
      <c r="J51" s="1204">
        <f t="shared" si="23"/>
        <v>57600000000</v>
      </c>
      <c r="K51" s="1205">
        <f t="shared" si="24"/>
        <v>57600000000</v>
      </c>
      <c r="L51" s="1190">
        <f t="shared" si="25"/>
        <v>57600000000</v>
      </c>
      <c r="M51" s="1204">
        <f t="shared" si="26"/>
        <v>57600000000</v>
      </c>
      <c r="N51" s="1204">
        <f t="shared" si="27"/>
        <v>57600000000</v>
      </c>
      <c r="O51" s="1205">
        <f t="shared" si="28"/>
        <v>57600000000</v>
      </c>
      <c r="P51" s="1204">
        <f>O51</f>
        <v>57600000000</v>
      </c>
      <c r="Q51" s="1207"/>
      <c r="R51" s="1207"/>
      <c r="S51" s="1224" t="s">
        <v>453</v>
      </c>
      <c r="T51" s="1189"/>
      <c r="U51" s="1190"/>
      <c r="V51" s="1190">
        <f t="shared" si="29"/>
        <v>57600000000</v>
      </c>
      <c r="W51" s="1204">
        <f t="shared" si="30"/>
        <v>57600000000</v>
      </c>
      <c r="X51" s="1204">
        <f t="shared" si="31"/>
        <v>57600000000</v>
      </c>
      <c r="Y51" s="1207"/>
      <c r="Z51" s="1207"/>
      <c r="AA51" s="1207"/>
      <c r="AB51" s="1207"/>
      <c r="AC51" s="1207"/>
      <c r="AD51" s="1207"/>
      <c r="AE51" s="1207"/>
      <c r="AF51" s="1207"/>
      <c r="AG51" s="1207"/>
      <c r="AH51" s="1207"/>
      <c r="AI51" s="1207"/>
      <c r="AJ51" s="1207"/>
      <c r="AK51" s="1207"/>
      <c r="AL51" s="1207"/>
      <c r="AM51" s="1207"/>
      <c r="AN51" s="1207"/>
      <c r="AO51" s="1207"/>
      <c r="AP51" s="1206"/>
      <c r="AQ51" s="1207"/>
      <c r="AR51" s="1207"/>
      <c r="AS51" s="1207"/>
      <c r="AT51" s="1207"/>
      <c r="AU51" s="1207"/>
      <c r="AV51" s="1208"/>
    </row>
    <row r="52" spans="1:48" ht="16.5" x14ac:dyDescent="0.25">
      <c r="A52" s="1224" t="s">
        <v>454</v>
      </c>
      <c r="B52" s="1189"/>
      <c r="C52" s="1190"/>
      <c r="D52" s="1190">
        <f t="shared" ca="1" si="17"/>
        <v>-2358811526.893198</v>
      </c>
      <c r="E52" s="1204">
        <f t="shared" ca="1" si="18"/>
        <v>-5835075680.5560923</v>
      </c>
      <c r="F52" s="1204">
        <f t="shared" ca="1" si="19"/>
        <v>-5909762436.3290863</v>
      </c>
      <c r="G52" s="1204">
        <f t="shared" ca="1" si="20"/>
        <v>-5424449592.1020794</v>
      </c>
      <c r="H52" s="1190">
        <f t="shared" ca="1" si="21"/>
        <v>-5480447370.5756617</v>
      </c>
      <c r="I52" s="1204">
        <f t="shared" ca="1" si="22"/>
        <v>-3458442537.6989493</v>
      </c>
      <c r="J52" s="1204">
        <f t="shared" ca="1" si="23"/>
        <v>-2555635093.4719419</v>
      </c>
      <c r="K52" s="1205">
        <f t="shared" ca="1" si="24"/>
        <v>64094050.755065441</v>
      </c>
      <c r="L52" s="1190">
        <f t="shared" ca="1" si="25"/>
        <v>2670204043.7100563</v>
      </c>
      <c r="M52" s="1204">
        <f t="shared" ca="1" si="26"/>
        <v>9875295676.5867691</v>
      </c>
      <c r="N52" s="1204">
        <f t="shared" ca="1" si="27"/>
        <v>17223689820.813778</v>
      </c>
      <c r="O52" s="1205">
        <f t="shared" ca="1" si="28"/>
        <v>23802956165.040783</v>
      </c>
      <c r="P52" s="1204">
        <f ca="1">O52+'INCOME STATEMENT'!Q98</f>
        <v>23802956165.040783</v>
      </c>
      <c r="Q52" s="1207"/>
      <c r="R52" s="1207"/>
      <c r="S52" s="1224" t="s">
        <v>454</v>
      </c>
      <c r="T52" s="1189"/>
      <c r="U52" s="1190"/>
      <c r="V52" s="1190">
        <f t="shared" ca="1" si="29"/>
        <v>-5424449592.1020794</v>
      </c>
      <c r="W52" s="1204">
        <f t="shared" ca="1" si="30"/>
        <v>64094050.755065441</v>
      </c>
      <c r="X52" s="1204">
        <f t="shared" ca="1" si="31"/>
        <v>23802956165.040783</v>
      </c>
      <c r="Y52" s="1207"/>
      <c r="Z52" s="1207"/>
      <c r="AA52" s="1207"/>
      <c r="AB52" s="1207"/>
      <c r="AC52" s="1207"/>
      <c r="AD52" s="1207"/>
      <c r="AE52" s="1207"/>
      <c r="AF52" s="1207"/>
      <c r="AG52" s="1207"/>
      <c r="AH52" s="1207"/>
      <c r="AI52" s="1207"/>
      <c r="AJ52" s="1207"/>
      <c r="AK52" s="1207"/>
      <c r="AL52" s="1207"/>
      <c r="AM52" s="1207"/>
      <c r="AN52" s="1207"/>
      <c r="AO52" s="1207"/>
      <c r="AP52" s="1206"/>
      <c r="AQ52" s="1207"/>
      <c r="AR52" s="1207"/>
      <c r="AS52" s="1207"/>
      <c r="AT52" s="1207"/>
      <c r="AU52" s="1207"/>
      <c r="AV52" s="1208"/>
    </row>
    <row r="53" spans="1:48" ht="16.5" x14ac:dyDescent="0.25">
      <c r="A53" s="1225"/>
      <c r="B53" s="1189"/>
      <c r="C53" s="1190"/>
      <c r="D53" s="1226">
        <f t="shared" si="17"/>
        <v>0</v>
      </c>
      <c r="E53" s="1227">
        <f t="shared" si="18"/>
        <v>0</v>
      </c>
      <c r="F53" s="1227">
        <f t="shared" si="19"/>
        <v>0</v>
      </c>
      <c r="G53" s="1227">
        <f t="shared" si="20"/>
        <v>0</v>
      </c>
      <c r="H53" s="1226">
        <f t="shared" si="21"/>
        <v>0</v>
      </c>
      <c r="I53" s="1227">
        <f t="shared" si="22"/>
        <v>0</v>
      </c>
      <c r="J53" s="1227">
        <f t="shared" si="23"/>
        <v>0</v>
      </c>
      <c r="K53" s="1228">
        <f t="shared" si="24"/>
        <v>0</v>
      </c>
      <c r="L53" s="1226">
        <f t="shared" si="25"/>
        <v>0</v>
      </c>
      <c r="M53" s="1227">
        <f t="shared" si="26"/>
        <v>0</v>
      </c>
      <c r="N53" s="1227">
        <f t="shared" si="27"/>
        <v>0</v>
      </c>
      <c r="O53" s="1228">
        <f t="shared" si="28"/>
        <v>0</v>
      </c>
      <c r="P53" s="1227"/>
      <c r="Q53" s="1207"/>
      <c r="R53" s="1207"/>
      <c r="S53" s="1225"/>
      <c r="T53" s="1189"/>
      <c r="U53" s="1190"/>
      <c r="V53" s="1226">
        <f t="shared" si="29"/>
        <v>0</v>
      </c>
      <c r="W53" s="1227">
        <f t="shared" si="30"/>
        <v>0</v>
      </c>
      <c r="X53" s="1227">
        <f t="shared" si="31"/>
        <v>0</v>
      </c>
      <c r="Y53" s="1207"/>
      <c r="Z53" s="1207"/>
      <c r="AA53" s="1207"/>
      <c r="AB53" s="1207"/>
      <c r="AC53" s="1207"/>
      <c r="AD53" s="1207"/>
      <c r="AE53" s="1207"/>
      <c r="AF53" s="1207"/>
      <c r="AG53" s="1207"/>
      <c r="AH53" s="1207"/>
      <c r="AI53" s="1207"/>
      <c r="AJ53" s="1207"/>
      <c r="AK53" s="1207"/>
      <c r="AL53" s="1207"/>
      <c r="AM53" s="1207"/>
      <c r="AN53" s="1207"/>
      <c r="AO53" s="1207"/>
      <c r="AP53" s="1206"/>
      <c r="AQ53" s="1207"/>
      <c r="AR53" s="1207"/>
      <c r="AS53" s="1207"/>
      <c r="AT53" s="1207"/>
      <c r="AU53" s="1207"/>
      <c r="AV53" s="1208"/>
    </row>
    <row r="54" spans="1:48" ht="16.5" x14ac:dyDescent="0.25">
      <c r="A54" s="1180" t="s">
        <v>455</v>
      </c>
      <c r="B54" s="1220"/>
      <c r="C54" s="1221"/>
      <c r="D54" s="1221">
        <f t="shared" ca="1" si="17"/>
        <v>55241188473.106804</v>
      </c>
      <c r="E54" s="1222">
        <f t="shared" ca="1" si="18"/>
        <v>66170924319.443909</v>
      </c>
      <c r="F54" s="1222">
        <f t="shared" ca="1" si="19"/>
        <v>62655027563.670914</v>
      </c>
      <c r="G54" s="1222">
        <f t="shared" ca="1" si="20"/>
        <v>59571495407.897919</v>
      </c>
      <c r="H54" s="1221">
        <f t="shared" ca="1" si="21"/>
        <v>55762737629.424332</v>
      </c>
      <c r="I54" s="1222">
        <f t="shared" ca="1" si="22"/>
        <v>68831972462.301041</v>
      </c>
      <c r="J54" s="1222">
        <f t="shared" ca="1" si="23"/>
        <v>66191059906.528053</v>
      </c>
      <c r="K54" s="1223">
        <f t="shared" ca="1" si="24"/>
        <v>66213044050.755058</v>
      </c>
      <c r="L54" s="1221">
        <f t="shared" ca="1" si="25"/>
        <v>64961049043.710045</v>
      </c>
      <c r="M54" s="1222">
        <f t="shared" ca="1" si="26"/>
        <v>83590380676.586761</v>
      </c>
      <c r="N54" s="1222">
        <f t="shared" ca="1" si="27"/>
        <v>87575489820.813766</v>
      </c>
      <c r="O54" s="1223">
        <f t="shared" ca="1" si="28"/>
        <v>90266126165.040771</v>
      </c>
      <c r="P54" s="1222"/>
      <c r="Q54" s="1186"/>
      <c r="R54" s="1186"/>
      <c r="S54" s="1180" t="s">
        <v>455</v>
      </c>
      <c r="T54" s="1220"/>
      <c r="U54" s="1221"/>
      <c r="V54" s="1221">
        <f t="shared" ca="1" si="29"/>
        <v>59571495407.897919</v>
      </c>
      <c r="W54" s="1222">
        <f t="shared" ca="1" si="30"/>
        <v>66213044050.755058</v>
      </c>
      <c r="X54" s="1222">
        <f t="shared" ca="1" si="31"/>
        <v>90266126165.040771</v>
      </c>
      <c r="Y54" s="1186"/>
      <c r="Z54" s="1186"/>
      <c r="AA54" s="1186"/>
      <c r="AB54" s="1186"/>
      <c r="AC54" s="1186"/>
      <c r="AD54" s="1186"/>
      <c r="AE54" s="1186"/>
      <c r="AF54" s="1186"/>
      <c r="AG54" s="1186"/>
      <c r="AH54" s="1186"/>
      <c r="AI54" s="1186"/>
      <c r="AJ54" s="1186"/>
      <c r="AK54" s="1186"/>
      <c r="AL54" s="1186"/>
      <c r="AM54" s="1186"/>
      <c r="AN54" s="1186"/>
      <c r="AO54" s="1186"/>
      <c r="AP54" s="1185"/>
      <c r="AQ54" s="1186"/>
      <c r="AR54" s="1186"/>
      <c r="AS54" s="1186"/>
      <c r="AT54" s="1186"/>
      <c r="AU54" s="1186"/>
      <c r="AV54" s="1187"/>
    </row>
    <row r="55" spans="1:48" ht="12.75" x14ac:dyDescent="0.2">
      <c r="A55" s="223"/>
      <c r="B55" s="224"/>
      <c r="C55" s="224"/>
      <c r="D55" s="224"/>
      <c r="E55" s="1150"/>
      <c r="F55" s="1150"/>
      <c r="G55" s="1150"/>
      <c r="H55" s="1150"/>
      <c r="I55" s="1150"/>
      <c r="J55" s="1150"/>
      <c r="K55" s="1150"/>
      <c r="L55" s="1150"/>
      <c r="M55" s="1150"/>
      <c r="N55" s="1150"/>
      <c r="O55" s="1150"/>
      <c r="P55" s="1150"/>
      <c r="Q55" s="1151"/>
      <c r="R55" s="1151"/>
      <c r="S55" s="224"/>
      <c r="T55" s="224"/>
      <c r="U55" s="224"/>
      <c r="V55" s="224"/>
      <c r="W55" s="224"/>
      <c r="X55" s="224"/>
      <c r="Y55" s="1151"/>
      <c r="Z55" s="1151"/>
      <c r="AA55" s="1151"/>
      <c r="AB55" s="1151"/>
      <c r="AC55" s="1152"/>
      <c r="AD55" s="1152"/>
      <c r="AE55" s="1152"/>
      <c r="AF55" s="1152"/>
      <c r="AG55" s="1152"/>
      <c r="AH55" s="1152"/>
      <c r="AI55" s="1152"/>
      <c r="AJ55" s="1152"/>
      <c r="AK55" s="1152"/>
      <c r="AL55" s="1152"/>
      <c r="AM55" s="1152"/>
      <c r="AN55" s="1152"/>
      <c r="AO55" s="1152"/>
      <c r="AP55" s="1152"/>
      <c r="AQ55" s="1152"/>
      <c r="AR55" s="1152"/>
      <c r="AS55" s="1152"/>
      <c r="AT55" s="1152"/>
      <c r="AU55" s="1152"/>
      <c r="AV55" s="1153"/>
    </row>
    <row r="56" spans="1:48" ht="12.75" x14ac:dyDescent="0.2">
      <c r="A56" s="227"/>
      <c r="B56" s="225"/>
      <c r="C56" s="225"/>
      <c r="D56" s="225"/>
      <c r="E56" s="1155"/>
      <c r="F56" s="1155"/>
      <c r="G56" s="1155"/>
      <c r="H56" s="1155"/>
      <c r="I56" s="1155"/>
      <c r="J56" s="1155"/>
      <c r="K56" s="1155"/>
      <c r="L56" s="1155"/>
      <c r="M56" s="1155"/>
      <c r="N56" s="1155"/>
      <c r="O56" s="1155"/>
      <c r="P56" s="1155"/>
      <c r="Q56" s="1156"/>
      <c r="R56" s="1156"/>
      <c r="S56" s="1156"/>
      <c r="T56" s="1156"/>
      <c r="U56" s="1156"/>
      <c r="V56" s="1156"/>
      <c r="W56" s="1156"/>
      <c r="X56" s="1156"/>
      <c r="Y56" s="1156"/>
      <c r="Z56" s="1156"/>
      <c r="AA56" s="1156"/>
      <c r="AB56" s="1156"/>
      <c r="AC56" s="1157"/>
      <c r="AD56" s="1157"/>
      <c r="AE56" s="1157"/>
      <c r="AF56" s="1157"/>
      <c r="AG56" s="1157"/>
      <c r="AH56" s="1157"/>
      <c r="AI56" s="1157"/>
      <c r="AJ56" s="1157"/>
      <c r="AK56" s="1157"/>
      <c r="AL56" s="1157"/>
      <c r="AM56" s="1157"/>
      <c r="AN56" s="1157"/>
      <c r="AO56" s="1157"/>
      <c r="AP56" s="1157"/>
      <c r="AQ56" s="1157"/>
      <c r="AR56" s="1157"/>
      <c r="AS56" s="1157"/>
      <c r="AT56" s="1157"/>
      <c r="AU56" s="1157"/>
      <c r="AV56" s="1158"/>
    </row>
    <row r="57" spans="1:48" ht="12.75" x14ac:dyDescent="0.2">
      <c r="A57" s="227"/>
      <c r="B57" s="225"/>
      <c r="C57" s="225"/>
      <c r="D57" s="225"/>
      <c r="E57" s="1155"/>
      <c r="F57" s="1155"/>
      <c r="G57" s="1155"/>
      <c r="H57" s="1155"/>
      <c r="I57" s="1155"/>
      <c r="J57" s="1155"/>
      <c r="K57" s="1155"/>
      <c r="L57" s="1155"/>
      <c r="M57" s="1155"/>
      <c r="N57" s="1155"/>
      <c r="O57" s="1155"/>
      <c r="P57" s="1155"/>
      <c r="Q57" s="1156"/>
      <c r="R57" s="1156"/>
      <c r="S57" s="1156"/>
      <c r="T57" s="1156"/>
      <c r="U57" s="1156"/>
      <c r="V57" s="1156"/>
      <c r="W57" s="1156"/>
      <c r="X57" s="1156"/>
      <c r="Y57" s="1156"/>
      <c r="Z57" s="1156"/>
      <c r="AA57" s="1156"/>
      <c r="AB57" s="1156"/>
      <c r="AC57" s="1157"/>
      <c r="AD57" s="1157"/>
      <c r="AE57" s="1157"/>
      <c r="AF57" s="1157"/>
      <c r="AG57" s="1157"/>
      <c r="AH57" s="1157"/>
      <c r="AI57" s="1157"/>
      <c r="AJ57" s="1157"/>
      <c r="AK57" s="1157"/>
      <c r="AL57" s="1157"/>
      <c r="AM57" s="1157"/>
      <c r="AN57" s="1157"/>
      <c r="AO57" s="1157"/>
      <c r="AP57" s="1157"/>
      <c r="AQ57" s="1157"/>
      <c r="AR57" s="1157"/>
      <c r="AS57" s="1157"/>
      <c r="AT57" s="1157"/>
      <c r="AU57" s="1157"/>
      <c r="AV57" s="1158"/>
    </row>
    <row r="58" spans="1:48" ht="12.75" x14ac:dyDescent="0.2">
      <c r="A58" s="231"/>
      <c r="B58" s="232"/>
      <c r="C58" s="232"/>
      <c r="D58" s="232"/>
      <c r="E58" s="232"/>
      <c r="F58" s="232"/>
      <c r="G58" s="1160"/>
      <c r="H58" s="1155"/>
      <c r="I58" s="1155"/>
      <c r="J58" s="1155"/>
      <c r="K58" s="1155"/>
      <c r="L58" s="1155"/>
      <c r="M58" s="1155"/>
      <c r="N58" s="1155"/>
      <c r="O58" s="1155"/>
      <c r="P58" s="1155"/>
      <c r="Q58" s="1155"/>
      <c r="R58" s="1161"/>
      <c r="S58" s="1161"/>
      <c r="T58" s="1161"/>
      <c r="U58" s="1161"/>
      <c r="V58" s="1161"/>
      <c r="W58" s="1161"/>
      <c r="X58" s="1161"/>
      <c r="Y58" s="1161"/>
      <c r="Z58" s="1161"/>
      <c r="AA58" s="1161"/>
      <c r="AB58" s="1161"/>
      <c r="AC58" s="1162"/>
      <c r="AD58" s="1162"/>
      <c r="AE58" s="1162"/>
      <c r="AF58" s="1162"/>
      <c r="AG58" s="1162"/>
      <c r="AH58" s="1162"/>
      <c r="AI58" s="1162"/>
      <c r="AJ58" s="1162"/>
      <c r="AK58" s="1162"/>
      <c r="AL58" s="1162"/>
      <c r="AM58" s="1162"/>
      <c r="AN58" s="1162"/>
      <c r="AO58" s="1162"/>
      <c r="AP58" s="1157"/>
      <c r="AQ58" s="1157"/>
      <c r="AR58" s="1157"/>
      <c r="AS58" s="1157"/>
      <c r="AT58" s="1157"/>
      <c r="AU58" s="1157"/>
      <c r="AV58" s="1158"/>
    </row>
  </sheetData>
  <mergeCells count="1">
    <mergeCell ref="A1:D4"/>
  </mergeCells>
  <conditionalFormatting sqref="A31 S31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C4125"/>
    <outlinePr summaryBelow="0" summaryRight="0"/>
  </sheetPr>
  <dimension ref="A1:AV155"/>
  <sheetViews>
    <sheetView workbookViewId="0"/>
  </sheetViews>
  <sheetFormatPr defaultColWidth="12.5703125" defaultRowHeight="15.75" customHeight="1" x14ac:dyDescent="0.2"/>
  <cols>
    <col min="1" max="1" width="39.5703125" customWidth="1"/>
    <col min="2" max="2" width="46" customWidth="1"/>
    <col min="3" max="3" width="12.5703125" hidden="1"/>
    <col min="4" max="4" width="19.42578125" hidden="1" customWidth="1"/>
    <col min="5" max="6" width="19.42578125" customWidth="1"/>
    <col min="7" max="7" width="20" customWidth="1"/>
    <col min="8" max="10" width="18.28515625" customWidth="1"/>
    <col min="11" max="11" width="18.42578125" customWidth="1"/>
    <col min="12" max="12" width="18.28515625" customWidth="1"/>
    <col min="13" max="13" width="19.28515625" customWidth="1"/>
    <col min="14" max="14" width="19.7109375" customWidth="1"/>
    <col min="15" max="16" width="19.42578125" customWidth="1"/>
    <col min="17" max="17" width="18.5703125" customWidth="1"/>
    <col min="18" max="18" width="19.7109375" customWidth="1"/>
    <col min="19" max="19" width="20" customWidth="1"/>
    <col min="20" max="20" width="18.5703125" customWidth="1"/>
    <col min="21" max="21" width="19.42578125" customWidth="1"/>
    <col min="22" max="22" width="19.5703125" customWidth="1"/>
    <col min="23" max="23" width="19" customWidth="1"/>
    <col min="24" max="24" width="21.28515625" customWidth="1"/>
    <col min="25" max="25" width="20" customWidth="1"/>
    <col min="26" max="26" width="20.42578125" customWidth="1"/>
    <col min="27" max="27" width="21.28515625" customWidth="1"/>
    <col min="28" max="28" width="21.42578125" customWidth="1"/>
    <col min="29" max="29" width="21.85546875" customWidth="1"/>
    <col min="30" max="30" width="17.42578125" customWidth="1"/>
    <col min="31" max="31" width="21.140625" customWidth="1"/>
    <col min="32" max="32" width="21.5703125" customWidth="1"/>
    <col min="33" max="33" width="22" customWidth="1"/>
    <col min="34" max="35" width="21.42578125" customWidth="1"/>
    <col min="36" max="36" width="21.5703125" customWidth="1"/>
    <col min="37" max="37" width="21.42578125" customWidth="1"/>
    <col min="38" max="38" width="22" customWidth="1"/>
    <col min="39" max="39" width="21.42578125" customWidth="1"/>
    <col min="40" max="40" width="21.140625" customWidth="1"/>
    <col min="41" max="41" width="21.42578125" customWidth="1"/>
    <col min="42" max="42" width="21.28515625" customWidth="1"/>
  </cols>
  <sheetData>
    <row r="1" spans="1:48" ht="12.75" x14ac:dyDescent="0.2">
      <c r="A1" s="1452" t="s">
        <v>456</v>
      </c>
      <c r="B1" s="1380"/>
      <c r="C1" s="1380"/>
      <c r="D1" s="1380"/>
      <c r="E1" s="1389"/>
      <c r="F1" s="1240"/>
      <c r="G1" s="1241"/>
      <c r="H1" s="1241"/>
      <c r="I1" s="1241"/>
      <c r="J1" s="1241"/>
      <c r="K1" s="1241"/>
      <c r="L1" s="1241"/>
      <c r="M1" s="1241"/>
      <c r="N1" s="1241"/>
      <c r="O1" s="1241"/>
      <c r="P1" s="1241"/>
      <c r="Q1" s="1241"/>
      <c r="R1" s="1241"/>
      <c r="S1" s="1241"/>
      <c r="T1" s="1241"/>
      <c r="U1" s="1241"/>
      <c r="V1" s="1241"/>
      <c r="W1" s="1241"/>
      <c r="X1" s="1241"/>
      <c r="Y1" s="1241"/>
      <c r="Z1" s="1241"/>
      <c r="AA1" s="1241"/>
      <c r="AB1" s="1241"/>
      <c r="AC1" s="1241"/>
      <c r="AD1" s="1241"/>
      <c r="AE1" s="1241"/>
      <c r="AF1" s="1241"/>
      <c r="AG1" s="1241"/>
      <c r="AH1" s="1241"/>
      <c r="AI1" s="1241"/>
      <c r="AJ1" s="1241"/>
      <c r="AK1" s="1241"/>
      <c r="AL1" s="1241"/>
      <c r="AM1" s="1241"/>
      <c r="AN1" s="1241"/>
      <c r="AO1" s="1241"/>
      <c r="AP1" s="1241"/>
      <c r="AQ1" s="1241"/>
      <c r="AR1" s="1241"/>
      <c r="AS1" s="1241"/>
      <c r="AT1" s="1241"/>
      <c r="AU1" s="1241"/>
      <c r="AV1" s="1242"/>
    </row>
    <row r="2" spans="1:48" ht="12.75" x14ac:dyDescent="0.2">
      <c r="A2" s="1381"/>
      <c r="B2" s="1343"/>
      <c r="C2" s="1343"/>
      <c r="D2" s="1343"/>
      <c r="E2" s="1390"/>
      <c r="F2" s="1243"/>
      <c r="G2" s="1125"/>
      <c r="H2" s="1125"/>
      <c r="I2" s="1125"/>
      <c r="J2" s="1125"/>
      <c r="K2" s="1125"/>
      <c r="L2" s="1125"/>
      <c r="M2" s="1125"/>
      <c r="N2" s="1125"/>
      <c r="O2" s="1125"/>
      <c r="P2" s="1125"/>
      <c r="Q2" s="1125"/>
      <c r="R2" s="1125"/>
      <c r="S2" s="1125"/>
      <c r="T2" s="1125"/>
      <c r="U2" s="1125"/>
      <c r="V2" s="1125"/>
      <c r="W2" s="1125"/>
      <c r="X2" s="1125"/>
      <c r="Y2" s="1125"/>
      <c r="Z2" s="1125"/>
      <c r="AA2" s="1125"/>
      <c r="AB2" s="1125"/>
      <c r="AC2" s="1125"/>
      <c r="AD2" s="1125"/>
      <c r="AE2" s="1125"/>
      <c r="AF2" s="1125"/>
      <c r="AG2" s="1125"/>
      <c r="AH2" s="1125"/>
      <c r="AI2" s="1125"/>
      <c r="AJ2" s="1125"/>
      <c r="AK2" s="1125"/>
      <c r="AL2" s="1125"/>
      <c r="AM2" s="1125"/>
      <c r="AN2" s="1125"/>
      <c r="AO2" s="1125"/>
      <c r="AP2" s="1125"/>
      <c r="AQ2" s="1125"/>
      <c r="AR2" s="1125"/>
      <c r="AS2" s="1125"/>
      <c r="AT2" s="1125"/>
      <c r="AU2" s="1125"/>
      <c r="AV2" s="1126"/>
    </row>
    <row r="3" spans="1:48" ht="12.75" x14ac:dyDescent="0.2">
      <c r="A3" s="1381"/>
      <c r="B3" s="1343"/>
      <c r="C3" s="1343"/>
      <c r="D3" s="1343"/>
      <c r="E3" s="1390"/>
      <c r="F3" s="1243"/>
      <c r="G3" s="1125"/>
      <c r="H3" s="1125"/>
      <c r="I3" s="1125"/>
      <c r="J3" s="1125"/>
      <c r="K3" s="1125"/>
      <c r="L3" s="1125"/>
      <c r="M3" s="1125"/>
      <c r="N3" s="1125"/>
      <c r="O3" s="1125"/>
      <c r="P3" s="1125"/>
      <c r="Q3" s="1125"/>
      <c r="R3" s="1125"/>
      <c r="S3" s="1125"/>
      <c r="T3" s="1125"/>
      <c r="U3" s="1125"/>
      <c r="V3" s="1125"/>
      <c r="W3" s="1125"/>
      <c r="X3" s="1125"/>
      <c r="Y3" s="1125"/>
      <c r="Z3" s="1125"/>
      <c r="AA3" s="1125"/>
      <c r="AB3" s="1125"/>
      <c r="AC3" s="1125"/>
      <c r="AD3" s="1125"/>
      <c r="AE3" s="1125"/>
      <c r="AF3" s="1125"/>
      <c r="AG3" s="1125"/>
      <c r="AH3" s="1125"/>
      <c r="AI3" s="1125"/>
      <c r="AJ3" s="1125"/>
      <c r="AK3" s="1125"/>
      <c r="AL3" s="1125"/>
      <c r="AM3" s="1125"/>
      <c r="AN3" s="1125"/>
      <c r="AO3" s="1125"/>
      <c r="AP3" s="1125"/>
      <c r="AQ3" s="1125"/>
      <c r="AR3" s="1125"/>
      <c r="AS3" s="1125"/>
      <c r="AT3" s="1125"/>
      <c r="AU3" s="1125"/>
      <c r="AV3" s="1126"/>
    </row>
    <row r="4" spans="1:48" ht="12.75" x14ac:dyDescent="0.2">
      <c r="A4" s="1416"/>
      <c r="B4" s="1417"/>
      <c r="C4" s="1417"/>
      <c r="D4" s="1417"/>
      <c r="E4" s="1435"/>
      <c r="F4" s="1244"/>
      <c r="G4" s="725"/>
      <c r="H4" s="725"/>
      <c r="I4" s="725"/>
      <c r="J4" s="725"/>
      <c r="K4" s="725"/>
      <c r="L4" s="725"/>
      <c r="M4" s="725"/>
      <c r="N4" s="725"/>
      <c r="O4" s="725"/>
      <c r="P4" s="725"/>
      <c r="Q4" s="725"/>
      <c r="R4" s="725"/>
      <c r="S4" s="725"/>
      <c r="T4" s="725"/>
      <c r="U4" s="725"/>
      <c r="V4" s="725"/>
      <c r="W4" s="725"/>
      <c r="X4" s="725"/>
      <c r="Y4" s="725"/>
      <c r="Z4" s="725"/>
      <c r="AA4" s="725"/>
      <c r="AB4" s="725"/>
      <c r="AC4" s="725"/>
      <c r="AD4" s="725"/>
      <c r="AE4" s="725"/>
      <c r="AF4" s="725"/>
      <c r="AG4" s="725"/>
      <c r="AH4" s="725"/>
      <c r="AI4" s="725"/>
      <c r="AJ4" s="725"/>
      <c r="AK4" s="725"/>
      <c r="AL4" s="725"/>
      <c r="AM4" s="725"/>
      <c r="AN4" s="725"/>
      <c r="AO4" s="725"/>
      <c r="AP4" s="725"/>
      <c r="AQ4" s="1125"/>
      <c r="AR4" s="1125"/>
      <c r="AS4" s="1125"/>
      <c r="AT4" s="1125"/>
      <c r="AU4" s="1125"/>
      <c r="AV4" s="1126"/>
    </row>
    <row r="5" spans="1:48" ht="12.75" x14ac:dyDescent="0.2">
      <c r="A5" s="1245"/>
      <c r="B5" s="1246"/>
      <c r="C5" s="1247"/>
      <c r="D5" s="1247"/>
      <c r="E5" s="1248" t="s">
        <v>405</v>
      </c>
      <c r="F5" s="1248" t="s">
        <v>406</v>
      </c>
      <c r="G5" s="1248" t="s">
        <v>407</v>
      </c>
      <c r="H5" s="1248" t="s">
        <v>408</v>
      </c>
      <c r="I5" s="1248" t="s">
        <v>409</v>
      </c>
      <c r="J5" s="1248" t="s">
        <v>410</v>
      </c>
      <c r="K5" s="1248" t="s">
        <v>411</v>
      </c>
      <c r="L5" s="1248" t="s">
        <v>412</v>
      </c>
      <c r="M5" s="1248" t="s">
        <v>413</v>
      </c>
      <c r="N5" s="1248" t="s">
        <v>414</v>
      </c>
      <c r="O5" s="1248" t="s">
        <v>415</v>
      </c>
      <c r="P5" s="1248" t="s">
        <v>416</v>
      </c>
      <c r="Q5" s="1248"/>
      <c r="R5" s="1248" t="s">
        <v>417</v>
      </c>
      <c r="S5" s="1248" t="s">
        <v>418</v>
      </c>
      <c r="T5" s="1248" t="s">
        <v>419</v>
      </c>
      <c r="U5" s="1248" t="s">
        <v>420</v>
      </c>
      <c r="V5" s="1248" t="s">
        <v>421</v>
      </c>
      <c r="W5" s="1248" t="s">
        <v>422</v>
      </c>
      <c r="X5" s="1248" t="s">
        <v>423</v>
      </c>
      <c r="Y5" s="1248" t="s">
        <v>424</v>
      </c>
      <c r="Z5" s="1248" t="s">
        <v>425</v>
      </c>
      <c r="AA5" s="1248" t="s">
        <v>426</v>
      </c>
      <c r="AB5" s="1248" t="s">
        <v>427</v>
      </c>
      <c r="AC5" s="1248" t="s">
        <v>428</v>
      </c>
      <c r="AD5" s="1248"/>
      <c r="AE5" s="1248" t="s">
        <v>429</v>
      </c>
      <c r="AF5" s="1248" t="s">
        <v>430</v>
      </c>
      <c r="AG5" s="1248" t="s">
        <v>431</v>
      </c>
      <c r="AH5" s="1248" t="s">
        <v>432</v>
      </c>
      <c r="AI5" s="1248" t="s">
        <v>433</v>
      </c>
      <c r="AJ5" s="1248" t="s">
        <v>434</v>
      </c>
      <c r="AK5" s="1248" t="s">
        <v>435</v>
      </c>
      <c r="AL5" s="1248" t="s">
        <v>436</v>
      </c>
      <c r="AM5" s="1248" t="s">
        <v>437</v>
      </c>
      <c r="AN5" s="1248" t="s">
        <v>438</v>
      </c>
      <c r="AO5" s="1248" t="s">
        <v>439</v>
      </c>
      <c r="AP5" s="1249" t="s">
        <v>440</v>
      </c>
      <c r="AQ5" s="1250"/>
      <c r="AR5" s="1251"/>
      <c r="AS5" s="1251"/>
      <c r="AT5" s="1251"/>
      <c r="AU5" s="1251"/>
      <c r="AV5" s="1252"/>
    </row>
    <row r="6" spans="1:48" ht="15.75" customHeight="1" x14ac:dyDescent="0.25">
      <c r="A6" s="1253"/>
      <c r="B6" s="1254" t="s">
        <v>457</v>
      </c>
      <c r="C6" s="1255"/>
      <c r="D6" s="1255"/>
      <c r="E6" s="1256">
        <f>Parameter!B20</f>
        <v>36000000000</v>
      </c>
      <c r="F6" s="1256">
        <f t="shared" ref="F6:AP6" ca="1" si="0">E40</f>
        <v>35327750000</v>
      </c>
      <c r="G6" s="1256">
        <f t="shared" ca="1" si="0"/>
        <v>39355738095.238098</v>
      </c>
      <c r="H6" s="1256">
        <f t="shared" ca="1" si="0"/>
        <v>38365013913.419914</v>
      </c>
      <c r="I6" s="1256">
        <f t="shared" ca="1" si="0"/>
        <v>37300448087.332954</v>
      </c>
      <c r="J6" s="1256">
        <f t="shared" ca="1" si="0"/>
        <v>15597228609.07209</v>
      </c>
      <c r="K6" s="1256">
        <f t="shared" ca="1" si="0"/>
        <v>11613785180.500656</v>
      </c>
      <c r="L6" s="1256">
        <f t="shared" ca="1" si="0"/>
        <v>9032839180.5006561</v>
      </c>
      <c r="M6" s="1256">
        <f t="shared" ca="1" si="0"/>
        <v>8516244580.5006561</v>
      </c>
      <c r="N6" s="1256">
        <f t="shared" ca="1" si="0"/>
        <v>8135892980.5006561</v>
      </c>
      <c r="O6" s="1256">
        <f t="shared" ca="1" si="0"/>
        <v>7789885780.5006561</v>
      </c>
      <c r="P6" s="1256">
        <f t="shared" ca="1" si="0"/>
        <v>7155799580.5006561</v>
      </c>
      <c r="Q6" s="1256">
        <f t="shared" ca="1" si="0"/>
        <v>6734555380.5006561</v>
      </c>
      <c r="R6" s="1256">
        <f t="shared" ca="1" si="0"/>
        <v>6734555380.5006561</v>
      </c>
      <c r="S6" s="1256">
        <f t="shared" ca="1" si="0"/>
        <v>6118100780.5006561</v>
      </c>
      <c r="T6" s="1256">
        <f t="shared" ca="1" si="0"/>
        <v>5785829180.5006561</v>
      </c>
      <c r="U6" s="1256">
        <f t="shared" ca="1" si="0"/>
        <v>5396734580.5006561</v>
      </c>
      <c r="V6" s="1256">
        <f t="shared" ca="1" si="0"/>
        <v>5428326380.5006552</v>
      </c>
      <c r="W6" s="1256">
        <f t="shared" ca="1" si="0"/>
        <v>19919244380.500652</v>
      </c>
      <c r="X6" s="1256">
        <f t="shared" ca="1" si="0"/>
        <v>19247500180.50066</v>
      </c>
      <c r="Y6" s="1256">
        <f t="shared" ca="1" si="0"/>
        <v>18549161180.500664</v>
      </c>
      <c r="Z6" s="1256">
        <f t="shared" ca="1" si="0"/>
        <v>18291623180.500664</v>
      </c>
      <c r="AA6" s="1256">
        <f t="shared" ca="1" si="0"/>
        <v>18178232180.500664</v>
      </c>
      <c r="AB6" s="1256">
        <f t="shared" ca="1" si="0"/>
        <v>17646491080.500664</v>
      </c>
      <c r="AC6" s="1256">
        <f t="shared" ca="1" si="0"/>
        <v>15755802680.500666</v>
      </c>
      <c r="AD6" s="1256">
        <f t="shared" ca="1" si="0"/>
        <v>15374000880.500668</v>
      </c>
      <c r="AE6" s="1256">
        <f t="shared" ca="1" si="0"/>
        <v>15374000880.500668</v>
      </c>
      <c r="AF6" s="1256">
        <f t="shared" ca="1" si="0"/>
        <v>15217553051.929239</v>
      </c>
      <c r="AG6" s="1256">
        <f t="shared" ca="1" si="0"/>
        <v>16435470951.929241</v>
      </c>
      <c r="AH6" s="1256">
        <f t="shared" ca="1" si="0"/>
        <v>17447225851.929245</v>
      </c>
      <c r="AI6" s="1256">
        <f t="shared" ca="1" si="0"/>
        <v>18952814051.929245</v>
      </c>
      <c r="AJ6" s="1256">
        <f t="shared" ca="1" si="0"/>
        <v>34566424051.929237</v>
      </c>
      <c r="AK6" s="1256">
        <f t="shared" ca="1" si="0"/>
        <v>35642307251.929237</v>
      </c>
      <c r="AL6" s="1256">
        <f t="shared" ca="1" si="0"/>
        <v>36911526751.929237</v>
      </c>
      <c r="AM6" s="1256">
        <f t="shared" ca="1" si="0"/>
        <v>38621214751.929245</v>
      </c>
      <c r="AN6" s="1256">
        <f t="shared" ca="1" si="0"/>
        <v>40562934951.929245</v>
      </c>
      <c r="AO6" s="1256">
        <f t="shared" ca="1" si="0"/>
        <v>42319298251.929245</v>
      </c>
      <c r="AP6" s="1256">
        <f t="shared" ca="1" si="0"/>
        <v>43416231251.929245</v>
      </c>
      <c r="AQ6" s="1257"/>
      <c r="AR6" s="1258"/>
      <c r="AS6" s="1258"/>
      <c r="AT6" s="1258"/>
      <c r="AU6" s="1258"/>
      <c r="AV6" s="1259"/>
    </row>
    <row r="7" spans="1:48" ht="15.75" customHeight="1" x14ac:dyDescent="0.25">
      <c r="A7" s="1444" t="s">
        <v>458</v>
      </c>
      <c r="B7" s="1373"/>
      <c r="C7" s="1260"/>
      <c r="D7" s="1260"/>
      <c r="E7" s="1261"/>
      <c r="F7" s="1261"/>
      <c r="G7" s="1261"/>
      <c r="H7" s="1261"/>
      <c r="I7" s="1261"/>
      <c r="J7" s="1261"/>
      <c r="K7" s="1261"/>
      <c r="L7" s="1261"/>
      <c r="M7" s="1261"/>
      <c r="N7" s="1261"/>
      <c r="O7" s="1261"/>
      <c r="P7" s="1261"/>
      <c r="Q7" s="1261"/>
      <c r="R7" s="1262"/>
      <c r="S7" s="1261"/>
      <c r="T7" s="1261"/>
      <c r="U7" s="1261"/>
      <c r="V7" s="1261"/>
      <c r="W7" s="1261"/>
      <c r="X7" s="1261"/>
      <c r="Y7" s="1261"/>
      <c r="Z7" s="1261"/>
      <c r="AA7" s="1261"/>
      <c r="AB7" s="1261"/>
      <c r="AC7" s="1261"/>
      <c r="AD7" s="1261"/>
      <c r="AE7" s="1262"/>
      <c r="AF7" s="1261"/>
      <c r="AG7" s="1261"/>
      <c r="AH7" s="1261"/>
      <c r="AI7" s="1261"/>
      <c r="AJ7" s="1261"/>
      <c r="AK7" s="1261"/>
      <c r="AL7" s="1261"/>
      <c r="AM7" s="1261"/>
      <c r="AN7" s="1261"/>
      <c r="AO7" s="1261"/>
      <c r="AP7" s="1263"/>
      <c r="AQ7" s="1243"/>
      <c r="AR7" s="1125"/>
      <c r="AS7" s="1125"/>
      <c r="AT7" s="1125"/>
      <c r="AU7" s="1125"/>
      <c r="AV7" s="1126"/>
    </row>
    <row r="8" spans="1:48" ht="15.75" customHeight="1" x14ac:dyDescent="0.25">
      <c r="A8" s="1445" t="s">
        <v>459</v>
      </c>
      <c r="B8" s="1373"/>
      <c r="C8" s="989"/>
      <c r="D8" s="470">
        <f>IF(
    ISBLANK(D5),
    0,
    C8 + 'INCOME STATEMENT'!D10 * Parameter!$B$8 + IF(
        ISBLANK('INCOME STATEMENT'!C6),
        IF(
            ISBLANK('INCOME STATEMENT'!B6),
            0,
            'INCOME STATEMENT'!B10 * Parameter!$B$9 + 'INCOME STATEMENT'!A10 * Parameter!$B$10
        ),
        IF(
            ISBLANK('INCOME STATEMENT'!B6),
            'INCOME STATEMENT'!C10 * Parameter!$B$9 + 'INCOME STATEMENT'!A10 * Parameter!$B$10,
            'INCOME STATEMENT'!C10 * Parameter!$B$9 + 'INCOME STATEMENT'!B10 * Parameter!$B$10
        )
    )
)</f>
        <v>0</v>
      </c>
      <c r="E8" s="470"/>
      <c r="F8" s="470"/>
      <c r="G8" s="470"/>
      <c r="H8" s="470"/>
      <c r="I8" s="989"/>
      <c r="J8" s="989"/>
      <c r="K8" s="989"/>
      <c r="L8" s="989"/>
      <c r="M8" s="989"/>
      <c r="N8" s="989"/>
      <c r="O8" s="989"/>
      <c r="P8" s="989"/>
      <c r="Q8" s="989"/>
      <c r="R8" s="1253"/>
      <c r="S8" s="989"/>
      <c r="T8" s="989"/>
      <c r="U8" s="989"/>
      <c r="V8" s="989"/>
      <c r="W8" s="989"/>
      <c r="X8" s="989"/>
      <c r="Y8" s="989"/>
      <c r="Z8" s="989"/>
      <c r="AA8" s="989"/>
      <c r="AB8" s="989"/>
      <c r="AC8" s="989"/>
      <c r="AD8" s="989"/>
      <c r="AE8" s="1253"/>
      <c r="AF8" s="989"/>
      <c r="AG8" s="989"/>
      <c r="AH8" s="989"/>
      <c r="AI8" s="989"/>
      <c r="AJ8" s="989"/>
      <c r="AK8" s="989"/>
      <c r="AL8" s="989"/>
      <c r="AM8" s="989"/>
      <c r="AN8" s="989"/>
      <c r="AO8" s="989"/>
      <c r="AP8" s="1265"/>
      <c r="AQ8" s="1243"/>
      <c r="AR8" s="1125"/>
      <c r="AS8" s="1125"/>
      <c r="AT8" s="1125"/>
      <c r="AU8" s="1125"/>
      <c r="AV8" s="1126"/>
    </row>
    <row r="9" spans="1:48" ht="15.75" customHeight="1" x14ac:dyDescent="0.25">
      <c r="A9" s="1264"/>
      <c r="B9" s="1266" t="s">
        <v>20</v>
      </c>
      <c r="C9" s="989"/>
      <c r="D9" s="470"/>
      <c r="E9" s="470">
        <f>IF(ISBLANK(E5),0,SUM('Delayed payment'!G21:G22)+D9)</f>
        <v>0</v>
      </c>
      <c r="F9" s="470">
        <f>IF(ISBLANK(F5),0,SUM('Delayed payment'!H21:H22)+E9)</f>
        <v>0</v>
      </c>
      <c r="G9" s="470">
        <f>IF(ISBLANK(G5),0,SUM('Delayed payment'!I21:I22)+F9)</f>
        <v>0</v>
      </c>
      <c r="H9" s="470">
        <f>IF(ISBLANK(H5),0,SUM('Delayed payment'!J21:J22)+G9)</f>
        <v>0</v>
      </c>
      <c r="I9" s="989">
        <f>IF(ISBLANK(I5),0,SUM('Delayed payment'!K21:K22)+H9)</f>
        <v>0</v>
      </c>
      <c r="J9" s="989">
        <f>IF(ISBLANK(J5),0,SUM('Delayed payment'!L21:L22)+I9)</f>
        <v>0</v>
      </c>
      <c r="K9" s="989">
        <f>IF(ISBLANK(K5),0,SUM('Delayed payment'!M21:M22)+J9)</f>
        <v>2199960000</v>
      </c>
      <c r="L9" s="989">
        <f>IF(ISBLANK(L5),0,SUM('Delayed payment'!N21:N22)+K9)</f>
        <v>5866560000</v>
      </c>
      <c r="M9" s="989">
        <f>IF(ISBLANK(M5),0,SUM('Delayed payment'!O21:O22)+L9)</f>
        <v>9643158000</v>
      </c>
      <c r="N9" s="989">
        <f>IF(ISBLANK(N5),0,SUM('Delayed payment'!P21:P22)+M9)</f>
        <v>13493088000</v>
      </c>
      <c r="O9" s="989">
        <f>IF(ISBLANK(O5),0,SUM('Delayed payment'!Q21:Q22)+N9)</f>
        <v>17453016000</v>
      </c>
      <c r="P9" s="989">
        <f>IF(ISBLANK(P5),0,SUM('Delayed payment'!R21:R22)+O9)</f>
        <v>21486276000</v>
      </c>
      <c r="Q9" s="989">
        <f>IF(ISBLANK(Q5),0,SUM('Delayed payment'!S21:S22)+P9)</f>
        <v>0</v>
      </c>
      <c r="R9" s="1253">
        <f>IF(ISBLANK(R5),0,SUM('Delayed payment'!T21:T22)+Q9)</f>
        <v>4033260000</v>
      </c>
      <c r="S9" s="989">
        <f>IF(ISBLANK(S5),0,SUM('Delayed payment'!U21:U22)+R9)</f>
        <v>7736526000</v>
      </c>
      <c r="T9" s="989">
        <f>IF(ISBLANK(T5),0,SUM('Delayed payment'!V21:V22)+S9)</f>
        <v>11219796000</v>
      </c>
      <c r="U9" s="989">
        <f>IF(ISBLANK(U5),0,SUM('Delayed payment'!W21:W22)+T9)</f>
        <v>14703066000</v>
      </c>
      <c r="V9" s="989">
        <f>IF(ISBLANK(V5),0,SUM('Delayed payment'!X21:X22)+U9)</f>
        <v>18626328000</v>
      </c>
      <c r="W9" s="989">
        <f>IF(ISBLANK(W5),0,SUM('Delayed payment'!Y21:Y22)+V9)</f>
        <v>22842918000</v>
      </c>
      <c r="X9" s="989">
        <f>IF(ISBLANK(X5),0,SUM('Delayed payment'!Z21:Z22)+W9)</f>
        <v>27059508000</v>
      </c>
      <c r="Y9" s="989">
        <f>IF(ISBLANK(Y5),0,SUM('Delayed payment'!AA21:AA22)+X9)</f>
        <v>31386096000</v>
      </c>
      <c r="Z9" s="989">
        <f>IF(ISBLANK(Z5),0,SUM('Delayed payment'!AB21:AB22)+Y9)</f>
        <v>35786016000</v>
      </c>
      <c r="AA9" s="989">
        <f>IF(ISBLANK(AA5),0,SUM('Delayed payment'!AC21:AC22)+Z9)</f>
        <v>40185936000</v>
      </c>
      <c r="AB9" s="989">
        <f>IF(ISBLANK(AB5),0,SUM('Delayed payment'!AD21:AD22)+AA9)</f>
        <v>44695854000</v>
      </c>
      <c r="AC9" s="989">
        <f>IF(ISBLANK(AC5),0,SUM('Delayed payment'!AE21:AE22)+AB9)</f>
        <v>50736294000</v>
      </c>
      <c r="AD9" s="989">
        <f>IF(ISBLANK(AD5),0,SUM('Delayed payment'!AF21:AF22)+AC9)</f>
        <v>0</v>
      </c>
      <c r="AE9" s="1253">
        <f>IF(ISBLANK(AE5),0,SUM('Delayed payment'!AG21:AG22)+AD9)</f>
        <v>7011900000</v>
      </c>
      <c r="AF9" s="989">
        <f>IF(ISBLANK(AF5),0,SUM('Delayed payment'!AH21:AH22)+AE9)</f>
        <v>13256649000</v>
      </c>
      <c r="AG9" s="989">
        <f>IF(ISBLANK(AG5),0,SUM('Delayed payment'!AI21:AI22)+AF9)</f>
        <v>18989964000</v>
      </c>
      <c r="AH9" s="989">
        <f>IF(ISBLANK(AH5),0,SUM('Delayed payment'!AJ21:AJ22)+AG9)</f>
        <v>24723279000</v>
      </c>
      <c r="AI9" s="989">
        <f>IF(ISBLANK(AI5),0,SUM('Delayed payment'!AK21:AK22)+AH9)</f>
        <v>31405185000</v>
      </c>
      <c r="AJ9" s="989">
        <f>IF(ISBLANK(AJ5),0,SUM('Delayed payment'!AL21:AL22)+AI9)</f>
        <v>38719485000</v>
      </c>
      <c r="AK9" s="989">
        <f>IF(ISBLANK(AK5),0,SUM('Delayed payment'!AM21:AM22)+AJ9)</f>
        <v>46033785000</v>
      </c>
      <c r="AL9" s="989">
        <f>IF(ISBLANK(AL5),0,SUM('Delayed payment'!AN21:AN22)+AK9)</f>
        <v>53603802000</v>
      </c>
      <c r="AM9" s="989">
        <f>IF(ISBLANK(AM5),0,SUM('Delayed payment'!AO21:AO22)+AL9)</f>
        <v>61344297000</v>
      </c>
      <c r="AN9" s="989">
        <f>IF(ISBLANK(AN5),0,SUM('Delayed payment'!AP21:AP22)+AM9)</f>
        <v>69230511000</v>
      </c>
      <c r="AO9" s="989">
        <f>IF(ISBLANK(AO5),0,SUM('Delayed payment'!AQ21:AQ22)+AN9)</f>
        <v>77323869000</v>
      </c>
      <c r="AP9" s="1265">
        <f>IF(ISBLANK(AP5),0,SUM('Delayed payment'!AR21:AR22)+AO9)</f>
        <v>85490559000</v>
      </c>
      <c r="AQ9" s="1243"/>
      <c r="AR9" s="1125"/>
      <c r="AS9" s="1125"/>
      <c r="AT9" s="1125"/>
      <c r="AU9" s="1125"/>
      <c r="AV9" s="1126"/>
    </row>
    <row r="10" spans="1:48" ht="15.75" customHeight="1" x14ac:dyDescent="0.25">
      <c r="A10" s="1264"/>
      <c r="B10" s="1266" t="s">
        <v>460</v>
      </c>
      <c r="C10" s="989"/>
      <c r="D10" s="470"/>
      <c r="E10" s="470">
        <f>IF(ISBLANK(E5),0,D10+'Delayed payment'!G42)</f>
        <v>0</v>
      </c>
      <c r="F10" s="470">
        <f>IF(ISBLANK(F5),0,E10+'Delayed payment'!H42)</f>
        <v>0</v>
      </c>
      <c r="G10" s="470">
        <f>IF(ISBLANK(G5),0,F10+'Delayed payment'!I42)</f>
        <v>0</v>
      </c>
      <c r="H10" s="470">
        <f>IF(ISBLANK(H5),0,G10+'Delayed payment'!J42)</f>
        <v>0</v>
      </c>
      <c r="I10" s="989">
        <f>IF(ISBLANK(I5),0,H10+'Delayed payment'!K42)</f>
        <v>275370000.00000006</v>
      </c>
      <c r="J10" s="989">
        <f>IF(ISBLANK(J5),0,I10+'Delayed payment'!L42)</f>
        <v>1481370000.0000002</v>
      </c>
      <c r="K10" s="989">
        <f>IF(ISBLANK(K5),0,J10+'Delayed payment'!M42)</f>
        <v>2706465000.0000005</v>
      </c>
      <c r="L10" s="989">
        <f>IF(ISBLANK(L5),0,K10+'Delayed payment'!N42)</f>
        <v>4063215000.000001</v>
      </c>
      <c r="M10" s="989">
        <f>IF(ISBLANK(M5),0,L10+'Delayed payment'!O42)</f>
        <v>5428005000.000001</v>
      </c>
      <c r="N10" s="989">
        <f>IF(ISBLANK(N5),0,M10+'Delayed payment'!P42)</f>
        <v>6850080000.000001</v>
      </c>
      <c r="O10" s="989">
        <f>IF(ISBLANK(O5),0,N10+'Delayed payment'!Q42)</f>
        <v>8272155000.000001</v>
      </c>
      <c r="P10" s="989">
        <f>IF(ISBLANK(P5),0,O10+'Delayed payment'!R42)</f>
        <v>9668100000.0000019</v>
      </c>
      <c r="Q10" s="989">
        <f>IF(ISBLANK(Q5),0,P10+'Delayed payment'!S42)</f>
        <v>0</v>
      </c>
      <c r="R10" s="1253">
        <f>IF(ISBLANK(R5),0,Q10+'Delayed payment'!T42)</f>
        <v>1210020000.0000002</v>
      </c>
      <c r="S10" s="989">
        <f>IF(ISBLANK(S5),0,R10+'Delayed payment'!U42)</f>
        <v>2420040000.0000005</v>
      </c>
      <c r="T10" s="989">
        <f>IF(ISBLANK(T5),0,S10+'Delayed payment'!V42)</f>
        <v>3663225000.000001</v>
      </c>
      <c r="U10" s="989">
        <f>IF(ISBLANK(U5),0,T10+'Delayed payment'!W42)</f>
        <v>5146605000.000001</v>
      </c>
      <c r="V10" s="989">
        <f>IF(ISBLANK(V5),0,U10+'Delayed payment'!X42)</f>
        <v>6629985000.000001</v>
      </c>
      <c r="W10" s="989">
        <f>IF(ISBLANK(W5),0,V10+'Delayed payment'!Y42)</f>
        <v>8120400000.000001</v>
      </c>
      <c r="X10" s="989">
        <f>IF(ISBLANK(X5),0,W10+'Delayed payment'!Z42)</f>
        <v>9660060000.0000019</v>
      </c>
      <c r="Y10" s="989">
        <f>IF(ISBLANK(Y5),0,X10+'Delayed payment'!AA42)</f>
        <v>11199720000.000002</v>
      </c>
      <c r="Z10" s="989">
        <f>IF(ISBLANK(Z5),0,Y10+'Delayed payment'!AB42)</f>
        <v>12746415000.000002</v>
      </c>
      <c r="AA10" s="989">
        <f>IF(ISBLANK(AA5),0,Z10+'Delayed payment'!AC42)</f>
        <v>14469045000.000002</v>
      </c>
      <c r="AB10" s="989">
        <f>IF(ISBLANK(AB5),0,AA10+'Delayed payment'!AD42)</f>
        <v>17277855000.000004</v>
      </c>
      <c r="AC10" s="989">
        <f>IF(ISBLANK(AC5),0,AB10+'Delayed payment'!AE42)</f>
        <v>19826805000.000004</v>
      </c>
      <c r="AD10" s="989">
        <f>IF(ISBLANK(AD5),0,AC10+'Delayed payment'!AF42)</f>
        <v>0</v>
      </c>
      <c r="AE10" s="989">
        <f>IF(ISBLANK(AE5),0,AD10+'Delayed payment'!AG42)</f>
        <v>2240355000.0000005</v>
      </c>
      <c r="AF10" s="989">
        <f>IF(ISBLANK(AF5),0,AE10+'Delayed payment'!AH42)</f>
        <v>4448310000.000001</v>
      </c>
      <c r="AG10" s="989">
        <f>IF(ISBLANK(AG5),0,AF10+'Delayed payment'!AI42)</f>
        <v>6739155000.0000019</v>
      </c>
      <c r="AH10" s="989">
        <f>IF(ISBLANK(AH5),0,AG10+'Delayed payment'!AJ42)</f>
        <v>9638490000.0000019</v>
      </c>
      <c r="AI10" s="989">
        <f>IF(ISBLANK(AI5),0,AH10+'Delayed payment'!AK42)</f>
        <v>12537825000.000002</v>
      </c>
      <c r="AJ10" s="989">
        <f>IF(ISBLANK(AJ5),0,AI10+'Delayed payment'!AL42)</f>
        <v>15452910000.000002</v>
      </c>
      <c r="AK10" s="989">
        <f>IF(ISBLANK(AK5),0,AJ10+'Delayed payment'!AM42)</f>
        <v>18497460000.000004</v>
      </c>
      <c r="AL10" s="989">
        <f>IF(ISBLANK(AL5),0,AK10+'Delayed payment'!AN42)</f>
        <v>21554970000.000004</v>
      </c>
      <c r="AM10" s="989">
        <f>IF(ISBLANK(AM5),0,AL10+'Delayed payment'!AO42)</f>
        <v>24706770000.000004</v>
      </c>
      <c r="AN10" s="989">
        <f>IF(ISBLANK(AN5),0,AM10+'Delayed payment'!AP42)</f>
        <v>27940875000.000004</v>
      </c>
      <c r="AO10" s="989">
        <f>IF(ISBLANK(AO5),0,AN10+'Delayed payment'!AQ42)</f>
        <v>31186485000.000004</v>
      </c>
      <c r="AP10" s="1265">
        <f>IF(ISBLANK(AP5),0,AO10+'Delayed payment'!AR42)</f>
        <v>34049655000.000004</v>
      </c>
      <c r="AQ10" s="1243"/>
      <c r="AR10" s="1125"/>
      <c r="AS10" s="1125"/>
      <c r="AT10" s="1125"/>
      <c r="AU10" s="1125"/>
      <c r="AV10" s="1126"/>
    </row>
    <row r="11" spans="1:48" ht="15.75" customHeight="1" x14ac:dyDescent="0.25">
      <c r="A11" s="1264"/>
      <c r="B11" s="1266" t="s">
        <v>461</v>
      </c>
      <c r="C11" s="989"/>
      <c r="D11" s="470"/>
      <c r="E11" s="470">
        <f>IF(ISBLANK(E5),0,D11-SUMPRODUCT(Parameter!$B$65:$B$66,'Operations plan'!E107:E108))</f>
        <v>0</v>
      </c>
      <c r="F11" s="470">
        <f>IF(ISBLANK(F5),0,E11-SUMPRODUCT(Parameter!$B$65:$B$66,'Operations plan'!F107:F108))</f>
        <v>0</v>
      </c>
      <c r="G11" s="470">
        <f>IF(ISBLANK(G5),0,F11-SUMPRODUCT(Parameter!$B$65:$B$66,'Operations plan'!G107:G108))</f>
        <v>0</v>
      </c>
      <c r="H11" s="470">
        <f>IF(ISBLANK(H5),0,G11-SUMPRODUCT(Parameter!$B$65:$B$66,'Operations plan'!H107:H108))</f>
        <v>0</v>
      </c>
      <c r="I11" s="989">
        <f>IF(ISBLANK(I5),0,H11-SUMPRODUCT(Parameter!$B$65:$B$66,'Operations plan'!I107:I108))</f>
        <v>0</v>
      </c>
      <c r="J11" s="989">
        <f>IF(ISBLANK(J5),0,I11-SUMPRODUCT(Parameter!$B$65:$B$66,'Operations plan'!J107:J108))</f>
        <v>0</v>
      </c>
      <c r="K11" s="989">
        <f>IF(ISBLANK(K5),0,J11-SUMPRODUCT(Parameter!$B$65:$B$66,'Operations plan'!K107:K108))</f>
        <v>0</v>
      </c>
      <c r="L11" s="989">
        <f>IF(ISBLANK(L5),0,K11-SUMPRODUCT(Parameter!$B$65:$B$66,'Operations plan'!L107:L108))</f>
        <v>0</v>
      </c>
      <c r="M11" s="989">
        <f>IF(ISBLANK(M5),0,L11-SUMPRODUCT(Parameter!$B$65:$B$66,'Operations plan'!M107:M108))</f>
        <v>0</v>
      </c>
      <c r="N11" s="989">
        <f>IF(ISBLANK(N5),0,M11-SUMPRODUCT(Parameter!$B$65:$B$66,'Operations plan'!N107:N108))</f>
        <v>0</v>
      </c>
      <c r="O11" s="989">
        <f>IF(ISBLANK(O5),0,N11-SUMPRODUCT(Parameter!$B$65:$B$66,'Operations plan'!O107:O108))</f>
        <v>0</v>
      </c>
      <c r="P11" s="989">
        <f>IF(ISBLANK(P5),0,O11-SUMPRODUCT(Parameter!$B$65:$B$66,'Operations plan'!P107:P108))</f>
        <v>87100000</v>
      </c>
      <c r="Q11" s="989">
        <f>IF(ISBLANK(Q5),0,P11-SUMPRODUCT(Parameter!$B$65:$B$66,'Operations plan'!Q107:Q108))</f>
        <v>0</v>
      </c>
      <c r="R11" s="1253">
        <f>IF(ISBLANK(R5),0,Q11-SUMPRODUCT(Parameter!$B$65:$B$66,'Operations plan'!R107:R108))</f>
        <v>0</v>
      </c>
      <c r="S11" s="989">
        <f>IF(ISBLANK(S5),0,R11-SUMPRODUCT(Parameter!$B$65:$B$66,'Operations plan'!S107:S108))</f>
        <v>0</v>
      </c>
      <c r="T11" s="989">
        <f>IF(ISBLANK(T5),0,S11-SUMPRODUCT(Parameter!$B$65:$B$66,'Operations plan'!T107:T108))</f>
        <v>0</v>
      </c>
      <c r="U11" s="989">
        <f>IF(ISBLANK(U5),0,T11-SUMPRODUCT(Parameter!$B$65:$B$66,'Operations plan'!U107:U108))</f>
        <v>0</v>
      </c>
      <c r="V11" s="989">
        <f>IF(ISBLANK(V5),0,U11-SUMPRODUCT(Parameter!$B$65:$B$66,'Operations plan'!V107:V108))</f>
        <v>0</v>
      </c>
      <c r="W11" s="989">
        <f>IF(ISBLANK(W5),0,V11-SUMPRODUCT(Parameter!$B$65:$B$66,'Operations plan'!W107:W108))</f>
        <v>0</v>
      </c>
      <c r="X11" s="989">
        <f>IF(ISBLANK(X5),0,W11-SUMPRODUCT(Parameter!$B$65:$B$66,'Operations plan'!X107:X108))</f>
        <v>0</v>
      </c>
      <c r="Y11" s="989">
        <f>IF(ISBLANK(Y5),0,X11-SUMPRODUCT(Parameter!$B$65:$B$66,'Operations plan'!Y107:Y108))</f>
        <v>0</v>
      </c>
      <c r="Z11" s="989">
        <f>IF(ISBLANK(Z5),0,Y11-SUMPRODUCT(Parameter!$B$65:$B$66,'Operations plan'!Z107:Z108))</f>
        <v>0</v>
      </c>
      <c r="AA11" s="989">
        <f>IF(ISBLANK(AA5),0,Z11-SUMPRODUCT(Parameter!$B$65:$B$66,'Operations plan'!AA107:AA108))</f>
        <v>0</v>
      </c>
      <c r="AB11" s="989">
        <f>IF(ISBLANK(AB5),0,AA11-SUMPRODUCT(Parameter!$B$65:$B$66,'Operations plan'!AB107:AB108))</f>
        <v>0</v>
      </c>
      <c r="AC11" s="989">
        <f>IF(ISBLANK(AC5),0,AB11-SUMPRODUCT(Parameter!$B$65:$B$66,'Operations plan'!AC107:AC108))</f>
        <v>126950000</v>
      </c>
      <c r="AD11" s="989">
        <f>IF(ISBLANK(AD5),0,AC11-SUMPRODUCT(Parameter!$B$65:$B$66,'Operations plan'!AD107:AD108))</f>
        <v>0</v>
      </c>
      <c r="AE11" s="1253">
        <f>IF(ISBLANK(AE5),0,AD11-SUMPRODUCT(Parameter!$B$65:$B$66,'Operations plan'!AE107:AE108))</f>
        <v>0</v>
      </c>
      <c r="AF11" s="989">
        <f>IF(ISBLANK(AF5),0,AE11-SUMPRODUCT(Parameter!$B$65:$B$66,'Operations plan'!AF107:AF108))</f>
        <v>0</v>
      </c>
      <c r="AG11" s="989">
        <f>IF(ISBLANK(AG5),0,AF11-SUMPRODUCT(Parameter!$B$65:$B$66,'Operations plan'!AG107:AG108))</f>
        <v>0</v>
      </c>
      <c r="AH11" s="989">
        <f>IF(ISBLANK(AH5),0,AG11-SUMPRODUCT(Parameter!$B$65:$B$66,'Operations plan'!AH107:AH108))</f>
        <v>0</v>
      </c>
      <c r="AI11" s="989">
        <f>IF(ISBLANK(AI5),0,AH11-SUMPRODUCT(Parameter!$B$65:$B$66,'Operations plan'!AI107:AI108))</f>
        <v>0</v>
      </c>
      <c r="AJ11" s="989">
        <f>IF(ISBLANK(AJ5),0,AI11-SUMPRODUCT(Parameter!$B$65:$B$66,'Operations plan'!AJ107:AJ108))</f>
        <v>0</v>
      </c>
      <c r="AK11" s="989">
        <f>IF(ISBLANK(AK5),0,AJ11-SUMPRODUCT(Parameter!$B$65:$B$66,'Operations plan'!AK107:AK108))</f>
        <v>0</v>
      </c>
      <c r="AL11" s="989">
        <f>IF(ISBLANK(AL5),0,AK11-SUMPRODUCT(Parameter!$B$65:$B$66,'Operations plan'!AL107:AL108))</f>
        <v>0</v>
      </c>
      <c r="AM11" s="989">
        <f>IF(ISBLANK(AM5),0,AL11-SUMPRODUCT(Parameter!$B$65:$B$66,'Operations plan'!AM107:AM108))</f>
        <v>0</v>
      </c>
      <c r="AN11" s="989">
        <f>IF(ISBLANK(AN5),0,AM11-SUMPRODUCT(Parameter!$B$65:$B$66,'Operations plan'!AN107:AN108))</f>
        <v>0</v>
      </c>
      <c r="AO11" s="989">
        <f>IF(ISBLANK(AO5),0,AN11-SUMPRODUCT(Parameter!$B$65:$B$66,'Operations plan'!AO107:AO108))</f>
        <v>0</v>
      </c>
      <c r="AP11" s="1265">
        <f>IF(ISBLANK(AP5),0,AO11-SUMPRODUCT(Parameter!$B$65:$B$66,'Operations plan'!AP107:AP108))</f>
        <v>1320600000</v>
      </c>
      <c r="AQ11" s="1243"/>
      <c r="AR11" s="1125"/>
      <c r="AS11" s="1125"/>
      <c r="AT11" s="1125"/>
      <c r="AU11" s="1125"/>
      <c r="AV11" s="1126"/>
    </row>
    <row r="12" spans="1:48" ht="15.75" customHeight="1" x14ac:dyDescent="0.25">
      <c r="A12" s="1264"/>
      <c r="B12" s="1266" t="s">
        <v>462</v>
      </c>
      <c r="C12" s="989"/>
      <c r="D12" s="470"/>
      <c r="E12" s="470">
        <f>IF(ISBLANK(E5),0,'Delayed payment'!G20+'Operations plan'!E27+D12)</f>
        <v>0</v>
      </c>
      <c r="F12" s="470">
        <f>IF(ISBLANK(F5),0,'Delayed payment'!H20+'Operations plan'!F27+E12)</f>
        <v>0</v>
      </c>
      <c r="G12" s="470">
        <f>IF(ISBLANK(G5),0,'Delayed payment'!I20+'Operations plan'!G27+F12)</f>
        <v>0</v>
      </c>
      <c r="H12" s="470">
        <f>IF(ISBLANK(H5),0,'Delayed payment'!J20+'Operations plan'!H27+G12)</f>
        <v>0</v>
      </c>
      <c r="I12" s="989">
        <f>IF(ISBLANK(I5),0,'Delayed payment'!K20+'Operations plan'!I27+H12)</f>
        <v>0</v>
      </c>
      <c r="J12" s="989">
        <f>IF(ISBLANK(J5),0,'Delayed payment'!L20+'Operations plan'!J27+I12)</f>
        <v>3666600000</v>
      </c>
      <c r="K12" s="989">
        <f>IF(ISBLANK(K5),0,'Delayed payment'!M20+'Operations plan'!K27+J12)</f>
        <v>7333200000</v>
      </c>
      <c r="L12" s="989">
        <f>IF(ISBLANK(L5),0,'Delayed payment'!N20+'Operations plan'!L27+K12)</f>
        <v>11794230000</v>
      </c>
      <c r="M12" s="989">
        <f>IF(ISBLANK(M5),0,'Delayed payment'!O20+'Operations plan'!M27+L12)</f>
        <v>16255260000</v>
      </c>
      <c r="N12" s="989">
        <f>IF(ISBLANK(N5),0,'Delayed payment'!P20+'Operations plan'!N27+M12)</f>
        <v>20933570000</v>
      </c>
      <c r="O12" s="989">
        <f>IF(ISBLANK(O5),0,'Delayed payment'!Q20+'Operations plan'!O27+N12)</f>
        <v>25611880000</v>
      </c>
      <c r="P12" s="989">
        <f>IF(ISBLANK(P5),0,'Delayed payment'!R20+'Operations plan'!P27+O12)</f>
        <v>30290190000</v>
      </c>
      <c r="Q12" s="989">
        <f>IF(ISBLANK(Q5),0,'Delayed payment'!S20+'Operations plan'!Q27+P12)</f>
        <v>0</v>
      </c>
      <c r="R12" s="1253">
        <f>IF(ISBLANK(R5),0,'Delayed payment'!T20+'Operations plan'!R27+Q12)</f>
        <v>3917830000</v>
      </c>
      <c r="S12" s="989">
        <f>IF(ISBLANK(S5),0,'Delayed payment'!U20+'Operations plan'!S27+R12)</f>
        <v>7835660000</v>
      </c>
      <c r="T12" s="989">
        <f>IF(ISBLANK(T5),0,'Delayed payment'!V20+'Operations plan'!T27+S12)</f>
        <v>11753490000</v>
      </c>
      <c r="U12" s="989">
        <f>IF(ISBLANK(U5),0,'Delayed payment'!W20+'Operations plan'!U27+T12)</f>
        <v>16621920000</v>
      </c>
      <c r="V12" s="989">
        <f>IF(ISBLANK(V5),0,'Delayed payment'!X20+'Operations plan'!V27+U12)</f>
        <v>21490350000</v>
      </c>
      <c r="W12" s="989">
        <f>IF(ISBLANK(W5),0,'Delayed payment'!Y20+'Operations plan'!W27+V12)</f>
        <v>26358780000</v>
      </c>
      <c r="X12" s="989">
        <f>IF(ISBLANK(X5),0,'Delayed payment'!Z20+'Operations plan'!X27+W12)</f>
        <v>31383380000</v>
      </c>
      <c r="Y12" s="989">
        <f>IF(ISBLANK(Y5),0,'Delayed payment'!AA20+'Operations plan'!Y27+X12)</f>
        <v>36407980000</v>
      </c>
      <c r="Z12" s="989">
        <f>IF(ISBLANK(Z5),0,'Delayed payment'!AB20+'Operations plan'!Z27+Y12)</f>
        <v>41432580000</v>
      </c>
      <c r="AA12" s="989">
        <f>IF(ISBLANK(AA5),0,'Delayed payment'!AC20+'Operations plan'!AA27+Z12)</f>
        <v>46674460000</v>
      </c>
      <c r="AB12" s="989">
        <f>IF(ISBLANK(AB5),0,'Delayed payment'!AD20+'Operations plan'!AB27+AA12)</f>
        <v>54378940000</v>
      </c>
      <c r="AC12" s="989">
        <f>IF(ISBLANK(AC5),0,'Delayed payment'!AE20+'Operations plan'!AC27+AB12)</f>
        <v>62117370000</v>
      </c>
      <c r="AD12" s="989">
        <f>IF(ISBLANK(AD5),0,'Delayed payment'!AF20+'Operations plan'!AD27+AC12)</f>
        <v>0</v>
      </c>
      <c r="AE12" s="1253">
        <f>IF(ISBLANK(AE5),0,'Delayed payment'!AG20+'Operations plan'!AE27+AD12)</f>
        <v>7114905000</v>
      </c>
      <c r="AF12" s="989">
        <f>IF(ISBLANK(AF5),0,'Delayed payment'!AH20+'Operations plan'!AF27+AE12)</f>
        <v>14049910000</v>
      </c>
      <c r="AG12" s="989">
        <f>IF(ISBLANK(AG5),0,'Delayed payment'!AI20+'Operations plan'!AG27+AF12)</f>
        <v>20984915000</v>
      </c>
      <c r="AH12" s="989">
        <f>IF(ISBLANK(AH5),0,'Delayed payment'!AJ20+'Operations plan'!AH27+AG12)</f>
        <v>30015195000</v>
      </c>
      <c r="AI12" s="989">
        <f>IF(ISBLANK(AI5),0,'Delayed payment'!AK20+'Operations plan'!AI27+AH12)</f>
        <v>39045475000</v>
      </c>
      <c r="AJ12" s="989">
        <f>IF(ISBLANK(AJ5),0,'Delayed payment'!AL20+'Operations plan'!AJ27+AI12)</f>
        <v>48075755000</v>
      </c>
      <c r="AK12" s="989">
        <f>IF(ISBLANK(AK5),0,'Delayed payment'!AM20+'Operations plan'!AK27+AJ12)</f>
        <v>57453130000</v>
      </c>
      <c r="AL12" s="989">
        <f>IF(ISBLANK(AL5),0,'Delayed payment'!AN20+'Operations plan'!AL27+AK12)</f>
        <v>66830505000</v>
      </c>
      <c r="AM12" s="989">
        <f>IF(ISBLANK(AM5),0,'Delayed payment'!AO20+'Operations plan'!AM27+AL12)</f>
        <v>76450745000</v>
      </c>
      <c r="AN12" s="989">
        <f>IF(ISBLANK(AN5),0,'Delayed payment'!AP20+'Operations plan'!AN27+AM12)</f>
        <v>86430505000</v>
      </c>
      <c r="AO12" s="989">
        <f>IF(ISBLANK(AO5),0,'Delayed payment'!AQ20+'Operations plan'!AO27+AN12)</f>
        <v>96498185000</v>
      </c>
      <c r="AP12" s="1265">
        <f>IF(ISBLANK(AP5),0,'Delayed payment'!AR20+'Operations plan'!AP27+AO12)</f>
        <v>106653785000</v>
      </c>
      <c r="AQ12" s="1243"/>
      <c r="AR12" s="1125"/>
      <c r="AS12" s="1125"/>
      <c r="AT12" s="1125"/>
      <c r="AU12" s="1125"/>
      <c r="AV12" s="1126"/>
    </row>
    <row r="13" spans="1:48" ht="15.75" customHeight="1" x14ac:dyDescent="0.25">
      <c r="A13" s="1445" t="s">
        <v>463</v>
      </c>
      <c r="B13" s="1373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989"/>
      <c r="O13" s="989"/>
      <c r="P13" s="989"/>
      <c r="Q13" s="989"/>
      <c r="R13" s="1253"/>
      <c r="S13" s="989"/>
      <c r="T13" s="989"/>
      <c r="U13" s="989"/>
      <c r="V13" s="989"/>
      <c r="W13" s="989"/>
      <c r="X13" s="989"/>
      <c r="Y13" s="989"/>
      <c r="Z13" s="989"/>
      <c r="AA13" s="989"/>
      <c r="AB13" s="989"/>
      <c r="AC13" s="989"/>
      <c r="AD13" s="989"/>
      <c r="AE13" s="1253"/>
      <c r="AF13" s="989"/>
      <c r="AG13" s="989"/>
      <c r="AH13" s="989"/>
      <c r="AI13" s="989"/>
      <c r="AJ13" s="989"/>
      <c r="AK13" s="989"/>
      <c r="AL13" s="989"/>
      <c r="AM13" s="989"/>
      <c r="AN13" s="989"/>
      <c r="AO13" s="989"/>
      <c r="AP13" s="1265"/>
      <c r="AQ13" s="1243"/>
      <c r="AR13" s="1125"/>
      <c r="AS13" s="1125"/>
      <c r="AT13" s="1125"/>
      <c r="AU13" s="1125"/>
      <c r="AV13" s="1126"/>
    </row>
    <row r="14" spans="1:48" ht="15.75" customHeight="1" x14ac:dyDescent="0.25">
      <c r="A14" s="1253"/>
      <c r="B14" s="1266" t="s">
        <v>464</v>
      </c>
      <c r="C14" s="989"/>
      <c r="D14" s="989"/>
      <c r="E14" s="470">
        <f>IF(ISBLANK(E5),0,-SUMPRODUCT(Parameter!$B$65:$B$66,+'Operations plan'!E104:E105)+D14-'Delayed payment'!F42)</f>
        <v>0</v>
      </c>
      <c r="F14" s="470">
        <f>IF(ISBLANK(F5),0,-SUMPRODUCT(Parameter!$B$65:$B$66,+'Operations plan'!F104:F105)+E14-'Delayed payment'!G42)</f>
        <v>0</v>
      </c>
      <c r="G14" s="470">
        <f>IF(ISBLANK(G5),0,-SUMPRODUCT(Parameter!$B$65:$B$66,+'Operations plan'!G104:G105)+F14-'Delayed payment'!H42)</f>
        <v>0</v>
      </c>
      <c r="H14" s="470">
        <f>IF(ISBLANK(H5),0,-SUMPRODUCT(Parameter!$B$65:$B$66,+'Operations plan'!H104:H105)+G14-'Delayed payment'!I42)</f>
        <v>0</v>
      </c>
      <c r="I14" s="989">
        <f>IF(ISBLANK(I5),0,-SUMPRODUCT(Parameter!$B$65:$B$66,+'Operations plan'!I104:I105)+H14-'Delayed payment'!J42)</f>
        <v>-917900000</v>
      </c>
      <c r="J14" s="989">
        <f>IF(ISBLANK(J5),0,-SUMPRODUCT(Parameter!$B$65:$B$66,+'Operations plan'!J104:J105)+I14-'Delayed payment'!K42)</f>
        <v>-1193270000</v>
      </c>
      <c r="K14" s="989">
        <f>IF(ISBLANK(K5),0,-SUMPRODUCT(Parameter!$B$65:$B$66,+'Operations plan'!K104:K105)+J14-'Delayed payment'!L42)</f>
        <v>-2462920000</v>
      </c>
      <c r="L14" s="989">
        <f>IF(ISBLANK(L5),0,-SUMPRODUCT(Parameter!$B$65:$B$66,+'Operations plan'!L104:L105)+K14-'Delayed payment'!M42)</f>
        <v>-3688015000</v>
      </c>
      <c r="M14" s="989">
        <f>IF(ISBLANK(M5),0,-SUMPRODUCT(Parameter!$B$65:$B$66,+'Operations plan'!M104:M105)+L14-'Delayed payment'!N42)</f>
        <v>-5071565000</v>
      </c>
      <c r="N14" s="989">
        <f>IF(ISBLANK(N5),0,-SUMPRODUCT(Parameter!$B$65:$B$66,+'Operations plan'!N104:N105)+M14-'Delayed payment'!O42)</f>
        <v>-6436355000</v>
      </c>
      <c r="O14" s="989">
        <f>IF(ISBLANK(O5),0,-SUMPRODUCT(Parameter!$B$65:$B$66,+'Operations plan'!O104:O105)+N14-'Delayed payment'!P42)</f>
        <v>-7858430000</v>
      </c>
      <c r="P14" s="989">
        <f>IF(ISBLANK(P5),0,-SUMPRODUCT(Parameter!$B$65:$B$66,+'Operations plan'!P104:P105)+O14-'Delayed payment'!Q42)</f>
        <v>-9280505000</v>
      </c>
      <c r="Q14" s="989">
        <f>IF(ISBLANK(Q5),0,-SUMPRODUCT(Parameter!$B$65:$B$66,+'Operations plan'!Q104:Q105)+P14-'Delayed payment'!R42)</f>
        <v>0</v>
      </c>
      <c r="R14" s="1253">
        <f>IF(ISBLANK(R5),0,-SUMPRODUCT(Parameter!$B$65:$B$66,+'Operations plan'!R104:R105)+Q14-'Delayed payment'!S42)</f>
        <v>-1395945000.0000002</v>
      </c>
      <c r="S14" s="989">
        <f>IF(ISBLANK(S5),0,-SUMPRODUCT(Parameter!$B$65:$B$66,+'Operations plan'!S104:S105)+R14-'Delayed payment'!T42)</f>
        <v>-2605965000.0000005</v>
      </c>
      <c r="T14" s="989">
        <f>IF(ISBLANK(T5),0,-SUMPRODUCT(Parameter!$B$65:$B$66,+'Operations plan'!T104:T105)+S14-'Delayed payment'!U42)</f>
        <v>-3926535000.000001</v>
      </c>
      <c r="U14" s="989">
        <f>IF(ISBLANK(U5),0,-SUMPRODUCT(Parameter!$B$65:$B$66,+'Operations plan'!U104:U105)+T14-'Delayed payment'!V42)</f>
        <v>-5169720000.000001</v>
      </c>
      <c r="V14" s="989">
        <f>IF(ISBLANK(V5),0,-SUMPRODUCT(Parameter!$B$65:$B$66,+'Operations plan'!V104:V105)+U14-'Delayed payment'!W42)</f>
        <v>-6653100000.000001</v>
      </c>
      <c r="W14" s="989">
        <f>IF(ISBLANK(W5),0,-SUMPRODUCT(Parameter!$B$65:$B$66,+'Operations plan'!W104:W105)+V14-'Delayed payment'!X42)</f>
        <v>-8159930000.000001</v>
      </c>
      <c r="X14" s="989">
        <f>IF(ISBLANK(X5),0,-SUMPRODUCT(Parameter!$B$65:$B$66,+'Operations plan'!X104:X105)+W14-'Delayed payment'!Y42)</f>
        <v>-9650345000.0000019</v>
      </c>
      <c r="Y14" s="989">
        <f>IF(ISBLANK(Y5),0,-SUMPRODUCT(Parameter!$B$65:$B$66,+'Operations plan'!Y104:Y105)+X14-'Delayed payment'!Z42)</f>
        <v>-11190005000.000002</v>
      </c>
      <c r="Z14" s="989">
        <f>IF(ISBLANK(Z5),0,-SUMPRODUCT(Parameter!$B$65:$B$66,+'Operations plan'!Z104:Z105)+Y14-'Delayed payment'!AA42)</f>
        <v>-12753115000.000002</v>
      </c>
      <c r="AA14" s="989">
        <f>IF(ISBLANK(AA5),0,-SUMPRODUCT(Parameter!$B$65:$B$66,+'Operations plan'!AA104:AA105)+Z14-'Delayed payment'!AB42)</f>
        <v>-14691960000.000002</v>
      </c>
      <c r="AB14" s="989">
        <f>IF(ISBLANK(AB5),0,-SUMPRODUCT(Parameter!$B$65:$B$66,+'Operations plan'!AB104:AB105)+AA14-'Delayed payment'!AC42)</f>
        <v>-17170590000.000002</v>
      </c>
      <c r="AC14" s="989">
        <f>IF(ISBLANK(AC5),0,-SUMPRODUCT(Parameter!$B$65:$B$66,+'Operations plan'!AC104:AC105)+AB14-'Delayed payment'!AD42)</f>
        <v>-19979400000.000004</v>
      </c>
      <c r="AD14" s="989">
        <f>IF(ISBLANK(AD5),0,-SUMPRODUCT(Parameter!$B$65:$B$66,+'Operations plan'!AD104:AD105)+AC14-'Delayed payment'!AE42)</f>
        <v>0</v>
      </c>
      <c r="AE14" s="1253">
        <f>IF(ISBLANK(AE5),0,-SUMPRODUCT(Parameter!$B$65:$B$66,+'Operations plan'!AE104:AE105)+AD14-'Delayed payment'!AF42)</f>
        <v>-2548950000.0000005</v>
      </c>
      <c r="AF14" s="989">
        <f>IF(ISBLANK(AF5),0,-SUMPRODUCT(Parameter!$B$65:$B$66,+'Operations plan'!AF104:AF105)+AE14-'Delayed payment'!AG42)</f>
        <v>-4789305000.000001</v>
      </c>
      <c r="AG14" s="989">
        <f>IF(ISBLANK(AG5),0,-SUMPRODUCT(Parameter!$B$65:$B$66,+'Operations plan'!AG104:AG105)+AF14-'Delayed payment'!AH42)</f>
        <v>-7273560000.0000019</v>
      </c>
      <c r="AH14" s="989">
        <f>IF(ISBLANK(AH5),0,-SUMPRODUCT(Parameter!$B$65:$B$66,+'Operations plan'!AH104:AH105)+AG14-'Delayed payment'!AI42)</f>
        <v>-9564405000.0000019</v>
      </c>
      <c r="AI14" s="989">
        <f>IF(ISBLANK(AI5),0,-SUMPRODUCT(Parameter!$B$65:$B$66,+'Operations plan'!AI104:AI105)+AH14-'Delayed payment'!AJ42)</f>
        <v>-12463740000.000002</v>
      </c>
      <c r="AJ14" s="989">
        <f>IF(ISBLANK(AJ5),0,-SUMPRODUCT(Parameter!$B$65:$B$66,+'Operations plan'!AJ104:AJ105)+AI14-'Delayed payment'!AK42)</f>
        <v>-15415575000.000002</v>
      </c>
      <c r="AK14" s="989">
        <f>IF(ISBLANK(AK5),0,-SUMPRODUCT(Parameter!$B$65:$B$66,+'Operations plan'!AK104:AK105)+AJ14-'Delayed payment'!AL42)</f>
        <v>-18330660000.000004</v>
      </c>
      <c r="AL14" s="989">
        <f>IF(ISBLANK(AL5),0,-SUMPRODUCT(Parameter!$B$65:$B$66,+'Operations plan'!AL104:AL105)+AK14-'Delayed payment'!AM42)</f>
        <v>-21418410000.000004</v>
      </c>
      <c r="AM14" s="989">
        <f>IF(ISBLANK(AM5),0,-SUMPRODUCT(Parameter!$B$65:$B$66,+'Operations plan'!AM104:AM105)+AL14-'Delayed payment'!AN42)</f>
        <v>-24509420000.000004</v>
      </c>
      <c r="AN14" s="989">
        <f>IF(ISBLANK(AN5),0,-SUMPRODUCT(Parameter!$B$65:$B$66,+'Operations plan'!AN104:AN105)+AM14-'Delayed payment'!AO42)</f>
        <v>-27675370000.000004</v>
      </c>
      <c r="AO14" s="989">
        <f>IF(ISBLANK(AO5),0,-SUMPRODUCT(Parameter!$B$65:$B$66,+'Operations plan'!AO104:AO105)+AN14-'Delayed payment'!AP42)</f>
        <v>-30912825000.000004</v>
      </c>
      <c r="AP14" s="1265">
        <f>IF(ISBLANK(AP5),0,-SUMPRODUCT(Parameter!$B$65:$B$66,+'Operations plan'!AP104:AP105)+AO14-'Delayed payment'!AQ42)</f>
        <v>-34158435000.000004</v>
      </c>
      <c r="AQ14" s="1243"/>
      <c r="AR14" s="1125"/>
      <c r="AS14" s="1125"/>
      <c r="AT14" s="1125"/>
      <c r="AU14" s="1125"/>
      <c r="AV14" s="1126"/>
    </row>
    <row r="15" spans="1:48" ht="15.75" customHeight="1" x14ac:dyDescent="0.25">
      <c r="A15" s="1253"/>
      <c r="B15" s="1266" t="s">
        <v>465</v>
      </c>
      <c r="C15" s="989"/>
      <c r="D15" s="989"/>
      <c r="E15" s="470">
        <f ca="1">IF(ISBLANK(E5),0,D15-(Expenses!E38+Expenses!E12-Expenses!E10-Expenses!E8-Expenses!E31))</f>
        <v>-672250000</v>
      </c>
      <c r="F15" s="470">
        <f ca="1">IF(ISBLANK(F5),0,E15-(Expenses!F38+Expenses!F12-Expenses!F10-Expenses!F8-Expenses!F31))</f>
        <v>-1044500000</v>
      </c>
      <c r="G15" s="470">
        <f ca="1">IF(ISBLANK(G5),0,F15-(Expenses!G38+Expenses!G12-Expenses!G10-Expenses!G8-Expenses!G31))</f>
        <v>-1515405999.9999998</v>
      </c>
      <c r="H15" s="470">
        <f ca="1">IF(ISBLANK(H5),0,G15-(Expenses!H38+Expenses!H12-Expenses!H10-Expenses!H8-Expenses!H31))</f>
        <v>-1927623999.9999995</v>
      </c>
      <c r="I15" s="989">
        <f ca="1">IF(ISBLANK(I5),0,H15-(Expenses!I38+Expenses!I12-Expenses!I10-Expenses!I8-Expenses!I31))</f>
        <v>-2370269999.9999995</v>
      </c>
      <c r="J15" s="989">
        <f ca="1">IF(ISBLANK(J5),0,I15-(Expenses!J38+Expenses!J12-Expenses!J10-Expenses!J8-Expenses!J31))</f>
        <v>-7436740000</v>
      </c>
      <c r="K15" s="989">
        <f ca="1">IF(ISBLANK(K5),0,J15-(Expenses!K38+Expenses!K12-Expenses!K10-Expenses!K8-Expenses!K31))</f>
        <v>-12324904000</v>
      </c>
      <c r="L15" s="989">
        <f ca="1">IF(ISBLANK(L5),0,K15-(Expenses!L38+Expenses!L12-Expenses!L10-Expenses!L8-Expenses!L31))</f>
        <v>-17566926000</v>
      </c>
      <c r="M15" s="989">
        <f ca="1">IF(ISBLANK(M5),0,L15-(Expenses!M38+Expenses!M12-Expenses!M10-Expenses!M8-Expenses!M31))</f>
        <v>-22720008000</v>
      </c>
      <c r="N15" s="989">
        <f ca="1">IF(ISBLANK(N5),0,M15-(Expenses!N38+Expenses!N12-Expenses!N10-Expenses!N8-Expenses!N31))</f>
        <v>-28269086000</v>
      </c>
      <c r="O15" s="989">
        <f ca="1">IF(ISBLANK(O5),0,N15-(Expenses!O38+Expenses!O12-Expenses!O10-Expenses!O8-Expenses!O31))</f>
        <v>-34246676000</v>
      </c>
      <c r="P15" s="989">
        <f ca="1">IF(ISBLANK(P5),0,O15-(Expenses!P38+Expenses!P12-Expenses!P10-Expenses!P8-Expenses!P31))</f>
        <v>-40223446000</v>
      </c>
      <c r="Q15" s="989">
        <f>IF(ISBLANK(Q5),0,P15-(Expenses!Q38+Expenses!Q12-Expenses!Q10-Expenses!Q8-Expenses!Q31))</f>
        <v>0</v>
      </c>
      <c r="R15" s="1253">
        <f ca="1">IF(ISBLANK(R5),0,Q15-(Expenses!R38+Expenses!R12-Expenses!R10-Expenses!R8-Expenses!R31))</f>
        <v>-4731953600</v>
      </c>
      <c r="S15" s="989">
        <f ca="1">IF(ISBLANK(S5),0,R15-(Expenses!S38+Expenses!S12-Expenses!S10-Expenses!S8-Expenses!S31))</f>
        <v>-9701625200</v>
      </c>
      <c r="T15" s="989">
        <f ca="1">IF(ISBLANK(T5),0,S15-(Expenses!T38+Expenses!T12-Expenses!T10-Expenses!T8-Expenses!T31))</f>
        <v>-14445208800</v>
      </c>
      <c r="U15" s="989">
        <f ca="1">IF(ISBLANK(U5),0,T15-(Expenses!U38+Expenses!U12-Expenses!U10-Expenses!U8-Expenses!U31))</f>
        <v>-20022970800</v>
      </c>
      <c r="V15" s="989">
        <f ca="1">IF(ISBLANK(V5),0,U15-(Expenses!V38+Expenses!V12-Expenses!V10-Expenses!V8-Expenses!V31))</f>
        <v>-25828923600</v>
      </c>
      <c r="W15" s="989">
        <f ca="1">IF(ISBLANK(W5),0,V15-(Expenses!W38+Expenses!W12-Expenses!W10-Expenses!W8-Expenses!W31))</f>
        <v>-31709531600</v>
      </c>
      <c r="X15" s="989">
        <f ca="1">IF(ISBLANK(X5),0,W15-(Expenses!X38+Expenses!X12-Expenses!X10-Expenses!X8-Expenses!X31))</f>
        <v>-37905914400</v>
      </c>
      <c r="Y15" s="989">
        <f ca="1">IF(ISBLANK(Y5),0,X15-(Expenses!Y38+Expenses!Y12-Expenses!Y10-Expenses!Y8-Expenses!Y31))</f>
        <v>-43809969200</v>
      </c>
      <c r="Z15" s="989">
        <f ca="1">IF(ISBLANK(Z5),0,Y15-(Expenses!Z38+Expenses!Z12-Expenses!Z10-Expenses!Z8-Expenses!Z31))</f>
        <v>-49714514000</v>
      </c>
      <c r="AA15" s="989">
        <f ca="1">IF(ISBLANK(AA5),0,Z15-(Expenses!AA38+Expenses!AA12-Expenses!AA10-Expenses!AA8-Expenses!AA31))</f>
        <v>-56118572300</v>
      </c>
      <c r="AB15" s="989">
        <f ca="1">IF(ISBLANK(AB5),0,AA15-(Expenses!AB38+Expenses!AB12-Expenses!AB10-Expenses!AB8-Expenses!AB31))</f>
        <v>-66794815900</v>
      </c>
      <c r="AC15" s="989">
        <f ca="1">IF(ISBLANK(AC5),0,AB15-(Expenses!AC38+Expenses!AC12-Expenses!AC10-Expenses!AC8-Expenses!AC31))</f>
        <v>-77139237900</v>
      </c>
      <c r="AD15" s="989">
        <f>IF(ISBLANK(AD5),0,AC15-(Expenses!AD38+Expenses!AD12-Expenses!AD10-Expenses!AD8-Expenses!AD31))</f>
        <v>0</v>
      </c>
      <c r="AE15" s="1253">
        <f ca="1">IF(ISBLANK(AE5),0,AD15-(Expenses!AE38+Expenses!AE12-Expenses!AE10-Expenses!AE8-Expenses!AE31))</f>
        <v>-8692455900</v>
      </c>
      <c r="AF15" s="989">
        <f ca="1">IF(ISBLANK(AF5),0,AE15-(Expenses!AF38+Expenses!AF12-Expenses!AF10-Expenses!AF8-Expenses!AF31))</f>
        <v>-17248912800</v>
      </c>
      <c r="AG15" s="989">
        <f ca="1">IF(ISBLANK(AG5),0,AF15-(Expenses!AG38+Expenses!AG12-Expenses!AG10-Expenses!AG8-Expenses!AG31))</f>
        <v>-25426808700</v>
      </c>
      <c r="AH15" s="989">
        <f ca="1">IF(ISBLANK(AH5),0,AG15-(Expenses!AH38+Expenses!AH12-Expenses!AH10-Expenses!AH8-Expenses!AH31))</f>
        <v>-35875190700</v>
      </c>
      <c r="AI15" s="989">
        <f ca="1">IF(ISBLANK(AI5),0,AH15-(Expenses!AI38+Expenses!AI12-Expenses!AI10-Expenses!AI8-Expenses!AI31))</f>
        <v>-47043371900</v>
      </c>
      <c r="AJ15" s="989">
        <f ca="1">IF(ISBLANK(AJ5),0,AI15-(Expenses!AJ38+Expenses!AJ12-Expenses!AJ10-Expenses!AJ8-Expenses!AJ31))</f>
        <v>-57980003900</v>
      </c>
      <c r="AK15" s="989">
        <f ca="1">IF(ISBLANK(AK5),0,AJ15-(Expenses!AK38+Expenses!AK12-Expenses!AK10-Expenses!AK8-Expenses!AK31))</f>
        <v>-69277932200</v>
      </c>
      <c r="AL15" s="989">
        <f ca="1">IF(ISBLANK(AL5),0,AK15-(Expenses!AL38+Expenses!AL12-Expenses!AL10-Expenses!AL8-Expenses!AL31))</f>
        <v>-80319124000</v>
      </c>
      <c r="AM15" s="989">
        <f ca="1">IF(ISBLANK(AM5),0,AL15-(Expenses!AM38+Expenses!AM12-Expenses!AM10-Expenses!AM8-Expenses!AM31))</f>
        <v>-91691232800</v>
      </c>
      <c r="AN15" s="989">
        <f ca="1">IF(ISBLANK(AN5),0,AM15-(Expenses!AN38+Expenses!AN12-Expenses!AN10-Expenses!AN8-Expenses!AN31))</f>
        <v>-103816451500</v>
      </c>
      <c r="AO15" s="989">
        <f ca="1">IF(ISBLANK(AO5),0,AN15-(Expenses!AO38+Expenses!AO12-Expenses!AO10-Expenses!AO8-Expenses!AO31))</f>
        <v>-116918609300</v>
      </c>
      <c r="AP15" s="1265">
        <f ca="1">IF(ISBLANK(AP5),0,AO15-(Expenses!AP38+Expenses!AP12-Expenses!AP10-Expenses!AP8-Expenses!AP31))</f>
        <v>-129653013300</v>
      </c>
      <c r="AQ15" s="1243"/>
      <c r="AR15" s="1125"/>
      <c r="AS15" s="1125"/>
      <c r="AT15" s="1125"/>
      <c r="AU15" s="1125"/>
      <c r="AV15" s="1126"/>
    </row>
    <row r="16" spans="1:48" ht="15.75" customHeight="1" x14ac:dyDescent="0.25">
      <c r="A16" s="1253"/>
      <c r="B16" s="1266" t="s">
        <v>466</v>
      </c>
      <c r="C16" s="989"/>
      <c r="D16" s="989"/>
      <c r="E16" s="470">
        <f>IF(ISBLANK(E5),0,D16-Expenses!E8-Expenses!E31)</f>
        <v>0</v>
      </c>
      <c r="F16" s="470">
        <f>IF(ISBLANK(F5),0,E16-Expenses!F8-Expenses!F31)</f>
        <v>-4761904.7619047621</v>
      </c>
      <c r="G16" s="470">
        <f>IF(ISBLANK(G5),0,F16-Expenses!G8-Expenses!G31)</f>
        <v>-356580086.58008659</v>
      </c>
      <c r="H16" s="470">
        <f>IF(ISBLANK(H5),0,G16-Expenses!H8-Expenses!H31)</f>
        <v>-1008927912.6670432</v>
      </c>
      <c r="I16" s="989">
        <f>IF(ISBLANK(I5),0,H16-Expenses!I8-Expenses!I31)</f>
        <v>-1811971390.9279127</v>
      </c>
      <c r="J16" s="989">
        <f>IF(ISBLANK(J5),0,I16-Expenses!J8-Expenses!J31)</f>
        <v>-3073534819.499341</v>
      </c>
      <c r="K16" s="989">
        <f>IF(ISBLANK(K5),0,J16-Expenses!K8-Expenses!K31)</f>
        <v>-4423401819.499341</v>
      </c>
      <c r="L16" s="989">
        <f>IF(ISBLANK(L5),0,K16-Expenses!L8-Expenses!L31)</f>
        <v>-5880059419.499341</v>
      </c>
      <c r="M16" s="989">
        <f>IF(ISBLANK(M5),0,L16-Expenses!M8-Expenses!M31)</f>
        <v>-7336717019.499341</v>
      </c>
      <c r="N16" s="989">
        <f>IF(ISBLANK(N5),0,M16-Expenses!N8-Expenses!N31)</f>
        <v>-8817411219.4993401</v>
      </c>
      <c r="O16" s="989">
        <f>IF(ISBLANK(O5),0,N16-Expenses!O8-Expenses!O31)</f>
        <v>-10298105419.49934</v>
      </c>
      <c r="P16" s="989">
        <f>IF(ISBLANK(P5),0,O16-Expenses!P8-Expenses!P31)</f>
        <v>-11788799619.49934</v>
      </c>
      <c r="Q16" s="989">
        <f>IF(ISBLANK(Q5),0,P16-Expenses!Q8-Expenses!Q31)</f>
        <v>0</v>
      </c>
      <c r="R16" s="1253">
        <f>IF(ISBLANK(R5),0,Q16-Expenses!R8-Expenses!R31)</f>
        <v>-2011066000</v>
      </c>
      <c r="S16" s="989">
        <f>IF(ISBLANK(S5),0,R16-Expenses!S8-Expenses!S31)</f>
        <v>-3443882000</v>
      </c>
      <c r="T16" s="989">
        <f>IF(ISBLANK(T5),0,S16-Expenses!T8-Expenses!T31)</f>
        <v>-4949948000</v>
      </c>
      <c r="U16" s="989">
        <f>IF(ISBLANK(U5),0,T16-Expenses!U8-Expenses!U31)</f>
        <v>-6557049200</v>
      </c>
      <c r="V16" s="989">
        <f>IF(ISBLANK(V5),0,U16-Expenses!V8-Expenses!V31)</f>
        <v>-8164150400</v>
      </c>
      <c r="W16" s="989">
        <f>IF(ISBLANK(W5),0,V16-Expenses!W8-Expenses!W31)</f>
        <v>-9771251600</v>
      </c>
      <c r="X16" s="989">
        <f>IF(ISBLANK(X5),0,W16-Expenses!X8-Expenses!X31)</f>
        <v>-11398722800</v>
      </c>
      <c r="Y16" s="989">
        <f>IF(ISBLANK(Y5),0,X16-Expenses!Y8-Expenses!Y31)</f>
        <v>-13026194000</v>
      </c>
      <c r="Z16" s="989">
        <f>IF(ISBLANK(Z5),0,Y16-Expenses!Z8-Expenses!Z31)</f>
        <v>-14653665200</v>
      </c>
      <c r="AA16" s="989">
        <f>IF(ISBLANK(AA5),0,Z16-Expenses!AA8-Expenses!AA31)</f>
        <v>-16305173000</v>
      </c>
      <c r="AB16" s="989">
        <f>IF(ISBLANK(AB5),0,AA16-Expenses!AB8-Expenses!AB31)</f>
        <v>-18250155800</v>
      </c>
      <c r="AC16" s="989">
        <f>IF(ISBLANK(AC5),0,AB16-Expenses!AC8-Expenses!AC31)</f>
        <v>-20207175600</v>
      </c>
      <c r="AD16" s="989">
        <f>IF(ISBLANK(AD5),0,AC16-Expenses!AD8-Expenses!AD31)</f>
        <v>0</v>
      </c>
      <c r="AE16" s="1253">
        <f>IF(ISBLANK(AE5),0,AD16-Expenses!AE8-Expenses!AE31)</f>
        <v>-2545893200</v>
      </c>
      <c r="AF16" s="989">
        <f>IF(ISBLANK(AF5),0,AE16-Expenses!AF8-Expenses!AF31)</f>
        <v>-4367992400</v>
      </c>
      <c r="AG16" s="989">
        <f>IF(ISBLANK(AG5),0,AF16-Expenses!AG8-Expenses!AG31)</f>
        <v>-6190091600</v>
      </c>
      <c r="AH16" s="989">
        <f>IF(ISBLANK(AH5),0,AG16-Expenses!AH8-Expenses!AH31)</f>
        <v>-8232766400</v>
      </c>
      <c r="AI16" s="989">
        <f>IF(ISBLANK(AI5),0,AH16-Expenses!AI8-Expenses!AI31)</f>
        <v>-10275441200</v>
      </c>
      <c r="AJ16" s="989">
        <f>IF(ISBLANK(AJ5),0,AI16-Expenses!AJ8-Expenses!AJ31)</f>
        <v>-12318116000</v>
      </c>
      <c r="AK16" s="989">
        <f>IF(ISBLANK(AK5),0,AJ16-Expenses!AK8-Expenses!AK31)</f>
        <v>-14407188200</v>
      </c>
      <c r="AL16" s="989">
        <f>IF(ISBLANK(AL5),0,AK16-Expenses!AL8-Expenses!AL31)</f>
        <v>-16496260400</v>
      </c>
      <c r="AM16" s="989">
        <f>IF(ISBLANK(AM5),0,AL16-Expenses!AM8-Expenses!AM31)</f>
        <v>-18614476400</v>
      </c>
      <c r="AN16" s="989">
        <f>IF(ISBLANK(AN5),0,AM16-Expenses!AN8-Expenses!AN31)</f>
        <v>-20765263400</v>
      </c>
      <c r="AO16" s="989">
        <f>IF(ISBLANK(AO5),0,AN16-Expenses!AO8-Expenses!AO31)</f>
        <v>-22921325600</v>
      </c>
      <c r="AP16" s="1265">
        <f>IF(ISBLANK(AP5),0,AO16-Expenses!AP8-Expenses!AP31)</f>
        <v>-25082663000</v>
      </c>
      <c r="AQ16" s="1243"/>
      <c r="AR16" s="1125"/>
      <c r="AS16" s="1125"/>
      <c r="AT16" s="1125"/>
      <c r="AU16" s="1125"/>
      <c r="AV16" s="1126"/>
    </row>
    <row r="17" spans="1:48" ht="15.75" customHeight="1" x14ac:dyDescent="0.25">
      <c r="A17" s="1253"/>
      <c r="B17" s="1266" t="s">
        <v>467</v>
      </c>
      <c r="C17" s="989"/>
      <c r="D17" s="989"/>
      <c r="E17" s="470">
        <f>IF(ISBLANK(E5),0,-'INCOME STATEMENT'!E53+D17)</f>
        <v>0</v>
      </c>
      <c r="F17" s="470">
        <f>IF(ISBLANK(F5),0,-'INCOME STATEMENT'!F53+E17)</f>
        <v>0</v>
      </c>
      <c r="G17" s="470">
        <f>IF(ISBLANK(G5),0,-'INCOME STATEMENT'!G53+F17)</f>
        <v>0</v>
      </c>
      <c r="H17" s="470">
        <f>IF(ISBLANK(H5),0,-'INCOME STATEMENT'!H53+G17)</f>
        <v>0</v>
      </c>
      <c r="I17" s="989">
        <f>IF(ISBLANK(I5),0,-'INCOME STATEMENT'!I53+H17)</f>
        <v>0</v>
      </c>
      <c r="J17" s="989">
        <f>IF(ISBLANK(J5),0,-'INCOME STATEMENT'!J53+I17)</f>
        <v>-1052639999.9999996</v>
      </c>
      <c r="K17" s="989">
        <f>IF(ISBLANK(K5),0,-'INCOME STATEMENT'!K53+J17)</f>
        <v>-2017559999.9999993</v>
      </c>
      <c r="L17" s="989">
        <f>IF(ISBLANK(L5),0,-'INCOME STATEMENT'!L53+K17)</f>
        <v>-2894759999.999999</v>
      </c>
      <c r="M17" s="989">
        <f>IF(ISBLANK(M5),0,-'INCOME STATEMENT'!M53+L17)</f>
        <v>-3684239999.999999</v>
      </c>
      <c r="N17" s="989">
        <f>IF(ISBLANK(N5),0,-'INCOME STATEMENT'!N53+M17)</f>
        <v>-4385999999.999999</v>
      </c>
      <c r="O17" s="989">
        <f>IF(ISBLANK(O5),0,-'INCOME STATEMENT'!O53+N17)</f>
        <v>-5000039999.999999</v>
      </c>
      <c r="P17" s="989">
        <f>IF(ISBLANK(P5),0,-'INCOME STATEMENT'!P53+O17)</f>
        <v>-5526359999.999999</v>
      </c>
      <c r="Q17" s="989">
        <f>IF(ISBLANK(Q5),0,-'INCOME STATEMENT'!Q53+P17)</f>
        <v>0</v>
      </c>
      <c r="R17" s="1253">
        <f>IF(ISBLANK(R5),0,-'INCOME STATEMENT'!R53+Q17)</f>
        <v>-438599999.9999997</v>
      </c>
      <c r="S17" s="989">
        <f>IF(ISBLANK(S5),0,-'INCOME STATEMENT'!S53+R17)</f>
        <v>-789479999.9999994</v>
      </c>
      <c r="T17" s="989">
        <f>IF(ISBLANK(T5),0,-'INCOME STATEMENT'!T53+S17)</f>
        <v>-1052639999.999999</v>
      </c>
      <c r="U17" s="989">
        <f>IF(ISBLANK(U5),0,-'INCOME STATEMENT'!U53+T17)</f>
        <v>-1228079999.9999988</v>
      </c>
      <c r="V17" s="989">
        <f>IF(ISBLANK(V5),0,-'INCOME STATEMENT'!V53+U17)</f>
        <v>-1315799999.9999986</v>
      </c>
      <c r="W17" s="989">
        <f>IF(ISBLANK(W5),0,-'INCOME STATEMENT'!W53+V17)</f>
        <v>-2368439999.9999981</v>
      </c>
      <c r="X17" s="989">
        <f>IF(ISBLANK(X5),0,-'INCOME STATEMENT'!X53+W17)</f>
        <v>-3333359999.9999976</v>
      </c>
      <c r="Y17" s="989">
        <f>IF(ISBLANK(Y5),0,-'INCOME STATEMENT'!Y53+X17)</f>
        <v>-4210559999.9999971</v>
      </c>
      <c r="Z17" s="989">
        <f>IF(ISBLANK(Z5),0,-'INCOME STATEMENT'!Z53+Y17)</f>
        <v>-5000039999.9999962</v>
      </c>
      <c r="AA17" s="989">
        <f>IF(ISBLANK(AA5),0,-'INCOME STATEMENT'!AA53+Z17)</f>
        <v>-5701799999.9999952</v>
      </c>
      <c r="AB17" s="989">
        <f>IF(ISBLANK(AB5),0,-'INCOME STATEMENT'!AB53+AA17)</f>
        <v>-6315839999.9999943</v>
      </c>
      <c r="AC17" s="989">
        <f>IF(ISBLANK(AC5),0,-'INCOME STATEMENT'!AC53+AB17)</f>
        <v>-6842159999.9999933</v>
      </c>
      <c r="AD17" s="989">
        <f>IF(ISBLANK(AD5),0,-'INCOME STATEMENT'!AD53+AC17)</f>
        <v>0</v>
      </c>
      <c r="AE17" s="1253">
        <f>IF(ISBLANK(AE5),0,-'INCOME STATEMENT'!AE53+AD17)</f>
        <v>-438599999.9999994</v>
      </c>
      <c r="AF17" s="989">
        <f>IF(ISBLANK(AF5),0,-'INCOME STATEMENT'!AF53+AE17)</f>
        <v>-789479999.99999881</v>
      </c>
      <c r="AG17" s="989">
        <f>IF(ISBLANK(AG5),0,-'INCOME STATEMENT'!AG53+AF17)</f>
        <v>-1052639999.9999982</v>
      </c>
      <c r="AH17" s="989">
        <f>IF(ISBLANK(AH5),0,-'INCOME STATEMENT'!AH53+AG17)</f>
        <v>-1228079999.9999976</v>
      </c>
      <c r="AI17" s="989">
        <f>IF(ISBLANK(AI5),0,-'INCOME STATEMENT'!AI53+AH17)</f>
        <v>-1315799999.9999971</v>
      </c>
      <c r="AJ17" s="989">
        <f>IF(ISBLANK(AJ5),0,-'INCOME STATEMENT'!AJ53+AI17)</f>
        <v>-2368439999.9999962</v>
      </c>
      <c r="AK17" s="989">
        <f>IF(ISBLANK(AK5),0,-'INCOME STATEMENT'!AK53+AJ17)</f>
        <v>-3333359999.9999952</v>
      </c>
      <c r="AL17" s="989">
        <f>IF(ISBLANK(AL5),0,-'INCOME STATEMENT'!AL53+AK17)</f>
        <v>-4210559999.9999943</v>
      </c>
      <c r="AM17" s="989">
        <f>IF(ISBLANK(AM5),0,-'INCOME STATEMENT'!AM53+AL17)</f>
        <v>-5000039999.9999933</v>
      </c>
      <c r="AN17" s="989">
        <f>IF(ISBLANK(AN5),0,-'INCOME STATEMENT'!AN53+AM17)</f>
        <v>-5701799999.9999924</v>
      </c>
      <c r="AO17" s="989">
        <f>IF(ISBLANK(AO5),0,-'INCOME STATEMENT'!AO53+AN17)</f>
        <v>-6315839999.9999914</v>
      </c>
      <c r="AP17" s="1265">
        <f>IF(ISBLANK(AP5),0,-'INCOME STATEMENT'!AP53+AO17)</f>
        <v>-6842159999.9999905</v>
      </c>
      <c r="AQ17" s="1243"/>
      <c r="AR17" s="1125"/>
      <c r="AS17" s="1125"/>
      <c r="AT17" s="1125"/>
      <c r="AU17" s="1125"/>
      <c r="AV17" s="1126"/>
    </row>
    <row r="18" spans="1:48" ht="15.75" customHeight="1" x14ac:dyDescent="0.25">
      <c r="A18" s="1253"/>
      <c r="B18" s="1266" t="s">
        <v>468</v>
      </c>
      <c r="C18" s="989"/>
      <c r="D18" s="989"/>
      <c r="E18" s="989">
        <f>IF(ISBLANK(E6),0,-'INCOME STATEMENT'!E54+D18)</f>
        <v>0</v>
      </c>
      <c r="F18" s="989">
        <f ca="1">IF(ISBLANK(F6),0,-'INCOME STATEMENT'!F54+E18)</f>
        <v>0</v>
      </c>
      <c r="G18" s="989">
        <f ca="1">IF(ISBLANK(G6),0,-'INCOME STATEMENT'!G54+F18)</f>
        <v>0</v>
      </c>
      <c r="H18" s="989">
        <f ca="1">IF(ISBLANK(H6),0,-'INCOME STATEMENT'!H54+G18)</f>
        <v>0</v>
      </c>
      <c r="I18" s="989">
        <f ca="1">IF(ISBLANK(I6),0,-'INCOME STATEMENT'!I54+H18)</f>
        <v>0</v>
      </c>
      <c r="J18" s="989">
        <f ca="1">IF(ISBLANK(J6),0,-'INCOME STATEMENT'!J54+I18)</f>
        <v>0</v>
      </c>
      <c r="K18" s="989">
        <f ca="1">IF(ISBLANK(K6),0,-'INCOME STATEMENT'!K54+J18)</f>
        <v>0</v>
      </c>
      <c r="L18" s="989">
        <f ca="1">IF(ISBLANK(L6),0,-'INCOME STATEMENT'!L54+K18)</f>
        <v>0</v>
      </c>
      <c r="M18" s="989">
        <f ca="1">IF(ISBLANK(M6),0,-'INCOME STATEMENT'!M54+L18)</f>
        <v>0</v>
      </c>
      <c r="N18" s="989">
        <f ca="1">IF(ISBLANK(N6),0,-'INCOME STATEMENT'!N54+M18)</f>
        <v>0</v>
      </c>
      <c r="O18" s="989">
        <f ca="1">IF(ISBLANK(O6),0,-'INCOME STATEMENT'!O54+N18)</f>
        <v>0</v>
      </c>
      <c r="P18" s="989">
        <f ca="1">IF(ISBLANK(P6),0,-'INCOME STATEMENT'!P54+O18)</f>
        <v>0</v>
      </c>
      <c r="Q18" s="989">
        <f ca="1">IF(ISBLANK(Q6),0,-'INCOME STATEMENT'!Q54+P18)</f>
        <v>0</v>
      </c>
      <c r="R18" s="1253">
        <f ca="1">IF(ISBLANK(R6),0,-'INCOME STATEMENT'!R54+Q18)</f>
        <v>0</v>
      </c>
      <c r="S18" s="989">
        <f ca="1">IF(ISBLANK(S6),0,-'INCOME STATEMENT'!S54+R18)</f>
        <v>0</v>
      </c>
      <c r="T18" s="989">
        <f ca="1">IF(ISBLANK(T6),0,-'INCOME STATEMENT'!T54+S18)</f>
        <v>0</v>
      </c>
      <c r="U18" s="989">
        <f ca="1">IF(ISBLANK(U6),0,-'INCOME STATEMENT'!U54+T18)</f>
        <v>0</v>
      </c>
      <c r="V18" s="989">
        <f ca="1">IF(ISBLANK(V6),0,-'INCOME STATEMENT'!V54+U18)</f>
        <v>0</v>
      </c>
      <c r="W18" s="989">
        <f ca="1">IF(ISBLANK(W6),0,-'INCOME STATEMENT'!W54+V18)</f>
        <v>0</v>
      </c>
      <c r="X18" s="989">
        <f ca="1">IF(ISBLANK(X6),0,-'INCOME STATEMENT'!X54+W18)</f>
        <v>0</v>
      </c>
      <c r="Y18" s="989">
        <f ca="1">IF(ISBLANK(Y6),0,-'INCOME STATEMENT'!Y54+X18)</f>
        <v>0</v>
      </c>
      <c r="Z18" s="989">
        <f ca="1">IF(ISBLANK(Z6),0,-'INCOME STATEMENT'!Z54+Y18)</f>
        <v>0</v>
      </c>
      <c r="AA18" s="989">
        <f ca="1">IF(ISBLANK(AA6),0,-'INCOME STATEMENT'!AA54+Z18)</f>
        <v>0</v>
      </c>
      <c r="AB18" s="989">
        <f ca="1">IF(ISBLANK(AB6),0,-'INCOME STATEMENT'!AB54+AA18)</f>
        <v>0</v>
      </c>
      <c r="AC18" s="989">
        <f ca="1">IF(ISBLANK(AC6),0,-'INCOME STATEMENT'!AC54+AB18)</f>
        <v>0</v>
      </c>
      <c r="AD18" s="989">
        <f ca="1">IF(ISBLANK(AD6),0,-'INCOME STATEMENT'!AD54+AC18)</f>
        <v>0</v>
      </c>
      <c r="AE18" s="1253">
        <f ca="1">IF(ISBLANK(AE6),0,-'INCOME STATEMENT'!AE54+AD18)</f>
        <v>-1097708728.5714293</v>
      </c>
      <c r="AF18" s="989">
        <f ca="1">IF(ISBLANK(AF6),0,-'INCOME STATEMENT'!AF54+AE18)</f>
        <v>-1097708728.5714293</v>
      </c>
      <c r="AG18" s="989">
        <f ca="1">IF(ISBLANK(AG6),0,-'INCOME STATEMENT'!AG54+AF18)</f>
        <v>-1097708728.5714293</v>
      </c>
      <c r="AH18" s="989">
        <f ca="1">IF(ISBLANK(AH6),0,-'INCOME STATEMENT'!AH54+AG18)</f>
        <v>-1097708728.5714293</v>
      </c>
      <c r="AI18" s="989">
        <f ca="1">IF(ISBLANK(AI6),0,-'INCOME STATEMENT'!AI54+AH18)</f>
        <v>-1097708728.5714293</v>
      </c>
      <c r="AJ18" s="989">
        <f ca="1">IF(ISBLANK(AJ6),0,-'INCOME STATEMENT'!AJ54+AI18)</f>
        <v>-1097708728.5714293</v>
      </c>
      <c r="AK18" s="989">
        <f ca="1">IF(ISBLANK(AK6),0,-'INCOME STATEMENT'!AK54+AJ18)</f>
        <v>-1097708728.5714293</v>
      </c>
      <c r="AL18" s="989">
        <f ca="1">IF(ISBLANK(AL6),0,-'INCOME STATEMENT'!AL54+AK18)</f>
        <v>-1097708728.5714293</v>
      </c>
      <c r="AM18" s="989">
        <f ca="1">IF(ISBLANK(AM6),0,-'INCOME STATEMENT'!AM54+AL18)</f>
        <v>-1097708728.5714293</v>
      </c>
      <c r="AN18" s="989">
        <f ca="1">IF(ISBLANK(AN6),0,-'INCOME STATEMENT'!AN54+AM18)</f>
        <v>-1097708728.5714293</v>
      </c>
      <c r="AO18" s="989">
        <f ca="1">IF(ISBLANK(AO6),0,-'INCOME STATEMENT'!AO54+AN18)</f>
        <v>-1097708728.5714293</v>
      </c>
      <c r="AP18" s="1265">
        <f ca="1">IF(ISBLANK(AP6),0,-'INCOME STATEMENT'!AP54+AO18)</f>
        <v>-1097708728.5714293</v>
      </c>
      <c r="AQ18" s="1243"/>
      <c r="AR18" s="1125"/>
      <c r="AS18" s="1125"/>
      <c r="AT18" s="1125"/>
      <c r="AU18" s="1125"/>
      <c r="AV18" s="1126"/>
    </row>
    <row r="19" spans="1:48" ht="15.75" customHeight="1" x14ac:dyDescent="0.25">
      <c r="A19" s="1446" t="s">
        <v>469</v>
      </c>
      <c r="B19" s="1373"/>
      <c r="C19" s="1267"/>
      <c r="D19" s="1267"/>
      <c r="E19" s="1268">
        <f t="shared" ref="E19:P19" ca="1" si="1">SUM(E8:E18)</f>
        <v>-672250000</v>
      </c>
      <c r="F19" s="1268">
        <f t="shared" ca="1" si="1"/>
        <v>-1049261904.7619047</v>
      </c>
      <c r="G19" s="1268">
        <f t="shared" ca="1" si="1"/>
        <v>-1871986086.5800862</v>
      </c>
      <c r="H19" s="1268">
        <f t="shared" ca="1" si="1"/>
        <v>-2936551912.6670427</v>
      </c>
      <c r="I19" s="1268">
        <f t="shared" ca="1" si="1"/>
        <v>-4824771390.9279118</v>
      </c>
      <c r="J19" s="1268">
        <f t="shared" ca="1" si="1"/>
        <v>-7608214819.499341</v>
      </c>
      <c r="K19" s="1268">
        <f t="shared" ca="1" si="1"/>
        <v>-8989160819.4993401</v>
      </c>
      <c r="L19" s="1268">
        <f t="shared" ca="1" si="1"/>
        <v>-8305755419.4993401</v>
      </c>
      <c r="M19" s="1268">
        <f t="shared" ca="1" si="1"/>
        <v>-7486107019.4993401</v>
      </c>
      <c r="N19" s="1268">
        <f t="shared" ca="1" si="1"/>
        <v>-6632114219.4993391</v>
      </c>
      <c r="O19" s="1268">
        <f t="shared" ca="1" si="1"/>
        <v>-6066200419.4993391</v>
      </c>
      <c r="P19" s="1268">
        <f t="shared" ca="1" si="1"/>
        <v>-5287444619.4993391</v>
      </c>
      <c r="Q19" s="1268"/>
      <c r="R19" s="1269">
        <f t="shared" ref="R19:AC19" ca="1" si="2">SUM(R8:R18)</f>
        <v>583545400.00000024</v>
      </c>
      <c r="S19" s="1268">
        <f t="shared" ca="1" si="2"/>
        <v>1451273800.0000005</v>
      </c>
      <c r="T19" s="1268">
        <f t="shared" ca="1" si="2"/>
        <v>2262179200.000001</v>
      </c>
      <c r="U19" s="1268">
        <f t="shared" ca="1" si="2"/>
        <v>3493771000.000001</v>
      </c>
      <c r="V19" s="1268">
        <f t="shared" ca="1" si="2"/>
        <v>4784689000.0000019</v>
      </c>
      <c r="W19" s="1268">
        <f t="shared" ca="1" si="2"/>
        <v>5312944800.0000019</v>
      </c>
      <c r="X19" s="1268">
        <f t="shared" ca="1" si="2"/>
        <v>5814605800.0000019</v>
      </c>
      <c r="Y19" s="1268">
        <f t="shared" ca="1" si="2"/>
        <v>6757067800.0000029</v>
      </c>
      <c r="Z19" s="1268">
        <f t="shared" ca="1" si="2"/>
        <v>7843676800.0000038</v>
      </c>
      <c r="AA19" s="1268">
        <f t="shared" ca="1" si="2"/>
        <v>8511935700.0000048</v>
      </c>
      <c r="AB19" s="1268">
        <f t="shared" ca="1" si="2"/>
        <v>7821247300.0000057</v>
      </c>
      <c r="AC19" s="1268">
        <f t="shared" ca="1" si="2"/>
        <v>8639445500.0000076</v>
      </c>
      <c r="AD19" s="1268"/>
      <c r="AE19" s="1269">
        <f t="shared" ref="AE19:AP19" ca="1" si="3">SUM(AE8:AE18)</f>
        <v>1043552171.4285712</v>
      </c>
      <c r="AF19" s="1268">
        <f t="shared" ca="1" si="3"/>
        <v>3461470071.4285717</v>
      </c>
      <c r="AG19" s="1268">
        <f t="shared" ca="1" si="3"/>
        <v>5673224971.4285727</v>
      </c>
      <c r="AH19" s="1268">
        <f t="shared" ca="1" si="3"/>
        <v>8378813171.4285727</v>
      </c>
      <c r="AI19" s="1268">
        <f t="shared" ca="1" si="3"/>
        <v>10792423171.428574</v>
      </c>
      <c r="AJ19" s="1268">
        <f t="shared" ca="1" si="3"/>
        <v>13068306371.428574</v>
      </c>
      <c r="AK19" s="1268">
        <f t="shared" ca="1" si="3"/>
        <v>15537525871.428574</v>
      </c>
      <c r="AL19" s="1268">
        <f t="shared" ca="1" si="3"/>
        <v>18447213871.428577</v>
      </c>
      <c r="AM19" s="1268">
        <f t="shared" ca="1" si="3"/>
        <v>21588934071.428577</v>
      </c>
      <c r="AN19" s="1268">
        <f t="shared" ca="1" si="3"/>
        <v>24545297371.428577</v>
      </c>
      <c r="AO19" s="1268">
        <f t="shared" ca="1" si="3"/>
        <v>26842230371.428577</v>
      </c>
      <c r="AP19" s="1270">
        <f t="shared" ca="1" si="3"/>
        <v>30680618971.428577</v>
      </c>
      <c r="AQ19" s="1271"/>
      <c r="AR19" s="1272"/>
      <c r="AS19" s="1272"/>
      <c r="AT19" s="1272"/>
      <c r="AU19" s="1272"/>
      <c r="AV19" s="1273"/>
    </row>
    <row r="20" spans="1:48" ht="15.75" customHeight="1" x14ac:dyDescent="0.25">
      <c r="A20" s="1444" t="s">
        <v>470</v>
      </c>
      <c r="B20" s="1373"/>
      <c r="C20" s="1260"/>
      <c r="D20" s="1260"/>
      <c r="E20" s="1450"/>
      <c r="F20" s="1343"/>
      <c r="G20" s="1450"/>
      <c r="H20" s="1343"/>
      <c r="I20" s="1450"/>
      <c r="J20" s="1343"/>
      <c r="K20" s="1450"/>
      <c r="L20" s="1343"/>
      <c r="M20" s="1450"/>
      <c r="N20" s="1343"/>
      <c r="O20" s="1260"/>
      <c r="P20" s="1260"/>
      <c r="Q20" s="1260"/>
      <c r="R20" s="1451"/>
      <c r="S20" s="1343"/>
      <c r="T20" s="1450"/>
      <c r="U20" s="1343"/>
      <c r="V20" s="1450"/>
      <c r="W20" s="1343"/>
      <c r="X20" s="1450"/>
      <c r="Y20" s="1343"/>
      <c r="Z20" s="1450"/>
      <c r="AA20" s="1343"/>
      <c r="AB20" s="1260"/>
      <c r="AC20" s="1260"/>
      <c r="AD20" s="1260"/>
      <c r="AE20" s="1451"/>
      <c r="AF20" s="1343"/>
      <c r="AG20" s="1450"/>
      <c r="AH20" s="1343"/>
      <c r="AI20" s="1450"/>
      <c r="AJ20" s="1343"/>
      <c r="AK20" s="1450"/>
      <c r="AL20" s="1343"/>
      <c r="AM20" s="1450"/>
      <c r="AN20" s="1343"/>
      <c r="AO20" s="1260"/>
      <c r="AP20" s="1275"/>
      <c r="AQ20" s="1243"/>
      <c r="AR20" s="1125"/>
      <c r="AS20" s="1125"/>
      <c r="AT20" s="1125"/>
      <c r="AU20" s="1125"/>
      <c r="AV20" s="1126"/>
    </row>
    <row r="21" spans="1:48" ht="15.75" customHeight="1" x14ac:dyDescent="0.25">
      <c r="A21" s="1445" t="s">
        <v>459</v>
      </c>
      <c r="B21" s="1373"/>
      <c r="C21" s="989"/>
      <c r="D21" s="989"/>
      <c r="E21" s="989"/>
      <c r="F21" s="989"/>
      <c r="G21" s="989"/>
      <c r="H21" s="989"/>
      <c r="I21" s="989"/>
      <c r="J21" s="989"/>
      <c r="K21" s="989"/>
      <c r="L21" s="989"/>
      <c r="M21" s="989"/>
      <c r="N21" s="989"/>
      <c r="O21" s="989"/>
      <c r="P21" s="989"/>
      <c r="Q21" s="989"/>
      <c r="R21" s="1253"/>
      <c r="S21" s="989"/>
      <c r="T21" s="989"/>
      <c r="U21" s="989"/>
      <c r="V21" s="989"/>
      <c r="W21" s="989"/>
      <c r="X21" s="989"/>
      <c r="Y21" s="989"/>
      <c r="Z21" s="989"/>
      <c r="AA21" s="989"/>
      <c r="AB21" s="989"/>
      <c r="AC21" s="989"/>
      <c r="AD21" s="989"/>
      <c r="AE21" s="1253"/>
      <c r="AF21" s="989"/>
      <c r="AG21" s="989"/>
      <c r="AH21" s="989"/>
      <c r="AI21" s="989"/>
      <c r="AJ21" s="989"/>
      <c r="AK21" s="989"/>
      <c r="AL21" s="989"/>
      <c r="AM21" s="989"/>
      <c r="AN21" s="989"/>
      <c r="AO21" s="989"/>
      <c r="AP21" s="1265"/>
      <c r="AQ21" s="1243"/>
      <c r="AR21" s="1125"/>
      <c r="AS21" s="1125"/>
      <c r="AT21" s="1125"/>
      <c r="AU21" s="1125"/>
      <c r="AV21" s="1126"/>
    </row>
    <row r="22" spans="1:48" ht="16.5" x14ac:dyDescent="0.25">
      <c r="A22" s="1253"/>
      <c r="B22" s="1266" t="s">
        <v>471</v>
      </c>
      <c r="C22" s="989"/>
      <c r="D22" s="989"/>
      <c r="E22" s="989"/>
      <c r="F22" s="989"/>
      <c r="G22" s="989"/>
      <c r="H22" s="989"/>
      <c r="I22" s="989"/>
      <c r="J22" s="989"/>
      <c r="K22" s="989"/>
      <c r="L22" s="989"/>
      <c r="M22" s="989"/>
      <c r="N22" s="989"/>
      <c r="O22" s="989"/>
      <c r="P22" s="989"/>
      <c r="Q22" s="989"/>
      <c r="R22" s="1253"/>
      <c r="S22" s="989"/>
      <c r="T22" s="989"/>
      <c r="U22" s="989"/>
      <c r="V22" s="989"/>
      <c r="W22" s="989"/>
      <c r="X22" s="989"/>
      <c r="Y22" s="989"/>
      <c r="Z22" s="989"/>
      <c r="AA22" s="989"/>
      <c r="AB22" s="989"/>
      <c r="AC22" s="989"/>
      <c r="AD22" s="989"/>
      <c r="AE22" s="1253"/>
      <c r="AF22" s="989"/>
      <c r="AG22" s="989"/>
      <c r="AH22" s="989"/>
      <c r="AI22" s="989"/>
      <c r="AJ22" s="989"/>
      <c r="AK22" s="989"/>
      <c r="AL22" s="989"/>
      <c r="AM22" s="989"/>
      <c r="AN22" s="989"/>
      <c r="AO22" s="989"/>
      <c r="AP22" s="1265"/>
      <c r="AQ22" s="1243"/>
      <c r="AR22" s="1125"/>
      <c r="AS22" s="1125"/>
      <c r="AT22" s="1125"/>
      <c r="AU22" s="1125"/>
      <c r="AV22" s="1126"/>
    </row>
    <row r="23" spans="1:48" ht="16.5" x14ac:dyDescent="0.25">
      <c r="A23" s="1253"/>
      <c r="B23" s="1266" t="s">
        <v>472</v>
      </c>
      <c r="C23" s="1276"/>
      <c r="D23" s="989"/>
      <c r="E23" s="989"/>
      <c r="F23" s="989"/>
      <c r="G23" s="989"/>
      <c r="H23" s="989"/>
      <c r="I23" s="989"/>
      <c r="J23" s="989"/>
      <c r="K23" s="989"/>
      <c r="L23" s="989"/>
      <c r="M23" s="989"/>
      <c r="N23" s="989"/>
      <c r="O23" s="989"/>
      <c r="P23" s="989"/>
      <c r="Q23" s="989"/>
      <c r="R23" s="1277"/>
      <c r="S23" s="989"/>
      <c r="T23" s="989"/>
      <c r="U23" s="989"/>
      <c r="V23" s="989"/>
      <c r="W23" s="989"/>
      <c r="X23" s="989"/>
      <c r="Y23" s="989"/>
      <c r="Z23" s="989"/>
      <c r="AA23" s="989"/>
      <c r="AB23" s="989"/>
      <c r="AC23" s="989"/>
      <c r="AD23" s="989"/>
      <c r="AE23" s="1278"/>
      <c r="AF23" s="989"/>
      <c r="AG23" s="989"/>
      <c r="AH23" s="989"/>
      <c r="AI23" s="989"/>
      <c r="AJ23" s="989"/>
      <c r="AK23" s="989"/>
      <c r="AL23" s="989"/>
      <c r="AM23" s="989"/>
      <c r="AN23" s="989"/>
      <c r="AO23" s="989"/>
      <c r="AP23" s="1265"/>
      <c r="AQ23" s="1243"/>
      <c r="AR23" s="1125"/>
      <c r="AS23" s="1125"/>
      <c r="AT23" s="1125"/>
      <c r="AU23" s="1125"/>
      <c r="AV23" s="1126"/>
    </row>
    <row r="24" spans="1:48" ht="16.5" x14ac:dyDescent="0.25">
      <c r="A24" s="1253"/>
      <c r="B24" s="1266" t="s">
        <v>473</v>
      </c>
      <c r="C24" s="989"/>
      <c r="D24" s="989"/>
      <c r="E24" s="989"/>
      <c r="F24" s="989"/>
      <c r="G24" s="989"/>
      <c r="H24" s="989"/>
      <c r="I24" s="989"/>
      <c r="J24" s="989"/>
      <c r="K24" s="989"/>
      <c r="L24" s="989"/>
      <c r="M24" s="989"/>
      <c r="N24" s="989"/>
      <c r="O24" s="989"/>
      <c r="P24" s="989"/>
      <c r="Q24" s="989"/>
      <c r="R24" s="1253"/>
      <c r="S24" s="989"/>
      <c r="T24" s="989"/>
      <c r="U24" s="989"/>
      <c r="V24" s="989"/>
      <c r="W24" s="989"/>
      <c r="X24" s="989"/>
      <c r="Y24" s="989"/>
      <c r="Z24" s="989"/>
      <c r="AA24" s="989"/>
      <c r="AB24" s="989"/>
      <c r="AC24" s="989"/>
      <c r="AD24" s="989"/>
      <c r="AE24" s="1253"/>
      <c r="AF24" s="989"/>
      <c r="AG24" s="989"/>
      <c r="AH24" s="989"/>
      <c r="AI24" s="989"/>
      <c r="AJ24" s="989"/>
      <c r="AK24" s="989"/>
      <c r="AL24" s="989"/>
      <c r="AM24" s="989"/>
      <c r="AN24" s="989"/>
      <c r="AO24" s="989"/>
      <c r="AP24" s="1265"/>
      <c r="AQ24" s="1243"/>
      <c r="AR24" s="1125"/>
      <c r="AS24" s="1125"/>
      <c r="AT24" s="1125"/>
      <c r="AU24" s="1125"/>
      <c r="AV24" s="1126"/>
    </row>
    <row r="25" spans="1:48" ht="16.5" x14ac:dyDescent="0.25">
      <c r="A25" s="1445" t="s">
        <v>463</v>
      </c>
      <c r="B25" s="1373"/>
      <c r="C25" s="989"/>
      <c r="D25" s="989"/>
      <c r="E25" s="989"/>
      <c r="F25" s="989"/>
      <c r="G25" s="989"/>
      <c r="H25" s="989"/>
      <c r="I25" s="989"/>
      <c r="J25" s="989"/>
      <c r="K25" s="989"/>
      <c r="L25" s="989"/>
      <c r="M25" s="989"/>
      <c r="N25" s="989"/>
      <c r="O25" s="989"/>
      <c r="P25" s="989"/>
      <c r="Q25" s="989"/>
      <c r="R25" s="1253"/>
      <c r="S25" s="989"/>
      <c r="T25" s="989"/>
      <c r="U25" s="989"/>
      <c r="V25" s="989"/>
      <c r="W25" s="989"/>
      <c r="X25" s="989"/>
      <c r="Y25" s="989"/>
      <c r="Z25" s="989"/>
      <c r="AA25" s="989"/>
      <c r="AB25" s="989"/>
      <c r="AC25" s="989"/>
      <c r="AD25" s="989"/>
      <c r="AE25" s="1253"/>
      <c r="AF25" s="989"/>
      <c r="AG25" s="989"/>
      <c r="AH25" s="989"/>
      <c r="AI25" s="989"/>
      <c r="AJ25" s="989"/>
      <c r="AK25" s="989"/>
      <c r="AL25" s="989"/>
      <c r="AM25" s="989"/>
      <c r="AN25" s="989"/>
      <c r="AO25" s="989"/>
      <c r="AP25" s="1265"/>
      <c r="AQ25" s="1243"/>
      <c r="AR25" s="1125"/>
      <c r="AS25" s="1125"/>
      <c r="AT25" s="1125"/>
      <c r="AU25" s="1125"/>
      <c r="AV25" s="1126"/>
    </row>
    <row r="26" spans="1:48" ht="16.5" x14ac:dyDescent="0.25">
      <c r="A26" s="1253"/>
      <c r="B26" s="1266" t="s">
        <v>474</v>
      </c>
      <c r="C26" s="1279"/>
      <c r="D26" s="989"/>
      <c r="E26" s="989">
        <f>IF(ISBLANK(E5),0,(D26-'Spending {supplement}'!F5))</f>
        <v>0</v>
      </c>
      <c r="F26" s="989">
        <f>IF(ISBLANK(F5),0,(E26-'Spending {supplement}'!G5))</f>
        <v>-17195000000</v>
      </c>
      <c r="G26" s="989">
        <f>IF(ISBLANK(G5),0,(F26-'Spending {supplement}'!H5))</f>
        <v>-17363000000</v>
      </c>
      <c r="H26" s="989">
        <f>IF(ISBLANK(H5),0,(G26-'Spending {supplement}'!I5))</f>
        <v>-17363000000</v>
      </c>
      <c r="I26" s="989">
        <f>IF(ISBLANK(I5),0,(H26-'Spending {supplement}'!J5))</f>
        <v>-51578000000</v>
      </c>
      <c r="J26" s="989">
        <f>IF(ISBLANK(J5),0,(I26-'Spending {supplement}'!K5))</f>
        <v>-51578000000</v>
      </c>
      <c r="K26" s="989">
        <f>IF(ISBLANK(K5),0,(J26-'Spending {supplement}'!L5))</f>
        <v>-51578000000</v>
      </c>
      <c r="L26" s="989">
        <f>IF(ISBLANK(L5),0,(K26-'Spending {supplement}'!M5))</f>
        <v>-51578000000</v>
      </c>
      <c r="M26" s="989">
        <f>IF(ISBLANK(M5),0,(L26-'Spending {supplement}'!N5))</f>
        <v>-51578000000</v>
      </c>
      <c r="N26" s="989">
        <f>IF(ISBLANK(N5),0,(M26-'Spending {supplement}'!O5))</f>
        <v>-51578000000</v>
      </c>
      <c r="O26" s="989">
        <f>IF(ISBLANK(O5),0,(N26-'Spending {supplement}'!P5))</f>
        <v>-51578000000</v>
      </c>
      <c r="P26" s="989">
        <f>IF(ISBLANK(P5),0,(O26-'Spending {supplement}'!Q5))</f>
        <v>-51578000000</v>
      </c>
      <c r="Q26" s="989">
        <f>IF(ISBLANK(Q5),0,(P26-'Spending {supplement}'!R5))</f>
        <v>0</v>
      </c>
      <c r="R26" s="1280">
        <f>IF(ISBLANK(R5),0,(Q26-'Spending {supplement}'!S5))</f>
        <v>0</v>
      </c>
      <c r="S26" s="989">
        <f>IF(ISBLANK(S5),0,(R26-'Spending {supplement}'!T5))</f>
        <v>0</v>
      </c>
      <c r="T26" s="989">
        <f>IF(ISBLANK(T5),0,(S26-'Spending {supplement}'!U5))</f>
        <v>0</v>
      </c>
      <c r="U26" s="989">
        <f>IF(ISBLANK(U5),0,(T26-'Spending {supplement}'!V5))</f>
        <v>0</v>
      </c>
      <c r="V26" s="989">
        <f>IF(ISBLANK(V5),0,(U26-'Spending {supplement}'!W5))</f>
        <v>0</v>
      </c>
      <c r="W26" s="989">
        <f>IF(ISBLANK(W5),0,(V26-'Spending {supplement}'!X5))</f>
        <v>0</v>
      </c>
      <c r="X26" s="989">
        <f>IF(ISBLANK(X5),0,(W26-'Spending {supplement}'!Y5))</f>
        <v>0</v>
      </c>
      <c r="Y26" s="989">
        <f>IF(ISBLANK(Y5),0,(X26-'Spending {supplement}'!Z5))</f>
        <v>0</v>
      </c>
      <c r="Z26" s="989">
        <f>IF(ISBLANK(Z5),0,(Y26-'Spending {supplement}'!AA5))</f>
        <v>0</v>
      </c>
      <c r="AA26" s="989">
        <f>IF(ISBLANK(AA5),0,(Z26-'Spending {supplement}'!AB5))</f>
        <v>0</v>
      </c>
      <c r="AB26" s="989">
        <f>IF(ISBLANK(AB5),0,(AA26-'Spending {supplement}'!AC5))</f>
        <v>0</v>
      </c>
      <c r="AC26" s="989">
        <f>IF(ISBLANK(AC5),0,(AB26-'Spending {supplement}'!AD5))</f>
        <v>0</v>
      </c>
      <c r="AD26" s="989">
        <f>IF(ISBLANK(AD5),0,(AC26-'Spending {supplement}'!AE5))</f>
        <v>0</v>
      </c>
      <c r="AE26" s="1281">
        <f>IF(ISBLANK(AE5),0,(AD26-'Spending {supplement}'!AF5))</f>
        <v>0</v>
      </c>
      <c r="AF26" s="989">
        <f>IF(ISBLANK(AF5),0,(AE26-'Spending {supplement}'!AG5))</f>
        <v>0</v>
      </c>
      <c r="AG26" s="989">
        <f>IF(ISBLANK(AG5),0,(AF26-'Spending {supplement}'!AH5))</f>
        <v>0</v>
      </c>
      <c r="AH26" s="989">
        <f>IF(ISBLANK(AH5),0,(AG26-'Spending {supplement}'!AI5))</f>
        <v>0</v>
      </c>
      <c r="AI26" s="989">
        <f>IF(ISBLANK(AI5),0,(AH26-'Spending {supplement}'!AJ5))</f>
        <v>0</v>
      </c>
      <c r="AJ26" s="989">
        <f>IF(ISBLANK(AJ5),0,(AI26-'Spending {supplement}'!AK5))</f>
        <v>0</v>
      </c>
      <c r="AK26" s="989">
        <f>IF(ISBLANK(AK5),0,(AJ26-'Spending {supplement}'!AL5))</f>
        <v>0</v>
      </c>
      <c r="AL26" s="989">
        <f>IF(ISBLANK(AL5),0,(AK26-'Spending {supplement}'!AM5))</f>
        <v>0</v>
      </c>
      <c r="AM26" s="989">
        <f>IF(ISBLANK(AM5),0,(AL26-'Spending {supplement}'!AN5))</f>
        <v>0</v>
      </c>
      <c r="AN26" s="989">
        <f>IF(ISBLANK(AN5),0,(AM26-'Spending {supplement}'!AO5))</f>
        <v>0</v>
      </c>
      <c r="AO26" s="989">
        <f>IF(ISBLANK(AO5),0,(AN26-'Spending {supplement}'!AP5))</f>
        <v>0</v>
      </c>
      <c r="AP26" s="1265">
        <f>IF(ISBLANK(AP5),0,(AO26-'Spending {supplement}'!AQ5))</f>
        <v>0</v>
      </c>
      <c r="AQ26" s="1243"/>
      <c r="AR26" s="1125"/>
      <c r="AS26" s="1125"/>
      <c r="AT26" s="1125"/>
      <c r="AU26" s="1125"/>
      <c r="AV26" s="1126"/>
    </row>
    <row r="27" spans="1:48" ht="16.5" x14ac:dyDescent="0.25">
      <c r="A27" s="1253"/>
      <c r="B27" s="1266" t="s">
        <v>475</v>
      </c>
      <c r="C27" s="989"/>
      <c r="D27" s="989"/>
      <c r="E27" s="989"/>
      <c r="F27" s="989"/>
      <c r="G27" s="989"/>
      <c r="H27" s="989"/>
      <c r="I27" s="989"/>
      <c r="J27" s="989"/>
      <c r="K27" s="989"/>
      <c r="L27" s="989"/>
      <c r="M27" s="989"/>
      <c r="N27" s="989"/>
      <c r="O27" s="989"/>
      <c r="P27" s="989"/>
      <c r="Q27" s="989"/>
      <c r="R27" s="1253"/>
      <c r="S27" s="989"/>
      <c r="T27" s="989"/>
      <c r="U27" s="989"/>
      <c r="V27" s="989"/>
      <c r="W27" s="989"/>
      <c r="X27" s="989"/>
      <c r="Y27" s="989"/>
      <c r="Z27" s="989"/>
      <c r="AA27" s="989"/>
      <c r="AB27" s="989"/>
      <c r="AC27" s="989"/>
      <c r="AD27" s="989"/>
      <c r="AE27" s="1253"/>
      <c r="AF27" s="989"/>
      <c r="AG27" s="989"/>
      <c r="AH27" s="989"/>
      <c r="AI27" s="989"/>
      <c r="AJ27" s="989"/>
      <c r="AK27" s="989"/>
      <c r="AL27" s="989"/>
      <c r="AM27" s="989"/>
      <c r="AN27" s="989"/>
      <c r="AO27" s="989"/>
      <c r="AP27" s="1265"/>
      <c r="AQ27" s="1243"/>
      <c r="AR27" s="1125"/>
      <c r="AS27" s="1125"/>
      <c r="AT27" s="1125"/>
      <c r="AU27" s="1125"/>
      <c r="AV27" s="1126"/>
    </row>
    <row r="28" spans="1:48" ht="16.5" x14ac:dyDescent="0.25">
      <c r="A28" s="1253"/>
      <c r="B28" s="1266" t="s">
        <v>476</v>
      </c>
      <c r="C28" s="989"/>
      <c r="D28" s="989"/>
      <c r="E28" s="989"/>
      <c r="F28" s="989"/>
      <c r="G28" s="989"/>
      <c r="H28" s="989"/>
      <c r="I28" s="989"/>
      <c r="J28" s="989"/>
      <c r="K28" s="989"/>
      <c r="L28" s="989"/>
      <c r="M28" s="989"/>
      <c r="N28" s="989"/>
      <c r="O28" s="989"/>
      <c r="P28" s="989"/>
      <c r="Q28" s="989"/>
      <c r="R28" s="1253"/>
      <c r="S28" s="989"/>
      <c r="T28" s="989"/>
      <c r="U28" s="989"/>
      <c r="V28" s="989"/>
      <c r="W28" s="989"/>
      <c r="X28" s="989"/>
      <c r="Y28" s="989"/>
      <c r="Z28" s="989"/>
      <c r="AA28" s="989"/>
      <c r="AB28" s="989"/>
      <c r="AC28" s="989"/>
      <c r="AD28" s="989"/>
      <c r="AE28" s="1253"/>
      <c r="AF28" s="989"/>
      <c r="AG28" s="989"/>
      <c r="AH28" s="989"/>
      <c r="AI28" s="989"/>
      <c r="AJ28" s="989"/>
      <c r="AK28" s="989"/>
      <c r="AL28" s="989"/>
      <c r="AM28" s="989"/>
      <c r="AN28" s="989"/>
      <c r="AO28" s="989"/>
      <c r="AP28" s="1265"/>
      <c r="AQ28" s="1243"/>
      <c r="AR28" s="1125"/>
      <c r="AS28" s="1125"/>
      <c r="AT28" s="1125"/>
      <c r="AU28" s="1125"/>
      <c r="AV28" s="1126"/>
    </row>
    <row r="29" spans="1:48" ht="16.5" x14ac:dyDescent="0.25">
      <c r="A29" s="1446" t="s">
        <v>477</v>
      </c>
      <c r="B29" s="1373"/>
      <c r="C29" s="1267"/>
      <c r="D29" s="1267"/>
      <c r="E29" s="1267">
        <f t="shared" ref="E29:P29" si="4">SUM(E21:E28)</f>
        <v>0</v>
      </c>
      <c r="F29" s="1267">
        <f t="shared" si="4"/>
        <v>-17195000000</v>
      </c>
      <c r="G29" s="1267">
        <f t="shared" si="4"/>
        <v>-17363000000</v>
      </c>
      <c r="H29" s="1267">
        <f t="shared" si="4"/>
        <v>-17363000000</v>
      </c>
      <c r="I29" s="1267">
        <f t="shared" si="4"/>
        <v>-51578000000</v>
      </c>
      <c r="J29" s="1267">
        <f t="shared" si="4"/>
        <v>-51578000000</v>
      </c>
      <c r="K29" s="1267">
        <f t="shared" si="4"/>
        <v>-51578000000</v>
      </c>
      <c r="L29" s="1267">
        <f t="shared" si="4"/>
        <v>-51578000000</v>
      </c>
      <c r="M29" s="1267">
        <f t="shared" si="4"/>
        <v>-51578000000</v>
      </c>
      <c r="N29" s="1267">
        <f t="shared" si="4"/>
        <v>-51578000000</v>
      </c>
      <c r="O29" s="1267">
        <f t="shared" si="4"/>
        <v>-51578000000</v>
      </c>
      <c r="P29" s="1267">
        <f t="shared" si="4"/>
        <v>-51578000000</v>
      </c>
      <c r="Q29" s="1267"/>
      <c r="R29" s="1282">
        <f t="shared" ref="R29:AC29" si="5">SUM(R21:R28)</f>
        <v>0</v>
      </c>
      <c r="S29" s="1267">
        <f t="shared" si="5"/>
        <v>0</v>
      </c>
      <c r="T29" s="1267">
        <f t="shared" si="5"/>
        <v>0</v>
      </c>
      <c r="U29" s="1267">
        <f t="shared" si="5"/>
        <v>0</v>
      </c>
      <c r="V29" s="1267">
        <f t="shared" si="5"/>
        <v>0</v>
      </c>
      <c r="W29" s="1267">
        <f t="shared" si="5"/>
        <v>0</v>
      </c>
      <c r="X29" s="1267">
        <f t="shared" si="5"/>
        <v>0</v>
      </c>
      <c r="Y29" s="1267">
        <f t="shared" si="5"/>
        <v>0</v>
      </c>
      <c r="Z29" s="1267">
        <f t="shared" si="5"/>
        <v>0</v>
      </c>
      <c r="AA29" s="1267">
        <f t="shared" si="5"/>
        <v>0</v>
      </c>
      <c r="AB29" s="1267">
        <f t="shared" si="5"/>
        <v>0</v>
      </c>
      <c r="AC29" s="1267">
        <f t="shared" si="5"/>
        <v>0</v>
      </c>
      <c r="AD29" s="1267"/>
      <c r="AE29" s="1282">
        <f t="shared" ref="AE29:AP29" si="6">SUM(AE21:AE28)</f>
        <v>0</v>
      </c>
      <c r="AF29" s="1267">
        <f t="shared" si="6"/>
        <v>0</v>
      </c>
      <c r="AG29" s="1267">
        <f t="shared" si="6"/>
        <v>0</v>
      </c>
      <c r="AH29" s="1267">
        <f t="shared" si="6"/>
        <v>0</v>
      </c>
      <c r="AI29" s="1267">
        <f t="shared" si="6"/>
        <v>0</v>
      </c>
      <c r="AJ29" s="1267">
        <f t="shared" si="6"/>
        <v>0</v>
      </c>
      <c r="AK29" s="1267">
        <f t="shared" si="6"/>
        <v>0</v>
      </c>
      <c r="AL29" s="1267">
        <f t="shared" si="6"/>
        <v>0</v>
      </c>
      <c r="AM29" s="1267">
        <f t="shared" si="6"/>
        <v>0</v>
      </c>
      <c r="AN29" s="1267">
        <f t="shared" si="6"/>
        <v>0</v>
      </c>
      <c r="AO29" s="1267">
        <f t="shared" si="6"/>
        <v>0</v>
      </c>
      <c r="AP29" s="1283">
        <f t="shared" si="6"/>
        <v>0</v>
      </c>
      <c r="AQ29" s="1271"/>
      <c r="AR29" s="1272"/>
      <c r="AS29" s="1272"/>
      <c r="AT29" s="1272"/>
      <c r="AU29" s="1272"/>
      <c r="AV29" s="1273"/>
    </row>
    <row r="30" spans="1:48" ht="16.5" x14ac:dyDescent="0.25">
      <c r="A30" s="1444" t="s">
        <v>478</v>
      </c>
      <c r="B30" s="1373"/>
      <c r="C30" s="1260"/>
      <c r="D30" s="1260"/>
      <c r="E30" s="1450"/>
      <c r="F30" s="1343"/>
      <c r="G30" s="1450"/>
      <c r="H30" s="1343"/>
      <c r="I30" s="1450"/>
      <c r="J30" s="1343"/>
      <c r="K30" s="1450"/>
      <c r="L30" s="1343"/>
      <c r="M30" s="1450"/>
      <c r="N30" s="1343"/>
      <c r="O30" s="1260"/>
      <c r="P30" s="1260"/>
      <c r="Q30" s="1260"/>
      <c r="R30" s="1451"/>
      <c r="S30" s="1343"/>
      <c r="T30" s="1450"/>
      <c r="U30" s="1343"/>
      <c r="V30" s="1450"/>
      <c r="W30" s="1343"/>
      <c r="X30" s="1450"/>
      <c r="Y30" s="1343"/>
      <c r="Z30" s="1450"/>
      <c r="AA30" s="1343"/>
      <c r="AB30" s="1260"/>
      <c r="AC30" s="1260"/>
      <c r="AD30" s="1260"/>
      <c r="AE30" s="1451"/>
      <c r="AF30" s="1343"/>
      <c r="AG30" s="1450"/>
      <c r="AH30" s="1343"/>
      <c r="AI30" s="1450"/>
      <c r="AJ30" s="1343"/>
      <c r="AK30" s="1450"/>
      <c r="AL30" s="1343"/>
      <c r="AM30" s="1450"/>
      <c r="AN30" s="1343"/>
      <c r="AO30" s="1260"/>
      <c r="AP30" s="1275"/>
      <c r="AQ30" s="1243"/>
      <c r="AR30" s="1125"/>
      <c r="AS30" s="1125"/>
      <c r="AT30" s="1125"/>
      <c r="AU30" s="1125"/>
      <c r="AV30" s="1126"/>
    </row>
    <row r="31" spans="1:48" ht="16.5" x14ac:dyDescent="0.25">
      <c r="A31" s="1445" t="s">
        <v>459</v>
      </c>
      <c r="B31" s="1373"/>
      <c r="C31" s="989"/>
      <c r="D31" s="989"/>
      <c r="E31" s="989"/>
      <c r="F31" s="989"/>
      <c r="G31" s="989"/>
      <c r="H31" s="989"/>
      <c r="I31" s="989"/>
      <c r="J31" s="989"/>
      <c r="K31" s="989"/>
      <c r="L31" s="989"/>
      <c r="M31" s="989"/>
      <c r="N31" s="989"/>
      <c r="O31" s="989"/>
      <c r="P31" s="989"/>
      <c r="Q31" s="989"/>
      <c r="R31" s="1253"/>
      <c r="S31" s="989"/>
      <c r="T31" s="989"/>
      <c r="U31" s="989"/>
      <c r="V31" s="989"/>
      <c r="W31" s="989"/>
      <c r="X31" s="989"/>
      <c r="Y31" s="989"/>
      <c r="Z31" s="989"/>
      <c r="AA31" s="989"/>
      <c r="AB31" s="989"/>
      <c r="AC31" s="989"/>
      <c r="AD31" s="989"/>
      <c r="AE31" s="1253"/>
      <c r="AF31" s="989"/>
      <c r="AG31" s="989"/>
      <c r="AH31" s="989"/>
      <c r="AI31" s="989"/>
      <c r="AJ31" s="989"/>
      <c r="AK31" s="989"/>
      <c r="AL31" s="989"/>
      <c r="AM31" s="989"/>
      <c r="AN31" s="989"/>
      <c r="AO31" s="989"/>
      <c r="AP31" s="1265"/>
      <c r="AQ31" s="1243"/>
      <c r="AR31" s="1125"/>
      <c r="AS31" s="1125"/>
      <c r="AT31" s="1125"/>
      <c r="AU31" s="1125"/>
      <c r="AV31" s="1126"/>
    </row>
    <row r="32" spans="1:48" ht="16.5" x14ac:dyDescent="0.25">
      <c r="A32" s="1253"/>
      <c r="B32" s="1266" t="s">
        <v>479</v>
      </c>
      <c r="C32" s="989"/>
      <c r="D32" s="989"/>
      <c r="E32" s="989"/>
      <c r="F32" s="989">
        <f>Parameter!B26</f>
        <v>21600000000</v>
      </c>
      <c r="G32" s="989">
        <f t="shared" ref="G32:Q32" si="7">IF(ISBLANK(G5),0,F32)</f>
        <v>21600000000</v>
      </c>
      <c r="H32" s="989">
        <f t="shared" si="7"/>
        <v>21600000000</v>
      </c>
      <c r="I32" s="989">
        <f t="shared" si="7"/>
        <v>21600000000</v>
      </c>
      <c r="J32" s="989">
        <f t="shared" si="7"/>
        <v>21600000000</v>
      </c>
      <c r="K32" s="989">
        <f t="shared" si="7"/>
        <v>21600000000</v>
      </c>
      <c r="L32" s="989">
        <f t="shared" si="7"/>
        <v>21600000000</v>
      </c>
      <c r="M32" s="989">
        <f t="shared" si="7"/>
        <v>21600000000</v>
      </c>
      <c r="N32" s="989">
        <f t="shared" si="7"/>
        <v>21600000000</v>
      </c>
      <c r="O32" s="989">
        <f t="shared" si="7"/>
        <v>21600000000</v>
      </c>
      <c r="P32" s="989">
        <f t="shared" si="7"/>
        <v>21600000000</v>
      </c>
      <c r="Q32" s="989">
        <f t="shared" si="7"/>
        <v>0</v>
      </c>
      <c r="R32" s="1253"/>
      <c r="S32" s="989"/>
      <c r="T32" s="989"/>
      <c r="U32" s="989"/>
      <c r="V32" s="989"/>
      <c r="W32" s="989"/>
      <c r="X32" s="989"/>
      <c r="Y32" s="989"/>
      <c r="Z32" s="989"/>
      <c r="AA32" s="989"/>
      <c r="AB32" s="989"/>
      <c r="AC32" s="989"/>
      <c r="AD32" s="989"/>
      <c r="AE32" s="1253"/>
      <c r="AF32" s="989"/>
      <c r="AG32" s="989"/>
      <c r="AH32" s="989"/>
      <c r="AI32" s="989"/>
      <c r="AJ32" s="989"/>
      <c r="AK32" s="989"/>
      <c r="AL32" s="989"/>
      <c r="AM32" s="989"/>
      <c r="AN32" s="989"/>
      <c r="AO32" s="989"/>
      <c r="AP32" s="1265"/>
      <c r="AQ32" s="1243"/>
      <c r="AR32" s="1125"/>
      <c r="AS32" s="1125"/>
      <c r="AT32" s="1125"/>
      <c r="AU32" s="1125"/>
      <c r="AV32" s="1126"/>
    </row>
    <row r="33" spans="1:48" ht="16.5" x14ac:dyDescent="0.25">
      <c r="A33" s="1253"/>
      <c r="B33" s="1266" t="s">
        <v>480</v>
      </c>
      <c r="C33" s="989"/>
      <c r="D33" s="989"/>
      <c r="E33" s="989">
        <f ca="1">IF(ISBLANK(E19),0,'Loan repay {supplement}'!H11+D33)</f>
        <v>0</v>
      </c>
      <c r="F33" s="989">
        <f ca="1">IF(ISBLANK(F19),0,'Loan repay {supplement}'!I11+E33)</f>
        <v>0</v>
      </c>
      <c r="G33" s="989">
        <f ca="1">IF(ISBLANK(G19),0,'Loan repay {supplement}'!J11+F33)</f>
        <v>0</v>
      </c>
      <c r="H33" s="989">
        <f ca="1">IF(ISBLANK(H19),0,'Loan repay {supplement}'!K11+G33)</f>
        <v>0</v>
      </c>
      <c r="I33" s="989">
        <f ca="1">IF(ISBLANK(I19),0,'Loan repay {supplement}'!L11+H33)</f>
        <v>14399999999.999996</v>
      </c>
      <c r="J33" s="989">
        <f ca="1">IF(ISBLANK(J19),0,'Loan repay {supplement}'!M11+I33)</f>
        <v>14399999999.999996</v>
      </c>
      <c r="K33" s="989">
        <f ca="1">IF(ISBLANK(K19),0,'Loan repay {supplement}'!N11+J33)</f>
        <v>14399999999.999996</v>
      </c>
      <c r="L33" s="989">
        <f ca="1">IF(ISBLANK(L19),0,'Loan repay {supplement}'!O11+K33)</f>
        <v>14399999999.999996</v>
      </c>
      <c r="M33" s="989">
        <f ca="1">IF(ISBLANK(M19),0,'Loan repay {supplement}'!P11+L33)</f>
        <v>14399999999.999996</v>
      </c>
      <c r="N33" s="989">
        <f ca="1">IF(ISBLANK(N19),0,'Loan repay {supplement}'!Q11+M33)</f>
        <v>14399999999.999996</v>
      </c>
      <c r="O33" s="989">
        <f ca="1">IF(ISBLANK(O19),0,'Loan repay {supplement}'!R11+N33)</f>
        <v>14399999999.999996</v>
      </c>
      <c r="P33" s="989">
        <f ca="1">IF(ISBLANK(P19),0,'Loan repay {supplement}'!S11+O33)</f>
        <v>14399999999.999996</v>
      </c>
      <c r="Q33" s="989">
        <f>IF(ISBLANK(Q19),0,'Loan repay {supplement}'!T11+P33)</f>
        <v>0</v>
      </c>
      <c r="R33" s="1253">
        <f ca="1">IF(ISBLANK(R19),0,'Loan repay {supplement}'!U11+Q33)</f>
        <v>0</v>
      </c>
      <c r="S33" s="989">
        <f ca="1">IF(ISBLANK(S19),0,'Loan repay {supplement}'!V11+R33)</f>
        <v>0</v>
      </c>
      <c r="T33" s="989">
        <f ca="1">IF(ISBLANK(T19),0,'Loan repay {supplement}'!W11+S33)</f>
        <v>0</v>
      </c>
      <c r="U33" s="989">
        <f ca="1">IF(ISBLANK(U19),0,'Loan repay {supplement}'!X11+T33)</f>
        <v>0</v>
      </c>
      <c r="V33" s="989">
        <f ca="1">IF(ISBLANK(V19),0,'Loan repay {supplement}'!Y11+U33)</f>
        <v>14399999999.999996</v>
      </c>
      <c r="W33" s="989">
        <f ca="1">IF(ISBLANK(W19),0,'Loan repay {supplement}'!Z11+V33)</f>
        <v>14399999999.999996</v>
      </c>
      <c r="X33" s="989">
        <f ca="1">IF(ISBLANK(X19),0,'Loan repay {supplement}'!AA11+W33)</f>
        <v>14399999999.999996</v>
      </c>
      <c r="Y33" s="989">
        <f ca="1">IF(ISBLANK(Y19),0,'Loan repay {supplement}'!AB11+X33)</f>
        <v>14399999999.999996</v>
      </c>
      <c r="Z33" s="989">
        <f ca="1">IF(ISBLANK(Z19),0,'Loan repay {supplement}'!AC11+Y33)</f>
        <v>14399999999.999996</v>
      </c>
      <c r="AA33" s="989">
        <f ca="1">IF(ISBLANK(AA19),0,'Loan repay {supplement}'!AD11+Z33)</f>
        <v>14399999999.999996</v>
      </c>
      <c r="AB33" s="989">
        <f ca="1">IF(ISBLANK(AB19),0,'Loan repay {supplement}'!AE11+AA33)</f>
        <v>14399999999.999996</v>
      </c>
      <c r="AC33" s="989">
        <f ca="1">IF(ISBLANK(AC19),0,'Loan repay {supplement}'!AF11+AB33)</f>
        <v>14399999999.999996</v>
      </c>
      <c r="AD33" s="989">
        <f>IF(ISBLANK(AD19),0,'Loan repay {supplement}'!AG11+AC33)</f>
        <v>0</v>
      </c>
      <c r="AE33" s="1253">
        <f ca="1">IF(ISBLANK(AE19),0,'Loan repay {supplement}'!AH11+AD33)</f>
        <v>0</v>
      </c>
      <c r="AF33" s="989">
        <f ca="1">IF(ISBLANK(AF19),0,'Loan repay {supplement}'!AI11+AE33)</f>
        <v>0</v>
      </c>
      <c r="AG33" s="989">
        <f ca="1">IF(ISBLANK(AG19),0,'Loan repay {supplement}'!AJ11+AF33)</f>
        <v>0</v>
      </c>
      <c r="AH33" s="989">
        <f ca="1">IF(ISBLANK(AH19),0,'Loan repay {supplement}'!AK11+AG33)</f>
        <v>0</v>
      </c>
      <c r="AI33" s="989">
        <f ca="1">IF(ISBLANK(AI19),0,'Loan repay {supplement}'!AL11+AH33)</f>
        <v>14399999999.999996</v>
      </c>
      <c r="AJ33" s="989">
        <f ca="1">IF(ISBLANK(AJ19),0,'Loan repay {supplement}'!AM11+AI33)</f>
        <v>14399999999.999996</v>
      </c>
      <c r="AK33" s="989">
        <f ca="1">IF(ISBLANK(AK19),0,'Loan repay {supplement}'!AN11+AJ33)</f>
        <v>14399999999.999996</v>
      </c>
      <c r="AL33" s="989">
        <f ca="1">IF(ISBLANK(AL19),0,'Loan repay {supplement}'!AO11+AK33)</f>
        <v>14399999999.999996</v>
      </c>
      <c r="AM33" s="989">
        <f ca="1">IF(ISBLANK(AM19),0,'Loan repay {supplement}'!AP11+AL33)</f>
        <v>14399999999.999996</v>
      </c>
      <c r="AN33" s="989">
        <f ca="1">IF(ISBLANK(AN19),0,'Loan repay {supplement}'!AQ11+AM33)</f>
        <v>14399999999.999996</v>
      </c>
      <c r="AO33" s="989">
        <f ca="1">IF(ISBLANK(AO19),0,'Loan repay {supplement}'!AR11+AN33)</f>
        <v>14399999999.999996</v>
      </c>
      <c r="AP33" s="1265">
        <f ca="1">IF(ISBLANK(AP19),0,'Loan repay {supplement}'!AS11+AO33)</f>
        <v>14399999999.999996</v>
      </c>
      <c r="AQ33" s="1243"/>
      <c r="AR33" s="1125"/>
      <c r="AS33" s="1125"/>
      <c r="AT33" s="1125"/>
      <c r="AU33" s="1125"/>
      <c r="AV33" s="1126"/>
    </row>
    <row r="34" spans="1:48" ht="16.5" x14ac:dyDescent="0.25">
      <c r="A34" s="1445" t="s">
        <v>463</v>
      </c>
      <c r="B34" s="1373"/>
      <c r="C34" s="989"/>
      <c r="D34" s="989"/>
      <c r="E34" s="989"/>
      <c r="F34" s="989"/>
      <c r="G34" s="989"/>
      <c r="H34" s="989"/>
      <c r="I34" s="989"/>
      <c r="J34" s="989"/>
      <c r="K34" s="989"/>
      <c r="L34" s="989"/>
      <c r="M34" s="989"/>
      <c r="N34" s="989"/>
      <c r="O34" s="989"/>
      <c r="P34" s="989"/>
      <c r="Q34" s="989"/>
      <c r="R34" s="1253"/>
      <c r="S34" s="989"/>
      <c r="T34" s="989"/>
      <c r="U34" s="989"/>
      <c r="V34" s="989"/>
      <c r="W34" s="989"/>
      <c r="X34" s="989"/>
      <c r="Y34" s="989"/>
      <c r="Z34" s="989"/>
      <c r="AA34" s="989"/>
      <c r="AB34" s="989"/>
      <c r="AC34" s="989"/>
      <c r="AD34" s="989"/>
      <c r="AE34" s="1253"/>
      <c r="AF34" s="989"/>
      <c r="AG34" s="989"/>
      <c r="AH34" s="989"/>
      <c r="AI34" s="989"/>
      <c r="AJ34" s="989"/>
      <c r="AK34" s="989"/>
      <c r="AL34" s="989"/>
      <c r="AM34" s="989"/>
      <c r="AN34" s="989"/>
      <c r="AO34" s="989"/>
      <c r="AP34" s="1265"/>
      <c r="AQ34" s="1243"/>
      <c r="AR34" s="1125"/>
      <c r="AS34" s="1125"/>
      <c r="AT34" s="1125"/>
      <c r="AU34" s="1125"/>
      <c r="AV34" s="1126"/>
    </row>
    <row r="35" spans="1:48" ht="16.5" x14ac:dyDescent="0.25">
      <c r="A35" s="1253"/>
      <c r="B35" s="1266" t="s">
        <v>481</v>
      </c>
      <c r="C35" s="989"/>
      <c r="D35" s="989"/>
      <c r="E35" s="989"/>
      <c r="F35" s="989"/>
      <c r="G35" s="989"/>
      <c r="H35" s="989"/>
      <c r="I35" s="989"/>
      <c r="J35" s="989"/>
      <c r="K35" s="989"/>
      <c r="L35" s="989"/>
      <c r="M35" s="989"/>
      <c r="N35" s="989"/>
      <c r="O35" s="989"/>
      <c r="P35" s="989"/>
      <c r="Q35" s="989"/>
      <c r="R35" s="1253"/>
      <c r="S35" s="989"/>
      <c r="T35" s="989"/>
      <c r="U35" s="989"/>
      <c r="V35" s="989"/>
      <c r="W35" s="989"/>
      <c r="X35" s="989"/>
      <c r="Y35" s="989"/>
      <c r="Z35" s="989"/>
      <c r="AA35" s="989"/>
      <c r="AB35" s="989"/>
      <c r="AC35" s="989"/>
      <c r="AD35" s="989"/>
      <c r="AE35" s="1253"/>
      <c r="AF35" s="989"/>
      <c r="AG35" s="989"/>
      <c r="AH35" s="989"/>
      <c r="AI35" s="989"/>
      <c r="AJ35" s="989"/>
      <c r="AK35" s="989"/>
      <c r="AL35" s="989"/>
      <c r="AM35" s="989"/>
      <c r="AN35" s="989"/>
      <c r="AO35" s="989"/>
      <c r="AP35" s="1265"/>
      <c r="AQ35" s="1243"/>
      <c r="AR35" s="1125"/>
      <c r="AS35" s="1125"/>
      <c r="AT35" s="1125"/>
      <c r="AU35" s="1125"/>
      <c r="AV35" s="1126"/>
    </row>
    <row r="36" spans="1:48" ht="16.5" x14ac:dyDescent="0.25">
      <c r="A36" s="1253"/>
      <c r="B36" s="1266" t="s">
        <v>482</v>
      </c>
      <c r="C36" s="989"/>
      <c r="D36" s="989"/>
      <c r="E36" s="989">
        <f>IF(ISBLANK(E5),0,-'Loan repay {supplement}'!H10+D36)</f>
        <v>0</v>
      </c>
      <c r="F36" s="989">
        <f>IF(ISBLANK(F5),0,-'Loan repay {supplement}'!I10+E36)</f>
        <v>0</v>
      </c>
      <c r="G36" s="989">
        <f>IF(ISBLANK(G5),0,-'Loan repay {supplement}'!J10+F36)</f>
        <v>0</v>
      </c>
      <c r="H36" s="989">
        <f>IF(ISBLANK(H5),0,-'Loan repay {supplement}'!K10+G36)</f>
        <v>0</v>
      </c>
      <c r="I36" s="989">
        <f>IF(ISBLANK(I5),0,-'Loan repay {supplement}'!L10+H36)</f>
        <v>0</v>
      </c>
      <c r="J36" s="989">
        <f>IF(ISBLANK(J5),0,-'Loan repay {supplement}'!M10+I36)</f>
        <v>-1199999999.9999998</v>
      </c>
      <c r="K36" s="989">
        <f>IF(ISBLANK(K5),0,-'Loan repay {supplement}'!N10+J36)</f>
        <v>-2399999999.9999995</v>
      </c>
      <c r="L36" s="989">
        <f>IF(ISBLANK(L5),0,-'Loan repay {supplement}'!O10+K36)</f>
        <v>-3599999999.999999</v>
      </c>
      <c r="M36" s="989">
        <f>IF(ISBLANK(M5),0,-'Loan repay {supplement}'!P10+L36)</f>
        <v>-4799999999.999999</v>
      </c>
      <c r="N36" s="989">
        <f>IF(ISBLANK(N5),0,-'Loan repay {supplement}'!Q10+M36)</f>
        <v>-5999999999.999999</v>
      </c>
      <c r="O36" s="989">
        <f>IF(ISBLANK(O5),0,-'Loan repay {supplement}'!R10+N36)</f>
        <v>-7199999999.999999</v>
      </c>
      <c r="P36" s="989">
        <f>IF(ISBLANK(P5),0,-'Loan repay {supplement}'!S10+O36)</f>
        <v>-8399999999.999999</v>
      </c>
      <c r="Q36" s="989">
        <f>IF(ISBLANK(Q5),0,-'Loan repay {supplement}'!T10+P36)</f>
        <v>0</v>
      </c>
      <c r="R36" s="1253">
        <f>IF(ISBLANK(R5),0,-'Loan repay {supplement}'!U10+Q36)</f>
        <v>-1199999999.9999998</v>
      </c>
      <c r="S36" s="989">
        <f>IF(ISBLANK(S5),0,-'Loan repay {supplement}'!V10+R36)</f>
        <v>-2399999999.9999995</v>
      </c>
      <c r="T36" s="989">
        <f>IF(ISBLANK(T5),0,-'Loan repay {supplement}'!W10+S36)</f>
        <v>-3599999999.999999</v>
      </c>
      <c r="U36" s="989">
        <f>IF(ISBLANK(U5),0,-'Loan repay {supplement}'!X10+T36)</f>
        <v>-4799999999.999999</v>
      </c>
      <c r="V36" s="989">
        <f>IF(ISBLANK(V5),0,-'Loan repay {supplement}'!Y10+U36)</f>
        <v>-5999999999.999999</v>
      </c>
      <c r="W36" s="989">
        <f>IF(ISBLANK(W5),0,-'Loan repay {supplement}'!Z10+V36)</f>
        <v>-7199999999.9999981</v>
      </c>
      <c r="X36" s="989">
        <f>IF(ISBLANK(X5),0,-'Loan repay {supplement}'!AA10+W36)</f>
        <v>-8399999999.9999981</v>
      </c>
      <c r="Y36" s="989">
        <f>IF(ISBLANK(Y5),0,-'Loan repay {supplement}'!AB10+X36)</f>
        <v>-9599999999.9999981</v>
      </c>
      <c r="Z36" s="989">
        <f>IF(ISBLANK(Z5),0,-'Loan repay {supplement}'!AC10+Y36)</f>
        <v>-10799999999.999998</v>
      </c>
      <c r="AA36" s="989">
        <f>IF(ISBLANK(AA5),0,-'Loan repay {supplement}'!AD10+Z36)</f>
        <v>-11999999999.999998</v>
      </c>
      <c r="AB36" s="989">
        <f>IF(ISBLANK(AB5),0,-'Loan repay {supplement}'!AE10+AA36)</f>
        <v>-13199999999.999998</v>
      </c>
      <c r="AC36" s="989">
        <f>IF(ISBLANK(AC5),0,-'Loan repay {supplement}'!AF10+AB36)</f>
        <v>-14399999999.999998</v>
      </c>
      <c r="AD36" s="989">
        <f>IF(ISBLANK(AD5),0,-'Loan repay {supplement}'!AG10+AC36)</f>
        <v>0</v>
      </c>
      <c r="AE36" s="1253">
        <f>IF(ISBLANK(AE5),0,-'Loan repay {supplement}'!AH10+AD36)</f>
        <v>-1199999999.9999998</v>
      </c>
      <c r="AF36" s="989">
        <f>IF(ISBLANK(AF5),0,-'Loan repay {supplement}'!AI10+AE36)</f>
        <v>-2399999999.9999995</v>
      </c>
      <c r="AG36" s="989">
        <f>IF(ISBLANK(AG5),0,-'Loan repay {supplement}'!AJ10+AF36)</f>
        <v>-3599999999.999999</v>
      </c>
      <c r="AH36" s="989">
        <f>IF(ISBLANK(AH5),0,-'Loan repay {supplement}'!AK10+AG36)</f>
        <v>-4799999999.999999</v>
      </c>
      <c r="AI36" s="989">
        <f>IF(ISBLANK(AI5),0,-'Loan repay {supplement}'!AL10+AH36)</f>
        <v>-5999999999.999999</v>
      </c>
      <c r="AJ36" s="989">
        <f>IF(ISBLANK(AJ5),0,-'Loan repay {supplement}'!AM10+AI36)</f>
        <v>-7199999999.9999981</v>
      </c>
      <c r="AK36" s="989">
        <f>IF(ISBLANK(AK5),0,-'Loan repay {supplement}'!AN10+AJ36)</f>
        <v>-8399999999.9999981</v>
      </c>
      <c r="AL36" s="989">
        <f>IF(ISBLANK(AL5),0,-'Loan repay {supplement}'!AO10+AK36)</f>
        <v>-9599999999.9999981</v>
      </c>
      <c r="AM36" s="989">
        <f>IF(ISBLANK(AM5),0,-'Loan repay {supplement}'!AP10+AL36)</f>
        <v>-10799999999.999998</v>
      </c>
      <c r="AN36" s="989">
        <f>IF(ISBLANK(AN5),0,-'Loan repay {supplement}'!AQ10+AM36)</f>
        <v>-11999999999.999998</v>
      </c>
      <c r="AO36" s="989">
        <f>IF(ISBLANK(AO5),0,-'Loan repay {supplement}'!AR10+AN36)</f>
        <v>-13199999999.999998</v>
      </c>
      <c r="AP36" s="1265">
        <f>IF(ISBLANK(AP5),0,-'Loan repay {supplement}'!AS10+AO36)</f>
        <v>-14399999999.999998</v>
      </c>
      <c r="AQ36" s="1243"/>
      <c r="AR36" s="1125"/>
      <c r="AS36" s="1125"/>
      <c r="AT36" s="1125"/>
      <c r="AU36" s="1125"/>
      <c r="AV36" s="1126"/>
    </row>
    <row r="37" spans="1:48" ht="16.5" x14ac:dyDescent="0.25">
      <c r="A37" s="1253"/>
      <c r="B37" s="1266" t="s">
        <v>483</v>
      </c>
      <c r="C37" s="989"/>
      <c r="D37" s="989"/>
      <c r="E37" s="989"/>
      <c r="F37" s="989"/>
      <c r="G37" s="989"/>
      <c r="H37" s="989"/>
      <c r="I37" s="989"/>
      <c r="J37" s="989"/>
      <c r="K37" s="989"/>
      <c r="L37" s="989"/>
      <c r="M37" s="989"/>
      <c r="N37" s="989"/>
      <c r="O37" s="989"/>
      <c r="P37" s="989"/>
      <c r="Q37" s="989"/>
      <c r="R37" s="1253"/>
      <c r="S37" s="989"/>
      <c r="T37" s="989"/>
      <c r="U37" s="989"/>
      <c r="V37" s="989"/>
      <c r="W37" s="989"/>
      <c r="X37" s="989"/>
      <c r="Y37" s="989"/>
      <c r="Z37" s="989"/>
      <c r="AA37" s="989"/>
      <c r="AB37" s="989"/>
      <c r="AC37" s="989"/>
      <c r="AD37" s="989"/>
      <c r="AE37" s="1253"/>
      <c r="AF37" s="989"/>
      <c r="AG37" s="989"/>
      <c r="AH37" s="989"/>
      <c r="AI37" s="989"/>
      <c r="AJ37" s="989"/>
      <c r="AK37" s="989"/>
      <c r="AL37" s="989"/>
      <c r="AM37" s="989"/>
      <c r="AN37" s="989"/>
      <c r="AO37" s="989"/>
      <c r="AP37" s="1265"/>
      <c r="AQ37" s="1243"/>
      <c r="AR37" s="1125"/>
      <c r="AS37" s="1125"/>
      <c r="AT37" s="1125"/>
      <c r="AU37" s="1125"/>
      <c r="AV37" s="1126"/>
    </row>
    <row r="38" spans="1:48" ht="16.5" x14ac:dyDescent="0.25">
      <c r="A38" s="1446" t="s">
        <v>484</v>
      </c>
      <c r="B38" s="1373"/>
      <c r="C38" s="1267"/>
      <c r="D38" s="1267"/>
      <c r="E38" s="1267">
        <f t="shared" ref="E38:P38" ca="1" si="8">SUM(E31:E37)</f>
        <v>0</v>
      </c>
      <c r="F38" s="1267">
        <f t="shared" ca="1" si="8"/>
        <v>21600000000</v>
      </c>
      <c r="G38" s="1267">
        <f t="shared" ca="1" si="8"/>
        <v>21600000000</v>
      </c>
      <c r="H38" s="1267">
        <f t="shared" ca="1" si="8"/>
        <v>21600000000</v>
      </c>
      <c r="I38" s="1267">
        <f t="shared" ca="1" si="8"/>
        <v>36000000000</v>
      </c>
      <c r="J38" s="1267">
        <f t="shared" ca="1" si="8"/>
        <v>34800000000</v>
      </c>
      <c r="K38" s="1267">
        <f t="shared" ca="1" si="8"/>
        <v>33600000000</v>
      </c>
      <c r="L38" s="1267">
        <f t="shared" ca="1" si="8"/>
        <v>32400000000</v>
      </c>
      <c r="M38" s="1267">
        <f t="shared" ca="1" si="8"/>
        <v>31200000000</v>
      </c>
      <c r="N38" s="1267">
        <f t="shared" ca="1" si="8"/>
        <v>30000000000</v>
      </c>
      <c r="O38" s="1267">
        <f t="shared" ca="1" si="8"/>
        <v>28800000000</v>
      </c>
      <c r="P38" s="1267">
        <f t="shared" ca="1" si="8"/>
        <v>27600000000</v>
      </c>
      <c r="Q38" s="1267"/>
      <c r="R38" s="1282">
        <f t="shared" ref="R38:AC38" ca="1" si="9">SUM(R31:R37)</f>
        <v>-1199999999.9999998</v>
      </c>
      <c r="S38" s="1267">
        <f t="shared" ca="1" si="9"/>
        <v>-2399999999.9999995</v>
      </c>
      <c r="T38" s="1267">
        <f t="shared" ca="1" si="9"/>
        <v>-3599999999.999999</v>
      </c>
      <c r="U38" s="1267">
        <f t="shared" ca="1" si="9"/>
        <v>-4799999999.999999</v>
      </c>
      <c r="V38" s="1267">
        <f t="shared" ca="1" si="9"/>
        <v>8399999999.9999971</v>
      </c>
      <c r="W38" s="1267">
        <f t="shared" ca="1" si="9"/>
        <v>7199999999.9999981</v>
      </c>
      <c r="X38" s="1267">
        <f t="shared" ca="1" si="9"/>
        <v>5999999999.9999981</v>
      </c>
      <c r="Y38" s="1267">
        <f t="shared" ca="1" si="9"/>
        <v>4799999999.9999981</v>
      </c>
      <c r="Z38" s="1267">
        <f t="shared" ca="1" si="9"/>
        <v>3599999999.9999981</v>
      </c>
      <c r="AA38" s="1267">
        <f t="shared" ca="1" si="9"/>
        <v>2399999999.9999981</v>
      </c>
      <c r="AB38" s="1267">
        <f t="shared" ca="1" si="9"/>
        <v>1199999999.9999981</v>
      </c>
      <c r="AC38" s="1267">
        <f t="shared" ca="1" si="9"/>
        <v>0</v>
      </c>
      <c r="AD38" s="1267"/>
      <c r="AE38" s="1282">
        <f t="shared" ref="AE38:AP38" ca="1" si="10">SUM(AE31:AE37)</f>
        <v>-1199999999.9999998</v>
      </c>
      <c r="AF38" s="1267">
        <f t="shared" ca="1" si="10"/>
        <v>-2399999999.9999995</v>
      </c>
      <c r="AG38" s="1267">
        <f t="shared" ca="1" si="10"/>
        <v>-3599999999.999999</v>
      </c>
      <c r="AH38" s="1267">
        <f t="shared" ca="1" si="10"/>
        <v>-4799999999.999999</v>
      </c>
      <c r="AI38" s="1267">
        <f t="shared" ca="1" si="10"/>
        <v>8399999999.9999971</v>
      </c>
      <c r="AJ38" s="1267">
        <f t="shared" ca="1" si="10"/>
        <v>7199999999.9999981</v>
      </c>
      <c r="AK38" s="1267">
        <f t="shared" ca="1" si="10"/>
        <v>5999999999.9999981</v>
      </c>
      <c r="AL38" s="1267">
        <f t="shared" ca="1" si="10"/>
        <v>4799999999.9999981</v>
      </c>
      <c r="AM38" s="1267">
        <f t="shared" ca="1" si="10"/>
        <v>3599999999.9999981</v>
      </c>
      <c r="AN38" s="1267">
        <f t="shared" ca="1" si="10"/>
        <v>2399999999.9999981</v>
      </c>
      <c r="AO38" s="1267">
        <f t="shared" ca="1" si="10"/>
        <v>1199999999.9999981</v>
      </c>
      <c r="AP38" s="1283">
        <f t="shared" ca="1" si="10"/>
        <v>0</v>
      </c>
      <c r="AQ38" s="1271"/>
      <c r="AR38" s="1272"/>
      <c r="AS38" s="1272"/>
      <c r="AT38" s="1272"/>
      <c r="AU38" s="1272"/>
      <c r="AV38" s="1273"/>
    </row>
    <row r="39" spans="1:48" ht="16.5" x14ac:dyDescent="0.25">
      <c r="A39" s="1447" t="s">
        <v>485</v>
      </c>
      <c r="B39" s="1373"/>
      <c r="C39" s="1284"/>
      <c r="D39" s="1284"/>
      <c r="E39" s="1285">
        <f t="shared" ref="E39:P39" ca="1" si="11">E19+E29+E38</f>
        <v>-672250000</v>
      </c>
      <c r="F39" s="1285">
        <f t="shared" ca="1" si="11"/>
        <v>3355738095.2380943</v>
      </c>
      <c r="G39" s="1285">
        <f t="shared" ca="1" si="11"/>
        <v>2365013913.4199142</v>
      </c>
      <c r="H39" s="1285">
        <f t="shared" ca="1" si="11"/>
        <v>1300448087.3329582</v>
      </c>
      <c r="I39" s="1285">
        <f t="shared" ca="1" si="11"/>
        <v>-20402771390.92791</v>
      </c>
      <c r="J39" s="1285">
        <f t="shared" ca="1" si="11"/>
        <v>-24386214819.499344</v>
      </c>
      <c r="K39" s="1285">
        <f t="shared" ca="1" si="11"/>
        <v>-26967160819.499344</v>
      </c>
      <c r="L39" s="1285">
        <f t="shared" ca="1" si="11"/>
        <v>-27483755419.499344</v>
      </c>
      <c r="M39" s="1285">
        <f t="shared" ca="1" si="11"/>
        <v>-27864107019.499344</v>
      </c>
      <c r="N39" s="1285">
        <f t="shared" ca="1" si="11"/>
        <v>-28210114219.499336</v>
      </c>
      <c r="O39" s="1285">
        <f t="shared" ca="1" si="11"/>
        <v>-28844200419.499336</v>
      </c>
      <c r="P39" s="1285">
        <f t="shared" ca="1" si="11"/>
        <v>-29265444619.499336</v>
      </c>
      <c r="Q39" s="1285"/>
      <c r="R39" s="1286">
        <f t="shared" ref="R39:AC39" ca="1" si="12">R19+R29+R38</f>
        <v>-616454599.99999952</v>
      </c>
      <c r="S39" s="1285">
        <f t="shared" ca="1" si="12"/>
        <v>-948726199.99999905</v>
      </c>
      <c r="T39" s="1285">
        <f t="shared" ca="1" si="12"/>
        <v>-1337820799.9999981</v>
      </c>
      <c r="U39" s="1285">
        <f t="shared" ca="1" si="12"/>
        <v>-1306228999.9999981</v>
      </c>
      <c r="V39" s="1285">
        <f t="shared" ca="1" si="12"/>
        <v>13184689000</v>
      </c>
      <c r="W39" s="1285">
        <f t="shared" ca="1" si="12"/>
        <v>12512944800</v>
      </c>
      <c r="X39" s="1285">
        <f t="shared" ca="1" si="12"/>
        <v>11814605800</v>
      </c>
      <c r="Y39" s="1285">
        <f t="shared" ca="1" si="12"/>
        <v>11557067800</v>
      </c>
      <c r="Z39" s="1285">
        <f t="shared" ca="1" si="12"/>
        <v>11443676800.000002</v>
      </c>
      <c r="AA39" s="1285">
        <f t="shared" ca="1" si="12"/>
        <v>10911935700.000004</v>
      </c>
      <c r="AB39" s="1285">
        <f t="shared" ca="1" si="12"/>
        <v>9021247300.0000038</v>
      </c>
      <c r="AC39" s="1285">
        <f t="shared" ca="1" si="12"/>
        <v>8639445500.0000076</v>
      </c>
      <c r="AD39" s="1285"/>
      <c r="AE39" s="1286">
        <f t="shared" ref="AE39:AP39" ca="1" si="13">AE19+AE29+AE38</f>
        <v>-156447828.57142854</v>
      </c>
      <c r="AF39" s="1285">
        <f t="shared" ca="1" si="13"/>
        <v>1061470071.4285722</v>
      </c>
      <c r="AG39" s="1285">
        <f t="shared" ca="1" si="13"/>
        <v>2073224971.4285736</v>
      </c>
      <c r="AH39" s="1285">
        <f t="shared" ca="1" si="13"/>
        <v>3578813171.4285736</v>
      </c>
      <c r="AI39" s="1285">
        <f t="shared" ca="1" si="13"/>
        <v>19192423171.42857</v>
      </c>
      <c r="AJ39" s="1285">
        <f t="shared" ca="1" si="13"/>
        <v>20268306371.428574</v>
      </c>
      <c r="AK39" s="1285">
        <f t="shared" ca="1" si="13"/>
        <v>21537525871.428574</v>
      </c>
      <c r="AL39" s="1285">
        <f t="shared" ca="1" si="13"/>
        <v>23247213871.428574</v>
      </c>
      <c r="AM39" s="1285">
        <f t="shared" ca="1" si="13"/>
        <v>25188934071.428574</v>
      </c>
      <c r="AN39" s="1285">
        <f t="shared" ca="1" si="13"/>
        <v>26945297371.428574</v>
      </c>
      <c r="AO39" s="1285">
        <f t="shared" ca="1" si="13"/>
        <v>28042230371.428574</v>
      </c>
      <c r="AP39" s="1287">
        <f t="shared" ca="1" si="13"/>
        <v>30680618971.428577</v>
      </c>
      <c r="AQ39" s="1271"/>
      <c r="AR39" s="1272"/>
      <c r="AS39" s="1272"/>
      <c r="AT39" s="1272"/>
      <c r="AU39" s="1272"/>
      <c r="AV39" s="1273"/>
    </row>
    <row r="40" spans="1:48" ht="16.5" x14ac:dyDescent="0.25">
      <c r="A40" s="1448" t="s">
        <v>486</v>
      </c>
      <c r="B40" s="1449"/>
      <c r="C40" s="1288"/>
      <c r="D40" s="1288"/>
      <c r="E40" s="1288">
        <f t="shared" ref="E40:AP40" ca="1" si="14">IF(ISBLANK(E5),D40,E6+E19-D19+E29-D29+E38-D38)</f>
        <v>35327750000</v>
      </c>
      <c r="F40" s="1288">
        <f t="shared" ca="1" si="14"/>
        <v>39355738095.238098</v>
      </c>
      <c r="G40" s="1288">
        <f t="shared" ca="1" si="14"/>
        <v>38365013913.419914</v>
      </c>
      <c r="H40" s="1288">
        <f t="shared" ca="1" si="14"/>
        <v>37300448087.332954</v>
      </c>
      <c r="I40" s="1288">
        <f t="shared" ca="1" si="14"/>
        <v>15597228609.07209</v>
      </c>
      <c r="J40" s="1288">
        <f t="shared" ca="1" si="14"/>
        <v>11613785180.500656</v>
      </c>
      <c r="K40" s="1288">
        <f t="shared" ca="1" si="14"/>
        <v>9032839180.5006561</v>
      </c>
      <c r="L40" s="1288">
        <f t="shared" ca="1" si="14"/>
        <v>8516244580.5006561</v>
      </c>
      <c r="M40" s="1288">
        <f t="shared" ca="1" si="14"/>
        <v>8135892980.5006561</v>
      </c>
      <c r="N40" s="1288">
        <f t="shared" ca="1" si="14"/>
        <v>7789885780.5006561</v>
      </c>
      <c r="O40" s="1288">
        <f t="shared" ca="1" si="14"/>
        <v>7155799580.5006561</v>
      </c>
      <c r="P40" s="1288">
        <f t="shared" ca="1" si="14"/>
        <v>6734555380.5006561</v>
      </c>
      <c r="Q40" s="1288">
        <f t="shared" ca="1" si="14"/>
        <v>6734555380.5006561</v>
      </c>
      <c r="R40" s="1289">
        <f t="shared" ca="1" si="14"/>
        <v>6118100780.5006561</v>
      </c>
      <c r="S40" s="1288">
        <f t="shared" ca="1" si="14"/>
        <v>5785829180.5006561</v>
      </c>
      <c r="T40" s="1288">
        <f t="shared" ca="1" si="14"/>
        <v>5396734580.5006561</v>
      </c>
      <c r="U40" s="1288">
        <f t="shared" ca="1" si="14"/>
        <v>5428326380.5006552</v>
      </c>
      <c r="V40" s="1288">
        <f t="shared" ca="1" si="14"/>
        <v>19919244380.500652</v>
      </c>
      <c r="W40" s="1288">
        <f t="shared" ca="1" si="14"/>
        <v>19247500180.50066</v>
      </c>
      <c r="X40" s="1288">
        <f t="shared" ca="1" si="14"/>
        <v>18549161180.500664</v>
      </c>
      <c r="Y40" s="1288">
        <f t="shared" ca="1" si="14"/>
        <v>18291623180.500664</v>
      </c>
      <c r="Z40" s="1288">
        <f t="shared" ca="1" si="14"/>
        <v>18178232180.500664</v>
      </c>
      <c r="AA40" s="1288">
        <f t="shared" ca="1" si="14"/>
        <v>17646491080.500664</v>
      </c>
      <c r="AB40" s="1288">
        <f t="shared" ca="1" si="14"/>
        <v>15755802680.500666</v>
      </c>
      <c r="AC40" s="1288">
        <f t="shared" ca="1" si="14"/>
        <v>15374000880.500668</v>
      </c>
      <c r="AD40" s="1288">
        <f t="shared" ca="1" si="14"/>
        <v>15374000880.500668</v>
      </c>
      <c r="AE40" s="1289">
        <f t="shared" ca="1" si="14"/>
        <v>15217553051.929239</v>
      </c>
      <c r="AF40" s="1288">
        <f t="shared" ca="1" si="14"/>
        <v>16435470951.929241</v>
      </c>
      <c r="AG40" s="1288">
        <f t="shared" ca="1" si="14"/>
        <v>17447225851.929245</v>
      </c>
      <c r="AH40" s="1288">
        <f t="shared" ca="1" si="14"/>
        <v>18952814051.929245</v>
      </c>
      <c r="AI40" s="1288">
        <f t="shared" ca="1" si="14"/>
        <v>34566424051.929237</v>
      </c>
      <c r="AJ40" s="1288">
        <f t="shared" ca="1" si="14"/>
        <v>35642307251.929237</v>
      </c>
      <c r="AK40" s="1288">
        <f t="shared" ca="1" si="14"/>
        <v>36911526751.929237</v>
      </c>
      <c r="AL40" s="1288">
        <f t="shared" ca="1" si="14"/>
        <v>38621214751.929245</v>
      </c>
      <c r="AM40" s="1288">
        <f t="shared" ca="1" si="14"/>
        <v>40562934951.929245</v>
      </c>
      <c r="AN40" s="1288">
        <f t="shared" ca="1" si="14"/>
        <v>42319298251.929245</v>
      </c>
      <c r="AO40" s="1288">
        <f t="shared" ca="1" si="14"/>
        <v>43416231251.929245</v>
      </c>
      <c r="AP40" s="1290">
        <f t="shared" ca="1" si="14"/>
        <v>46054619851.929245</v>
      </c>
      <c r="AQ40" s="1271"/>
      <c r="AR40" s="1272"/>
      <c r="AS40" s="1272"/>
      <c r="AT40" s="1272"/>
      <c r="AU40" s="1272"/>
      <c r="AV40" s="1273"/>
    </row>
    <row r="41" spans="1:48" ht="16.5" x14ac:dyDescent="0.25">
      <c r="A41" s="1291"/>
      <c r="B41" s="1292"/>
      <c r="C41" s="1293"/>
      <c r="D41" s="1293"/>
      <c r="E41" s="1293"/>
      <c r="F41" s="1293"/>
      <c r="G41" s="1293"/>
      <c r="H41" s="1293"/>
      <c r="I41" s="1293"/>
      <c r="J41" s="1293"/>
      <c r="K41" s="1293"/>
      <c r="L41" s="1293"/>
      <c r="M41" s="1293"/>
      <c r="N41" s="1293"/>
      <c r="O41" s="1293"/>
      <c r="P41" s="1293"/>
      <c r="Q41" s="1293"/>
      <c r="R41" s="1293"/>
      <c r="S41" s="1293"/>
      <c r="T41" s="1293"/>
      <c r="U41" s="1293"/>
      <c r="V41" s="1293"/>
      <c r="W41" s="1293"/>
      <c r="X41" s="1293"/>
      <c r="Y41" s="1293"/>
      <c r="Z41" s="1293"/>
      <c r="AA41" s="1293"/>
      <c r="AB41" s="1293"/>
      <c r="AC41" s="1293"/>
      <c r="AD41" s="1293"/>
      <c r="AE41" s="1293"/>
      <c r="AF41" s="1293"/>
      <c r="AG41" s="1293"/>
      <c r="AH41" s="1293"/>
      <c r="AI41" s="1293"/>
      <c r="AJ41" s="1293"/>
      <c r="AK41" s="1293"/>
      <c r="AL41" s="1293"/>
      <c r="AM41" s="1293"/>
      <c r="AN41" s="1293"/>
      <c r="AO41" s="1293"/>
      <c r="AP41" s="1293"/>
      <c r="AQ41" s="1272"/>
      <c r="AR41" s="1272"/>
      <c r="AS41" s="1272"/>
      <c r="AT41" s="1272"/>
      <c r="AU41" s="1272"/>
      <c r="AV41" s="1273"/>
    </row>
    <row r="42" spans="1:48" ht="18" x14ac:dyDescent="0.25">
      <c r="A42" s="1294"/>
      <c r="B42" s="1295"/>
      <c r="C42" s="1272"/>
      <c r="D42" s="1272"/>
      <c r="E42" s="1272"/>
      <c r="F42" s="1272"/>
      <c r="G42" s="1272"/>
      <c r="H42" s="1272"/>
      <c r="I42" s="1272"/>
      <c r="J42" s="1272"/>
      <c r="K42" s="1272"/>
      <c r="L42" s="1272"/>
      <c r="M42" s="1272"/>
      <c r="N42" s="1272"/>
      <c r="O42" s="1272"/>
      <c r="P42" s="1272"/>
      <c r="Q42" s="1272"/>
      <c r="R42" s="1272"/>
      <c r="S42" s="1272"/>
      <c r="T42" s="1272"/>
      <c r="U42" s="1272"/>
      <c r="V42" s="1272"/>
      <c r="W42" s="1272"/>
      <c r="X42" s="1272"/>
      <c r="Y42" s="1272"/>
      <c r="Z42" s="1272"/>
      <c r="AA42" s="1272"/>
      <c r="AB42" s="1272"/>
      <c r="AC42" s="1272"/>
      <c r="AD42" s="1272"/>
      <c r="AE42" s="1272"/>
      <c r="AF42" s="1272"/>
      <c r="AG42" s="1272"/>
      <c r="AH42" s="1272"/>
      <c r="AI42" s="1272"/>
      <c r="AJ42" s="1272"/>
      <c r="AK42" s="1272"/>
      <c r="AL42" s="1272"/>
      <c r="AM42" s="1272"/>
      <c r="AN42" s="1272"/>
      <c r="AO42" s="1272"/>
      <c r="AP42" s="1272"/>
      <c r="AQ42" s="1272"/>
      <c r="AR42" s="1272"/>
      <c r="AS42" s="1272"/>
      <c r="AT42" s="1272"/>
      <c r="AU42" s="1272"/>
      <c r="AV42" s="1272"/>
    </row>
    <row r="43" spans="1:48" ht="18" x14ac:dyDescent="0.25">
      <c r="A43" s="1296" t="s">
        <v>397</v>
      </c>
      <c r="B43" s="1297"/>
      <c r="C43" s="1298"/>
      <c r="D43" s="1298"/>
      <c r="E43" s="1298"/>
      <c r="F43" s="1298"/>
      <c r="G43" s="1298"/>
      <c r="H43" s="1298"/>
      <c r="I43" s="1298"/>
      <c r="J43" s="1298"/>
      <c r="K43" s="1298"/>
      <c r="L43" s="1298"/>
      <c r="M43" s="1298"/>
      <c r="N43" s="1298"/>
      <c r="O43" s="1298"/>
      <c r="P43" s="1298"/>
      <c r="Q43" s="1298"/>
      <c r="R43" s="1272"/>
      <c r="S43" s="1272"/>
      <c r="T43" s="1272"/>
      <c r="U43" s="1272"/>
      <c r="V43" s="1272"/>
      <c r="W43" s="1272"/>
      <c r="X43" s="1272"/>
      <c r="Y43" s="1272"/>
      <c r="Z43" s="1272"/>
      <c r="AA43" s="1272"/>
      <c r="AB43" s="1272"/>
      <c r="AC43" s="1272"/>
      <c r="AD43" s="1272"/>
      <c r="AE43" s="1272"/>
      <c r="AF43" s="1272"/>
      <c r="AG43" s="1272"/>
      <c r="AH43" s="1272"/>
      <c r="AI43" s="1272"/>
      <c r="AJ43" s="1272"/>
      <c r="AK43" s="1272"/>
      <c r="AL43" s="1272"/>
      <c r="AM43" s="1272"/>
      <c r="AN43" s="1272"/>
      <c r="AO43" s="1272"/>
      <c r="AP43" s="1272"/>
      <c r="AQ43" s="1272"/>
      <c r="AR43" s="1272"/>
      <c r="AS43" s="1272"/>
      <c r="AT43" s="1272"/>
      <c r="AU43" s="1272"/>
      <c r="AV43" s="1273"/>
    </row>
    <row r="44" spans="1:48" ht="16.5" x14ac:dyDescent="0.25">
      <c r="A44" s="1299" t="s">
        <v>487</v>
      </c>
      <c r="B44" s="1300"/>
      <c r="C44" s="1300"/>
      <c r="D44" s="1300"/>
      <c r="E44" s="1301"/>
      <c r="F44" s="1300"/>
      <c r="G44" s="1300"/>
      <c r="H44" s="1302"/>
      <c r="I44" s="1301"/>
      <c r="J44" s="1300"/>
      <c r="K44" s="1300"/>
      <c r="L44" s="1302"/>
      <c r="M44" s="1301"/>
      <c r="N44" s="1300"/>
      <c r="O44" s="1300"/>
      <c r="P44" s="1302"/>
      <c r="Q44" s="1303"/>
      <c r="R44" s="1271"/>
      <c r="S44" s="1272"/>
      <c r="T44" s="1272"/>
      <c r="U44" s="1272"/>
      <c r="V44" s="1272"/>
      <c r="W44" s="1272"/>
      <c r="X44" s="1272"/>
      <c r="Y44" s="1272"/>
      <c r="Z44" s="1272"/>
      <c r="AA44" s="1272"/>
      <c r="AB44" s="1272"/>
      <c r="AC44" s="1272"/>
      <c r="AD44" s="1272"/>
      <c r="AE44" s="1272"/>
      <c r="AF44" s="1272"/>
      <c r="AG44" s="1272"/>
      <c r="AH44" s="1272"/>
      <c r="AI44" s="1272"/>
      <c r="AJ44" s="1272"/>
      <c r="AK44" s="1272"/>
      <c r="AL44" s="1272"/>
      <c r="AM44" s="1272"/>
      <c r="AN44" s="1272"/>
      <c r="AO44" s="1272"/>
      <c r="AP44" s="1272"/>
      <c r="AQ44" s="1272"/>
      <c r="AR44" s="1272"/>
      <c r="AS44" s="1272"/>
      <c r="AT44" s="1272"/>
      <c r="AU44" s="1272"/>
      <c r="AV44" s="1273"/>
    </row>
    <row r="45" spans="1:48" ht="16.5" x14ac:dyDescent="0.25">
      <c r="A45" s="1245"/>
      <c r="B45" s="1246"/>
      <c r="C45" s="1000"/>
      <c r="D45" s="1000"/>
      <c r="E45" s="1304" t="s">
        <v>488</v>
      </c>
      <c r="F45" s="1305" t="s">
        <v>489</v>
      </c>
      <c r="G45" s="1305" t="s">
        <v>490</v>
      </c>
      <c r="H45" s="1306" t="s">
        <v>491</v>
      </c>
      <c r="I45" s="1304" t="s">
        <v>492</v>
      </c>
      <c r="J45" s="1305" t="s">
        <v>493</v>
      </c>
      <c r="K45" s="1305" t="s">
        <v>494</v>
      </c>
      <c r="L45" s="1306" t="s">
        <v>495</v>
      </c>
      <c r="M45" s="1304" t="s">
        <v>496</v>
      </c>
      <c r="N45" s="1305" t="s">
        <v>497</v>
      </c>
      <c r="O45" s="1305" t="s">
        <v>498</v>
      </c>
      <c r="P45" s="1306" t="s">
        <v>499</v>
      </c>
      <c r="Q45" s="1000"/>
      <c r="R45" s="1271"/>
      <c r="S45" s="1272"/>
      <c r="T45" s="1272"/>
      <c r="U45" s="1272"/>
      <c r="V45" s="1272"/>
      <c r="W45" s="1272"/>
      <c r="X45" s="1272"/>
      <c r="Y45" s="1272"/>
      <c r="Z45" s="1272"/>
      <c r="AA45" s="1272"/>
      <c r="AB45" s="1272"/>
      <c r="AC45" s="1272"/>
      <c r="AD45" s="1272"/>
      <c r="AE45" s="1272"/>
      <c r="AF45" s="1272"/>
      <c r="AG45" s="1272"/>
      <c r="AH45" s="1272"/>
      <c r="AI45" s="1272"/>
      <c r="AJ45" s="1272"/>
      <c r="AK45" s="1272"/>
      <c r="AL45" s="1272"/>
      <c r="AM45" s="1272"/>
      <c r="AN45" s="1272"/>
      <c r="AO45" s="1272"/>
      <c r="AP45" s="1272"/>
      <c r="AQ45" s="1272"/>
      <c r="AR45" s="1272"/>
      <c r="AS45" s="1272"/>
      <c r="AT45" s="1272"/>
      <c r="AU45" s="1272"/>
      <c r="AV45" s="1273"/>
    </row>
    <row r="46" spans="1:48" ht="16.5" x14ac:dyDescent="0.25">
      <c r="A46" s="1253"/>
      <c r="B46" s="1254" t="s">
        <v>457</v>
      </c>
      <c r="C46" s="1284"/>
      <c r="D46" s="1284"/>
      <c r="E46" s="1276">
        <f>E6</f>
        <v>36000000000</v>
      </c>
      <c r="F46" s="1276">
        <f t="shared" ref="F46:P46" ca="1" si="15">E80</f>
        <v>38365013913.419914</v>
      </c>
      <c r="G46" s="1276">
        <f t="shared" ca="1" si="15"/>
        <v>11613785180.500656</v>
      </c>
      <c r="H46" s="1255">
        <f t="shared" ca="1" si="15"/>
        <v>8135892980.5006561</v>
      </c>
      <c r="I46" s="1276">
        <f t="shared" ca="1" si="15"/>
        <v>6734555380.5006561</v>
      </c>
      <c r="J46" s="1276">
        <f t="shared" ca="1" si="15"/>
        <v>5396734580.5006561</v>
      </c>
      <c r="K46" s="1276">
        <f t="shared" ca="1" si="15"/>
        <v>19247500180.50066</v>
      </c>
      <c r="L46" s="1255">
        <f t="shared" ca="1" si="15"/>
        <v>18178232180.500664</v>
      </c>
      <c r="M46" s="1276">
        <f t="shared" ca="1" si="15"/>
        <v>15374000880.500668</v>
      </c>
      <c r="N46" s="1276">
        <f t="shared" ca="1" si="15"/>
        <v>17447225851.929245</v>
      </c>
      <c r="O46" s="1276">
        <f t="shared" ca="1" si="15"/>
        <v>35642307251.929237</v>
      </c>
      <c r="P46" s="1255">
        <f t="shared" ca="1" si="15"/>
        <v>40562934951.929245</v>
      </c>
      <c r="Q46" s="1284"/>
      <c r="R46" s="1271"/>
      <c r="S46" s="1272"/>
      <c r="T46" s="1272"/>
      <c r="U46" s="1272"/>
      <c r="V46" s="1272"/>
      <c r="W46" s="1272"/>
      <c r="X46" s="1272"/>
      <c r="Y46" s="1272"/>
      <c r="Z46" s="1272"/>
      <c r="AA46" s="1272"/>
      <c r="AB46" s="1272"/>
      <c r="AC46" s="1272"/>
      <c r="AD46" s="1272"/>
      <c r="AE46" s="1272"/>
      <c r="AF46" s="1272"/>
      <c r="AG46" s="1272"/>
      <c r="AH46" s="1272"/>
      <c r="AI46" s="1272"/>
      <c r="AJ46" s="1272"/>
      <c r="AK46" s="1272"/>
      <c r="AL46" s="1272"/>
      <c r="AM46" s="1272"/>
      <c r="AN46" s="1272"/>
      <c r="AO46" s="1272"/>
      <c r="AP46" s="1272"/>
      <c r="AQ46" s="1272"/>
      <c r="AR46" s="1272"/>
      <c r="AS46" s="1272"/>
      <c r="AT46" s="1272"/>
      <c r="AU46" s="1272"/>
      <c r="AV46" s="1273"/>
    </row>
    <row r="47" spans="1:48" ht="16.5" x14ac:dyDescent="0.25">
      <c r="A47" s="1444" t="s">
        <v>458</v>
      </c>
      <c r="B47" s="1373"/>
      <c r="C47" s="1284"/>
      <c r="D47" s="1284"/>
      <c r="E47" s="1260">
        <f t="shared" ref="E47:E80" si="16">G7</f>
        <v>0</v>
      </c>
      <c r="F47" s="1260">
        <f t="shared" ref="F47:F80" si="17">J7</f>
        <v>0</v>
      </c>
      <c r="G47" s="1260">
        <f t="shared" ref="G47:G80" si="18">M7</f>
        <v>0</v>
      </c>
      <c r="H47" s="1275">
        <f t="shared" ref="H47:H80" si="19">P7</f>
        <v>0</v>
      </c>
      <c r="I47" s="1260">
        <f t="shared" ref="I47:I80" si="20">T7</f>
        <v>0</v>
      </c>
      <c r="J47" s="1260">
        <f t="shared" ref="J47:J80" si="21">W7</f>
        <v>0</v>
      </c>
      <c r="K47" s="1260">
        <f t="shared" ref="K47:K80" si="22">Z7</f>
        <v>0</v>
      </c>
      <c r="L47" s="1275">
        <f t="shared" ref="L47:L80" si="23">AC7</f>
        <v>0</v>
      </c>
      <c r="M47" s="1260">
        <f t="shared" ref="M47:M80" si="24">AG7</f>
        <v>0</v>
      </c>
      <c r="N47" s="1260">
        <f t="shared" ref="N47:N80" si="25">AJ7</f>
        <v>0</v>
      </c>
      <c r="O47" s="1260">
        <f t="shared" ref="O47:O80" si="26">AM7</f>
        <v>0</v>
      </c>
      <c r="P47" s="1275">
        <f t="shared" ref="P47:P80" si="27">AP7</f>
        <v>0</v>
      </c>
      <c r="Q47" s="1284"/>
      <c r="R47" s="1271"/>
      <c r="S47" s="1272"/>
      <c r="T47" s="1272"/>
      <c r="U47" s="1272"/>
      <c r="V47" s="1272"/>
      <c r="W47" s="1272"/>
      <c r="X47" s="1272"/>
      <c r="Y47" s="1272"/>
      <c r="Z47" s="1272"/>
      <c r="AA47" s="1272"/>
      <c r="AB47" s="1272"/>
      <c r="AC47" s="1272"/>
      <c r="AD47" s="1272"/>
      <c r="AE47" s="1272"/>
      <c r="AF47" s="1272"/>
      <c r="AG47" s="1272"/>
      <c r="AH47" s="1272"/>
      <c r="AI47" s="1272"/>
      <c r="AJ47" s="1272"/>
      <c r="AK47" s="1272"/>
      <c r="AL47" s="1272"/>
      <c r="AM47" s="1272"/>
      <c r="AN47" s="1272"/>
      <c r="AO47" s="1272"/>
      <c r="AP47" s="1272"/>
      <c r="AQ47" s="1272"/>
      <c r="AR47" s="1272"/>
      <c r="AS47" s="1272"/>
      <c r="AT47" s="1272"/>
      <c r="AU47" s="1272"/>
      <c r="AV47" s="1273"/>
    </row>
    <row r="48" spans="1:48" ht="16.5" x14ac:dyDescent="0.25">
      <c r="A48" s="1445" t="s">
        <v>459</v>
      </c>
      <c r="B48" s="1373"/>
      <c r="C48" s="1284"/>
      <c r="D48" s="1284"/>
      <c r="E48" s="470">
        <f t="shared" si="16"/>
        <v>0</v>
      </c>
      <c r="F48" s="470">
        <f t="shared" si="17"/>
        <v>0</v>
      </c>
      <c r="G48" s="470">
        <f t="shared" si="18"/>
        <v>0</v>
      </c>
      <c r="H48" s="471">
        <f t="shared" si="19"/>
        <v>0</v>
      </c>
      <c r="I48" s="470">
        <f t="shared" si="20"/>
        <v>0</v>
      </c>
      <c r="J48" s="470">
        <f t="shared" si="21"/>
        <v>0</v>
      </c>
      <c r="K48" s="470">
        <f t="shared" si="22"/>
        <v>0</v>
      </c>
      <c r="L48" s="471">
        <f t="shared" si="23"/>
        <v>0</v>
      </c>
      <c r="M48" s="470">
        <f t="shared" si="24"/>
        <v>0</v>
      </c>
      <c r="N48" s="470">
        <f t="shared" si="25"/>
        <v>0</v>
      </c>
      <c r="O48" s="470">
        <f t="shared" si="26"/>
        <v>0</v>
      </c>
      <c r="P48" s="471">
        <f t="shared" si="27"/>
        <v>0</v>
      </c>
      <c r="Q48" s="1284"/>
      <c r="R48" s="1271"/>
      <c r="S48" s="1272"/>
      <c r="T48" s="1272"/>
      <c r="U48" s="1272"/>
      <c r="V48" s="1272"/>
      <c r="W48" s="1272"/>
      <c r="X48" s="1272"/>
      <c r="Y48" s="1272"/>
      <c r="Z48" s="1272"/>
      <c r="AA48" s="1272"/>
      <c r="AB48" s="1272"/>
      <c r="AC48" s="1272"/>
      <c r="AD48" s="1272"/>
      <c r="AE48" s="1272"/>
      <c r="AF48" s="1272"/>
      <c r="AG48" s="1272"/>
      <c r="AH48" s="1272"/>
      <c r="AI48" s="1272"/>
      <c r="AJ48" s="1272"/>
      <c r="AK48" s="1272"/>
      <c r="AL48" s="1272"/>
      <c r="AM48" s="1272"/>
      <c r="AN48" s="1272"/>
      <c r="AO48" s="1272"/>
      <c r="AP48" s="1272"/>
      <c r="AQ48" s="1272"/>
      <c r="AR48" s="1272"/>
      <c r="AS48" s="1272"/>
      <c r="AT48" s="1272"/>
      <c r="AU48" s="1272"/>
      <c r="AV48" s="1273"/>
    </row>
    <row r="49" spans="1:48" ht="16.5" x14ac:dyDescent="0.25">
      <c r="A49" s="1253"/>
      <c r="B49" s="1266" t="s">
        <v>20</v>
      </c>
      <c r="C49" s="1284"/>
      <c r="D49" s="1284"/>
      <c r="E49" s="470">
        <f t="shared" si="16"/>
        <v>0</v>
      </c>
      <c r="F49" s="470">
        <f t="shared" si="17"/>
        <v>0</v>
      </c>
      <c r="G49" s="470">
        <f t="shared" si="18"/>
        <v>9643158000</v>
      </c>
      <c r="H49" s="471">
        <f t="shared" si="19"/>
        <v>21486276000</v>
      </c>
      <c r="I49" s="470">
        <f t="shared" si="20"/>
        <v>11219796000</v>
      </c>
      <c r="J49" s="470">
        <f t="shared" si="21"/>
        <v>22842918000</v>
      </c>
      <c r="K49" s="470">
        <f t="shared" si="22"/>
        <v>35786016000</v>
      </c>
      <c r="L49" s="471">
        <f t="shared" si="23"/>
        <v>50736294000</v>
      </c>
      <c r="M49" s="470">
        <f t="shared" si="24"/>
        <v>18989964000</v>
      </c>
      <c r="N49" s="470">
        <f t="shared" si="25"/>
        <v>38719485000</v>
      </c>
      <c r="O49" s="470">
        <f t="shared" si="26"/>
        <v>61344297000</v>
      </c>
      <c r="P49" s="471">
        <f t="shared" si="27"/>
        <v>85490559000</v>
      </c>
      <c r="Q49" s="1284"/>
      <c r="R49" s="1271"/>
      <c r="S49" s="1272"/>
      <c r="T49" s="1272"/>
      <c r="U49" s="1272"/>
      <c r="V49" s="1272"/>
      <c r="W49" s="1272"/>
      <c r="X49" s="1272"/>
      <c r="Y49" s="1272"/>
      <c r="Z49" s="1272"/>
      <c r="AA49" s="1272"/>
      <c r="AB49" s="1272"/>
      <c r="AC49" s="1272"/>
      <c r="AD49" s="1272"/>
      <c r="AE49" s="1272"/>
      <c r="AF49" s="1272"/>
      <c r="AG49" s="1272"/>
      <c r="AH49" s="1272"/>
      <c r="AI49" s="1272"/>
      <c r="AJ49" s="1272"/>
      <c r="AK49" s="1272"/>
      <c r="AL49" s="1272"/>
      <c r="AM49" s="1272"/>
      <c r="AN49" s="1272"/>
      <c r="AO49" s="1272"/>
      <c r="AP49" s="1272"/>
      <c r="AQ49" s="1272"/>
      <c r="AR49" s="1272"/>
      <c r="AS49" s="1272"/>
      <c r="AT49" s="1272"/>
      <c r="AU49" s="1272"/>
      <c r="AV49" s="1273"/>
    </row>
    <row r="50" spans="1:48" ht="16.5" x14ac:dyDescent="0.25">
      <c r="A50" s="1253"/>
      <c r="B50" s="1266" t="s">
        <v>460</v>
      </c>
      <c r="C50" s="1284"/>
      <c r="D50" s="1284"/>
      <c r="E50" s="470">
        <f t="shared" si="16"/>
        <v>0</v>
      </c>
      <c r="F50" s="470">
        <f t="shared" si="17"/>
        <v>1481370000.0000002</v>
      </c>
      <c r="G50" s="470">
        <f t="shared" si="18"/>
        <v>5428005000.000001</v>
      </c>
      <c r="H50" s="471">
        <f t="shared" si="19"/>
        <v>9668100000.0000019</v>
      </c>
      <c r="I50" s="470">
        <f t="shared" si="20"/>
        <v>3663225000.000001</v>
      </c>
      <c r="J50" s="470">
        <f t="shared" si="21"/>
        <v>8120400000.000001</v>
      </c>
      <c r="K50" s="470">
        <f t="shared" si="22"/>
        <v>12746415000.000002</v>
      </c>
      <c r="L50" s="471">
        <f t="shared" si="23"/>
        <v>19826805000.000004</v>
      </c>
      <c r="M50" s="470">
        <f t="shared" si="24"/>
        <v>6739155000.0000019</v>
      </c>
      <c r="N50" s="470">
        <f t="shared" si="25"/>
        <v>15452910000.000002</v>
      </c>
      <c r="O50" s="470">
        <f t="shared" si="26"/>
        <v>24706770000.000004</v>
      </c>
      <c r="P50" s="471">
        <f t="shared" si="27"/>
        <v>34049655000.000004</v>
      </c>
      <c r="Q50" s="1284"/>
      <c r="R50" s="1271"/>
      <c r="S50" s="1272"/>
      <c r="T50" s="1272"/>
      <c r="U50" s="1272"/>
      <c r="V50" s="1272"/>
      <c r="W50" s="1272"/>
      <c r="X50" s="1272"/>
      <c r="Y50" s="1272"/>
      <c r="Z50" s="1272"/>
      <c r="AA50" s="1272"/>
      <c r="AB50" s="1272"/>
      <c r="AC50" s="1272"/>
      <c r="AD50" s="1272"/>
      <c r="AE50" s="1272"/>
      <c r="AF50" s="1272"/>
      <c r="AG50" s="1272"/>
      <c r="AH50" s="1272"/>
      <c r="AI50" s="1272"/>
      <c r="AJ50" s="1272"/>
      <c r="AK50" s="1272"/>
      <c r="AL50" s="1272"/>
      <c r="AM50" s="1272"/>
      <c r="AN50" s="1272"/>
      <c r="AO50" s="1272"/>
      <c r="AP50" s="1272"/>
      <c r="AQ50" s="1272"/>
      <c r="AR50" s="1272"/>
      <c r="AS50" s="1272"/>
      <c r="AT50" s="1272"/>
      <c r="AU50" s="1272"/>
      <c r="AV50" s="1273"/>
    </row>
    <row r="51" spans="1:48" ht="16.5" x14ac:dyDescent="0.25">
      <c r="A51" s="1253"/>
      <c r="B51" s="1266" t="s">
        <v>461</v>
      </c>
      <c r="C51" s="1284"/>
      <c r="D51" s="1284"/>
      <c r="E51" s="470">
        <f t="shared" si="16"/>
        <v>0</v>
      </c>
      <c r="F51" s="470">
        <f t="shared" si="17"/>
        <v>0</v>
      </c>
      <c r="G51" s="470">
        <f t="shared" si="18"/>
        <v>0</v>
      </c>
      <c r="H51" s="471">
        <f t="shared" si="19"/>
        <v>87100000</v>
      </c>
      <c r="I51" s="470">
        <f t="shared" si="20"/>
        <v>0</v>
      </c>
      <c r="J51" s="470">
        <f t="shared" si="21"/>
        <v>0</v>
      </c>
      <c r="K51" s="470">
        <f t="shared" si="22"/>
        <v>0</v>
      </c>
      <c r="L51" s="471">
        <f t="shared" si="23"/>
        <v>126950000</v>
      </c>
      <c r="M51" s="470">
        <f t="shared" si="24"/>
        <v>0</v>
      </c>
      <c r="N51" s="470">
        <f t="shared" si="25"/>
        <v>0</v>
      </c>
      <c r="O51" s="470">
        <f t="shared" si="26"/>
        <v>0</v>
      </c>
      <c r="P51" s="471">
        <f t="shared" si="27"/>
        <v>1320600000</v>
      </c>
      <c r="Q51" s="1284"/>
      <c r="R51" s="1271"/>
      <c r="S51" s="1272"/>
      <c r="T51" s="1272"/>
      <c r="U51" s="1272"/>
      <c r="V51" s="1272"/>
      <c r="W51" s="1272"/>
      <c r="X51" s="1272"/>
      <c r="Y51" s="1272"/>
      <c r="Z51" s="1272"/>
      <c r="AA51" s="1272"/>
      <c r="AB51" s="1272"/>
      <c r="AC51" s="1272"/>
      <c r="AD51" s="1272"/>
      <c r="AE51" s="1272"/>
      <c r="AF51" s="1272"/>
      <c r="AG51" s="1272"/>
      <c r="AH51" s="1272"/>
      <c r="AI51" s="1272"/>
      <c r="AJ51" s="1272"/>
      <c r="AK51" s="1272"/>
      <c r="AL51" s="1272"/>
      <c r="AM51" s="1272"/>
      <c r="AN51" s="1272"/>
      <c r="AO51" s="1272"/>
      <c r="AP51" s="1272"/>
      <c r="AQ51" s="1272"/>
      <c r="AR51" s="1272"/>
      <c r="AS51" s="1272"/>
      <c r="AT51" s="1272"/>
      <c r="AU51" s="1272"/>
      <c r="AV51" s="1273"/>
    </row>
    <row r="52" spans="1:48" ht="16.5" x14ac:dyDescent="0.25">
      <c r="A52" s="1253"/>
      <c r="B52" s="1266" t="s">
        <v>462</v>
      </c>
      <c r="C52" s="1284"/>
      <c r="D52" s="1284"/>
      <c r="E52" s="470">
        <f t="shared" si="16"/>
        <v>0</v>
      </c>
      <c r="F52" s="470">
        <f t="shared" si="17"/>
        <v>3666600000</v>
      </c>
      <c r="G52" s="470">
        <f t="shared" si="18"/>
        <v>16255260000</v>
      </c>
      <c r="H52" s="471">
        <f t="shared" si="19"/>
        <v>30290190000</v>
      </c>
      <c r="I52" s="470">
        <f t="shared" si="20"/>
        <v>11753490000</v>
      </c>
      <c r="J52" s="470">
        <f t="shared" si="21"/>
        <v>26358780000</v>
      </c>
      <c r="K52" s="470">
        <f t="shared" si="22"/>
        <v>41432580000</v>
      </c>
      <c r="L52" s="471">
        <f t="shared" si="23"/>
        <v>62117370000</v>
      </c>
      <c r="M52" s="470">
        <f t="shared" si="24"/>
        <v>20984915000</v>
      </c>
      <c r="N52" s="470">
        <f t="shared" si="25"/>
        <v>48075755000</v>
      </c>
      <c r="O52" s="470">
        <f t="shared" si="26"/>
        <v>76450745000</v>
      </c>
      <c r="P52" s="471">
        <f t="shared" si="27"/>
        <v>106653785000</v>
      </c>
      <c r="Q52" s="1284"/>
      <c r="R52" s="1271"/>
      <c r="S52" s="1272"/>
      <c r="T52" s="1272"/>
      <c r="U52" s="1272"/>
      <c r="V52" s="1272"/>
      <c r="W52" s="1272"/>
      <c r="X52" s="1272"/>
      <c r="Y52" s="1272"/>
      <c r="Z52" s="1272"/>
      <c r="AA52" s="1272"/>
      <c r="AB52" s="1272"/>
      <c r="AC52" s="1272"/>
      <c r="AD52" s="1272"/>
      <c r="AE52" s="1272"/>
      <c r="AF52" s="1272"/>
      <c r="AG52" s="1272"/>
      <c r="AH52" s="1272"/>
      <c r="AI52" s="1272"/>
      <c r="AJ52" s="1272"/>
      <c r="AK52" s="1272"/>
      <c r="AL52" s="1272"/>
      <c r="AM52" s="1272"/>
      <c r="AN52" s="1272"/>
      <c r="AO52" s="1272"/>
      <c r="AP52" s="1272"/>
      <c r="AQ52" s="1272"/>
      <c r="AR52" s="1272"/>
      <c r="AS52" s="1272"/>
      <c r="AT52" s="1272"/>
      <c r="AU52" s="1272"/>
      <c r="AV52" s="1273"/>
    </row>
    <row r="53" spans="1:48" ht="16.5" x14ac:dyDescent="0.25">
      <c r="A53" s="1445" t="s">
        <v>463</v>
      </c>
      <c r="B53" s="1373"/>
      <c r="C53" s="1284"/>
      <c r="D53" s="1284"/>
      <c r="E53" s="989">
        <f t="shared" si="16"/>
        <v>0</v>
      </c>
      <c r="F53" s="989">
        <f t="shared" si="17"/>
        <v>0</v>
      </c>
      <c r="G53" s="989">
        <f t="shared" si="18"/>
        <v>0</v>
      </c>
      <c r="H53" s="1265">
        <f t="shared" si="19"/>
        <v>0</v>
      </c>
      <c r="I53" s="989">
        <f t="shared" si="20"/>
        <v>0</v>
      </c>
      <c r="J53" s="989">
        <f t="shared" si="21"/>
        <v>0</v>
      </c>
      <c r="K53" s="989">
        <f t="shared" si="22"/>
        <v>0</v>
      </c>
      <c r="L53" s="1265">
        <f t="shared" si="23"/>
        <v>0</v>
      </c>
      <c r="M53" s="989">
        <f t="shared" si="24"/>
        <v>0</v>
      </c>
      <c r="N53" s="989">
        <f t="shared" si="25"/>
        <v>0</v>
      </c>
      <c r="O53" s="989">
        <f t="shared" si="26"/>
        <v>0</v>
      </c>
      <c r="P53" s="1265">
        <f t="shared" si="27"/>
        <v>0</v>
      </c>
      <c r="Q53" s="1284"/>
      <c r="R53" s="1271"/>
      <c r="S53" s="1272"/>
      <c r="T53" s="1272"/>
      <c r="U53" s="1272"/>
      <c r="V53" s="1272"/>
      <c r="W53" s="1272"/>
      <c r="X53" s="1272"/>
      <c r="Y53" s="1272"/>
      <c r="Z53" s="1272"/>
      <c r="AA53" s="1272"/>
      <c r="AB53" s="1272"/>
      <c r="AC53" s="1272"/>
      <c r="AD53" s="1272"/>
      <c r="AE53" s="1272"/>
      <c r="AF53" s="1272"/>
      <c r="AG53" s="1272"/>
      <c r="AH53" s="1272"/>
      <c r="AI53" s="1272"/>
      <c r="AJ53" s="1272"/>
      <c r="AK53" s="1272"/>
      <c r="AL53" s="1272"/>
      <c r="AM53" s="1272"/>
      <c r="AN53" s="1272"/>
      <c r="AO53" s="1272"/>
      <c r="AP53" s="1272"/>
      <c r="AQ53" s="1272"/>
      <c r="AR53" s="1272"/>
      <c r="AS53" s="1272"/>
      <c r="AT53" s="1272"/>
      <c r="AU53" s="1272"/>
      <c r="AV53" s="1273"/>
    </row>
    <row r="54" spans="1:48" ht="16.5" x14ac:dyDescent="0.25">
      <c r="A54" s="1253"/>
      <c r="B54" s="1266" t="s">
        <v>464</v>
      </c>
      <c r="C54" s="1284"/>
      <c r="D54" s="1284"/>
      <c r="E54" s="989">
        <f t="shared" si="16"/>
        <v>0</v>
      </c>
      <c r="F54" s="989">
        <f t="shared" si="17"/>
        <v>-1193270000</v>
      </c>
      <c r="G54" s="989">
        <f t="shared" si="18"/>
        <v>-5071565000</v>
      </c>
      <c r="H54" s="1265">
        <f t="shared" si="19"/>
        <v>-9280505000</v>
      </c>
      <c r="I54" s="989">
        <f t="shared" si="20"/>
        <v>-3926535000.000001</v>
      </c>
      <c r="J54" s="989">
        <f t="shared" si="21"/>
        <v>-8159930000.000001</v>
      </c>
      <c r="K54" s="989">
        <f t="shared" si="22"/>
        <v>-12753115000.000002</v>
      </c>
      <c r="L54" s="1265">
        <f t="shared" si="23"/>
        <v>-19979400000.000004</v>
      </c>
      <c r="M54" s="989">
        <f t="shared" si="24"/>
        <v>-7273560000.0000019</v>
      </c>
      <c r="N54" s="989">
        <f t="shared" si="25"/>
        <v>-15415575000.000002</v>
      </c>
      <c r="O54" s="989">
        <f t="shared" si="26"/>
        <v>-24509420000.000004</v>
      </c>
      <c r="P54" s="1265">
        <f t="shared" si="27"/>
        <v>-34158435000.000004</v>
      </c>
      <c r="Q54" s="1284"/>
      <c r="R54" s="1271"/>
      <c r="S54" s="1272"/>
      <c r="T54" s="1272"/>
      <c r="U54" s="1272"/>
      <c r="V54" s="1272"/>
      <c r="W54" s="1272"/>
      <c r="X54" s="1272"/>
      <c r="Y54" s="1272"/>
      <c r="Z54" s="1272"/>
      <c r="AA54" s="1272"/>
      <c r="AB54" s="1272"/>
      <c r="AC54" s="1272"/>
      <c r="AD54" s="1272"/>
      <c r="AE54" s="1272"/>
      <c r="AF54" s="1272"/>
      <c r="AG54" s="1272"/>
      <c r="AH54" s="1272"/>
      <c r="AI54" s="1272"/>
      <c r="AJ54" s="1272"/>
      <c r="AK54" s="1272"/>
      <c r="AL54" s="1272"/>
      <c r="AM54" s="1272"/>
      <c r="AN54" s="1272"/>
      <c r="AO54" s="1272"/>
      <c r="AP54" s="1272"/>
      <c r="AQ54" s="1272"/>
      <c r="AR54" s="1272"/>
      <c r="AS54" s="1272"/>
      <c r="AT54" s="1272"/>
      <c r="AU54" s="1272"/>
      <c r="AV54" s="1273"/>
    </row>
    <row r="55" spans="1:48" ht="16.5" x14ac:dyDescent="0.25">
      <c r="A55" s="1253"/>
      <c r="B55" s="1266" t="s">
        <v>465</v>
      </c>
      <c r="C55" s="1284"/>
      <c r="D55" s="1284"/>
      <c r="E55" s="989">
        <f t="shared" ca="1" si="16"/>
        <v>-1515405999.9999998</v>
      </c>
      <c r="F55" s="989">
        <f t="shared" ca="1" si="17"/>
        <v>-7436740000</v>
      </c>
      <c r="G55" s="989">
        <f t="shared" ca="1" si="18"/>
        <v>-22720008000</v>
      </c>
      <c r="H55" s="1265">
        <f t="shared" ca="1" si="19"/>
        <v>-40223446000</v>
      </c>
      <c r="I55" s="989">
        <f t="shared" ca="1" si="20"/>
        <v>-14445208800</v>
      </c>
      <c r="J55" s="989">
        <f t="shared" ca="1" si="21"/>
        <v>-31709531600</v>
      </c>
      <c r="K55" s="989">
        <f t="shared" ca="1" si="22"/>
        <v>-49714514000</v>
      </c>
      <c r="L55" s="1265">
        <f t="shared" ca="1" si="23"/>
        <v>-77139237900</v>
      </c>
      <c r="M55" s="989">
        <f t="shared" ca="1" si="24"/>
        <v>-25426808700</v>
      </c>
      <c r="N55" s="989">
        <f t="shared" ca="1" si="25"/>
        <v>-57980003900</v>
      </c>
      <c r="O55" s="989">
        <f t="shared" ca="1" si="26"/>
        <v>-91691232800</v>
      </c>
      <c r="P55" s="1265">
        <f t="shared" ca="1" si="27"/>
        <v>-129653013300</v>
      </c>
      <c r="Q55" s="1284"/>
      <c r="R55" s="1271"/>
      <c r="S55" s="1272"/>
      <c r="T55" s="1272"/>
      <c r="U55" s="1272"/>
      <c r="V55" s="1272"/>
      <c r="W55" s="1272"/>
      <c r="X55" s="1272"/>
      <c r="Y55" s="1272"/>
      <c r="Z55" s="1272"/>
      <c r="AA55" s="1272"/>
      <c r="AB55" s="1272"/>
      <c r="AC55" s="1272"/>
      <c r="AD55" s="1272"/>
      <c r="AE55" s="1272"/>
      <c r="AF55" s="1272"/>
      <c r="AG55" s="1272"/>
      <c r="AH55" s="1272"/>
      <c r="AI55" s="1272"/>
      <c r="AJ55" s="1272"/>
      <c r="AK55" s="1272"/>
      <c r="AL55" s="1272"/>
      <c r="AM55" s="1272"/>
      <c r="AN55" s="1272"/>
      <c r="AO55" s="1272"/>
      <c r="AP55" s="1272"/>
      <c r="AQ55" s="1272"/>
      <c r="AR55" s="1272"/>
      <c r="AS55" s="1272"/>
      <c r="AT55" s="1272"/>
      <c r="AU55" s="1272"/>
      <c r="AV55" s="1273"/>
    </row>
    <row r="56" spans="1:48" ht="16.5" x14ac:dyDescent="0.25">
      <c r="A56" s="1253"/>
      <c r="B56" s="1266" t="s">
        <v>466</v>
      </c>
      <c r="C56" s="1284"/>
      <c r="D56" s="1284"/>
      <c r="E56" s="989">
        <f t="shared" si="16"/>
        <v>-356580086.58008659</v>
      </c>
      <c r="F56" s="989">
        <f t="shared" si="17"/>
        <v>-3073534819.499341</v>
      </c>
      <c r="G56" s="989">
        <f t="shared" si="18"/>
        <v>-7336717019.499341</v>
      </c>
      <c r="H56" s="1265">
        <f t="shared" si="19"/>
        <v>-11788799619.49934</v>
      </c>
      <c r="I56" s="989">
        <f t="shared" si="20"/>
        <v>-4949948000</v>
      </c>
      <c r="J56" s="989">
        <f t="shared" si="21"/>
        <v>-9771251600</v>
      </c>
      <c r="K56" s="989">
        <f t="shared" si="22"/>
        <v>-14653665200</v>
      </c>
      <c r="L56" s="1265">
        <f t="shared" si="23"/>
        <v>-20207175600</v>
      </c>
      <c r="M56" s="989">
        <f t="shared" si="24"/>
        <v>-6190091600</v>
      </c>
      <c r="N56" s="989">
        <f t="shared" si="25"/>
        <v>-12318116000</v>
      </c>
      <c r="O56" s="989">
        <f t="shared" si="26"/>
        <v>-18614476400</v>
      </c>
      <c r="P56" s="1265">
        <f t="shared" si="27"/>
        <v>-25082663000</v>
      </c>
      <c r="Q56" s="1284"/>
      <c r="R56" s="1271"/>
      <c r="S56" s="1272"/>
      <c r="T56" s="1272"/>
      <c r="U56" s="1272"/>
      <c r="V56" s="1272"/>
      <c r="W56" s="1272"/>
      <c r="X56" s="1272"/>
      <c r="Y56" s="1272"/>
      <c r="Z56" s="1272"/>
      <c r="AA56" s="1272"/>
      <c r="AB56" s="1272"/>
      <c r="AC56" s="1272"/>
      <c r="AD56" s="1272"/>
      <c r="AE56" s="1272"/>
      <c r="AF56" s="1272"/>
      <c r="AG56" s="1272"/>
      <c r="AH56" s="1272"/>
      <c r="AI56" s="1272"/>
      <c r="AJ56" s="1272"/>
      <c r="AK56" s="1272"/>
      <c r="AL56" s="1272"/>
      <c r="AM56" s="1272"/>
      <c r="AN56" s="1272"/>
      <c r="AO56" s="1272"/>
      <c r="AP56" s="1272"/>
      <c r="AQ56" s="1272"/>
      <c r="AR56" s="1272"/>
      <c r="AS56" s="1272"/>
      <c r="AT56" s="1272"/>
      <c r="AU56" s="1272"/>
      <c r="AV56" s="1273"/>
    </row>
    <row r="57" spans="1:48" ht="16.5" x14ac:dyDescent="0.25">
      <c r="A57" s="1253"/>
      <c r="B57" s="1266" t="s">
        <v>467</v>
      </c>
      <c r="C57" s="1284"/>
      <c r="D57" s="1284"/>
      <c r="E57" s="989">
        <f t="shared" si="16"/>
        <v>0</v>
      </c>
      <c r="F57" s="989">
        <f t="shared" si="17"/>
        <v>-1052639999.9999996</v>
      </c>
      <c r="G57" s="989">
        <f t="shared" si="18"/>
        <v>-3684239999.999999</v>
      </c>
      <c r="H57" s="1265">
        <f t="shared" si="19"/>
        <v>-5526359999.999999</v>
      </c>
      <c r="I57" s="989">
        <f t="shared" si="20"/>
        <v>-1052639999.999999</v>
      </c>
      <c r="J57" s="989">
        <f t="shared" si="21"/>
        <v>-2368439999.9999981</v>
      </c>
      <c r="K57" s="989">
        <f t="shared" si="22"/>
        <v>-5000039999.9999962</v>
      </c>
      <c r="L57" s="1265">
        <f t="shared" si="23"/>
        <v>-6842159999.9999933</v>
      </c>
      <c r="M57" s="989">
        <f t="shared" si="24"/>
        <v>-1052639999.9999982</v>
      </c>
      <c r="N57" s="989">
        <f t="shared" si="25"/>
        <v>-2368439999.9999962</v>
      </c>
      <c r="O57" s="989">
        <f t="shared" si="26"/>
        <v>-5000039999.9999933</v>
      </c>
      <c r="P57" s="1265">
        <f t="shared" si="27"/>
        <v>-6842159999.9999905</v>
      </c>
      <c r="Q57" s="1284"/>
      <c r="R57" s="1271"/>
      <c r="S57" s="1272"/>
      <c r="T57" s="1272"/>
      <c r="U57" s="1272"/>
      <c r="V57" s="1272"/>
      <c r="W57" s="1272"/>
      <c r="X57" s="1272"/>
      <c r="Y57" s="1272"/>
      <c r="Z57" s="1272"/>
      <c r="AA57" s="1272"/>
      <c r="AB57" s="1272"/>
      <c r="AC57" s="1272"/>
      <c r="AD57" s="1272"/>
      <c r="AE57" s="1272"/>
      <c r="AF57" s="1272"/>
      <c r="AG57" s="1272"/>
      <c r="AH57" s="1272"/>
      <c r="AI57" s="1272"/>
      <c r="AJ57" s="1272"/>
      <c r="AK57" s="1272"/>
      <c r="AL57" s="1272"/>
      <c r="AM57" s="1272"/>
      <c r="AN57" s="1272"/>
      <c r="AO57" s="1272"/>
      <c r="AP57" s="1272"/>
      <c r="AQ57" s="1272"/>
      <c r="AR57" s="1272"/>
      <c r="AS57" s="1272"/>
      <c r="AT57" s="1272"/>
      <c r="AU57" s="1272"/>
      <c r="AV57" s="1273"/>
    </row>
    <row r="58" spans="1:48" ht="16.5" x14ac:dyDescent="0.25">
      <c r="A58" s="1253"/>
      <c r="B58" s="1266" t="s">
        <v>468</v>
      </c>
      <c r="C58" s="1284"/>
      <c r="D58" s="1284"/>
      <c r="E58" s="989">
        <f t="shared" ca="1" si="16"/>
        <v>0</v>
      </c>
      <c r="F58" s="989">
        <f t="shared" ca="1" si="17"/>
        <v>0</v>
      </c>
      <c r="G58" s="989">
        <f t="shared" ca="1" si="18"/>
        <v>0</v>
      </c>
      <c r="H58" s="1265">
        <f t="shared" ca="1" si="19"/>
        <v>0</v>
      </c>
      <c r="I58" s="989">
        <f t="shared" ca="1" si="20"/>
        <v>0</v>
      </c>
      <c r="J58" s="989">
        <f t="shared" ca="1" si="21"/>
        <v>0</v>
      </c>
      <c r="K58" s="989">
        <f t="shared" ca="1" si="22"/>
        <v>0</v>
      </c>
      <c r="L58" s="1265">
        <f t="shared" ca="1" si="23"/>
        <v>0</v>
      </c>
      <c r="M58" s="989">
        <f t="shared" ca="1" si="24"/>
        <v>-1097708728.5714293</v>
      </c>
      <c r="N58" s="989">
        <f t="shared" ca="1" si="25"/>
        <v>-1097708728.5714293</v>
      </c>
      <c r="O58" s="989">
        <f t="shared" ca="1" si="26"/>
        <v>-1097708728.5714293</v>
      </c>
      <c r="P58" s="1265">
        <f t="shared" ca="1" si="27"/>
        <v>-1097708728.5714293</v>
      </c>
      <c r="Q58" s="1284"/>
      <c r="R58" s="1271"/>
      <c r="S58" s="1272"/>
      <c r="T58" s="1272"/>
      <c r="U58" s="1272"/>
      <c r="V58" s="1272"/>
      <c r="W58" s="1272"/>
      <c r="X58" s="1272"/>
      <c r="Y58" s="1272"/>
      <c r="Z58" s="1272"/>
      <c r="AA58" s="1272"/>
      <c r="AB58" s="1272"/>
      <c r="AC58" s="1272"/>
      <c r="AD58" s="1272"/>
      <c r="AE58" s="1272"/>
      <c r="AF58" s="1272"/>
      <c r="AG58" s="1272"/>
      <c r="AH58" s="1272"/>
      <c r="AI58" s="1272"/>
      <c r="AJ58" s="1272"/>
      <c r="AK58" s="1272"/>
      <c r="AL58" s="1272"/>
      <c r="AM58" s="1272"/>
      <c r="AN58" s="1272"/>
      <c r="AO58" s="1272"/>
      <c r="AP58" s="1272"/>
      <c r="AQ58" s="1272"/>
      <c r="AR58" s="1272"/>
      <c r="AS58" s="1272"/>
      <c r="AT58" s="1272"/>
      <c r="AU58" s="1272"/>
      <c r="AV58" s="1273"/>
    </row>
    <row r="59" spans="1:48" ht="16.5" x14ac:dyDescent="0.25">
      <c r="A59" s="1446" t="s">
        <v>469</v>
      </c>
      <c r="B59" s="1373"/>
      <c r="C59" s="1284"/>
      <c r="D59" s="1284"/>
      <c r="E59" s="1267">
        <f t="shared" ca="1" si="16"/>
        <v>-1871986086.5800862</v>
      </c>
      <c r="F59" s="1267">
        <f t="shared" ca="1" si="17"/>
        <v>-7608214819.499341</v>
      </c>
      <c r="G59" s="1267">
        <f t="shared" ca="1" si="18"/>
        <v>-7486107019.4993401</v>
      </c>
      <c r="H59" s="1283">
        <f t="shared" ca="1" si="19"/>
        <v>-5287444619.4993391</v>
      </c>
      <c r="I59" s="1267">
        <f t="shared" ca="1" si="20"/>
        <v>2262179200.000001</v>
      </c>
      <c r="J59" s="1267">
        <f t="shared" ca="1" si="21"/>
        <v>5312944800.0000019</v>
      </c>
      <c r="K59" s="1267">
        <f t="shared" ca="1" si="22"/>
        <v>7843676800.0000038</v>
      </c>
      <c r="L59" s="1283">
        <f t="shared" ca="1" si="23"/>
        <v>8639445500.0000076</v>
      </c>
      <c r="M59" s="1267">
        <f t="shared" ca="1" si="24"/>
        <v>5673224971.4285727</v>
      </c>
      <c r="N59" s="1267">
        <f t="shared" ca="1" si="25"/>
        <v>13068306371.428574</v>
      </c>
      <c r="O59" s="1267">
        <f t="shared" ca="1" si="26"/>
        <v>21588934071.428577</v>
      </c>
      <c r="P59" s="1283">
        <f t="shared" ca="1" si="27"/>
        <v>30680618971.428577</v>
      </c>
      <c r="Q59" s="1284"/>
      <c r="R59" s="1271"/>
      <c r="S59" s="1272"/>
      <c r="T59" s="1272"/>
      <c r="U59" s="1272"/>
      <c r="V59" s="1272"/>
      <c r="W59" s="1272"/>
      <c r="X59" s="1272"/>
      <c r="Y59" s="1272"/>
      <c r="Z59" s="1272"/>
      <c r="AA59" s="1272"/>
      <c r="AB59" s="1272"/>
      <c r="AC59" s="1272"/>
      <c r="AD59" s="1272"/>
      <c r="AE59" s="1272"/>
      <c r="AF59" s="1272"/>
      <c r="AG59" s="1272"/>
      <c r="AH59" s="1272"/>
      <c r="AI59" s="1272"/>
      <c r="AJ59" s="1272"/>
      <c r="AK59" s="1272"/>
      <c r="AL59" s="1272"/>
      <c r="AM59" s="1272"/>
      <c r="AN59" s="1272"/>
      <c r="AO59" s="1272"/>
      <c r="AP59" s="1272"/>
      <c r="AQ59" s="1272"/>
      <c r="AR59" s="1272"/>
      <c r="AS59" s="1272"/>
      <c r="AT59" s="1272"/>
      <c r="AU59" s="1272"/>
      <c r="AV59" s="1273"/>
    </row>
    <row r="60" spans="1:48" ht="16.5" x14ac:dyDescent="0.25">
      <c r="A60" s="1444" t="s">
        <v>470</v>
      </c>
      <c r="B60" s="1373"/>
      <c r="C60" s="1284"/>
      <c r="D60" s="1284"/>
      <c r="E60" s="1260">
        <f t="shared" si="16"/>
        <v>0</v>
      </c>
      <c r="F60" s="1260">
        <f t="shared" si="17"/>
        <v>0</v>
      </c>
      <c r="G60" s="1260">
        <f t="shared" si="18"/>
        <v>0</v>
      </c>
      <c r="H60" s="1275">
        <f t="shared" si="19"/>
        <v>0</v>
      </c>
      <c r="I60" s="1260">
        <f t="shared" si="20"/>
        <v>0</v>
      </c>
      <c r="J60" s="1260">
        <f t="shared" si="21"/>
        <v>0</v>
      </c>
      <c r="K60" s="1260">
        <f t="shared" si="22"/>
        <v>0</v>
      </c>
      <c r="L60" s="1275">
        <f t="shared" si="23"/>
        <v>0</v>
      </c>
      <c r="M60" s="1260">
        <f t="shared" si="24"/>
        <v>0</v>
      </c>
      <c r="N60" s="1260">
        <f t="shared" si="25"/>
        <v>0</v>
      </c>
      <c r="O60" s="1260">
        <f t="shared" si="26"/>
        <v>0</v>
      </c>
      <c r="P60" s="1275">
        <f t="shared" si="27"/>
        <v>0</v>
      </c>
      <c r="Q60" s="1284"/>
      <c r="R60" s="1271"/>
      <c r="S60" s="1272"/>
      <c r="T60" s="1272"/>
      <c r="U60" s="1272"/>
      <c r="V60" s="1272"/>
      <c r="W60" s="1272"/>
      <c r="X60" s="1272"/>
      <c r="Y60" s="1272"/>
      <c r="Z60" s="1272"/>
      <c r="AA60" s="1272"/>
      <c r="AB60" s="1272"/>
      <c r="AC60" s="1272"/>
      <c r="AD60" s="1272"/>
      <c r="AE60" s="1272"/>
      <c r="AF60" s="1272"/>
      <c r="AG60" s="1272"/>
      <c r="AH60" s="1272"/>
      <c r="AI60" s="1272"/>
      <c r="AJ60" s="1272"/>
      <c r="AK60" s="1272"/>
      <c r="AL60" s="1272"/>
      <c r="AM60" s="1272"/>
      <c r="AN60" s="1272"/>
      <c r="AO60" s="1272"/>
      <c r="AP60" s="1272"/>
      <c r="AQ60" s="1272"/>
      <c r="AR60" s="1272"/>
      <c r="AS60" s="1272"/>
      <c r="AT60" s="1272"/>
      <c r="AU60" s="1272"/>
      <c r="AV60" s="1273"/>
    </row>
    <row r="61" spans="1:48" ht="16.5" x14ac:dyDescent="0.25">
      <c r="A61" s="1445" t="s">
        <v>459</v>
      </c>
      <c r="B61" s="1373"/>
      <c r="C61" s="1284"/>
      <c r="D61" s="1284"/>
      <c r="E61" s="989">
        <f t="shared" si="16"/>
        <v>0</v>
      </c>
      <c r="F61" s="989">
        <f t="shared" si="17"/>
        <v>0</v>
      </c>
      <c r="G61" s="989">
        <f t="shared" si="18"/>
        <v>0</v>
      </c>
      <c r="H61" s="1265">
        <f t="shared" si="19"/>
        <v>0</v>
      </c>
      <c r="I61" s="989">
        <f t="shared" si="20"/>
        <v>0</v>
      </c>
      <c r="J61" s="989">
        <f t="shared" si="21"/>
        <v>0</v>
      </c>
      <c r="K61" s="989">
        <f t="shared" si="22"/>
        <v>0</v>
      </c>
      <c r="L61" s="1265">
        <f t="shared" si="23"/>
        <v>0</v>
      </c>
      <c r="M61" s="989">
        <f t="shared" si="24"/>
        <v>0</v>
      </c>
      <c r="N61" s="989">
        <f t="shared" si="25"/>
        <v>0</v>
      </c>
      <c r="O61" s="989">
        <f t="shared" si="26"/>
        <v>0</v>
      </c>
      <c r="P61" s="1265">
        <f t="shared" si="27"/>
        <v>0</v>
      </c>
      <c r="Q61" s="1284"/>
      <c r="R61" s="1271"/>
      <c r="S61" s="1272"/>
      <c r="T61" s="1272"/>
      <c r="U61" s="1272"/>
      <c r="V61" s="1272"/>
      <c r="W61" s="1272"/>
      <c r="X61" s="1272"/>
      <c r="Y61" s="1272"/>
      <c r="Z61" s="1272"/>
      <c r="AA61" s="1272"/>
      <c r="AB61" s="1272"/>
      <c r="AC61" s="1272"/>
      <c r="AD61" s="1272"/>
      <c r="AE61" s="1272"/>
      <c r="AF61" s="1272"/>
      <c r="AG61" s="1272"/>
      <c r="AH61" s="1272"/>
      <c r="AI61" s="1272"/>
      <c r="AJ61" s="1272"/>
      <c r="AK61" s="1272"/>
      <c r="AL61" s="1272"/>
      <c r="AM61" s="1272"/>
      <c r="AN61" s="1272"/>
      <c r="AO61" s="1272"/>
      <c r="AP61" s="1272"/>
      <c r="AQ61" s="1272"/>
      <c r="AR61" s="1272"/>
      <c r="AS61" s="1272"/>
      <c r="AT61" s="1272"/>
      <c r="AU61" s="1272"/>
      <c r="AV61" s="1273"/>
    </row>
    <row r="62" spans="1:48" ht="16.5" x14ac:dyDescent="0.25">
      <c r="A62" s="1253"/>
      <c r="B62" s="1266" t="s">
        <v>471</v>
      </c>
      <c r="C62" s="1284"/>
      <c r="D62" s="1284"/>
      <c r="E62" s="989">
        <f t="shared" si="16"/>
        <v>0</v>
      </c>
      <c r="F62" s="989">
        <f t="shared" si="17"/>
        <v>0</v>
      </c>
      <c r="G62" s="989">
        <f t="shared" si="18"/>
        <v>0</v>
      </c>
      <c r="H62" s="1265">
        <f t="shared" si="19"/>
        <v>0</v>
      </c>
      <c r="I62" s="989">
        <f t="shared" si="20"/>
        <v>0</v>
      </c>
      <c r="J62" s="989">
        <f t="shared" si="21"/>
        <v>0</v>
      </c>
      <c r="K62" s="989">
        <f t="shared" si="22"/>
        <v>0</v>
      </c>
      <c r="L62" s="1265">
        <f t="shared" si="23"/>
        <v>0</v>
      </c>
      <c r="M62" s="989">
        <f t="shared" si="24"/>
        <v>0</v>
      </c>
      <c r="N62" s="989">
        <f t="shared" si="25"/>
        <v>0</v>
      </c>
      <c r="O62" s="989">
        <f t="shared" si="26"/>
        <v>0</v>
      </c>
      <c r="P62" s="1265">
        <f t="shared" si="27"/>
        <v>0</v>
      </c>
      <c r="Q62" s="1284"/>
      <c r="R62" s="1271"/>
      <c r="S62" s="1272"/>
      <c r="T62" s="1272"/>
      <c r="U62" s="1272"/>
      <c r="V62" s="1272"/>
      <c r="W62" s="1272"/>
      <c r="X62" s="1272"/>
      <c r="Y62" s="1272"/>
      <c r="Z62" s="1272"/>
      <c r="AA62" s="1272"/>
      <c r="AB62" s="1272"/>
      <c r="AC62" s="1272"/>
      <c r="AD62" s="1272"/>
      <c r="AE62" s="1272"/>
      <c r="AF62" s="1272"/>
      <c r="AG62" s="1272"/>
      <c r="AH62" s="1272"/>
      <c r="AI62" s="1272"/>
      <c r="AJ62" s="1272"/>
      <c r="AK62" s="1272"/>
      <c r="AL62" s="1272"/>
      <c r="AM62" s="1272"/>
      <c r="AN62" s="1272"/>
      <c r="AO62" s="1272"/>
      <c r="AP62" s="1272"/>
      <c r="AQ62" s="1272"/>
      <c r="AR62" s="1272"/>
      <c r="AS62" s="1272"/>
      <c r="AT62" s="1272"/>
      <c r="AU62" s="1272"/>
      <c r="AV62" s="1273"/>
    </row>
    <row r="63" spans="1:48" ht="16.5" x14ac:dyDescent="0.25">
      <c r="A63" s="1253"/>
      <c r="B63" s="1266" t="s">
        <v>472</v>
      </c>
      <c r="C63" s="1284"/>
      <c r="D63" s="1284"/>
      <c r="E63" s="989">
        <f t="shared" si="16"/>
        <v>0</v>
      </c>
      <c r="F63" s="989">
        <f t="shared" si="17"/>
        <v>0</v>
      </c>
      <c r="G63" s="989">
        <f t="shared" si="18"/>
        <v>0</v>
      </c>
      <c r="H63" s="1265">
        <f t="shared" si="19"/>
        <v>0</v>
      </c>
      <c r="I63" s="989">
        <f t="shared" si="20"/>
        <v>0</v>
      </c>
      <c r="J63" s="989">
        <f t="shared" si="21"/>
        <v>0</v>
      </c>
      <c r="K63" s="989">
        <f t="shared" si="22"/>
        <v>0</v>
      </c>
      <c r="L63" s="1265">
        <f t="shared" si="23"/>
        <v>0</v>
      </c>
      <c r="M63" s="989">
        <f t="shared" si="24"/>
        <v>0</v>
      </c>
      <c r="N63" s="989">
        <f t="shared" si="25"/>
        <v>0</v>
      </c>
      <c r="O63" s="989">
        <f t="shared" si="26"/>
        <v>0</v>
      </c>
      <c r="P63" s="1265">
        <f t="shared" si="27"/>
        <v>0</v>
      </c>
      <c r="Q63" s="1284"/>
      <c r="R63" s="1271"/>
      <c r="S63" s="1272"/>
      <c r="T63" s="1272"/>
      <c r="U63" s="1272"/>
      <c r="V63" s="1272"/>
      <c r="W63" s="1272"/>
      <c r="X63" s="1272"/>
      <c r="Y63" s="1272"/>
      <c r="Z63" s="1272"/>
      <c r="AA63" s="1272"/>
      <c r="AB63" s="1272"/>
      <c r="AC63" s="1272"/>
      <c r="AD63" s="1272"/>
      <c r="AE63" s="1272"/>
      <c r="AF63" s="1272"/>
      <c r="AG63" s="1272"/>
      <c r="AH63" s="1272"/>
      <c r="AI63" s="1272"/>
      <c r="AJ63" s="1272"/>
      <c r="AK63" s="1272"/>
      <c r="AL63" s="1272"/>
      <c r="AM63" s="1272"/>
      <c r="AN63" s="1272"/>
      <c r="AO63" s="1272"/>
      <c r="AP63" s="1272"/>
      <c r="AQ63" s="1272"/>
      <c r="AR63" s="1272"/>
      <c r="AS63" s="1272"/>
      <c r="AT63" s="1272"/>
      <c r="AU63" s="1272"/>
      <c r="AV63" s="1273"/>
    </row>
    <row r="64" spans="1:48" ht="16.5" x14ac:dyDescent="0.25">
      <c r="A64" s="1253"/>
      <c r="B64" s="1266" t="s">
        <v>473</v>
      </c>
      <c r="C64" s="1284"/>
      <c r="D64" s="1284"/>
      <c r="E64" s="989">
        <f t="shared" si="16"/>
        <v>0</v>
      </c>
      <c r="F64" s="989">
        <f t="shared" si="17"/>
        <v>0</v>
      </c>
      <c r="G64" s="989">
        <f t="shared" si="18"/>
        <v>0</v>
      </c>
      <c r="H64" s="1265">
        <f t="shared" si="19"/>
        <v>0</v>
      </c>
      <c r="I64" s="989">
        <f t="shared" si="20"/>
        <v>0</v>
      </c>
      <c r="J64" s="989">
        <f t="shared" si="21"/>
        <v>0</v>
      </c>
      <c r="K64" s="989">
        <f t="shared" si="22"/>
        <v>0</v>
      </c>
      <c r="L64" s="1265">
        <f t="shared" si="23"/>
        <v>0</v>
      </c>
      <c r="M64" s="989">
        <f t="shared" si="24"/>
        <v>0</v>
      </c>
      <c r="N64" s="989">
        <f t="shared" si="25"/>
        <v>0</v>
      </c>
      <c r="O64" s="989">
        <f t="shared" si="26"/>
        <v>0</v>
      </c>
      <c r="P64" s="1265">
        <f t="shared" si="27"/>
        <v>0</v>
      </c>
      <c r="Q64" s="1284"/>
      <c r="R64" s="1271"/>
      <c r="S64" s="1272"/>
      <c r="T64" s="1272"/>
      <c r="U64" s="1272"/>
      <c r="V64" s="1272"/>
      <c r="W64" s="1272"/>
      <c r="X64" s="1272"/>
      <c r="Y64" s="1272"/>
      <c r="Z64" s="1272"/>
      <c r="AA64" s="1272"/>
      <c r="AB64" s="1272"/>
      <c r="AC64" s="1272"/>
      <c r="AD64" s="1272"/>
      <c r="AE64" s="1272"/>
      <c r="AF64" s="1272"/>
      <c r="AG64" s="1272"/>
      <c r="AH64" s="1272"/>
      <c r="AI64" s="1272"/>
      <c r="AJ64" s="1272"/>
      <c r="AK64" s="1272"/>
      <c r="AL64" s="1272"/>
      <c r="AM64" s="1272"/>
      <c r="AN64" s="1272"/>
      <c r="AO64" s="1272"/>
      <c r="AP64" s="1272"/>
      <c r="AQ64" s="1272"/>
      <c r="AR64" s="1272"/>
      <c r="AS64" s="1272"/>
      <c r="AT64" s="1272"/>
      <c r="AU64" s="1272"/>
      <c r="AV64" s="1273"/>
    </row>
    <row r="65" spans="1:48" ht="16.5" x14ac:dyDescent="0.25">
      <c r="A65" s="1445" t="s">
        <v>463</v>
      </c>
      <c r="B65" s="1373"/>
      <c r="C65" s="1284"/>
      <c r="D65" s="1284"/>
      <c r="E65" s="989">
        <f t="shared" si="16"/>
        <v>0</v>
      </c>
      <c r="F65" s="989">
        <f t="shared" si="17"/>
        <v>0</v>
      </c>
      <c r="G65" s="989">
        <f t="shared" si="18"/>
        <v>0</v>
      </c>
      <c r="H65" s="1265">
        <f t="shared" si="19"/>
        <v>0</v>
      </c>
      <c r="I65" s="989">
        <f t="shared" si="20"/>
        <v>0</v>
      </c>
      <c r="J65" s="989">
        <f t="shared" si="21"/>
        <v>0</v>
      </c>
      <c r="K65" s="989">
        <f t="shared" si="22"/>
        <v>0</v>
      </c>
      <c r="L65" s="1265">
        <f t="shared" si="23"/>
        <v>0</v>
      </c>
      <c r="M65" s="989">
        <f t="shared" si="24"/>
        <v>0</v>
      </c>
      <c r="N65" s="989">
        <f t="shared" si="25"/>
        <v>0</v>
      </c>
      <c r="O65" s="989">
        <f t="shared" si="26"/>
        <v>0</v>
      </c>
      <c r="P65" s="1265">
        <f t="shared" si="27"/>
        <v>0</v>
      </c>
      <c r="Q65" s="1284"/>
      <c r="R65" s="1271"/>
      <c r="S65" s="1272"/>
      <c r="T65" s="1272"/>
      <c r="U65" s="1272"/>
      <c r="V65" s="1272"/>
      <c r="W65" s="1272"/>
      <c r="X65" s="1272"/>
      <c r="Y65" s="1272"/>
      <c r="Z65" s="1272"/>
      <c r="AA65" s="1272"/>
      <c r="AB65" s="1272"/>
      <c r="AC65" s="1272"/>
      <c r="AD65" s="1272"/>
      <c r="AE65" s="1272"/>
      <c r="AF65" s="1272"/>
      <c r="AG65" s="1272"/>
      <c r="AH65" s="1272"/>
      <c r="AI65" s="1272"/>
      <c r="AJ65" s="1272"/>
      <c r="AK65" s="1272"/>
      <c r="AL65" s="1272"/>
      <c r="AM65" s="1272"/>
      <c r="AN65" s="1272"/>
      <c r="AO65" s="1272"/>
      <c r="AP65" s="1272"/>
      <c r="AQ65" s="1272"/>
      <c r="AR65" s="1272"/>
      <c r="AS65" s="1272"/>
      <c r="AT65" s="1272"/>
      <c r="AU65" s="1272"/>
      <c r="AV65" s="1273"/>
    </row>
    <row r="66" spans="1:48" ht="16.5" x14ac:dyDescent="0.25">
      <c r="A66" s="1253"/>
      <c r="B66" s="1266" t="s">
        <v>474</v>
      </c>
      <c r="C66" s="1284"/>
      <c r="D66" s="1284"/>
      <c r="E66" s="989">
        <f t="shared" si="16"/>
        <v>-17363000000</v>
      </c>
      <c r="F66" s="989">
        <f t="shared" si="17"/>
        <v>-51578000000</v>
      </c>
      <c r="G66" s="989">
        <f t="shared" si="18"/>
        <v>-51578000000</v>
      </c>
      <c r="H66" s="1265">
        <f t="shared" si="19"/>
        <v>-51578000000</v>
      </c>
      <c r="I66" s="989">
        <f t="shared" si="20"/>
        <v>0</v>
      </c>
      <c r="J66" s="989">
        <f t="shared" si="21"/>
        <v>0</v>
      </c>
      <c r="K66" s="989">
        <f t="shared" si="22"/>
        <v>0</v>
      </c>
      <c r="L66" s="1265">
        <f t="shared" si="23"/>
        <v>0</v>
      </c>
      <c r="M66" s="989">
        <f t="shared" si="24"/>
        <v>0</v>
      </c>
      <c r="N66" s="989">
        <f t="shared" si="25"/>
        <v>0</v>
      </c>
      <c r="O66" s="989">
        <f t="shared" si="26"/>
        <v>0</v>
      </c>
      <c r="P66" s="1265">
        <f t="shared" si="27"/>
        <v>0</v>
      </c>
      <c r="Q66" s="1284"/>
      <c r="R66" s="1271"/>
      <c r="S66" s="1272"/>
      <c r="T66" s="1272"/>
      <c r="U66" s="1272"/>
      <c r="V66" s="1272"/>
      <c r="W66" s="1272"/>
      <c r="X66" s="1272"/>
      <c r="Y66" s="1272"/>
      <c r="Z66" s="1272"/>
      <c r="AA66" s="1272"/>
      <c r="AB66" s="1272"/>
      <c r="AC66" s="1272"/>
      <c r="AD66" s="1272"/>
      <c r="AE66" s="1272"/>
      <c r="AF66" s="1272"/>
      <c r="AG66" s="1272"/>
      <c r="AH66" s="1272"/>
      <c r="AI66" s="1272"/>
      <c r="AJ66" s="1272"/>
      <c r="AK66" s="1272"/>
      <c r="AL66" s="1272"/>
      <c r="AM66" s="1272"/>
      <c r="AN66" s="1272"/>
      <c r="AO66" s="1272"/>
      <c r="AP66" s="1272"/>
      <c r="AQ66" s="1272"/>
      <c r="AR66" s="1272"/>
      <c r="AS66" s="1272"/>
      <c r="AT66" s="1272"/>
      <c r="AU66" s="1272"/>
      <c r="AV66" s="1273"/>
    </row>
    <row r="67" spans="1:48" ht="16.5" x14ac:dyDescent="0.25">
      <c r="A67" s="1253"/>
      <c r="B67" s="1266" t="s">
        <v>475</v>
      </c>
      <c r="C67" s="1284"/>
      <c r="D67" s="1284"/>
      <c r="E67" s="989">
        <f t="shared" si="16"/>
        <v>0</v>
      </c>
      <c r="F67" s="989">
        <f t="shared" si="17"/>
        <v>0</v>
      </c>
      <c r="G67" s="989">
        <f t="shared" si="18"/>
        <v>0</v>
      </c>
      <c r="H67" s="1265">
        <f t="shared" si="19"/>
        <v>0</v>
      </c>
      <c r="I67" s="989">
        <f t="shared" si="20"/>
        <v>0</v>
      </c>
      <c r="J67" s="989">
        <f t="shared" si="21"/>
        <v>0</v>
      </c>
      <c r="K67" s="989">
        <f t="shared" si="22"/>
        <v>0</v>
      </c>
      <c r="L67" s="1265">
        <f t="shared" si="23"/>
        <v>0</v>
      </c>
      <c r="M67" s="989">
        <f t="shared" si="24"/>
        <v>0</v>
      </c>
      <c r="N67" s="989">
        <f t="shared" si="25"/>
        <v>0</v>
      </c>
      <c r="O67" s="989">
        <f t="shared" si="26"/>
        <v>0</v>
      </c>
      <c r="P67" s="1265">
        <f t="shared" si="27"/>
        <v>0</v>
      </c>
      <c r="Q67" s="1284"/>
      <c r="R67" s="1271"/>
      <c r="S67" s="1272"/>
      <c r="T67" s="1272"/>
      <c r="U67" s="1272"/>
      <c r="V67" s="1272"/>
      <c r="W67" s="1272"/>
      <c r="X67" s="1272"/>
      <c r="Y67" s="1272"/>
      <c r="Z67" s="1272"/>
      <c r="AA67" s="1272"/>
      <c r="AB67" s="1272"/>
      <c r="AC67" s="1272"/>
      <c r="AD67" s="1272"/>
      <c r="AE67" s="1272"/>
      <c r="AF67" s="1272"/>
      <c r="AG67" s="1272"/>
      <c r="AH67" s="1272"/>
      <c r="AI67" s="1272"/>
      <c r="AJ67" s="1272"/>
      <c r="AK67" s="1272"/>
      <c r="AL67" s="1272"/>
      <c r="AM67" s="1272"/>
      <c r="AN67" s="1272"/>
      <c r="AO67" s="1272"/>
      <c r="AP67" s="1272"/>
      <c r="AQ67" s="1272"/>
      <c r="AR67" s="1272"/>
      <c r="AS67" s="1272"/>
      <c r="AT67" s="1272"/>
      <c r="AU67" s="1272"/>
      <c r="AV67" s="1273"/>
    </row>
    <row r="68" spans="1:48" ht="16.5" x14ac:dyDescent="0.25">
      <c r="A68" s="1253"/>
      <c r="B68" s="1266" t="s">
        <v>476</v>
      </c>
      <c r="C68" s="1284"/>
      <c r="D68" s="1284"/>
      <c r="E68" s="989">
        <f t="shared" si="16"/>
        <v>0</v>
      </c>
      <c r="F68" s="989">
        <f t="shared" si="17"/>
        <v>0</v>
      </c>
      <c r="G68" s="989">
        <f t="shared" si="18"/>
        <v>0</v>
      </c>
      <c r="H68" s="1265">
        <f t="shared" si="19"/>
        <v>0</v>
      </c>
      <c r="I68" s="989">
        <f t="shared" si="20"/>
        <v>0</v>
      </c>
      <c r="J68" s="989">
        <f t="shared" si="21"/>
        <v>0</v>
      </c>
      <c r="K68" s="989">
        <f t="shared" si="22"/>
        <v>0</v>
      </c>
      <c r="L68" s="1265">
        <f t="shared" si="23"/>
        <v>0</v>
      </c>
      <c r="M68" s="989">
        <f t="shared" si="24"/>
        <v>0</v>
      </c>
      <c r="N68" s="989">
        <f t="shared" si="25"/>
        <v>0</v>
      </c>
      <c r="O68" s="989">
        <f t="shared" si="26"/>
        <v>0</v>
      </c>
      <c r="P68" s="1265">
        <f t="shared" si="27"/>
        <v>0</v>
      </c>
      <c r="Q68" s="1284"/>
      <c r="R68" s="1271"/>
      <c r="S68" s="1272"/>
      <c r="T68" s="1272"/>
      <c r="U68" s="1272"/>
      <c r="V68" s="1272"/>
      <c r="W68" s="1272"/>
      <c r="X68" s="1272"/>
      <c r="Y68" s="1272"/>
      <c r="Z68" s="1272"/>
      <c r="AA68" s="1272"/>
      <c r="AB68" s="1272"/>
      <c r="AC68" s="1272"/>
      <c r="AD68" s="1272"/>
      <c r="AE68" s="1272"/>
      <c r="AF68" s="1272"/>
      <c r="AG68" s="1272"/>
      <c r="AH68" s="1272"/>
      <c r="AI68" s="1272"/>
      <c r="AJ68" s="1272"/>
      <c r="AK68" s="1272"/>
      <c r="AL68" s="1272"/>
      <c r="AM68" s="1272"/>
      <c r="AN68" s="1272"/>
      <c r="AO68" s="1272"/>
      <c r="AP68" s="1272"/>
      <c r="AQ68" s="1272"/>
      <c r="AR68" s="1272"/>
      <c r="AS68" s="1272"/>
      <c r="AT68" s="1272"/>
      <c r="AU68" s="1272"/>
      <c r="AV68" s="1273"/>
    </row>
    <row r="69" spans="1:48" ht="16.5" x14ac:dyDescent="0.25">
      <c r="A69" s="1446" t="s">
        <v>477</v>
      </c>
      <c r="B69" s="1373"/>
      <c r="C69" s="1284"/>
      <c r="D69" s="1284"/>
      <c r="E69" s="1267">
        <f t="shared" si="16"/>
        <v>-17363000000</v>
      </c>
      <c r="F69" s="1267">
        <f t="shared" si="17"/>
        <v>-51578000000</v>
      </c>
      <c r="G69" s="1267">
        <f t="shared" si="18"/>
        <v>-51578000000</v>
      </c>
      <c r="H69" s="1283">
        <f t="shared" si="19"/>
        <v>-51578000000</v>
      </c>
      <c r="I69" s="1267">
        <f t="shared" si="20"/>
        <v>0</v>
      </c>
      <c r="J69" s="1267">
        <f t="shared" si="21"/>
        <v>0</v>
      </c>
      <c r="K69" s="1267">
        <f t="shared" si="22"/>
        <v>0</v>
      </c>
      <c r="L69" s="1283">
        <f t="shared" si="23"/>
        <v>0</v>
      </c>
      <c r="M69" s="1267">
        <f t="shared" si="24"/>
        <v>0</v>
      </c>
      <c r="N69" s="1267">
        <f t="shared" si="25"/>
        <v>0</v>
      </c>
      <c r="O69" s="1267">
        <f t="shared" si="26"/>
        <v>0</v>
      </c>
      <c r="P69" s="1283">
        <f t="shared" si="27"/>
        <v>0</v>
      </c>
      <c r="Q69" s="1284"/>
      <c r="R69" s="1271"/>
      <c r="S69" s="1272"/>
      <c r="T69" s="1272"/>
      <c r="U69" s="1272"/>
      <c r="V69" s="1272"/>
      <c r="W69" s="1272"/>
      <c r="X69" s="1272"/>
      <c r="Y69" s="1272"/>
      <c r="Z69" s="1272"/>
      <c r="AA69" s="1272"/>
      <c r="AB69" s="1272"/>
      <c r="AC69" s="1272"/>
      <c r="AD69" s="1272"/>
      <c r="AE69" s="1272"/>
      <c r="AF69" s="1272"/>
      <c r="AG69" s="1272"/>
      <c r="AH69" s="1272"/>
      <c r="AI69" s="1272"/>
      <c r="AJ69" s="1272"/>
      <c r="AK69" s="1272"/>
      <c r="AL69" s="1272"/>
      <c r="AM69" s="1272"/>
      <c r="AN69" s="1272"/>
      <c r="AO69" s="1272"/>
      <c r="AP69" s="1272"/>
      <c r="AQ69" s="1272"/>
      <c r="AR69" s="1272"/>
      <c r="AS69" s="1272"/>
      <c r="AT69" s="1272"/>
      <c r="AU69" s="1272"/>
      <c r="AV69" s="1273"/>
    </row>
    <row r="70" spans="1:48" ht="16.5" x14ac:dyDescent="0.25">
      <c r="A70" s="1444" t="s">
        <v>478</v>
      </c>
      <c r="B70" s="1373"/>
      <c r="C70" s="1284"/>
      <c r="D70" s="1284"/>
      <c r="E70" s="1260">
        <f t="shared" si="16"/>
        <v>0</v>
      </c>
      <c r="F70" s="1260">
        <f t="shared" si="17"/>
        <v>0</v>
      </c>
      <c r="G70" s="1260">
        <f t="shared" si="18"/>
        <v>0</v>
      </c>
      <c r="H70" s="1275">
        <f t="shared" si="19"/>
        <v>0</v>
      </c>
      <c r="I70" s="1260">
        <f t="shared" si="20"/>
        <v>0</v>
      </c>
      <c r="J70" s="1260">
        <f t="shared" si="21"/>
        <v>0</v>
      </c>
      <c r="K70" s="1260">
        <f t="shared" si="22"/>
        <v>0</v>
      </c>
      <c r="L70" s="1275">
        <f t="shared" si="23"/>
        <v>0</v>
      </c>
      <c r="M70" s="1260">
        <f t="shared" si="24"/>
        <v>0</v>
      </c>
      <c r="N70" s="1260">
        <f t="shared" si="25"/>
        <v>0</v>
      </c>
      <c r="O70" s="1260">
        <f t="shared" si="26"/>
        <v>0</v>
      </c>
      <c r="P70" s="1275">
        <f t="shared" si="27"/>
        <v>0</v>
      </c>
      <c r="Q70" s="1284"/>
      <c r="R70" s="1271"/>
      <c r="S70" s="1272"/>
      <c r="T70" s="1272"/>
      <c r="U70" s="1272"/>
      <c r="V70" s="1272"/>
      <c r="W70" s="1272"/>
      <c r="X70" s="1272"/>
      <c r="Y70" s="1272"/>
      <c r="Z70" s="1272"/>
      <c r="AA70" s="1272"/>
      <c r="AB70" s="1272"/>
      <c r="AC70" s="1272"/>
      <c r="AD70" s="1272"/>
      <c r="AE70" s="1272"/>
      <c r="AF70" s="1272"/>
      <c r="AG70" s="1272"/>
      <c r="AH70" s="1272"/>
      <c r="AI70" s="1272"/>
      <c r="AJ70" s="1272"/>
      <c r="AK70" s="1272"/>
      <c r="AL70" s="1272"/>
      <c r="AM70" s="1272"/>
      <c r="AN70" s="1272"/>
      <c r="AO70" s="1272"/>
      <c r="AP70" s="1272"/>
      <c r="AQ70" s="1272"/>
      <c r="AR70" s="1272"/>
      <c r="AS70" s="1272"/>
      <c r="AT70" s="1272"/>
      <c r="AU70" s="1272"/>
      <c r="AV70" s="1273"/>
    </row>
    <row r="71" spans="1:48" ht="16.5" x14ac:dyDescent="0.25">
      <c r="A71" s="1445" t="s">
        <v>459</v>
      </c>
      <c r="B71" s="1373"/>
      <c r="C71" s="1284"/>
      <c r="D71" s="1284"/>
      <c r="E71" s="989">
        <f t="shared" si="16"/>
        <v>0</v>
      </c>
      <c r="F71" s="989">
        <f t="shared" si="17"/>
        <v>0</v>
      </c>
      <c r="G71" s="989">
        <f t="shared" si="18"/>
        <v>0</v>
      </c>
      <c r="H71" s="1265">
        <f t="shared" si="19"/>
        <v>0</v>
      </c>
      <c r="I71" s="989">
        <f t="shared" si="20"/>
        <v>0</v>
      </c>
      <c r="J71" s="989">
        <f t="shared" si="21"/>
        <v>0</v>
      </c>
      <c r="K71" s="989">
        <f t="shared" si="22"/>
        <v>0</v>
      </c>
      <c r="L71" s="1265">
        <f t="shared" si="23"/>
        <v>0</v>
      </c>
      <c r="M71" s="989">
        <f t="shared" si="24"/>
        <v>0</v>
      </c>
      <c r="N71" s="989">
        <f t="shared" si="25"/>
        <v>0</v>
      </c>
      <c r="O71" s="989">
        <f t="shared" si="26"/>
        <v>0</v>
      </c>
      <c r="P71" s="1265">
        <f t="shared" si="27"/>
        <v>0</v>
      </c>
      <c r="Q71" s="1284"/>
      <c r="R71" s="1271"/>
      <c r="S71" s="1272"/>
      <c r="T71" s="1272"/>
      <c r="U71" s="1272"/>
      <c r="V71" s="1272"/>
      <c r="W71" s="1272"/>
      <c r="X71" s="1272"/>
      <c r="Y71" s="1272"/>
      <c r="Z71" s="1272"/>
      <c r="AA71" s="1272"/>
      <c r="AB71" s="1272"/>
      <c r="AC71" s="1272"/>
      <c r="AD71" s="1272"/>
      <c r="AE71" s="1272"/>
      <c r="AF71" s="1272"/>
      <c r="AG71" s="1272"/>
      <c r="AH71" s="1272"/>
      <c r="AI71" s="1272"/>
      <c r="AJ71" s="1272"/>
      <c r="AK71" s="1272"/>
      <c r="AL71" s="1272"/>
      <c r="AM71" s="1272"/>
      <c r="AN71" s="1272"/>
      <c r="AO71" s="1272"/>
      <c r="AP71" s="1272"/>
      <c r="AQ71" s="1272"/>
      <c r="AR71" s="1272"/>
      <c r="AS71" s="1272"/>
      <c r="AT71" s="1272"/>
      <c r="AU71" s="1272"/>
      <c r="AV71" s="1273"/>
    </row>
    <row r="72" spans="1:48" ht="16.5" x14ac:dyDescent="0.25">
      <c r="A72" s="1253"/>
      <c r="B72" s="1266" t="s">
        <v>479</v>
      </c>
      <c r="C72" s="1284"/>
      <c r="D72" s="1284"/>
      <c r="E72" s="989">
        <f t="shared" si="16"/>
        <v>21600000000</v>
      </c>
      <c r="F72" s="989">
        <f t="shared" si="17"/>
        <v>21600000000</v>
      </c>
      <c r="G72" s="989">
        <f t="shared" si="18"/>
        <v>21600000000</v>
      </c>
      <c r="H72" s="1265">
        <f t="shared" si="19"/>
        <v>21600000000</v>
      </c>
      <c r="I72" s="989">
        <f t="shared" si="20"/>
        <v>0</v>
      </c>
      <c r="J72" s="989">
        <f t="shared" si="21"/>
        <v>0</v>
      </c>
      <c r="K72" s="989">
        <f t="shared" si="22"/>
        <v>0</v>
      </c>
      <c r="L72" s="1265">
        <f t="shared" si="23"/>
        <v>0</v>
      </c>
      <c r="M72" s="989">
        <f t="shared" si="24"/>
        <v>0</v>
      </c>
      <c r="N72" s="989">
        <f t="shared" si="25"/>
        <v>0</v>
      </c>
      <c r="O72" s="989">
        <f t="shared" si="26"/>
        <v>0</v>
      </c>
      <c r="P72" s="1265">
        <f t="shared" si="27"/>
        <v>0</v>
      </c>
      <c r="Q72" s="1284"/>
      <c r="R72" s="1271"/>
      <c r="S72" s="1272"/>
      <c r="T72" s="1272"/>
      <c r="U72" s="1272"/>
      <c r="V72" s="1272"/>
      <c r="W72" s="1272"/>
      <c r="X72" s="1272"/>
      <c r="Y72" s="1272"/>
      <c r="Z72" s="1272"/>
      <c r="AA72" s="1272"/>
      <c r="AB72" s="1272"/>
      <c r="AC72" s="1272"/>
      <c r="AD72" s="1272"/>
      <c r="AE72" s="1272"/>
      <c r="AF72" s="1272"/>
      <c r="AG72" s="1272"/>
      <c r="AH72" s="1272"/>
      <c r="AI72" s="1272"/>
      <c r="AJ72" s="1272"/>
      <c r="AK72" s="1272"/>
      <c r="AL72" s="1272"/>
      <c r="AM72" s="1272"/>
      <c r="AN72" s="1272"/>
      <c r="AO72" s="1272"/>
      <c r="AP72" s="1272"/>
      <c r="AQ72" s="1272"/>
      <c r="AR72" s="1272"/>
      <c r="AS72" s="1272"/>
      <c r="AT72" s="1272"/>
      <c r="AU72" s="1272"/>
      <c r="AV72" s="1273"/>
    </row>
    <row r="73" spans="1:48" ht="16.5" x14ac:dyDescent="0.25">
      <c r="A73" s="1253"/>
      <c r="B73" s="1266" t="s">
        <v>480</v>
      </c>
      <c r="C73" s="1284"/>
      <c r="D73" s="1284"/>
      <c r="E73" s="989">
        <f t="shared" ca="1" si="16"/>
        <v>0</v>
      </c>
      <c r="F73" s="989">
        <f t="shared" ca="1" si="17"/>
        <v>14399999999.999996</v>
      </c>
      <c r="G73" s="989">
        <f t="shared" ca="1" si="18"/>
        <v>14399999999.999996</v>
      </c>
      <c r="H73" s="1265">
        <f t="shared" ca="1" si="19"/>
        <v>14399999999.999996</v>
      </c>
      <c r="I73" s="989">
        <f t="shared" ca="1" si="20"/>
        <v>0</v>
      </c>
      <c r="J73" s="989">
        <f t="shared" ca="1" si="21"/>
        <v>14399999999.999996</v>
      </c>
      <c r="K73" s="989">
        <f t="shared" ca="1" si="22"/>
        <v>14399999999.999996</v>
      </c>
      <c r="L73" s="1265">
        <f t="shared" ca="1" si="23"/>
        <v>14399999999.999996</v>
      </c>
      <c r="M73" s="989">
        <f t="shared" ca="1" si="24"/>
        <v>0</v>
      </c>
      <c r="N73" s="989">
        <f t="shared" ca="1" si="25"/>
        <v>14399999999.999996</v>
      </c>
      <c r="O73" s="989">
        <f t="shared" ca="1" si="26"/>
        <v>14399999999.999996</v>
      </c>
      <c r="P73" s="1265">
        <f t="shared" ca="1" si="27"/>
        <v>14399999999.999996</v>
      </c>
      <c r="Q73" s="1284"/>
      <c r="R73" s="1271"/>
      <c r="S73" s="1272"/>
      <c r="T73" s="1272"/>
      <c r="U73" s="1272"/>
      <c r="V73" s="1272"/>
      <c r="W73" s="1272"/>
      <c r="X73" s="1272"/>
      <c r="Y73" s="1272"/>
      <c r="Z73" s="1272"/>
      <c r="AA73" s="1272"/>
      <c r="AB73" s="1272"/>
      <c r="AC73" s="1272"/>
      <c r="AD73" s="1272"/>
      <c r="AE73" s="1272"/>
      <c r="AF73" s="1272"/>
      <c r="AG73" s="1272"/>
      <c r="AH73" s="1272"/>
      <c r="AI73" s="1272"/>
      <c r="AJ73" s="1272"/>
      <c r="AK73" s="1272"/>
      <c r="AL73" s="1272"/>
      <c r="AM73" s="1272"/>
      <c r="AN73" s="1272"/>
      <c r="AO73" s="1272"/>
      <c r="AP73" s="1272"/>
      <c r="AQ73" s="1272"/>
      <c r="AR73" s="1272"/>
      <c r="AS73" s="1272"/>
      <c r="AT73" s="1272"/>
      <c r="AU73" s="1272"/>
      <c r="AV73" s="1273"/>
    </row>
    <row r="74" spans="1:48" ht="16.5" x14ac:dyDescent="0.25">
      <c r="A74" s="1445" t="s">
        <v>463</v>
      </c>
      <c r="B74" s="1373"/>
      <c r="C74" s="1284"/>
      <c r="D74" s="1284"/>
      <c r="E74" s="989">
        <f t="shared" si="16"/>
        <v>0</v>
      </c>
      <c r="F74" s="989">
        <f t="shared" si="17"/>
        <v>0</v>
      </c>
      <c r="G74" s="989">
        <f t="shared" si="18"/>
        <v>0</v>
      </c>
      <c r="H74" s="1265">
        <f t="shared" si="19"/>
        <v>0</v>
      </c>
      <c r="I74" s="989">
        <f t="shared" si="20"/>
        <v>0</v>
      </c>
      <c r="J74" s="989">
        <f t="shared" si="21"/>
        <v>0</v>
      </c>
      <c r="K74" s="989">
        <f t="shared" si="22"/>
        <v>0</v>
      </c>
      <c r="L74" s="1265">
        <f t="shared" si="23"/>
        <v>0</v>
      </c>
      <c r="M74" s="989">
        <f t="shared" si="24"/>
        <v>0</v>
      </c>
      <c r="N74" s="989">
        <f t="shared" si="25"/>
        <v>0</v>
      </c>
      <c r="O74" s="989">
        <f t="shared" si="26"/>
        <v>0</v>
      </c>
      <c r="P74" s="1265">
        <f t="shared" si="27"/>
        <v>0</v>
      </c>
      <c r="Q74" s="1284"/>
      <c r="R74" s="1271"/>
      <c r="S74" s="1272"/>
      <c r="T74" s="1272"/>
      <c r="U74" s="1272"/>
      <c r="V74" s="1272"/>
      <c r="W74" s="1272"/>
      <c r="X74" s="1272"/>
      <c r="Y74" s="1272"/>
      <c r="Z74" s="1272"/>
      <c r="AA74" s="1272"/>
      <c r="AB74" s="1272"/>
      <c r="AC74" s="1272"/>
      <c r="AD74" s="1272"/>
      <c r="AE74" s="1272"/>
      <c r="AF74" s="1272"/>
      <c r="AG74" s="1272"/>
      <c r="AH74" s="1272"/>
      <c r="AI74" s="1272"/>
      <c r="AJ74" s="1272"/>
      <c r="AK74" s="1272"/>
      <c r="AL74" s="1272"/>
      <c r="AM74" s="1272"/>
      <c r="AN74" s="1272"/>
      <c r="AO74" s="1272"/>
      <c r="AP74" s="1272"/>
      <c r="AQ74" s="1272"/>
      <c r="AR74" s="1272"/>
      <c r="AS74" s="1272"/>
      <c r="AT74" s="1272"/>
      <c r="AU74" s="1272"/>
      <c r="AV74" s="1273"/>
    </row>
    <row r="75" spans="1:48" ht="16.5" x14ac:dyDescent="0.25">
      <c r="A75" s="1253"/>
      <c r="B75" s="1266" t="s">
        <v>481</v>
      </c>
      <c r="C75" s="1284"/>
      <c r="D75" s="1284"/>
      <c r="E75" s="989">
        <f t="shared" si="16"/>
        <v>0</v>
      </c>
      <c r="F75" s="989">
        <f t="shared" si="17"/>
        <v>0</v>
      </c>
      <c r="G75" s="989">
        <f t="shared" si="18"/>
        <v>0</v>
      </c>
      <c r="H75" s="1265">
        <f t="shared" si="19"/>
        <v>0</v>
      </c>
      <c r="I75" s="989">
        <f t="shared" si="20"/>
        <v>0</v>
      </c>
      <c r="J75" s="989">
        <f t="shared" si="21"/>
        <v>0</v>
      </c>
      <c r="K75" s="989">
        <f t="shared" si="22"/>
        <v>0</v>
      </c>
      <c r="L75" s="1265">
        <f t="shared" si="23"/>
        <v>0</v>
      </c>
      <c r="M75" s="989">
        <f t="shared" si="24"/>
        <v>0</v>
      </c>
      <c r="N75" s="989">
        <f t="shared" si="25"/>
        <v>0</v>
      </c>
      <c r="O75" s="989">
        <f t="shared" si="26"/>
        <v>0</v>
      </c>
      <c r="P75" s="1265">
        <f t="shared" si="27"/>
        <v>0</v>
      </c>
      <c r="Q75" s="1284"/>
      <c r="R75" s="1271"/>
      <c r="S75" s="1272"/>
      <c r="T75" s="1272"/>
      <c r="U75" s="1272"/>
      <c r="V75" s="1272"/>
      <c r="W75" s="1272"/>
      <c r="X75" s="1272"/>
      <c r="Y75" s="1272"/>
      <c r="Z75" s="1272"/>
      <c r="AA75" s="1272"/>
      <c r="AB75" s="1272"/>
      <c r="AC75" s="1272"/>
      <c r="AD75" s="1272"/>
      <c r="AE75" s="1272"/>
      <c r="AF75" s="1272"/>
      <c r="AG75" s="1272"/>
      <c r="AH75" s="1272"/>
      <c r="AI75" s="1272"/>
      <c r="AJ75" s="1272"/>
      <c r="AK75" s="1272"/>
      <c r="AL75" s="1272"/>
      <c r="AM75" s="1272"/>
      <c r="AN75" s="1272"/>
      <c r="AO75" s="1272"/>
      <c r="AP75" s="1272"/>
      <c r="AQ75" s="1272"/>
      <c r="AR75" s="1272"/>
      <c r="AS75" s="1272"/>
      <c r="AT75" s="1272"/>
      <c r="AU75" s="1272"/>
      <c r="AV75" s="1273"/>
    </row>
    <row r="76" spans="1:48" ht="16.5" x14ac:dyDescent="0.25">
      <c r="A76" s="1253"/>
      <c r="B76" s="1266" t="s">
        <v>482</v>
      </c>
      <c r="C76" s="1284"/>
      <c r="D76" s="1284"/>
      <c r="E76" s="989">
        <f t="shared" si="16"/>
        <v>0</v>
      </c>
      <c r="F76" s="989">
        <f t="shared" si="17"/>
        <v>-1199999999.9999998</v>
      </c>
      <c r="G76" s="989">
        <f t="shared" si="18"/>
        <v>-4799999999.999999</v>
      </c>
      <c r="H76" s="1265">
        <f t="shared" si="19"/>
        <v>-8399999999.999999</v>
      </c>
      <c r="I76" s="989">
        <f t="shared" si="20"/>
        <v>-3599999999.999999</v>
      </c>
      <c r="J76" s="989">
        <f t="shared" si="21"/>
        <v>-7199999999.9999981</v>
      </c>
      <c r="K76" s="989">
        <f t="shared" si="22"/>
        <v>-10799999999.999998</v>
      </c>
      <c r="L76" s="1265">
        <f t="shared" si="23"/>
        <v>-14399999999.999998</v>
      </c>
      <c r="M76" s="989">
        <f t="shared" si="24"/>
        <v>-3599999999.999999</v>
      </c>
      <c r="N76" s="989">
        <f t="shared" si="25"/>
        <v>-7199999999.9999981</v>
      </c>
      <c r="O76" s="989">
        <f t="shared" si="26"/>
        <v>-10799999999.999998</v>
      </c>
      <c r="P76" s="1265">
        <f t="shared" si="27"/>
        <v>-14399999999.999998</v>
      </c>
      <c r="Q76" s="1284"/>
      <c r="R76" s="1271"/>
      <c r="S76" s="1272"/>
      <c r="T76" s="1272"/>
      <c r="U76" s="1272"/>
      <c r="V76" s="1272"/>
      <c r="W76" s="1272"/>
      <c r="X76" s="1272"/>
      <c r="Y76" s="1272"/>
      <c r="Z76" s="1272"/>
      <c r="AA76" s="1272"/>
      <c r="AB76" s="1272"/>
      <c r="AC76" s="1272"/>
      <c r="AD76" s="1272"/>
      <c r="AE76" s="1272"/>
      <c r="AF76" s="1272"/>
      <c r="AG76" s="1272"/>
      <c r="AH76" s="1272"/>
      <c r="AI76" s="1272"/>
      <c r="AJ76" s="1272"/>
      <c r="AK76" s="1272"/>
      <c r="AL76" s="1272"/>
      <c r="AM76" s="1272"/>
      <c r="AN76" s="1272"/>
      <c r="AO76" s="1272"/>
      <c r="AP76" s="1272"/>
      <c r="AQ76" s="1272"/>
      <c r="AR76" s="1272"/>
      <c r="AS76" s="1272"/>
      <c r="AT76" s="1272"/>
      <c r="AU76" s="1272"/>
      <c r="AV76" s="1273"/>
    </row>
    <row r="77" spans="1:48" ht="16.5" x14ac:dyDescent="0.25">
      <c r="A77" s="1253"/>
      <c r="B77" s="1266" t="s">
        <v>483</v>
      </c>
      <c r="C77" s="1284"/>
      <c r="D77" s="1284"/>
      <c r="E77" s="989">
        <f t="shared" si="16"/>
        <v>0</v>
      </c>
      <c r="F77" s="989">
        <f t="shared" si="17"/>
        <v>0</v>
      </c>
      <c r="G77" s="989">
        <f t="shared" si="18"/>
        <v>0</v>
      </c>
      <c r="H77" s="1265">
        <f t="shared" si="19"/>
        <v>0</v>
      </c>
      <c r="I77" s="989">
        <f t="shared" si="20"/>
        <v>0</v>
      </c>
      <c r="J77" s="989">
        <f t="shared" si="21"/>
        <v>0</v>
      </c>
      <c r="K77" s="989">
        <f t="shared" si="22"/>
        <v>0</v>
      </c>
      <c r="L77" s="1265">
        <f t="shared" si="23"/>
        <v>0</v>
      </c>
      <c r="M77" s="989">
        <f t="shared" si="24"/>
        <v>0</v>
      </c>
      <c r="N77" s="989">
        <f t="shared" si="25"/>
        <v>0</v>
      </c>
      <c r="O77" s="989">
        <f t="shared" si="26"/>
        <v>0</v>
      </c>
      <c r="P77" s="1265">
        <f t="shared" si="27"/>
        <v>0</v>
      </c>
      <c r="Q77" s="1284"/>
      <c r="R77" s="1271"/>
      <c r="S77" s="1272"/>
      <c r="T77" s="1272"/>
      <c r="U77" s="1272"/>
      <c r="V77" s="1272"/>
      <c r="W77" s="1272"/>
      <c r="X77" s="1272"/>
      <c r="Y77" s="1272"/>
      <c r="Z77" s="1272"/>
      <c r="AA77" s="1272"/>
      <c r="AB77" s="1272"/>
      <c r="AC77" s="1272"/>
      <c r="AD77" s="1272"/>
      <c r="AE77" s="1272"/>
      <c r="AF77" s="1272"/>
      <c r="AG77" s="1272"/>
      <c r="AH77" s="1272"/>
      <c r="AI77" s="1272"/>
      <c r="AJ77" s="1272"/>
      <c r="AK77" s="1272"/>
      <c r="AL77" s="1272"/>
      <c r="AM77" s="1272"/>
      <c r="AN77" s="1272"/>
      <c r="AO77" s="1272"/>
      <c r="AP77" s="1272"/>
      <c r="AQ77" s="1272"/>
      <c r="AR77" s="1272"/>
      <c r="AS77" s="1272"/>
      <c r="AT77" s="1272"/>
      <c r="AU77" s="1272"/>
      <c r="AV77" s="1273"/>
    </row>
    <row r="78" spans="1:48" ht="16.5" x14ac:dyDescent="0.25">
      <c r="A78" s="1446" t="s">
        <v>484</v>
      </c>
      <c r="B78" s="1373"/>
      <c r="C78" s="989"/>
      <c r="D78" s="989"/>
      <c r="E78" s="1267">
        <f t="shared" ca="1" si="16"/>
        <v>21600000000</v>
      </c>
      <c r="F78" s="1267">
        <f t="shared" ca="1" si="17"/>
        <v>34800000000</v>
      </c>
      <c r="G78" s="1267">
        <f t="shared" ca="1" si="18"/>
        <v>31200000000</v>
      </c>
      <c r="H78" s="1283">
        <f t="shared" ca="1" si="19"/>
        <v>27600000000</v>
      </c>
      <c r="I78" s="1267">
        <f t="shared" ca="1" si="20"/>
        <v>-3599999999.999999</v>
      </c>
      <c r="J78" s="1267">
        <f t="shared" ca="1" si="21"/>
        <v>7199999999.9999981</v>
      </c>
      <c r="K78" s="1267">
        <f t="shared" ca="1" si="22"/>
        <v>3599999999.9999981</v>
      </c>
      <c r="L78" s="1283">
        <f t="shared" ca="1" si="23"/>
        <v>0</v>
      </c>
      <c r="M78" s="1267">
        <f t="shared" ca="1" si="24"/>
        <v>-3599999999.999999</v>
      </c>
      <c r="N78" s="1267">
        <f t="shared" ca="1" si="25"/>
        <v>7199999999.9999981</v>
      </c>
      <c r="O78" s="1267">
        <f t="shared" ca="1" si="26"/>
        <v>3599999999.9999981</v>
      </c>
      <c r="P78" s="1283">
        <f t="shared" ca="1" si="27"/>
        <v>0</v>
      </c>
      <c r="Q78" s="989"/>
      <c r="R78" s="1243"/>
      <c r="S78" s="1125"/>
      <c r="T78" s="1125"/>
      <c r="U78" s="1125"/>
      <c r="V78" s="1125"/>
      <c r="W78" s="1125"/>
      <c r="X78" s="1125"/>
      <c r="Y78" s="1125"/>
      <c r="Z78" s="1125"/>
      <c r="AA78" s="1125"/>
      <c r="AB78" s="1125"/>
      <c r="AC78" s="1125"/>
      <c r="AD78" s="1125"/>
      <c r="AE78" s="1125"/>
      <c r="AF78" s="1125"/>
      <c r="AG78" s="1125"/>
      <c r="AH78" s="1125"/>
      <c r="AI78" s="1125"/>
      <c r="AJ78" s="1125"/>
      <c r="AK78" s="1125"/>
      <c r="AL78" s="1125"/>
      <c r="AM78" s="1125"/>
      <c r="AN78" s="1125"/>
      <c r="AO78" s="1125"/>
      <c r="AP78" s="1125"/>
      <c r="AQ78" s="1125"/>
      <c r="AR78" s="1125"/>
      <c r="AS78" s="1125"/>
      <c r="AT78" s="1125"/>
      <c r="AU78" s="1125"/>
      <c r="AV78" s="1126"/>
    </row>
    <row r="79" spans="1:48" ht="16.5" x14ac:dyDescent="0.25">
      <c r="A79" s="1447" t="s">
        <v>485</v>
      </c>
      <c r="B79" s="1373"/>
      <c r="C79" s="989"/>
      <c r="D79" s="989"/>
      <c r="E79" s="1284">
        <f t="shared" ca="1" si="16"/>
        <v>2365013913.4199142</v>
      </c>
      <c r="F79" s="1284">
        <f t="shared" ca="1" si="17"/>
        <v>-24386214819.499344</v>
      </c>
      <c r="G79" s="1284">
        <f t="shared" ca="1" si="18"/>
        <v>-27864107019.499344</v>
      </c>
      <c r="H79" s="1254">
        <f t="shared" ca="1" si="19"/>
        <v>-29265444619.499336</v>
      </c>
      <c r="I79" s="1284">
        <f t="shared" ca="1" si="20"/>
        <v>-1337820799.9999981</v>
      </c>
      <c r="J79" s="1284">
        <f t="shared" ca="1" si="21"/>
        <v>12512944800</v>
      </c>
      <c r="K79" s="1284">
        <f t="shared" ca="1" si="22"/>
        <v>11443676800.000002</v>
      </c>
      <c r="L79" s="1254">
        <f t="shared" ca="1" si="23"/>
        <v>8639445500.0000076</v>
      </c>
      <c r="M79" s="1284">
        <f t="shared" ca="1" si="24"/>
        <v>2073224971.4285736</v>
      </c>
      <c r="N79" s="1284">
        <f t="shared" ca="1" si="25"/>
        <v>20268306371.428574</v>
      </c>
      <c r="O79" s="1284">
        <f t="shared" ca="1" si="26"/>
        <v>25188934071.428574</v>
      </c>
      <c r="P79" s="1254">
        <f t="shared" ca="1" si="27"/>
        <v>30680618971.428577</v>
      </c>
      <c r="Q79" s="989"/>
      <c r="R79" s="1243"/>
      <c r="S79" s="1125"/>
      <c r="T79" s="1125"/>
      <c r="U79" s="1125"/>
      <c r="V79" s="1125"/>
      <c r="W79" s="1125"/>
      <c r="X79" s="1125"/>
      <c r="Y79" s="1125"/>
      <c r="Z79" s="1125"/>
      <c r="AA79" s="1125"/>
      <c r="AB79" s="1125"/>
      <c r="AC79" s="1125"/>
      <c r="AD79" s="1125"/>
      <c r="AE79" s="1125"/>
      <c r="AF79" s="1125"/>
      <c r="AG79" s="1125"/>
      <c r="AH79" s="1125"/>
      <c r="AI79" s="1125"/>
      <c r="AJ79" s="1125"/>
      <c r="AK79" s="1125"/>
      <c r="AL79" s="1125"/>
      <c r="AM79" s="1125"/>
      <c r="AN79" s="1125"/>
      <c r="AO79" s="1125"/>
      <c r="AP79" s="1125"/>
      <c r="AQ79" s="1125"/>
      <c r="AR79" s="1125"/>
      <c r="AS79" s="1125"/>
      <c r="AT79" s="1125"/>
      <c r="AU79" s="1125"/>
      <c r="AV79" s="1126"/>
    </row>
    <row r="80" spans="1:48" ht="16.5" x14ac:dyDescent="0.25">
      <c r="A80" s="1448" t="s">
        <v>486</v>
      </c>
      <c r="B80" s="1449"/>
      <c r="C80" s="989"/>
      <c r="D80" s="989"/>
      <c r="E80" s="1288">
        <f t="shared" ca="1" si="16"/>
        <v>38365013913.419914</v>
      </c>
      <c r="F80" s="1288">
        <f t="shared" ca="1" si="17"/>
        <v>11613785180.500656</v>
      </c>
      <c r="G80" s="1288">
        <f t="shared" ca="1" si="18"/>
        <v>8135892980.5006561</v>
      </c>
      <c r="H80" s="1290">
        <f t="shared" ca="1" si="19"/>
        <v>6734555380.5006561</v>
      </c>
      <c r="I80" s="1288">
        <f t="shared" ca="1" si="20"/>
        <v>5396734580.5006561</v>
      </c>
      <c r="J80" s="1288">
        <f t="shared" ca="1" si="21"/>
        <v>19247500180.50066</v>
      </c>
      <c r="K80" s="1288">
        <f t="shared" ca="1" si="22"/>
        <v>18178232180.500664</v>
      </c>
      <c r="L80" s="1290">
        <f t="shared" ca="1" si="23"/>
        <v>15374000880.500668</v>
      </c>
      <c r="M80" s="1288">
        <f t="shared" ca="1" si="24"/>
        <v>17447225851.929245</v>
      </c>
      <c r="N80" s="1288">
        <f t="shared" ca="1" si="25"/>
        <v>35642307251.929237</v>
      </c>
      <c r="O80" s="1288">
        <f t="shared" ca="1" si="26"/>
        <v>40562934951.929245</v>
      </c>
      <c r="P80" s="1290">
        <f t="shared" ca="1" si="27"/>
        <v>46054619851.929245</v>
      </c>
      <c r="Q80" s="989"/>
      <c r="R80" s="1243"/>
      <c r="S80" s="1125"/>
      <c r="T80" s="1125"/>
      <c r="U80" s="1125"/>
      <c r="V80" s="1125"/>
      <c r="W80" s="1125"/>
      <c r="X80" s="1125"/>
      <c r="Y80" s="1125"/>
      <c r="Z80" s="1125"/>
      <c r="AA80" s="1125"/>
      <c r="AB80" s="1125"/>
      <c r="AC80" s="1125"/>
      <c r="AD80" s="1125"/>
      <c r="AE80" s="1125"/>
      <c r="AF80" s="1125"/>
      <c r="AG80" s="1125"/>
      <c r="AH80" s="1125"/>
      <c r="AI80" s="1125"/>
      <c r="AJ80" s="1125"/>
      <c r="AK80" s="1125"/>
      <c r="AL80" s="1125"/>
      <c r="AM80" s="1125"/>
      <c r="AN80" s="1125"/>
      <c r="AO80" s="1125"/>
      <c r="AP80" s="1125"/>
      <c r="AQ80" s="1125"/>
      <c r="AR80" s="1125"/>
      <c r="AS80" s="1125"/>
      <c r="AT80" s="1125"/>
      <c r="AU80" s="1125"/>
      <c r="AV80" s="1126"/>
    </row>
    <row r="81" spans="1:48" ht="12.75" x14ac:dyDescent="0.2">
      <c r="A81" s="1240"/>
      <c r="B81" s="1241"/>
      <c r="C81" s="1241"/>
      <c r="D81" s="1241"/>
      <c r="E81" s="1241"/>
      <c r="F81" s="1241"/>
      <c r="G81" s="1241"/>
      <c r="H81" s="1241"/>
      <c r="I81" s="1241"/>
      <c r="J81" s="1241"/>
      <c r="K81" s="1241"/>
      <c r="L81" s="1241"/>
      <c r="M81" s="1241"/>
      <c r="N81" s="1241"/>
      <c r="O81" s="1241"/>
      <c r="P81" s="1241"/>
      <c r="Q81" s="1241"/>
      <c r="R81" s="1125"/>
      <c r="S81" s="1125"/>
      <c r="T81" s="1125"/>
      <c r="U81" s="1125"/>
      <c r="V81" s="1125"/>
      <c r="W81" s="1125"/>
      <c r="X81" s="1125"/>
      <c r="Y81" s="1125"/>
      <c r="Z81" s="1125"/>
      <c r="AA81" s="1125"/>
      <c r="AB81" s="1125"/>
      <c r="AC81" s="1125"/>
      <c r="AD81" s="1125"/>
      <c r="AE81" s="1125"/>
      <c r="AF81" s="1125"/>
      <c r="AG81" s="1125"/>
      <c r="AH81" s="1125"/>
      <c r="AI81" s="1125"/>
      <c r="AJ81" s="1125"/>
      <c r="AK81" s="1125"/>
      <c r="AL81" s="1125"/>
      <c r="AM81" s="1125"/>
      <c r="AN81" s="1125"/>
      <c r="AO81" s="1125"/>
      <c r="AP81" s="1125"/>
      <c r="AQ81" s="1125"/>
      <c r="AR81" s="1125"/>
      <c r="AS81" s="1125"/>
      <c r="AT81" s="1125"/>
      <c r="AU81" s="1125"/>
      <c r="AV81" s="1126"/>
    </row>
    <row r="82" spans="1:48" ht="18" x14ac:dyDescent="0.25">
      <c r="A82" s="1294"/>
      <c r="B82" s="1295"/>
      <c r="C82" s="1272"/>
      <c r="D82" s="1272"/>
      <c r="E82" s="1272"/>
      <c r="F82" s="1272"/>
      <c r="G82" s="1272"/>
      <c r="H82" s="1272"/>
      <c r="I82" s="1272"/>
      <c r="J82" s="1272"/>
      <c r="K82" s="1272"/>
      <c r="L82" s="1272"/>
      <c r="M82" s="1272"/>
      <c r="N82" s="1272"/>
      <c r="O82" s="1272"/>
      <c r="P82" s="1272"/>
      <c r="Q82" s="1272"/>
      <c r="R82" s="1272"/>
      <c r="S82" s="1272"/>
      <c r="T82" s="1272"/>
      <c r="U82" s="1272"/>
      <c r="V82" s="1272"/>
      <c r="W82" s="1272"/>
      <c r="X82" s="1272"/>
      <c r="Y82" s="1272"/>
      <c r="Z82" s="1272"/>
      <c r="AA82" s="1272"/>
      <c r="AB82" s="1272"/>
      <c r="AC82" s="1272"/>
      <c r="AD82" s="1272"/>
      <c r="AE82" s="1272"/>
      <c r="AF82" s="1272"/>
      <c r="AG82" s="1272"/>
      <c r="AH82" s="1272"/>
      <c r="AI82" s="1272"/>
      <c r="AJ82" s="1272"/>
      <c r="AK82" s="1272"/>
      <c r="AL82" s="1272"/>
      <c r="AM82" s="1272"/>
      <c r="AN82" s="1272"/>
      <c r="AO82" s="1272"/>
      <c r="AP82" s="1272"/>
      <c r="AQ82" s="1272"/>
      <c r="AR82" s="1272"/>
      <c r="AS82" s="1272"/>
      <c r="AT82" s="1272"/>
      <c r="AU82" s="1272"/>
      <c r="AV82" s="1272"/>
    </row>
    <row r="83" spans="1:48" ht="18" x14ac:dyDescent="0.25">
      <c r="A83" s="1296" t="s">
        <v>398</v>
      </c>
      <c r="B83" s="1297"/>
      <c r="C83" s="1298"/>
      <c r="D83" s="1298"/>
      <c r="E83" s="1298"/>
      <c r="F83" s="1298"/>
      <c r="G83" s="1298"/>
      <c r="H83" s="1272"/>
      <c r="I83" s="1272"/>
      <c r="J83" s="1272"/>
      <c r="K83" s="1272"/>
      <c r="L83" s="1272"/>
      <c r="M83" s="1272"/>
      <c r="N83" s="1272"/>
      <c r="O83" s="1272"/>
      <c r="P83" s="1272"/>
      <c r="Q83" s="1272"/>
      <c r="R83" s="1272"/>
      <c r="S83" s="1272"/>
      <c r="T83" s="1272"/>
      <c r="U83" s="1272"/>
      <c r="V83" s="1272"/>
      <c r="W83" s="1272"/>
      <c r="X83" s="1272"/>
      <c r="Y83" s="1272"/>
      <c r="Z83" s="1272"/>
      <c r="AA83" s="1272"/>
      <c r="AB83" s="1272"/>
      <c r="AC83" s="1272"/>
      <c r="AD83" s="1272"/>
      <c r="AE83" s="1272"/>
      <c r="AF83" s="1272"/>
      <c r="AG83" s="1272"/>
      <c r="AH83" s="1272"/>
      <c r="AI83" s="1272"/>
      <c r="AJ83" s="1272"/>
      <c r="AK83" s="1272"/>
      <c r="AL83" s="1272"/>
      <c r="AM83" s="1272"/>
      <c r="AN83" s="1272"/>
      <c r="AO83" s="1272"/>
      <c r="AP83" s="1272"/>
      <c r="AQ83" s="1272"/>
      <c r="AR83" s="1272"/>
      <c r="AS83" s="1272"/>
      <c r="AT83" s="1272"/>
      <c r="AU83" s="1272"/>
      <c r="AV83" s="1273"/>
    </row>
    <row r="84" spans="1:48" ht="18" x14ac:dyDescent="0.25">
      <c r="A84" s="1299" t="s">
        <v>487</v>
      </c>
      <c r="B84" s="1300"/>
      <c r="C84" s="1300"/>
      <c r="D84" s="1300"/>
      <c r="E84" s="1300"/>
      <c r="F84" s="1300"/>
      <c r="G84" s="1302"/>
      <c r="H84" s="1243"/>
      <c r="I84" s="1307" t="s">
        <v>402</v>
      </c>
      <c r="J84" s="1125"/>
      <c r="K84" s="1125"/>
      <c r="L84" s="1125"/>
      <c r="M84" s="1125"/>
      <c r="N84" s="1125"/>
      <c r="O84" s="1125"/>
      <c r="P84" s="1125"/>
      <c r="Q84" s="1125"/>
      <c r="R84" s="1125"/>
      <c r="S84" s="1125"/>
      <c r="T84" s="1125"/>
      <c r="U84" s="1125"/>
      <c r="V84" s="1125"/>
      <c r="W84" s="1125"/>
      <c r="X84" s="1125"/>
      <c r="Y84" s="1125"/>
      <c r="Z84" s="1125"/>
      <c r="AA84" s="1125"/>
      <c r="AB84" s="1125"/>
      <c r="AC84" s="1125"/>
      <c r="AD84" s="1125"/>
      <c r="AE84" s="1125"/>
      <c r="AF84" s="1125"/>
      <c r="AG84" s="1125"/>
      <c r="AH84" s="1125"/>
      <c r="AI84" s="1125"/>
      <c r="AJ84" s="1125"/>
      <c r="AK84" s="1125"/>
      <c r="AL84" s="1125"/>
      <c r="AM84" s="1125"/>
      <c r="AN84" s="1125"/>
      <c r="AO84" s="1125"/>
      <c r="AP84" s="1125"/>
      <c r="AQ84" s="1125"/>
      <c r="AR84" s="1125"/>
      <c r="AS84" s="1125"/>
      <c r="AT84" s="1125"/>
      <c r="AU84" s="1125"/>
      <c r="AV84" s="1126"/>
    </row>
    <row r="85" spans="1:48" ht="12.75" x14ac:dyDescent="0.2">
      <c r="A85" s="1245"/>
      <c r="B85" s="1246"/>
      <c r="C85" s="1000"/>
      <c r="D85" s="1000"/>
      <c r="E85" s="1308">
        <v>2025</v>
      </c>
      <c r="F85" s="167">
        <v>2026</v>
      </c>
      <c r="G85" s="167">
        <v>2027</v>
      </c>
      <c r="H85" s="1243"/>
      <c r="I85" s="1245"/>
      <c r="J85" s="1246"/>
      <c r="K85" s="1308">
        <f t="shared" ref="K85:M85" si="28">E85</f>
        <v>2025</v>
      </c>
      <c r="L85" s="167">
        <f t="shared" si="28"/>
        <v>2026</v>
      </c>
      <c r="M85" s="167">
        <f t="shared" si="28"/>
        <v>2027</v>
      </c>
      <c r="N85" s="1125"/>
      <c r="O85" s="1125"/>
      <c r="P85" s="1125"/>
      <c r="Q85" s="1125"/>
      <c r="R85" s="1125"/>
      <c r="S85" s="1125"/>
      <c r="T85" s="1125"/>
      <c r="U85" s="1125"/>
      <c r="V85" s="1125"/>
      <c r="W85" s="1125"/>
      <c r="X85" s="1125"/>
      <c r="Y85" s="1125"/>
      <c r="Z85" s="1125"/>
      <c r="AA85" s="1125"/>
      <c r="AB85" s="1125"/>
      <c r="AC85" s="1125"/>
      <c r="AD85" s="1125"/>
      <c r="AE85" s="1125"/>
      <c r="AF85" s="1125"/>
      <c r="AG85" s="1125"/>
      <c r="AH85" s="1125"/>
      <c r="AI85" s="1125"/>
      <c r="AJ85" s="1125"/>
      <c r="AK85" s="1125"/>
      <c r="AL85" s="1125"/>
      <c r="AM85" s="1125"/>
      <c r="AN85" s="1125"/>
      <c r="AO85" s="1125"/>
      <c r="AP85" s="1125"/>
      <c r="AQ85" s="1125"/>
      <c r="AR85" s="1125"/>
      <c r="AS85" s="1125"/>
      <c r="AT85" s="1125"/>
      <c r="AU85" s="1125"/>
      <c r="AV85" s="1126"/>
    </row>
    <row r="86" spans="1:48" ht="16.5" x14ac:dyDescent="0.25">
      <c r="A86" s="1253"/>
      <c r="B86" s="1254" t="s">
        <v>457</v>
      </c>
      <c r="C86" s="1276"/>
      <c r="D86" s="1255"/>
      <c r="E86" s="1255">
        <f>E6</f>
        <v>36000000000</v>
      </c>
      <c r="F86" s="1309">
        <f t="shared" ref="F86:G86" ca="1" si="29">E120</f>
        <v>6734555380.5006561</v>
      </c>
      <c r="G86" s="1309">
        <f t="shared" ca="1" si="29"/>
        <v>15374000880.500668</v>
      </c>
      <c r="H86" s="1243"/>
      <c r="I86" s="1253"/>
      <c r="J86" s="1254" t="s">
        <v>457</v>
      </c>
      <c r="K86" s="1255">
        <f t="shared" ref="K86:M86" si="30">E86</f>
        <v>36000000000</v>
      </c>
      <c r="L86" s="1309">
        <f t="shared" ca="1" si="30"/>
        <v>6734555380.5006561</v>
      </c>
      <c r="M86" s="1309">
        <f t="shared" ca="1" si="30"/>
        <v>15374000880.500668</v>
      </c>
      <c r="N86" s="1125"/>
      <c r="O86" s="1125"/>
      <c r="P86" s="1125"/>
      <c r="Q86" s="1125"/>
      <c r="R86" s="1125"/>
      <c r="S86" s="1125"/>
      <c r="T86" s="1125"/>
      <c r="U86" s="1125"/>
      <c r="V86" s="1125"/>
      <c r="W86" s="1125"/>
      <c r="X86" s="1125"/>
      <c r="Y86" s="1125"/>
      <c r="Z86" s="1125"/>
      <c r="AA86" s="1125"/>
      <c r="AB86" s="1125"/>
      <c r="AC86" s="1125"/>
      <c r="AD86" s="1125"/>
      <c r="AE86" s="1125"/>
      <c r="AF86" s="1125"/>
      <c r="AG86" s="1125"/>
      <c r="AH86" s="1125"/>
      <c r="AI86" s="1125"/>
      <c r="AJ86" s="1125"/>
      <c r="AK86" s="1125"/>
      <c r="AL86" s="1125"/>
      <c r="AM86" s="1125"/>
      <c r="AN86" s="1125"/>
      <c r="AO86" s="1125"/>
      <c r="AP86" s="1125"/>
      <c r="AQ86" s="1125"/>
      <c r="AR86" s="1125"/>
      <c r="AS86" s="1125"/>
      <c r="AT86" s="1125"/>
      <c r="AU86" s="1125"/>
      <c r="AV86" s="1126"/>
    </row>
    <row r="87" spans="1:48" ht="16.5" x14ac:dyDescent="0.25">
      <c r="A87" s="1444" t="s">
        <v>458</v>
      </c>
      <c r="B87" s="1373"/>
      <c r="C87" s="1260"/>
      <c r="D87" s="1260"/>
      <c r="E87" s="1275"/>
      <c r="F87" s="1310"/>
      <c r="G87" s="1310"/>
      <c r="H87" s="1243"/>
      <c r="I87" s="1444" t="s">
        <v>458</v>
      </c>
      <c r="J87" s="1373"/>
      <c r="K87" s="1275">
        <f t="shared" ref="K87:M87" si="31">E87</f>
        <v>0</v>
      </c>
      <c r="L87" s="1310">
        <f t="shared" si="31"/>
        <v>0</v>
      </c>
      <c r="M87" s="1310">
        <f t="shared" si="31"/>
        <v>0</v>
      </c>
      <c r="N87" s="1125"/>
      <c r="O87" s="1125"/>
      <c r="P87" s="1125"/>
      <c r="Q87" s="1125"/>
      <c r="R87" s="1125"/>
      <c r="S87" s="1125"/>
      <c r="T87" s="1125"/>
      <c r="U87" s="1125"/>
      <c r="V87" s="1125"/>
      <c r="W87" s="1125"/>
      <c r="X87" s="1125"/>
      <c r="Y87" s="1125"/>
      <c r="Z87" s="1125"/>
      <c r="AA87" s="1125"/>
      <c r="AB87" s="1125"/>
      <c r="AC87" s="1125"/>
      <c r="AD87" s="1125"/>
      <c r="AE87" s="1125"/>
      <c r="AF87" s="1125"/>
      <c r="AG87" s="1125"/>
      <c r="AH87" s="1125"/>
      <c r="AI87" s="1125"/>
      <c r="AJ87" s="1125"/>
      <c r="AK87" s="1125"/>
      <c r="AL87" s="1125"/>
      <c r="AM87" s="1125"/>
      <c r="AN87" s="1125"/>
      <c r="AO87" s="1125"/>
      <c r="AP87" s="1125"/>
      <c r="AQ87" s="1125"/>
      <c r="AR87" s="1125"/>
      <c r="AS87" s="1125"/>
      <c r="AT87" s="1125"/>
      <c r="AU87" s="1125"/>
      <c r="AV87" s="1126"/>
    </row>
    <row r="88" spans="1:48" ht="16.5" x14ac:dyDescent="0.25">
      <c r="A88" s="1445" t="s">
        <v>459</v>
      </c>
      <c r="B88" s="1373"/>
      <c r="C88" s="989"/>
      <c r="D88" s="470">
        <f>IF(
    ISBLANK(D85),
    0,
    C88 + 'INCOME STATEMENT'!D253 * Parameter!$B$8 + IF(
        ISBLANK('INCOME STATEMENT'!C249),
        IF(
            ISBLANK('INCOME STATEMENT'!B249),
            0,
            'INCOME STATEMENT'!B253 * Parameter!$B$9 + 'INCOME STATEMENT'!A253 * Parameter!$B$10
        ),
        IF(
            ISBLANK('INCOME STATEMENT'!B249),
            'INCOME STATEMENT'!C253 * Parameter!$B$9 + 'INCOME STATEMENT'!A253 * Parameter!$B$10,
            'INCOME STATEMENT'!C253 * Parameter!$B$9 + 'INCOME STATEMENT'!B253 * Parameter!$B$10
        )
    )
)</f>
        <v>0</v>
      </c>
      <c r="E88" s="471">
        <f t="shared" ref="E88:E120" si="32">H48</f>
        <v>0</v>
      </c>
      <c r="F88" s="1311">
        <f t="shared" ref="F88:F120" si="33">L48</f>
        <v>0</v>
      </c>
      <c r="G88" s="1311">
        <f t="shared" ref="G88:G120" si="34">P48</f>
        <v>0</v>
      </c>
      <c r="H88" s="1243"/>
      <c r="I88" s="1445" t="s">
        <v>459</v>
      </c>
      <c r="J88" s="1373"/>
      <c r="K88" s="471">
        <f t="shared" ref="K88:M88" si="35">E88</f>
        <v>0</v>
      </c>
      <c r="L88" s="1311">
        <f t="shared" si="35"/>
        <v>0</v>
      </c>
      <c r="M88" s="1311">
        <f t="shared" si="35"/>
        <v>0</v>
      </c>
      <c r="N88" s="1125"/>
      <c r="O88" s="1125"/>
      <c r="P88" s="1125"/>
      <c r="Q88" s="1125"/>
      <c r="R88" s="1125"/>
      <c r="S88" s="1125"/>
      <c r="T88" s="1125"/>
      <c r="U88" s="1125"/>
      <c r="V88" s="1125"/>
      <c r="W88" s="1125"/>
      <c r="X88" s="1125"/>
      <c r="Y88" s="1125"/>
      <c r="Z88" s="1125"/>
      <c r="AA88" s="1125"/>
      <c r="AB88" s="1125"/>
      <c r="AC88" s="1125"/>
      <c r="AD88" s="1125"/>
      <c r="AE88" s="1125"/>
      <c r="AF88" s="1125"/>
      <c r="AG88" s="1125"/>
      <c r="AH88" s="1125"/>
      <c r="AI88" s="1125"/>
      <c r="AJ88" s="1125"/>
      <c r="AK88" s="1125"/>
      <c r="AL88" s="1125"/>
      <c r="AM88" s="1125"/>
      <c r="AN88" s="1125"/>
      <c r="AO88" s="1125"/>
      <c r="AP88" s="1125"/>
      <c r="AQ88" s="1125"/>
      <c r="AR88" s="1125"/>
      <c r="AS88" s="1125"/>
      <c r="AT88" s="1125"/>
      <c r="AU88" s="1125"/>
      <c r="AV88" s="1126"/>
    </row>
    <row r="89" spans="1:48" ht="16.5" x14ac:dyDescent="0.25">
      <c r="A89" s="1264"/>
      <c r="B89" s="1266" t="s">
        <v>20</v>
      </c>
      <c r="C89" s="989"/>
      <c r="D89" s="470"/>
      <c r="E89" s="471">
        <f t="shared" si="32"/>
        <v>21486276000</v>
      </c>
      <c r="F89" s="1311">
        <f t="shared" si="33"/>
        <v>50736294000</v>
      </c>
      <c r="G89" s="1311">
        <f t="shared" si="34"/>
        <v>85490559000</v>
      </c>
      <c r="H89" s="1243"/>
      <c r="I89" s="1264"/>
      <c r="J89" s="1266" t="s">
        <v>20</v>
      </c>
      <c r="K89" s="471">
        <f t="shared" ref="K89:M89" si="36">E89</f>
        <v>21486276000</v>
      </c>
      <c r="L89" s="1311">
        <f t="shared" si="36"/>
        <v>50736294000</v>
      </c>
      <c r="M89" s="1311">
        <f t="shared" si="36"/>
        <v>85490559000</v>
      </c>
      <c r="N89" s="1125"/>
      <c r="O89" s="1125"/>
      <c r="P89" s="1125"/>
      <c r="Q89" s="1125"/>
      <c r="R89" s="1125"/>
      <c r="S89" s="1125"/>
      <c r="T89" s="1125"/>
      <c r="U89" s="1125"/>
      <c r="V89" s="1125"/>
      <c r="W89" s="1125"/>
      <c r="X89" s="1125"/>
      <c r="Y89" s="1125"/>
      <c r="Z89" s="1125"/>
      <c r="AA89" s="1125"/>
      <c r="AB89" s="1125"/>
      <c r="AC89" s="1125"/>
      <c r="AD89" s="1125"/>
      <c r="AE89" s="1125"/>
      <c r="AF89" s="1125"/>
      <c r="AG89" s="1125"/>
      <c r="AH89" s="1125"/>
      <c r="AI89" s="1125"/>
      <c r="AJ89" s="1125"/>
      <c r="AK89" s="1125"/>
      <c r="AL89" s="1125"/>
      <c r="AM89" s="1125"/>
      <c r="AN89" s="1125"/>
      <c r="AO89" s="1125"/>
      <c r="AP89" s="1125"/>
      <c r="AQ89" s="1125"/>
      <c r="AR89" s="1125"/>
      <c r="AS89" s="1125"/>
      <c r="AT89" s="1125"/>
      <c r="AU89" s="1125"/>
      <c r="AV89" s="1126"/>
    </row>
    <row r="90" spans="1:48" ht="16.5" x14ac:dyDescent="0.25">
      <c r="A90" s="1264"/>
      <c r="B90" s="1266" t="s">
        <v>460</v>
      </c>
      <c r="C90" s="989"/>
      <c r="D90" s="470"/>
      <c r="E90" s="471">
        <f t="shared" si="32"/>
        <v>9668100000.0000019</v>
      </c>
      <c r="F90" s="1311">
        <f t="shared" si="33"/>
        <v>19826805000.000004</v>
      </c>
      <c r="G90" s="1311">
        <f t="shared" si="34"/>
        <v>34049655000.000004</v>
      </c>
      <c r="H90" s="1243"/>
      <c r="I90" s="1264"/>
      <c r="J90" s="1266" t="s">
        <v>460</v>
      </c>
      <c r="K90" s="471">
        <f t="shared" ref="K90:M90" si="37">E90</f>
        <v>9668100000.0000019</v>
      </c>
      <c r="L90" s="1311">
        <f t="shared" si="37"/>
        <v>19826805000.000004</v>
      </c>
      <c r="M90" s="1311">
        <f t="shared" si="37"/>
        <v>34049655000.000004</v>
      </c>
      <c r="N90" s="1125"/>
      <c r="O90" s="1125"/>
      <c r="P90" s="1125"/>
      <c r="Q90" s="1125"/>
      <c r="R90" s="1125"/>
      <c r="S90" s="1125"/>
      <c r="T90" s="1125"/>
      <c r="U90" s="1125"/>
      <c r="V90" s="1125"/>
      <c r="W90" s="1125"/>
      <c r="X90" s="1125"/>
      <c r="Y90" s="1125"/>
      <c r="Z90" s="1125"/>
      <c r="AA90" s="1125"/>
      <c r="AB90" s="1125"/>
      <c r="AC90" s="1125"/>
      <c r="AD90" s="1125"/>
      <c r="AE90" s="1125"/>
      <c r="AF90" s="1125"/>
      <c r="AG90" s="1125"/>
      <c r="AH90" s="1125"/>
      <c r="AI90" s="1125"/>
      <c r="AJ90" s="1125"/>
      <c r="AK90" s="1125"/>
      <c r="AL90" s="1125"/>
      <c r="AM90" s="1125"/>
      <c r="AN90" s="1125"/>
      <c r="AO90" s="1125"/>
      <c r="AP90" s="1125"/>
      <c r="AQ90" s="1125"/>
      <c r="AR90" s="1125"/>
      <c r="AS90" s="1125"/>
      <c r="AT90" s="1125"/>
      <c r="AU90" s="1125"/>
      <c r="AV90" s="1126"/>
    </row>
    <row r="91" spans="1:48" ht="16.5" x14ac:dyDescent="0.25">
      <c r="A91" s="1264"/>
      <c r="B91" s="1266" t="s">
        <v>461</v>
      </c>
      <c r="C91" s="989"/>
      <c r="D91" s="470"/>
      <c r="E91" s="471">
        <f t="shared" si="32"/>
        <v>87100000</v>
      </c>
      <c r="F91" s="1311">
        <f t="shared" si="33"/>
        <v>126950000</v>
      </c>
      <c r="G91" s="1311">
        <f t="shared" si="34"/>
        <v>1320600000</v>
      </c>
      <c r="H91" s="1243"/>
      <c r="I91" s="1264"/>
      <c r="J91" s="1266" t="s">
        <v>461</v>
      </c>
      <c r="K91" s="471">
        <f t="shared" ref="K91:M91" si="38">E91</f>
        <v>87100000</v>
      </c>
      <c r="L91" s="1311">
        <f t="shared" si="38"/>
        <v>126950000</v>
      </c>
      <c r="M91" s="1311">
        <f t="shared" si="38"/>
        <v>1320600000</v>
      </c>
      <c r="N91" s="1125"/>
      <c r="O91" s="1125"/>
      <c r="P91" s="1125"/>
      <c r="Q91" s="1125"/>
      <c r="R91" s="1125"/>
      <c r="S91" s="1125"/>
      <c r="T91" s="1125"/>
      <c r="U91" s="1125"/>
      <c r="V91" s="1125"/>
      <c r="W91" s="1125"/>
      <c r="X91" s="1125"/>
      <c r="Y91" s="1125"/>
      <c r="Z91" s="1125"/>
      <c r="AA91" s="1125"/>
      <c r="AB91" s="1125"/>
      <c r="AC91" s="1125"/>
      <c r="AD91" s="1125"/>
      <c r="AE91" s="1125"/>
      <c r="AF91" s="1125"/>
      <c r="AG91" s="1125"/>
      <c r="AH91" s="1125"/>
      <c r="AI91" s="1125"/>
      <c r="AJ91" s="1125"/>
      <c r="AK91" s="1125"/>
      <c r="AL91" s="1125"/>
      <c r="AM91" s="1125"/>
      <c r="AN91" s="1125"/>
      <c r="AO91" s="1125"/>
      <c r="AP91" s="1125"/>
      <c r="AQ91" s="1125"/>
      <c r="AR91" s="1125"/>
      <c r="AS91" s="1125"/>
      <c r="AT91" s="1125"/>
      <c r="AU91" s="1125"/>
      <c r="AV91" s="1126"/>
    </row>
    <row r="92" spans="1:48" ht="16.5" x14ac:dyDescent="0.25">
      <c r="A92" s="1264"/>
      <c r="B92" s="1266" t="s">
        <v>462</v>
      </c>
      <c r="C92" s="989"/>
      <c r="D92" s="470"/>
      <c r="E92" s="471">
        <f t="shared" si="32"/>
        <v>30290190000</v>
      </c>
      <c r="F92" s="1311">
        <f t="shared" si="33"/>
        <v>62117370000</v>
      </c>
      <c r="G92" s="1311">
        <f t="shared" si="34"/>
        <v>106653785000</v>
      </c>
      <c r="H92" s="1243"/>
      <c r="I92" s="1264"/>
      <c r="J92" s="1266" t="s">
        <v>462</v>
      </c>
      <c r="K92" s="471">
        <f t="shared" ref="K92:M92" si="39">E92</f>
        <v>30290190000</v>
      </c>
      <c r="L92" s="1311">
        <f t="shared" si="39"/>
        <v>62117370000</v>
      </c>
      <c r="M92" s="1311">
        <f t="shared" si="39"/>
        <v>106653785000</v>
      </c>
      <c r="N92" s="1125"/>
      <c r="O92" s="1125"/>
      <c r="P92" s="1125"/>
      <c r="Q92" s="1125"/>
      <c r="R92" s="1125"/>
      <c r="S92" s="1125"/>
      <c r="T92" s="1125"/>
      <c r="U92" s="1125"/>
      <c r="V92" s="1125"/>
      <c r="W92" s="1125"/>
      <c r="X92" s="1125"/>
      <c r="Y92" s="1125"/>
      <c r="Z92" s="1125"/>
      <c r="AA92" s="1125"/>
      <c r="AB92" s="1125"/>
      <c r="AC92" s="1125"/>
      <c r="AD92" s="1125"/>
      <c r="AE92" s="1125"/>
      <c r="AF92" s="1125"/>
      <c r="AG92" s="1125"/>
      <c r="AH92" s="1125"/>
      <c r="AI92" s="1125"/>
      <c r="AJ92" s="1125"/>
      <c r="AK92" s="1125"/>
      <c r="AL92" s="1125"/>
      <c r="AM92" s="1125"/>
      <c r="AN92" s="1125"/>
      <c r="AO92" s="1125"/>
      <c r="AP92" s="1125"/>
      <c r="AQ92" s="1125"/>
      <c r="AR92" s="1125"/>
      <c r="AS92" s="1125"/>
      <c r="AT92" s="1125"/>
      <c r="AU92" s="1125"/>
      <c r="AV92" s="1126"/>
    </row>
    <row r="93" spans="1:48" ht="16.5" x14ac:dyDescent="0.25">
      <c r="A93" s="1445" t="s">
        <v>463</v>
      </c>
      <c r="B93" s="1373"/>
      <c r="C93" s="989"/>
      <c r="D93" s="989"/>
      <c r="E93" s="1265">
        <f t="shared" si="32"/>
        <v>0</v>
      </c>
      <c r="F93" s="1312">
        <f t="shared" si="33"/>
        <v>0</v>
      </c>
      <c r="G93" s="1312">
        <f t="shared" si="34"/>
        <v>0</v>
      </c>
      <c r="H93" s="1243"/>
      <c r="I93" s="1445" t="s">
        <v>463</v>
      </c>
      <c r="J93" s="1373"/>
      <c r="K93" s="1265">
        <f t="shared" ref="K93:M93" si="40">E93</f>
        <v>0</v>
      </c>
      <c r="L93" s="1312">
        <f t="shared" si="40"/>
        <v>0</v>
      </c>
      <c r="M93" s="1312">
        <f t="shared" si="40"/>
        <v>0</v>
      </c>
      <c r="N93" s="1125"/>
      <c r="O93" s="1125"/>
      <c r="P93" s="1125"/>
      <c r="Q93" s="1125"/>
      <c r="R93" s="1125"/>
      <c r="S93" s="1125"/>
      <c r="T93" s="1125"/>
      <c r="U93" s="1125"/>
      <c r="V93" s="1125"/>
      <c r="W93" s="1125"/>
      <c r="X93" s="1125"/>
      <c r="Y93" s="1125"/>
      <c r="Z93" s="1125"/>
      <c r="AA93" s="1125"/>
      <c r="AB93" s="1125"/>
      <c r="AC93" s="1125"/>
      <c r="AD93" s="1125"/>
      <c r="AE93" s="1125"/>
      <c r="AF93" s="1125"/>
      <c r="AG93" s="1125"/>
      <c r="AH93" s="1125"/>
      <c r="AI93" s="1125"/>
      <c r="AJ93" s="1125"/>
      <c r="AK93" s="1125"/>
      <c r="AL93" s="1125"/>
      <c r="AM93" s="1125"/>
      <c r="AN93" s="1125"/>
      <c r="AO93" s="1125"/>
      <c r="AP93" s="1125"/>
      <c r="AQ93" s="1125"/>
      <c r="AR93" s="1125"/>
      <c r="AS93" s="1125"/>
      <c r="AT93" s="1125"/>
      <c r="AU93" s="1125"/>
      <c r="AV93" s="1126"/>
    </row>
    <row r="94" spans="1:48" ht="16.5" x14ac:dyDescent="0.25">
      <c r="A94" s="1253"/>
      <c r="B94" s="1266" t="s">
        <v>464</v>
      </c>
      <c r="C94" s="989"/>
      <c r="D94" s="989"/>
      <c r="E94" s="1265">
        <f t="shared" si="32"/>
        <v>-9280505000</v>
      </c>
      <c r="F94" s="1312">
        <f t="shared" si="33"/>
        <v>-19979400000.000004</v>
      </c>
      <c r="G94" s="1312">
        <f t="shared" si="34"/>
        <v>-34158435000.000004</v>
      </c>
      <c r="H94" s="1243"/>
      <c r="I94" s="1253"/>
      <c r="J94" s="1266" t="s">
        <v>464</v>
      </c>
      <c r="K94" s="1265">
        <f t="shared" ref="K94:M94" si="41">E94</f>
        <v>-9280505000</v>
      </c>
      <c r="L94" s="1312">
        <f t="shared" si="41"/>
        <v>-19979400000.000004</v>
      </c>
      <c r="M94" s="1312">
        <f t="shared" si="41"/>
        <v>-34158435000.000004</v>
      </c>
      <c r="N94" s="1125"/>
      <c r="O94" s="1125"/>
      <c r="P94" s="1125"/>
      <c r="Q94" s="1125"/>
      <c r="R94" s="1125"/>
      <c r="S94" s="1125"/>
      <c r="T94" s="1125"/>
      <c r="U94" s="1125"/>
      <c r="V94" s="1125"/>
      <c r="W94" s="1125"/>
      <c r="X94" s="1125"/>
      <c r="Y94" s="1125"/>
      <c r="Z94" s="1125"/>
      <c r="AA94" s="1125"/>
      <c r="AB94" s="1125"/>
      <c r="AC94" s="1125"/>
      <c r="AD94" s="1125"/>
      <c r="AE94" s="1125"/>
      <c r="AF94" s="1125"/>
      <c r="AG94" s="1125"/>
      <c r="AH94" s="1125"/>
      <c r="AI94" s="1125"/>
      <c r="AJ94" s="1125"/>
      <c r="AK94" s="1125"/>
      <c r="AL94" s="1125"/>
      <c r="AM94" s="1125"/>
      <c r="AN94" s="1125"/>
      <c r="AO94" s="1125"/>
      <c r="AP94" s="1125"/>
      <c r="AQ94" s="1125"/>
      <c r="AR94" s="1125"/>
      <c r="AS94" s="1125"/>
      <c r="AT94" s="1125"/>
      <c r="AU94" s="1125"/>
      <c r="AV94" s="1126"/>
    </row>
    <row r="95" spans="1:48" ht="16.5" x14ac:dyDescent="0.25">
      <c r="A95" s="1253"/>
      <c r="B95" s="1266" t="s">
        <v>465</v>
      </c>
      <c r="C95" s="989"/>
      <c r="D95" s="989"/>
      <c r="E95" s="1265">
        <f t="shared" ca="1" si="32"/>
        <v>-40223446000</v>
      </c>
      <c r="F95" s="1312">
        <f t="shared" ca="1" si="33"/>
        <v>-77139237900</v>
      </c>
      <c r="G95" s="1312">
        <f t="shared" ca="1" si="34"/>
        <v>-129653013300</v>
      </c>
      <c r="H95" s="1243"/>
      <c r="I95" s="1253"/>
      <c r="J95" s="1266" t="s">
        <v>465</v>
      </c>
      <c r="K95" s="1265">
        <f t="shared" ref="K95:M95" ca="1" si="42">E95</f>
        <v>-40223446000</v>
      </c>
      <c r="L95" s="1312">
        <f t="shared" ca="1" si="42"/>
        <v>-77139237900</v>
      </c>
      <c r="M95" s="1312">
        <f t="shared" ca="1" si="42"/>
        <v>-129653013300</v>
      </c>
      <c r="N95" s="1125"/>
      <c r="O95" s="1125"/>
      <c r="P95" s="1125"/>
      <c r="Q95" s="1125"/>
      <c r="R95" s="1125"/>
      <c r="S95" s="1125"/>
      <c r="T95" s="1125"/>
      <c r="U95" s="1125"/>
      <c r="V95" s="1125"/>
      <c r="W95" s="1125"/>
      <c r="X95" s="1125"/>
      <c r="Y95" s="1125"/>
      <c r="Z95" s="1125"/>
      <c r="AA95" s="1125"/>
      <c r="AB95" s="1125"/>
      <c r="AC95" s="1125"/>
      <c r="AD95" s="1125"/>
      <c r="AE95" s="1125"/>
      <c r="AF95" s="1125"/>
      <c r="AG95" s="1125"/>
      <c r="AH95" s="1125"/>
      <c r="AI95" s="1125"/>
      <c r="AJ95" s="1125"/>
      <c r="AK95" s="1125"/>
      <c r="AL95" s="1125"/>
      <c r="AM95" s="1125"/>
      <c r="AN95" s="1125"/>
      <c r="AO95" s="1125"/>
      <c r="AP95" s="1125"/>
      <c r="AQ95" s="1125"/>
      <c r="AR95" s="1125"/>
      <c r="AS95" s="1125"/>
      <c r="AT95" s="1125"/>
      <c r="AU95" s="1125"/>
      <c r="AV95" s="1126"/>
    </row>
    <row r="96" spans="1:48" ht="16.5" x14ac:dyDescent="0.25">
      <c r="A96" s="1253"/>
      <c r="B96" s="1266" t="s">
        <v>466</v>
      </c>
      <c r="C96" s="989"/>
      <c r="D96" s="989"/>
      <c r="E96" s="1265">
        <f t="shared" si="32"/>
        <v>-11788799619.49934</v>
      </c>
      <c r="F96" s="1312">
        <f t="shared" si="33"/>
        <v>-20207175600</v>
      </c>
      <c r="G96" s="1312">
        <f t="shared" si="34"/>
        <v>-25082663000</v>
      </c>
      <c r="H96" s="1243"/>
      <c r="I96" s="1253"/>
      <c r="J96" s="1266" t="s">
        <v>466</v>
      </c>
      <c r="K96" s="1265">
        <f t="shared" ref="K96:M96" si="43">E96</f>
        <v>-11788799619.49934</v>
      </c>
      <c r="L96" s="1312">
        <f t="shared" si="43"/>
        <v>-20207175600</v>
      </c>
      <c r="M96" s="1312">
        <f t="shared" si="43"/>
        <v>-25082663000</v>
      </c>
      <c r="N96" s="1125"/>
      <c r="O96" s="1125"/>
      <c r="P96" s="1125"/>
      <c r="Q96" s="1125"/>
      <c r="R96" s="1125"/>
      <c r="S96" s="1125"/>
      <c r="T96" s="1125"/>
      <c r="U96" s="1125"/>
      <c r="V96" s="1125"/>
      <c r="W96" s="1125"/>
      <c r="X96" s="1125"/>
      <c r="Y96" s="1125"/>
      <c r="Z96" s="1125"/>
      <c r="AA96" s="1125"/>
      <c r="AB96" s="1125"/>
      <c r="AC96" s="1125"/>
      <c r="AD96" s="1125"/>
      <c r="AE96" s="1125"/>
      <c r="AF96" s="1125"/>
      <c r="AG96" s="1125"/>
      <c r="AH96" s="1125"/>
      <c r="AI96" s="1125"/>
      <c r="AJ96" s="1125"/>
      <c r="AK96" s="1125"/>
      <c r="AL96" s="1125"/>
      <c r="AM96" s="1125"/>
      <c r="AN96" s="1125"/>
      <c r="AO96" s="1125"/>
      <c r="AP96" s="1125"/>
      <c r="AQ96" s="1125"/>
      <c r="AR96" s="1125"/>
      <c r="AS96" s="1125"/>
      <c r="AT96" s="1125"/>
      <c r="AU96" s="1125"/>
      <c r="AV96" s="1126"/>
    </row>
    <row r="97" spans="1:48" ht="16.5" x14ac:dyDescent="0.25">
      <c r="A97" s="1253"/>
      <c r="B97" s="1266" t="s">
        <v>467</v>
      </c>
      <c r="C97" s="989"/>
      <c r="D97" s="989"/>
      <c r="E97" s="1265">
        <f t="shared" si="32"/>
        <v>-5526359999.999999</v>
      </c>
      <c r="F97" s="1312">
        <f t="shared" si="33"/>
        <v>-6842159999.9999933</v>
      </c>
      <c r="G97" s="1312">
        <f t="shared" si="34"/>
        <v>-6842159999.9999905</v>
      </c>
      <c r="H97" s="1243"/>
      <c r="I97" s="1253"/>
      <c r="J97" s="1266" t="s">
        <v>467</v>
      </c>
      <c r="K97" s="1265">
        <f t="shared" ref="K97:M97" si="44">E97</f>
        <v>-5526359999.999999</v>
      </c>
      <c r="L97" s="1312">
        <f t="shared" si="44"/>
        <v>-6842159999.9999933</v>
      </c>
      <c r="M97" s="1312">
        <f t="shared" si="44"/>
        <v>-6842159999.9999905</v>
      </c>
      <c r="N97" s="1125"/>
      <c r="O97" s="1125"/>
      <c r="P97" s="1125"/>
      <c r="Q97" s="1125"/>
      <c r="R97" s="1125"/>
      <c r="S97" s="1125"/>
      <c r="T97" s="1125"/>
      <c r="U97" s="1125"/>
      <c r="V97" s="1125"/>
      <c r="W97" s="1125"/>
      <c r="X97" s="1125"/>
      <c r="Y97" s="1125"/>
      <c r="Z97" s="1125"/>
      <c r="AA97" s="1125"/>
      <c r="AB97" s="1125"/>
      <c r="AC97" s="1125"/>
      <c r="AD97" s="1125"/>
      <c r="AE97" s="1125"/>
      <c r="AF97" s="1125"/>
      <c r="AG97" s="1125"/>
      <c r="AH97" s="1125"/>
      <c r="AI97" s="1125"/>
      <c r="AJ97" s="1125"/>
      <c r="AK97" s="1125"/>
      <c r="AL97" s="1125"/>
      <c r="AM97" s="1125"/>
      <c r="AN97" s="1125"/>
      <c r="AO97" s="1125"/>
      <c r="AP97" s="1125"/>
      <c r="AQ97" s="1125"/>
      <c r="AR97" s="1125"/>
      <c r="AS97" s="1125"/>
      <c r="AT97" s="1125"/>
      <c r="AU97" s="1125"/>
      <c r="AV97" s="1126"/>
    </row>
    <row r="98" spans="1:48" ht="16.5" x14ac:dyDescent="0.25">
      <c r="A98" s="1253"/>
      <c r="B98" s="1266" t="s">
        <v>468</v>
      </c>
      <c r="C98" s="989"/>
      <c r="D98" s="989"/>
      <c r="E98" s="1265">
        <f t="shared" ca="1" si="32"/>
        <v>0</v>
      </c>
      <c r="F98" s="1312">
        <f t="shared" ca="1" si="33"/>
        <v>0</v>
      </c>
      <c r="G98" s="1312">
        <f t="shared" ca="1" si="34"/>
        <v>-1097708728.5714293</v>
      </c>
      <c r="H98" s="1243"/>
      <c r="I98" s="1253"/>
      <c r="J98" s="1266" t="s">
        <v>468</v>
      </c>
      <c r="K98" s="1265">
        <f t="shared" ref="K98:M98" ca="1" si="45">E98</f>
        <v>0</v>
      </c>
      <c r="L98" s="1312">
        <f t="shared" ca="1" si="45"/>
        <v>0</v>
      </c>
      <c r="M98" s="1312">
        <f t="shared" ca="1" si="45"/>
        <v>-1097708728.5714293</v>
      </c>
      <c r="N98" s="1125"/>
      <c r="O98" s="1125"/>
      <c r="P98" s="1125"/>
      <c r="Q98" s="1125"/>
      <c r="R98" s="1125"/>
      <c r="S98" s="1125"/>
      <c r="T98" s="1125"/>
      <c r="U98" s="1125"/>
      <c r="V98" s="1125"/>
      <c r="W98" s="1125"/>
      <c r="X98" s="1125"/>
      <c r="Y98" s="1125"/>
      <c r="Z98" s="1125"/>
      <c r="AA98" s="1125"/>
      <c r="AB98" s="1125"/>
      <c r="AC98" s="1125"/>
      <c r="AD98" s="1125"/>
      <c r="AE98" s="1125"/>
      <c r="AF98" s="1125"/>
      <c r="AG98" s="1125"/>
      <c r="AH98" s="1125"/>
      <c r="AI98" s="1125"/>
      <c r="AJ98" s="1125"/>
      <c r="AK98" s="1125"/>
      <c r="AL98" s="1125"/>
      <c r="AM98" s="1125"/>
      <c r="AN98" s="1125"/>
      <c r="AO98" s="1125"/>
      <c r="AP98" s="1125"/>
      <c r="AQ98" s="1125"/>
      <c r="AR98" s="1125"/>
      <c r="AS98" s="1125"/>
      <c r="AT98" s="1125"/>
      <c r="AU98" s="1125"/>
      <c r="AV98" s="1126"/>
    </row>
    <row r="99" spans="1:48" ht="16.5" x14ac:dyDescent="0.25">
      <c r="A99" s="1446" t="s">
        <v>469</v>
      </c>
      <c r="B99" s="1373"/>
      <c r="C99" s="1267"/>
      <c r="D99" s="1267"/>
      <c r="E99" s="1283">
        <f t="shared" ca="1" si="32"/>
        <v>-5287444619.4993391</v>
      </c>
      <c r="F99" s="1313">
        <f t="shared" ca="1" si="33"/>
        <v>8639445500.0000076</v>
      </c>
      <c r="G99" s="1313">
        <f t="shared" ca="1" si="34"/>
        <v>30680618971.428577</v>
      </c>
      <c r="H99" s="1243"/>
      <c r="I99" s="1446" t="s">
        <v>469</v>
      </c>
      <c r="J99" s="1373"/>
      <c r="K99" s="1283">
        <f t="shared" ref="K99:M99" ca="1" si="46">E99</f>
        <v>-5287444619.4993391</v>
      </c>
      <c r="L99" s="1313">
        <f t="shared" ca="1" si="46"/>
        <v>8639445500.0000076</v>
      </c>
      <c r="M99" s="1313">
        <f t="shared" ca="1" si="46"/>
        <v>30680618971.428577</v>
      </c>
      <c r="N99" s="1125"/>
      <c r="O99" s="1125"/>
      <c r="P99" s="1125"/>
      <c r="Q99" s="1125"/>
      <c r="R99" s="1125"/>
      <c r="S99" s="1125"/>
      <c r="T99" s="1125"/>
      <c r="U99" s="1125"/>
      <c r="V99" s="1125"/>
      <c r="W99" s="1125"/>
      <c r="X99" s="1125"/>
      <c r="Y99" s="1125"/>
      <c r="Z99" s="1125"/>
      <c r="AA99" s="1125"/>
      <c r="AB99" s="1125"/>
      <c r="AC99" s="1125"/>
      <c r="AD99" s="1125"/>
      <c r="AE99" s="1125"/>
      <c r="AF99" s="1125"/>
      <c r="AG99" s="1125"/>
      <c r="AH99" s="1125"/>
      <c r="AI99" s="1125"/>
      <c r="AJ99" s="1125"/>
      <c r="AK99" s="1125"/>
      <c r="AL99" s="1125"/>
      <c r="AM99" s="1125"/>
      <c r="AN99" s="1125"/>
      <c r="AO99" s="1125"/>
      <c r="AP99" s="1125"/>
      <c r="AQ99" s="1125"/>
      <c r="AR99" s="1125"/>
      <c r="AS99" s="1125"/>
      <c r="AT99" s="1125"/>
      <c r="AU99" s="1125"/>
      <c r="AV99" s="1126"/>
    </row>
    <row r="100" spans="1:48" ht="16.5" x14ac:dyDescent="0.25">
      <c r="A100" s="1444" t="s">
        <v>470</v>
      </c>
      <c r="B100" s="1373"/>
      <c r="C100" s="1260"/>
      <c r="D100" s="1260"/>
      <c r="E100" s="1275">
        <f t="shared" si="32"/>
        <v>0</v>
      </c>
      <c r="F100" s="1310">
        <f t="shared" si="33"/>
        <v>0</v>
      </c>
      <c r="G100" s="1310">
        <f t="shared" si="34"/>
        <v>0</v>
      </c>
      <c r="H100" s="1243"/>
      <c r="I100" s="1444" t="s">
        <v>470</v>
      </c>
      <c r="J100" s="1373"/>
      <c r="K100" s="1275">
        <f t="shared" ref="K100:M100" si="47">E100</f>
        <v>0</v>
      </c>
      <c r="L100" s="1310">
        <f t="shared" si="47"/>
        <v>0</v>
      </c>
      <c r="M100" s="1310">
        <f t="shared" si="47"/>
        <v>0</v>
      </c>
      <c r="N100" s="1125"/>
      <c r="O100" s="1125"/>
      <c r="P100" s="1125"/>
      <c r="Q100" s="1125"/>
      <c r="R100" s="1125"/>
      <c r="S100" s="1125"/>
      <c r="T100" s="1125"/>
      <c r="U100" s="1125"/>
      <c r="V100" s="1125"/>
      <c r="W100" s="1125"/>
      <c r="X100" s="1125"/>
      <c r="Y100" s="1125"/>
      <c r="Z100" s="1125"/>
      <c r="AA100" s="1125"/>
      <c r="AB100" s="1125"/>
      <c r="AC100" s="1125"/>
      <c r="AD100" s="1125"/>
      <c r="AE100" s="1125"/>
      <c r="AF100" s="1125"/>
      <c r="AG100" s="1125"/>
      <c r="AH100" s="1125"/>
      <c r="AI100" s="1125"/>
      <c r="AJ100" s="1125"/>
      <c r="AK100" s="1125"/>
      <c r="AL100" s="1125"/>
      <c r="AM100" s="1125"/>
      <c r="AN100" s="1125"/>
      <c r="AO100" s="1125"/>
      <c r="AP100" s="1125"/>
      <c r="AQ100" s="1125"/>
      <c r="AR100" s="1125"/>
      <c r="AS100" s="1125"/>
      <c r="AT100" s="1125"/>
      <c r="AU100" s="1125"/>
      <c r="AV100" s="1126"/>
    </row>
    <row r="101" spans="1:48" ht="16.5" x14ac:dyDescent="0.25">
      <c r="A101" s="1445" t="s">
        <v>459</v>
      </c>
      <c r="B101" s="1373"/>
      <c r="C101" s="989"/>
      <c r="D101" s="989"/>
      <c r="E101" s="1265">
        <f t="shared" si="32"/>
        <v>0</v>
      </c>
      <c r="F101" s="1312">
        <f t="shared" si="33"/>
        <v>0</v>
      </c>
      <c r="G101" s="1312">
        <f t="shared" si="34"/>
        <v>0</v>
      </c>
      <c r="H101" s="346"/>
      <c r="I101" s="1445" t="s">
        <v>463</v>
      </c>
      <c r="J101" s="1373"/>
      <c r="K101" s="1265">
        <f t="shared" ref="K101:M101" si="48">E105</f>
        <v>0</v>
      </c>
      <c r="L101" s="1312">
        <f t="shared" si="48"/>
        <v>0</v>
      </c>
      <c r="M101" s="1312">
        <f t="shared" si="48"/>
        <v>0</v>
      </c>
      <c r="N101" s="1125"/>
      <c r="O101" s="1125"/>
      <c r="P101" s="1125"/>
      <c r="Q101" s="1125"/>
      <c r="R101" s="1125"/>
      <c r="S101" s="1125"/>
      <c r="T101" s="1125"/>
      <c r="U101" s="1125"/>
      <c r="V101" s="1125"/>
      <c r="W101" s="1125"/>
      <c r="X101" s="1125"/>
      <c r="Y101" s="1125"/>
      <c r="Z101" s="1125"/>
      <c r="AA101" s="1125"/>
      <c r="AB101" s="1125"/>
      <c r="AC101" s="1125"/>
      <c r="AD101" s="1125"/>
      <c r="AE101" s="1125"/>
      <c r="AF101" s="1125"/>
      <c r="AG101" s="1125"/>
      <c r="AH101" s="1125"/>
      <c r="AI101" s="1125"/>
      <c r="AJ101" s="1125"/>
      <c r="AK101" s="1125"/>
      <c r="AL101" s="1125"/>
      <c r="AM101" s="1125"/>
      <c r="AN101" s="1125"/>
      <c r="AO101" s="1125"/>
      <c r="AP101" s="1125"/>
      <c r="AQ101" s="1125"/>
      <c r="AR101" s="1125"/>
      <c r="AS101" s="1125"/>
      <c r="AT101" s="1125"/>
      <c r="AU101" s="1125"/>
      <c r="AV101" s="1126"/>
    </row>
    <row r="102" spans="1:48" ht="16.5" x14ac:dyDescent="0.25">
      <c r="A102" s="1253"/>
      <c r="B102" s="1266" t="s">
        <v>471</v>
      </c>
      <c r="C102" s="989"/>
      <c r="D102" s="989"/>
      <c r="E102" s="1265">
        <f t="shared" si="32"/>
        <v>0</v>
      </c>
      <c r="F102" s="1312">
        <f t="shared" si="33"/>
        <v>0</v>
      </c>
      <c r="G102" s="1312">
        <f t="shared" si="34"/>
        <v>0</v>
      </c>
      <c r="H102" s="1243"/>
      <c r="I102" s="1253"/>
      <c r="J102" s="1266" t="s">
        <v>474</v>
      </c>
      <c r="K102" s="1265">
        <f t="shared" ref="K102:M102" si="49">E106</f>
        <v>-51578000000</v>
      </c>
      <c r="L102" s="1312">
        <f t="shared" si="49"/>
        <v>0</v>
      </c>
      <c r="M102" s="1312">
        <f t="shared" si="49"/>
        <v>0</v>
      </c>
      <c r="N102" s="1125"/>
      <c r="O102" s="1125"/>
      <c r="P102" s="1125"/>
      <c r="Q102" s="1125"/>
      <c r="R102" s="1125"/>
      <c r="S102" s="1125"/>
      <c r="T102" s="1125"/>
      <c r="U102" s="1125"/>
      <c r="V102" s="1125"/>
      <c r="W102" s="1125"/>
      <c r="X102" s="1125"/>
      <c r="Y102" s="1125"/>
      <c r="Z102" s="1125"/>
      <c r="AA102" s="1125"/>
      <c r="AB102" s="1125"/>
      <c r="AC102" s="1125"/>
      <c r="AD102" s="1125"/>
      <c r="AE102" s="1125"/>
      <c r="AF102" s="1125"/>
      <c r="AG102" s="1125"/>
      <c r="AH102" s="1125"/>
      <c r="AI102" s="1125"/>
      <c r="AJ102" s="1125"/>
      <c r="AK102" s="1125"/>
      <c r="AL102" s="1125"/>
      <c r="AM102" s="1125"/>
      <c r="AN102" s="1125"/>
      <c r="AO102" s="1125"/>
      <c r="AP102" s="1125"/>
      <c r="AQ102" s="1125"/>
      <c r="AR102" s="1125"/>
      <c r="AS102" s="1125"/>
      <c r="AT102" s="1125"/>
      <c r="AU102" s="1125"/>
      <c r="AV102" s="1126"/>
    </row>
    <row r="103" spans="1:48" ht="16.5" x14ac:dyDescent="0.25">
      <c r="A103" s="1253"/>
      <c r="B103" s="1266" t="s">
        <v>472</v>
      </c>
      <c r="C103" s="1276"/>
      <c r="D103" s="989"/>
      <c r="E103" s="1265">
        <f t="shared" si="32"/>
        <v>0</v>
      </c>
      <c r="F103" s="1312">
        <f t="shared" si="33"/>
        <v>0</v>
      </c>
      <c r="G103" s="1312">
        <f t="shared" si="34"/>
        <v>0</v>
      </c>
      <c r="H103" s="1243"/>
      <c r="I103" s="1446" t="s">
        <v>477</v>
      </c>
      <c r="J103" s="1373"/>
      <c r="K103" s="1283">
        <f t="shared" ref="K103:M103" si="50">E109</f>
        <v>-51578000000</v>
      </c>
      <c r="L103" s="1313">
        <f t="shared" si="50"/>
        <v>0</v>
      </c>
      <c r="M103" s="1313">
        <f t="shared" si="50"/>
        <v>0</v>
      </c>
      <c r="N103" s="1125"/>
      <c r="O103" s="1125"/>
      <c r="P103" s="1125"/>
      <c r="Q103" s="1125"/>
      <c r="R103" s="1125"/>
      <c r="S103" s="1125"/>
      <c r="T103" s="1125"/>
      <c r="U103" s="1125"/>
      <c r="V103" s="1125"/>
      <c r="W103" s="1125"/>
      <c r="X103" s="1125"/>
      <c r="Y103" s="1125"/>
      <c r="Z103" s="1125"/>
      <c r="AA103" s="1125"/>
      <c r="AB103" s="1125"/>
      <c r="AC103" s="1125"/>
      <c r="AD103" s="1125"/>
      <c r="AE103" s="1125"/>
      <c r="AF103" s="1125"/>
      <c r="AG103" s="1125"/>
      <c r="AH103" s="1125"/>
      <c r="AI103" s="1125"/>
      <c r="AJ103" s="1125"/>
      <c r="AK103" s="1125"/>
      <c r="AL103" s="1125"/>
      <c r="AM103" s="1125"/>
      <c r="AN103" s="1125"/>
      <c r="AO103" s="1125"/>
      <c r="AP103" s="1125"/>
      <c r="AQ103" s="1125"/>
      <c r="AR103" s="1125"/>
      <c r="AS103" s="1125"/>
      <c r="AT103" s="1125"/>
      <c r="AU103" s="1125"/>
      <c r="AV103" s="1126"/>
    </row>
    <row r="104" spans="1:48" ht="16.5" x14ac:dyDescent="0.25">
      <c r="A104" s="1253"/>
      <c r="B104" s="1266" t="s">
        <v>473</v>
      </c>
      <c r="C104" s="989"/>
      <c r="D104" s="989"/>
      <c r="E104" s="1265">
        <f t="shared" si="32"/>
        <v>0</v>
      </c>
      <c r="F104" s="1312">
        <f t="shared" si="33"/>
        <v>0</v>
      </c>
      <c r="G104" s="1312">
        <f t="shared" si="34"/>
        <v>0</v>
      </c>
      <c r="H104" s="1243"/>
      <c r="I104" s="1444" t="s">
        <v>478</v>
      </c>
      <c r="J104" s="1373"/>
      <c r="K104" s="1275">
        <f t="shared" ref="K104:M104" si="51">E110</f>
        <v>0</v>
      </c>
      <c r="L104" s="1310">
        <f t="shared" si="51"/>
        <v>0</v>
      </c>
      <c r="M104" s="1310">
        <f t="shared" si="51"/>
        <v>0</v>
      </c>
      <c r="N104" s="1125"/>
      <c r="O104" s="1125"/>
      <c r="P104" s="1125"/>
      <c r="Q104" s="1125"/>
      <c r="R104" s="1125"/>
      <c r="S104" s="1125"/>
      <c r="T104" s="1125"/>
      <c r="U104" s="1125"/>
      <c r="V104" s="1125"/>
      <c r="W104" s="1125"/>
      <c r="X104" s="1125"/>
      <c r="Y104" s="1125"/>
      <c r="Z104" s="1125"/>
      <c r="AA104" s="1125"/>
      <c r="AB104" s="1125"/>
      <c r="AC104" s="1125"/>
      <c r="AD104" s="1125"/>
      <c r="AE104" s="1125"/>
      <c r="AF104" s="1125"/>
      <c r="AG104" s="1125"/>
      <c r="AH104" s="1125"/>
      <c r="AI104" s="1125"/>
      <c r="AJ104" s="1125"/>
      <c r="AK104" s="1125"/>
      <c r="AL104" s="1125"/>
      <c r="AM104" s="1125"/>
      <c r="AN104" s="1125"/>
      <c r="AO104" s="1125"/>
      <c r="AP104" s="1125"/>
      <c r="AQ104" s="1125"/>
      <c r="AR104" s="1125"/>
      <c r="AS104" s="1125"/>
      <c r="AT104" s="1125"/>
      <c r="AU104" s="1125"/>
      <c r="AV104" s="1126"/>
    </row>
    <row r="105" spans="1:48" ht="16.5" x14ac:dyDescent="0.25">
      <c r="A105" s="1445" t="s">
        <v>463</v>
      </c>
      <c r="B105" s="1373"/>
      <c r="C105" s="989"/>
      <c r="D105" s="989"/>
      <c r="E105" s="1265">
        <f t="shared" si="32"/>
        <v>0</v>
      </c>
      <c r="F105" s="1312">
        <f t="shared" si="33"/>
        <v>0</v>
      </c>
      <c r="G105" s="1312">
        <f t="shared" si="34"/>
        <v>0</v>
      </c>
      <c r="H105" s="346"/>
      <c r="I105" s="1445" t="s">
        <v>459</v>
      </c>
      <c r="J105" s="1373"/>
      <c r="K105" s="1265">
        <f t="shared" ref="K105:M105" si="52">E111</f>
        <v>0</v>
      </c>
      <c r="L105" s="1312">
        <f t="shared" si="52"/>
        <v>0</v>
      </c>
      <c r="M105" s="1312">
        <f t="shared" si="52"/>
        <v>0</v>
      </c>
      <c r="N105" s="1125"/>
      <c r="O105" s="1125"/>
      <c r="P105" s="1125"/>
      <c r="Q105" s="1125"/>
      <c r="R105" s="1125"/>
      <c r="S105" s="1125"/>
      <c r="T105" s="1125"/>
      <c r="U105" s="1125"/>
      <c r="V105" s="1125"/>
      <c r="W105" s="1125"/>
      <c r="X105" s="1125"/>
      <c r="Y105" s="1125"/>
      <c r="Z105" s="1125"/>
      <c r="AA105" s="1125"/>
      <c r="AB105" s="1125"/>
      <c r="AC105" s="1125"/>
      <c r="AD105" s="1125"/>
      <c r="AE105" s="1125"/>
      <c r="AF105" s="1125"/>
      <c r="AG105" s="1125"/>
      <c r="AH105" s="1125"/>
      <c r="AI105" s="1125"/>
      <c r="AJ105" s="1125"/>
      <c r="AK105" s="1125"/>
      <c r="AL105" s="1125"/>
      <c r="AM105" s="1125"/>
      <c r="AN105" s="1125"/>
      <c r="AO105" s="1125"/>
      <c r="AP105" s="1125"/>
      <c r="AQ105" s="1125"/>
      <c r="AR105" s="1125"/>
      <c r="AS105" s="1125"/>
      <c r="AT105" s="1125"/>
      <c r="AU105" s="1125"/>
      <c r="AV105" s="1126"/>
    </row>
    <row r="106" spans="1:48" ht="16.5" x14ac:dyDescent="0.25">
      <c r="A106" s="1253"/>
      <c r="B106" s="1266" t="s">
        <v>474</v>
      </c>
      <c r="C106" s="1279"/>
      <c r="D106" s="989"/>
      <c r="E106" s="1265">
        <f t="shared" si="32"/>
        <v>-51578000000</v>
      </c>
      <c r="F106" s="1312">
        <f t="shared" si="33"/>
        <v>0</v>
      </c>
      <c r="G106" s="1312">
        <f t="shared" si="34"/>
        <v>0</v>
      </c>
      <c r="H106" s="1243"/>
      <c r="I106" s="1253"/>
      <c r="J106" s="1266" t="s">
        <v>479</v>
      </c>
      <c r="K106" s="1265">
        <f t="shared" ref="K106:M106" si="53">E112</f>
        <v>21600000000</v>
      </c>
      <c r="L106" s="1312">
        <f t="shared" si="53"/>
        <v>0</v>
      </c>
      <c r="M106" s="1312">
        <f t="shared" si="53"/>
        <v>0</v>
      </c>
      <c r="N106" s="1125"/>
      <c r="O106" s="1125"/>
      <c r="P106" s="1125"/>
      <c r="Q106" s="1125"/>
      <c r="R106" s="1125"/>
      <c r="S106" s="1125"/>
      <c r="T106" s="1125"/>
      <c r="U106" s="1125"/>
      <c r="V106" s="1125"/>
      <c r="W106" s="1125"/>
      <c r="X106" s="1125"/>
      <c r="Y106" s="1125"/>
      <c r="Z106" s="1125"/>
      <c r="AA106" s="1125"/>
      <c r="AB106" s="1125"/>
      <c r="AC106" s="1125"/>
      <c r="AD106" s="1125"/>
      <c r="AE106" s="1125"/>
      <c r="AF106" s="1125"/>
      <c r="AG106" s="1125"/>
      <c r="AH106" s="1125"/>
      <c r="AI106" s="1125"/>
      <c r="AJ106" s="1125"/>
      <c r="AK106" s="1125"/>
      <c r="AL106" s="1125"/>
      <c r="AM106" s="1125"/>
      <c r="AN106" s="1125"/>
      <c r="AO106" s="1125"/>
      <c r="AP106" s="1125"/>
      <c r="AQ106" s="1125"/>
      <c r="AR106" s="1125"/>
      <c r="AS106" s="1125"/>
      <c r="AT106" s="1125"/>
      <c r="AU106" s="1125"/>
      <c r="AV106" s="1126"/>
    </row>
    <row r="107" spans="1:48" ht="16.5" x14ac:dyDescent="0.25">
      <c r="A107" s="1253"/>
      <c r="B107" s="1266" t="s">
        <v>475</v>
      </c>
      <c r="C107" s="989"/>
      <c r="D107" s="989"/>
      <c r="E107" s="1265">
        <f t="shared" si="32"/>
        <v>0</v>
      </c>
      <c r="F107" s="1312">
        <f t="shared" si="33"/>
        <v>0</v>
      </c>
      <c r="G107" s="1312">
        <f t="shared" si="34"/>
        <v>0</v>
      </c>
      <c r="H107" s="346"/>
      <c r="I107" s="1253"/>
      <c r="J107" s="1266" t="s">
        <v>480</v>
      </c>
      <c r="K107" s="1265">
        <f t="shared" ref="K107:M107" ca="1" si="54">E113</f>
        <v>14399999999.999996</v>
      </c>
      <c r="L107" s="1312">
        <f t="shared" ca="1" si="54"/>
        <v>14399999999.999996</v>
      </c>
      <c r="M107" s="1312">
        <f t="shared" ca="1" si="54"/>
        <v>14399999999.999996</v>
      </c>
      <c r="N107" s="1125"/>
      <c r="O107" s="1125"/>
      <c r="P107" s="1125"/>
      <c r="Q107" s="1125"/>
      <c r="R107" s="1125"/>
      <c r="S107" s="1125"/>
      <c r="T107" s="1125"/>
      <c r="U107" s="1125"/>
      <c r="V107" s="1125"/>
      <c r="W107" s="1125"/>
      <c r="X107" s="1125"/>
      <c r="Y107" s="1125"/>
      <c r="Z107" s="1125"/>
      <c r="AA107" s="1125"/>
      <c r="AB107" s="1125"/>
      <c r="AC107" s="1125"/>
      <c r="AD107" s="1125"/>
      <c r="AE107" s="1125"/>
      <c r="AF107" s="1125"/>
      <c r="AG107" s="1125"/>
      <c r="AH107" s="1125"/>
      <c r="AI107" s="1125"/>
      <c r="AJ107" s="1125"/>
      <c r="AK107" s="1125"/>
      <c r="AL107" s="1125"/>
      <c r="AM107" s="1125"/>
      <c r="AN107" s="1125"/>
      <c r="AO107" s="1125"/>
      <c r="AP107" s="1125"/>
      <c r="AQ107" s="1125"/>
      <c r="AR107" s="1125"/>
      <c r="AS107" s="1125"/>
      <c r="AT107" s="1125"/>
      <c r="AU107" s="1125"/>
      <c r="AV107" s="1126"/>
    </row>
    <row r="108" spans="1:48" ht="16.5" x14ac:dyDescent="0.25">
      <c r="A108" s="1253"/>
      <c r="B108" s="1266" t="s">
        <v>476</v>
      </c>
      <c r="C108" s="989"/>
      <c r="D108" s="989"/>
      <c r="E108" s="1265">
        <f t="shared" si="32"/>
        <v>0</v>
      </c>
      <c r="F108" s="1312">
        <f t="shared" si="33"/>
        <v>0</v>
      </c>
      <c r="G108" s="1312">
        <f t="shared" si="34"/>
        <v>0</v>
      </c>
      <c r="H108" s="346"/>
      <c r="I108" s="1445" t="s">
        <v>463</v>
      </c>
      <c r="J108" s="1373"/>
      <c r="K108" s="1265">
        <f t="shared" ref="K108:M108" si="55">E114</f>
        <v>0</v>
      </c>
      <c r="L108" s="1312">
        <f t="shared" si="55"/>
        <v>0</v>
      </c>
      <c r="M108" s="1312">
        <f t="shared" si="55"/>
        <v>0</v>
      </c>
      <c r="N108" s="1125"/>
      <c r="O108" s="1125"/>
      <c r="P108" s="1125"/>
      <c r="Q108" s="1125"/>
      <c r="R108" s="1125"/>
      <c r="S108" s="1125"/>
      <c r="T108" s="1125"/>
      <c r="U108" s="1125"/>
      <c r="V108" s="1125"/>
      <c r="W108" s="1125"/>
      <c r="X108" s="1125"/>
      <c r="Y108" s="1125"/>
      <c r="Z108" s="1125"/>
      <c r="AA108" s="1125"/>
      <c r="AB108" s="1125"/>
      <c r="AC108" s="1125"/>
      <c r="AD108" s="1125"/>
      <c r="AE108" s="1125"/>
      <c r="AF108" s="1125"/>
      <c r="AG108" s="1125"/>
      <c r="AH108" s="1125"/>
      <c r="AI108" s="1125"/>
      <c r="AJ108" s="1125"/>
      <c r="AK108" s="1125"/>
      <c r="AL108" s="1125"/>
      <c r="AM108" s="1125"/>
      <c r="AN108" s="1125"/>
      <c r="AO108" s="1125"/>
      <c r="AP108" s="1125"/>
      <c r="AQ108" s="1125"/>
      <c r="AR108" s="1125"/>
      <c r="AS108" s="1125"/>
      <c r="AT108" s="1125"/>
      <c r="AU108" s="1125"/>
      <c r="AV108" s="1126"/>
    </row>
    <row r="109" spans="1:48" ht="16.5" x14ac:dyDescent="0.25">
      <c r="A109" s="1446" t="s">
        <v>477</v>
      </c>
      <c r="B109" s="1373"/>
      <c r="C109" s="1267"/>
      <c r="D109" s="1267"/>
      <c r="E109" s="1283">
        <f t="shared" si="32"/>
        <v>-51578000000</v>
      </c>
      <c r="F109" s="1313">
        <f t="shared" si="33"/>
        <v>0</v>
      </c>
      <c r="G109" s="1313">
        <f t="shared" si="34"/>
        <v>0</v>
      </c>
      <c r="H109" s="346"/>
      <c r="I109" s="1253"/>
      <c r="J109" s="1266" t="s">
        <v>482</v>
      </c>
      <c r="K109" s="1265">
        <f t="shared" ref="K109:M109" si="56">E116</f>
        <v>-8399999999.999999</v>
      </c>
      <c r="L109" s="1312">
        <f t="shared" si="56"/>
        <v>-14399999999.999998</v>
      </c>
      <c r="M109" s="1312">
        <f t="shared" si="56"/>
        <v>-14399999999.999998</v>
      </c>
      <c r="N109" s="1125"/>
      <c r="O109" s="1125"/>
      <c r="P109" s="1125"/>
      <c r="Q109" s="1125"/>
      <c r="R109" s="1125"/>
      <c r="S109" s="1125"/>
      <c r="T109" s="1125"/>
      <c r="U109" s="1125"/>
      <c r="V109" s="1125"/>
      <c r="W109" s="1125"/>
      <c r="X109" s="1125"/>
      <c r="Y109" s="1125"/>
      <c r="Z109" s="1125"/>
      <c r="AA109" s="1125"/>
      <c r="AB109" s="1125"/>
      <c r="AC109" s="1125"/>
      <c r="AD109" s="1125"/>
      <c r="AE109" s="1125"/>
      <c r="AF109" s="1125"/>
      <c r="AG109" s="1125"/>
      <c r="AH109" s="1125"/>
      <c r="AI109" s="1125"/>
      <c r="AJ109" s="1125"/>
      <c r="AK109" s="1125"/>
      <c r="AL109" s="1125"/>
      <c r="AM109" s="1125"/>
      <c r="AN109" s="1125"/>
      <c r="AO109" s="1125"/>
      <c r="AP109" s="1125"/>
      <c r="AQ109" s="1125"/>
      <c r="AR109" s="1125"/>
      <c r="AS109" s="1125"/>
      <c r="AT109" s="1125"/>
      <c r="AU109" s="1125"/>
      <c r="AV109" s="1126"/>
    </row>
    <row r="110" spans="1:48" ht="16.5" x14ac:dyDescent="0.25">
      <c r="A110" s="1444" t="s">
        <v>478</v>
      </c>
      <c r="B110" s="1373"/>
      <c r="C110" s="1260"/>
      <c r="D110" s="1260"/>
      <c r="E110" s="1275">
        <f t="shared" si="32"/>
        <v>0</v>
      </c>
      <c r="F110" s="1310">
        <f t="shared" si="33"/>
        <v>0</v>
      </c>
      <c r="G110" s="1310">
        <f t="shared" si="34"/>
        <v>0</v>
      </c>
      <c r="H110" s="346"/>
      <c r="I110" s="1446" t="s">
        <v>484</v>
      </c>
      <c r="J110" s="1373"/>
      <c r="K110" s="1283">
        <f t="shared" ref="K110:M110" ca="1" si="57">E118</f>
        <v>27600000000</v>
      </c>
      <c r="L110" s="1313">
        <f t="shared" ca="1" si="57"/>
        <v>0</v>
      </c>
      <c r="M110" s="1313">
        <f t="shared" ca="1" si="57"/>
        <v>0</v>
      </c>
      <c r="N110" s="1125"/>
      <c r="O110" s="1125"/>
      <c r="P110" s="1125"/>
      <c r="Q110" s="1125"/>
      <c r="R110" s="1125"/>
      <c r="S110" s="1125"/>
      <c r="T110" s="1125"/>
      <c r="U110" s="1125"/>
      <c r="V110" s="1125"/>
      <c r="W110" s="1125"/>
      <c r="X110" s="1125"/>
      <c r="Y110" s="1125"/>
      <c r="Z110" s="1125"/>
      <c r="AA110" s="1125"/>
      <c r="AB110" s="1125"/>
      <c r="AC110" s="1125"/>
      <c r="AD110" s="1125"/>
      <c r="AE110" s="1125"/>
      <c r="AF110" s="1125"/>
      <c r="AG110" s="1125"/>
      <c r="AH110" s="1125"/>
      <c r="AI110" s="1125"/>
      <c r="AJ110" s="1125"/>
      <c r="AK110" s="1125"/>
      <c r="AL110" s="1125"/>
      <c r="AM110" s="1125"/>
      <c r="AN110" s="1125"/>
      <c r="AO110" s="1125"/>
      <c r="AP110" s="1125"/>
      <c r="AQ110" s="1125"/>
      <c r="AR110" s="1125"/>
      <c r="AS110" s="1125"/>
      <c r="AT110" s="1125"/>
      <c r="AU110" s="1125"/>
      <c r="AV110" s="1126"/>
    </row>
    <row r="111" spans="1:48" ht="16.5" x14ac:dyDescent="0.25">
      <c r="A111" s="1445" t="s">
        <v>459</v>
      </c>
      <c r="B111" s="1373"/>
      <c r="C111" s="989"/>
      <c r="D111" s="989"/>
      <c r="E111" s="1265">
        <f t="shared" si="32"/>
        <v>0</v>
      </c>
      <c r="F111" s="1312">
        <f t="shared" si="33"/>
        <v>0</v>
      </c>
      <c r="G111" s="1312">
        <f t="shared" si="34"/>
        <v>0</v>
      </c>
      <c r="H111" s="346"/>
      <c r="I111" s="1447" t="s">
        <v>485</v>
      </c>
      <c r="J111" s="1373"/>
      <c r="K111" s="1254">
        <f t="shared" ref="K111:M111" ca="1" si="58">E119</f>
        <v>-29265444619.499336</v>
      </c>
      <c r="L111" s="1314">
        <f t="shared" ca="1" si="58"/>
        <v>8639445500.0000076</v>
      </c>
      <c r="M111" s="1314">
        <f t="shared" ca="1" si="58"/>
        <v>30680618971.428577</v>
      </c>
      <c r="N111" s="1125"/>
      <c r="O111" s="1125"/>
      <c r="P111" s="1125"/>
      <c r="Q111" s="1125"/>
      <c r="R111" s="1125"/>
      <c r="S111" s="1125"/>
      <c r="T111" s="1125"/>
      <c r="U111" s="1125"/>
      <c r="V111" s="1125"/>
      <c r="W111" s="1125"/>
      <c r="X111" s="1125"/>
      <c r="Y111" s="1125"/>
      <c r="Z111" s="1125"/>
      <c r="AA111" s="1125"/>
      <c r="AB111" s="1125"/>
      <c r="AC111" s="1125"/>
      <c r="AD111" s="1125"/>
      <c r="AE111" s="1125"/>
      <c r="AF111" s="1125"/>
      <c r="AG111" s="1125"/>
      <c r="AH111" s="1125"/>
      <c r="AI111" s="1125"/>
      <c r="AJ111" s="1125"/>
      <c r="AK111" s="1125"/>
      <c r="AL111" s="1125"/>
      <c r="AM111" s="1125"/>
      <c r="AN111" s="1125"/>
      <c r="AO111" s="1125"/>
      <c r="AP111" s="1125"/>
      <c r="AQ111" s="1125"/>
      <c r="AR111" s="1125"/>
      <c r="AS111" s="1125"/>
      <c r="AT111" s="1125"/>
      <c r="AU111" s="1125"/>
      <c r="AV111" s="1126"/>
    </row>
    <row r="112" spans="1:48" ht="16.5" x14ac:dyDescent="0.25">
      <c r="A112" s="1253"/>
      <c r="B112" s="1266" t="s">
        <v>479</v>
      </c>
      <c r="C112" s="989"/>
      <c r="D112" s="989"/>
      <c r="E112" s="1265">
        <f t="shared" si="32"/>
        <v>21600000000</v>
      </c>
      <c r="F112" s="1312">
        <f t="shared" si="33"/>
        <v>0</v>
      </c>
      <c r="G112" s="1312">
        <f t="shared" si="34"/>
        <v>0</v>
      </c>
      <c r="H112" s="346"/>
      <c r="I112" s="1448" t="s">
        <v>486</v>
      </c>
      <c r="J112" s="1449"/>
      <c r="K112" s="1290">
        <f t="shared" ref="K112:M112" ca="1" si="59">E120</f>
        <v>6734555380.5006561</v>
      </c>
      <c r="L112" s="1315">
        <f t="shared" ca="1" si="59"/>
        <v>15374000880.500668</v>
      </c>
      <c r="M112" s="1315">
        <f t="shared" ca="1" si="59"/>
        <v>46054619851.929245</v>
      </c>
      <c r="N112" s="1125"/>
      <c r="O112" s="1125"/>
      <c r="P112" s="1125"/>
      <c r="Q112" s="1125"/>
      <c r="R112" s="1125"/>
      <c r="S112" s="1125"/>
      <c r="T112" s="1125"/>
      <c r="U112" s="1125"/>
      <c r="V112" s="1125"/>
      <c r="W112" s="1125"/>
      <c r="X112" s="1125"/>
      <c r="Y112" s="1125"/>
      <c r="Z112" s="1125"/>
      <c r="AA112" s="1125"/>
      <c r="AB112" s="1125"/>
      <c r="AC112" s="1125"/>
      <c r="AD112" s="1125"/>
      <c r="AE112" s="1125"/>
      <c r="AF112" s="1125"/>
      <c r="AG112" s="1125"/>
      <c r="AH112" s="1125"/>
      <c r="AI112" s="1125"/>
      <c r="AJ112" s="1125"/>
      <c r="AK112" s="1125"/>
      <c r="AL112" s="1125"/>
      <c r="AM112" s="1125"/>
      <c r="AN112" s="1125"/>
      <c r="AO112" s="1125"/>
      <c r="AP112" s="1125"/>
      <c r="AQ112" s="1125"/>
      <c r="AR112" s="1125"/>
      <c r="AS112" s="1125"/>
      <c r="AT112" s="1125"/>
      <c r="AU112" s="1125"/>
      <c r="AV112" s="1126"/>
    </row>
    <row r="113" spans="1:48" ht="16.5" x14ac:dyDescent="0.25">
      <c r="A113" s="1253"/>
      <c r="B113" s="1266" t="s">
        <v>480</v>
      </c>
      <c r="C113" s="989"/>
      <c r="D113" s="989"/>
      <c r="E113" s="1265">
        <f t="shared" ca="1" si="32"/>
        <v>14399999999.999996</v>
      </c>
      <c r="F113" s="1312">
        <f t="shared" ca="1" si="33"/>
        <v>14399999999.999996</v>
      </c>
      <c r="G113" s="1312">
        <f t="shared" ca="1" si="34"/>
        <v>14399999999.999996</v>
      </c>
      <c r="H113" s="1243"/>
      <c r="I113" s="1241"/>
      <c r="J113" s="1241"/>
      <c r="K113" s="1241"/>
      <c r="L113" s="1241"/>
      <c r="M113" s="1241"/>
      <c r="N113" s="1125"/>
      <c r="O113" s="1125"/>
      <c r="P113" s="1125"/>
      <c r="Q113" s="1125"/>
      <c r="R113" s="1125"/>
      <c r="S113" s="1125"/>
      <c r="T113" s="1125"/>
      <c r="U113" s="1125"/>
      <c r="V113" s="1125"/>
      <c r="W113" s="1125"/>
      <c r="X113" s="1125"/>
      <c r="Y113" s="1125"/>
      <c r="Z113" s="1125"/>
      <c r="AA113" s="1125"/>
      <c r="AB113" s="1125"/>
      <c r="AC113" s="1125"/>
      <c r="AD113" s="1125"/>
      <c r="AE113" s="1125"/>
      <c r="AF113" s="1125"/>
      <c r="AG113" s="1125"/>
      <c r="AH113" s="1125"/>
      <c r="AI113" s="1125"/>
      <c r="AJ113" s="1125"/>
      <c r="AK113" s="1125"/>
      <c r="AL113" s="1125"/>
      <c r="AM113" s="1125"/>
      <c r="AN113" s="1125"/>
      <c r="AO113" s="1125"/>
      <c r="AP113" s="1125"/>
      <c r="AQ113" s="1125"/>
      <c r="AR113" s="1125"/>
      <c r="AS113" s="1125"/>
      <c r="AT113" s="1125"/>
      <c r="AU113" s="1125"/>
      <c r="AV113" s="1126"/>
    </row>
    <row r="114" spans="1:48" ht="16.5" x14ac:dyDescent="0.25">
      <c r="A114" s="1445" t="s">
        <v>463</v>
      </c>
      <c r="B114" s="1373"/>
      <c r="C114" s="989"/>
      <c r="D114" s="989"/>
      <c r="E114" s="1265">
        <f t="shared" si="32"/>
        <v>0</v>
      </c>
      <c r="F114" s="1312">
        <f t="shared" si="33"/>
        <v>0</v>
      </c>
      <c r="G114" s="1312">
        <f t="shared" si="34"/>
        <v>0</v>
      </c>
      <c r="H114" s="1243"/>
      <c r="I114" s="1125"/>
      <c r="J114" s="1125"/>
      <c r="K114" s="1125"/>
      <c r="L114" s="1125"/>
      <c r="M114" s="1125"/>
      <c r="N114" s="1125"/>
      <c r="O114" s="1125"/>
      <c r="P114" s="1125"/>
      <c r="Q114" s="1125"/>
      <c r="R114" s="1125"/>
      <c r="S114" s="1125"/>
      <c r="T114" s="1125"/>
      <c r="U114" s="1125"/>
      <c r="V114" s="1125"/>
      <c r="W114" s="1125"/>
      <c r="X114" s="1125"/>
      <c r="Y114" s="1125"/>
      <c r="Z114" s="1125"/>
      <c r="AA114" s="1125"/>
      <c r="AB114" s="1125"/>
      <c r="AC114" s="1125"/>
      <c r="AD114" s="1125"/>
      <c r="AE114" s="1125"/>
      <c r="AF114" s="1125"/>
      <c r="AG114" s="1125"/>
      <c r="AH114" s="1125"/>
      <c r="AI114" s="1125"/>
      <c r="AJ114" s="1125"/>
      <c r="AK114" s="1125"/>
      <c r="AL114" s="1125"/>
      <c r="AM114" s="1125"/>
      <c r="AN114" s="1125"/>
      <c r="AO114" s="1125"/>
      <c r="AP114" s="1125"/>
      <c r="AQ114" s="1125"/>
      <c r="AR114" s="1125"/>
      <c r="AS114" s="1125"/>
      <c r="AT114" s="1125"/>
      <c r="AU114" s="1125"/>
      <c r="AV114" s="1126"/>
    </row>
    <row r="115" spans="1:48" ht="16.5" x14ac:dyDescent="0.25">
      <c r="A115" s="1253"/>
      <c r="B115" s="1266" t="s">
        <v>481</v>
      </c>
      <c r="C115" s="989"/>
      <c r="D115" s="989"/>
      <c r="E115" s="1265">
        <f t="shared" si="32"/>
        <v>0</v>
      </c>
      <c r="F115" s="1312">
        <f t="shared" si="33"/>
        <v>0</v>
      </c>
      <c r="G115" s="1312">
        <f t="shared" si="34"/>
        <v>0</v>
      </c>
      <c r="H115" s="1243"/>
      <c r="I115" s="1125"/>
      <c r="J115" s="1125"/>
      <c r="K115" s="1125"/>
      <c r="L115" s="1125"/>
      <c r="M115" s="1125"/>
      <c r="N115" s="1125"/>
      <c r="O115" s="1125"/>
      <c r="P115" s="1125"/>
      <c r="Q115" s="1125"/>
      <c r="R115" s="1125"/>
      <c r="S115" s="1125"/>
      <c r="T115" s="1125"/>
      <c r="U115" s="1125"/>
      <c r="V115" s="1125"/>
      <c r="W115" s="1125"/>
      <c r="X115" s="1125"/>
      <c r="Y115" s="1125"/>
      <c r="Z115" s="1125"/>
      <c r="AA115" s="1125"/>
      <c r="AB115" s="1125"/>
      <c r="AC115" s="1125"/>
      <c r="AD115" s="1125"/>
      <c r="AE115" s="1125"/>
      <c r="AF115" s="1125"/>
      <c r="AG115" s="1125"/>
      <c r="AH115" s="1125"/>
      <c r="AI115" s="1125"/>
      <c r="AJ115" s="1125"/>
      <c r="AK115" s="1125"/>
      <c r="AL115" s="1125"/>
      <c r="AM115" s="1125"/>
      <c r="AN115" s="1125"/>
      <c r="AO115" s="1125"/>
      <c r="AP115" s="1125"/>
      <c r="AQ115" s="1125"/>
      <c r="AR115" s="1125"/>
      <c r="AS115" s="1125"/>
      <c r="AT115" s="1125"/>
      <c r="AU115" s="1125"/>
      <c r="AV115" s="1126"/>
    </row>
    <row r="116" spans="1:48" ht="16.5" x14ac:dyDescent="0.25">
      <c r="A116" s="1253"/>
      <c r="B116" s="1266" t="s">
        <v>482</v>
      </c>
      <c r="C116" s="989"/>
      <c r="D116" s="989"/>
      <c r="E116" s="1265">
        <f t="shared" si="32"/>
        <v>-8399999999.999999</v>
      </c>
      <c r="F116" s="1312">
        <f t="shared" si="33"/>
        <v>-14399999999.999998</v>
      </c>
      <c r="G116" s="1312">
        <f t="shared" si="34"/>
        <v>-14399999999.999998</v>
      </c>
      <c r="H116" s="1243"/>
      <c r="I116" s="1125"/>
      <c r="J116" s="1125"/>
      <c r="K116" s="1125"/>
      <c r="L116" s="1125"/>
      <c r="M116" s="1125"/>
      <c r="N116" s="1125"/>
      <c r="O116" s="1125"/>
      <c r="P116" s="1125"/>
      <c r="Q116" s="1125"/>
      <c r="R116" s="1125"/>
      <c r="S116" s="1125"/>
      <c r="T116" s="1125"/>
      <c r="U116" s="1125"/>
      <c r="V116" s="1125"/>
      <c r="W116" s="1125"/>
      <c r="X116" s="1125"/>
      <c r="Y116" s="1125"/>
      <c r="Z116" s="1125"/>
      <c r="AA116" s="1125"/>
      <c r="AB116" s="1125"/>
      <c r="AC116" s="1125"/>
      <c r="AD116" s="1125"/>
      <c r="AE116" s="1125"/>
      <c r="AF116" s="1125"/>
      <c r="AG116" s="1125"/>
      <c r="AH116" s="1125"/>
      <c r="AI116" s="1125"/>
      <c r="AJ116" s="1125"/>
      <c r="AK116" s="1125"/>
      <c r="AL116" s="1125"/>
      <c r="AM116" s="1125"/>
      <c r="AN116" s="1125"/>
      <c r="AO116" s="1125"/>
      <c r="AP116" s="1125"/>
      <c r="AQ116" s="1125"/>
      <c r="AR116" s="1125"/>
      <c r="AS116" s="1125"/>
      <c r="AT116" s="1125"/>
      <c r="AU116" s="1125"/>
      <c r="AV116" s="1126"/>
    </row>
    <row r="117" spans="1:48" ht="16.5" x14ac:dyDescent="0.25">
      <c r="A117" s="1253"/>
      <c r="B117" s="1266" t="s">
        <v>483</v>
      </c>
      <c r="C117" s="989"/>
      <c r="D117" s="989"/>
      <c r="E117" s="1265">
        <f t="shared" si="32"/>
        <v>0</v>
      </c>
      <c r="F117" s="1312">
        <f t="shared" si="33"/>
        <v>0</v>
      </c>
      <c r="G117" s="1312">
        <f t="shared" si="34"/>
        <v>0</v>
      </c>
      <c r="H117" s="1243"/>
      <c r="I117" s="1125"/>
      <c r="J117" s="1125"/>
      <c r="K117" s="1125"/>
      <c r="L117" s="1125"/>
      <c r="M117" s="1125"/>
      <c r="N117" s="1125"/>
      <c r="O117" s="1125"/>
      <c r="P117" s="1125"/>
      <c r="Q117" s="1125"/>
      <c r="R117" s="1125"/>
      <c r="S117" s="1125"/>
      <c r="T117" s="1125"/>
      <c r="U117" s="1125"/>
      <c r="V117" s="1125"/>
      <c r="W117" s="1125"/>
      <c r="X117" s="1125"/>
      <c r="Y117" s="1125"/>
      <c r="Z117" s="1125"/>
      <c r="AA117" s="1125"/>
      <c r="AB117" s="1125"/>
      <c r="AC117" s="1125"/>
      <c r="AD117" s="1125"/>
      <c r="AE117" s="1125"/>
      <c r="AF117" s="1125"/>
      <c r="AG117" s="1125"/>
      <c r="AH117" s="1125"/>
      <c r="AI117" s="1125"/>
      <c r="AJ117" s="1125"/>
      <c r="AK117" s="1125"/>
      <c r="AL117" s="1125"/>
      <c r="AM117" s="1125"/>
      <c r="AN117" s="1125"/>
      <c r="AO117" s="1125"/>
      <c r="AP117" s="1125"/>
      <c r="AQ117" s="1125"/>
      <c r="AR117" s="1125"/>
      <c r="AS117" s="1125"/>
      <c r="AT117" s="1125"/>
      <c r="AU117" s="1125"/>
      <c r="AV117" s="1126"/>
    </row>
    <row r="118" spans="1:48" ht="16.5" x14ac:dyDescent="0.25">
      <c r="A118" s="1446" t="s">
        <v>484</v>
      </c>
      <c r="B118" s="1373"/>
      <c r="C118" s="1267"/>
      <c r="D118" s="1267"/>
      <c r="E118" s="1283">
        <f t="shared" ca="1" si="32"/>
        <v>27600000000</v>
      </c>
      <c r="F118" s="1313">
        <f t="shared" ca="1" si="33"/>
        <v>0</v>
      </c>
      <c r="G118" s="1313">
        <f t="shared" ca="1" si="34"/>
        <v>0</v>
      </c>
      <c r="H118" s="1243"/>
      <c r="I118" s="1125"/>
      <c r="J118" s="1125"/>
      <c r="K118" s="1125"/>
      <c r="L118" s="1125"/>
      <c r="M118" s="1125"/>
      <c r="N118" s="1125"/>
      <c r="O118" s="1125"/>
      <c r="P118" s="1125"/>
      <c r="Q118" s="1125"/>
      <c r="R118" s="1125"/>
      <c r="S118" s="1125"/>
      <c r="T118" s="1125"/>
      <c r="U118" s="1125"/>
      <c r="V118" s="1125"/>
      <c r="W118" s="1125"/>
      <c r="X118" s="1125"/>
      <c r="Y118" s="1125"/>
      <c r="Z118" s="1125"/>
      <c r="AA118" s="1125"/>
      <c r="AB118" s="1125"/>
      <c r="AC118" s="1125"/>
      <c r="AD118" s="1125"/>
      <c r="AE118" s="1125"/>
      <c r="AF118" s="1125"/>
      <c r="AG118" s="1125"/>
      <c r="AH118" s="1125"/>
      <c r="AI118" s="1125"/>
      <c r="AJ118" s="1125"/>
      <c r="AK118" s="1125"/>
      <c r="AL118" s="1125"/>
      <c r="AM118" s="1125"/>
      <c r="AN118" s="1125"/>
      <c r="AO118" s="1125"/>
      <c r="AP118" s="1125"/>
      <c r="AQ118" s="1125"/>
      <c r="AR118" s="1125"/>
      <c r="AS118" s="1125"/>
      <c r="AT118" s="1125"/>
      <c r="AU118" s="1125"/>
      <c r="AV118" s="1126"/>
    </row>
    <row r="119" spans="1:48" ht="16.5" x14ac:dyDescent="0.25">
      <c r="A119" s="1447" t="s">
        <v>485</v>
      </c>
      <c r="B119" s="1373"/>
      <c r="C119" s="1284"/>
      <c r="D119" s="1284"/>
      <c r="E119" s="1254">
        <f t="shared" ca="1" si="32"/>
        <v>-29265444619.499336</v>
      </c>
      <c r="F119" s="1314">
        <f t="shared" ca="1" si="33"/>
        <v>8639445500.0000076</v>
      </c>
      <c r="G119" s="1314">
        <f t="shared" ca="1" si="34"/>
        <v>30680618971.428577</v>
      </c>
      <c r="H119" s="1243"/>
      <c r="I119" s="1125"/>
      <c r="J119" s="1125"/>
      <c r="K119" s="1125"/>
      <c r="L119" s="1125"/>
      <c r="M119" s="1125"/>
      <c r="N119" s="1125"/>
      <c r="O119" s="1125"/>
      <c r="P119" s="1125"/>
      <c r="Q119" s="1125"/>
      <c r="R119" s="1125"/>
      <c r="S119" s="1125"/>
      <c r="T119" s="1125"/>
      <c r="U119" s="1125"/>
      <c r="V119" s="1125"/>
      <c r="W119" s="1125"/>
      <c r="X119" s="1125"/>
      <c r="Y119" s="1125"/>
      <c r="Z119" s="1125"/>
      <c r="AA119" s="1125"/>
      <c r="AB119" s="1125"/>
      <c r="AC119" s="1125"/>
      <c r="AD119" s="1125"/>
      <c r="AE119" s="1125"/>
      <c r="AF119" s="1125"/>
      <c r="AG119" s="1125"/>
      <c r="AH119" s="1125"/>
      <c r="AI119" s="1125"/>
      <c r="AJ119" s="1125"/>
      <c r="AK119" s="1125"/>
      <c r="AL119" s="1125"/>
      <c r="AM119" s="1125"/>
      <c r="AN119" s="1125"/>
      <c r="AO119" s="1125"/>
      <c r="AP119" s="1125"/>
      <c r="AQ119" s="1125"/>
      <c r="AR119" s="1125"/>
      <c r="AS119" s="1125"/>
      <c r="AT119" s="1125"/>
      <c r="AU119" s="1125"/>
      <c r="AV119" s="1126"/>
    </row>
    <row r="120" spans="1:48" ht="16.5" x14ac:dyDescent="0.25">
      <c r="A120" s="1448" t="s">
        <v>486</v>
      </c>
      <c r="B120" s="1449"/>
      <c r="C120" s="1288"/>
      <c r="D120" s="1288"/>
      <c r="E120" s="1290">
        <f t="shared" ca="1" si="32"/>
        <v>6734555380.5006561</v>
      </c>
      <c r="F120" s="1315">
        <f t="shared" ca="1" si="33"/>
        <v>15374000880.500668</v>
      </c>
      <c r="G120" s="1315">
        <f t="shared" ca="1" si="34"/>
        <v>46054619851.929245</v>
      </c>
      <c r="H120" s="1243"/>
      <c r="I120" s="1125"/>
      <c r="J120" s="1125"/>
      <c r="K120" s="1125"/>
      <c r="L120" s="1125"/>
      <c r="M120" s="1125"/>
      <c r="N120" s="1125"/>
      <c r="O120" s="1125"/>
      <c r="P120" s="1125"/>
      <c r="Q120" s="1125"/>
      <c r="R120" s="1125"/>
      <c r="S120" s="1125"/>
      <c r="T120" s="1125"/>
      <c r="U120" s="1125"/>
      <c r="V120" s="1125"/>
      <c r="W120" s="1125"/>
      <c r="X120" s="1125"/>
      <c r="Y120" s="1125"/>
      <c r="Z120" s="1125"/>
      <c r="AA120" s="1125"/>
      <c r="AB120" s="1125"/>
      <c r="AC120" s="1125"/>
      <c r="AD120" s="1125"/>
      <c r="AE120" s="1125"/>
      <c r="AF120" s="1125"/>
      <c r="AG120" s="1125"/>
      <c r="AH120" s="1125"/>
      <c r="AI120" s="1125"/>
      <c r="AJ120" s="1125"/>
      <c r="AK120" s="1125"/>
      <c r="AL120" s="1125"/>
      <c r="AM120" s="1125"/>
      <c r="AN120" s="1125"/>
      <c r="AO120" s="1125"/>
      <c r="AP120" s="1125"/>
      <c r="AQ120" s="1125"/>
      <c r="AR120" s="1125"/>
      <c r="AS120" s="1125"/>
      <c r="AT120" s="1125"/>
      <c r="AU120" s="1125"/>
      <c r="AV120" s="1126"/>
    </row>
    <row r="121" spans="1:48" ht="16.5" x14ac:dyDescent="0.25">
      <c r="A121" s="1240"/>
      <c r="B121" s="1241"/>
      <c r="C121" s="1316"/>
      <c r="D121" s="1316"/>
      <c r="E121" s="1317">
        <f>P44</f>
        <v>0</v>
      </c>
      <c r="F121" s="1241"/>
      <c r="G121" s="1241"/>
      <c r="H121" s="1125"/>
      <c r="I121" s="1125"/>
      <c r="J121" s="1125"/>
      <c r="K121" s="1125"/>
      <c r="L121" s="1125"/>
      <c r="M121" s="1125"/>
      <c r="N121" s="1125"/>
      <c r="O121" s="1125"/>
      <c r="P121" s="1125"/>
      <c r="Q121" s="1125"/>
      <c r="R121" s="1125"/>
      <c r="S121" s="1125"/>
      <c r="T121" s="1125"/>
      <c r="U121" s="1125"/>
      <c r="V121" s="1125"/>
      <c r="W121" s="1125"/>
      <c r="X121" s="1125"/>
      <c r="Y121" s="1125"/>
      <c r="Z121" s="1125"/>
      <c r="AA121" s="1125"/>
      <c r="AB121" s="1125"/>
      <c r="AC121" s="1125"/>
      <c r="AD121" s="1125"/>
      <c r="AE121" s="1125"/>
      <c r="AF121" s="1125"/>
      <c r="AG121" s="1125"/>
      <c r="AH121" s="1125"/>
      <c r="AI121" s="1125"/>
      <c r="AJ121" s="1125"/>
      <c r="AK121" s="1125"/>
      <c r="AL121" s="1125"/>
      <c r="AM121" s="1125"/>
      <c r="AN121" s="1125"/>
      <c r="AO121" s="1125"/>
      <c r="AP121" s="1125"/>
      <c r="AQ121" s="1125"/>
      <c r="AR121" s="1125"/>
      <c r="AS121" s="1125"/>
      <c r="AT121" s="1125"/>
      <c r="AU121" s="1125"/>
      <c r="AV121" s="1126"/>
    </row>
    <row r="122" spans="1:48" ht="12.75" x14ac:dyDescent="0.2">
      <c r="A122" s="1243"/>
      <c r="B122" s="1125"/>
      <c r="C122" s="1125"/>
      <c r="D122" s="1125"/>
      <c r="E122" s="1125"/>
      <c r="F122" s="1125"/>
      <c r="G122" s="1125"/>
      <c r="H122" s="1125"/>
      <c r="I122" s="1125"/>
      <c r="J122" s="1125"/>
      <c r="K122" s="1125"/>
      <c r="L122" s="1125"/>
      <c r="M122" s="1125"/>
      <c r="N122" s="1125"/>
      <c r="O122" s="1125"/>
      <c r="P122" s="1125"/>
      <c r="Q122" s="1125"/>
      <c r="R122" s="1125"/>
      <c r="S122" s="1125"/>
      <c r="T122" s="1125"/>
      <c r="U122" s="1125"/>
      <c r="V122" s="1125"/>
      <c r="W122" s="1125"/>
      <c r="X122" s="1125"/>
      <c r="Y122" s="1125"/>
      <c r="Z122" s="1125"/>
      <c r="AA122" s="1125"/>
      <c r="AB122" s="1125"/>
      <c r="AC122" s="1125"/>
      <c r="AD122" s="1125"/>
      <c r="AE122" s="1125"/>
      <c r="AF122" s="1125"/>
      <c r="AG122" s="1125"/>
      <c r="AH122" s="1125"/>
      <c r="AI122" s="1125"/>
      <c r="AJ122" s="1125"/>
      <c r="AK122" s="1125"/>
      <c r="AL122" s="1125"/>
      <c r="AM122" s="1125"/>
      <c r="AN122" s="1125"/>
      <c r="AO122" s="1125"/>
      <c r="AP122" s="1125"/>
      <c r="AQ122" s="1125"/>
      <c r="AR122" s="1125"/>
      <c r="AS122" s="1125"/>
      <c r="AT122" s="1125"/>
      <c r="AU122" s="1125"/>
      <c r="AV122" s="1126"/>
    </row>
    <row r="123" spans="1:48" ht="18" x14ac:dyDescent="0.25">
      <c r="A123" s="1307" t="s">
        <v>500</v>
      </c>
      <c r="B123" s="1125"/>
      <c r="C123" s="1125"/>
      <c r="D123" s="1125"/>
      <c r="E123" s="1125"/>
      <c r="F123" s="1125"/>
      <c r="G123" s="1125"/>
      <c r="H123" s="1125"/>
      <c r="I123" s="1125"/>
      <c r="J123" s="1125"/>
      <c r="K123" s="1125"/>
      <c r="L123" s="1125"/>
      <c r="M123" s="1125"/>
      <c r="N123" s="1125"/>
      <c r="O123" s="1125"/>
      <c r="P123" s="1125"/>
      <c r="Q123" s="1125"/>
      <c r="R123" s="1125"/>
      <c r="S123" s="1125"/>
      <c r="T123" s="1125"/>
      <c r="U123" s="1125"/>
      <c r="V123" s="1125"/>
      <c r="W123" s="1125"/>
      <c r="X123" s="1125"/>
      <c r="Y123" s="1125"/>
      <c r="Z123" s="1125"/>
      <c r="AA123" s="1125"/>
      <c r="AB123" s="1125"/>
      <c r="AC123" s="1125"/>
      <c r="AD123" s="1125"/>
      <c r="AE123" s="1125"/>
      <c r="AF123" s="1125"/>
      <c r="AG123" s="1125"/>
      <c r="AH123" s="1125"/>
      <c r="AI123" s="1125"/>
      <c r="AJ123" s="1125"/>
      <c r="AK123" s="1125"/>
      <c r="AL123" s="1125"/>
      <c r="AM123" s="1125"/>
      <c r="AN123" s="1125"/>
      <c r="AO123" s="1125"/>
      <c r="AP123" s="1125"/>
      <c r="AQ123" s="1125"/>
      <c r="AR123" s="1125"/>
      <c r="AS123" s="1125"/>
      <c r="AT123" s="1125"/>
      <c r="AU123" s="1125"/>
      <c r="AV123" s="1126"/>
    </row>
    <row r="124" spans="1:48" ht="12.75" x14ac:dyDescent="0.2">
      <c r="A124" s="1245"/>
      <c r="B124" s="1246"/>
      <c r="C124" s="1247"/>
      <c r="D124" s="1247"/>
      <c r="E124" s="1318">
        <v>45658</v>
      </c>
      <c r="F124" s="1318">
        <v>45689</v>
      </c>
      <c r="G124" s="1318">
        <v>45717</v>
      </c>
      <c r="H124" s="1318">
        <v>45748</v>
      </c>
      <c r="I124" s="1318">
        <v>45778</v>
      </c>
      <c r="J124" s="1318">
        <v>45809</v>
      </c>
      <c r="K124" s="1318">
        <v>45839</v>
      </c>
      <c r="L124" s="1318">
        <v>45870</v>
      </c>
      <c r="M124" s="1318">
        <v>45901</v>
      </c>
      <c r="N124" s="1318">
        <v>45931</v>
      </c>
      <c r="O124" s="1318">
        <v>45962</v>
      </c>
      <c r="P124" s="1318">
        <v>45992</v>
      </c>
      <c r="Q124" s="1318"/>
      <c r="R124" s="1318">
        <v>46023</v>
      </c>
      <c r="S124" s="1318">
        <v>46054</v>
      </c>
      <c r="T124" s="1318">
        <v>46082</v>
      </c>
      <c r="U124" s="1318">
        <v>46113</v>
      </c>
      <c r="V124" s="1318">
        <v>46143</v>
      </c>
      <c r="W124" s="1318">
        <v>46174</v>
      </c>
      <c r="X124" s="1318">
        <v>46204</v>
      </c>
      <c r="Y124" s="1318">
        <v>46235</v>
      </c>
      <c r="Z124" s="1318">
        <v>46266</v>
      </c>
      <c r="AA124" s="1318">
        <v>46296</v>
      </c>
      <c r="AB124" s="1318">
        <v>46327</v>
      </c>
      <c r="AC124" s="1318">
        <v>46357</v>
      </c>
      <c r="AD124" s="1318"/>
      <c r="AE124" s="1318">
        <v>46388</v>
      </c>
      <c r="AF124" s="1318">
        <v>46419</v>
      </c>
      <c r="AG124" s="1318">
        <v>46447</v>
      </c>
      <c r="AH124" s="1318">
        <v>46478</v>
      </c>
      <c r="AI124" s="1318">
        <v>46508</v>
      </c>
      <c r="AJ124" s="1318">
        <v>46539</v>
      </c>
      <c r="AK124" s="1318">
        <v>46569</v>
      </c>
      <c r="AL124" s="1318">
        <v>46600</v>
      </c>
      <c r="AM124" s="1318">
        <v>46631</v>
      </c>
      <c r="AN124" s="1318">
        <v>46661</v>
      </c>
      <c r="AO124" s="1318">
        <v>46692</v>
      </c>
      <c r="AP124" s="1308">
        <v>46722</v>
      </c>
      <c r="AQ124" s="1125"/>
      <c r="AR124" s="1125"/>
      <c r="AS124" s="1125"/>
      <c r="AT124" s="1125"/>
      <c r="AU124" s="1125"/>
      <c r="AV124" s="1126"/>
    </row>
    <row r="125" spans="1:48" ht="16.5" x14ac:dyDescent="0.25">
      <c r="A125" s="1253"/>
      <c r="B125" s="1254" t="s">
        <v>457</v>
      </c>
      <c r="C125" s="1255"/>
      <c r="D125" s="1255"/>
      <c r="E125" s="1256">
        <f t="shared" ref="E125:AP125" si="60">E6</f>
        <v>36000000000</v>
      </c>
      <c r="F125" s="1256">
        <f t="shared" ca="1" si="60"/>
        <v>35327750000</v>
      </c>
      <c r="G125" s="1256">
        <f t="shared" ca="1" si="60"/>
        <v>39355738095.238098</v>
      </c>
      <c r="H125" s="1256">
        <f t="shared" ca="1" si="60"/>
        <v>38365013913.419914</v>
      </c>
      <c r="I125" s="1256">
        <f t="shared" ca="1" si="60"/>
        <v>37300448087.332954</v>
      </c>
      <c r="J125" s="1256">
        <f t="shared" ca="1" si="60"/>
        <v>15597228609.07209</v>
      </c>
      <c r="K125" s="1256">
        <f t="shared" ca="1" si="60"/>
        <v>11613785180.500656</v>
      </c>
      <c r="L125" s="1256">
        <f t="shared" ca="1" si="60"/>
        <v>9032839180.5006561</v>
      </c>
      <c r="M125" s="1256">
        <f t="shared" ca="1" si="60"/>
        <v>8516244580.5006561</v>
      </c>
      <c r="N125" s="1256">
        <f t="shared" ca="1" si="60"/>
        <v>8135892980.5006561</v>
      </c>
      <c r="O125" s="1256">
        <f t="shared" ca="1" si="60"/>
        <v>7789885780.5006561</v>
      </c>
      <c r="P125" s="1256">
        <f t="shared" ca="1" si="60"/>
        <v>7155799580.5006561</v>
      </c>
      <c r="Q125" s="1256">
        <f t="shared" ca="1" si="60"/>
        <v>6734555380.5006561</v>
      </c>
      <c r="R125" s="1256">
        <f t="shared" ca="1" si="60"/>
        <v>6734555380.5006561</v>
      </c>
      <c r="S125" s="1256">
        <f t="shared" ca="1" si="60"/>
        <v>6118100780.5006561</v>
      </c>
      <c r="T125" s="1256">
        <f t="shared" ca="1" si="60"/>
        <v>5785829180.5006561</v>
      </c>
      <c r="U125" s="1256">
        <f t="shared" ca="1" si="60"/>
        <v>5396734580.5006561</v>
      </c>
      <c r="V125" s="1256">
        <f t="shared" ca="1" si="60"/>
        <v>5428326380.5006552</v>
      </c>
      <c r="W125" s="1256">
        <f t="shared" ca="1" si="60"/>
        <v>19919244380.500652</v>
      </c>
      <c r="X125" s="1256">
        <f t="shared" ca="1" si="60"/>
        <v>19247500180.50066</v>
      </c>
      <c r="Y125" s="1256">
        <f t="shared" ca="1" si="60"/>
        <v>18549161180.500664</v>
      </c>
      <c r="Z125" s="1256">
        <f t="shared" ca="1" si="60"/>
        <v>18291623180.500664</v>
      </c>
      <c r="AA125" s="1256">
        <f t="shared" ca="1" si="60"/>
        <v>18178232180.500664</v>
      </c>
      <c r="AB125" s="1256">
        <f t="shared" ca="1" si="60"/>
        <v>17646491080.500664</v>
      </c>
      <c r="AC125" s="1256">
        <f t="shared" ca="1" si="60"/>
        <v>15755802680.500666</v>
      </c>
      <c r="AD125" s="1256">
        <f t="shared" ca="1" si="60"/>
        <v>15374000880.500668</v>
      </c>
      <c r="AE125" s="1256">
        <f t="shared" ca="1" si="60"/>
        <v>15374000880.500668</v>
      </c>
      <c r="AF125" s="1256">
        <f t="shared" ca="1" si="60"/>
        <v>15217553051.929239</v>
      </c>
      <c r="AG125" s="1256">
        <f t="shared" ca="1" si="60"/>
        <v>16435470951.929241</v>
      </c>
      <c r="AH125" s="1256">
        <f t="shared" ca="1" si="60"/>
        <v>17447225851.929245</v>
      </c>
      <c r="AI125" s="1256">
        <f t="shared" ca="1" si="60"/>
        <v>18952814051.929245</v>
      </c>
      <c r="AJ125" s="1256">
        <f t="shared" ca="1" si="60"/>
        <v>34566424051.929237</v>
      </c>
      <c r="AK125" s="1256">
        <f t="shared" ca="1" si="60"/>
        <v>35642307251.929237</v>
      </c>
      <c r="AL125" s="1256">
        <f t="shared" ca="1" si="60"/>
        <v>36911526751.929237</v>
      </c>
      <c r="AM125" s="1256">
        <f t="shared" ca="1" si="60"/>
        <v>38621214751.929245</v>
      </c>
      <c r="AN125" s="1256">
        <f t="shared" ca="1" si="60"/>
        <v>40562934951.929245</v>
      </c>
      <c r="AO125" s="1256">
        <f t="shared" ca="1" si="60"/>
        <v>42319298251.929245</v>
      </c>
      <c r="AP125" s="1256">
        <f t="shared" ca="1" si="60"/>
        <v>43416231251.929245</v>
      </c>
      <c r="AQ125" s="1243"/>
      <c r="AR125" s="1125"/>
      <c r="AS125" s="1125"/>
      <c r="AT125" s="1125"/>
      <c r="AU125" s="1125"/>
      <c r="AV125" s="1126"/>
    </row>
    <row r="126" spans="1:48" ht="16.5" x14ac:dyDescent="0.25">
      <c r="A126" s="1444" t="s">
        <v>458</v>
      </c>
      <c r="B126" s="1373"/>
      <c r="C126" s="1260"/>
      <c r="D126" s="1260"/>
      <c r="E126" s="1261">
        <f t="shared" ref="E126:AP126" si="61">E7</f>
        <v>0</v>
      </c>
      <c r="F126" s="1261">
        <f t="shared" si="61"/>
        <v>0</v>
      </c>
      <c r="G126" s="1261">
        <f t="shared" si="61"/>
        <v>0</v>
      </c>
      <c r="H126" s="1261">
        <f t="shared" si="61"/>
        <v>0</v>
      </c>
      <c r="I126" s="1261">
        <f t="shared" si="61"/>
        <v>0</v>
      </c>
      <c r="J126" s="1261">
        <f t="shared" si="61"/>
        <v>0</v>
      </c>
      <c r="K126" s="1261">
        <f t="shared" si="61"/>
        <v>0</v>
      </c>
      <c r="L126" s="1261">
        <f t="shared" si="61"/>
        <v>0</v>
      </c>
      <c r="M126" s="1261">
        <f t="shared" si="61"/>
        <v>0</v>
      </c>
      <c r="N126" s="1261">
        <f t="shared" si="61"/>
        <v>0</v>
      </c>
      <c r="O126" s="1261">
        <f t="shared" si="61"/>
        <v>0</v>
      </c>
      <c r="P126" s="1261">
        <f t="shared" si="61"/>
        <v>0</v>
      </c>
      <c r="Q126" s="1261">
        <f t="shared" si="61"/>
        <v>0</v>
      </c>
      <c r="R126" s="1262">
        <f t="shared" si="61"/>
        <v>0</v>
      </c>
      <c r="S126" s="1261">
        <f t="shared" si="61"/>
        <v>0</v>
      </c>
      <c r="T126" s="1261">
        <f t="shared" si="61"/>
        <v>0</v>
      </c>
      <c r="U126" s="1261">
        <f t="shared" si="61"/>
        <v>0</v>
      </c>
      <c r="V126" s="1261">
        <f t="shared" si="61"/>
        <v>0</v>
      </c>
      <c r="W126" s="1261">
        <f t="shared" si="61"/>
        <v>0</v>
      </c>
      <c r="X126" s="1261">
        <f t="shared" si="61"/>
        <v>0</v>
      </c>
      <c r="Y126" s="1261">
        <f t="shared" si="61"/>
        <v>0</v>
      </c>
      <c r="Z126" s="1261">
        <f t="shared" si="61"/>
        <v>0</v>
      </c>
      <c r="AA126" s="1261">
        <f t="shared" si="61"/>
        <v>0</v>
      </c>
      <c r="AB126" s="1261">
        <f t="shared" si="61"/>
        <v>0</v>
      </c>
      <c r="AC126" s="1261">
        <f t="shared" si="61"/>
        <v>0</v>
      </c>
      <c r="AD126" s="1261">
        <f t="shared" si="61"/>
        <v>0</v>
      </c>
      <c r="AE126" s="1262">
        <f t="shared" si="61"/>
        <v>0</v>
      </c>
      <c r="AF126" s="1261">
        <f t="shared" si="61"/>
        <v>0</v>
      </c>
      <c r="AG126" s="1261">
        <f t="shared" si="61"/>
        <v>0</v>
      </c>
      <c r="AH126" s="1261">
        <f t="shared" si="61"/>
        <v>0</v>
      </c>
      <c r="AI126" s="1261">
        <f t="shared" si="61"/>
        <v>0</v>
      </c>
      <c r="AJ126" s="1261">
        <f t="shared" si="61"/>
        <v>0</v>
      </c>
      <c r="AK126" s="1261">
        <f t="shared" si="61"/>
        <v>0</v>
      </c>
      <c r="AL126" s="1261">
        <f t="shared" si="61"/>
        <v>0</v>
      </c>
      <c r="AM126" s="1261">
        <f t="shared" si="61"/>
        <v>0</v>
      </c>
      <c r="AN126" s="1261">
        <f t="shared" si="61"/>
        <v>0</v>
      </c>
      <c r="AO126" s="1261">
        <f t="shared" si="61"/>
        <v>0</v>
      </c>
      <c r="AP126" s="1263">
        <f t="shared" si="61"/>
        <v>0</v>
      </c>
      <c r="AQ126" s="1243"/>
      <c r="AR126" s="1125"/>
      <c r="AS126" s="1125"/>
      <c r="AT126" s="1125"/>
      <c r="AU126" s="1125"/>
      <c r="AV126" s="1126"/>
    </row>
    <row r="127" spans="1:48" ht="16.5" x14ac:dyDescent="0.25">
      <c r="A127" s="1445" t="s">
        <v>459</v>
      </c>
      <c r="B127" s="1373"/>
      <c r="C127" s="989"/>
      <c r="D127" s="470">
        <f>IF(
    ISBLANK(D124),
    0,
    C127 + 'INCOME STATEMENT'!D125 * Parameter!$B$8 + IF(
        ISBLANK('INCOME STATEMENT'!C121),
        IF(
            ISBLANK('INCOME STATEMENT'!B121),
            0,
            'INCOME STATEMENT'!B125 * Parameter!$B$9 + 'INCOME STATEMENT'!A125 * Parameter!$B$10
        ),
        IF(
            ISBLANK('INCOME STATEMENT'!B121),
            'INCOME STATEMENT'!C125 * Parameter!$B$9 + 'INCOME STATEMENT'!A125 * Parameter!$B$10,
            'INCOME STATEMENT'!C125 * Parameter!$B$9 + 'INCOME STATEMENT'!B125 * Parameter!$B$10
        )
    )
)</f>
        <v>0</v>
      </c>
      <c r="E127" s="470">
        <f t="shared" ref="E127:AP127" si="62">E8</f>
        <v>0</v>
      </c>
      <c r="F127" s="470">
        <f t="shared" si="62"/>
        <v>0</v>
      </c>
      <c r="G127" s="470">
        <f t="shared" si="62"/>
        <v>0</v>
      </c>
      <c r="H127" s="470">
        <f t="shared" si="62"/>
        <v>0</v>
      </c>
      <c r="I127" s="989">
        <f t="shared" si="62"/>
        <v>0</v>
      </c>
      <c r="J127" s="989">
        <f t="shared" si="62"/>
        <v>0</v>
      </c>
      <c r="K127" s="989">
        <f t="shared" si="62"/>
        <v>0</v>
      </c>
      <c r="L127" s="989">
        <f t="shared" si="62"/>
        <v>0</v>
      </c>
      <c r="M127" s="989">
        <f t="shared" si="62"/>
        <v>0</v>
      </c>
      <c r="N127" s="989">
        <f t="shared" si="62"/>
        <v>0</v>
      </c>
      <c r="O127" s="989">
        <f t="shared" si="62"/>
        <v>0</v>
      </c>
      <c r="P127" s="989">
        <f t="shared" si="62"/>
        <v>0</v>
      </c>
      <c r="Q127" s="989">
        <f t="shared" si="62"/>
        <v>0</v>
      </c>
      <c r="R127" s="1253">
        <f t="shared" si="62"/>
        <v>0</v>
      </c>
      <c r="S127" s="989">
        <f t="shared" si="62"/>
        <v>0</v>
      </c>
      <c r="T127" s="989">
        <f t="shared" si="62"/>
        <v>0</v>
      </c>
      <c r="U127" s="989">
        <f t="shared" si="62"/>
        <v>0</v>
      </c>
      <c r="V127" s="989">
        <f t="shared" si="62"/>
        <v>0</v>
      </c>
      <c r="W127" s="989">
        <f t="shared" si="62"/>
        <v>0</v>
      </c>
      <c r="X127" s="989">
        <f t="shared" si="62"/>
        <v>0</v>
      </c>
      <c r="Y127" s="989">
        <f t="shared" si="62"/>
        <v>0</v>
      </c>
      <c r="Z127" s="989">
        <f t="shared" si="62"/>
        <v>0</v>
      </c>
      <c r="AA127" s="989">
        <f t="shared" si="62"/>
        <v>0</v>
      </c>
      <c r="AB127" s="989">
        <f t="shared" si="62"/>
        <v>0</v>
      </c>
      <c r="AC127" s="989">
        <f t="shared" si="62"/>
        <v>0</v>
      </c>
      <c r="AD127" s="989">
        <f t="shared" si="62"/>
        <v>0</v>
      </c>
      <c r="AE127" s="1253">
        <f t="shared" si="62"/>
        <v>0</v>
      </c>
      <c r="AF127" s="989">
        <f t="shared" si="62"/>
        <v>0</v>
      </c>
      <c r="AG127" s="989">
        <f t="shared" si="62"/>
        <v>0</v>
      </c>
      <c r="AH127" s="989">
        <f t="shared" si="62"/>
        <v>0</v>
      </c>
      <c r="AI127" s="989">
        <f t="shared" si="62"/>
        <v>0</v>
      </c>
      <c r="AJ127" s="989">
        <f t="shared" si="62"/>
        <v>0</v>
      </c>
      <c r="AK127" s="989">
        <f t="shared" si="62"/>
        <v>0</v>
      </c>
      <c r="AL127" s="989">
        <f t="shared" si="62"/>
        <v>0</v>
      </c>
      <c r="AM127" s="989">
        <f t="shared" si="62"/>
        <v>0</v>
      </c>
      <c r="AN127" s="989">
        <f t="shared" si="62"/>
        <v>0</v>
      </c>
      <c r="AO127" s="989">
        <f t="shared" si="62"/>
        <v>0</v>
      </c>
      <c r="AP127" s="1265">
        <f t="shared" si="62"/>
        <v>0</v>
      </c>
      <c r="AQ127" s="1243"/>
      <c r="AR127" s="1125"/>
      <c r="AS127" s="1125"/>
      <c r="AT127" s="1125"/>
      <c r="AU127" s="1125"/>
      <c r="AV127" s="1126"/>
    </row>
    <row r="128" spans="1:48" ht="16.5" x14ac:dyDescent="0.25">
      <c r="A128" s="1264"/>
      <c r="B128" s="1266" t="s">
        <v>20</v>
      </c>
      <c r="C128" s="989"/>
      <c r="D128" s="470"/>
      <c r="E128" s="470">
        <f t="shared" ref="E128:AP128" si="63">E9</f>
        <v>0</v>
      </c>
      <c r="F128" s="470">
        <f t="shared" si="63"/>
        <v>0</v>
      </c>
      <c r="G128" s="470">
        <f t="shared" si="63"/>
        <v>0</v>
      </c>
      <c r="H128" s="470">
        <f t="shared" si="63"/>
        <v>0</v>
      </c>
      <c r="I128" s="989">
        <f t="shared" si="63"/>
        <v>0</v>
      </c>
      <c r="J128" s="989">
        <f t="shared" si="63"/>
        <v>0</v>
      </c>
      <c r="K128" s="989">
        <f t="shared" si="63"/>
        <v>2199960000</v>
      </c>
      <c r="L128" s="989">
        <f t="shared" si="63"/>
        <v>5866560000</v>
      </c>
      <c r="M128" s="989">
        <f t="shared" si="63"/>
        <v>9643158000</v>
      </c>
      <c r="N128" s="989">
        <f t="shared" si="63"/>
        <v>13493088000</v>
      </c>
      <c r="O128" s="989">
        <f t="shared" si="63"/>
        <v>17453016000</v>
      </c>
      <c r="P128" s="989">
        <f t="shared" si="63"/>
        <v>21486276000</v>
      </c>
      <c r="Q128" s="989">
        <f t="shared" si="63"/>
        <v>0</v>
      </c>
      <c r="R128" s="1253">
        <f t="shared" si="63"/>
        <v>4033260000</v>
      </c>
      <c r="S128" s="989">
        <f t="shared" si="63"/>
        <v>7736526000</v>
      </c>
      <c r="T128" s="989">
        <f t="shared" si="63"/>
        <v>11219796000</v>
      </c>
      <c r="U128" s="989">
        <f t="shared" si="63"/>
        <v>14703066000</v>
      </c>
      <c r="V128" s="989">
        <f t="shared" si="63"/>
        <v>18626328000</v>
      </c>
      <c r="W128" s="989">
        <f t="shared" si="63"/>
        <v>22842918000</v>
      </c>
      <c r="X128" s="989">
        <f t="shared" si="63"/>
        <v>27059508000</v>
      </c>
      <c r="Y128" s="989">
        <f t="shared" si="63"/>
        <v>31386096000</v>
      </c>
      <c r="Z128" s="989">
        <f t="shared" si="63"/>
        <v>35786016000</v>
      </c>
      <c r="AA128" s="989">
        <f t="shared" si="63"/>
        <v>40185936000</v>
      </c>
      <c r="AB128" s="989">
        <f t="shared" si="63"/>
        <v>44695854000</v>
      </c>
      <c r="AC128" s="989">
        <f t="shared" si="63"/>
        <v>50736294000</v>
      </c>
      <c r="AD128" s="989">
        <f t="shared" si="63"/>
        <v>0</v>
      </c>
      <c r="AE128" s="1253">
        <f t="shared" si="63"/>
        <v>7011900000</v>
      </c>
      <c r="AF128" s="989">
        <f t="shared" si="63"/>
        <v>13256649000</v>
      </c>
      <c r="AG128" s="989">
        <f t="shared" si="63"/>
        <v>18989964000</v>
      </c>
      <c r="AH128" s="989">
        <f t="shared" si="63"/>
        <v>24723279000</v>
      </c>
      <c r="AI128" s="989">
        <f t="shared" si="63"/>
        <v>31405185000</v>
      </c>
      <c r="AJ128" s="989">
        <f t="shared" si="63"/>
        <v>38719485000</v>
      </c>
      <c r="AK128" s="989">
        <f t="shared" si="63"/>
        <v>46033785000</v>
      </c>
      <c r="AL128" s="989">
        <f t="shared" si="63"/>
        <v>53603802000</v>
      </c>
      <c r="AM128" s="989">
        <f t="shared" si="63"/>
        <v>61344297000</v>
      </c>
      <c r="AN128" s="989">
        <f t="shared" si="63"/>
        <v>69230511000</v>
      </c>
      <c r="AO128" s="989">
        <f t="shared" si="63"/>
        <v>77323869000</v>
      </c>
      <c r="AP128" s="1265">
        <f t="shared" si="63"/>
        <v>85490559000</v>
      </c>
      <c r="AQ128" s="1243"/>
      <c r="AR128" s="1125"/>
      <c r="AS128" s="1125"/>
      <c r="AT128" s="1125"/>
      <c r="AU128" s="1125"/>
      <c r="AV128" s="1126"/>
    </row>
    <row r="129" spans="1:48" ht="16.5" x14ac:dyDescent="0.25">
      <c r="A129" s="1264"/>
      <c r="B129" s="1266" t="s">
        <v>460</v>
      </c>
      <c r="C129" s="989"/>
      <c r="D129" s="470"/>
      <c r="E129" s="470">
        <f t="shared" ref="E129:AP129" si="64">E10</f>
        <v>0</v>
      </c>
      <c r="F129" s="470">
        <f t="shared" si="64"/>
        <v>0</v>
      </c>
      <c r="G129" s="470">
        <f t="shared" si="64"/>
        <v>0</v>
      </c>
      <c r="H129" s="470">
        <f t="shared" si="64"/>
        <v>0</v>
      </c>
      <c r="I129" s="989">
        <f t="shared" si="64"/>
        <v>275370000.00000006</v>
      </c>
      <c r="J129" s="989">
        <f t="shared" si="64"/>
        <v>1481370000.0000002</v>
      </c>
      <c r="K129" s="989">
        <f t="shared" si="64"/>
        <v>2706465000.0000005</v>
      </c>
      <c r="L129" s="989">
        <f t="shared" si="64"/>
        <v>4063215000.000001</v>
      </c>
      <c r="M129" s="989">
        <f t="shared" si="64"/>
        <v>5428005000.000001</v>
      </c>
      <c r="N129" s="989">
        <f t="shared" si="64"/>
        <v>6850080000.000001</v>
      </c>
      <c r="O129" s="989">
        <f t="shared" si="64"/>
        <v>8272155000.000001</v>
      </c>
      <c r="P129" s="989">
        <f t="shared" si="64"/>
        <v>9668100000.0000019</v>
      </c>
      <c r="Q129" s="989">
        <f t="shared" si="64"/>
        <v>0</v>
      </c>
      <c r="R129" s="1253">
        <f t="shared" si="64"/>
        <v>1210020000.0000002</v>
      </c>
      <c r="S129" s="989">
        <f t="shared" si="64"/>
        <v>2420040000.0000005</v>
      </c>
      <c r="T129" s="989">
        <f t="shared" si="64"/>
        <v>3663225000.000001</v>
      </c>
      <c r="U129" s="989">
        <f t="shared" si="64"/>
        <v>5146605000.000001</v>
      </c>
      <c r="V129" s="989">
        <f t="shared" si="64"/>
        <v>6629985000.000001</v>
      </c>
      <c r="W129" s="989">
        <f t="shared" si="64"/>
        <v>8120400000.000001</v>
      </c>
      <c r="X129" s="989">
        <f t="shared" si="64"/>
        <v>9660060000.0000019</v>
      </c>
      <c r="Y129" s="989">
        <f t="shared" si="64"/>
        <v>11199720000.000002</v>
      </c>
      <c r="Z129" s="989">
        <f t="shared" si="64"/>
        <v>12746415000.000002</v>
      </c>
      <c r="AA129" s="989">
        <f t="shared" si="64"/>
        <v>14469045000.000002</v>
      </c>
      <c r="AB129" s="989">
        <f t="shared" si="64"/>
        <v>17277855000.000004</v>
      </c>
      <c r="AC129" s="989">
        <f t="shared" si="64"/>
        <v>19826805000.000004</v>
      </c>
      <c r="AD129" s="989">
        <f t="shared" si="64"/>
        <v>0</v>
      </c>
      <c r="AE129" s="989">
        <f t="shared" si="64"/>
        <v>2240355000.0000005</v>
      </c>
      <c r="AF129" s="989">
        <f t="shared" si="64"/>
        <v>4448310000.000001</v>
      </c>
      <c r="AG129" s="989">
        <f t="shared" si="64"/>
        <v>6739155000.0000019</v>
      </c>
      <c r="AH129" s="989">
        <f t="shared" si="64"/>
        <v>9638490000.0000019</v>
      </c>
      <c r="AI129" s="989">
        <f t="shared" si="64"/>
        <v>12537825000.000002</v>
      </c>
      <c r="AJ129" s="989">
        <f t="shared" si="64"/>
        <v>15452910000.000002</v>
      </c>
      <c r="AK129" s="989">
        <f t="shared" si="64"/>
        <v>18497460000.000004</v>
      </c>
      <c r="AL129" s="989">
        <f t="shared" si="64"/>
        <v>21554970000.000004</v>
      </c>
      <c r="AM129" s="989">
        <f t="shared" si="64"/>
        <v>24706770000.000004</v>
      </c>
      <c r="AN129" s="989">
        <f t="shared" si="64"/>
        <v>27940875000.000004</v>
      </c>
      <c r="AO129" s="989">
        <f t="shared" si="64"/>
        <v>31186485000.000004</v>
      </c>
      <c r="AP129" s="1265">
        <f t="shared" si="64"/>
        <v>34049655000.000004</v>
      </c>
      <c r="AQ129" s="1243"/>
      <c r="AR129" s="1125"/>
      <c r="AS129" s="1125"/>
      <c r="AT129" s="1125"/>
      <c r="AU129" s="1125"/>
      <c r="AV129" s="1126"/>
    </row>
    <row r="130" spans="1:48" ht="16.5" x14ac:dyDescent="0.25">
      <c r="A130" s="1264"/>
      <c r="B130" s="1266" t="s">
        <v>461</v>
      </c>
      <c r="C130" s="989"/>
      <c r="D130" s="470"/>
      <c r="E130" s="470">
        <f t="shared" ref="E130:AP130" si="65">E11</f>
        <v>0</v>
      </c>
      <c r="F130" s="470">
        <f t="shared" si="65"/>
        <v>0</v>
      </c>
      <c r="G130" s="470">
        <f t="shared" si="65"/>
        <v>0</v>
      </c>
      <c r="H130" s="470">
        <f t="shared" si="65"/>
        <v>0</v>
      </c>
      <c r="I130" s="989">
        <f t="shared" si="65"/>
        <v>0</v>
      </c>
      <c r="J130" s="989">
        <f t="shared" si="65"/>
        <v>0</v>
      </c>
      <c r="K130" s="989">
        <f t="shared" si="65"/>
        <v>0</v>
      </c>
      <c r="L130" s="989">
        <f t="shared" si="65"/>
        <v>0</v>
      </c>
      <c r="M130" s="989">
        <f t="shared" si="65"/>
        <v>0</v>
      </c>
      <c r="N130" s="989">
        <f t="shared" si="65"/>
        <v>0</v>
      </c>
      <c r="O130" s="989">
        <f t="shared" si="65"/>
        <v>0</v>
      </c>
      <c r="P130" s="989">
        <f t="shared" si="65"/>
        <v>87100000</v>
      </c>
      <c r="Q130" s="989">
        <f t="shared" si="65"/>
        <v>0</v>
      </c>
      <c r="R130" s="1253">
        <f t="shared" si="65"/>
        <v>0</v>
      </c>
      <c r="S130" s="989">
        <f t="shared" si="65"/>
        <v>0</v>
      </c>
      <c r="T130" s="989">
        <f t="shared" si="65"/>
        <v>0</v>
      </c>
      <c r="U130" s="989">
        <f t="shared" si="65"/>
        <v>0</v>
      </c>
      <c r="V130" s="989">
        <f t="shared" si="65"/>
        <v>0</v>
      </c>
      <c r="W130" s="989">
        <f t="shared" si="65"/>
        <v>0</v>
      </c>
      <c r="X130" s="989">
        <f t="shared" si="65"/>
        <v>0</v>
      </c>
      <c r="Y130" s="989">
        <f t="shared" si="65"/>
        <v>0</v>
      </c>
      <c r="Z130" s="989">
        <f t="shared" si="65"/>
        <v>0</v>
      </c>
      <c r="AA130" s="989">
        <f t="shared" si="65"/>
        <v>0</v>
      </c>
      <c r="AB130" s="989">
        <f t="shared" si="65"/>
        <v>0</v>
      </c>
      <c r="AC130" s="989">
        <f t="shared" si="65"/>
        <v>126950000</v>
      </c>
      <c r="AD130" s="989">
        <f t="shared" si="65"/>
        <v>0</v>
      </c>
      <c r="AE130" s="1253">
        <f t="shared" si="65"/>
        <v>0</v>
      </c>
      <c r="AF130" s="989">
        <f t="shared" si="65"/>
        <v>0</v>
      </c>
      <c r="AG130" s="989">
        <f t="shared" si="65"/>
        <v>0</v>
      </c>
      <c r="AH130" s="989">
        <f t="shared" si="65"/>
        <v>0</v>
      </c>
      <c r="AI130" s="989">
        <f t="shared" si="65"/>
        <v>0</v>
      </c>
      <c r="AJ130" s="989">
        <f t="shared" si="65"/>
        <v>0</v>
      </c>
      <c r="AK130" s="989">
        <f t="shared" si="65"/>
        <v>0</v>
      </c>
      <c r="AL130" s="989">
        <f t="shared" si="65"/>
        <v>0</v>
      </c>
      <c r="AM130" s="989">
        <f t="shared" si="65"/>
        <v>0</v>
      </c>
      <c r="AN130" s="989">
        <f t="shared" si="65"/>
        <v>0</v>
      </c>
      <c r="AO130" s="989">
        <f t="shared" si="65"/>
        <v>0</v>
      </c>
      <c r="AP130" s="1265">
        <f t="shared" si="65"/>
        <v>1320600000</v>
      </c>
      <c r="AQ130" s="1243"/>
      <c r="AR130" s="1125"/>
      <c r="AS130" s="1125"/>
      <c r="AT130" s="1125"/>
      <c r="AU130" s="1125"/>
      <c r="AV130" s="1126"/>
    </row>
    <row r="131" spans="1:48" ht="16.5" x14ac:dyDescent="0.25">
      <c r="A131" s="1264"/>
      <c r="B131" s="1266" t="s">
        <v>462</v>
      </c>
      <c r="C131" s="989"/>
      <c r="D131" s="470"/>
      <c r="E131" s="470">
        <f t="shared" ref="E131:AP131" si="66">E12</f>
        <v>0</v>
      </c>
      <c r="F131" s="470">
        <f t="shared" si="66"/>
        <v>0</v>
      </c>
      <c r="G131" s="470">
        <f t="shared" si="66"/>
        <v>0</v>
      </c>
      <c r="H131" s="470">
        <f t="shared" si="66"/>
        <v>0</v>
      </c>
      <c r="I131" s="989">
        <f t="shared" si="66"/>
        <v>0</v>
      </c>
      <c r="J131" s="989">
        <f t="shared" si="66"/>
        <v>3666600000</v>
      </c>
      <c r="K131" s="989">
        <f t="shared" si="66"/>
        <v>7333200000</v>
      </c>
      <c r="L131" s="989">
        <f t="shared" si="66"/>
        <v>11794230000</v>
      </c>
      <c r="M131" s="989">
        <f t="shared" si="66"/>
        <v>16255260000</v>
      </c>
      <c r="N131" s="989">
        <f t="shared" si="66"/>
        <v>20933570000</v>
      </c>
      <c r="O131" s="989">
        <f t="shared" si="66"/>
        <v>25611880000</v>
      </c>
      <c r="P131" s="989">
        <f t="shared" si="66"/>
        <v>30290190000</v>
      </c>
      <c r="Q131" s="989">
        <f t="shared" si="66"/>
        <v>0</v>
      </c>
      <c r="R131" s="1253">
        <f t="shared" si="66"/>
        <v>3917830000</v>
      </c>
      <c r="S131" s="989">
        <f t="shared" si="66"/>
        <v>7835660000</v>
      </c>
      <c r="T131" s="989">
        <f t="shared" si="66"/>
        <v>11753490000</v>
      </c>
      <c r="U131" s="989">
        <f t="shared" si="66"/>
        <v>16621920000</v>
      </c>
      <c r="V131" s="989">
        <f t="shared" si="66"/>
        <v>21490350000</v>
      </c>
      <c r="W131" s="989">
        <f t="shared" si="66"/>
        <v>26358780000</v>
      </c>
      <c r="X131" s="989">
        <f t="shared" si="66"/>
        <v>31383380000</v>
      </c>
      <c r="Y131" s="989">
        <f t="shared" si="66"/>
        <v>36407980000</v>
      </c>
      <c r="Z131" s="989">
        <f t="shared" si="66"/>
        <v>41432580000</v>
      </c>
      <c r="AA131" s="989">
        <f t="shared" si="66"/>
        <v>46674460000</v>
      </c>
      <c r="AB131" s="989">
        <f t="shared" si="66"/>
        <v>54378940000</v>
      </c>
      <c r="AC131" s="989">
        <f t="shared" si="66"/>
        <v>62117370000</v>
      </c>
      <c r="AD131" s="989">
        <f t="shared" si="66"/>
        <v>0</v>
      </c>
      <c r="AE131" s="1253">
        <f t="shared" si="66"/>
        <v>7114905000</v>
      </c>
      <c r="AF131" s="989">
        <f t="shared" si="66"/>
        <v>14049910000</v>
      </c>
      <c r="AG131" s="989">
        <f t="shared" si="66"/>
        <v>20984915000</v>
      </c>
      <c r="AH131" s="989">
        <f t="shared" si="66"/>
        <v>30015195000</v>
      </c>
      <c r="AI131" s="989">
        <f t="shared" si="66"/>
        <v>39045475000</v>
      </c>
      <c r="AJ131" s="989">
        <f t="shared" si="66"/>
        <v>48075755000</v>
      </c>
      <c r="AK131" s="989">
        <f t="shared" si="66"/>
        <v>57453130000</v>
      </c>
      <c r="AL131" s="989">
        <f t="shared" si="66"/>
        <v>66830505000</v>
      </c>
      <c r="AM131" s="989">
        <f t="shared" si="66"/>
        <v>76450745000</v>
      </c>
      <c r="AN131" s="989">
        <f t="shared" si="66"/>
        <v>86430505000</v>
      </c>
      <c r="AO131" s="989">
        <f t="shared" si="66"/>
        <v>96498185000</v>
      </c>
      <c r="AP131" s="1265">
        <f t="shared" si="66"/>
        <v>106653785000</v>
      </c>
      <c r="AQ131" s="1243"/>
      <c r="AR131" s="1125"/>
      <c r="AS131" s="1125"/>
      <c r="AT131" s="1125"/>
      <c r="AU131" s="1125"/>
      <c r="AV131" s="1126"/>
    </row>
    <row r="132" spans="1:48" ht="16.5" x14ac:dyDescent="0.25">
      <c r="A132" s="1445" t="s">
        <v>463</v>
      </c>
      <c r="B132" s="1373"/>
      <c r="C132" s="989"/>
      <c r="D132" s="989"/>
      <c r="E132" s="989">
        <f t="shared" ref="E132:AP132" si="67">E13</f>
        <v>0</v>
      </c>
      <c r="F132" s="989">
        <f t="shared" si="67"/>
        <v>0</v>
      </c>
      <c r="G132" s="989">
        <f t="shared" si="67"/>
        <v>0</v>
      </c>
      <c r="H132" s="989">
        <f t="shared" si="67"/>
        <v>0</v>
      </c>
      <c r="I132" s="989">
        <f t="shared" si="67"/>
        <v>0</v>
      </c>
      <c r="J132" s="989">
        <f t="shared" si="67"/>
        <v>0</v>
      </c>
      <c r="K132" s="989">
        <f t="shared" si="67"/>
        <v>0</v>
      </c>
      <c r="L132" s="989">
        <f t="shared" si="67"/>
        <v>0</v>
      </c>
      <c r="M132" s="989">
        <f t="shared" si="67"/>
        <v>0</v>
      </c>
      <c r="N132" s="989">
        <f t="shared" si="67"/>
        <v>0</v>
      </c>
      <c r="O132" s="989">
        <f t="shared" si="67"/>
        <v>0</v>
      </c>
      <c r="P132" s="989">
        <f t="shared" si="67"/>
        <v>0</v>
      </c>
      <c r="Q132" s="989">
        <f t="shared" si="67"/>
        <v>0</v>
      </c>
      <c r="R132" s="1253">
        <f t="shared" si="67"/>
        <v>0</v>
      </c>
      <c r="S132" s="989">
        <f t="shared" si="67"/>
        <v>0</v>
      </c>
      <c r="T132" s="989">
        <f t="shared" si="67"/>
        <v>0</v>
      </c>
      <c r="U132" s="989">
        <f t="shared" si="67"/>
        <v>0</v>
      </c>
      <c r="V132" s="989">
        <f t="shared" si="67"/>
        <v>0</v>
      </c>
      <c r="W132" s="989">
        <f t="shared" si="67"/>
        <v>0</v>
      </c>
      <c r="X132" s="989">
        <f t="shared" si="67"/>
        <v>0</v>
      </c>
      <c r="Y132" s="989">
        <f t="shared" si="67"/>
        <v>0</v>
      </c>
      <c r="Z132" s="989">
        <f t="shared" si="67"/>
        <v>0</v>
      </c>
      <c r="AA132" s="989">
        <f t="shared" si="67"/>
        <v>0</v>
      </c>
      <c r="AB132" s="989">
        <f t="shared" si="67"/>
        <v>0</v>
      </c>
      <c r="AC132" s="989">
        <f t="shared" si="67"/>
        <v>0</v>
      </c>
      <c r="AD132" s="989">
        <f t="shared" si="67"/>
        <v>0</v>
      </c>
      <c r="AE132" s="1253">
        <f t="shared" si="67"/>
        <v>0</v>
      </c>
      <c r="AF132" s="989">
        <f t="shared" si="67"/>
        <v>0</v>
      </c>
      <c r="AG132" s="989">
        <f t="shared" si="67"/>
        <v>0</v>
      </c>
      <c r="AH132" s="989">
        <f t="shared" si="67"/>
        <v>0</v>
      </c>
      <c r="AI132" s="989">
        <f t="shared" si="67"/>
        <v>0</v>
      </c>
      <c r="AJ132" s="989">
        <f t="shared" si="67"/>
        <v>0</v>
      </c>
      <c r="AK132" s="989">
        <f t="shared" si="67"/>
        <v>0</v>
      </c>
      <c r="AL132" s="989">
        <f t="shared" si="67"/>
        <v>0</v>
      </c>
      <c r="AM132" s="989">
        <f t="shared" si="67"/>
        <v>0</v>
      </c>
      <c r="AN132" s="989">
        <f t="shared" si="67"/>
        <v>0</v>
      </c>
      <c r="AO132" s="989">
        <f t="shared" si="67"/>
        <v>0</v>
      </c>
      <c r="AP132" s="1265">
        <f t="shared" si="67"/>
        <v>0</v>
      </c>
      <c r="AQ132" s="1243"/>
      <c r="AR132" s="1125"/>
      <c r="AS132" s="1125"/>
      <c r="AT132" s="1125"/>
      <c r="AU132" s="1125"/>
      <c r="AV132" s="1126"/>
    </row>
    <row r="133" spans="1:48" ht="16.5" x14ac:dyDescent="0.25">
      <c r="A133" s="1253"/>
      <c r="B133" s="1266" t="s">
        <v>464</v>
      </c>
      <c r="C133" s="989"/>
      <c r="D133" s="989"/>
      <c r="E133" s="470">
        <f t="shared" ref="E133:AP133" si="68">E14</f>
        <v>0</v>
      </c>
      <c r="F133" s="470">
        <f t="shared" si="68"/>
        <v>0</v>
      </c>
      <c r="G133" s="470">
        <f t="shared" si="68"/>
        <v>0</v>
      </c>
      <c r="H133" s="470">
        <f t="shared" si="68"/>
        <v>0</v>
      </c>
      <c r="I133" s="989">
        <f t="shared" si="68"/>
        <v>-917900000</v>
      </c>
      <c r="J133" s="989">
        <f t="shared" si="68"/>
        <v>-1193270000</v>
      </c>
      <c r="K133" s="989">
        <f t="shared" si="68"/>
        <v>-2462920000</v>
      </c>
      <c r="L133" s="989">
        <f t="shared" si="68"/>
        <v>-3688015000</v>
      </c>
      <c r="M133" s="989">
        <f t="shared" si="68"/>
        <v>-5071565000</v>
      </c>
      <c r="N133" s="989">
        <f t="shared" si="68"/>
        <v>-6436355000</v>
      </c>
      <c r="O133" s="989">
        <f t="shared" si="68"/>
        <v>-7858430000</v>
      </c>
      <c r="P133" s="989">
        <f t="shared" si="68"/>
        <v>-9280505000</v>
      </c>
      <c r="Q133" s="989">
        <f t="shared" si="68"/>
        <v>0</v>
      </c>
      <c r="R133" s="1253">
        <f t="shared" si="68"/>
        <v>-1395945000.0000002</v>
      </c>
      <c r="S133" s="989">
        <f t="shared" si="68"/>
        <v>-2605965000.0000005</v>
      </c>
      <c r="T133" s="989">
        <f t="shared" si="68"/>
        <v>-3926535000.000001</v>
      </c>
      <c r="U133" s="989">
        <f t="shared" si="68"/>
        <v>-5169720000.000001</v>
      </c>
      <c r="V133" s="989">
        <f t="shared" si="68"/>
        <v>-6653100000.000001</v>
      </c>
      <c r="W133" s="989">
        <f t="shared" si="68"/>
        <v>-8159930000.000001</v>
      </c>
      <c r="X133" s="989">
        <f t="shared" si="68"/>
        <v>-9650345000.0000019</v>
      </c>
      <c r="Y133" s="989">
        <f t="shared" si="68"/>
        <v>-11190005000.000002</v>
      </c>
      <c r="Z133" s="989">
        <f t="shared" si="68"/>
        <v>-12753115000.000002</v>
      </c>
      <c r="AA133" s="989">
        <f t="shared" si="68"/>
        <v>-14691960000.000002</v>
      </c>
      <c r="AB133" s="989">
        <f t="shared" si="68"/>
        <v>-17170590000.000002</v>
      </c>
      <c r="AC133" s="989">
        <f t="shared" si="68"/>
        <v>-19979400000.000004</v>
      </c>
      <c r="AD133" s="989">
        <f t="shared" si="68"/>
        <v>0</v>
      </c>
      <c r="AE133" s="1253">
        <f t="shared" si="68"/>
        <v>-2548950000.0000005</v>
      </c>
      <c r="AF133" s="989">
        <f t="shared" si="68"/>
        <v>-4789305000.000001</v>
      </c>
      <c r="AG133" s="989">
        <f t="shared" si="68"/>
        <v>-7273560000.0000019</v>
      </c>
      <c r="AH133" s="989">
        <f t="shared" si="68"/>
        <v>-9564405000.0000019</v>
      </c>
      <c r="AI133" s="989">
        <f t="shared" si="68"/>
        <v>-12463740000.000002</v>
      </c>
      <c r="AJ133" s="989">
        <f t="shared" si="68"/>
        <v>-15415575000.000002</v>
      </c>
      <c r="AK133" s="989">
        <f t="shared" si="68"/>
        <v>-18330660000.000004</v>
      </c>
      <c r="AL133" s="989">
        <f t="shared" si="68"/>
        <v>-21418410000.000004</v>
      </c>
      <c r="AM133" s="989">
        <f t="shared" si="68"/>
        <v>-24509420000.000004</v>
      </c>
      <c r="AN133" s="989">
        <f t="shared" si="68"/>
        <v>-27675370000.000004</v>
      </c>
      <c r="AO133" s="989">
        <f t="shared" si="68"/>
        <v>-30912825000.000004</v>
      </c>
      <c r="AP133" s="1265">
        <f t="shared" si="68"/>
        <v>-34158435000.000004</v>
      </c>
      <c r="AQ133" s="1243"/>
      <c r="AR133" s="1125"/>
      <c r="AS133" s="1125"/>
      <c r="AT133" s="1125"/>
      <c r="AU133" s="1125"/>
      <c r="AV133" s="1126"/>
    </row>
    <row r="134" spans="1:48" ht="16.5" x14ac:dyDescent="0.25">
      <c r="A134" s="1253"/>
      <c r="B134" s="1266" t="s">
        <v>465</v>
      </c>
      <c r="C134" s="989"/>
      <c r="D134" s="989"/>
      <c r="E134" s="470">
        <f t="shared" ref="E134:AP134" ca="1" si="69">E15</f>
        <v>-672250000</v>
      </c>
      <c r="F134" s="470">
        <f t="shared" ca="1" si="69"/>
        <v>-1044500000</v>
      </c>
      <c r="G134" s="470">
        <f t="shared" ca="1" si="69"/>
        <v>-1515405999.9999998</v>
      </c>
      <c r="H134" s="470">
        <f t="shared" ca="1" si="69"/>
        <v>-1927623999.9999995</v>
      </c>
      <c r="I134" s="989">
        <f t="shared" ca="1" si="69"/>
        <v>-2370269999.9999995</v>
      </c>
      <c r="J134" s="989">
        <f t="shared" ca="1" si="69"/>
        <v>-7436740000</v>
      </c>
      <c r="K134" s="989">
        <f t="shared" ca="1" si="69"/>
        <v>-12324904000</v>
      </c>
      <c r="L134" s="989">
        <f t="shared" ca="1" si="69"/>
        <v>-17566926000</v>
      </c>
      <c r="M134" s="989">
        <f t="shared" ca="1" si="69"/>
        <v>-22720008000</v>
      </c>
      <c r="N134" s="989">
        <f t="shared" ca="1" si="69"/>
        <v>-28269086000</v>
      </c>
      <c r="O134" s="989">
        <f t="shared" ca="1" si="69"/>
        <v>-34246676000</v>
      </c>
      <c r="P134" s="989">
        <f t="shared" ca="1" si="69"/>
        <v>-40223446000</v>
      </c>
      <c r="Q134" s="989">
        <f t="shared" si="69"/>
        <v>0</v>
      </c>
      <c r="R134" s="1253">
        <f t="shared" ca="1" si="69"/>
        <v>-4731953600</v>
      </c>
      <c r="S134" s="989">
        <f t="shared" ca="1" si="69"/>
        <v>-9701625200</v>
      </c>
      <c r="T134" s="989">
        <f t="shared" ca="1" si="69"/>
        <v>-14445208800</v>
      </c>
      <c r="U134" s="989">
        <f t="shared" ca="1" si="69"/>
        <v>-20022970800</v>
      </c>
      <c r="V134" s="989">
        <f t="shared" ca="1" si="69"/>
        <v>-25828923600</v>
      </c>
      <c r="W134" s="989">
        <f t="shared" ca="1" si="69"/>
        <v>-31709531600</v>
      </c>
      <c r="X134" s="989">
        <f t="shared" ca="1" si="69"/>
        <v>-37905914400</v>
      </c>
      <c r="Y134" s="989">
        <f t="shared" ca="1" si="69"/>
        <v>-43809969200</v>
      </c>
      <c r="Z134" s="989">
        <f t="shared" ca="1" si="69"/>
        <v>-49714514000</v>
      </c>
      <c r="AA134" s="989">
        <f t="shared" ca="1" si="69"/>
        <v>-56118572300</v>
      </c>
      <c r="AB134" s="989">
        <f t="shared" ca="1" si="69"/>
        <v>-66794815900</v>
      </c>
      <c r="AC134" s="989">
        <f t="shared" ca="1" si="69"/>
        <v>-77139237900</v>
      </c>
      <c r="AD134" s="989">
        <f t="shared" si="69"/>
        <v>0</v>
      </c>
      <c r="AE134" s="1253">
        <f t="shared" ca="1" si="69"/>
        <v>-8692455900</v>
      </c>
      <c r="AF134" s="989">
        <f t="shared" ca="1" si="69"/>
        <v>-17248912800</v>
      </c>
      <c r="AG134" s="989">
        <f t="shared" ca="1" si="69"/>
        <v>-25426808700</v>
      </c>
      <c r="AH134" s="989">
        <f t="shared" ca="1" si="69"/>
        <v>-35875190700</v>
      </c>
      <c r="AI134" s="989">
        <f t="shared" ca="1" si="69"/>
        <v>-47043371900</v>
      </c>
      <c r="AJ134" s="989">
        <f t="shared" ca="1" si="69"/>
        <v>-57980003900</v>
      </c>
      <c r="AK134" s="989">
        <f t="shared" ca="1" si="69"/>
        <v>-69277932200</v>
      </c>
      <c r="AL134" s="989">
        <f t="shared" ca="1" si="69"/>
        <v>-80319124000</v>
      </c>
      <c r="AM134" s="989">
        <f t="shared" ca="1" si="69"/>
        <v>-91691232800</v>
      </c>
      <c r="AN134" s="989">
        <f t="shared" ca="1" si="69"/>
        <v>-103816451500</v>
      </c>
      <c r="AO134" s="989">
        <f t="shared" ca="1" si="69"/>
        <v>-116918609300</v>
      </c>
      <c r="AP134" s="1265">
        <f t="shared" ca="1" si="69"/>
        <v>-129653013300</v>
      </c>
      <c r="AQ134" s="1243"/>
      <c r="AR134" s="1125"/>
      <c r="AS134" s="1125"/>
      <c r="AT134" s="1125"/>
      <c r="AU134" s="1125"/>
      <c r="AV134" s="1126"/>
    </row>
    <row r="135" spans="1:48" ht="16.5" x14ac:dyDescent="0.25">
      <c r="A135" s="1253"/>
      <c r="B135" s="1266" t="s">
        <v>466</v>
      </c>
      <c r="C135" s="989"/>
      <c r="D135" s="989"/>
      <c r="E135" s="470">
        <f t="shared" ref="E135:AP135" si="70">E16</f>
        <v>0</v>
      </c>
      <c r="F135" s="470">
        <f t="shared" si="70"/>
        <v>-4761904.7619047621</v>
      </c>
      <c r="G135" s="470">
        <f t="shared" si="70"/>
        <v>-356580086.58008659</v>
      </c>
      <c r="H135" s="470">
        <f t="shared" si="70"/>
        <v>-1008927912.6670432</v>
      </c>
      <c r="I135" s="989">
        <f t="shared" si="70"/>
        <v>-1811971390.9279127</v>
      </c>
      <c r="J135" s="989">
        <f t="shared" si="70"/>
        <v>-3073534819.499341</v>
      </c>
      <c r="K135" s="989">
        <f t="shared" si="70"/>
        <v>-4423401819.499341</v>
      </c>
      <c r="L135" s="989">
        <f t="shared" si="70"/>
        <v>-5880059419.499341</v>
      </c>
      <c r="M135" s="989">
        <f t="shared" si="70"/>
        <v>-7336717019.499341</v>
      </c>
      <c r="N135" s="989">
        <f t="shared" si="70"/>
        <v>-8817411219.4993401</v>
      </c>
      <c r="O135" s="989">
        <f t="shared" si="70"/>
        <v>-10298105419.49934</v>
      </c>
      <c r="P135" s="989">
        <f t="shared" si="70"/>
        <v>-11788799619.49934</v>
      </c>
      <c r="Q135" s="989">
        <f t="shared" si="70"/>
        <v>0</v>
      </c>
      <c r="R135" s="1253">
        <f t="shared" si="70"/>
        <v>-2011066000</v>
      </c>
      <c r="S135" s="989">
        <f t="shared" si="70"/>
        <v>-3443882000</v>
      </c>
      <c r="T135" s="989">
        <f t="shared" si="70"/>
        <v>-4949948000</v>
      </c>
      <c r="U135" s="989">
        <f t="shared" si="70"/>
        <v>-6557049200</v>
      </c>
      <c r="V135" s="989">
        <f t="shared" si="70"/>
        <v>-8164150400</v>
      </c>
      <c r="W135" s="989">
        <f t="shared" si="70"/>
        <v>-9771251600</v>
      </c>
      <c r="X135" s="989">
        <f t="shared" si="70"/>
        <v>-11398722800</v>
      </c>
      <c r="Y135" s="989">
        <f t="shared" si="70"/>
        <v>-13026194000</v>
      </c>
      <c r="Z135" s="989">
        <f t="shared" si="70"/>
        <v>-14653665200</v>
      </c>
      <c r="AA135" s="989">
        <f t="shared" si="70"/>
        <v>-16305173000</v>
      </c>
      <c r="AB135" s="989">
        <f t="shared" si="70"/>
        <v>-18250155800</v>
      </c>
      <c r="AC135" s="989">
        <f t="shared" si="70"/>
        <v>-20207175600</v>
      </c>
      <c r="AD135" s="989">
        <f t="shared" si="70"/>
        <v>0</v>
      </c>
      <c r="AE135" s="1253">
        <f t="shared" si="70"/>
        <v>-2545893200</v>
      </c>
      <c r="AF135" s="989">
        <f t="shared" si="70"/>
        <v>-4367992400</v>
      </c>
      <c r="AG135" s="989">
        <f t="shared" si="70"/>
        <v>-6190091600</v>
      </c>
      <c r="AH135" s="989">
        <f t="shared" si="70"/>
        <v>-8232766400</v>
      </c>
      <c r="AI135" s="989">
        <f t="shared" si="70"/>
        <v>-10275441200</v>
      </c>
      <c r="AJ135" s="989">
        <f t="shared" si="70"/>
        <v>-12318116000</v>
      </c>
      <c r="AK135" s="989">
        <f t="shared" si="70"/>
        <v>-14407188200</v>
      </c>
      <c r="AL135" s="989">
        <f t="shared" si="70"/>
        <v>-16496260400</v>
      </c>
      <c r="AM135" s="989">
        <f t="shared" si="70"/>
        <v>-18614476400</v>
      </c>
      <c r="AN135" s="989">
        <f t="shared" si="70"/>
        <v>-20765263400</v>
      </c>
      <c r="AO135" s="989">
        <f t="shared" si="70"/>
        <v>-22921325600</v>
      </c>
      <c r="AP135" s="1265">
        <f t="shared" si="70"/>
        <v>-25082663000</v>
      </c>
      <c r="AQ135" s="1243"/>
      <c r="AR135" s="1125"/>
      <c r="AS135" s="1125"/>
      <c r="AT135" s="1125"/>
      <c r="AU135" s="1125"/>
      <c r="AV135" s="1126"/>
    </row>
    <row r="136" spans="1:48" ht="16.5" x14ac:dyDescent="0.25">
      <c r="A136" s="1253"/>
      <c r="B136" s="1266" t="s">
        <v>467</v>
      </c>
      <c r="C136" s="989"/>
      <c r="D136" s="989"/>
      <c r="E136" s="470">
        <f t="shared" ref="E136:AP136" si="71">E17</f>
        <v>0</v>
      </c>
      <c r="F136" s="470">
        <f t="shared" si="71"/>
        <v>0</v>
      </c>
      <c r="G136" s="470">
        <f t="shared" si="71"/>
        <v>0</v>
      </c>
      <c r="H136" s="470">
        <f t="shared" si="71"/>
        <v>0</v>
      </c>
      <c r="I136" s="989">
        <f t="shared" si="71"/>
        <v>0</v>
      </c>
      <c r="J136" s="989">
        <f t="shared" si="71"/>
        <v>-1052639999.9999996</v>
      </c>
      <c r="K136" s="989">
        <f t="shared" si="71"/>
        <v>-2017559999.9999993</v>
      </c>
      <c r="L136" s="989">
        <f t="shared" si="71"/>
        <v>-2894759999.999999</v>
      </c>
      <c r="M136" s="989">
        <f t="shared" si="71"/>
        <v>-3684239999.999999</v>
      </c>
      <c r="N136" s="989">
        <f t="shared" si="71"/>
        <v>-4385999999.999999</v>
      </c>
      <c r="O136" s="989">
        <f t="shared" si="71"/>
        <v>-5000039999.999999</v>
      </c>
      <c r="P136" s="989">
        <f t="shared" si="71"/>
        <v>-5526359999.999999</v>
      </c>
      <c r="Q136" s="989">
        <f t="shared" si="71"/>
        <v>0</v>
      </c>
      <c r="R136" s="1253">
        <f t="shared" si="71"/>
        <v>-438599999.9999997</v>
      </c>
      <c r="S136" s="989">
        <f t="shared" si="71"/>
        <v>-789479999.9999994</v>
      </c>
      <c r="T136" s="989">
        <f t="shared" si="71"/>
        <v>-1052639999.999999</v>
      </c>
      <c r="U136" s="989">
        <f t="shared" si="71"/>
        <v>-1228079999.9999988</v>
      </c>
      <c r="V136" s="989">
        <f t="shared" si="71"/>
        <v>-1315799999.9999986</v>
      </c>
      <c r="W136" s="989">
        <f t="shared" si="71"/>
        <v>-2368439999.9999981</v>
      </c>
      <c r="X136" s="989">
        <f t="shared" si="71"/>
        <v>-3333359999.9999976</v>
      </c>
      <c r="Y136" s="989">
        <f t="shared" si="71"/>
        <v>-4210559999.9999971</v>
      </c>
      <c r="Z136" s="989">
        <f t="shared" si="71"/>
        <v>-5000039999.9999962</v>
      </c>
      <c r="AA136" s="989">
        <f t="shared" si="71"/>
        <v>-5701799999.9999952</v>
      </c>
      <c r="AB136" s="989">
        <f t="shared" si="71"/>
        <v>-6315839999.9999943</v>
      </c>
      <c r="AC136" s="989">
        <f t="shared" si="71"/>
        <v>-6842159999.9999933</v>
      </c>
      <c r="AD136" s="989">
        <f t="shared" si="71"/>
        <v>0</v>
      </c>
      <c r="AE136" s="1253">
        <f t="shared" si="71"/>
        <v>-438599999.9999994</v>
      </c>
      <c r="AF136" s="989">
        <f t="shared" si="71"/>
        <v>-789479999.99999881</v>
      </c>
      <c r="AG136" s="989">
        <f t="shared" si="71"/>
        <v>-1052639999.9999982</v>
      </c>
      <c r="AH136" s="989">
        <f t="shared" si="71"/>
        <v>-1228079999.9999976</v>
      </c>
      <c r="AI136" s="989">
        <f t="shared" si="71"/>
        <v>-1315799999.9999971</v>
      </c>
      <c r="AJ136" s="989">
        <f t="shared" si="71"/>
        <v>-2368439999.9999962</v>
      </c>
      <c r="AK136" s="989">
        <f t="shared" si="71"/>
        <v>-3333359999.9999952</v>
      </c>
      <c r="AL136" s="989">
        <f t="shared" si="71"/>
        <v>-4210559999.9999943</v>
      </c>
      <c r="AM136" s="989">
        <f t="shared" si="71"/>
        <v>-5000039999.9999933</v>
      </c>
      <c r="AN136" s="989">
        <f t="shared" si="71"/>
        <v>-5701799999.9999924</v>
      </c>
      <c r="AO136" s="989">
        <f t="shared" si="71"/>
        <v>-6315839999.9999914</v>
      </c>
      <c r="AP136" s="1265">
        <f t="shared" si="71"/>
        <v>-6842159999.9999905</v>
      </c>
      <c r="AQ136" s="1243"/>
      <c r="AR136" s="1125"/>
      <c r="AS136" s="1125"/>
      <c r="AT136" s="1125"/>
      <c r="AU136" s="1125"/>
      <c r="AV136" s="1126"/>
    </row>
    <row r="137" spans="1:48" ht="16.5" x14ac:dyDescent="0.25">
      <c r="A137" s="1253"/>
      <c r="B137" s="1266" t="s">
        <v>468</v>
      </c>
      <c r="C137" s="989"/>
      <c r="D137" s="989"/>
      <c r="E137" s="989">
        <f t="shared" ref="E137:AP137" si="72">E18</f>
        <v>0</v>
      </c>
      <c r="F137" s="989">
        <f t="shared" ca="1" si="72"/>
        <v>0</v>
      </c>
      <c r="G137" s="989">
        <f t="shared" ca="1" si="72"/>
        <v>0</v>
      </c>
      <c r="H137" s="989">
        <f t="shared" ca="1" si="72"/>
        <v>0</v>
      </c>
      <c r="I137" s="989">
        <f t="shared" ca="1" si="72"/>
        <v>0</v>
      </c>
      <c r="J137" s="989">
        <f t="shared" ca="1" si="72"/>
        <v>0</v>
      </c>
      <c r="K137" s="989">
        <f t="shared" ca="1" si="72"/>
        <v>0</v>
      </c>
      <c r="L137" s="989">
        <f t="shared" ca="1" si="72"/>
        <v>0</v>
      </c>
      <c r="M137" s="989">
        <f t="shared" ca="1" si="72"/>
        <v>0</v>
      </c>
      <c r="N137" s="989">
        <f t="shared" ca="1" si="72"/>
        <v>0</v>
      </c>
      <c r="O137" s="989">
        <f t="shared" ca="1" si="72"/>
        <v>0</v>
      </c>
      <c r="P137" s="989">
        <f t="shared" ca="1" si="72"/>
        <v>0</v>
      </c>
      <c r="Q137" s="989">
        <f t="shared" ca="1" si="72"/>
        <v>0</v>
      </c>
      <c r="R137" s="1253">
        <f t="shared" ca="1" si="72"/>
        <v>0</v>
      </c>
      <c r="S137" s="989">
        <f t="shared" ca="1" si="72"/>
        <v>0</v>
      </c>
      <c r="T137" s="989">
        <f t="shared" ca="1" si="72"/>
        <v>0</v>
      </c>
      <c r="U137" s="989">
        <f t="shared" ca="1" si="72"/>
        <v>0</v>
      </c>
      <c r="V137" s="989">
        <f t="shared" ca="1" si="72"/>
        <v>0</v>
      </c>
      <c r="W137" s="989">
        <f t="shared" ca="1" si="72"/>
        <v>0</v>
      </c>
      <c r="X137" s="989">
        <f t="shared" ca="1" si="72"/>
        <v>0</v>
      </c>
      <c r="Y137" s="989">
        <f t="shared" ca="1" si="72"/>
        <v>0</v>
      </c>
      <c r="Z137" s="989">
        <f t="shared" ca="1" si="72"/>
        <v>0</v>
      </c>
      <c r="AA137" s="989">
        <f t="shared" ca="1" si="72"/>
        <v>0</v>
      </c>
      <c r="AB137" s="989">
        <f t="shared" ca="1" si="72"/>
        <v>0</v>
      </c>
      <c r="AC137" s="989">
        <f t="shared" ca="1" si="72"/>
        <v>0</v>
      </c>
      <c r="AD137" s="989">
        <f t="shared" ca="1" si="72"/>
        <v>0</v>
      </c>
      <c r="AE137" s="1253">
        <f t="shared" ca="1" si="72"/>
        <v>-1097708728.5714293</v>
      </c>
      <c r="AF137" s="989">
        <f t="shared" ca="1" si="72"/>
        <v>-1097708728.5714293</v>
      </c>
      <c r="AG137" s="989">
        <f t="shared" ca="1" si="72"/>
        <v>-1097708728.5714293</v>
      </c>
      <c r="AH137" s="989">
        <f t="shared" ca="1" si="72"/>
        <v>-1097708728.5714293</v>
      </c>
      <c r="AI137" s="989">
        <f t="shared" ca="1" si="72"/>
        <v>-1097708728.5714293</v>
      </c>
      <c r="AJ137" s="989">
        <f t="shared" ca="1" si="72"/>
        <v>-1097708728.5714293</v>
      </c>
      <c r="AK137" s="989">
        <f t="shared" ca="1" si="72"/>
        <v>-1097708728.5714293</v>
      </c>
      <c r="AL137" s="989">
        <f t="shared" ca="1" si="72"/>
        <v>-1097708728.5714293</v>
      </c>
      <c r="AM137" s="989">
        <f t="shared" ca="1" si="72"/>
        <v>-1097708728.5714293</v>
      </c>
      <c r="AN137" s="989">
        <f t="shared" ca="1" si="72"/>
        <v>-1097708728.5714293</v>
      </c>
      <c r="AO137" s="989">
        <f t="shared" ca="1" si="72"/>
        <v>-1097708728.5714293</v>
      </c>
      <c r="AP137" s="1265">
        <f t="shared" ca="1" si="72"/>
        <v>-1097708728.5714293</v>
      </c>
      <c r="AQ137" s="1243"/>
      <c r="AR137" s="1125"/>
      <c r="AS137" s="1125"/>
      <c r="AT137" s="1125"/>
      <c r="AU137" s="1125"/>
      <c r="AV137" s="1126"/>
    </row>
    <row r="138" spans="1:48" ht="16.5" x14ac:dyDescent="0.25">
      <c r="A138" s="1446" t="s">
        <v>469</v>
      </c>
      <c r="B138" s="1373"/>
      <c r="C138" s="1267"/>
      <c r="D138" s="1267"/>
      <c r="E138" s="1268">
        <f t="shared" ref="E138:AP138" ca="1" si="73">E19</f>
        <v>-672250000</v>
      </c>
      <c r="F138" s="1268">
        <f t="shared" ca="1" si="73"/>
        <v>-1049261904.7619047</v>
      </c>
      <c r="G138" s="1268">
        <f t="shared" ca="1" si="73"/>
        <v>-1871986086.5800862</v>
      </c>
      <c r="H138" s="1268">
        <f t="shared" ca="1" si="73"/>
        <v>-2936551912.6670427</v>
      </c>
      <c r="I138" s="1268">
        <f t="shared" ca="1" si="73"/>
        <v>-4824771390.9279118</v>
      </c>
      <c r="J138" s="1268">
        <f t="shared" ca="1" si="73"/>
        <v>-7608214819.499341</v>
      </c>
      <c r="K138" s="1268">
        <f t="shared" ca="1" si="73"/>
        <v>-8989160819.4993401</v>
      </c>
      <c r="L138" s="1268">
        <f t="shared" ca="1" si="73"/>
        <v>-8305755419.4993401</v>
      </c>
      <c r="M138" s="1268">
        <f t="shared" ca="1" si="73"/>
        <v>-7486107019.4993401</v>
      </c>
      <c r="N138" s="1268">
        <f t="shared" ca="1" si="73"/>
        <v>-6632114219.4993391</v>
      </c>
      <c r="O138" s="1268">
        <f t="shared" ca="1" si="73"/>
        <v>-6066200419.4993391</v>
      </c>
      <c r="P138" s="1268">
        <f t="shared" ca="1" si="73"/>
        <v>-5287444619.4993391</v>
      </c>
      <c r="Q138" s="1268">
        <f t="shared" si="73"/>
        <v>0</v>
      </c>
      <c r="R138" s="1269">
        <f t="shared" ca="1" si="73"/>
        <v>583545400.00000024</v>
      </c>
      <c r="S138" s="1268">
        <f t="shared" ca="1" si="73"/>
        <v>1451273800.0000005</v>
      </c>
      <c r="T138" s="1268">
        <f t="shared" ca="1" si="73"/>
        <v>2262179200.000001</v>
      </c>
      <c r="U138" s="1268">
        <f t="shared" ca="1" si="73"/>
        <v>3493771000.000001</v>
      </c>
      <c r="V138" s="1268">
        <f t="shared" ca="1" si="73"/>
        <v>4784689000.0000019</v>
      </c>
      <c r="W138" s="1268">
        <f t="shared" ca="1" si="73"/>
        <v>5312944800.0000019</v>
      </c>
      <c r="X138" s="1268">
        <f t="shared" ca="1" si="73"/>
        <v>5814605800.0000019</v>
      </c>
      <c r="Y138" s="1268">
        <f t="shared" ca="1" si="73"/>
        <v>6757067800.0000029</v>
      </c>
      <c r="Z138" s="1268">
        <f t="shared" ca="1" si="73"/>
        <v>7843676800.0000038</v>
      </c>
      <c r="AA138" s="1268">
        <f t="shared" ca="1" si="73"/>
        <v>8511935700.0000048</v>
      </c>
      <c r="AB138" s="1268">
        <f t="shared" ca="1" si="73"/>
        <v>7821247300.0000057</v>
      </c>
      <c r="AC138" s="1268">
        <f t="shared" ca="1" si="73"/>
        <v>8639445500.0000076</v>
      </c>
      <c r="AD138" s="1268">
        <f t="shared" si="73"/>
        <v>0</v>
      </c>
      <c r="AE138" s="1269">
        <f t="shared" ca="1" si="73"/>
        <v>1043552171.4285712</v>
      </c>
      <c r="AF138" s="1268">
        <f t="shared" ca="1" si="73"/>
        <v>3461470071.4285717</v>
      </c>
      <c r="AG138" s="1268">
        <f t="shared" ca="1" si="73"/>
        <v>5673224971.4285727</v>
      </c>
      <c r="AH138" s="1268">
        <f t="shared" ca="1" si="73"/>
        <v>8378813171.4285727</v>
      </c>
      <c r="AI138" s="1268">
        <f t="shared" ca="1" si="73"/>
        <v>10792423171.428574</v>
      </c>
      <c r="AJ138" s="1268">
        <f t="shared" ca="1" si="73"/>
        <v>13068306371.428574</v>
      </c>
      <c r="AK138" s="1268">
        <f t="shared" ca="1" si="73"/>
        <v>15537525871.428574</v>
      </c>
      <c r="AL138" s="1268">
        <f t="shared" ca="1" si="73"/>
        <v>18447213871.428577</v>
      </c>
      <c r="AM138" s="1268">
        <f t="shared" ca="1" si="73"/>
        <v>21588934071.428577</v>
      </c>
      <c r="AN138" s="1268">
        <f t="shared" ca="1" si="73"/>
        <v>24545297371.428577</v>
      </c>
      <c r="AO138" s="1268">
        <f t="shared" ca="1" si="73"/>
        <v>26842230371.428577</v>
      </c>
      <c r="AP138" s="1270">
        <f t="shared" ca="1" si="73"/>
        <v>30680618971.428577</v>
      </c>
      <c r="AQ138" s="1243"/>
      <c r="AR138" s="1125"/>
      <c r="AS138" s="1125"/>
      <c r="AT138" s="1125"/>
      <c r="AU138" s="1125"/>
      <c r="AV138" s="1126"/>
    </row>
    <row r="139" spans="1:48" ht="16.5" x14ac:dyDescent="0.25">
      <c r="A139" s="1444" t="s">
        <v>470</v>
      </c>
      <c r="B139" s="1373"/>
      <c r="C139" s="1260"/>
      <c r="D139" s="1260"/>
      <c r="E139" s="1260">
        <f>E20</f>
        <v>0</v>
      </c>
      <c r="F139" s="1260"/>
      <c r="G139" s="1260">
        <f>G20</f>
        <v>0</v>
      </c>
      <c r="H139" s="1260"/>
      <c r="I139" s="1260">
        <f>I20</f>
        <v>0</v>
      </c>
      <c r="J139" s="1260"/>
      <c r="K139" s="1260">
        <f>K20</f>
        <v>0</v>
      </c>
      <c r="L139" s="1260"/>
      <c r="M139" s="1260">
        <f>M20</f>
        <v>0</v>
      </c>
      <c r="N139" s="1260"/>
      <c r="O139" s="1260">
        <f t="shared" ref="O139:R139" si="74">O20</f>
        <v>0</v>
      </c>
      <c r="P139" s="1260">
        <f t="shared" si="74"/>
        <v>0</v>
      </c>
      <c r="Q139" s="1260">
        <f t="shared" si="74"/>
        <v>0</v>
      </c>
      <c r="R139" s="1274">
        <f t="shared" si="74"/>
        <v>0</v>
      </c>
      <c r="S139" s="1260"/>
      <c r="T139" s="1260">
        <f>T20</f>
        <v>0</v>
      </c>
      <c r="U139" s="1260"/>
      <c r="V139" s="1260">
        <f>V20</f>
        <v>0</v>
      </c>
      <c r="W139" s="1260"/>
      <c r="X139" s="1260">
        <f>X20</f>
        <v>0</v>
      </c>
      <c r="Y139" s="1260"/>
      <c r="Z139" s="1260">
        <f>Z20</f>
        <v>0</v>
      </c>
      <c r="AA139" s="1260"/>
      <c r="AB139" s="1260">
        <f t="shared" ref="AB139:AE139" si="75">AB20</f>
        <v>0</v>
      </c>
      <c r="AC139" s="1260">
        <f t="shared" si="75"/>
        <v>0</v>
      </c>
      <c r="AD139" s="1260">
        <f t="shared" si="75"/>
        <v>0</v>
      </c>
      <c r="AE139" s="1274">
        <f t="shared" si="75"/>
        <v>0</v>
      </c>
      <c r="AF139" s="1260"/>
      <c r="AG139" s="1260">
        <f>AG20</f>
        <v>0</v>
      </c>
      <c r="AH139" s="1260"/>
      <c r="AI139" s="1260">
        <f>AI20</f>
        <v>0</v>
      </c>
      <c r="AJ139" s="1260"/>
      <c r="AK139" s="1260">
        <f>AK20</f>
        <v>0</v>
      </c>
      <c r="AL139" s="1260"/>
      <c r="AM139" s="1260">
        <f>AM20</f>
        <v>0</v>
      </c>
      <c r="AN139" s="1260"/>
      <c r="AO139" s="1260">
        <f t="shared" ref="AO139:AP139" si="76">AO20</f>
        <v>0</v>
      </c>
      <c r="AP139" s="1275">
        <f t="shared" si="76"/>
        <v>0</v>
      </c>
      <c r="AQ139" s="1243"/>
      <c r="AR139" s="1125"/>
      <c r="AS139" s="1125"/>
      <c r="AT139" s="1125"/>
      <c r="AU139" s="1125"/>
      <c r="AV139" s="1126"/>
    </row>
    <row r="140" spans="1:48" ht="16.5" x14ac:dyDescent="0.25">
      <c r="A140" s="1445" t="s">
        <v>463</v>
      </c>
      <c r="B140" s="1373"/>
      <c r="C140" s="989"/>
      <c r="D140" s="989"/>
      <c r="E140" s="989">
        <f t="shared" ref="E140:AP140" si="77">E25</f>
        <v>0</v>
      </c>
      <c r="F140" s="989">
        <f t="shared" si="77"/>
        <v>0</v>
      </c>
      <c r="G140" s="989">
        <f t="shared" si="77"/>
        <v>0</v>
      </c>
      <c r="H140" s="989">
        <f t="shared" si="77"/>
        <v>0</v>
      </c>
      <c r="I140" s="989">
        <f t="shared" si="77"/>
        <v>0</v>
      </c>
      <c r="J140" s="989">
        <f t="shared" si="77"/>
        <v>0</v>
      </c>
      <c r="K140" s="989">
        <f t="shared" si="77"/>
        <v>0</v>
      </c>
      <c r="L140" s="989">
        <f t="shared" si="77"/>
        <v>0</v>
      </c>
      <c r="M140" s="989">
        <f t="shared" si="77"/>
        <v>0</v>
      </c>
      <c r="N140" s="989">
        <f t="shared" si="77"/>
        <v>0</v>
      </c>
      <c r="O140" s="989">
        <f t="shared" si="77"/>
        <v>0</v>
      </c>
      <c r="P140" s="989">
        <f t="shared" si="77"/>
        <v>0</v>
      </c>
      <c r="Q140" s="989">
        <f t="shared" si="77"/>
        <v>0</v>
      </c>
      <c r="R140" s="1253">
        <f t="shared" si="77"/>
        <v>0</v>
      </c>
      <c r="S140" s="989">
        <f t="shared" si="77"/>
        <v>0</v>
      </c>
      <c r="T140" s="989">
        <f t="shared" si="77"/>
        <v>0</v>
      </c>
      <c r="U140" s="989">
        <f t="shared" si="77"/>
        <v>0</v>
      </c>
      <c r="V140" s="989">
        <f t="shared" si="77"/>
        <v>0</v>
      </c>
      <c r="W140" s="989">
        <f t="shared" si="77"/>
        <v>0</v>
      </c>
      <c r="X140" s="989">
        <f t="shared" si="77"/>
        <v>0</v>
      </c>
      <c r="Y140" s="989">
        <f t="shared" si="77"/>
        <v>0</v>
      </c>
      <c r="Z140" s="989">
        <f t="shared" si="77"/>
        <v>0</v>
      </c>
      <c r="AA140" s="989">
        <f t="shared" si="77"/>
        <v>0</v>
      </c>
      <c r="AB140" s="989">
        <f t="shared" si="77"/>
        <v>0</v>
      </c>
      <c r="AC140" s="989">
        <f t="shared" si="77"/>
        <v>0</v>
      </c>
      <c r="AD140" s="989">
        <f t="shared" si="77"/>
        <v>0</v>
      </c>
      <c r="AE140" s="1253">
        <f t="shared" si="77"/>
        <v>0</v>
      </c>
      <c r="AF140" s="989">
        <f t="shared" si="77"/>
        <v>0</v>
      </c>
      <c r="AG140" s="989">
        <f t="shared" si="77"/>
        <v>0</v>
      </c>
      <c r="AH140" s="989">
        <f t="shared" si="77"/>
        <v>0</v>
      </c>
      <c r="AI140" s="989">
        <f t="shared" si="77"/>
        <v>0</v>
      </c>
      <c r="AJ140" s="989">
        <f t="shared" si="77"/>
        <v>0</v>
      </c>
      <c r="AK140" s="989">
        <f t="shared" si="77"/>
        <v>0</v>
      </c>
      <c r="AL140" s="989">
        <f t="shared" si="77"/>
        <v>0</v>
      </c>
      <c r="AM140" s="989">
        <f t="shared" si="77"/>
        <v>0</v>
      </c>
      <c r="AN140" s="989">
        <f t="shared" si="77"/>
        <v>0</v>
      </c>
      <c r="AO140" s="989">
        <f t="shared" si="77"/>
        <v>0</v>
      </c>
      <c r="AP140" s="1265">
        <f t="shared" si="77"/>
        <v>0</v>
      </c>
      <c r="AQ140" s="1243"/>
      <c r="AR140" s="1125"/>
      <c r="AS140" s="1125"/>
      <c r="AT140" s="1125"/>
      <c r="AU140" s="1125"/>
      <c r="AV140" s="1126"/>
    </row>
    <row r="141" spans="1:48" ht="16.5" x14ac:dyDescent="0.25">
      <c r="A141" s="1253"/>
      <c r="B141" s="1266" t="s">
        <v>474</v>
      </c>
      <c r="C141" s="1279"/>
      <c r="D141" s="989"/>
      <c r="E141" s="989">
        <f t="shared" ref="E141:AP141" si="78">E26</f>
        <v>0</v>
      </c>
      <c r="F141" s="989">
        <f t="shared" si="78"/>
        <v>-17195000000</v>
      </c>
      <c r="G141" s="989">
        <f t="shared" si="78"/>
        <v>-17363000000</v>
      </c>
      <c r="H141" s="989">
        <f t="shared" si="78"/>
        <v>-17363000000</v>
      </c>
      <c r="I141" s="989">
        <f t="shared" si="78"/>
        <v>-51578000000</v>
      </c>
      <c r="J141" s="989">
        <f t="shared" si="78"/>
        <v>-51578000000</v>
      </c>
      <c r="K141" s="989">
        <f t="shared" si="78"/>
        <v>-51578000000</v>
      </c>
      <c r="L141" s="989">
        <f t="shared" si="78"/>
        <v>-51578000000</v>
      </c>
      <c r="M141" s="989">
        <f t="shared" si="78"/>
        <v>-51578000000</v>
      </c>
      <c r="N141" s="989">
        <f t="shared" si="78"/>
        <v>-51578000000</v>
      </c>
      <c r="O141" s="989">
        <f t="shared" si="78"/>
        <v>-51578000000</v>
      </c>
      <c r="P141" s="989">
        <f t="shared" si="78"/>
        <v>-51578000000</v>
      </c>
      <c r="Q141" s="989">
        <f t="shared" si="78"/>
        <v>0</v>
      </c>
      <c r="R141" s="1280">
        <f t="shared" si="78"/>
        <v>0</v>
      </c>
      <c r="S141" s="989">
        <f t="shared" si="78"/>
        <v>0</v>
      </c>
      <c r="T141" s="989">
        <f t="shared" si="78"/>
        <v>0</v>
      </c>
      <c r="U141" s="989">
        <f t="shared" si="78"/>
        <v>0</v>
      </c>
      <c r="V141" s="989">
        <f t="shared" si="78"/>
        <v>0</v>
      </c>
      <c r="W141" s="989">
        <f t="shared" si="78"/>
        <v>0</v>
      </c>
      <c r="X141" s="989">
        <f t="shared" si="78"/>
        <v>0</v>
      </c>
      <c r="Y141" s="989">
        <f t="shared" si="78"/>
        <v>0</v>
      </c>
      <c r="Z141" s="989">
        <f t="shared" si="78"/>
        <v>0</v>
      </c>
      <c r="AA141" s="989">
        <f t="shared" si="78"/>
        <v>0</v>
      </c>
      <c r="AB141" s="989">
        <f t="shared" si="78"/>
        <v>0</v>
      </c>
      <c r="AC141" s="989">
        <f t="shared" si="78"/>
        <v>0</v>
      </c>
      <c r="AD141" s="989">
        <f t="shared" si="78"/>
        <v>0</v>
      </c>
      <c r="AE141" s="1281">
        <f t="shared" si="78"/>
        <v>0</v>
      </c>
      <c r="AF141" s="989">
        <f t="shared" si="78"/>
        <v>0</v>
      </c>
      <c r="AG141" s="989">
        <f t="shared" si="78"/>
        <v>0</v>
      </c>
      <c r="AH141" s="989">
        <f t="shared" si="78"/>
        <v>0</v>
      </c>
      <c r="AI141" s="989">
        <f t="shared" si="78"/>
        <v>0</v>
      </c>
      <c r="AJ141" s="989">
        <f t="shared" si="78"/>
        <v>0</v>
      </c>
      <c r="AK141" s="989">
        <f t="shared" si="78"/>
        <v>0</v>
      </c>
      <c r="AL141" s="989">
        <f t="shared" si="78"/>
        <v>0</v>
      </c>
      <c r="AM141" s="989">
        <f t="shared" si="78"/>
        <v>0</v>
      </c>
      <c r="AN141" s="989">
        <f t="shared" si="78"/>
        <v>0</v>
      </c>
      <c r="AO141" s="989">
        <f t="shared" si="78"/>
        <v>0</v>
      </c>
      <c r="AP141" s="1265">
        <f t="shared" si="78"/>
        <v>0</v>
      </c>
      <c r="AQ141" s="1243"/>
      <c r="AR141" s="1125"/>
      <c r="AS141" s="1125"/>
      <c r="AT141" s="1125"/>
      <c r="AU141" s="1125"/>
      <c r="AV141" s="1126"/>
    </row>
    <row r="142" spans="1:48" ht="16.5" x14ac:dyDescent="0.25">
      <c r="A142" s="1446" t="s">
        <v>477</v>
      </c>
      <c r="B142" s="1373"/>
      <c r="C142" s="1267"/>
      <c r="D142" s="1267"/>
      <c r="E142" s="1267">
        <f t="shared" ref="E142:AP142" si="79">E29</f>
        <v>0</v>
      </c>
      <c r="F142" s="1267">
        <f t="shared" si="79"/>
        <v>-17195000000</v>
      </c>
      <c r="G142" s="1267">
        <f t="shared" si="79"/>
        <v>-17363000000</v>
      </c>
      <c r="H142" s="1267">
        <f t="shared" si="79"/>
        <v>-17363000000</v>
      </c>
      <c r="I142" s="1267">
        <f t="shared" si="79"/>
        <v>-51578000000</v>
      </c>
      <c r="J142" s="1267">
        <f t="shared" si="79"/>
        <v>-51578000000</v>
      </c>
      <c r="K142" s="1267">
        <f t="shared" si="79"/>
        <v>-51578000000</v>
      </c>
      <c r="L142" s="1267">
        <f t="shared" si="79"/>
        <v>-51578000000</v>
      </c>
      <c r="M142" s="1267">
        <f t="shared" si="79"/>
        <v>-51578000000</v>
      </c>
      <c r="N142" s="1267">
        <f t="shared" si="79"/>
        <v>-51578000000</v>
      </c>
      <c r="O142" s="1267">
        <f t="shared" si="79"/>
        <v>-51578000000</v>
      </c>
      <c r="P142" s="1267">
        <f t="shared" si="79"/>
        <v>-51578000000</v>
      </c>
      <c r="Q142" s="1267">
        <f t="shared" si="79"/>
        <v>0</v>
      </c>
      <c r="R142" s="1282">
        <f t="shared" si="79"/>
        <v>0</v>
      </c>
      <c r="S142" s="1267">
        <f t="shared" si="79"/>
        <v>0</v>
      </c>
      <c r="T142" s="1267">
        <f t="shared" si="79"/>
        <v>0</v>
      </c>
      <c r="U142" s="1267">
        <f t="shared" si="79"/>
        <v>0</v>
      </c>
      <c r="V142" s="1267">
        <f t="shared" si="79"/>
        <v>0</v>
      </c>
      <c r="W142" s="1267">
        <f t="shared" si="79"/>
        <v>0</v>
      </c>
      <c r="X142" s="1267">
        <f t="shared" si="79"/>
        <v>0</v>
      </c>
      <c r="Y142" s="1267">
        <f t="shared" si="79"/>
        <v>0</v>
      </c>
      <c r="Z142" s="1267">
        <f t="shared" si="79"/>
        <v>0</v>
      </c>
      <c r="AA142" s="1267">
        <f t="shared" si="79"/>
        <v>0</v>
      </c>
      <c r="AB142" s="1267">
        <f t="shared" si="79"/>
        <v>0</v>
      </c>
      <c r="AC142" s="1267">
        <f t="shared" si="79"/>
        <v>0</v>
      </c>
      <c r="AD142" s="1267">
        <f t="shared" si="79"/>
        <v>0</v>
      </c>
      <c r="AE142" s="1282">
        <f t="shared" si="79"/>
        <v>0</v>
      </c>
      <c r="AF142" s="1267">
        <f t="shared" si="79"/>
        <v>0</v>
      </c>
      <c r="AG142" s="1267">
        <f t="shared" si="79"/>
        <v>0</v>
      </c>
      <c r="AH142" s="1267">
        <f t="shared" si="79"/>
        <v>0</v>
      </c>
      <c r="AI142" s="1267">
        <f t="shared" si="79"/>
        <v>0</v>
      </c>
      <c r="AJ142" s="1267">
        <f t="shared" si="79"/>
        <v>0</v>
      </c>
      <c r="AK142" s="1267">
        <f t="shared" si="79"/>
        <v>0</v>
      </c>
      <c r="AL142" s="1267">
        <f t="shared" si="79"/>
        <v>0</v>
      </c>
      <c r="AM142" s="1267">
        <f t="shared" si="79"/>
        <v>0</v>
      </c>
      <c r="AN142" s="1267">
        <f t="shared" si="79"/>
        <v>0</v>
      </c>
      <c r="AO142" s="1267">
        <f t="shared" si="79"/>
        <v>0</v>
      </c>
      <c r="AP142" s="1283">
        <f t="shared" si="79"/>
        <v>0</v>
      </c>
      <c r="AQ142" s="1243"/>
      <c r="AR142" s="1125"/>
      <c r="AS142" s="1125"/>
      <c r="AT142" s="1125"/>
      <c r="AU142" s="1125"/>
      <c r="AV142" s="1126"/>
    </row>
    <row r="143" spans="1:48" ht="16.5" x14ac:dyDescent="0.25">
      <c r="A143" s="1444" t="s">
        <v>478</v>
      </c>
      <c r="B143" s="1373"/>
      <c r="C143" s="1260"/>
      <c r="D143" s="1260"/>
      <c r="E143" s="1260">
        <f t="shared" ref="E143:E147" si="80">E30</f>
        <v>0</v>
      </c>
      <c r="F143" s="1260"/>
      <c r="G143" s="1260">
        <f>G30</f>
        <v>0</v>
      </c>
      <c r="H143" s="1260"/>
      <c r="I143" s="1260">
        <f>I30</f>
        <v>0</v>
      </c>
      <c r="J143" s="1260"/>
      <c r="K143" s="1260">
        <f>K30</f>
        <v>0</v>
      </c>
      <c r="L143" s="1260"/>
      <c r="M143" s="1260">
        <f>M30</f>
        <v>0</v>
      </c>
      <c r="N143" s="1260"/>
      <c r="O143" s="1260">
        <f t="shared" ref="O143:R143" si="81">O30</f>
        <v>0</v>
      </c>
      <c r="P143" s="1260">
        <f t="shared" si="81"/>
        <v>0</v>
      </c>
      <c r="Q143" s="1260">
        <f t="shared" si="81"/>
        <v>0</v>
      </c>
      <c r="R143" s="1274">
        <f t="shared" si="81"/>
        <v>0</v>
      </c>
      <c r="S143" s="1260"/>
      <c r="T143" s="1260">
        <f>T30</f>
        <v>0</v>
      </c>
      <c r="U143" s="1260"/>
      <c r="V143" s="1260">
        <f>V30</f>
        <v>0</v>
      </c>
      <c r="W143" s="1260"/>
      <c r="X143" s="1260">
        <f>X30</f>
        <v>0</v>
      </c>
      <c r="Y143" s="1260"/>
      <c r="Z143" s="1260">
        <f>Z30</f>
        <v>0</v>
      </c>
      <c r="AA143" s="1260"/>
      <c r="AB143" s="1260">
        <f t="shared" ref="AB143:AE143" si="82">AB30</f>
        <v>0</v>
      </c>
      <c r="AC143" s="1260">
        <f t="shared" si="82"/>
        <v>0</v>
      </c>
      <c r="AD143" s="1260">
        <f t="shared" si="82"/>
        <v>0</v>
      </c>
      <c r="AE143" s="1274">
        <f t="shared" si="82"/>
        <v>0</v>
      </c>
      <c r="AF143" s="1260"/>
      <c r="AG143" s="1260">
        <f>AG30</f>
        <v>0</v>
      </c>
      <c r="AH143" s="1260"/>
      <c r="AI143" s="1260">
        <f>AI30</f>
        <v>0</v>
      </c>
      <c r="AJ143" s="1260"/>
      <c r="AK143" s="1260">
        <f>AK30</f>
        <v>0</v>
      </c>
      <c r="AL143" s="1260"/>
      <c r="AM143" s="1260">
        <f>AM30</f>
        <v>0</v>
      </c>
      <c r="AN143" s="1260"/>
      <c r="AO143" s="1260">
        <f t="shared" ref="AO143:AP143" si="83">AO30</f>
        <v>0</v>
      </c>
      <c r="AP143" s="1275">
        <f t="shared" si="83"/>
        <v>0</v>
      </c>
      <c r="AQ143" s="1243"/>
      <c r="AR143" s="1125"/>
      <c r="AS143" s="1125"/>
      <c r="AT143" s="1125"/>
      <c r="AU143" s="1125"/>
      <c r="AV143" s="1126"/>
    </row>
    <row r="144" spans="1:48" ht="16.5" x14ac:dyDescent="0.25">
      <c r="A144" s="1445" t="s">
        <v>459</v>
      </c>
      <c r="B144" s="1373"/>
      <c r="C144" s="989"/>
      <c r="D144" s="989"/>
      <c r="E144" s="989">
        <f t="shared" si="80"/>
        <v>0</v>
      </c>
      <c r="F144" s="989">
        <f t="shared" ref="F144:AP144" si="84">F31</f>
        <v>0</v>
      </c>
      <c r="G144" s="989">
        <f t="shared" si="84"/>
        <v>0</v>
      </c>
      <c r="H144" s="989">
        <f t="shared" si="84"/>
        <v>0</v>
      </c>
      <c r="I144" s="989">
        <f t="shared" si="84"/>
        <v>0</v>
      </c>
      <c r="J144" s="989">
        <f t="shared" si="84"/>
        <v>0</v>
      </c>
      <c r="K144" s="989">
        <f t="shared" si="84"/>
        <v>0</v>
      </c>
      <c r="L144" s="989">
        <f t="shared" si="84"/>
        <v>0</v>
      </c>
      <c r="M144" s="989">
        <f t="shared" si="84"/>
        <v>0</v>
      </c>
      <c r="N144" s="989">
        <f t="shared" si="84"/>
        <v>0</v>
      </c>
      <c r="O144" s="989">
        <f t="shared" si="84"/>
        <v>0</v>
      </c>
      <c r="P144" s="989">
        <f t="shared" si="84"/>
        <v>0</v>
      </c>
      <c r="Q144" s="989">
        <f t="shared" si="84"/>
        <v>0</v>
      </c>
      <c r="R144" s="1253">
        <f t="shared" si="84"/>
        <v>0</v>
      </c>
      <c r="S144" s="989">
        <f t="shared" si="84"/>
        <v>0</v>
      </c>
      <c r="T144" s="989">
        <f t="shared" si="84"/>
        <v>0</v>
      </c>
      <c r="U144" s="989">
        <f t="shared" si="84"/>
        <v>0</v>
      </c>
      <c r="V144" s="989">
        <f t="shared" si="84"/>
        <v>0</v>
      </c>
      <c r="W144" s="989">
        <f t="shared" si="84"/>
        <v>0</v>
      </c>
      <c r="X144" s="989">
        <f t="shared" si="84"/>
        <v>0</v>
      </c>
      <c r="Y144" s="989">
        <f t="shared" si="84"/>
        <v>0</v>
      </c>
      <c r="Z144" s="989">
        <f t="shared" si="84"/>
        <v>0</v>
      </c>
      <c r="AA144" s="989">
        <f t="shared" si="84"/>
        <v>0</v>
      </c>
      <c r="AB144" s="989">
        <f t="shared" si="84"/>
        <v>0</v>
      </c>
      <c r="AC144" s="989">
        <f t="shared" si="84"/>
        <v>0</v>
      </c>
      <c r="AD144" s="989">
        <f t="shared" si="84"/>
        <v>0</v>
      </c>
      <c r="AE144" s="1253">
        <f t="shared" si="84"/>
        <v>0</v>
      </c>
      <c r="AF144" s="989">
        <f t="shared" si="84"/>
        <v>0</v>
      </c>
      <c r="AG144" s="989">
        <f t="shared" si="84"/>
        <v>0</v>
      </c>
      <c r="AH144" s="989">
        <f t="shared" si="84"/>
        <v>0</v>
      </c>
      <c r="AI144" s="989">
        <f t="shared" si="84"/>
        <v>0</v>
      </c>
      <c r="AJ144" s="989">
        <f t="shared" si="84"/>
        <v>0</v>
      </c>
      <c r="AK144" s="989">
        <f t="shared" si="84"/>
        <v>0</v>
      </c>
      <c r="AL144" s="989">
        <f t="shared" si="84"/>
        <v>0</v>
      </c>
      <c r="AM144" s="989">
        <f t="shared" si="84"/>
        <v>0</v>
      </c>
      <c r="AN144" s="989">
        <f t="shared" si="84"/>
        <v>0</v>
      </c>
      <c r="AO144" s="989">
        <f t="shared" si="84"/>
        <v>0</v>
      </c>
      <c r="AP144" s="1265">
        <f t="shared" si="84"/>
        <v>0</v>
      </c>
      <c r="AQ144" s="1243"/>
      <c r="AR144" s="1125"/>
      <c r="AS144" s="1125"/>
      <c r="AT144" s="1125"/>
      <c r="AU144" s="1125"/>
      <c r="AV144" s="1126"/>
    </row>
    <row r="145" spans="1:48" ht="16.5" x14ac:dyDescent="0.25">
      <c r="A145" s="1253"/>
      <c r="B145" s="1266" t="s">
        <v>479</v>
      </c>
      <c r="C145" s="989"/>
      <c r="D145" s="989"/>
      <c r="E145" s="989">
        <f t="shared" si="80"/>
        <v>0</v>
      </c>
      <c r="F145" s="989">
        <f t="shared" ref="F145:AP145" si="85">F32</f>
        <v>21600000000</v>
      </c>
      <c r="G145" s="989">
        <f t="shared" si="85"/>
        <v>21600000000</v>
      </c>
      <c r="H145" s="989">
        <f t="shared" si="85"/>
        <v>21600000000</v>
      </c>
      <c r="I145" s="989">
        <f t="shared" si="85"/>
        <v>21600000000</v>
      </c>
      <c r="J145" s="989">
        <f t="shared" si="85"/>
        <v>21600000000</v>
      </c>
      <c r="K145" s="989">
        <f t="shared" si="85"/>
        <v>21600000000</v>
      </c>
      <c r="L145" s="989">
        <f t="shared" si="85"/>
        <v>21600000000</v>
      </c>
      <c r="M145" s="989">
        <f t="shared" si="85"/>
        <v>21600000000</v>
      </c>
      <c r="N145" s="989">
        <f t="shared" si="85"/>
        <v>21600000000</v>
      </c>
      <c r="O145" s="989">
        <f t="shared" si="85"/>
        <v>21600000000</v>
      </c>
      <c r="P145" s="989">
        <f t="shared" si="85"/>
        <v>21600000000</v>
      </c>
      <c r="Q145" s="989">
        <f t="shared" si="85"/>
        <v>0</v>
      </c>
      <c r="R145" s="1253">
        <f t="shared" si="85"/>
        <v>0</v>
      </c>
      <c r="S145" s="989">
        <f t="shared" si="85"/>
        <v>0</v>
      </c>
      <c r="T145" s="989">
        <f t="shared" si="85"/>
        <v>0</v>
      </c>
      <c r="U145" s="989">
        <f t="shared" si="85"/>
        <v>0</v>
      </c>
      <c r="V145" s="989">
        <f t="shared" si="85"/>
        <v>0</v>
      </c>
      <c r="W145" s="989">
        <f t="shared" si="85"/>
        <v>0</v>
      </c>
      <c r="X145" s="989">
        <f t="shared" si="85"/>
        <v>0</v>
      </c>
      <c r="Y145" s="989">
        <f t="shared" si="85"/>
        <v>0</v>
      </c>
      <c r="Z145" s="989">
        <f t="shared" si="85"/>
        <v>0</v>
      </c>
      <c r="AA145" s="989">
        <f t="shared" si="85"/>
        <v>0</v>
      </c>
      <c r="AB145" s="989">
        <f t="shared" si="85"/>
        <v>0</v>
      </c>
      <c r="AC145" s="989">
        <f t="shared" si="85"/>
        <v>0</v>
      </c>
      <c r="AD145" s="989">
        <f t="shared" si="85"/>
        <v>0</v>
      </c>
      <c r="AE145" s="1253">
        <f t="shared" si="85"/>
        <v>0</v>
      </c>
      <c r="AF145" s="989">
        <f t="shared" si="85"/>
        <v>0</v>
      </c>
      <c r="AG145" s="989">
        <f t="shared" si="85"/>
        <v>0</v>
      </c>
      <c r="AH145" s="989">
        <f t="shared" si="85"/>
        <v>0</v>
      </c>
      <c r="AI145" s="989">
        <f t="shared" si="85"/>
        <v>0</v>
      </c>
      <c r="AJ145" s="989">
        <f t="shared" si="85"/>
        <v>0</v>
      </c>
      <c r="AK145" s="989">
        <f t="shared" si="85"/>
        <v>0</v>
      </c>
      <c r="AL145" s="989">
        <f t="shared" si="85"/>
        <v>0</v>
      </c>
      <c r="AM145" s="989">
        <f t="shared" si="85"/>
        <v>0</v>
      </c>
      <c r="AN145" s="989">
        <f t="shared" si="85"/>
        <v>0</v>
      </c>
      <c r="AO145" s="989">
        <f t="shared" si="85"/>
        <v>0</v>
      </c>
      <c r="AP145" s="1265">
        <f t="shared" si="85"/>
        <v>0</v>
      </c>
      <c r="AQ145" s="1243"/>
      <c r="AR145" s="1125"/>
      <c r="AS145" s="1125"/>
      <c r="AT145" s="1125"/>
      <c r="AU145" s="1125"/>
      <c r="AV145" s="1126"/>
    </row>
    <row r="146" spans="1:48" ht="16.5" x14ac:dyDescent="0.25">
      <c r="A146" s="1253"/>
      <c r="B146" s="1266" t="s">
        <v>480</v>
      </c>
      <c r="C146" s="989"/>
      <c r="D146" s="989"/>
      <c r="E146" s="989">
        <f t="shared" ca="1" si="80"/>
        <v>0</v>
      </c>
      <c r="F146" s="989">
        <f t="shared" ref="F146:AP146" ca="1" si="86">F33</f>
        <v>0</v>
      </c>
      <c r="G146" s="989">
        <f t="shared" ca="1" si="86"/>
        <v>0</v>
      </c>
      <c r="H146" s="989">
        <f t="shared" ca="1" si="86"/>
        <v>0</v>
      </c>
      <c r="I146" s="989">
        <f t="shared" ca="1" si="86"/>
        <v>14399999999.999996</v>
      </c>
      <c r="J146" s="989">
        <f t="shared" ca="1" si="86"/>
        <v>14399999999.999996</v>
      </c>
      <c r="K146" s="989">
        <f t="shared" ca="1" si="86"/>
        <v>14399999999.999996</v>
      </c>
      <c r="L146" s="989">
        <f t="shared" ca="1" si="86"/>
        <v>14399999999.999996</v>
      </c>
      <c r="M146" s="989">
        <f t="shared" ca="1" si="86"/>
        <v>14399999999.999996</v>
      </c>
      <c r="N146" s="989">
        <f t="shared" ca="1" si="86"/>
        <v>14399999999.999996</v>
      </c>
      <c r="O146" s="989">
        <f t="shared" ca="1" si="86"/>
        <v>14399999999.999996</v>
      </c>
      <c r="P146" s="989">
        <f t="shared" ca="1" si="86"/>
        <v>14399999999.999996</v>
      </c>
      <c r="Q146" s="989">
        <f t="shared" si="86"/>
        <v>0</v>
      </c>
      <c r="R146" s="1253">
        <f t="shared" ca="1" si="86"/>
        <v>0</v>
      </c>
      <c r="S146" s="989">
        <f t="shared" ca="1" si="86"/>
        <v>0</v>
      </c>
      <c r="T146" s="989">
        <f t="shared" ca="1" si="86"/>
        <v>0</v>
      </c>
      <c r="U146" s="989">
        <f t="shared" ca="1" si="86"/>
        <v>0</v>
      </c>
      <c r="V146" s="989">
        <f t="shared" ca="1" si="86"/>
        <v>14399999999.999996</v>
      </c>
      <c r="W146" s="989">
        <f t="shared" ca="1" si="86"/>
        <v>14399999999.999996</v>
      </c>
      <c r="X146" s="989">
        <f t="shared" ca="1" si="86"/>
        <v>14399999999.999996</v>
      </c>
      <c r="Y146" s="989">
        <f t="shared" ca="1" si="86"/>
        <v>14399999999.999996</v>
      </c>
      <c r="Z146" s="989">
        <f t="shared" ca="1" si="86"/>
        <v>14399999999.999996</v>
      </c>
      <c r="AA146" s="989">
        <f t="shared" ca="1" si="86"/>
        <v>14399999999.999996</v>
      </c>
      <c r="AB146" s="989">
        <f t="shared" ca="1" si="86"/>
        <v>14399999999.999996</v>
      </c>
      <c r="AC146" s="989">
        <f t="shared" ca="1" si="86"/>
        <v>14399999999.999996</v>
      </c>
      <c r="AD146" s="989">
        <f t="shared" si="86"/>
        <v>0</v>
      </c>
      <c r="AE146" s="1253">
        <f t="shared" ca="1" si="86"/>
        <v>0</v>
      </c>
      <c r="AF146" s="989">
        <f t="shared" ca="1" si="86"/>
        <v>0</v>
      </c>
      <c r="AG146" s="989">
        <f t="shared" ca="1" si="86"/>
        <v>0</v>
      </c>
      <c r="AH146" s="989">
        <f t="shared" ca="1" si="86"/>
        <v>0</v>
      </c>
      <c r="AI146" s="989">
        <f t="shared" ca="1" si="86"/>
        <v>14399999999.999996</v>
      </c>
      <c r="AJ146" s="989">
        <f t="shared" ca="1" si="86"/>
        <v>14399999999.999996</v>
      </c>
      <c r="AK146" s="989">
        <f t="shared" ca="1" si="86"/>
        <v>14399999999.999996</v>
      </c>
      <c r="AL146" s="989">
        <f t="shared" ca="1" si="86"/>
        <v>14399999999.999996</v>
      </c>
      <c r="AM146" s="989">
        <f t="shared" ca="1" si="86"/>
        <v>14399999999.999996</v>
      </c>
      <c r="AN146" s="989">
        <f t="shared" ca="1" si="86"/>
        <v>14399999999.999996</v>
      </c>
      <c r="AO146" s="989">
        <f t="shared" ca="1" si="86"/>
        <v>14399999999.999996</v>
      </c>
      <c r="AP146" s="1265">
        <f t="shared" ca="1" si="86"/>
        <v>14399999999.999996</v>
      </c>
      <c r="AQ146" s="1243"/>
      <c r="AR146" s="1125"/>
      <c r="AS146" s="1125"/>
      <c r="AT146" s="1125"/>
      <c r="AU146" s="1125"/>
      <c r="AV146" s="1126"/>
    </row>
    <row r="147" spans="1:48" ht="16.5" x14ac:dyDescent="0.25">
      <c r="A147" s="1445" t="s">
        <v>463</v>
      </c>
      <c r="B147" s="1373"/>
      <c r="C147" s="989"/>
      <c r="D147" s="989"/>
      <c r="E147" s="989">
        <f t="shared" si="80"/>
        <v>0</v>
      </c>
      <c r="F147" s="989">
        <f t="shared" ref="F147:AP147" si="87">F34</f>
        <v>0</v>
      </c>
      <c r="G147" s="989">
        <f t="shared" si="87"/>
        <v>0</v>
      </c>
      <c r="H147" s="989">
        <f t="shared" si="87"/>
        <v>0</v>
      </c>
      <c r="I147" s="989">
        <f t="shared" si="87"/>
        <v>0</v>
      </c>
      <c r="J147" s="989">
        <f t="shared" si="87"/>
        <v>0</v>
      </c>
      <c r="K147" s="989">
        <f t="shared" si="87"/>
        <v>0</v>
      </c>
      <c r="L147" s="989">
        <f t="shared" si="87"/>
        <v>0</v>
      </c>
      <c r="M147" s="989">
        <f t="shared" si="87"/>
        <v>0</v>
      </c>
      <c r="N147" s="989">
        <f t="shared" si="87"/>
        <v>0</v>
      </c>
      <c r="O147" s="989">
        <f t="shared" si="87"/>
        <v>0</v>
      </c>
      <c r="P147" s="989">
        <f t="shared" si="87"/>
        <v>0</v>
      </c>
      <c r="Q147" s="989">
        <f t="shared" si="87"/>
        <v>0</v>
      </c>
      <c r="R147" s="1253">
        <f t="shared" si="87"/>
        <v>0</v>
      </c>
      <c r="S147" s="989">
        <f t="shared" si="87"/>
        <v>0</v>
      </c>
      <c r="T147" s="989">
        <f t="shared" si="87"/>
        <v>0</v>
      </c>
      <c r="U147" s="989">
        <f t="shared" si="87"/>
        <v>0</v>
      </c>
      <c r="V147" s="989">
        <f t="shared" si="87"/>
        <v>0</v>
      </c>
      <c r="W147" s="989">
        <f t="shared" si="87"/>
        <v>0</v>
      </c>
      <c r="X147" s="989">
        <f t="shared" si="87"/>
        <v>0</v>
      </c>
      <c r="Y147" s="989">
        <f t="shared" si="87"/>
        <v>0</v>
      </c>
      <c r="Z147" s="989">
        <f t="shared" si="87"/>
        <v>0</v>
      </c>
      <c r="AA147" s="989">
        <f t="shared" si="87"/>
        <v>0</v>
      </c>
      <c r="AB147" s="989">
        <f t="shared" si="87"/>
        <v>0</v>
      </c>
      <c r="AC147" s="989">
        <f t="shared" si="87"/>
        <v>0</v>
      </c>
      <c r="AD147" s="989">
        <f t="shared" si="87"/>
        <v>0</v>
      </c>
      <c r="AE147" s="1253">
        <f t="shared" si="87"/>
        <v>0</v>
      </c>
      <c r="AF147" s="989">
        <f t="shared" si="87"/>
        <v>0</v>
      </c>
      <c r="AG147" s="989">
        <f t="shared" si="87"/>
        <v>0</v>
      </c>
      <c r="AH147" s="989">
        <f t="shared" si="87"/>
        <v>0</v>
      </c>
      <c r="AI147" s="989">
        <f t="shared" si="87"/>
        <v>0</v>
      </c>
      <c r="AJ147" s="989">
        <f t="shared" si="87"/>
        <v>0</v>
      </c>
      <c r="AK147" s="989">
        <f t="shared" si="87"/>
        <v>0</v>
      </c>
      <c r="AL147" s="989">
        <f t="shared" si="87"/>
        <v>0</v>
      </c>
      <c r="AM147" s="989">
        <f t="shared" si="87"/>
        <v>0</v>
      </c>
      <c r="AN147" s="989">
        <f t="shared" si="87"/>
        <v>0</v>
      </c>
      <c r="AO147" s="989">
        <f t="shared" si="87"/>
        <v>0</v>
      </c>
      <c r="AP147" s="1265">
        <f t="shared" si="87"/>
        <v>0</v>
      </c>
      <c r="AQ147" s="1243"/>
      <c r="AR147" s="1125"/>
      <c r="AS147" s="1125"/>
      <c r="AT147" s="1125"/>
      <c r="AU147" s="1125"/>
      <c r="AV147" s="1126"/>
    </row>
    <row r="148" spans="1:48" ht="16.5" x14ac:dyDescent="0.25">
      <c r="A148" s="1253"/>
      <c r="B148" s="1266" t="s">
        <v>482</v>
      </c>
      <c r="C148" s="989"/>
      <c r="D148" s="989"/>
      <c r="E148" s="989">
        <f t="shared" ref="E148:AP148" si="88">E36</f>
        <v>0</v>
      </c>
      <c r="F148" s="989">
        <f t="shared" si="88"/>
        <v>0</v>
      </c>
      <c r="G148" s="989">
        <f t="shared" si="88"/>
        <v>0</v>
      </c>
      <c r="H148" s="989">
        <f t="shared" si="88"/>
        <v>0</v>
      </c>
      <c r="I148" s="989">
        <f t="shared" si="88"/>
        <v>0</v>
      </c>
      <c r="J148" s="989">
        <f t="shared" si="88"/>
        <v>-1199999999.9999998</v>
      </c>
      <c r="K148" s="989">
        <f t="shared" si="88"/>
        <v>-2399999999.9999995</v>
      </c>
      <c r="L148" s="989">
        <f t="shared" si="88"/>
        <v>-3599999999.999999</v>
      </c>
      <c r="M148" s="989">
        <f t="shared" si="88"/>
        <v>-4799999999.999999</v>
      </c>
      <c r="N148" s="989">
        <f t="shared" si="88"/>
        <v>-5999999999.999999</v>
      </c>
      <c r="O148" s="989">
        <f t="shared" si="88"/>
        <v>-7199999999.999999</v>
      </c>
      <c r="P148" s="989">
        <f t="shared" si="88"/>
        <v>-8399999999.999999</v>
      </c>
      <c r="Q148" s="989">
        <f t="shared" si="88"/>
        <v>0</v>
      </c>
      <c r="R148" s="1253">
        <f t="shared" si="88"/>
        <v>-1199999999.9999998</v>
      </c>
      <c r="S148" s="989">
        <f t="shared" si="88"/>
        <v>-2399999999.9999995</v>
      </c>
      <c r="T148" s="989">
        <f t="shared" si="88"/>
        <v>-3599999999.999999</v>
      </c>
      <c r="U148" s="989">
        <f t="shared" si="88"/>
        <v>-4799999999.999999</v>
      </c>
      <c r="V148" s="989">
        <f t="shared" si="88"/>
        <v>-5999999999.999999</v>
      </c>
      <c r="W148" s="989">
        <f t="shared" si="88"/>
        <v>-7199999999.9999981</v>
      </c>
      <c r="X148" s="989">
        <f t="shared" si="88"/>
        <v>-8399999999.9999981</v>
      </c>
      <c r="Y148" s="989">
        <f t="shared" si="88"/>
        <v>-9599999999.9999981</v>
      </c>
      <c r="Z148" s="989">
        <f t="shared" si="88"/>
        <v>-10799999999.999998</v>
      </c>
      <c r="AA148" s="989">
        <f t="shared" si="88"/>
        <v>-11999999999.999998</v>
      </c>
      <c r="AB148" s="989">
        <f t="shared" si="88"/>
        <v>-13199999999.999998</v>
      </c>
      <c r="AC148" s="989">
        <f t="shared" si="88"/>
        <v>-14399999999.999998</v>
      </c>
      <c r="AD148" s="989">
        <f t="shared" si="88"/>
        <v>0</v>
      </c>
      <c r="AE148" s="1253">
        <f t="shared" si="88"/>
        <v>-1199999999.9999998</v>
      </c>
      <c r="AF148" s="989">
        <f t="shared" si="88"/>
        <v>-2399999999.9999995</v>
      </c>
      <c r="AG148" s="989">
        <f t="shared" si="88"/>
        <v>-3599999999.999999</v>
      </c>
      <c r="AH148" s="989">
        <f t="shared" si="88"/>
        <v>-4799999999.999999</v>
      </c>
      <c r="AI148" s="989">
        <f t="shared" si="88"/>
        <v>-5999999999.999999</v>
      </c>
      <c r="AJ148" s="989">
        <f t="shared" si="88"/>
        <v>-7199999999.9999981</v>
      </c>
      <c r="AK148" s="989">
        <f t="shared" si="88"/>
        <v>-8399999999.9999981</v>
      </c>
      <c r="AL148" s="989">
        <f t="shared" si="88"/>
        <v>-9599999999.9999981</v>
      </c>
      <c r="AM148" s="989">
        <f t="shared" si="88"/>
        <v>-10799999999.999998</v>
      </c>
      <c r="AN148" s="989">
        <f t="shared" si="88"/>
        <v>-11999999999.999998</v>
      </c>
      <c r="AO148" s="989">
        <f t="shared" si="88"/>
        <v>-13199999999.999998</v>
      </c>
      <c r="AP148" s="1265">
        <f t="shared" si="88"/>
        <v>-14399999999.999998</v>
      </c>
      <c r="AQ148" s="1243"/>
      <c r="AR148" s="1125"/>
      <c r="AS148" s="1125"/>
      <c r="AT148" s="1125"/>
      <c r="AU148" s="1125"/>
      <c r="AV148" s="1126"/>
    </row>
    <row r="149" spans="1:48" ht="16.5" x14ac:dyDescent="0.25">
      <c r="A149" s="1446" t="s">
        <v>484</v>
      </c>
      <c r="B149" s="1373"/>
      <c r="C149" s="1267"/>
      <c r="D149" s="1267"/>
      <c r="E149" s="1267">
        <f t="shared" ref="E149:AP149" ca="1" si="89">E38</f>
        <v>0</v>
      </c>
      <c r="F149" s="1267">
        <f t="shared" ca="1" si="89"/>
        <v>21600000000</v>
      </c>
      <c r="G149" s="1267">
        <f t="shared" ca="1" si="89"/>
        <v>21600000000</v>
      </c>
      <c r="H149" s="1267">
        <f t="shared" ca="1" si="89"/>
        <v>21600000000</v>
      </c>
      <c r="I149" s="1267">
        <f t="shared" ca="1" si="89"/>
        <v>36000000000</v>
      </c>
      <c r="J149" s="1267">
        <f t="shared" ca="1" si="89"/>
        <v>34800000000</v>
      </c>
      <c r="K149" s="1267">
        <f t="shared" ca="1" si="89"/>
        <v>33600000000</v>
      </c>
      <c r="L149" s="1267">
        <f t="shared" ca="1" si="89"/>
        <v>32400000000</v>
      </c>
      <c r="M149" s="1267">
        <f t="shared" ca="1" si="89"/>
        <v>31200000000</v>
      </c>
      <c r="N149" s="1267">
        <f t="shared" ca="1" si="89"/>
        <v>30000000000</v>
      </c>
      <c r="O149" s="1267">
        <f t="shared" ca="1" si="89"/>
        <v>28800000000</v>
      </c>
      <c r="P149" s="1267">
        <f t="shared" ca="1" si="89"/>
        <v>27600000000</v>
      </c>
      <c r="Q149" s="1267">
        <f t="shared" si="89"/>
        <v>0</v>
      </c>
      <c r="R149" s="1282">
        <f t="shared" ca="1" si="89"/>
        <v>-1199999999.9999998</v>
      </c>
      <c r="S149" s="1267">
        <f t="shared" ca="1" si="89"/>
        <v>-2399999999.9999995</v>
      </c>
      <c r="T149" s="1267">
        <f t="shared" ca="1" si="89"/>
        <v>-3599999999.999999</v>
      </c>
      <c r="U149" s="1267">
        <f t="shared" ca="1" si="89"/>
        <v>-4799999999.999999</v>
      </c>
      <c r="V149" s="1267">
        <f t="shared" ca="1" si="89"/>
        <v>8399999999.9999971</v>
      </c>
      <c r="W149" s="1267">
        <f t="shared" ca="1" si="89"/>
        <v>7199999999.9999981</v>
      </c>
      <c r="X149" s="1267">
        <f t="shared" ca="1" si="89"/>
        <v>5999999999.9999981</v>
      </c>
      <c r="Y149" s="1267">
        <f t="shared" ca="1" si="89"/>
        <v>4799999999.9999981</v>
      </c>
      <c r="Z149" s="1267">
        <f t="shared" ca="1" si="89"/>
        <v>3599999999.9999981</v>
      </c>
      <c r="AA149" s="1267">
        <f t="shared" ca="1" si="89"/>
        <v>2399999999.9999981</v>
      </c>
      <c r="AB149" s="1267">
        <f t="shared" ca="1" si="89"/>
        <v>1199999999.9999981</v>
      </c>
      <c r="AC149" s="1267">
        <f t="shared" ca="1" si="89"/>
        <v>0</v>
      </c>
      <c r="AD149" s="1267">
        <f t="shared" si="89"/>
        <v>0</v>
      </c>
      <c r="AE149" s="1282">
        <f t="shared" ca="1" si="89"/>
        <v>-1199999999.9999998</v>
      </c>
      <c r="AF149" s="1267">
        <f t="shared" ca="1" si="89"/>
        <v>-2399999999.9999995</v>
      </c>
      <c r="AG149" s="1267">
        <f t="shared" ca="1" si="89"/>
        <v>-3599999999.999999</v>
      </c>
      <c r="AH149" s="1267">
        <f t="shared" ca="1" si="89"/>
        <v>-4799999999.999999</v>
      </c>
      <c r="AI149" s="1267">
        <f t="shared" ca="1" si="89"/>
        <v>8399999999.9999971</v>
      </c>
      <c r="AJ149" s="1267">
        <f t="shared" ca="1" si="89"/>
        <v>7199999999.9999981</v>
      </c>
      <c r="AK149" s="1267">
        <f t="shared" ca="1" si="89"/>
        <v>5999999999.9999981</v>
      </c>
      <c r="AL149" s="1267">
        <f t="shared" ca="1" si="89"/>
        <v>4799999999.9999981</v>
      </c>
      <c r="AM149" s="1267">
        <f t="shared" ca="1" si="89"/>
        <v>3599999999.9999981</v>
      </c>
      <c r="AN149" s="1267">
        <f t="shared" ca="1" si="89"/>
        <v>2399999999.9999981</v>
      </c>
      <c r="AO149" s="1267">
        <f t="shared" ca="1" si="89"/>
        <v>1199999999.9999981</v>
      </c>
      <c r="AP149" s="1283">
        <f t="shared" ca="1" si="89"/>
        <v>0</v>
      </c>
      <c r="AQ149" s="1243"/>
      <c r="AR149" s="1125"/>
      <c r="AS149" s="1125"/>
      <c r="AT149" s="1125"/>
      <c r="AU149" s="1125"/>
      <c r="AV149" s="1126"/>
    </row>
    <row r="150" spans="1:48" ht="16.5" x14ac:dyDescent="0.25">
      <c r="A150" s="1447" t="s">
        <v>485</v>
      </c>
      <c r="B150" s="1373"/>
      <c r="C150" s="1284"/>
      <c r="D150" s="1284"/>
      <c r="E150" s="1285">
        <f t="shared" ref="E150:AP150" ca="1" si="90">E39</f>
        <v>-672250000</v>
      </c>
      <c r="F150" s="1285">
        <f t="shared" ca="1" si="90"/>
        <v>3355738095.2380943</v>
      </c>
      <c r="G150" s="1285">
        <f t="shared" ca="1" si="90"/>
        <v>2365013913.4199142</v>
      </c>
      <c r="H150" s="1285">
        <f t="shared" ca="1" si="90"/>
        <v>1300448087.3329582</v>
      </c>
      <c r="I150" s="1285">
        <f t="shared" ca="1" si="90"/>
        <v>-20402771390.92791</v>
      </c>
      <c r="J150" s="1285">
        <f t="shared" ca="1" si="90"/>
        <v>-24386214819.499344</v>
      </c>
      <c r="K150" s="1285">
        <f t="shared" ca="1" si="90"/>
        <v>-26967160819.499344</v>
      </c>
      <c r="L150" s="1285">
        <f t="shared" ca="1" si="90"/>
        <v>-27483755419.499344</v>
      </c>
      <c r="M150" s="1285">
        <f t="shared" ca="1" si="90"/>
        <v>-27864107019.499344</v>
      </c>
      <c r="N150" s="1285">
        <f t="shared" ca="1" si="90"/>
        <v>-28210114219.499336</v>
      </c>
      <c r="O150" s="1285">
        <f t="shared" ca="1" si="90"/>
        <v>-28844200419.499336</v>
      </c>
      <c r="P150" s="1285">
        <f t="shared" ca="1" si="90"/>
        <v>-29265444619.499336</v>
      </c>
      <c r="Q150" s="1285">
        <f t="shared" si="90"/>
        <v>0</v>
      </c>
      <c r="R150" s="1286">
        <f t="shared" ca="1" si="90"/>
        <v>-616454599.99999952</v>
      </c>
      <c r="S150" s="1285">
        <f t="shared" ca="1" si="90"/>
        <v>-948726199.99999905</v>
      </c>
      <c r="T150" s="1285">
        <f t="shared" ca="1" si="90"/>
        <v>-1337820799.9999981</v>
      </c>
      <c r="U150" s="1285">
        <f t="shared" ca="1" si="90"/>
        <v>-1306228999.9999981</v>
      </c>
      <c r="V150" s="1285">
        <f t="shared" ca="1" si="90"/>
        <v>13184689000</v>
      </c>
      <c r="W150" s="1285">
        <f t="shared" ca="1" si="90"/>
        <v>12512944800</v>
      </c>
      <c r="X150" s="1285">
        <f t="shared" ca="1" si="90"/>
        <v>11814605800</v>
      </c>
      <c r="Y150" s="1285">
        <f t="shared" ca="1" si="90"/>
        <v>11557067800</v>
      </c>
      <c r="Z150" s="1285">
        <f t="shared" ca="1" si="90"/>
        <v>11443676800.000002</v>
      </c>
      <c r="AA150" s="1285">
        <f t="shared" ca="1" si="90"/>
        <v>10911935700.000004</v>
      </c>
      <c r="AB150" s="1285">
        <f t="shared" ca="1" si="90"/>
        <v>9021247300.0000038</v>
      </c>
      <c r="AC150" s="1285">
        <f t="shared" ca="1" si="90"/>
        <v>8639445500.0000076</v>
      </c>
      <c r="AD150" s="1285">
        <f t="shared" si="90"/>
        <v>0</v>
      </c>
      <c r="AE150" s="1286">
        <f t="shared" ca="1" si="90"/>
        <v>-156447828.57142854</v>
      </c>
      <c r="AF150" s="1285">
        <f t="shared" ca="1" si="90"/>
        <v>1061470071.4285722</v>
      </c>
      <c r="AG150" s="1285">
        <f t="shared" ca="1" si="90"/>
        <v>2073224971.4285736</v>
      </c>
      <c r="AH150" s="1285">
        <f t="shared" ca="1" si="90"/>
        <v>3578813171.4285736</v>
      </c>
      <c r="AI150" s="1285">
        <f t="shared" ca="1" si="90"/>
        <v>19192423171.42857</v>
      </c>
      <c r="AJ150" s="1285">
        <f t="shared" ca="1" si="90"/>
        <v>20268306371.428574</v>
      </c>
      <c r="AK150" s="1285">
        <f t="shared" ca="1" si="90"/>
        <v>21537525871.428574</v>
      </c>
      <c r="AL150" s="1285">
        <f t="shared" ca="1" si="90"/>
        <v>23247213871.428574</v>
      </c>
      <c r="AM150" s="1285">
        <f t="shared" ca="1" si="90"/>
        <v>25188934071.428574</v>
      </c>
      <c r="AN150" s="1285">
        <f t="shared" ca="1" si="90"/>
        <v>26945297371.428574</v>
      </c>
      <c r="AO150" s="1285">
        <f t="shared" ca="1" si="90"/>
        <v>28042230371.428574</v>
      </c>
      <c r="AP150" s="1287">
        <f t="shared" ca="1" si="90"/>
        <v>30680618971.428577</v>
      </c>
      <c r="AQ150" s="1243"/>
      <c r="AR150" s="1125"/>
      <c r="AS150" s="1125"/>
      <c r="AT150" s="1125"/>
      <c r="AU150" s="1125"/>
      <c r="AV150" s="1126"/>
    </row>
    <row r="151" spans="1:48" ht="16.5" x14ac:dyDescent="0.25">
      <c r="A151" s="1448" t="s">
        <v>486</v>
      </c>
      <c r="B151" s="1449"/>
      <c r="C151" s="1288"/>
      <c r="D151" s="1288"/>
      <c r="E151" s="1288">
        <f t="shared" ref="E151:AP151" ca="1" si="91">E40</f>
        <v>35327750000</v>
      </c>
      <c r="F151" s="1288">
        <f t="shared" ca="1" si="91"/>
        <v>39355738095.238098</v>
      </c>
      <c r="G151" s="1288">
        <f t="shared" ca="1" si="91"/>
        <v>38365013913.419914</v>
      </c>
      <c r="H151" s="1288">
        <f t="shared" ca="1" si="91"/>
        <v>37300448087.332954</v>
      </c>
      <c r="I151" s="1288">
        <f t="shared" ca="1" si="91"/>
        <v>15597228609.07209</v>
      </c>
      <c r="J151" s="1288">
        <f t="shared" ca="1" si="91"/>
        <v>11613785180.500656</v>
      </c>
      <c r="K151" s="1288">
        <f t="shared" ca="1" si="91"/>
        <v>9032839180.5006561</v>
      </c>
      <c r="L151" s="1288">
        <f t="shared" ca="1" si="91"/>
        <v>8516244580.5006561</v>
      </c>
      <c r="M151" s="1288">
        <f t="shared" ca="1" si="91"/>
        <v>8135892980.5006561</v>
      </c>
      <c r="N151" s="1288">
        <f t="shared" ca="1" si="91"/>
        <v>7789885780.5006561</v>
      </c>
      <c r="O151" s="1288">
        <f t="shared" ca="1" si="91"/>
        <v>7155799580.5006561</v>
      </c>
      <c r="P151" s="1288">
        <f t="shared" ca="1" si="91"/>
        <v>6734555380.5006561</v>
      </c>
      <c r="Q151" s="1288">
        <f t="shared" ca="1" si="91"/>
        <v>6734555380.5006561</v>
      </c>
      <c r="R151" s="1289">
        <f t="shared" ca="1" si="91"/>
        <v>6118100780.5006561</v>
      </c>
      <c r="S151" s="1288">
        <f t="shared" ca="1" si="91"/>
        <v>5785829180.5006561</v>
      </c>
      <c r="T151" s="1288">
        <f t="shared" ca="1" si="91"/>
        <v>5396734580.5006561</v>
      </c>
      <c r="U151" s="1288">
        <f t="shared" ca="1" si="91"/>
        <v>5428326380.5006552</v>
      </c>
      <c r="V151" s="1288">
        <f t="shared" ca="1" si="91"/>
        <v>19919244380.500652</v>
      </c>
      <c r="W151" s="1288">
        <f t="shared" ca="1" si="91"/>
        <v>19247500180.50066</v>
      </c>
      <c r="X151" s="1288">
        <f t="shared" ca="1" si="91"/>
        <v>18549161180.500664</v>
      </c>
      <c r="Y151" s="1288">
        <f t="shared" ca="1" si="91"/>
        <v>18291623180.500664</v>
      </c>
      <c r="Z151" s="1288">
        <f t="shared" ca="1" si="91"/>
        <v>18178232180.500664</v>
      </c>
      <c r="AA151" s="1288">
        <f t="shared" ca="1" si="91"/>
        <v>17646491080.500664</v>
      </c>
      <c r="AB151" s="1288">
        <f t="shared" ca="1" si="91"/>
        <v>15755802680.500666</v>
      </c>
      <c r="AC151" s="1288">
        <f t="shared" ca="1" si="91"/>
        <v>15374000880.500668</v>
      </c>
      <c r="AD151" s="1288">
        <f t="shared" ca="1" si="91"/>
        <v>15374000880.500668</v>
      </c>
      <c r="AE151" s="1289">
        <f t="shared" ca="1" si="91"/>
        <v>15217553051.929239</v>
      </c>
      <c r="AF151" s="1288">
        <f t="shared" ca="1" si="91"/>
        <v>16435470951.929241</v>
      </c>
      <c r="AG151" s="1288">
        <f t="shared" ca="1" si="91"/>
        <v>17447225851.929245</v>
      </c>
      <c r="AH151" s="1288">
        <f t="shared" ca="1" si="91"/>
        <v>18952814051.929245</v>
      </c>
      <c r="AI151" s="1288">
        <f t="shared" ca="1" si="91"/>
        <v>34566424051.929237</v>
      </c>
      <c r="AJ151" s="1288">
        <f t="shared" ca="1" si="91"/>
        <v>35642307251.929237</v>
      </c>
      <c r="AK151" s="1288">
        <f t="shared" ca="1" si="91"/>
        <v>36911526751.929237</v>
      </c>
      <c r="AL151" s="1288">
        <f t="shared" ca="1" si="91"/>
        <v>38621214751.929245</v>
      </c>
      <c r="AM151" s="1288">
        <f t="shared" ca="1" si="91"/>
        <v>40562934951.929245</v>
      </c>
      <c r="AN151" s="1288">
        <f t="shared" ca="1" si="91"/>
        <v>42319298251.929245</v>
      </c>
      <c r="AO151" s="1288">
        <f t="shared" ca="1" si="91"/>
        <v>43416231251.929245</v>
      </c>
      <c r="AP151" s="1290">
        <f t="shared" ca="1" si="91"/>
        <v>46054619851.929245</v>
      </c>
      <c r="AQ151" s="1243"/>
      <c r="AR151" s="1125"/>
      <c r="AS151" s="1125"/>
      <c r="AT151" s="1125"/>
      <c r="AU151" s="1125"/>
      <c r="AV151" s="1126"/>
    </row>
    <row r="152" spans="1:48" ht="12.75" x14ac:dyDescent="0.2">
      <c r="A152" s="1240"/>
      <c r="B152" s="1241"/>
      <c r="C152" s="1241"/>
      <c r="D152" s="1241"/>
      <c r="E152" s="1241"/>
      <c r="F152" s="1241"/>
      <c r="G152" s="1241"/>
      <c r="H152" s="1241"/>
      <c r="I152" s="1241"/>
      <c r="J152" s="1241"/>
      <c r="K152" s="1241"/>
      <c r="L152" s="1241"/>
      <c r="M152" s="1241"/>
      <c r="N152" s="1241"/>
      <c r="O152" s="1241"/>
      <c r="P152" s="1241"/>
      <c r="Q152" s="1241"/>
      <c r="R152" s="1241"/>
      <c r="S152" s="1241"/>
      <c r="T152" s="1241"/>
      <c r="U152" s="1241"/>
      <c r="V152" s="1241"/>
      <c r="W152" s="1241"/>
      <c r="X152" s="1241"/>
      <c r="Y152" s="1241"/>
      <c r="Z152" s="1241"/>
      <c r="AA152" s="1241"/>
      <c r="AB152" s="1241"/>
      <c r="AC152" s="1241"/>
      <c r="AD152" s="1241"/>
      <c r="AE152" s="1241"/>
      <c r="AF152" s="1241"/>
      <c r="AG152" s="1241"/>
      <c r="AH152" s="1241"/>
      <c r="AI152" s="1241"/>
      <c r="AJ152" s="1241"/>
      <c r="AK152" s="1241"/>
      <c r="AL152" s="1241"/>
      <c r="AM152" s="1241"/>
      <c r="AN152" s="1241"/>
      <c r="AO152" s="1241"/>
      <c r="AP152" s="1241"/>
      <c r="AQ152" s="1125"/>
      <c r="AR152" s="1125"/>
      <c r="AS152" s="1125"/>
      <c r="AT152" s="1125"/>
      <c r="AU152" s="1125"/>
      <c r="AV152" s="1126"/>
    </row>
    <row r="153" spans="1:48" ht="12.75" x14ac:dyDescent="0.2">
      <c r="A153" s="1243"/>
      <c r="B153" s="1125"/>
      <c r="C153" s="1125"/>
      <c r="D153" s="1125"/>
      <c r="E153" s="1125"/>
      <c r="F153" s="1125"/>
      <c r="G153" s="1125"/>
      <c r="H153" s="1125"/>
      <c r="I153" s="1125"/>
      <c r="J153" s="1125"/>
      <c r="K153" s="1125"/>
      <c r="L153" s="1125"/>
      <c r="M153" s="1125"/>
      <c r="N153" s="1125"/>
      <c r="O153" s="1125"/>
      <c r="P153" s="1125"/>
      <c r="Q153" s="1125"/>
      <c r="R153" s="1125"/>
      <c r="S153" s="1125"/>
      <c r="T153" s="1125"/>
      <c r="U153" s="1125"/>
      <c r="V153" s="1125"/>
      <c r="W153" s="1125"/>
      <c r="X153" s="1125"/>
      <c r="Y153" s="1125"/>
      <c r="Z153" s="1125"/>
      <c r="AA153" s="1125"/>
      <c r="AB153" s="1125"/>
      <c r="AC153" s="1125"/>
      <c r="AD153" s="1125"/>
      <c r="AE153" s="1125"/>
      <c r="AF153" s="1125"/>
      <c r="AG153" s="1125"/>
      <c r="AH153" s="1125"/>
      <c r="AI153" s="1125"/>
      <c r="AJ153" s="1125"/>
      <c r="AK153" s="1125"/>
      <c r="AL153" s="1125"/>
      <c r="AM153" s="1125"/>
      <c r="AN153" s="1125"/>
      <c r="AO153" s="1125"/>
      <c r="AP153" s="1125"/>
      <c r="AQ153" s="1125"/>
      <c r="AR153" s="1125"/>
      <c r="AS153" s="1125"/>
      <c r="AT153" s="1125"/>
      <c r="AU153" s="1125"/>
      <c r="AV153" s="1126"/>
    </row>
    <row r="154" spans="1:48" ht="12.75" x14ac:dyDescent="0.2">
      <c r="A154" s="1243"/>
      <c r="B154" s="1125"/>
      <c r="C154" s="1125"/>
      <c r="D154" s="1125"/>
      <c r="E154" s="1125"/>
      <c r="F154" s="1125"/>
      <c r="G154" s="1125"/>
      <c r="H154" s="1125"/>
      <c r="I154" s="1125"/>
      <c r="J154" s="1125"/>
      <c r="K154" s="1125"/>
      <c r="L154" s="1125"/>
      <c r="M154" s="1125"/>
      <c r="N154" s="1125"/>
      <c r="O154" s="1125"/>
      <c r="P154" s="1125"/>
      <c r="Q154" s="1125"/>
      <c r="R154" s="1125"/>
      <c r="S154" s="1125"/>
      <c r="T154" s="1125"/>
      <c r="U154" s="1125"/>
      <c r="V154" s="1125"/>
      <c r="W154" s="1125"/>
      <c r="X154" s="1125"/>
      <c r="Y154" s="1125"/>
      <c r="Z154" s="1125"/>
      <c r="AA154" s="1125"/>
      <c r="AB154" s="1125"/>
      <c r="AC154" s="1125"/>
      <c r="AD154" s="1125"/>
      <c r="AE154" s="1125"/>
      <c r="AF154" s="1125"/>
      <c r="AG154" s="1125"/>
      <c r="AH154" s="1125"/>
      <c r="AI154" s="1125"/>
      <c r="AJ154" s="1125"/>
      <c r="AK154" s="1125"/>
      <c r="AL154" s="1125"/>
      <c r="AM154" s="1125"/>
      <c r="AN154" s="1125"/>
      <c r="AO154" s="1125"/>
      <c r="AP154" s="1125"/>
      <c r="AQ154" s="1125"/>
      <c r="AR154" s="1125"/>
      <c r="AS154" s="1125"/>
      <c r="AT154" s="1125"/>
      <c r="AU154" s="1125"/>
      <c r="AV154" s="1126"/>
    </row>
    <row r="155" spans="1:48" ht="12.75" x14ac:dyDescent="0.2">
      <c r="A155" s="1244"/>
      <c r="B155" s="725"/>
      <c r="C155" s="725"/>
      <c r="D155" s="725"/>
      <c r="E155" s="725"/>
      <c r="F155" s="725"/>
      <c r="G155" s="725"/>
      <c r="H155" s="725"/>
      <c r="I155" s="725"/>
      <c r="J155" s="725"/>
      <c r="K155" s="725"/>
      <c r="L155" s="725"/>
      <c r="M155" s="725"/>
      <c r="N155" s="725"/>
      <c r="O155" s="725"/>
      <c r="P155" s="725"/>
      <c r="Q155" s="725"/>
      <c r="R155" s="725"/>
      <c r="S155" s="725"/>
      <c r="T155" s="725"/>
      <c r="U155" s="725"/>
      <c r="V155" s="725"/>
      <c r="W155" s="725"/>
      <c r="X155" s="725"/>
      <c r="Y155" s="725"/>
      <c r="Z155" s="725"/>
      <c r="AA155" s="725"/>
      <c r="AB155" s="725"/>
      <c r="AC155" s="725"/>
      <c r="AD155" s="725"/>
      <c r="AE155" s="725"/>
      <c r="AF155" s="725"/>
      <c r="AG155" s="725"/>
      <c r="AH155" s="725"/>
      <c r="AI155" s="725"/>
      <c r="AJ155" s="725"/>
      <c r="AK155" s="725"/>
      <c r="AL155" s="725"/>
      <c r="AM155" s="725"/>
      <c r="AN155" s="725"/>
      <c r="AO155" s="725"/>
      <c r="AP155" s="725"/>
      <c r="AQ155" s="725"/>
      <c r="AR155" s="725"/>
      <c r="AS155" s="725"/>
      <c r="AT155" s="725"/>
      <c r="AU155" s="725"/>
      <c r="AV155" s="1319"/>
    </row>
  </sheetData>
  <mergeCells count="99">
    <mergeCell ref="A53:B53"/>
    <mergeCell ref="A59:B59"/>
    <mergeCell ref="A60:B60"/>
    <mergeCell ref="A61:B61"/>
    <mergeCell ref="A65:B65"/>
    <mergeCell ref="A69:B69"/>
    <mergeCell ref="A70:B70"/>
    <mergeCell ref="A71:B71"/>
    <mergeCell ref="A74:B74"/>
    <mergeCell ref="A78:B78"/>
    <mergeCell ref="A79:B79"/>
    <mergeCell ref="A80:B80"/>
    <mergeCell ref="A87:B87"/>
    <mergeCell ref="A88:B88"/>
    <mergeCell ref="I104:J104"/>
    <mergeCell ref="I87:J87"/>
    <mergeCell ref="I88:J88"/>
    <mergeCell ref="I93:J93"/>
    <mergeCell ref="I99:J99"/>
    <mergeCell ref="I100:J100"/>
    <mergeCell ref="I101:J101"/>
    <mergeCell ref="I103:J103"/>
    <mergeCell ref="A93:B93"/>
    <mergeCell ref="A99:B99"/>
    <mergeCell ref="A100:B100"/>
    <mergeCell ref="A101:B101"/>
    <mergeCell ref="I105:J105"/>
    <mergeCell ref="I108:J108"/>
    <mergeCell ref="I110:J110"/>
    <mergeCell ref="I111:J111"/>
    <mergeCell ref="I112:J112"/>
    <mergeCell ref="A105:B105"/>
    <mergeCell ref="A109:B109"/>
    <mergeCell ref="A110:B110"/>
    <mergeCell ref="A111:B111"/>
    <mergeCell ref="A114:B114"/>
    <mergeCell ref="A118:B118"/>
    <mergeCell ref="A119:B119"/>
    <mergeCell ref="A120:B120"/>
    <mergeCell ref="A126:B126"/>
    <mergeCell ref="A127:B127"/>
    <mergeCell ref="A147:B147"/>
    <mergeCell ref="A149:B149"/>
    <mergeCell ref="A150:B150"/>
    <mergeCell ref="A151:B151"/>
    <mergeCell ref="A132:B132"/>
    <mergeCell ref="A138:B138"/>
    <mergeCell ref="A139:B139"/>
    <mergeCell ref="A140:B140"/>
    <mergeCell ref="A142:B142"/>
    <mergeCell ref="A143:B143"/>
    <mergeCell ref="A144:B144"/>
    <mergeCell ref="AK20:AL20"/>
    <mergeCell ref="AM20:AN20"/>
    <mergeCell ref="G20:H20"/>
    <mergeCell ref="I20:J20"/>
    <mergeCell ref="K20:L20"/>
    <mergeCell ref="M20:N20"/>
    <mergeCell ref="R20:S20"/>
    <mergeCell ref="T20:U20"/>
    <mergeCell ref="V20:W20"/>
    <mergeCell ref="X20:Y20"/>
    <mergeCell ref="Z20:AA20"/>
    <mergeCell ref="AE20:AF20"/>
    <mergeCell ref="AG20:AH20"/>
    <mergeCell ref="AI20:AJ20"/>
    <mergeCell ref="A1:E4"/>
    <mergeCell ref="A7:B7"/>
    <mergeCell ref="A8:B8"/>
    <mergeCell ref="A13:B13"/>
    <mergeCell ref="A19:B19"/>
    <mergeCell ref="A20:B20"/>
    <mergeCell ref="E20:F20"/>
    <mergeCell ref="AE30:AF30"/>
    <mergeCell ref="AG30:AH30"/>
    <mergeCell ref="AI30:AJ30"/>
    <mergeCell ref="A21:B21"/>
    <mergeCell ref="A25:B25"/>
    <mergeCell ref="A29:B29"/>
    <mergeCell ref="A30:B30"/>
    <mergeCell ref="E30:F30"/>
    <mergeCell ref="G30:H30"/>
    <mergeCell ref="I30:J30"/>
    <mergeCell ref="AK30:AL30"/>
    <mergeCell ref="AM30:AN30"/>
    <mergeCell ref="K30:L30"/>
    <mergeCell ref="M30:N30"/>
    <mergeCell ref="R30:S30"/>
    <mergeCell ref="T30:U30"/>
    <mergeCell ref="V30:W30"/>
    <mergeCell ref="X30:Y30"/>
    <mergeCell ref="Z30:AA30"/>
    <mergeCell ref="A47:B47"/>
    <mergeCell ref="A48:B48"/>
    <mergeCell ref="A31:B31"/>
    <mergeCell ref="A34:B34"/>
    <mergeCell ref="A38:B38"/>
    <mergeCell ref="A39:B39"/>
    <mergeCell ref="A40:B40"/>
  </mergeCells>
  <conditionalFormatting sqref="A42:A43 A82:A83 I84 A123">
    <cfRule type="cellIs" dxfId="4" priority="1" operator="equal">
      <formula>0</formula>
    </cfRule>
  </conditionalFormatting>
  <conditionalFormatting sqref="A13:AV18 A132:AP137">
    <cfRule type="cellIs" dxfId="3" priority="4" operator="greaterThan">
      <formula>0</formula>
    </cfRule>
  </conditionalFormatting>
  <conditionalFormatting sqref="E49:P52 B89:B90 J89:J90 A89:A92 C89:I92 K89:AV92 B92 J92">
    <cfRule type="cellIs" dxfId="2" priority="2" operator="lessThan">
      <formula>0</formula>
    </cfRule>
  </conditionalFormatting>
  <conditionalFormatting sqref="E65:P68 I101:M102 A105:H108 N105:AV108">
    <cfRule type="cellIs" dxfId="1" priority="3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41B47"/>
    <outlinePr summaryBelow="0" summaryRight="0"/>
  </sheetPr>
  <dimension ref="A1:AT1001"/>
  <sheetViews>
    <sheetView workbookViewId="0"/>
  </sheetViews>
  <sheetFormatPr defaultColWidth="12.5703125" defaultRowHeight="15.75" customHeight="1" x14ac:dyDescent="0.2"/>
  <cols>
    <col min="6" max="7" width="12.5703125" hidden="1"/>
  </cols>
  <sheetData>
    <row r="1" spans="1:46" ht="12.75" x14ac:dyDescent="0.2">
      <c r="A1" s="1379" t="s">
        <v>501</v>
      </c>
      <c r="B1" s="1380"/>
      <c r="C1" s="1380"/>
      <c r="D1" s="1380"/>
      <c r="E1" s="1380"/>
      <c r="F1" s="259"/>
      <c r="G1" s="259"/>
      <c r="H1" s="1376">
        <v>2025</v>
      </c>
      <c r="I1" s="1367"/>
      <c r="J1" s="1367"/>
      <c r="K1" s="1367"/>
      <c r="L1" s="1367"/>
      <c r="M1" s="1367"/>
      <c r="N1" s="1367"/>
      <c r="O1" s="1367"/>
      <c r="P1" s="1367"/>
      <c r="Q1" s="1367"/>
      <c r="R1" s="1367"/>
      <c r="S1" s="1368"/>
      <c r="T1" s="166"/>
      <c r="U1" s="1377">
        <v>2026</v>
      </c>
      <c r="V1" s="1367"/>
      <c r="W1" s="1367"/>
      <c r="X1" s="1367"/>
      <c r="Y1" s="1367"/>
      <c r="Z1" s="1367"/>
      <c r="AA1" s="1367"/>
      <c r="AB1" s="1367"/>
      <c r="AC1" s="1367"/>
      <c r="AD1" s="1367"/>
      <c r="AE1" s="1367"/>
      <c r="AF1" s="1368"/>
      <c r="AG1" s="167"/>
      <c r="AH1" s="1376">
        <v>2027</v>
      </c>
      <c r="AI1" s="1367"/>
      <c r="AJ1" s="1367"/>
      <c r="AK1" s="1367"/>
      <c r="AL1" s="1367"/>
      <c r="AM1" s="1367"/>
      <c r="AN1" s="1367"/>
      <c r="AO1" s="1367"/>
      <c r="AP1" s="1367"/>
      <c r="AQ1" s="1367"/>
      <c r="AR1" s="1367"/>
      <c r="AS1" s="1368"/>
      <c r="AT1" s="243"/>
    </row>
    <row r="2" spans="1:46" ht="12.75" x14ac:dyDescent="0.2">
      <c r="A2" s="1381"/>
      <c r="B2" s="1343"/>
      <c r="C2" s="1343"/>
      <c r="D2" s="1343"/>
      <c r="E2" s="1343"/>
      <c r="F2" s="259"/>
      <c r="G2" s="259"/>
      <c r="H2" s="1378" t="s">
        <v>118</v>
      </c>
      <c r="I2" s="1367"/>
      <c r="J2" s="1368"/>
      <c r="K2" s="1371" t="s">
        <v>119</v>
      </c>
      <c r="L2" s="1367"/>
      <c r="M2" s="1368"/>
      <c r="N2" s="1371" t="s">
        <v>120</v>
      </c>
      <c r="O2" s="1367"/>
      <c r="P2" s="1368"/>
      <c r="Q2" s="1371" t="s">
        <v>121</v>
      </c>
      <c r="R2" s="1367"/>
      <c r="S2" s="1368"/>
      <c r="T2" s="174"/>
      <c r="U2" s="1378" t="s">
        <v>118</v>
      </c>
      <c r="V2" s="1367"/>
      <c r="W2" s="1368"/>
      <c r="X2" s="1371" t="s">
        <v>119</v>
      </c>
      <c r="Y2" s="1367"/>
      <c r="Z2" s="1368"/>
      <c r="AA2" s="1371" t="s">
        <v>120</v>
      </c>
      <c r="AB2" s="1367"/>
      <c r="AC2" s="1368"/>
      <c r="AD2" s="1371" t="s">
        <v>121</v>
      </c>
      <c r="AE2" s="1367"/>
      <c r="AF2" s="1368"/>
      <c r="AG2" s="174"/>
      <c r="AH2" s="1378" t="s">
        <v>118</v>
      </c>
      <c r="AI2" s="1367"/>
      <c r="AJ2" s="1368"/>
      <c r="AK2" s="1371" t="s">
        <v>119</v>
      </c>
      <c r="AL2" s="1367"/>
      <c r="AM2" s="1368"/>
      <c r="AN2" s="1371" t="s">
        <v>120</v>
      </c>
      <c r="AO2" s="1367"/>
      <c r="AP2" s="1368"/>
      <c r="AQ2" s="1371" t="s">
        <v>121</v>
      </c>
      <c r="AR2" s="1367"/>
      <c r="AS2" s="1368"/>
      <c r="AT2" s="243"/>
    </row>
    <row r="3" spans="1:46" ht="15.75" customHeight="1" x14ac:dyDescent="0.25">
      <c r="A3" s="1382"/>
      <c r="B3" s="1383"/>
      <c r="C3" s="1383"/>
      <c r="D3" s="1383"/>
      <c r="E3" s="1383"/>
      <c r="F3" s="1320"/>
      <c r="G3" s="1320"/>
      <c r="H3" s="1321">
        <v>45688</v>
      </c>
      <c r="I3" s="1321">
        <v>45716</v>
      </c>
      <c r="J3" s="1321">
        <v>45747</v>
      </c>
      <c r="K3" s="1321">
        <v>45777</v>
      </c>
      <c r="L3" s="1322">
        <v>45808</v>
      </c>
      <c r="M3" s="1322">
        <v>45838</v>
      </c>
      <c r="N3" s="1322">
        <v>45869</v>
      </c>
      <c r="O3" s="1322">
        <v>45900</v>
      </c>
      <c r="P3" s="1322">
        <v>45930</v>
      </c>
      <c r="Q3" s="1321">
        <v>45961</v>
      </c>
      <c r="R3" s="1321">
        <v>45991</v>
      </c>
      <c r="S3" s="1323">
        <v>46022</v>
      </c>
      <c r="T3" s="1321"/>
      <c r="U3" s="1321">
        <v>46053</v>
      </c>
      <c r="V3" s="1321">
        <v>46081</v>
      </c>
      <c r="W3" s="1321">
        <v>46112</v>
      </c>
      <c r="X3" s="1321">
        <v>46142</v>
      </c>
      <c r="Y3" s="1322">
        <v>46173</v>
      </c>
      <c r="Z3" s="1322">
        <v>46203</v>
      </c>
      <c r="AA3" s="1322">
        <v>46234</v>
      </c>
      <c r="AB3" s="1322">
        <v>46265</v>
      </c>
      <c r="AC3" s="1322">
        <v>46295</v>
      </c>
      <c r="AD3" s="1321">
        <v>46326</v>
      </c>
      <c r="AE3" s="1321">
        <v>46356</v>
      </c>
      <c r="AF3" s="1323">
        <v>46387</v>
      </c>
      <c r="AG3" s="1321"/>
      <c r="AH3" s="1321">
        <v>46418</v>
      </c>
      <c r="AI3" s="1321">
        <v>46446</v>
      </c>
      <c r="AJ3" s="1321">
        <v>46477</v>
      </c>
      <c r="AK3" s="1321">
        <v>46507</v>
      </c>
      <c r="AL3" s="1322">
        <v>46538</v>
      </c>
      <c r="AM3" s="1322">
        <v>46568</v>
      </c>
      <c r="AN3" s="1322">
        <v>46599</v>
      </c>
      <c r="AO3" s="1322">
        <v>46630</v>
      </c>
      <c r="AP3" s="1322">
        <v>46660</v>
      </c>
      <c r="AQ3" s="1321">
        <v>46691</v>
      </c>
      <c r="AR3" s="1321">
        <v>46721</v>
      </c>
      <c r="AS3" s="1323">
        <v>46752</v>
      </c>
      <c r="AT3" s="1320"/>
    </row>
    <row r="4" spans="1:46" ht="12.75" x14ac:dyDescent="0.2">
      <c r="A4" s="243"/>
      <c r="B4" s="243" t="str">
        <f>Parameter!A25</f>
        <v>Bank loan</v>
      </c>
      <c r="C4" s="989">
        <f>Parameter!B25</f>
        <v>14399999999.999996</v>
      </c>
      <c r="D4" s="1010">
        <f>Parameter!D25</f>
        <v>45780</v>
      </c>
      <c r="E4" s="1324">
        <f>Parameter!B32</f>
        <v>7.3099999999999998E-2</v>
      </c>
      <c r="F4" s="243"/>
      <c r="G4" s="243"/>
      <c r="H4" s="989">
        <f t="shared" ref="H4:AS4" si="0">IF(AND($D4&gt;IF(ISBLANK(G$3),F$3,G$3),$D4&lt;H$3),$C4,0)</f>
        <v>0</v>
      </c>
      <c r="I4" s="989">
        <f t="shared" si="0"/>
        <v>0</v>
      </c>
      <c r="J4" s="989">
        <f t="shared" si="0"/>
        <v>0</v>
      </c>
      <c r="K4" s="989">
        <f t="shared" si="0"/>
        <v>0</v>
      </c>
      <c r="L4" s="989">
        <f t="shared" si="0"/>
        <v>14399999999.999996</v>
      </c>
      <c r="M4" s="989">
        <f t="shared" si="0"/>
        <v>0</v>
      </c>
      <c r="N4" s="989">
        <f t="shared" si="0"/>
        <v>0</v>
      </c>
      <c r="O4" s="989">
        <f t="shared" si="0"/>
        <v>0</v>
      </c>
      <c r="P4" s="989">
        <f t="shared" si="0"/>
        <v>0</v>
      </c>
      <c r="Q4" s="989">
        <f t="shared" si="0"/>
        <v>0</v>
      </c>
      <c r="R4" s="989">
        <f t="shared" si="0"/>
        <v>0</v>
      </c>
      <c r="S4" s="989">
        <f t="shared" si="0"/>
        <v>0</v>
      </c>
      <c r="T4" s="989">
        <f t="shared" si="0"/>
        <v>0</v>
      </c>
      <c r="U4" s="989">
        <f t="shared" si="0"/>
        <v>0</v>
      </c>
      <c r="V4" s="989">
        <f t="shared" si="0"/>
        <v>0</v>
      </c>
      <c r="W4" s="989">
        <f t="shared" si="0"/>
        <v>0</v>
      </c>
      <c r="X4" s="989">
        <f t="shared" si="0"/>
        <v>0</v>
      </c>
      <c r="Y4" s="989">
        <f t="shared" si="0"/>
        <v>0</v>
      </c>
      <c r="Z4" s="989">
        <f t="shared" si="0"/>
        <v>0</v>
      </c>
      <c r="AA4" s="989">
        <f t="shared" si="0"/>
        <v>0</v>
      </c>
      <c r="AB4" s="989">
        <f t="shared" si="0"/>
        <v>0</v>
      </c>
      <c r="AC4" s="989">
        <f t="shared" si="0"/>
        <v>0</v>
      </c>
      <c r="AD4" s="989">
        <f t="shared" si="0"/>
        <v>0</v>
      </c>
      <c r="AE4" s="989">
        <f t="shared" si="0"/>
        <v>0</v>
      </c>
      <c r="AF4" s="989">
        <f t="shared" si="0"/>
        <v>0</v>
      </c>
      <c r="AG4" s="989">
        <f t="shared" si="0"/>
        <v>0</v>
      </c>
      <c r="AH4" s="989">
        <f t="shared" si="0"/>
        <v>0</v>
      </c>
      <c r="AI4" s="989">
        <f t="shared" si="0"/>
        <v>0</v>
      </c>
      <c r="AJ4" s="989">
        <f t="shared" si="0"/>
        <v>0</v>
      </c>
      <c r="AK4" s="989">
        <f t="shared" si="0"/>
        <v>0</v>
      </c>
      <c r="AL4" s="989">
        <f t="shared" si="0"/>
        <v>0</v>
      </c>
      <c r="AM4" s="989">
        <f t="shared" si="0"/>
        <v>0</v>
      </c>
      <c r="AN4" s="989">
        <f t="shared" si="0"/>
        <v>0</v>
      </c>
      <c r="AO4" s="989">
        <f t="shared" si="0"/>
        <v>0</v>
      </c>
      <c r="AP4" s="989">
        <f t="shared" si="0"/>
        <v>0</v>
      </c>
      <c r="AQ4" s="989">
        <f t="shared" si="0"/>
        <v>0</v>
      </c>
      <c r="AR4" s="989">
        <f t="shared" si="0"/>
        <v>0</v>
      </c>
      <c r="AS4" s="989">
        <f t="shared" si="0"/>
        <v>0</v>
      </c>
      <c r="AT4" s="243"/>
    </row>
    <row r="5" spans="1:46" ht="12.75" x14ac:dyDescent="0.2">
      <c r="A5" s="243"/>
      <c r="B5" s="243"/>
      <c r="C5" s="989">
        <f t="shared" ref="C5:C6" si="1">C4</f>
        <v>14399999999.999996</v>
      </c>
      <c r="D5" s="1010">
        <f>D4+DATEDIF(S3,AF3,"D")</f>
        <v>46145</v>
      </c>
      <c r="E5" s="1324">
        <f t="shared" ref="E5:E6" si="2">E4</f>
        <v>7.3099999999999998E-2</v>
      </c>
      <c r="F5" s="243"/>
      <c r="G5" s="243"/>
      <c r="H5" s="989">
        <f t="shared" ref="H5:AS5" si="3">IF(AND($D5&gt;IF(ISBLANK(G$3),F$3,G$3),$D5&lt;H$3),$C5,0)</f>
        <v>0</v>
      </c>
      <c r="I5" s="989">
        <f t="shared" si="3"/>
        <v>0</v>
      </c>
      <c r="J5" s="989">
        <f t="shared" si="3"/>
        <v>0</v>
      </c>
      <c r="K5" s="989">
        <f t="shared" si="3"/>
        <v>0</v>
      </c>
      <c r="L5" s="989">
        <f t="shared" si="3"/>
        <v>0</v>
      </c>
      <c r="M5" s="989">
        <f t="shared" si="3"/>
        <v>0</v>
      </c>
      <c r="N5" s="989">
        <f t="shared" si="3"/>
        <v>0</v>
      </c>
      <c r="O5" s="989">
        <f t="shared" si="3"/>
        <v>0</v>
      </c>
      <c r="P5" s="989">
        <f t="shared" si="3"/>
        <v>0</v>
      </c>
      <c r="Q5" s="989">
        <f t="shared" si="3"/>
        <v>0</v>
      </c>
      <c r="R5" s="989">
        <f t="shared" si="3"/>
        <v>0</v>
      </c>
      <c r="S5" s="989">
        <f t="shared" si="3"/>
        <v>0</v>
      </c>
      <c r="T5" s="989">
        <f t="shared" si="3"/>
        <v>0</v>
      </c>
      <c r="U5" s="989">
        <f t="shared" si="3"/>
        <v>0</v>
      </c>
      <c r="V5" s="989">
        <f t="shared" si="3"/>
        <v>0</v>
      </c>
      <c r="W5" s="989">
        <f t="shared" si="3"/>
        <v>0</v>
      </c>
      <c r="X5" s="989">
        <f t="shared" si="3"/>
        <v>0</v>
      </c>
      <c r="Y5" s="989">
        <f t="shared" si="3"/>
        <v>14399999999.999996</v>
      </c>
      <c r="Z5" s="989">
        <f t="shared" si="3"/>
        <v>0</v>
      </c>
      <c r="AA5" s="989">
        <f t="shared" si="3"/>
        <v>0</v>
      </c>
      <c r="AB5" s="989">
        <f t="shared" si="3"/>
        <v>0</v>
      </c>
      <c r="AC5" s="989">
        <f t="shared" si="3"/>
        <v>0</v>
      </c>
      <c r="AD5" s="989">
        <f t="shared" si="3"/>
        <v>0</v>
      </c>
      <c r="AE5" s="989">
        <f t="shared" si="3"/>
        <v>0</v>
      </c>
      <c r="AF5" s="989">
        <f t="shared" si="3"/>
        <v>0</v>
      </c>
      <c r="AG5" s="989">
        <f t="shared" si="3"/>
        <v>0</v>
      </c>
      <c r="AH5" s="989">
        <f t="shared" si="3"/>
        <v>0</v>
      </c>
      <c r="AI5" s="989">
        <f t="shared" si="3"/>
        <v>0</v>
      </c>
      <c r="AJ5" s="989">
        <f t="shared" si="3"/>
        <v>0</v>
      </c>
      <c r="AK5" s="989">
        <f t="shared" si="3"/>
        <v>0</v>
      </c>
      <c r="AL5" s="989">
        <f t="shared" si="3"/>
        <v>0</v>
      </c>
      <c r="AM5" s="989">
        <f t="shared" si="3"/>
        <v>0</v>
      </c>
      <c r="AN5" s="989">
        <f t="shared" si="3"/>
        <v>0</v>
      </c>
      <c r="AO5" s="989">
        <f t="shared" si="3"/>
        <v>0</v>
      </c>
      <c r="AP5" s="989">
        <f t="shared" si="3"/>
        <v>0</v>
      </c>
      <c r="AQ5" s="989">
        <f t="shared" si="3"/>
        <v>0</v>
      </c>
      <c r="AR5" s="989">
        <f t="shared" si="3"/>
        <v>0</v>
      </c>
      <c r="AS5" s="989">
        <f t="shared" si="3"/>
        <v>0</v>
      </c>
      <c r="AT5" s="243"/>
    </row>
    <row r="6" spans="1:46" ht="12.75" x14ac:dyDescent="0.2">
      <c r="A6" s="243"/>
      <c r="B6" s="243"/>
      <c r="C6" s="989">
        <f t="shared" si="1"/>
        <v>14399999999.999996</v>
      </c>
      <c r="D6" s="1010">
        <f>D5+DATEDIF(AF3,AS3,"D")</f>
        <v>46510</v>
      </c>
      <c r="E6" s="1324">
        <f t="shared" si="2"/>
        <v>7.3099999999999998E-2</v>
      </c>
      <c r="F6" s="243"/>
      <c r="G6" s="243"/>
      <c r="H6" s="989">
        <f t="shared" ref="H6:AS6" si="4">IF(AND($D6&gt;IF(ISBLANK(G$3),F$3,G$3),$D6&lt;H$3),$C6,0)</f>
        <v>0</v>
      </c>
      <c r="I6" s="989">
        <f t="shared" si="4"/>
        <v>0</v>
      </c>
      <c r="J6" s="989">
        <f t="shared" si="4"/>
        <v>0</v>
      </c>
      <c r="K6" s="989">
        <f t="shared" si="4"/>
        <v>0</v>
      </c>
      <c r="L6" s="989">
        <f t="shared" si="4"/>
        <v>0</v>
      </c>
      <c r="M6" s="989">
        <f t="shared" si="4"/>
        <v>0</v>
      </c>
      <c r="N6" s="989">
        <f t="shared" si="4"/>
        <v>0</v>
      </c>
      <c r="O6" s="989">
        <f t="shared" si="4"/>
        <v>0</v>
      </c>
      <c r="P6" s="989">
        <f t="shared" si="4"/>
        <v>0</v>
      </c>
      <c r="Q6" s="989">
        <f t="shared" si="4"/>
        <v>0</v>
      </c>
      <c r="R6" s="989">
        <f t="shared" si="4"/>
        <v>0</v>
      </c>
      <c r="S6" s="989">
        <f t="shared" si="4"/>
        <v>0</v>
      </c>
      <c r="T6" s="989">
        <f t="shared" si="4"/>
        <v>0</v>
      </c>
      <c r="U6" s="989">
        <f t="shared" si="4"/>
        <v>0</v>
      </c>
      <c r="V6" s="989">
        <f t="shared" si="4"/>
        <v>0</v>
      </c>
      <c r="W6" s="989">
        <f t="shared" si="4"/>
        <v>0</v>
      </c>
      <c r="X6" s="989">
        <f t="shared" si="4"/>
        <v>0</v>
      </c>
      <c r="Y6" s="989">
        <f t="shared" si="4"/>
        <v>0</v>
      </c>
      <c r="Z6" s="989">
        <f t="shared" si="4"/>
        <v>0</v>
      </c>
      <c r="AA6" s="989">
        <f t="shared" si="4"/>
        <v>0</v>
      </c>
      <c r="AB6" s="989">
        <f t="shared" si="4"/>
        <v>0</v>
      </c>
      <c r="AC6" s="989">
        <f t="shared" si="4"/>
        <v>0</v>
      </c>
      <c r="AD6" s="989">
        <f t="shared" si="4"/>
        <v>0</v>
      </c>
      <c r="AE6" s="989">
        <f t="shared" si="4"/>
        <v>0</v>
      </c>
      <c r="AF6" s="989">
        <f t="shared" si="4"/>
        <v>0</v>
      </c>
      <c r="AG6" s="989">
        <f t="shared" si="4"/>
        <v>0</v>
      </c>
      <c r="AH6" s="989">
        <f t="shared" si="4"/>
        <v>0</v>
      </c>
      <c r="AI6" s="989">
        <f t="shared" si="4"/>
        <v>0</v>
      </c>
      <c r="AJ6" s="989">
        <f t="shared" si="4"/>
        <v>0</v>
      </c>
      <c r="AK6" s="989">
        <f t="shared" si="4"/>
        <v>0</v>
      </c>
      <c r="AL6" s="989">
        <f t="shared" si="4"/>
        <v>14399999999.999996</v>
      </c>
      <c r="AM6" s="989">
        <f t="shared" si="4"/>
        <v>0</v>
      </c>
      <c r="AN6" s="989">
        <f t="shared" si="4"/>
        <v>0</v>
      </c>
      <c r="AO6" s="989">
        <f t="shared" si="4"/>
        <v>0</v>
      </c>
      <c r="AP6" s="989">
        <f t="shared" si="4"/>
        <v>0</v>
      </c>
      <c r="AQ6" s="989">
        <f t="shared" si="4"/>
        <v>0</v>
      </c>
      <c r="AR6" s="989">
        <f t="shared" si="4"/>
        <v>0</v>
      </c>
      <c r="AS6" s="989">
        <f t="shared" si="4"/>
        <v>0</v>
      </c>
      <c r="AT6" s="243"/>
    </row>
    <row r="7" spans="1:46" ht="12.75" x14ac:dyDescent="0.2">
      <c r="A7" s="243" t="str">
        <f>Parameter!A35</f>
        <v>Loan balance</v>
      </c>
      <c r="B7" s="243"/>
      <c r="C7" s="243"/>
      <c r="D7" s="243"/>
      <c r="E7" s="243"/>
      <c r="F7" s="243"/>
      <c r="G7" s="243"/>
      <c r="H7" s="989">
        <f t="shared" ref="H7:S7" si="5">IF(ISBLANK(H3),G7,G12)</f>
        <v>0</v>
      </c>
      <c r="I7" s="989">
        <f t="shared" si="5"/>
        <v>0</v>
      </c>
      <c r="J7" s="989">
        <f t="shared" si="5"/>
        <v>0</v>
      </c>
      <c r="K7" s="989">
        <f t="shared" si="5"/>
        <v>0</v>
      </c>
      <c r="L7" s="989">
        <f t="shared" si="5"/>
        <v>0</v>
      </c>
      <c r="M7" s="989">
        <f t="shared" si="5"/>
        <v>14399999999.999996</v>
      </c>
      <c r="N7" s="989">
        <f t="shared" si="5"/>
        <v>13199999999.999996</v>
      </c>
      <c r="O7" s="989">
        <f t="shared" si="5"/>
        <v>11999999999.999996</v>
      </c>
      <c r="P7" s="989">
        <f t="shared" si="5"/>
        <v>10799999999.999996</v>
      </c>
      <c r="Q7" s="989">
        <f t="shared" si="5"/>
        <v>9599999999.9999962</v>
      </c>
      <c r="R7" s="989">
        <f t="shared" si="5"/>
        <v>8399999999.9999962</v>
      </c>
      <c r="S7" s="989">
        <f t="shared" si="5"/>
        <v>7199999999.9999962</v>
      </c>
      <c r="T7" s="989">
        <f>IF(ISBLANK(T3),S12,S7)</f>
        <v>5999999999.9999962</v>
      </c>
      <c r="U7" s="989">
        <f t="shared" ref="U7:AF7" si="6">IF(ISBLANK(U3),T7,T12)</f>
        <v>5999999999.9999962</v>
      </c>
      <c r="V7" s="989">
        <f t="shared" si="6"/>
        <v>4799999999.9999962</v>
      </c>
      <c r="W7" s="989">
        <f t="shared" si="6"/>
        <v>3599999999.9999962</v>
      </c>
      <c r="X7" s="989">
        <f t="shared" si="6"/>
        <v>2399999999.9999962</v>
      </c>
      <c r="Y7" s="989">
        <f t="shared" si="6"/>
        <v>1199999999.9999964</v>
      </c>
      <c r="Z7" s="989">
        <f t="shared" si="6"/>
        <v>14399999999.999992</v>
      </c>
      <c r="AA7" s="989">
        <f t="shared" si="6"/>
        <v>13199999999.999992</v>
      </c>
      <c r="AB7" s="989">
        <f t="shared" si="6"/>
        <v>11999999999.999992</v>
      </c>
      <c r="AC7" s="989">
        <f t="shared" si="6"/>
        <v>10799999999.999992</v>
      </c>
      <c r="AD7" s="989">
        <f t="shared" si="6"/>
        <v>9599999999.9999924</v>
      </c>
      <c r="AE7" s="989">
        <f t="shared" si="6"/>
        <v>8399999999.9999924</v>
      </c>
      <c r="AF7" s="989">
        <f t="shared" si="6"/>
        <v>7199999999.9999924</v>
      </c>
      <c r="AG7" s="989">
        <f>IF(ISBLANK(AG3),AF12,AF7)</f>
        <v>5999999999.9999924</v>
      </c>
      <c r="AH7" s="989">
        <f t="shared" ref="AH7:AS7" si="7">IF(ISBLANK(AH3),AG7,AG12)</f>
        <v>5999999999.9999924</v>
      </c>
      <c r="AI7" s="989">
        <f t="shared" si="7"/>
        <v>4799999999.9999924</v>
      </c>
      <c r="AJ7" s="989">
        <f t="shared" si="7"/>
        <v>3599999999.9999924</v>
      </c>
      <c r="AK7" s="989">
        <f t="shared" si="7"/>
        <v>2399999999.9999924</v>
      </c>
      <c r="AL7" s="989">
        <f t="shared" si="7"/>
        <v>1199999999.9999926</v>
      </c>
      <c r="AM7" s="989">
        <f t="shared" si="7"/>
        <v>14399999999.999989</v>
      </c>
      <c r="AN7" s="989">
        <f t="shared" si="7"/>
        <v>13199999999.999989</v>
      </c>
      <c r="AO7" s="989">
        <f t="shared" si="7"/>
        <v>11999999999.999989</v>
      </c>
      <c r="AP7" s="989">
        <f t="shared" si="7"/>
        <v>10799999999.999989</v>
      </c>
      <c r="AQ7" s="989">
        <f t="shared" si="7"/>
        <v>9599999999.9999886</v>
      </c>
      <c r="AR7" s="989">
        <f t="shared" si="7"/>
        <v>8399999999.9999886</v>
      </c>
      <c r="AS7" s="989">
        <f t="shared" si="7"/>
        <v>7199999999.9999886</v>
      </c>
      <c r="AT7" s="243"/>
    </row>
    <row r="8" spans="1:46" ht="12.75" x14ac:dyDescent="0.2">
      <c r="A8" s="243" t="str">
        <f>Parameter!A36</f>
        <v>Repayments</v>
      </c>
      <c r="B8" s="243"/>
      <c r="C8" s="243"/>
      <c r="D8" s="243"/>
      <c r="E8" s="243"/>
      <c r="F8" s="243"/>
      <c r="G8" s="243"/>
      <c r="H8" s="989"/>
      <c r="I8" s="989"/>
      <c r="J8" s="989"/>
      <c r="K8" s="989"/>
      <c r="L8" s="989"/>
      <c r="M8" s="989"/>
      <c r="N8" s="989"/>
      <c r="O8" s="989"/>
      <c r="P8" s="989"/>
      <c r="Q8" s="989"/>
      <c r="R8" s="989"/>
      <c r="S8" s="989"/>
      <c r="T8" s="989"/>
      <c r="U8" s="989"/>
      <c r="V8" s="989"/>
      <c r="W8" s="989"/>
      <c r="X8" s="989"/>
      <c r="Y8" s="989"/>
      <c r="Z8" s="989"/>
      <c r="AA8" s="989"/>
      <c r="AB8" s="989"/>
      <c r="AC8" s="989"/>
      <c r="AD8" s="989"/>
      <c r="AE8" s="989"/>
      <c r="AF8" s="989"/>
      <c r="AG8" s="989"/>
      <c r="AH8" s="989"/>
      <c r="AI8" s="989"/>
      <c r="AJ8" s="989"/>
      <c r="AK8" s="989"/>
      <c r="AL8" s="989"/>
      <c r="AM8" s="989"/>
      <c r="AN8" s="989"/>
      <c r="AO8" s="989"/>
      <c r="AP8" s="989"/>
      <c r="AQ8" s="989"/>
      <c r="AR8" s="989"/>
      <c r="AS8" s="989"/>
      <c r="AT8" s="243"/>
    </row>
    <row r="9" spans="1:46" ht="12.75" x14ac:dyDescent="0.2">
      <c r="A9" s="1325" t="str">
        <f>Parameter!A37</f>
        <v xml:space="preserve">   Paid interest</v>
      </c>
      <c r="B9" s="243"/>
      <c r="C9" s="243"/>
      <c r="D9" s="243"/>
      <c r="E9" s="243"/>
      <c r="F9" s="243"/>
      <c r="G9" s="243"/>
      <c r="H9" s="989">
        <f t="shared" ref="H9:AS9" si="8">IF(ISBLANK(H3),0,$E$4*H7)</f>
        <v>0</v>
      </c>
      <c r="I9" s="989">
        <f t="shared" si="8"/>
        <v>0</v>
      </c>
      <c r="J9" s="989">
        <f t="shared" si="8"/>
        <v>0</v>
      </c>
      <c r="K9" s="989">
        <f t="shared" si="8"/>
        <v>0</v>
      </c>
      <c r="L9" s="989">
        <f t="shared" si="8"/>
        <v>0</v>
      </c>
      <c r="M9" s="989">
        <f t="shared" si="8"/>
        <v>1052639999.9999996</v>
      </c>
      <c r="N9" s="989">
        <f t="shared" si="8"/>
        <v>964919999.99999964</v>
      </c>
      <c r="O9" s="989">
        <f t="shared" si="8"/>
        <v>877199999.99999964</v>
      </c>
      <c r="P9" s="989">
        <f t="shared" si="8"/>
        <v>789479999.99999976</v>
      </c>
      <c r="Q9" s="989">
        <f t="shared" si="8"/>
        <v>701759999.99999976</v>
      </c>
      <c r="R9" s="989">
        <f t="shared" si="8"/>
        <v>614039999.99999976</v>
      </c>
      <c r="S9" s="989">
        <f t="shared" si="8"/>
        <v>526319999.9999997</v>
      </c>
      <c r="T9" s="989">
        <f t="shared" si="8"/>
        <v>0</v>
      </c>
      <c r="U9" s="989">
        <f t="shared" si="8"/>
        <v>438599999.9999997</v>
      </c>
      <c r="V9" s="989">
        <f t="shared" si="8"/>
        <v>350879999.9999997</v>
      </c>
      <c r="W9" s="989">
        <f t="shared" si="8"/>
        <v>263159999.9999997</v>
      </c>
      <c r="X9" s="989">
        <f t="shared" si="8"/>
        <v>175439999.99999973</v>
      </c>
      <c r="Y9" s="989">
        <f t="shared" si="8"/>
        <v>87719999.999999732</v>
      </c>
      <c r="Z9" s="989">
        <f t="shared" si="8"/>
        <v>1052639999.9999994</v>
      </c>
      <c r="AA9" s="989">
        <f t="shared" si="8"/>
        <v>964919999.9999994</v>
      </c>
      <c r="AB9" s="989">
        <f t="shared" si="8"/>
        <v>877199999.9999994</v>
      </c>
      <c r="AC9" s="989">
        <f t="shared" si="8"/>
        <v>789479999.9999994</v>
      </c>
      <c r="AD9" s="989">
        <f t="shared" si="8"/>
        <v>701759999.9999994</v>
      </c>
      <c r="AE9" s="989">
        <f t="shared" si="8"/>
        <v>614039999.9999994</v>
      </c>
      <c r="AF9" s="989">
        <f t="shared" si="8"/>
        <v>526319999.9999994</v>
      </c>
      <c r="AG9" s="989">
        <f t="shared" si="8"/>
        <v>0</v>
      </c>
      <c r="AH9" s="989">
        <f t="shared" si="8"/>
        <v>438599999.9999994</v>
      </c>
      <c r="AI9" s="989">
        <f t="shared" si="8"/>
        <v>350879999.99999946</v>
      </c>
      <c r="AJ9" s="989">
        <f t="shared" si="8"/>
        <v>263159999.99999943</v>
      </c>
      <c r="AK9" s="989">
        <f t="shared" si="8"/>
        <v>175439999.99999943</v>
      </c>
      <c r="AL9" s="989">
        <f t="shared" si="8"/>
        <v>87719999.999999464</v>
      </c>
      <c r="AM9" s="989">
        <f t="shared" si="8"/>
        <v>1052639999.9999992</v>
      </c>
      <c r="AN9" s="989">
        <f t="shared" si="8"/>
        <v>964919999.99999917</v>
      </c>
      <c r="AO9" s="989">
        <f t="shared" si="8"/>
        <v>877199999.99999917</v>
      </c>
      <c r="AP9" s="989">
        <f t="shared" si="8"/>
        <v>789479999.99999917</v>
      </c>
      <c r="AQ9" s="989">
        <f t="shared" si="8"/>
        <v>701759999.99999917</v>
      </c>
      <c r="AR9" s="989">
        <f t="shared" si="8"/>
        <v>614039999.99999917</v>
      </c>
      <c r="AS9" s="989">
        <f t="shared" si="8"/>
        <v>526319999.99999917</v>
      </c>
      <c r="AT9" s="243"/>
    </row>
    <row r="10" spans="1:46" ht="12.75" x14ac:dyDescent="0.2">
      <c r="A10" s="1325" t="str">
        <f>Parameter!A38</f>
        <v xml:space="preserve">   Paid principal</v>
      </c>
      <c r="B10" s="243"/>
      <c r="C10" s="243"/>
      <c r="D10" s="243"/>
      <c r="E10" s="243"/>
      <c r="F10" s="243"/>
      <c r="G10" s="243"/>
      <c r="H10" s="989"/>
      <c r="I10" s="989"/>
      <c r="J10" s="989"/>
      <c r="K10" s="989"/>
      <c r="L10" s="989"/>
      <c r="M10" s="989">
        <f t="shared" ref="M10:AS10" si="9">IF(ISBLANK(M3),0,IF(AND(M7&gt;L7),(M7)/12, $C$4/12))</f>
        <v>1199999999.9999998</v>
      </c>
      <c r="N10" s="989">
        <f t="shared" si="9"/>
        <v>1199999999.9999998</v>
      </c>
      <c r="O10" s="989">
        <f t="shared" si="9"/>
        <v>1199999999.9999998</v>
      </c>
      <c r="P10" s="989">
        <f t="shared" si="9"/>
        <v>1199999999.9999998</v>
      </c>
      <c r="Q10" s="989">
        <f t="shared" si="9"/>
        <v>1199999999.9999998</v>
      </c>
      <c r="R10" s="989">
        <f t="shared" si="9"/>
        <v>1199999999.9999998</v>
      </c>
      <c r="S10" s="989">
        <f t="shared" si="9"/>
        <v>1199999999.9999998</v>
      </c>
      <c r="T10" s="989">
        <f t="shared" si="9"/>
        <v>0</v>
      </c>
      <c r="U10" s="989">
        <f t="shared" si="9"/>
        <v>1199999999.9999998</v>
      </c>
      <c r="V10" s="989">
        <f t="shared" si="9"/>
        <v>1199999999.9999998</v>
      </c>
      <c r="W10" s="989">
        <f t="shared" si="9"/>
        <v>1199999999.9999998</v>
      </c>
      <c r="X10" s="989">
        <f t="shared" si="9"/>
        <v>1199999999.9999998</v>
      </c>
      <c r="Y10" s="989">
        <f t="shared" si="9"/>
        <v>1199999999.9999998</v>
      </c>
      <c r="Z10" s="989">
        <f t="shared" si="9"/>
        <v>1199999999.9999993</v>
      </c>
      <c r="AA10" s="989">
        <f t="shared" si="9"/>
        <v>1199999999.9999998</v>
      </c>
      <c r="AB10" s="989">
        <f t="shared" si="9"/>
        <v>1199999999.9999998</v>
      </c>
      <c r="AC10" s="989">
        <f t="shared" si="9"/>
        <v>1199999999.9999998</v>
      </c>
      <c r="AD10" s="989">
        <f t="shared" si="9"/>
        <v>1199999999.9999998</v>
      </c>
      <c r="AE10" s="989">
        <f t="shared" si="9"/>
        <v>1199999999.9999998</v>
      </c>
      <c r="AF10" s="989">
        <f t="shared" si="9"/>
        <v>1199999999.9999998</v>
      </c>
      <c r="AG10" s="989">
        <f t="shared" si="9"/>
        <v>0</v>
      </c>
      <c r="AH10" s="989">
        <f t="shared" si="9"/>
        <v>1199999999.9999998</v>
      </c>
      <c r="AI10" s="989">
        <f t="shared" si="9"/>
        <v>1199999999.9999998</v>
      </c>
      <c r="AJ10" s="989">
        <f t="shared" si="9"/>
        <v>1199999999.9999998</v>
      </c>
      <c r="AK10" s="989">
        <f t="shared" si="9"/>
        <v>1199999999.9999998</v>
      </c>
      <c r="AL10" s="989">
        <f t="shared" si="9"/>
        <v>1199999999.9999998</v>
      </c>
      <c r="AM10" s="989">
        <f t="shared" si="9"/>
        <v>1199999999.999999</v>
      </c>
      <c r="AN10" s="989">
        <f t="shared" si="9"/>
        <v>1199999999.9999998</v>
      </c>
      <c r="AO10" s="989">
        <f t="shared" si="9"/>
        <v>1199999999.9999998</v>
      </c>
      <c r="AP10" s="989">
        <f t="shared" si="9"/>
        <v>1199999999.9999998</v>
      </c>
      <c r="AQ10" s="989">
        <f t="shared" si="9"/>
        <v>1199999999.9999998</v>
      </c>
      <c r="AR10" s="989">
        <f t="shared" si="9"/>
        <v>1199999999.9999998</v>
      </c>
      <c r="AS10" s="989">
        <f t="shared" si="9"/>
        <v>1199999999.9999998</v>
      </c>
      <c r="AT10" s="258"/>
    </row>
    <row r="11" spans="1:46" ht="12.75" x14ac:dyDescent="0.2">
      <c r="A11" s="243" t="str">
        <f>Parameter!A39</f>
        <v>New loan</v>
      </c>
      <c r="B11" s="243"/>
      <c r="C11" s="243"/>
      <c r="D11" s="243"/>
      <c r="E11" s="243"/>
      <c r="F11" s="243"/>
      <c r="G11" s="243"/>
      <c r="H11" s="989">
        <f t="shared" ref="H11:AS11" si="10">SUM(H4:H6)</f>
        <v>0</v>
      </c>
      <c r="I11" s="989">
        <f t="shared" si="10"/>
        <v>0</v>
      </c>
      <c r="J11" s="989">
        <f t="shared" si="10"/>
        <v>0</v>
      </c>
      <c r="K11" s="989">
        <f t="shared" si="10"/>
        <v>0</v>
      </c>
      <c r="L11" s="989">
        <f t="shared" si="10"/>
        <v>14399999999.999996</v>
      </c>
      <c r="M11" s="989">
        <f t="shared" si="10"/>
        <v>0</v>
      </c>
      <c r="N11" s="989">
        <f t="shared" si="10"/>
        <v>0</v>
      </c>
      <c r="O11" s="989">
        <f t="shared" si="10"/>
        <v>0</v>
      </c>
      <c r="P11" s="989">
        <f t="shared" si="10"/>
        <v>0</v>
      </c>
      <c r="Q11" s="989">
        <f t="shared" si="10"/>
        <v>0</v>
      </c>
      <c r="R11" s="989">
        <f t="shared" si="10"/>
        <v>0</v>
      </c>
      <c r="S11" s="989">
        <f t="shared" si="10"/>
        <v>0</v>
      </c>
      <c r="T11" s="989">
        <f t="shared" si="10"/>
        <v>0</v>
      </c>
      <c r="U11" s="989">
        <f t="shared" si="10"/>
        <v>0</v>
      </c>
      <c r="V11" s="989">
        <f t="shared" si="10"/>
        <v>0</v>
      </c>
      <c r="W11" s="989">
        <f t="shared" si="10"/>
        <v>0</v>
      </c>
      <c r="X11" s="989">
        <f t="shared" si="10"/>
        <v>0</v>
      </c>
      <c r="Y11" s="989">
        <f t="shared" si="10"/>
        <v>14399999999.999996</v>
      </c>
      <c r="Z11" s="989">
        <f t="shared" si="10"/>
        <v>0</v>
      </c>
      <c r="AA11" s="989">
        <f t="shared" si="10"/>
        <v>0</v>
      </c>
      <c r="AB11" s="989">
        <f t="shared" si="10"/>
        <v>0</v>
      </c>
      <c r="AC11" s="989">
        <f t="shared" si="10"/>
        <v>0</v>
      </c>
      <c r="AD11" s="989">
        <f t="shared" si="10"/>
        <v>0</v>
      </c>
      <c r="AE11" s="989">
        <f t="shared" si="10"/>
        <v>0</v>
      </c>
      <c r="AF11" s="989">
        <f t="shared" si="10"/>
        <v>0</v>
      </c>
      <c r="AG11" s="989">
        <f t="shared" si="10"/>
        <v>0</v>
      </c>
      <c r="AH11" s="989">
        <f t="shared" si="10"/>
        <v>0</v>
      </c>
      <c r="AI11" s="989">
        <f t="shared" si="10"/>
        <v>0</v>
      </c>
      <c r="AJ11" s="989">
        <f t="shared" si="10"/>
        <v>0</v>
      </c>
      <c r="AK11" s="989">
        <f t="shared" si="10"/>
        <v>0</v>
      </c>
      <c r="AL11" s="989">
        <f t="shared" si="10"/>
        <v>14399999999.999996</v>
      </c>
      <c r="AM11" s="989">
        <f t="shared" si="10"/>
        <v>0</v>
      </c>
      <c r="AN11" s="989">
        <f t="shared" si="10"/>
        <v>0</v>
      </c>
      <c r="AO11" s="989">
        <f t="shared" si="10"/>
        <v>0</v>
      </c>
      <c r="AP11" s="989">
        <f t="shared" si="10"/>
        <v>0</v>
      </c>
      <c r="AQ11" s="989">
        <f t="shared" si="10"/>
        <v>0</v>
      </c>
      <c r="AR11" s="989">
        <f t="shared" si="10"/>
        <v>0</v>
      </c>
      <c r="AS11" s="989">
        <f t="shared" si="10"/>
        <v>0</v>
      </c>
      <c r="AT11" s="243"/>
    </row>
    <row r="12" spans="1:46" ht="12.75" x14ac:dyDescent="0.2">
      <c r="A12" s="243" t="s">
        <v>502</v>
      </c>
      <c r="B12" s="243"/>
      <c r="C12" s="243"/>
      <c r="D12" s="243"/>
      <c r="E12" s="243"/>
      <c r="F12" s="243"/>
      <c r="G12" s="243"/>
      <c r="H12" s="989">
        <f t="shared" ref="H12:AS12" si="11">H7-H10+H11</f>
        <v>0</v>
      </c>
      <c r="I12" s="989">
        <f t="shared" si="11"/>
        <v>0</v>
      </c>
      <c r="J12" s="989">
        <f t="shared" si="11"/>
        <v>0</v>
      </c>
      <c r="K12" s="989">
        <f t="shared" si="11"/>
        <v>0</v>
      </c>
      <c r="L12" s="989">
        <f t="shared" si="11"/>
        <v>14399999999.999996</v>
      </c>
      <c r="M12" s="989">
        <f t="shared" si="11"/>
        <v>13199999999.999996</v>
      </c>
      <c r="N12" s="989">
        <f t="shared" si="11"/>
        <v>11999999999.999996</v>
      </c>
      <c r="O12" s="989">
        <f t="shared" si="11"/>
        <v>10799999999.999996</v>
      </c>
      <c r="P12" s="989">
        <f t="shared" si="11"/>
        <v>9599999999.9999962</v>
      </c>
      <c r="Q12" s="989">
        <f t="shared" si="11"/>
        <v>8399999999.9999962</v>
      </c>
      <c r="R12" s="989">
        <f t="shared" si="11"/>
        <v>7199999999.9999962</v>
      </c>
      <c r="S12" s="989">
        <f t="shared" si="11"/>
        <v>5999999999.9999962</v>
      </c>
      <c r="T12" s="989">
        <f t="shared" si="11"/>
        <v>5999999999.9999962</v>
      </c>
      <c r="U12" s="989">
        <f t="shared" si="11"/>
        <v>4799999999.9999962</v>
      </c>
      <c r="V12" s="989">
        <f t="shared" si="11"/>
        <v>3599999999.9999962</v>
      </c>
      <c r="W12" s="989">
        <f t="shared" si="11"/>
        <v>2399999999.9999962</v>
      </c>
      <c r="X12" s="989">
        <f t="shared" si="11"/>
        <v>1199999999.9999964</v>
      </c>
      <c r="Y12" s="989">
        <f t="shared" si="11"/>
        <v>14399999999.999992</v>
      </c>
      <c r="Z12" s="989">
        <f t="shared" si="11"/>
        <v>13199999999.999992</v>
      </c>
      <c r="AA12" s="989">
        <f t="shared" si="11"/>
        <v>11999999999.999992</v>
      </c>
      <c r="AB12" s="989">
        <f t="shared" si="11"/>
        <v>10799999999.999992</v>
      </c>
      <c r="AC12" s="989">
        <f t="shared" si="11"/>
        <v>9599999999.9999924</v>
      </c>
      <c r="AD12" s="989">
        <f t="shared" si="11"/>
        <v>8399999999.9999924</v>
      </c>
      <c r="AE12" s="989">
        <f t="shared" si="11"/>
        <v>7199999999.9999924</v>
      </c>
      <c r="AF12" s="989">
        <f t="shared" si="11"/>
        <v>5999999999.9999924</v>
      </c>
      <c r="AG12" s="989">
        <f t="shared" si="11"/>
        <v>5999999999.9999924</v>
      </c>
      <c r="AH12" s="989">
        <f t="shared" si="11"/>
        <v>4799999999.9999924</v>
      </c>
      <c r="AI12" s="989">
        <f t="shared" si="11"/>
        <v>3599999999.9999924</v>
      </c>
      <c r="AJ12" s="989">
        <f t="shared" si="11"/>
        <v>2399999999.9999924</v>
      </c>
      <c r="AK12" s="989">
        <f t="shared" si="11"/>
        <v>1199999999.9999926</v>
      </c>
      <c r="AL12" s="989">
        <f t="shared" si="11"/>
        <v>14399999999.999989</v>
      </c>
      <c r="AM12" s="989">
        <f t="shared" si="11"/>
        <v>13199999999.999989</v>
      </c>
      <c r="AN12" s="989">
        <f t="shared" si="11"/>
        <v>11999999999.999989</v>
      </c>
      <c r="AO12" s="989">
        <f t="shared" si="11"/>
        <v>10799999999.999989</v>
      </c>
      <c r="AP12" s="989">
        <f t="shared" si="11"/>
        <v>9599999999.9999886</v>
      </c>
      <c r="AQ12" s="989">
        <f t="shared" si="11"/>
        <v>8399999999.9999886</v>
      </c>
      <c r="AR12" s="989">
        <f t="shared" si="11"/>
        <v>7199999999.9999886</v>
      </c>
      <c r="AS12" s="989">
        <f t="shared" si="11"/>
        <v>5999999999.9999886</v>
      </c>
      <c r="AT12" s="243"/>
    </row>
    <row r="13" spans="1:46" ht="12.75" x14ac:dyDescent="0.2">
      <c r="A13" s="243" t="s">
        <v>503</v>
      </c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</row>
    <row r="14" spans="1:46" ht="12.75" x14ac:dyDescent="0.2">
      <c r="A14" s="243"/>
      <c r="B14" s="243"/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</row>
    <row r="15" spans="1:46" ht="12.75" x14ac:dyDescent="0.2">
      <c r="A15" s="243"/>
      <c r="B15" s="243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</row>
    <row r="16" spans="1:46" ht="12.75" x14ac:dyDescent="0.2">
      <c r="A16" s="243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43"/>
      <c r="AS16" s="243"/>
      <c r="AT16" s="243"/>
    </row>
    <row r="17" spans="1:46" ht="12.75" x14ac:dyDescent="0.2">
      <c r="A17" s="243"/>
      <c r="B17" s="243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</row>
    <row r="18" spans="1:46" ht="12.75" x14ac:dyDescent="0.2">
      <c r="A18" s="243"/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</row>
    <row r="19" spans="1:46" ht="12.75" x14ac:dyDescent="0.2">
      <c r="A19" s="243"/>
      <c r="B19" s="243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</row>
    <row r="20" spans="1:46" ht="12.75" x14ac:dyDescent="0.2">
      <c r="A20" s="243"/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</row>
    <row r="21" spans="1:46" ht="12.75" x14ac:dyDescent="0.2">
      <c r="A21" s="243"/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</row>
    <row r="22" spans="1:46" ht="12.75" x14ac:dyDescent="0.2">
      <c r="A22" s="243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</row>
    <row r="23" spans="1:46" ht="12.75" x14ac:dyDescent="0.2">
      <c r="A23" s="243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</row>
    <row r="24" spans="1:46" ht="12.75" x14ac:dyDescent="0.2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</row>
    <row r="25" spans="1:46" ht="12.75" x14ac:dyDescent="0.2">
      <c r="A25" s="243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</row>
    <row r="26" spans="1:46" ht="12.75" x14ac:dyDescent="0.2">
      <c r="A26" s="243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</row>
    <row r="27" spans="1:46" ht="12.75" x14ac:dyDescent="0.2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</row>
    <row r="28" spans="1:46" ht="12.75" x14ac:dyDescent="0.2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</row>
    <row r="29" spans="1:46" ht="12.75" x14ac:dyDescent="0.2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</row>
    <row r="30" spans="1:46" ht="12.75" x14ac:dyDescent="0.2">
      <c r="A30" s="243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</row>
    <row r="31" spans="1:46" ht="12.75" x14ac:dyDescent="0.2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</row>
    <row r="32" spans="1:46" ht="12.75" x14ac:dyDescent="0.2">
      <c r="A32" s="243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</row>
    <row r="33" spans="1:46" ht="12.75" x14ac:dyDescent="0.2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</row>
    <row r="34" spans="1:46" ht="12.75" x14ac:dyDescent="0.2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</row>
    <row r="35" spans="1:46" ht="12.75" x14ac:dyDescent="0.2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</row>
    <row r="36" spans="1:46" ht="12.75" x14ac:dyDescent="0.2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</row>
    <row r="37" spans="1:46" ht="12.75" x14ac:dyDescent="0.2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</row>
    <row r="38" spans="1:46" ht="12.75" x14ac:dyDescent="0.2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</row>
    <row r="39" spans="1:46" ht="12.75" x14ac:dyDescent="0.2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</row>
    <row r="40" spans="1:46" ht="12.75" x14ac:dyDescent="0.2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</row>
    <row r="41" spans="1:46" ht="12.75" x14ac:dyDescent="0.2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</row>
    <row r="42" spans="1:46" ht="12.75" x14ac:dyDescent="0.2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</row>
    <row r="43" spans="1:46" ht="12.75" x14ac:dyDescent="0.2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</row>
    <row r="44" spans="1:46" ht="12.75" x14ac:dyDescent="0.2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  <c r="AR44" s="243"/>
      <c r="AS44" s="243"/>
      <c r="AT44" s="243"/>
    </row>
    <row r="45" spans="1:46" ht="12.75" x14ac:dyDescent="0.2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</row>
    <row r="46" spans="1:46" ht="12.75" x14ac:dyDescent="0.2">
      <c r="A46" s="243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</row>
    <row r="47" spans="1:46" ht="12.75" x14ac:dyDescent="0.2">
      <c r="A47" s="243"/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</row>
    <row r="48" spans="1:46" ht="12.75" x14ac:dyDescent="0.2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</row>
    <row r="49" spans="1:46" ht="12.75" x14ac:dyDescent="0.2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</row>
    <row r="50" spans="1:46" ht="12.75" x14ac:dyDescent="0.2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3"/>
      <c r="AR50" s="243"/>
      <c r="AS50" s="243"/>
      <c r="AT50" s="243"/>
    </row>
    <row r="51" spans="1:46" ht="12.75" x14ac:dyDescent="0.2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</row>
    <row r="52" spans="1:46" ht="12.75" x14ac:dyDescent="0.2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</row>
    <row r="53" spans="1:46" ht="12.75" x14ac:dyDescent="0.2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  <c r="AK53" s="243"/>
      <c r="AL53" s="243"/>
      <c r="AM53" s="243"/>
      <c r="AN53" s="243"/>
      <c r="AO53" s="243"/>
      <c r="AP53" s="243"/>
      <c r="AQ53" s="243"/>
      <c r="AR53" s="243"/>
      <c r="AS53" s="243"/>
      <c r="AT53" s="243"/>
    </row>
    <row r="54" spans="1:46" ht="12.75" x14ac:dyDescent="0.2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</row>
    <row r="55" spans="1:46" ht="12.75" x14ac:dyDescent="0.2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243"/>
      <c r="AP55" s="243"/>
      <c r="AQ55" s="243"/>
      <c r="AR55" s="243"/>
      <c r="AS55" s="243"/>
      <c r="AT55" s="243"/>
    </row>
    <row r="56" spans="1:46" ht="12.75" x14ac:dyDescent="0.2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</row>
    <row r="57" spans="1:46" ht="12.75" x14ac:dyDescent="0.2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243"/>
      <c r="AP57" s="243"/>
      <c r="AQ57" s="243"/>
      <c r="AR57" s="243"/>
      <c r="AS57" s="243"/>
      <c r="AT57" s="243"/>
    </row>
    <row r="58" spans="1:46" ht="12.75" x14ac:dyDescent="0.2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</row>
    <row r="59" spans="1:46" ht="12.75" x14ac:dyDescent="0.2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243"/>
      <c r="AP59" s="243"/>
      <c r="AQ59" s="243"/>
      <c r="AR59" s="243"/>
      <c r="AS59" s="243"/>
      <c r="AT59" s="243"/>
    </row>
    <row r="60" spans="1:46" ht="12.75" x14ac:dyDescent="0.2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243"/>
      <c r="AR60" s="243"/>
      <c r="AS60" s="243"/>
      <c r="AT60" s="243"/>
    </row>
    <row r="61" spans="1:46" ht="12.75" x14ac:dyDescent="0.2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</row>
    <row r="62" spans="1:46" ht="12.75" x14ac:dyDescent="0.2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243"/>
      <c r="AB62" s="243"/>
      <c r="AC62" s="243"/>
      <c r="AD62" s="243"/>
      <c r="AE62" s="243"/>
      <c r="AF62" s="243"/>
      <c r="AG62" s="243"/>
      <c r="AH62" s="243"/>
      <c r="AI62" s="243"/>
      <c r="AJ62" s="243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</row>
    <row r="63" spans="1:46" ht="12.75" x14ac:dyDescent="0.2">
      <c r="A63" s="243"/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  <c r="AH63" s="243"/>
      <c r="AI63" s="243"/>
      <c r="AJ63" s="243"/>
      <c r="AK63" s="243"/>
      <c r="AL63" s="243"/>
      <c r="AM63" s="243"/>
      <c r="AN63" s="243"/>
      <c r="AO63" s="243"/>
      <c r="AP63" s="243"/>
      <c r="AQ63" s="243"/>
      <c r="AR63" s="243"/>
      <c r="AS63" s="243"/>
      <c r="AT63" s="243"/>
    </row>
    <row r="64" spans="1:46" ht="12.75" x14ac:dyDescent="0.2">
      <c r="A64" s="243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243"/>
      <c r="AP64" s="243"/>
      <c r="AQ64" s="243"/>
      <c r="AR64" s="243"/>
      <c r="AS64" s="243"/>
      <c r="AT64" s="243"/>
    </row>
    <row r="65" spans="1:46" ht="12.75" x14ac:dyDescent="0.2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  <c r="AH65" s="243"/>
      <c r="AI65" s="243"/>
      <c r="AJ65" s="243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</row>
    <row r="66" spans="1:46" ht="12.75" x14ac:dyDescent="0.2">
      <c r="A66" s="243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</row>
    <row r="67" spans="1:46" ht="12.75" x14ac:dyDescent="0.2">
      <c r="A67" s="24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</row>
    <row r="68" spans="1:46" ht="12.75" x14ac:dyDescent="0.2">
      <c r="A68" s="243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</row>
    <row r="69" spans="1:46" ht="12.75" x14ac:dyDescent="0.2">
      <c r="A69" s="243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</row>
    <row r="70" spans="1:46" ht="12.75" x14ac:dyDescent="0.2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</row>
    <row r="71" spans="1:46" ht="12.75" x14ac:dyDescent="0.2">
      <c r="A71" s="243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</row>
    <row r="72" spans="1:46" ht="12.75" x14ac:dyDescent="0.2">
      <c r="A72" s="243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3"/>
      <c r="AM72" s="243"/>
      <c r="AN72" s="243"/>
      <c r="AO72" s="243"/>
      <c r="AP72" s="243"/>
      <c r="AQ72" s="243"/>
      <c r="AR72" s="243"/>
      <c r="AS72" s="243"/>
      <c r="AT72" s="243"/>
    </row>
    <row r="73" spans="1:46" ht="12.75" x14ac:dyDescent="0.2">
      <c r="A73" s="243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</row>
    <row r="74" spans="1:46" ht="12.75" x14ac:dyDescent="0.2">
      <c r="A74" s="243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</row>
    <row r="75" spans="1:46" ht="12.75" x14ac:dyDescent="0.2">
      <c r="A75" s="243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</row>
    <row r="76" spans="1:46" ht="12.75" x14ac:dyDescent="0.2">
      <c r="A76" s="243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</row>
    <row r="77" spans="1:46" ht="12.75" x14ac:dyDescent="0.2">
      <c r="A77" s="243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</row>
    <row r="78" spans="1:46" ht="12.75" x14ac:dyDescent="0.2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</row>
    <row r="79" spans="1:46" ht="12.75" x14ac:dyDescent="0.2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  <c r="AM79" s="243"/>
      <c r="AN79" s="243"/>
      <c r="AO79" s="243"/>
      <c r="AP79" s="243"/>
      <c r="AQ79" s="243"/>
      <c r="AR79" s="243"/>
      <c r="AS79" s="243"/>
      <c r="AT79" s="243"/>
    </row>
    <row r="80" spans="1:46" ht="12.75" x14ac:dyDescent="0.2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</row>
    <row r="81" spans="1:46" ht="12.75" x14ac:dyDescent="0.2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</row>
    <row r="82" spans="1:46" ht="12.75" x14ac:dyDescent="0.2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</row>
    <row r="83" spans="1:46" ht="12.75" x14ac:dyDescent="0.2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3"/>
      <c r="AN83" s="243"/>
      <c r="AO83" s="243"/>
      <c r="AP83" s="243"/>
      <c r="AQ83" s="243"/>
      <c r="AR83" s="243"/>
      <c r="AS83" s="243"/>
      <c r="AT83" s="243"/>
    </row>
    <row r="84" spans="1:46" ht="12.75" x14ac:dyDescent="0.2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  <c r="AK84" s="243"/>
      <c r="AL84" s="243"/>
      <c r="AM84" s="243"/>
      <c r="AN84" s="243"/>
      <c r="AO84" s="243"/>
      <c r="AP84" s="243"/>
      <c r="AQ84" s="243"/>
      <c r="AR84" s="243"/>
      <c r="AS84" s="243"/>
      <c r="AT84" s="243"/>
    </row>
    <row r="85" spans="1:46" ht="12.75" x14ac:dyDescent="0.2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3"/>
      <c r="AM85" s="243"/>
      <c r="AN85" s="243"/>
      <c r="AO85" s="243"/>
      <c r="AP85" s="243"/>
      <c r="AQ85" s="243"/>
      <c r="AR85" s="243"/>
      <c r="AS85" s="243"/>
      <c r="AT85" s="243"/>
    </row>
    <row r="86" spans="1:46" ht="12.75" x14ac:dyDescent="0.2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</row>
    <row r="87" spans="1:46" ht="12.75" x14ac:dyDescent="0.2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243"/>
      <c r="AR87" s="243"/>
      <c r="AS87" s="243"/>
      <c r="AT87" s="243"/>
    </row>
    <row r="88" spans="1:46" ht="12.75" x14ac:dyDescent="0.2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243"/>
      <c r="AR88" s="243"/>
      <c r="AS88" s="243"/>
      <c r="AT88" s="243"/>
    </row>
    <row r="89" spans="1:46" ht="12.75" x14ac:dyDescent="0.2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3"/>
      <c r="AI89" s="243"/>
      <c r="AJ89" s="243"/>
      <c r="AK89" s="243"/>
      <c r="AL89" s="243"/>
      <c r="AM89" s="243"/>
      <c r="AN89" s="243"/>
      <c r="AO89" s="243"/>
      <c r="AP89" s="243"/>
      <c r="AQ89" s="243"/>
      <c r="AR89" s="243"/>
      <c r="AS89" s="243"/>
      <c r="AT89" s="243"/>
    </row>
    <row r="90" spans="1:46" ht="12.75" x14ac:dyDescent="0.2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243"/>
      <c r="AR90" s="243"/>
      <c r="AS90" s="243"/>
      <c r="AT90" s="243"/>
    </row>
    <row r="91" spans="1:46" ht="12.75" x14ac:dyDescent="0.2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243"/>
      <c r="AK91" s="243"/>
      <c r="AL91" s="243"/>
      <c r="AM91" s="243"/>
      <c r="AN91" s="243"/>
      <c r="AO91" s="243"/>
      <c r="AP91" s="243"/>
      <c r="AQ91" s="243"/>
      <c r="AR91" s="243"/>
      <c r="AS91" s="243"/>
      <c r="AT91" s="243"/>
    </row>
    <row r="92" spans="1:46" ht="12.75" x14ac:dyDescent="0.2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3"/>
      <c r="AR92" s="243"/>
      <c r="AS92" s="243"/>
      <c r="AT92" s="243"/>
    </row>
    <row r="93" spans="1:46" ht="12.75" x14ac:dyDescent="0.2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3"/>
      <c r="AN93" s="243"/>
      <c r="AO93" s="243"/>
      <c r="AP93" s="243"/>
      <c r="AQ93" s="243"/>
      <c r="AR93" s="243"/>
      <c r="AS93" s="243"/>
      <c r="AT93" s="243"/>
    </row>
    <row r="94" spans="1:46" ht="12.75" x14ac:dyDescent="0.2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</row>
    <row r="95" spans="1:46" ht="12.75" x14ac:dyDescent="0.2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</row>
    <row r="96" spans="1:46" ht="12.75" x14ac:dyDescent="0.2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</row>
    <row r="97" spans="1:46" ht="12.75" x14ac:dyDescent="0.2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</row>
    <row r="98" spans="1:46" ht="12.75" x14ac:dyDescent="0.2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</row>
    <row r="99" spans="1:46" ht="12.75" x14ac:dyDescent="0.2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</row>
    <row r="100" spans="1:46" ht="12.75" x14ac:dyDescent="0.2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  <c r="AP100" s="243"/>
      <c r="AQ100" s="243"/>
      <c r="AR100" s="243"/>
      <c r="AS100" s="243"/>
      <c r="AT100" s="243"/>
    </row>
    <row r="101" spans="1:46" ht="12.75" x14ac:dyDescent="0.2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243"/>
      <c r="AR101" s="243"/>
      <c r="AS101" s="243"/>
      <c r="AT101" s="243"/>
    </row>
    <row r="102" spans="1:46" ht="12.75" x14ac:dyDescent="0.2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  <c r="AK102" s="243"/>
      <c r="AL102" s="243"/>
      <c r="AM102" s="243"/>
      <c r="AN102" s="243"/>
      <c r="AO102" s="243"/>
      <c r="AP102" s="243"/>
      <c r="AQ102" s="243"/>
      <c r="AR102" s="243"/>
      <c r="AS102" s="243"/>
      <c r="AT102" s="243"/>
    </row>
    <row r="103" spans="1:46" ht="12.75" x14ac:dyDescent="0.2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43"/>
      <c r="AN103" s="243"/>
      <c r="AO103" s="243"/>
      <c r="AP103" s="243"/>
      <c r="AQ103" s="243"/>
      <c r="AR103" s="243"/>
      <c r="AS103" s="243"/>
      <c r="AT103" s="243"/>
    </row>
    <row r="104" spans="1:46" ht="12.75" x14ac:dyDescent="0.2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</row>
    <row r="105" spans="1:46" ht="12.75" x14ac:dyDescent="0.2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</row>
    <row r="106" spans="1:46" ht="12.75" x14ac:dyDescent="0.2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243"/>
      <c r="AR106" s="243"/>
      <c r="AS106" s="243"/>
      <c r="AT106" s="243"/>
    </row>
    <row r="107" spans="1:46" ht="12.75" x14ac:dyDescent="0.2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  <c r="AM107" s="243"/>
      <c r="AN107" s="243"/>
      <c r="AO107" s="243"/>
      <c r="AP107" s="243"/>
      <c r="AQ107" s="243"/>
      <c r="AR107" s="243"/>
      <c r="AS107" s="243"/>
      <c r="AT107" s="243"/>
    </row>
    <row r="108" spans="1:46" ht="12.75" x14ac:dyDescent="0.2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</row>
    <row r="109" spans="1:46" ht="12.75" x14ac:dyDescent="0.2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  <c r="AR109" s="243"/>
      <c r="AS109" s="243"/>
      <c r="AT109" s="243"/>
    </row>
    <row r="110" spans="1:46" ht="12.75" x14ac:dyDescent="0.2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  <c r="AM110" s="243"/>
      <c r="AN110" s="243"/>
      <c r="AO110" s="243"/>
      <c r="AP110" s="243"/>
      <c r="AQ110" s="243"/>
      <c r="AR110" s="243"/>
      <c r="AS110" s="243"/>
      <c r="AT110" s="243"/>
    </row>
    <row r="111" spans="1:46" ht="12.75" x14ac:dyDescent="0.2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</row>
    <row r="112" spans="1:46" ht="12.75" x14ac:dyDescent="0.2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  <c r="AK112" s="243"/>
      <c r="AL112" s="243"/>
      <c r="AM112" s="243"/>
      <c r="AN112" s="243"/>
      <c r="AO112" s="243"/>
      <c r="AP112" s="243"/>
      <c r="AQ112" s="243"/>
      <c r="AR112" s="243"/>
      <c r="AS112" s="243"/>
      <c r="AT112" s="243"/>
    </row>
    <row r="113" spans="1:46" ht="12.75" x14ac:dyDescent="0.2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  <c r="AM113" s="243"/>
      <c r="AN113" s="243"/>
      <c r="AO113" s="243"/>
      <c r="AP113" s="243"/>
      <c r="AQ113" s="243"/>
      <c r="AR113" s="243"/>
      <c r="AS113" s="243"/>
      <c r="AT113" s="243"/>
    </row>
    <row r="114" spans="1:46" ht="12.75" x14ac:dyDescent="0.2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  <c r="AM114" s="243"/>
      <c r="AN114" s="243"/>
      <c r="AO114" s="243"/>
      <c r="AP114" s="243"/>
      <c r="AQ114" s="243"/>
      <c r="AR114" s="243"/>
      <c r="AS114" s="243"/>
      <c r="AT114" s="243"/>
    </row>
    <row r="115" spans="1:46" ht="12.75" x14ac:dyDescent="0.2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3"/>
      <c r="AI115" s="243"/>
      <c r="AJ115" s="243"/>
      <c r="AK115" s="243"/>
      <c r="AL115" s="243"/>
      <c r="AM115" s="243"/>
      <c r="AN115" s="243"/>
      <c r="AO115" s="243"/>
      <c r="AP115" s="243"/>
      <c r="AQ115" s="243"/>
      <c r="AR115" s="243"/>
      <c r="AS115" s="243"/>
      <c r="AT115" s="243"/>
    </row>
    <row r="116" spans="1:46" ht="12.75" x14ac:dyDescent="0.2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  <c r="AM116" s="243"/>
      <c r="AN116" s="243"/>
      <c r="AO116" s="243"/>
      <c r="AP116" s="243"/>
      <c r="AQ116" s="243"/>
      <c r="AR116" s="243"/>
      <c r="AS116" s="243"/>
      <c r="AT116" s="243"/>
    </row>
    <row r="117" spans="1:46" ht="12.75" x14ac:dyDescent="0.2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  <c r="AM117" s="243"/>
      <c r="AN117" s="243"/>
      <c r="AO117" s="243"/>
      <c r="AP117" s="243"/>
      <c r="AQ117" s="243"/>
      <c r="AR117" s="243"/>
      <c r="AS117" s="243"/>
      <c r="AT117" s="243"/>
    </row>
    <row r="118" spans="1:46" ht="12.75" x14ac:dyDescent="0.2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243"/>
      <c r="AR118" s="243"/>
      <c r="AS118" s="243"/>
      <c r="AT118" s="243"/>
    </row>
    <row r="119" spans="1:46" ht="12.75" x14ac:dyDescent="0.2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  <c r="AM119" s="243"/>
      <c r="AN119" s="243"/>
      <c r="AO119" s="243"/>
      <c r="AP119" s="243"/>
      <c r="AQ119" s="243"/>
      <c r="AR119" s="243"/>
      <c r="AS119" s="243"/>
      <c r="AT119" s="243"/>
    </row>
    <row r="120" spans="1:46" ht="12.75" x14ac:dyDescent="0.2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243"/>
      <c r="AR120" s="243"/>
      <c r="AS120" s="243"/>
      <c r="AT120" s="243"/>
    </row>
    <row r="121" spans="1:46" ht="12.75" x14ac:dyDescent="0.2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3"/>
      <c r="AM121" s="243"/>
      <c r="AN121" s="243"/>
      <c r="AO121" s="243"/>
      <c r="AP121" s="243"/>
      <c r="AQ121" s="243"/>
      <c r="AR121" s="243"/>
      <c r="AS121" s="243"/>
      <c r="AT121" s="243"/>
    </row>
    <row r="122" spans="1:46" ht="12.75" x14ac:dyDescent="0.2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/>
      <c r="AT122" s="243"/>
    </row>
    <row r="123" spans="1:46" ht="12.75" x14ac:dyDescent="0.2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</row>
    <row r="124" spans="1:46" ht="12.75" x14ac:dyDescent="0.2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3"/>
      <c r="AT124" s="243"/>
    </row>
    <row r="125" spans="1:46" ht="12.75" x14ac:dyDescent="0.2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3"/>
      <c r="AI125" s="243"/>
      <c r="AJ125" s="243"/>
      <c r="AK125" s="243"/>
      <c r="AL125" s="243"/>
      <c r="AM125" s="243"/>
      <c r="AN125" s="243"/>
      <c r="AO125" s="243"/>
      <c r="AP125" s="243"/>
      <c r="AQ125" s="243"/>
      <c r="AR125" s="243"/>
      <c r="AS125" s="243"/>
      <c r="AT125" s="243"/>
    </row>
    <row r="126" spans="1:46" ht="12.75" x14ac:dyDescent="0.2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243"/>
      <c r="AR126" s="243"/>
      <c r="AS126" s="243"/>
      <c r="AT126" s="243"/>
    </row>
    <row r="127" spans="1:46" ht="12.75" x14ac:dyDescent="0.2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</row>
    <row r="128" spans="1:46" ht="12.75" x14ac:dyDescent="0.2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/>
      <c r="AT128" s="243"/>
    </row>
    <row r="129" spans="1:46" ht="12.75" x14ac:dyDescent="0.2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43"/>
      <c r="AN129" s="243"/>
      <c r="AO129" s="243"/>
      <c r="AP129" s="243"/>
      <c r="AQ129" s="243"/>
      <c r="AR129" s="243"/>
      <c r="AS129" s="243"/>
      <c r="AT129" s="243"/>
    </row>
    <row r="130" spans="1:46" ht="12.75" x14ac:dyDescent="0.2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243"/>
      <c r="AR130" s="243"/>
      <c r="AS130" s="243"/>
      <c r="AT130" s="243"/>
    </row>
    <row r="131" spans="1:46" ht="12.75" x14ac:dyDescent="0.2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243"/>
      <c r="AR131" s="243"/>
      <c r="AS131" s="243"/>
      <c r="AT131" s="243"/>
    </row>
    <row r="132" spans="1:46" ht="12.75" x14ac:dyDescent="0.2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  <c r="AM132" s="243"/>
      <c r="AN132" s="243"/>
      <c r="AO132" s="243"/>
      <c r="AP132" s="243"/>
      <c r="AQ132" s="243"/>
      <c r="AR132" s="243"/>
      <c r="AS132" s="243"/>
      <c r="AT132" s="243"/>
    </row>
    <row r="133" spans="1:46" ht="12.75" x14ac:dyDescent="0.2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3"/>
      <c r="AI133" s="243"/>
      <c r="AJ133" s="243"/>
      <c r="AK133" s="243"/>
      <c r="AL133" s="243"/>
      <c r="AM133" s="243"/>
      <c r="AN133" s="243"/>
      <c r="AO133" s="243"/>
      <c r="AP133" s="243"/>
      <c r="AQ133" s="243"/>
      <c r="AR133" s="243"/>
      <c r="AS133" s="243"/>
      <c r="AT133" s="243"/>
    </row>
    <row r="134" spans="1:46" ht="12.75" x14ac:dyDescent="0.2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  <c r="AI134" s="243"/>
      <c r="AJ134" s="243"/>
      <c r="AK134" s="243"/>
      <c r="AL134" s="243"/>
      <c r="AM134" s="243"/>
      <c r="AN134" s="243"/>
      <c r="AO134" s="243"/>
      <c r="AP134" s="243"/>
      <c r="AQ134" s="243"/>
      <c r="AR134" s="243"/>
      <c r="AS134" s="243"/>
      <c r="AT134" s="243"/>
    </row>
    <row r="135" spans="1:46" ht="12.75" x14ac:dyDescent="0.2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3"/>
      <c r="AI135" s="243"/>
      <c r="AJ135" s="243"/>
      <c r="AK135" s="243"/>
      <c r="AL135" s="243"/>
      <c r="AM135" s="243"/>
      <c r="AN135" s="243"/>
      <c r="AO135" s="243"/>
      <c r="AP135" s="243"/>
      <c r="AQ135" s="243"/>
      <c r="AR135" s="243"/>
      <c r="AS135" s="243"/>
      <c r="AT135" s="243"/>
    </row>
    <row r="136" spans="1:46" ht="12.75" x14ac:dyDescent="0.2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  <c r="AM136" s="243"/>
      <c r="AN136" s="243"/>
      <c r="AO136" s="243"/>
      <c r="AP136" s="243"/>
      <c r="AQ136" s="243"/>
      <c r="AR136" s="243"/>
      <c r="AS136" s="243"/>
      <c r="AT136" s="243"/>
    </row>
    <row r="137" spans="1:46" ht="12.75" x14ac:dyDescent="0.2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  <c r="AK137" s="243"/>
      <c r="AL137" s="243"/>
      <c r="AM137" s="243"/>
      <c r="AN137" s="243"/>
      <c r="AO137" s="243"/>
      <c r="AP137" s="243"/>
      <c r="AQ137" s="243"/>
      <c r="AR137" s="243"/>
      <c r="AS137" s="243"/>
      <c r="AT137" s="243"/>
    </row>
    <row r="138" spans="1:46" ht="12.75" x14ac:dyDescent="0.2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  <c r="AM138" s="243"/>
      <c r="AN138" s="243"/>
      <c r="AO138" s="243"/>
      <c r="AP138" s="243"/>
      <c r="AQ138" s="243"/>
      <c r="AR138" s="243"/>
      <c r="AS138" s="243"/>
      <c r="AT138" s="243"/>
    </row>
    <row r="139" spans="1:46" ht="12.75" x14ac:dyDescent="0.2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  <c r="AM139" s="243"/>
      <c r="AN139" s="243"/>
      <c r="AO139" s="243"/>
      <c r="AP139" s="243"/>
      <c r="AQ139" s="243"/>
      <c r="AR139" s="243"/>
      <c r="AS139" s="243"/>
      <c r="AT139" s="243"/>
    </row>
    <row r="140" spans="1:46" ht="12.75" x14ac:dyDescent="0.2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243"/>
      <c r="AR140" s="243"/>
      <c r="AS140" s="243"/>
      <c r="AT140" s="243"/>
    </row>
    <row r="141" spans="1:46" ht="12.75" x14ac:dyDescent="0.2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3"/>
      <c r="AI141" s="243"/>
      <c r="AJ141" s="243"/>
      <c r="AK141" s="243"/>
      <c r="AL141" s="243"/>
      <c r="AM141" s="243"/>
      <c r="AN141" s="243"/>
      <c r="AO141" s="243"/>
      <c r="AP141" s="243"/>
      <c r="AQ141" s="243"/>
      <c r="AR141" s="243"/>
      <c r="AS141" s="243"/>
      <c r="AT141" s="243"/>
    </row>
    <row r="142" spans="1:46" ht="12.75" x14ac:dyDescent="0.2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/>
      <c r="AT142" s="243"/>
    </row>
    <row r="143" spans="1:46" ht="12.75" x14ac:dyDescent="0.2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3"/>
      <c r="AI143" s="243"/>
      <c r="AJ143" s="243"/>
      <c r="AK143" s="243"/>
      <c r="AL143" s="243"/>
      <c r="AM143" s="243"/>
      <c r="AN143" s="243"/>
      <c r="AO143" s="243"/>
      <c r="AP143" s="243"/>
      <c r="AQ143" s="243"/>
      <c r="AR143" s="243"/>
      <c r="AS143" s="243"/>
      <c r="AT143" s="243"/>
    </row>
    <row r="144" spans="1:46" ht="12.75" x14ac:dyDescent="0.2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</row>
    <row r="145" spans="1:46" ht="12.75" x14ac:dyDescent="0.2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243"/>
      <c r="AL145" s="243"/>
      <c r="AM145" s="243"/>
      <c r="AN145" s="243"/>
      <c r="AO145" s="243"/>
      <c r="AP145" s="243"/>
      <c r="AQ145" s="243"/>
      <c r="AR145" s="243"/>
      <c r="AS145" s="243"/>
      <c r="AT145" s="243"/>
    </row>
    <row r="146" spans="1:46" ht="12.75" x14ac:dyDescent="0.2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3"/>
      <c r="AI146" s="243"/>
      <c r="AJ146" s="243"/>
      <c r="AK146" s="243"/>
      <c r="AL146" s="243"/>
      <c r="AM146" s="243"/>
      <c r="AN146" s="243"/>
      <c r="AO146" s="243"/>
      <c r="AP146" s="243"/>
      <c r="AQ146" s="243"/>
      <c r="AR146" s="243"/>
      <c r="AS146" s="243"/>
      <c r="AT146" s="243"/>
    </row>
    <row r="147" spans="1:46" ht="12.75" x14ac:dyDescent="0.2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  <c r="AR147" s="243"/>
      <c r="AS147" s="243"/>
      <c r="AT147" s="243"/>
    </row>
    <row r="148" spans="1:46" ht="12.75" x14ac:dyDescent="0.2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3"/>
      <c r="AI148" s="243"/>
      <c r="AJ148" s="243"/>
      <c r="AK148" s="243"/>
      <c r="AL148" s="243"/>
      <c r="AM148" s="243"/>
      <c r="AN148" s="243"/>
      <c r="AO148" s="243"/>
      <c r="AP148" s="243"/>
      <c r="AQ148" s="243"/>
      <c r="AR148" s="243"/>
      <c r="AS148" s="243"/>
      <c r="AT148" s="243"/>
    </row>
    <row r="149" spans="1:46" ht="12.75" x14ac:dyDescent="0.2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243"/>
      <c r="AL149" s="243"/>
      <c r="AM149" s="243"/>
      <c r="AN149" s="243"/>
      <c r="AO149" s="243"/>
      <c r="AP149" s="243"/>
      <c r="AQ149" s="243"/>
      <c r="AR149" s="243"/>
      <c r="AS149" s="243"/>
      <c r="AT149" s="243"/>
    </row>
    <row r="150" spans="1:46" ht="12.75" x14ac:dyDescent="0.2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243"/>
      <c r="AL150" s="243"/>
      <c r="AM150" s="243"/>
      <c r="AN150" s="243"/>
      <c r="AO150" s="243"/>
      <c r="AP150" s="243"/>
      <c r="AQ150" s="243"/>
      <c r="AR150" s="243"/>
      <c r="AS150" s="243"/>
      <c r="AT150" s="243"/>
    </row>
    <row r="151" spans="1:46" ht="12.75" x14ac:dyDescent="0.2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243"/>
      <c r="AL151" s="243"/>
      <c r="AM151" s="243"/>
      <c r="AN151" s="243"/>
      <c r="AO151" s="243"/>
      <c r="AP151" s="243"/>
      <c r="AQ151" s="243"/>
      <c r="AR151" s="243"/>
      <c r="AS151" s="243"/>
      <c r="AT151" s="243"/>
    </row>
    <row r="152" spans="1:46" ht="12.75" x14ac:dyDescent="0.2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243"/>
      <c r="AL152" s="243"/>
      <c r="AM152" s="243"/>
      <c r="AN152" s="243"/>
      <c r="AO152" s="243"/>
      <c r="AP152" s="243"/>
      <c r="AQ152" s="243"/>
      <c r="AR152" s="243"/>
      <c r="AS152" s="243"/>
      <c r="AT152" s="243"/>
    </row>
    <row r="153" spans="1:46" ht="12.75" x14ac:dyDescent="0.2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3"/>
    </row>
    <row r="154" spans="1:46" ht="12.75" x14ac:dyDescent="0.2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3"/>
      <c r="AM154" s="243"/>
      <c r="AN154" s="243"/>
      <c r="AO154" s="243"/>
      <c r="AP154" s="243"/>
      <c r="AQ154" s="243"/>
      <c r="AR154" s="243"/>
      <c r="AS154" s="243"/>
      <c r="AT154" s="243"/>
    </row>
    <row r="155" spans="1:46" ht="12.75" x14ac:dyDescent="0.2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3"/>
      <c r="AI155" s="243"/>
      <c r="AJ155" s="243"/>
      <c r="AK155" s="243"/>
      <c r="AL155" s="243"/>
      <c r="AM155" s="243"/>
      <c r="AN155" s="243"/>
      <c r="AO155" s="243"/>
      <c r="AP155" s="243"/>
      <c r="AQ155" s="243"/>
      <c r="AR155" s="243"/>
      <c r="AS155" s="243"/>
      <c r="AT155" s="243"/>
    </row>
    <row r="156" spans="1:46" ht="12.75" x14ac:dyDescent="0.2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3"/>
      <c r="AI156" s="243"/>
      <c r="AJ156" s="243"/>
      <c r="AK156" s="243"/>
      <c r="AL156" s="243"/>
      <c r="AM156" s="243"/>
      <c r="AN156" s="243"/>
      <c r="AO156" s="243"/>
      <c r="AP156" s="243"/>
      <c r="AQ156" s="243"/>
      <c r="AR156" s="243"/>
      <c r="AS156" s="243"/>
      <c r="AT156" s="243"/>
    </row>
    <row r="157" spans="1:46" ht="12.75" x14ac:dyDescent="0.2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3"/>
      <c r="AI157" s="243"/>
      <c r="AJ157" s="243"/>
      <c r="AK157" s="243"/>
      <c r="AL157" s="243"/>
      <c r="AM157" s="243"/>
      <c r="AN157" s="243"/>
      <c r="AO157" s="243"/>
      <c r="AP157" s="243"/>
      <c r="AQ157" s="243"/>
      <c r="AR157" s="243"/>
      <c r="AS157" s="243"/>
      <c r="AT157" s="243"/>
    </row>
    <row r="158" spans="1:46" ht="12.75" x14ac:dyDescent="0.2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3"/>
      <c r="AI158" s="243"/>
      <c r="AJ158" s="243"/>
      <c r="AK158" s="243"/>
      <c r="AL158" s="243"/>
      <c r="AM158" s="243"/>
      <c r="AN158" s="243"/>
      <c r="AO158" s="243"/>
      <c r="AP158" s="243"/>
      <c r="AQ158" s="243"/>
      <c r="AR158" s="243"/>
      <c r="AS158" s="243"/>
      <c r="AT158" s="243"/>
    </row>
    <row r="159" spans="1:46" ht="12.75" x14ac:dyDescent="0.2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243"/>
      <c r="AR159" s="243"/>
      <c r="AS159" s="243"/>
      <c r="AT159" s="243"/>
    </row>
    <row r="160" spans="1:46" ht="12.75" x14ac:dyDescent="0.2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243"/>
      <c r="AR160" s="243"/>
      <c r="AS160" s="243"/>
      <c r="AT160" s="243"/>
    </row>
    <row r="161" spans="1:46" ht="12.75" x14ac:dyDescent="0.2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243"/>
      <c r="AR161" s="243"/>
      <c r="AS161" s="243"/>
      <c r="AT161" s="243"/>
    </row>
    <row r="162" spans="1:46" ht="12.75" x14ac:dyDescent="0.2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</row>
    <row r="163" spans="1:46" ht="12.75" x14ac:dyDescent="0.2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3"/>
      <c r="AI163" s="243"/>
      <c r="AJ163" s="243"/>
      <c r="AK163" s="243"/>
      <c r="AL163" s="243"/>
      <c r="AM163" s="243"/>
      <c r="AN163" s="243"/>
      <c r="AO163" s="243"/>
      <c r="AP163" s="243"/>
      <c r="AQ163" s="243"/>
      <c r="AR163" s="243"/>
      <c r="AS163" s="243"/>
      <c r="AT163" s="243"/>
    </row>
    <row r="164" spans="1:46" ht="12.75" x14ac:dyDescent="0.2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  <c r="AH164" s="243"/>
      <c r="AI164" s="243"/>
      <c r="AJ164" s="243"/>
      <c r="AK164" s="243"/>
      <c r="AL164" s="243"/>
      <c r="AM164" s="243"/>
      <c r="AN164" s="243"/>
      <c r="AO164" s="243"/>
      <c r="AP164" s="243"/>
      <c r="AQ164" s="243"/>
      <c r="AR164" s="243"/>
      <c r="AS164" s="243"/>
      <c r="AT164" s="243"/>
    </row>
    <row r="165" spans="1:46" ht="12.75" x14ac:dyDescent="0.2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3"/>
      <c r="AI165" s="243"/>
      <c r="AJ165" s="243"/>
      <c r="AK165" s="243"/>
      <c r="AL165" s="243"/>
      <c r="AM165" s="243"/>
      <c r="AN165" s="243"/>
      <c r="AO165" s="243"/>
      <c r="AP165" s="243"/>
      <c r="AQ165" s="243"/>
      <c r="AR165" s="243"/>
      <c r="AS165" s="243"/>
      <c r="AT165" s="243"/>
    </row>
    <row r="166" spans="1:46" ht="12.75" x14ac:dyDescent="0.2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  <c r="AH166" s="243"/>
      <c r="AI166" s="243"/>
      <c r="AJ166" s="243"/>
      <c r="AK166" s="243"/>
      <c r="AL166" s="243"/>
      <c r="AM166" s="243"/>
      <c r="AN166" s="243"/>
      <c r="AO166" s="243"/>
      <c r="AP166" s="243"/>
      <c r="AQ166" s="243"/>
      <c r="AR166" s="243"/>
      <c r="AS166" s="243"/>
      <c r="AT166" s="243"/>
    </row>
    <row r="167" spans="1:46" ht="12.75" x14ac:dyDescent="0.2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  <c r="AH167" s="243"/>
      <c r="AI167" s="243"/>
      <c r="AJ167" s="243"/>
      <c r="AK167" s="243"/>
      <c r="AL167" s="243"/>
      <c r="AM167" s="243"/>
      <c r="AN167" s="243"/>
      <c r="AO167" s="243"/>
      <c r="AP167" s="243"/>
      <c r="AQ167" s="243"/>
      <c r="AR167" s="243"/>
      <c r="AS167" s="243"/>
      <c r="AT167" s="243"/>
    </row>
    <row r="168" spans="1:46" ht="12.75" x14ac:dyDescent="0.2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3"/>
      <c r="AI168" s="243"/>
      <c r="AJ168" s="243"/>
      <c r="AK168" s="243"/>
      <c r="AL168" s="243"/>
      <c r="AM168" s="243"/>
      <c r="AN168" s="243"/>
      <c r="AO168" s="243"/>
      <c r="AP168" s="243"/>
      <c r="AQ168" s="243"/>
      <c r="AR168" s="243"/>
      <c r="AS168" s="243"/>
      <c r="AT168" s="243"/>
    </row>
    <row r="169" spans="1:46" ht="12.75" x14ac:dyDescent="0.2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3"/>
      <c r="AI169" s="243"/>
      <c r="AJ169" s="243"/>
      <c r="AK169" s="243"/>
      <c r="AL169" s="243"/>
      <c r="AM169" s="243"/>
      <c r="AN169" s="243"/>
      <c r="AO169" s="243"/>
      <c r="AP169" s="243"/>
      <c r="AQ169" s="243"/>
      <c r="AR169" s="243"/>
      <c r="AS169" s="243"/>
      <c r="AT169" s="243"/>
    </row>
    <row r="170" spans="1:46" ht="12.75" x14ac:dyDescent="0.2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3"/>
    </row>
    <row r="171" spans="1:46" ht="12.75" x14ac:dyDescent="0.2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3"/>
      <c r="AI171" s="243"/>
      <c r="AJ171" s="243"/>
      <c r="AK171" s="243"/>
      <c r="AL171" s="243"/>
      <c r="AM171" s="243"/>
      <c r="AN171" s="243"/>
      <c r="AO171" s="243"/>
      <c r="AP171" s="243"/>
      <c r="AQ171" s="243"/>
      <c r="AR171" s="243"/>
      <c r="AS171" s="243"/>
      <c r="AT171" s="243"/>
    </row>
    <row r="172" spans="1:46" ht="12.75" x14ac:dyDescent="0.2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  <c r="AH172" s="243"/>
      <c r="AI172" s="243"/>
      <c r="AJ172" s="243"/>
      <c r="AK172" s="243"/>
      <c r="AL172" s="243"/>
      <c r="AM172" s="243"/>
      <c r="AN172" s="243"/>
      <c r="AO172" s="243"/>
      <c r="AP172" s="243"/>
      <c r="AQ172" s="243"/>
      <c r="AR172" s="243"/>
      <c r="AS172" s="243"/>
      <c r="AT172" s="243"/>
    </row>
    <row r="173" spans="1:46" ht="12.75" x14ac:dyDescent="0.2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  <c r="AH173" s="243"/>
      <c r="AI173" s="243"/>
      <c r="AJ173" s="243"/>
      <c r="AK173" s="243"/>
      <c r="AL173" s="243"/>
      <c r="AM173" s="243"/>
      <c r="AN173" s="243"/>
      <c r="AO173" s="243"/>
      <c r="AP173" s="243"/>
      <c r="AQ173" s="243"/>
      <c r="AR173" s="243"/>
      <c r="AS173" s="243"/>
      <c r="AT173" s="243"/>
    </row>
    <row r="174" spans="1:46" ht="12.75" x14ac:dyDescent="0.2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3"/>
      <c r="AI174" s="243"/>
      <c r="AJ174" s="243"/>
      <c r="AK174" s="243"/>
      <c r="AL174" s="243"/>
      <c r="AM174" s="243"/>
      <c r="AN174" s="243"/>
      <c r="AO174" s="243"/>
      <c r="AP174" s="243"/>
      <c r="AQ174" s="243"/>
      <c r="AR174" s="243"/>
      <c r="AS174" s="243"/>
      <c r="AT174" s="243"/>
    </row>
    <row r="175" spans="1:46" ht="12.75" x14ac:dyDescent="0.2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  <c r="AH175" s="243"/>
      <c r="AI175" s="243"/>
      <c r="AJ175" s="243"/>
      <c r="AK175" s="243"/>
      <c r="AL175" s="243"/>
      <c r="AM175" s="243"/>
      <c r="AN175" s="243"/>
      <c r="AO175" s="243"/>
      <c r="AP175" s="243"/>
      <c r="AQ175" s="243"/>
      <c r="AR175" s="243"/>
      <c r="AS175" s="243"/>
      <c r="AT175" s="243"/>
    </row>
    <row r="176" spans="1:46" ht="12.75" x14ac:dyDescent="0.2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  <c r="AH176" s="243"/>
      <c r="AI176" s="243"/>
      <c r="AJ176" s="243"/>
      <c r="AK176" s="243"/>
      <c r="AL176" s="243"/>
      <c r="AM176" s="243"/>
      <c r="AN176" s="243"/>
      <c r="AO176" s="243"/>
      <c r="AP176" s="243"/>
      <c r="AQ176" s="243"/>
      <c r="AR176" s="243"/>
      <c r="AS176" s="243"/>
      <c r="AT176" s="243"/>
    </row>
    <row r="177" spans="1:46" ht="12.75" x14ac:dyDescent="0.2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  <c r="AH177" s="243"/>
      <c r="AI177" s="243"/>
      <c r="AJ177" s="243"/>
      <c r="AK177" s="243"/>
      <c r="AL177" s="243"/>
      <c r="AM177" s="243"/>
      <c r="AN177" s="243"/>
      <c r="AO177" s="243"/>
      <c r="AP177" s="243"/>
      <c r="AQ177" s="243"/>
      <c r="AR177" s="243"/>
      <c r="AS177" s="243"/>
      <c r="AT177" s="243"/>
    </row>
    <row r="178" spans="1:46" ht="12.75" x14ac:dyDescent="0.2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3"/>
      <c r="AI178" s="243"/>
      <c r="AJ178" s="243"/>
      <c r="AK178" s="243"/>
      <c r="AL178" s="243"/>
      <c r="AM178" s="243"/>
      <c r="AN178" s="243"/>
      <c r="AO178" s="243"/>
      <c r="AP178" s="243"/>
      <c r="AQ178" s="243"/>
      <c r="AR178" s="243"/>
      <c r="AS178" s="243"/>
      <c r="AT178" s="243"/>
    </row>
    <row r="179" spans="1:46" ht="12.75" x14ac:dyDescent="0.2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243"/>
      <c r="AR179" s="243"/>
      <c r="AS179" s="243"/>
      <c r="AT179" s="243"/>
    </row>
    <row r="180" spans="1:46" ht="12.75" x14ac:dyDescent="0.2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  <c r="AH180" s="243"/>
      <c r="AI180" s="243"/>
      <c r="AJ180" s="243"/>
      <c r="AK180" s="243"/>
      <c r="AL180" s="243"/>
      <c r="AM180" s="243"/>
      <c r="AN180" s="243"/>
      <c r="AO180" s="243"/>
      <c r="AP180" s="243"/>
      <c r="AQ180" s="243"/>
      <c r="AR180" s="243"/>
      <c r="AS180" s="243"/>
      <c r="AT180" s="243"/>
    </row>
    <row r="181" spans="1:46" ht="12.75" x14ac:dyDescent="0.2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3"/>
      <c r="AI181" s="243"/>
      <c r="AJ181" s="243"/>
      <c r="AK181" s="243"/>
      <c r="AL181" s="243"/>
      <c r="AM181" s="243"/>
      <c r="AN181" s="243"/>
      <c r="AO181" s="243"/>
      <c r="AP181" s="243"/>
      <c r="AQ181" s="243"/>
      <c r="AR181" s="243"/>
      <c r="AS181" s="243"/>
      <c r="AT181" s="243"/>
    </row>
    <row r="182" spans="1:46" ht="12.75" x14ac:dyDescent="0.2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243"/>
      <c r="AR182" s="243"/>
      <c r="AS182" s="243"/>
      <c r="AT182" s="243"/>
    </row>
    <row r="183" spans="1:46" ht="12.75" x14ac:dyDescent="0.2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  <c r="AC183" s="243"/>
      <c r="AD183" s="243"/>
      <c r="AE183" s="243"/>
      <c r="AF183" s="243"/>
      <c r="AG183" s="243"/>
      <c r="AH183" s="243"/>
      <c r="AI183" s="243"/>
      <c r="AJ183" s="243"/>
      <c r="AK183" s="243"/>
      <c r="AL183" s="243"/>
      <c r="AM183" s="243"/>
      <c r="AN183" s="243"/>
      <c r="AO183" s="243"/>
      <c r="AP183" s="243"/>
      <c r="AQ183" s="243"/>
      <c r="AR183" s="243"/>
      <c r="AS183" s="243"/>
      <c r="AT183" s="243"/>
    </row>
    <row r="184" spans="1:46" ht="12.75" x14ac:dyDescent="0.2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  <c r="AC184" s="243"/>
      <c r="AD184" s="243"/>
      <c r="AE184" s="243"/>
      <c r="AF184" s="243"/>
      <c r="AG184" s="243"/>
      <c r="AH184" s="243"/>
      <c r="AI184" s="243"/>
      <c r="AJ184" s="243"/>
      <c r="AK184" s="243"/>
      <c r="AL184" s="243"/>
      <c r="AM184" s="243"/>
      <c r="AN184" s="243"/>
      <c r="AO184" s="243"/>
      <c r="AP184" s="243"/>
      <c r="AQ184" s="243"/>
      <c r="AR184" s="243"/>
      <c r="AS184" s="243"/>
      <c r="AT184" s="243"/>
    </row>
    <row r="185" spans="1:46" ht="12.75" x14ac:dyDescent="0.2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3"/>
      <c r="AI185" s="243"/>
      <c r="AJ185" s="243"/>
      <c r="AK185" s="243"/>
      <c r="AL185" s="243"/>
      <c r="AM185" s="243"/>
      <c r="AN185" s="243"/>
      <c r="AO185" s="243"/>
      <c r="AP185" s="243"/>
      <c r="AQ185" s="243"/>
      <c r="AR185" s="243"/>
      <c r="AS185" s="243"/>
      <c r="AT185" s="243"/>
    </row>
    <row r="186" spans="1:46" ht="12.75" x14ac:dyDescent="0.2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43"/>
      <c r="AN186" s="243"/>
      <c r="AO186" s="243"/>
      <c r="AP186" s="243"/>
      <c r="AQ186" s="243"/>
      <c r="AR186" s="243"/>
      <c r="AS186" s="243"/>
      <c r="AT186" s="243"/>
    </row>
    <row r="187" spans="1:46" ht="12.75" x14ac:dyDescent="0.2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243"/>
      <c r="AR187" s="243"/>
      <c r="AS187" s="243"/>
      <c r="AT187" s="243"/>
    </row>
    <row r="188" spans="1:46" ht="12.75" x14ac:dyDescent="0.2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  <c r="AH188" s="243"/>
      <c r="AI188" s="243"/>
      <c r="AJ188" s="243"/>
      <c r="AK188" s="243"/>
      <c r="AL188" s="243"/>
      <c r="AM188" s="243"/>
      <c r="AN188" s="243"/>
      <c r="AO188" s="243"/>
      <c r="AP188" s="243"/>
      <c r="AQ188" s="243"/>
      <c r="AR188" s="243"/>
      <c r="AS188" s="243"/>
      <c r="AT188" s="243"/>
    </row>
    <row r="189" spans="1:46" ht="12.75" x14ac:dyDescent="0.2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3"/>
      <c r="AI189" s="243"/>
      <c r="AJ189" s="243"/>
      <c r="AK189" s="243"/>
      <c r="AL189" s="243"/>
      <c r="AM189" s="243"/>
      <c r="AN189" s="243"/>
      <c r="AO189" s="243"/>
      <c r="AP189" s="243"/>
      <c r="AQ189" s="243"/>
      <c r="AR189" s="243"/>
      <c r="AS189" s="243"/>
      <c r="AT189" s="243"/>
    </row>
    <row r="190" spans="1:46" ht="12.75" x14ac:dyDescent="0.2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  <c r="AC190" s="243"/>
      <c r="AD190" s="243"/>
      <c r="AE190" s="243"/>
      <c r="AF190" s="243"/>
      <c r="AG190" s="243"/>
      <c r="AH190" s="243"/>
      <c r="AI190" s="243"/>
      <c r="AJ190" s="243"/>
      <c r="AK190" s="243"/>
      <c r="AL190" s="243"/>
      <c r="AM190" s="243"/>
      <c r="AN190" s="243"/>
      <c r="AO190" s="243"/>
      <c r="AP190" s="243"/>
      <c r="AQ190" s="243"/>
      <c r="AR190" s="243"/>
      <c r="AS190" s="243"/>
      <c r="AT190" s="243"/>
    </row>
    <row r="191" spans="1:46" ht="12.75" x14ac:dyDescent="0.2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  <c r="AD191" s="243"/>
      <c r="AE191" s="243"/>
      <c r="AF191" s="243"/>
      <c r="AG191" s="243"/>
      <c r="AH191" s="243"/>
      <c r="AI191" s="243"/>
      <c r="AJ191" s="243"/>
      <c r="AK191" s="243"/>
      <c r="AL191" s="243"/>
      <c r="AM191" s="243"/>
      <c r="AN191" s="243"/>
      <c r="AO191" s="243"/>
      <c r="AP191" s="243"/>
      <c r="AQ191" s="243"/>
      <c r="AR191" s="243"/>
      <c r="AS191" s="243"/>
      <c r="AT191" s="243"/>
    </row>
    <row r="192" spans="1:46" ht="12.75" x14ac:dyDescent="0.2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  <c r="AH192" s="243"/>
      <c r="AI192" s="243"/>
      <c r="AJ192" s="243"/>
      <c r="AK192" s="243"/>
      <c r="AL192" s="243"/>
      <c r="AM192" s="243"/>
      <c r="AN192" s="243"/>
      <c r="AO192" s="243"/>
      <c r="AP192" s="243"/>
      <c r="AQ192" s="243"/>
      <c r="AR192" s="243"/>
      <c r="AS192" s="243"/>
      <c r="AT192" s="243"/>
    </row>
    <row r="193" spans="1:46" ht="12.75" x14ac:dyDescent="0.2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  <c r="AH193" s="243"/>
      <c r="AI193" s="243"/>
      <c r="AJ193" s="243"/>
      <c r="AK193" s="243"/>
      <c r="AL193" s="243"/>
      <c r="AM193" s="243"/>
      <c r="AN193" s="243"/>
      <c r="AO193" s="243"/>
      <c r="AP193" s="243"/>
      <c r="AQ193" s="243"/>
      <c r="AR193" s="243"/>
      <c r="AS193" s="243"/>
      <c r="AT193" s="243"/>
    </row>
    <row r="194" spans="1:46" ht="12.75" x14ac:dyDescent="0.2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  <c r="AH194" s="243"/>
      <c r="AI194" s="243"/>
      <c r="AJ194" s="243"/>
      <c r="AK194" s="243"/>
      <c r="AL194" s="243"/>
      <c r="AM194" s="243"/>
      <c r="AN194" s="243"/>
      <c r="AO194" s="243"/>
      <c r="AP194" s="243"/>
      <c r="AQ194" s="243"/>
      <c r="AR194" s="243"/>
      <c r="AS194" s="243"/>
      <c r="AT194" s="243"/>
    </row>
    <row r="195" spans="1:46" ht="12.75" x14ac:dyDescent="0.2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  <c r="AH195" s="243"/>
      <c r="AI195" s="243"/>
      <c r="AJ195" s="243"/>
      <c r="AK195" s="243"/>
      <c r="AL195" s="243"/>
      <c r="AM195" s="243"/>
      <c r="AN195" s="243"/>
      <c r="AO195" s="243"/>
      <c r="AP195" s="243"/>
      <c r="AQ195" s="243"/>
      <c r="AR195" s="243"/>
      <c r="AS195" s="243"/>
      <c r="AT195" s="243"/>
    </row>
    <row r="196" spans="1:46" ht="12.75" x14ac:dyDescent="0.2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  <c r="AH196" s="243"/>
      <c r="AI196" s="243"/>
      <c r="AJ196" s="243"/>
      <c r="AK196" s="243"/>
      <c r="AL196" s="243"/>
      <c r="AM196" s="243"/>
      <c r="AN196" s="243"/>
      <c r="AO196" s="243"/>
      <c r="AP196" s="243"/>
      <c r="AQ196" s="243"/>
      <c r="AR196" s="243"/>
      <c r="AS196" s="243"/>
      <c r="AT196" s="243"/>
    </row>
    <row r="197" spans="1:46" ht="12.75" x14ac:dyDescent="0.2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  <c r="AH197" s="243"/>
      <c r="AI197" s="243"/>
      <c r="AJ197" s="243"/>
      <c r="AK197" s="243"/>
      <c r="AL197" s="243"/>
      <c r="AM197" s="243"/>
      <c r="AN197" s="243"/>
      <c r="AO197" s="243"/>
      <c r="AP197" s="243"/>
      <c r="AQ197" s="243"/>
      <c r="AR197" s="243"/>
      <c r="AS197" s="243"/>
      <c r="AT197" s="243"/>
    </row>
    <row r="198" spans="1:46" ht="12.75" x14ac:dyDescent="0.2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3"/>
      <c r="AI198" s="243"/>
      <c r="AJ198" s="243"/>
      <c r="AK198" s="243"/>
      <c r="AL198" s="243"/>
      <c r="AM198" s="243"/>
      <c r="AN198" s="243"/>
      <c r="AO198" s="243"/>
      <c r="AP198" s="243"/>
      <c r="AQ198" s="243"/>
      <c r="AR198" s="243"/>
      <c r="AS198" s="243"/>
      <c r="AT198" s="243"/>
    </row>
    <row r="199" spans="1:46" ht="12.75" x14ac:dyDescent="0.2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3"/>
    </row>
    <row r="200" spans="1:46" ht="12.75" x14ac:dyDescent="0.2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</row>
    <row r="201" spans="1:46" ht="12.75" x14ac:dyDescent="0.2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243"/>
      <c r="AR201" s="243"/>
      <c r="AS201" s="243"/>
      <c r="AT201" s="243"/>
    </row>
    <row r="202" spans="1:46" ht="12.75" x14ac:dyDescent="0.2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3"/>
      <c r="AI202" s="243"/>
      <c r="AJ202" s="243"/>
      <c r="AK202" s="243"/>
      <c r="AL202" s="243"/>
      <c r="AM202" s="243"/>
      <c r="AN202" s="243"/>
      <c r="AO202" s="243"/>
      <c r="AP202" s="243"/>
      <c r="AQ202" s="243"/>
      <c r="AR202" s="243"/>
      <c r="AS202" s="243"/>
      <c r="AT202" s="243"/>
    </row>
    <row r="203" spans="1:46" ht="12.75" x14ac:dyDescent="0.2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3"/>
      <c r="AI203" s="243"/>
      <c r="AJ203" s="243"/>
      <c r="AK203" s="243"/>
      <c r="AL203" s="243"/>
      <c r="AM203" s="243"/>
      <c r="AN203" s="243"/>
      <c r="AO203" s="243"/>
      <c r="AP203" s="243"/>
      <c r="AQ203" s="243"/>
      <c r="AR203" s="243"/>
      <c r="AS203" s="243"/>
      <c r="AT203" s="243"/>
    </row>
    <row r="204" spans="1:46" ht="12.75" x14ac:dyDescent="0.2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3"/>
      <c r="AI204" s="243"/>
      <c r="AJ204" s="243"/>
      <c r="AK204" s="243"/>
      <c r="AL204" s="243"/>
      <c r="AM204" s="243"/>
      <c r="AN204" s="243"/>
      <c r="AO204" s="243"/>
      <c r="AP204" s="243"/>
      <c r="AQ204" s="243"/>
      <c r="AR204" s="243"/>
      <c r="AS204" s="243"/>
      <c r="AT204" s="243"/>
    </row>
    <row r="205" spans="1:46" ht="12.75" x14ac:dyDescent="0.2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  <c r="AH205" s="243"/>
      <c r="AI205" s="243"/>
      <c r="AJ205" s="243"/>
      <c r="AK205" s="243"/>
      <c r="AL205" s="243"/>
      <c r="AM205" s="243"/>
      <c r="AN205" s="243"/>
      <c r="AO205" s="243"/>
      <c r="AP205" s="243"/>
      <c r="AQ205" s="243"/>
      <c r="AR205" s="243"/>
      <c r="AS205" s="243"/>
      <c r="AT205" s="243"/>
    </row>
    <row r="206" spans="1:46" ht="12.75" x14ac:dyDescent="0.2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243"/>
      <c r="AR206" s="243"/>
      <c r="AS206" s="243"/>
      <c r="AT206" s="243"/>
    </row>
    <row r="207" spans="1:46" ht="12.75" x14ac:dyDescent="0.2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3"/>
    </row>
    <row r="208" spans="1:46" ht="12.75" x14ac:dyDescent="0.2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243"/>
      <c r="AR208" s="243"/>
      <c r="AS208" s="243"/>
      <c r="AT208" s="243"/>
    </row>
    <row r="209" spans="1:46" ht="12.75" x14ac:dyDescent="0.2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</row>
    <row r="210" spans="1:46" ht="12.75" x14ac:dyDescent="0.2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</row>
    <row r="211" spans="1:46" ht="12.75" x14ac:dyDescent="0.2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3"/>
      <c r="AI211" s="243"/>
      <c r="AJ211" s="243"/>
      <c r="AK211" s="243"/>
      <c r="AL211" s="243"/>
      <c r="AM211" s="243"/>
      <c r="AN211" s="243"/>
      <c r="AO211" s="243"/>
      <c r="AP211" s="243"/>
      <c r="AQ211" s="243"/>
      <c r="AR211" s="243"/>
      <c r="AS211" s="243"/>
      <c r="AT211" s="243"/>
    </row>
    <row r="212" spans="1:46" ht="12.75" x14ac:dyDescent="0.2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3"/>
      <c r="AI212" s="243"/>
      <c r="AJ212" s="243"/>
      <c r="AK212" s="243"/>
      <c r="AL212" s="243"/>
      <c r="AM212" s="243"/>
      <c r="AN212" s="243"/>
      <c r="AO212" s="243"/>
      <c r="AP212" s="243"/>
      <c r="AQ212" s="243"/>
      <c r="AR212" s="243"/>
      <c r="AS212" s="243"/>
      <c r="AT212" s="243"/>
    </row>
    <row r="213" spans="1:46" ht="12.75" x14ac:dyDescent="0.2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243"/>
      <c r="AR213" s="243"/>
      <c r="AS213" s="243"/>
      <c r="AT213" s="243"/>
    </row>
    <row r="214" spans="1:46" ht="12.75" x14ac:dyDescent="0.2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  <c r="AH214" s="243"/>
      <c r="AI214" s="243"/>
      <c r="AJ214" s="243"/>
      <c r="AK214" s="243"/>
      <c r="AL214" s="243"/>
      <c r="AM214" s="243"/>
      <c r="AN214" s="243"/>
      <c r="AO214" s="243"/>
      <c r="AP214" s="243"/>
      <c r="AQ214" s="243"/>
      <c r="AR214" s="243"/>
      <c r="AS214" s="243"/>
      <c r="AT214" s="243"/>
    </row>
    <row r="215" spans="1:46" ht="12.75" x14ac:dyDescent="0.2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  <c r="AH215" s="243"/>
      <c r="AI215" s="243"/>
      <c r="AJ215" s="243"/>
      <c r="AK215" s="243"/>
      <c r="AL215" s="243"/>
      <c r="AM215" s="243"/>
      <c r="AN215" s="243"/>
      <c r="AO215" s="243"/>
      <c r="AP215" s="243"/>
      <c r="AQ215" s="243"/>
      <c r="AR215" s="243"/>
      <c r="AS215" s="243"/>
      <c r="AT215" s="243"/>
    </row>
    <row r="216" spans="1:46" ht="12.75" x14ac:dyDescent="0.2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243"/>
      <c r="AR216" s="243"/>
      <c r="AS216" s="243"/>
      <c r="AT216" s="243"/>
    </row>
    <row r="217" spans="1:46" ht="12.75" x14ac:dyDescent="0.2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243"/>
      <c r="AR217" s="243"/>
      <c r="AS217" s="243"/>
      <c r="AT217" s="243"/>
    </row>
    <row r="218" spans="1:46" ht="12.75" x14ac:dyDescent="0.2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243"/>
      <c r="AR218" s="243"/>
      <c r="AS218" s="243"/>
      <c r="AT218" s="243"/>
    </row>
    <row r="219" spans="1:46" ht="12.75" x14ac:dyDescent="0.2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3"/>
      <c r="AL219" s="243"/>
      <c r="AM219" s="243"/>
      <c r="AN219" s="243"/>
      <c r="AO219" s="243"/>
      <c r="AP219" s="243"/>
      <c r="AQ219" s="243"/>
      <c r="AR219" s="243"/>
      <c r="AS219" s="243"/>
      <c r="AT219" s="243"/>
    </row>
    <row r="220" spans="1:46" ht="12.75" x14ac:dyDescent="0.2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3"/>
      <c r="AI220" s="243"/>
      <c r="AJ220" s="243"/>
      <c r="AK220" s="243"/>
      <c r="AL220" s="243"/>
      <c r="AM220" s="243"/>
      <c r="AN220" s="243"/>
      <c r="AO220" s="243"/>
      <c r="AP220" s="243"/>
      <c r="AQ220" s="243"/>
      <c r="AR220" s="243"/>
      <c r="AS220" s="243"/>
      <c r="AT220" s="243"/>
    </row>
    <row r="221" spans="1:46" ht="12.75" x14ac:dyDescent="0.2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3"/>
      <c r="AI221" s="243"/>
      <c r="AJ221" s="243"/>
      <c r="AK221" s="243"/>
      <c r="AL221" s="243"/>
      <c r="AM221" s="243"/>
      <c r="AN221" s="243"/>
      <c r="AO221" s="243"/>
      <c r="AP221" s="243"/>
      <c r="AQ221" s="243"/>
      <c r="AR221" s="243"/>
      <c r="AS221" s="243"/>
      <c r="AT221" s="243"/>
    </row>
    <row r="222" spans="1:46" ht="12.75" x14ac:dyDescent="0.2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3"/>
      <c r="AI222" s="243"/>
      <c r="AJ222" s="243"/>
      <c r="AK222" s="243"/>
      <c r="AL222" s="243"/>
      <c r="AM222" s="243"/>
      <c r="AN222" s="243"/>
      <c r="AO222" s="243"/>
      <c r="AP222" s="243"/>
      <c r="AQ222" s="243"/>
      <c r="AR222" s="243"/>
      <c r="AS222" s="243"/>
      <c r="AT222" s="243"/>
    </row>
    <row r="223" spans="1:46" ht="12.75" x14ac:dyDescent="0.2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3"/>
      <c r="AI223" s="243"/>
      <c r="AJ223" s="243"/>
      <c r="AK223" s="243"/>
      <c r="AL223" s="243"/>
      <c r="AM223" s="243"/>
      <c r="AN223" s="243"/>
      <c r="AO223" s="243"/>
      <c r="AP223" s="243"/>
      <c r="AQ223" s="243"/>
      <c r="AR223" s="243"/>
      <c r="AS223" s="243"/>
      <c r="AT223" s="243"/>
    </row>
    <row r="224" spans="1:46" ht="12.75" x14ac:dyDescent="0.2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243"/>
      <c r="AR224" s="243"/>
      <c r="AS224" s="243"/>
      <c r="AT224" s="243"/>
    </row>
    <row r="225" spans="1:46" ht="12.75" x14ac:dyDescent="0.2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3"/>
      <c r="AI225" s="243"/>
      <c r="AJ225" s="243"/>
      <c r="AK225" s="243"/>
      <c r="AL225" s="243"/>
      <c r="AM225" s="243"/>
      <c r="AN225" s="243"/>
      <c r="AO225" s="243"/>
      <c r="AP225" s="243"/>
      <c r="AQ225" s="243"/>
      <c r="AR225" s="243"/>
      <c r="AS225" s="243"/>
      <c r="AT225" s="243"/>
    </row>
    <row r="226" spans="1:46" ht="12.75" x14ac:dyDescent="0.2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  <c r="AH226" s="243"/>
      <c r="AI226" s="243"/>
      <c r="AJ226" s="243"/>
      <c r="AK226" s="243"/>
      <c r="AL226" s="243"/>
      <c r="AM226" s="243"/>
      <c r="AN226" s="243"/>
      <c r="AO226" s="243"/>
      <c r="AP226" s="243"/>
      <c r="AQ226" s="243"/>
      <c r="AR226" s="243"/>
      <c r="AS226" s="243"/>
      <c r="AT226" s="243"/>
    </row>
    <row r="227" spans="1:46" ht="12.75" x14ac:dyDescent="0.2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  <c r="AH227" s="243"/>
      <c r="AI227" s="243"/>
      <c r="AJ227" s="243"/>
      <c r="AK227" s="243"/>
      <c r="AL227" s="243"/>
      <c r="AM227" s="243"/>
      <c r="AN227" s="243"/>
      <c r="AO227" s="243"/>
      <c r="AP227" s="243"/>
      <c r="AQ227" s="243"/>
      <c r="AR227" s="243"/>
      <c r="AS227" s="243"/>
      <c r="AT227" s="243"/>
    </row>
    <row r="228" spans="1:46" ht="12.75" x14ac:dyDescent="0.2">
      <c r="A228" s="243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  <c r="AH228" s="243"/>
      <c r="AI228" s="243"/>
      <c r="AJ228" s="243"/>
      <c r="AK228" s="243"/>
      <c r="AL228" s="243"/>
      <c r="AM228" s="243"/>
      <c r="AN228" s="243"/>
      <c r="AO228" s="243"/>
      <c r="AP228" s="243"/>
      <c r="AQ228" s="243"/>
      <c r="AR228" s="243"/>
      <c r="AS228" s="243"/>
      <c r="AT228" s="243"/>
    </row>
    <row r="229" spans="1:46" ht="12.75" x14ac:dyDescent="0.2">
      <c r="A229" s="243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  <c r="AH229" s="243"/>
      <c r="AI229" s="243"/>
      <c r="AJ229" s="243"/>
      <c r="AK229" s="243"/>
      <c r="AL229" s="243"/>
      <c r="AM229" s="243"/>
      <c r="AN229" s="243"/>
      <c r="AO229" s="243"/>
      <c r="AP229" s="243"/>
      <c r="AQ229" s="243"/>
      <c r="AR229" s="243"/>
      <c r="AS229" s="243"/>
      <c r="AT229" s="243"/>
    </row>
    <row r="230" spans="1:46" ht="12.75" x14ac:dyDescent="0.2">
      <c r="A230" s="243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  <c r="AH230" s="243"/>
      <c r="AI230" s="243"/>
      <c r="AJ230" s="243"/>
      <c r="AK230" s="243"/>
      <c r="AL230" s="243"/>
      <c r="AM230" s="243"/>
      <c r="AN230" s="243"/>
      <c r="AO230" s="243"/>
      <c r="AP230" s="243"/>
      <c r="AQ230" s="243"/>
      <c r="AR230" s="243"/>
      <c r="AS230" s="243"/>
      <c r="AT230" s="243"/>
    </row>
    <row r="231" spans="1:46" ht="12.75" x14ac:dyDescent="0.2">
      <c r="A231" s="243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3"/>
      <c r="AI231" s="243"/>
      <c r="AJ231" s="243"/>
      <c r="AK231" s="243"/>
      <c r="AL231" s="243"/>
      <c r="AM231" s="243"/>
      <c r="AN231" s="243"/>
      <c r="AO231" s="243"/>
      <c r="AP231" s="243"/>
      <c r="AQ231" s="243"/>
      <c r="AR231" s="243"/>
      <c r="AS231" s="243"/>
      <c r="AT231" s="243"/>
    </row>
    <row r="232" spans="1:46" ht="12.75" x14ac:dyDescent="0.2">
      <c r="A232" s="243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243"/>
      <c r="AQ232" s="243"/>
      <c r="AR232" s="243"/>
      <c r="AS232" s="243"/>
      <c r="AT232" s="243"/>
    </row>
    <row r="233" spans="1:46" ht="12.75" x14ac:dyDescent="0.2">
      <c r="A233" s="243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  <c r="AH233" s="243"/>
      <c r="AI233" s="243"/>
      <c r="AJ233" s="243"/>
      <c r="AK233" s="243"/>
      <c r="AL233" s="243"/>
      <c r="AM233" s="243"/>
      <c r="AN233" s="243"/>
      <c r="AO233" s="243"/>
      <c r="AP233" s="243"/>
      <c r="AQ233" s="243"/>
      <c r="AR233" s="243"/>
      <c r="AS233" s="243"/>
      <c r="AT233" s="243"/>
    </row>
    <row r="234" spans="1:46" ht="12.75" x14ac:dyDescent="0.2">
      <c r="A234" s="243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  <c r="AH234" s="243"/>
      <c r="AI234" s="243"/>
      <c r="AJ234" s="243"/>
      <c r="AK234" s="243"/>
      <c r="AL234" s="243"/>
      <c r="AM234" s="243"/>
      <c r="AN234" s="243"/>
      <c r="AO234" s="243"/>
      <c r="AP234" s="243"/>
      <c r="AQ234" s="243"/>
      <c r="AR234" s="243"/>
      <c r="AS234" s="243"/>
      <c r="AT234" s="243"/>
    </row>
    <row r="235" spans="1:46" ht="12.75" x14ac:dyDescent="0.2">
      <c r="A235" s="243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  <c r="AH235" s="243"/>
      <c r="AI235" s="243"/>
      <c r="AJ235" s="243"/>
      <c r="AK235" s="243"/>
      <c r="AL235" s="243"/>
      <c r="AM235" s="243"/>
      <c r="AN235" s="243"/>
      <c r="AO235" s="243"/>
      <c r="AP235" s="243"/>
      <c r="AQ235" s="243"/>
      <c r="AR235" s="243"/>
      <c r="AS235" s="243"/>
      <c r="AT235" s="243"/>
    </row>
    <row r="236" spans="1:46" ht="12.75" x14ac:dyDescent="0.2">
      <c r="A236" s="243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  <c r="AH236" s="243"/>
      <c r="AI236" s="243"/>
      <c r="AJ236" s="243"/>
      <c r="AK236" s="243"/>
      <c r="AL236" s="243"/>
      <c r="AM236" s="243"/>
      <c r="AN236" s="243"/>
      <c r="AO236" s="243"/>
      <c r="AP236" s="243"/>
      <c r="AQ236" s="243"/>
      <c r="AR236" s="243"/>
      <c r="AS236" s="243"/>
      <c r="AT236" s="243"/>
    </row>
    <row r="237" spans="1:46" ht="12.75" x14ac:dyDescent="0.2">
      <c r="A237" s="243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  <c r="AH237" s="243"/>
      <c r="AI237" s="243"/>
      <c r="AJ237" s="243"/>
      <c r="AK237" s="243"/>
      <c r="AL237" s="243"/>
      <c r="AM237" s="243"/>
      <c r="AN237" s="243"/>
      <c r="AO237" s="243"/>
      <c r="AP237" s="243"/>
      <c r="AQ237" s="243"/>
      <c r="AR237" s="243"/>
      <c r="AS237" s="243"/>
      <c r="AT237" s="243"/>
    </row>
    <row r="238" spans="1:46" ht="12.75" x14ac:dyDescent="0.2">
      <c r="A238" s="243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  <c r="AH238" s="243"/>
      <c r="AI238" s="243"/>
      <c r="AJ238" s="243"/>
      <c r="AK238" s="243"/>
      <c r="AL238" s="243"/>
      <c r="AM238" s="243"/>
      <c r="AN238" s="243"/>
      <c r="AO238" s="243"/>
      <c r="AP238" s="243"/>
      <c r="AQ238" s="243"/>
      <c r="AR238" s="243"/>
      <c r="AS238" s="243"/>
      <c r="AT238" s="243"/>
    </row>
    <row r="239" spans="1:46" ht="12.75" x14ac:dyDescent="0.2">
      <c r="A239" s="243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  <c r="AH239" s="243"/>
      <c r="AI239" s="243"/>
      <c r="AJ239" s="243"/>
      <c r="AK239" s="243"/>
      <c r="AL239" s="243"/>
      <c r="AM239" s="243"/>
      <c r="AN239" s="243"/>
      <c r="AO239" s="243"/>
      <c r="AP239" s="243"/>
      <c r="AQ239" s="243"/>
      <c r="AR239" s="243"/>
      <c r="AS239" s="243"/>
      <c r="AT239" s="243"/>
    </row>
    <row r="240" spans="1:46" ht="12.75" x14ac:dyDescent="0.2">
      <c r="A240" s="243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3"/>
      <c r="AI240" s="243"/>
      <c r="AJ240" s="243"/>
      <c r="AK240" s="243"/>
      <c r="AL240" s="243"/>
      <c r="AM240" s="243"/>
      <c r="AN240" s="243"/>
      <c r="AO240" s="243"/>
      <c r="AP240" s="243"/>
      <c r="AQ240" s="243"/>
      <c r="AR240" s="243"/>
      <c r="AS240" s="243"/>
      <c r="AT240" s="243"/>
    </row>
    <row r="241" spans="1:46" ht="12.75" x14ac:dyDescent="0.2">
      <c r="A241" s="243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3"/>
      <c r="AI241" s="243"/>
      <c r="AJ241" s="243"/>
      <c r="AK241" s="243"/>
      <c r="AL241" s="243"/>
      <c r="AM241" s="243"/>
      <c r="AN241" s="243"/>
      <c r="AO241" s="243"/>
      <c r="AP241" s="243"/>
      <c r="AQ241" s="243"/>
      <c r="AR241" s="243"/>
      <c r="AS241" s="243"/>
      <c r="AT241" s="243"/>
    </row>
    <row r="242" spans="1:46" ht="12.75" x14ac:dyDescent="0.2">
      <c r="A242" s="243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3"/>
      <c r="AI242" s="243"/>
      <c r="AJ242" s="243"/>
      <c r="AK242" s="243"/>
      <c r="AL242" s="243"/>
      <c r="AM242" s="243"/>
      <c r="AN242" s="243"/>
      <c r="AO242" s="243"/>
      <c r="AP242" s="243"/>
      <c r="AQ242" s="243"/>
      <c r="AR242" s="243"/>
      <c r="AS242" s="243"/>
      <c r="AT242" s="243"/>
    </row>
    <row r="243" spans="1:46" ht="12.75" x14ac:dyDescent="0.2">
      <c r="A243" s="243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  <c r="AH243" s="243"/>
      <c r="AI243" s="243"/>
      <c r="AJ243" s="243"/>
      <c r="AK243" s="243"/>
      <c r="AL243" s="243"/>
      <c r="AM243" s="243"/>
      <c r="AN243" s="243"/>
      <c r="AO243" s="243"/>
      <c r="AP243" s="243"/>
      <c r="AQ243" s="243"/>
      <c r="AR243" s="243"/>
      <c r="AS243" s="243"/>
      <c r="AT243" s="243"/>
    </row>
    <row r="244" spans="1:46" ht="12.75" x14ac:dyDescent="0.2">
      <c r="A244" s="243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  <c r="AH244" s="243"/>
      <c r="AI244" s="243"/>
      <c r="AJ244" s="243"/>
      <c r="AK244" s="243"/>
      <c r="AL244" s="243"/>
      <c r="AM244" s="243"/>
      <c r="AN244" s="243"/>
      <c r="AO244" s="243"/>
      <c r="AP244" s="243"/>
      <c r="AQ244" s="243"/>
      <c r="AR244" s="243"/>
      <c r="AS244" s="243"/>
      <c r="AT244" s="243"/>
    </row>
    <row r="245" spans="1:46" ht="12.75" x14ac:dyDescent="0.2">
      <c r="A245" s="243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  <c r="AH245" s="243"/>
      <c r="AI245" s="243"/>
      <c r="AJ245" s="243"/>
      <c r="AK245" s="243"/>
      <c r="AL245" s="243"/>
      <c r="AM245" s="243"/>
      <c r="AN245" s="243"/>
      <c r="AO245" s="243"/>
      <c r="AP245" s="243"/>
      <c r="AQ245" s="243"/>
      <c r="AR245" s="243"/>
      <c r="AS245" s="243"/>
      <c r="AT245" s="243"/>
    </row>
    <row r="246" spans="1:46" ht="12.75" x14ac:dyDescent="0.2">
      <c r="A246" s="243"/>
      <c r="B246" s="243"/>
      <c r="C246" s="243"/>
      <c r="D246" s="243"/>
      <c r="E246" s="243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243"/>
      <c r="AR246" s="243"/>
      <c r="AS246" s="243"/>
      <c r="AT246" s="243"/>
    </row>
    <row r="247" spans="1:46" ht="12.75" x14ac:dyDescent="0.2">
      <c r="A247" s="243"/>
      <c r="B247" s="243"/>
      <c r="C247" s="243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243"/>
      <c r="AR247" s="243"/>
      <c r="AS247" s="243"/>
      <c r="AT247" s="243"/>
    </row>
    <row r="248" spans="1:46" ht="12.75" x14ac:dyDescent="0.2">
      <c r="A248" s="243"/>
      <c r="B248" s="243"/>
      <c r="C248" s="243"/>
      <c r="D248" s="243"/>
      <c r="E248" s="243"/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3"/>
      <c r="AI248" s="243"/>
      <c r="AJ248" s="243"/>
      <c r="AK248" s="243"/>
      <c r="AL248" s="243"/>
      <c r="AM248" s="243"/>
      <c r="AN248" s="243"/>
      <c r="AO248" s="243"/>
      <c r="AP248" s="243"/>
      <c r="AQ248" s="243"/>
      <c r="AR248" s="243"/>
      <c r="AS248" s="243"/>
      <c r="AT248" s="243"/>
    </row>
    <row r="249" spans="1:46" ht="12.75" x14ac:dyDescent="0.2">
      <c r="A249" s="243"/>
      <c r="B249" s="243"/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3"/>
      <c r="AI249" s="243"/>
      <c r="AJ249" s="243"/>
      <c r="AK249" s="243"/>
      <c r="AL249" s="243"/>
      <c r="AM249" s="243"/>
      <c r="AN249" s="243"/>
      <c r="AO249" s="243"/>
      <c r="AP249" s="243"/>
      <c r="AQ249" s="243"/>
      <c r="AR249" s="243"/>
      <c r="AS249" s="243"/>
      <c r="AT249" s="243"/>
    </row>
    <row r="250" spans="1:46" ht="12.75" x14ac:dyDescent="0.2">
      <c r="A250" s="243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  <c r="AH250" s="243"/>
      <c r="AI250" s="243"/>
      <c r="AJ250" s="243"/>
      <c r="AK250" s="243"/>
      <c r="AL250" s="243"/>
      <c r="AM250" s="243"/>
      <c r="AN250" s="243"/>
      <c r="AO250" s="243"/>
      <c r="AP250" s="243"/>
      <c r="AQ250" s="243"/>
      <c r="AR250" s="243"/>
      <c r="AS250" s="243"/>
      <c r="AT250" s="243"/>
    </row>
    <row r="251" spans="1:46" ht="12.75" x14ac:dyDescent="0.2">
      <c r="A251" s="243"/>
      <c r="B251" s="243"/>
      <c r="C251" s="243"/>
      <c r="D251" s="243"/>
      <c r="E251" s="243"/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  <c r="AH251" s="243"/>
      <c r="AI251" s="243"/>
      <c r="AJ251" s="243"/>
      <c r="AK251" s="243"/>
      <c r="AL251" s="243"/>
      <c r="AM251" s="243"/>
      <c r="AN251" s="243"/>
      <c r="AO251" s="243"/>
      <c r="AP251" s="243"/>
      <c r="AQ251" s="243"/>
      <c r="AR251" s="243"/>
      <c r="AS251" s="243"/>
      <c r="AT251" s="243"/>
    </row>
    <row r="252" spans="1:46" ht="12.75" x14ac:dyDescent="0.2">
      <c r="A252" s="243"/>
      <c r="B252" s="243"/>
      <c r="C252" s="243"/>
      <c r="D252" s="243"/>
      <c r="E252" s="243"/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  <c r="AH252" s="243"/>
      <c r="AI252" s="243"/>
      <c r="AJ252" s="243"/>
      <c r="AK252" s="243"/>
      <c r="AL252" s="243"/>
      <c r="AM252" s="243"/>
      <c r="AN252" s="243"/>
      <c r="AO252" s="243"/>
      <c r="AP252" s="243"/>
      <c r="AQ252" s="243"/>
      <c r="AR252" s="243"/>
      <c r="AS252" s="243"/>
      <c r="AT252" s="243"/>
    </row>
    <row r="253" spans="1:46" ht="12.75" x14ac:dyDescent="0.2">
      <c r="A253" s="243"/>
      <c r="B253" s="243"/>
      <c r="C253" s="243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  <c r="AH253" s="243"/>
      <c r="AI253" s="243"/>
      <c r="AJ253" s="243"/>
      <c r="AK253" s="243"/>
      <c r="AL253" s="243"/>
      <c r="AM253" s="243"/>
      <c r="AN253" s="243"/>
      <c r="AO253" s="243"/>
      <c r="AP253" s="243"/>
      <c r="AQ253" s="243"/>
      <c r="AR253" s="243"/>
      <c r="AS253" s="243"/>
      <c r="AT253" s="243"/>
    </row>
    <row r="254" spans="1:46" ht="12.75" x14ac:dyDescent="0.2">
      <c r="A254" s="243"/>
      <c r="B254" s="243"/>
      <c r="C254" s="243"/>
      <c r="D254" s="243"/>
      <c r="E254" s="243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3"/>
      <c r="AI254" s="243"/>
      <c r="AJ254" s="243"/>
      <c r="AK254" s="243"/>
      <c r="AL254" s="243"/>
      <c r="AM254" s="243"/>
      <c r="AN254" s="243"/>
      <c r="AO254" s="243"/>
      <c r="AP254" s="243"/>
      <c r="AQ254" s="243"/>
      <c r="AR254" s="243"/>
      <c r="AS254" s="243"/>
      <c r="AT254" s="243"/>
    </row>
    <row r="255" spans="1:46" ht="12.75" x14ac:dyDescent="0.2">
      <c r="A255" s="243"/>
      <c r="B255" s="243"/>
      <c r="C255" s="243"/>
      <c r="D255" s="243"/>
      <c r="E255" s="243"/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  <c r="AH255" s="243"/>
      <c r="AI255" s="243"/>
      <c r="AJ255" s="243"/>
      <c r="AK255" s="243"/>
      <c r="AL255" s="243"/>
      <c r="AM255" s="243"/>
      <c r="AN255" s="243"/>
      <c r="AO255" s="243"/>
      <c r="AP255" s="243"/>
      <c r="AQ255" s="243"/>
      <c r="AR255" s="243"/>
      <c r="AS255" s="243"/>
      <c r="AT255" s="243"/>
    </row>
    <row r="256" spans="1:46" ht="12.75" x14ac:dyDescent="0.2">
      <c r="A256" s="243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  <c r="AH256" s="243"/>
      <c r="AI256" s="243"/>
      <c r="AJ256" s="243"/>
      <c r="AK256" s="243"/>
      <c r="AL256" s="243"/>
      <c r="AM256" s="243"/>
      <c r="AN256" s="243"/>
      <c r="AO256" s="243"/>
      <c r="AP256" s="243"/>
      <c r="AQ256" s="243"/>
      <c r="AR256" s="243"/>
      <c r="AS256" s="243"/>
      <c r="AT256" s="243"/>
    </row>
    <row r="257" spans="1:46" ht="12.75" x14ac:dyDescent="0.2">
      <c r="A257" s="243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  <c r="AH257" s="243"/>
      <c r="AI257" s="243"/>
      <c r="AJ257" s="243"/>
      <c r="AK257" s="243"/>
      <c r="AL257" s="243"/>
      <c r="AM257" s="243"/>
      <c r="AN257" s="243"/>
      <c r="AO257" s="243"/>
      <c r="AP257" s="243"/>
      <c r="AQ257" s="243"/>
      <c r="AR257" s="243"/>
      <c r="AS257" s="243"/>
      <c r="AT257" s="243"/>
    </row>
    <row r="258" spans="1:46" ht="12.75" x14ac:dyDescent="0.2">
      <c r="A258" s="243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3"/>
      <c r="AI258" s="243"/>
      <c r="AJ258" s="243"/>
      <c r="AK258" s="243"/>
      <c r="AL258" s="243"/>
      <c r="AM258" s="243"/>
      <c r="AN258" s="243"/>
      <c r="AO258" s="243"/>
      <c r="AP258" s="243"/>
      <c r="AQ258" s="243"/>
      <c r="AR258" s="243"/>
      <c r="AS258" s="243"/>
      <c r="AT258" s="243"/>
    </row>
    <row r="259" spans="1:46" ht="12.75" x14ac:dyDescent="0.2">
      <c r="A259" s="243"/>
      <c r="B259" s="243"/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3"/>
      <c r="AI259" s="243"/>
      <c r="AJ259" s="243"/>
      <c r="AK259" s="243"/>
      <c r="AL259" s="243"/>
      <c r="AM259" s="243"/>
      <c r="AN259" s="243"/>
      <c r="AO259" s="243"/>
      <c r="AP259" s="243"/>
      <c r="AQ259" s="243"/>
      <c r="AR259" s="243"/>
      <c r="AS259" s="243"/>
      <c r="AT259" s="243"/>
    </row>
    <row r="260" spans="1:46" ht="12.75" x14ac:dyDescent="0.2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  <c r="AH260" s="243"/>
      <c r="AI260" s="243"/>
      <c r="AJ260" s="243"/>
      <c r="AK260" s="243"/>
      <c r="AL260" s="243"/>
      <c r="AM260" s="243"/>
      <c r="AN260" s="243"/>
      <c r="AO260" s="243"/>
      <c r="AP260" s="243"/>
      <c r="AQ260" s="243"/>
      <c r="AR260" s="243"/>
      <c r="AS260" s="243"/>
      <c r="AT260" s="243"/>
    </row>
    <row r="261" spans="1:46" ht="12.75" x14ac:dyDescent="0.2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3"/>
      <c r="AI261" s="243"/>
      <c r="AJ261" s="243"/>
      <c r="AK261" s="243"/>
      <c r="AL261" s="243"/>
      <c r="AM261" s="243"/>
      <c r="AN261" s="243"/>
      <c r="AO261" s="243"/>
      <c r="AP261" s="243"/>
      <c r="AQ261" s="243"/>
      <c r="AR261" s="243"/>
      <c r="AS261" s="243"/>
      <c r="AT261" s="243"/>
    </row>
    <row r="262" spans="1:46" ht="12.75" x14ac:dyDescent="0.2">
      <c r="A262" s="243"/>
      <c r="B262" s="243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3"/>
      <c r="AI262" s="243"/>
      <c r="AJ262" s="243"/>
      <c r="AK262" s="243"/>
      <c r="AL262" s="243"/>
      <c r="AM262" s="243"/>
      <c r="AN262" s="243"/>
      <c r="AO262" s="243"/>
      <c r="AP262" s="243"/>
      <c r="AQ262" s="243"/>
      <c r="AR262" s="243"/>
      <c r="AS262" s="243"/>
      <c r="AT262" s="243"/>
    </row>
    <row r="263" spans="1:46" ht="12.75" x14ac:dyDescent="0.2">
      <c r="A263" s="243"/>
      <c r="B263" s="243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  <c r="AH263" s="243"/>
      <c r="AI263" s="243"/>
      <c r="AJ263" s="243"/>
      <c r="AK263" s="243"/>
      <c r="AL263" s="243"/>
      <c r="AM263" s="243"/>
      <c r="AN263" s="243"/>
      <c r="AO263" s="243"/>
      <c r="AP263" s="243"/>
      <c r="AQ263" s="243"/>
      <c r="AR263" s="243"/>
      <c r="AS263" s="243"/>
      <c r="AT263" s="243"/>
    </row>
    <row r="264" spans="1:46" ht="12.75" x14ac:dyDescent="0.2">
      <c r="A264" s="243"/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  <c r="N264" s="243"/>
      <c r="O264" s="243"/>
      <c r="P264" s="243"/>
      <c r="Q264" s="243"/>
      <c r="R264" s="243"/>
      <c r="S264" s="243"/>
      <c r="T264" s="243"/>
      <c r="U264" s="243"/>
      <c r="V264" s="243"/>
      <c r="W264" s="243"/>
      <c r="X264" s="243"/>
      <c r="Y264" s="243"/>
      <c r="Z264" s="243"/>
      <c r="AA264" s="243"/>
      <c r="AB264" s="243"/>
      <c r="AC264" s="243"/>
      <c r="AD264" s="243"/>
      <c r="AE264" s="243"/>
      <c r="AF264" s="243"/>
      <c r="AG264" s="243"/>
      <c r="AH264" s="243"/>
      <c r="AI264" s="243"/>
      <c r="AJ264" s="243"/>
      <c r="AK264" s="243"/>
      <c r="AL264" s="243"/>
      <c r="AM264" s="243"/>
      <c r="AN264" s="243"/>
      <c r="AO264" s="243"/>
      <c r="AP264" s="243"/>
      <c r="AQ264" s="243"/>
      <c r="AR264" s="243"/>
      <c r="AS264" s="243"/>
      <c r="AT264" s="243"/>
    </row>
    <row r="265" spans="1:46" ht="12.75" x14ac:dyDescent="0.2">
      <c r="A265" s="243"/>
      <c r="B265" s="243"/>
      <c r="C265" s="243"/>
      <c r="D265" s="243"/>
      <c r="E265" s="243"/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  <c r="AH265" s="243"/>
      <c r="AI265" s="243"/>
      <c r="AJ265" s="243"/>
      <c r="AK265" s="243"/>
      <c r="AL265" s="243"/>
      <c r="AM265" s="243"/>
      <c r="AN265" s="243"/>
      <c r="AO265" s="243"/>
      <c r="AP265" s="243"/>
      <c r="AQ265" s="243"/>
      <c r="AR265" s="243"/>
      <c r="AS265" s="243"/>
      <c r="AT265" s="243"/>
    </row>
    <row r="266" spans="1:46" ht="12.75" x14ac:dyDescent="0.2">
      <c r="A266" s="243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  <c r="AH266" s="243"/>
      <c r="AI266" s="243"/>
      <c r="AJ266" s="243"/>
      <c r="AK266" s="243"/>
      <c r="AL266" s="243"/>
      <c r="AM266" s="243"/>
      <c r="AN266" s="243"/>
      <c r="AO266" s="243"/>
      <c r="AP266" s="243"/>
      <c r="AQ266" s="243"/>
      <c r="AR266" s="243"/>
      <c r="AS266" s="243"/>
      <c r="AT266" s="243"/>
    </row>
    <row r="267" spans="1:46" ht="12.75" x14ac:dyDescent="0.2">
      <c r="A267" s="243"/>
      <c r="B267" s="243"/>
      <c r="C267" s="243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  <c r="AH267" s="243"/>
      <c r="AI267" s="243"/>
      <c r="AJ267" s="243"/>
      <c r="AK267" s="243"/>
      <c r="AL267" s="243"/>
      <c r="AM267" s="243"/>
      <c r="AN267" s="243"/>
      <c r="AO267" s="243"/>
      <c r="AP267" s="243"/>
      <c r="AQ267" s="243"/>
      <c r="AR267" s="243"/>
      <c r="AS267" s="243"/>
      <c r="AT267" s="243"/>
    </row>
    <row r="268" spans="1:46" ht="12.75" x14ac:dyDescent="0.2">
      <c r="A268" s="243"/>
      <c r="B268" s="243"/>
      <c r="C268" s="243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  <c r="AH268" s="243"/>
      <c r="AI268" s="243"/>
      <c r="AJ268" s="243"/>
      <c r="AK268" s="243"/>
      <c r="AL268" s="243"/>
      <c r="AM268" s="243"/>
      <c r="AN268" s="243"/>
      <c r="AO268" s="243"/>
      <c r="AP268" s="243"/>
      <c r="AQ268" s="243"/>
      <c r="AR268" s="243"/>
      <c r="AS268" s="243"/>
      <c r="AT268" s="243"/>
    </row>
    <row r="269" spans="1:46" ht="12.75" x14ac:dyDescent="0.2">
      <c r="A269" s="243"/>
      <c r="B269" s="243"/>
      <c r="C269" s="243"/>
      <c r="D269" s="243"/>
      <c r="E269" s="243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  <c r="AH269" s="243"/>
      <c r="AI269" s="243"/>
      <c r="AJ269" s="243"/>
      <c r="AK269" s="243"/>
      <c r="AL269" s="243"/>
      <c r="AM269" s="243"/>
      <c r="AN269" s="243"/>
      <c r="AO269" s="243"/>
      <c r="AP269" s="243"/>
      <c r="AQ269" s="243"/>
      <c r="AR269" s="243"/>
      <c r="AS269" s="243"/>
      <c r="AT269" s="243"/>
    </row>
    <row r="270" spans="1:46" ht="12.75" x14ac:dyDescent="0.2">
      <c r="A270" s="243"/>
      <c r="B270" s="243"/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  <c r="AH270" s="243"/>
      <c r="AI270" s="243"/>
      <c r="AJ270" s="243"/>
      <c r="AK270" s="243"/>
      <c r="AL270" s="243"/>
      <c r="AM270" s="243"/>
      <c r="AN270" s="243"/>
      <c r="AO270" s="243"/>
      <c r="AP270" s="243"/>
      <c r="AQ270" s="243"/>
      <c r="AR270" s="243"/>
      <c r="AS270" s="243"/>
      <c r="AT270" s="243"/>
    </row>
    <row r="271" spans="1:46" ht="12.75" x14ac:dyDescent="0.2">
      <c r="A271" s="243"/>
      <c r="B271" s="243"/>
      <c r="C271" s="243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  <c r="AA271" s="243"/>
      <c r="AB271" s="243"/>
      <c r="AC271" s="243"/>
      <c r="AD271" s="243"/>
      <c r="AE271" s="243"/>
      <c r="AF271" s="243"/>
      <c r="AG271" s="243"/>
      <c r="AH271" s="243"/>
      <c r="AI271" s="243"/>
      <c r="AJ271" s="243"/>
      <c r="AK271" s="243"/>
      <c r="AL271" s="243"/>
      <c r="AM271" s="243"/>
      <c r="AN271" s="243"/>
      <c r="AO271" s="243"/>
      <c r="AP271" s="243"/>
      <c r="AQ271" s="243"/>
      <c r="AR271" s="243"/>
      <c r="AS271" s="243"/>
      <c r="AT271" s="243"/>
    </row>
    <row r="272" spans="1:46" ht="12.75" x14ac:dyDescent="0.2">
      <c r="A272" s="243"/>
      <c r="B272" s="243"/>
      <c r="C272" s="243"/>
      <c r="D272" s="243"/>
      <c r="E272" s="243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  <c r="AH272" s="243"/>
      <c r="AI272" s="243"/>
      <c r="AJ272" s="243"/>
      <c r="AK272" s="243"/>
      <c r="AL272" s="243"/>
      <c r="AM272" s="243"/>
      <c r="AN272" s="243"/>
      <c r="AO272" s="243"/>
      <c r="AP272" s="243"/>
      <c r="AQ272" s="243"/>
      <c r="AR272" s="243"/>
      <c r="AS272" s="243"/>
      <c r="AT272" s="243"/>
    </row>
    <row r="273" spans="1:46" ht="12.75" x14ac:dyDescent="0.2">
      <c r="A273" s="243"/>
      <c r="B273" s="243"/>
      <c r="C273" s="243"/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3"/>
      <c r="AI273" s="243"/>
      <c r="AJ273" s="243"/>
      <c r="AK273" s="243"/>
      <c r="AL273" s="243"/>
      <c r="AM273" s="243"/>
      <c r="AN273" s="243"/>
      <c r="AO273" s="243"/>
      <c r="AP273" s="243"/>
      <c r="AQ273" s="243"/>
      <c r="AR273" s="243"/>
      <c r="AS273" s="243"/>
      <c r="AT273" s="243"/>
    </row>
    <row r="274" spans="1:46" ht="12.75" x14ac:dyDescent="0.2">
      <c r="A274" s="243"/>
      <c r="B274" s="243"/>
      <c r="C274" s="243"/>
      <c r="D274" s="243"/>
      <c r="E274" s="243"/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  <c r="AH274" s="243"/>
      <c r="AI274" s="243"/>
      <c r="AJ274" s="243"/>
      <c r="AK274" s="243"/>
      <c r="AL274" s="243"/>
      <c r="AM274" s="243"/>
      <c r="AN274" s="243"/>
      <c r="AO274" s="243"/>
      <c r="AP274" s="243"/>
      <c r="AQ274" s="243"/>
      <c r="AR274" s="243"/>
      <c r="AS274" s="243"/>
      <c r="AT274" s="243"/>
    </row>
    <row r="275" spans="1:46" ht="12.75" x14ac:dyDescent="0.2">
      <c r="A275" s="243"/>
      <c r="B275" s="243"/>
      <c r="C275" s="243"/>
      <c r="D275" s="243"/>
      <c r="E275" s="243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3"/>
      <c r="AI275" s="243"/>
      <c r="AJ275" s="243"/>
      <c r="AK275" s="243"/>
      <c r="AL275" s="243"/>
      <c r="AM275" s="243"/>
      <c r="AN275" s="243"/>
      <c r="AO275" s="243"/>
      <c r="AP275" s="243"/>
      <c r="AQ275" s="243"/>
      <c r="AR275" s="243"/>
      <c r="AS275" s="243"/>
      <c r="AT275" s="243"/>
    </row>
    <row r="276" spans="1:46" ht="12.75" x14ac:dyDescent="0.2">
      <c r="A276" s="243"/>
      <c r="B276" s="243"/>
      <c r="C276" s="243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  <c r="AH276" s="243"/>
      <c r="AI276" s="243"/>
      <c r="AJ276" s="243"/>
      <c r="AK276" s="243"/>
      <c r="AL276" s="243"/>
      <c r="AM276" s="243"/>
      <c r="AN276" s="243"/>
      <c r="AO276" s="243"/>
      <c r="AP276" s="243"/>
      <c r="AQ276" s="243"/>
      <c r="AR276" s="243"/>
      <c r="AS276" s="243"/>
      <c r="AT276" s="243"/>
    </row>
    <row r="277" spans="1:46" ht="12.75" x14ac:dyDescent="0.2">
      <c r="A277" s="243"/>
      <c r="B277" s="243"/>
      <c r="C277" s="243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  <c r="AH277" s="243"/>
      <c r="AI277" s="243"/>
      <c r="AJ277" s="243"/>
      <c r="AK277" s="243"/>
      <c r="AL277" s="243"/>
      <c r="AM277" s="243"/>
      <c r="AN277" s="243"/>
      <c r="AO277" s="243"/>
      <c r="AP277" s="243"/>
      <c r="AQ277" s="243"/>
      <c r="AR277" s="243"/>
      <c r="AS277" s="243"/>
      <c r="AT277" s="243"/>
    </row>
    <row r="278" spans="1:46" ht="12.75" x14ac:dyDescent="0.2">
      <c r="A278" s="243"/>
      <c r="B278" s="243"/>
      <c r="C278" s="243"/>
      <c r="D278" s="243"/>
      <c r="E278" s="243"/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  <c r="AH278" s="243"/>
      <c r="AI278" s="243"/>
      <c r="AJ278" s="243"/>
      <c r="AK278" s="243"/>
      <c r="AL278" s="243"/>
      <c r="AM278" s="243"/>
      <c r="AN278" s="243"/>
      <c r="AO278" s="243"/>
      <c r="AP278" s="243"/>
      <c r="AQ278" s="243"/>
      <c r="AR278" s="243"/>
      <c r="AS278" s="243"/>
      <c r="AT278" s="243"/>
    </row>
    <row r="279" spans="1:46" ht="12.75" x14ac:dyDescent="0.2">
      <c r="A279" s="243"/>
      <c r="B279" s="243"/>
      <c r="C279" s="243"/>
      <c r="D279" s="243"/>
      <c r="E279" s="243"/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  <c r="AH279" s="243"/>
      <c r="AI279" s="243"/>
      <c r="AJ279" s="243"/>
      <c r="AK279" s="243"/>
      <c r="AL279" s="243"/>
      <c r="AM279" s="243"/>
      <c r="AN279" s="243"/>
      <c r="AO279" s="243"/>
      <c r="AP279" s="243"/>
      <c r="AQ279" s="243"/>
      <c r="AR279" s="243"/>
      <c r="AS279" s="243"/>
      <c r="AT279" s="243"/>
    </row>
    <row r="280" spans="1:46" ht="12.75" x14ac:dyDescent="0.2">
      <c r="A280" s="243"/>
      <c r="B280" s="243"/>
      <c r="C280" s="243"/>
      <c r="D280" s="243"/>
      <c r="E280" s="243"/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243"/>
      <c r="AR280" s="243"/>
      <c r="AS280" s="243"/>
      <c r="AT280" s="243"/>
    </row>
    <row r="281" spans="1:46" ht="12.75" x14ac:dyDescent="0.2">
      <c r="A281" s="243"/>
      <c r="B281" s="243"/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243"/>
      <c r="AR281" s="243"/>
      <c r="AS281" s="243"/>
      <c r="AT281" s="243"/>
    </row>
    <row r="282" spans="1:46" ht="12.75" x14ac:dyDescent="0.2">
      <c r="A282" s="243"/>
      <c r="B282" s="243"/>
      <c r="C282" s="243"/>
      <c r="D282" s="243"/>
      <c r="E282" s="243"/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243"/>
      <c r="AR282" s="243"/>
      <c r="AS282" s="243"/>
      <c r="AT282" s="243"/>
    </row>
    <row r="283" spans="1:46" ht="12.75" x14ac:dyDescent="0.2">
      <c r="A283" s="243"/>
      <c r="B283" s="243"/>
      <c r="C283" s="243"/>
      <c r="D283" s="243"/>
      <c r="E283" s="243"/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3"/>
      <c r="AI283" s="243"/>
      <c r="AJ283" s="243"/>
      <c r="AK283" s="243"/>
      <c r="AL283" s="243"/>
      <c r="AM283" s="243"/>
      <c r="AN283" s="243"/>
      <c r="AO283" s="243"/>
      <c r="AP283" s="243"/>
      <c r="AQ283" s="243"/>
      <c r="AR283" s="243"/>
      <c r="AS283" s="243"/>
      <c r="AT283" s="243"/>
    </row>
    <row r="284" spans="1:46" ht="12.75" x14ac:dyDescent="0.2">
      <c r="A284" s="243"/>
      <c r="B284" s="243"/>
      <c r="C284" s="243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  <c r="AH284" s="243"/>
      <c r="AI284" s="243"/>
      <c r="AJ284" s="243"/>
      <c r="AK284" s="243"/>
      <c r="AL284" s="243"/>
      <c r="AM284" s="243"/>
      <c r="AN284" s="243"/>
      <c r="AO284" s="243"/>
      <c r="AP284" s="243"/>
      <c r="AQ284" s="243"/>
      <c r="AR284" s="243"/>
      <c r="AS284" s="243"/>
      <c r="AT284" s="243"/>
    </row>
    <row r="285" spans="1:46" ht="12.75" x14ac:dyDescent="0.2">
      <c r="A285" s="243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  <c r="AH285" s="243"/>
      <c r="AI285" s="243"/>
      <c r="AJ285" s="243"/>
      <c r="AK285" s="243"/>
      <c r="AL285" s="243"/>
      <c r="AM285" s="243"/>
      <c r="AN285" s="243"/>
      <c r="AO285" s="243"/>
      <c r="AP285" s="243"/>
      <c r="AQ285" s="243"/>
      <c r="AR285" s="243"/>
      <c r="AS285" s="243"/>
      <c r="AT285" s="243"/>
    </row>
    <row r="286" spans="1:46" ht="12.75" x14ac:dyDescent="0.2">
      <c r="A286" s="243"/>
      <c r="B286" s="243"/>
      <c r="C286" s="243"/>
      <c r="D286" s="243"/>
      <c r="E286" s="243"/>
      <c r="F286" s="243"/>
      <c r="G286" s="243"/>
      <c r="H286" s="243"/>
      <c r="I286" s="243"/>
      <c r="J286" s="243"/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3"/>
      <c r="Y286" s="243"/>
      <c r="Z286" s="243"/>
      <c r="AA286" s="243"/>
      <c r="AB286" s="243"/>
      <c r="AC286" s="243"/>
      <c r="AD286" s="243"/>
      <c r="AE286" s="243"/>
      <c r="AF286" s="243"/>
      <c r="AG286" s="243"/>
      <c r="AH286" s="243"/>
      <c r="AI286" s="243"/>
      <c r="AJ286" s="243"/>
      <c r="AK286" s="243"/>
      <c r="AL286" s="243"/>
      <c r="AM286" s="243"/>
      <c r="AN286" s="243"/>
      <c r="AO286" s="243"/>
      <c r="AP286" s="243"/>
      <c r="AQ286" s="243"/>
      <c r="AR286" s="243"/>
      <c r="AS286" s="243"/>
      <c r="AT286" s="243"/>
    </row>
    <row r="287" spans="1:46" ht="12.75" x14ac:dyDescent="0.2">
      <c r="A287" s="243"/>
      <c r="B287" s="243"/>
      <c r="C287" s="243"/>
      <c r="D287" s="243"/>
      <c r="E287" s="243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3"/>
      <c r="AI287" s="243"/>
      <c r="AJ287" s="243"/>
      <c r="AK287" s="243"/>
      <c r="AL287" s="243"/>
      <c r="AM287" s="243"/>
      <c r="AN287" s="243"/>
      <c r="AO287" s="243"/>
      <c r="AP287" s="243"/>
      <c r="AQ287" s="243"/>
      <c r="AR287" s="243"/>
      <c r="AS287" s="243"/>
      <c r="AT287" s="243"/>
    </row>
    <row r="288" spans="1:46" ht="12.75" x14ac:dyDescent="0.2">
      <c r="A288" s="243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3"/>
      <c r="AI288" s="243"/>
      <c r="AJ288" s="243"/>
      <c r="AK288" s="243"/>
      <c r="AL288" s="243"/>
      <c r="AM288" s="243"/>
      <c r="AN288" s="243"/>
      <c r="AO288" s="243"/>
      <c r="AP288" s="243"/>
      <c r="AQ288" s="243"/>
      <c r="AR288" s="243"/>
      <c r="AS288" s="243"/>
      <c r="AT288" s="243"/>
    </row>
    <row r="289" spans="1:46" ht="12.75" x14ac:dyDescent="0.2">
      <c r="A289" s="243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  <c r="AA289" s="243"/>
      <c r="AB289" s="243"/>
      <c r="AC289" s="243"/>
      <c r="AD289" s="243"/>
      <c r="AE289" s="243"/>
      <c r="AF289" s="243"/>
      <c r="AG289" s="243"/>
      <c r="AH289" s="243"/>
      <c r="AI289" s="243"/>
      <c r="AJ289" s="243"/>
      <c r="AK289" s="243"/>
      <c r="AL289" s="243"/>
      <c r="AM289" s="243"/>
      <c r="AN289" s="243"/>
      <c r="AO289" s="243"/>
      <c r="AP289" s="243"/>
      <c r="AQ289" s="243"/>
      <c r="AR289" s="243"/>
      <c r="AS289" s="243"/>
      <c r="AT289" s="243"/>
    </row>
    <row r="290" spans="1:46" ht="12.75" x14ac:dyDescent="0.2">
      <c r="A290" s="243"/>
      <c r="B290" s="243"/>
      <c r="C290" s="243"/>
      <c r="D290" s="243"/>
      <c r="E290" s="243"/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  <c r="AA290" s="243"/>
      <c r="AB290" s="243"/>
      <c r="AC290" s="243"/>
      <c r="AD290" s="243"/>
      <c r="AE290" s="243"/>
      <c r="AF290" s="243"/>
      <c r="AG290" s="243"/>
      <c r="AH290" s="243"/>
      <c r="AI290" s="243"/>
      <c r="AJ290" s="243"/>
      <c r="AK290" s="243"/>
      <c r="AL290" s="243"/>
      <c r="AM290" s="243"/>
      <c r="AN290" s="243"/>
      <c r="AO290" s="243"/>
      <c r="AP290" s="243"/>
      <c r="AQ290" s="243"/>
      <c r="AR290" s="243"/>
      <c r="AS290" s="243"/>
      <c r="AT290" s="243"/>
    </row>
    <row r="291" spans="1:46" ht="12.75" x14ac:dyDescent="0.2">
      <c r="A291" s="243"/>
      <c r="B291" s="243"/>
      <c r="C291" s="243"/>
      <c r="D291" s="243"/>
      <c r="E291" s="243"/>
      <c r="F291" s="243"/>
      <c r="G291" s="243"/>
      <c r="H291" s="243"/>
      <c r="I291" s="243"/>
      <c r="J291" s="243"/>
      <c r="K291" s="243"/>
      <c r="L291" s="243"/>
      <c r="M291" s="243"/>
      <c r="N291" s="243"/>
      <c r="O291" s="243"/>
      <c r="P291" s="243"/>
      <c r="Q291" s="243"/>
      <c r="R291" s="243"/>
      <c r="S291" s="243"/>
      <c r="T291" s="243"/>
      <c r="U291" s="243"/>
      <c r="V291" s="243"/>
      <c r="W291" s="243"/>
      <c r="X291" s="243"/>
      <c r="Y291" s="243"/>
      <c r="Z291" s="243"/>
      <c r="AA291" s="243"/>
      <c r="AB291" s="243"/>
      <c r="AC291" s="243"/>
      <c r="AD291" s="243"/>
      <c r="AE291" s="243"/>
      <c r="AF291" s="243"/>
      <c r="AG291" s="243"/>
      <c r="AH291" s="243"/>
      <c r="AI291" s="243"/>
      <c r="AJ291" s="243"/>
      <c r="AK291" s="243"/>
      <c r="AL291" s="243"/>
      <c r="AM291" s="243"/>
      <c r="AN291" s="243"/>
      <c r="AO291" s="243"/>
      <c r="AP291" s="243"/>
      <c r="AQ291" s="243"/>
      <c r="AR291" s="243"/>
      <c r="AS291" s="243"/>
      <c r="AT291" s="243"/>
    </row>
    <row r="292" spans="1:46" ht="12.75" x14ac:dyDescent="0.2">
      <c r="A292" s="243"/>
      <c r="B292" s="243"/>
      <c r="C292" s="243"/>
      <c r="D292" s="243"/>
      <c r="E292" s="243"/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  <c r="AH292" s="243"/>
      <c r="AI292" s="243"/>
      <c r="AJ292" s="243"/>
      <c r="AK292" s="243"/>
      <c r="AL292" s="243"/>
      <c r="AM292" s="243"/>
      <c r="AN292" s="243"/>
      <c r="AO292" s="243"/>
      <c r="AP292" s="243"/>
      <c r="AQ292" s="243"/>
      <c r="AR292" s="243"/>
      <c r="AS292" s="243"/>
      <c r="AT292" s="243"/>
    </row>
    <row r="293" spans="1:46" ht="12.75" x14ac:dyDescent="0.2">
      <c r="A293" s="243"/>
      <c r="B293" s="243"/>
      <c r="C293" s="243"/>
      <c r="D293" s="243"/>
      <c r="E293" s="243"/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3"/>
      <c r="AI293" s="243"/>
      <c r="AJ293" s="243"/>
      <c r="AK293" s="243"/>
      <c r="AL293" s="243"/>
      <c r="AM293" s="243"/>
      <c r="AN293" s="243"/>
      <c r="AO293" s="243"/>
      <c r="AP293" s="243"/>
      <c r="AQ293" s="243"/>
      <c r="AR293" s="243"/>
      <c r="AS293" s="243"/>
      <c r="AT293" s="243"/>
    </row>
    <row r="294" spans="1:46" ht="12.75" x14ac:dyDescent="0.2">
      <c r="A294" s="243"/>
      <c r="B294" s="243"/>
      <c r="C294" s="243"/>
      <c r="D294" s="243"/>
      <c r="E294" s="243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  <c r="AH294" s="243"/>
      <c r="AI294" s="243"/>
      <c r="AJ294" s="243"/>
      <c r="AK294" s="243"/>
      <c r="AL294" s="243"/>
      <c r="AM294" s="243"/>
      <c r="AN294" s="243"/>
      <c r="AO294" s="243"/>
      <c r="AP294" s="243"/>
      <c r="AQ294" s="243"/>
      <c r="AR294" s="243"/>
      <c r="AS294" s="243"/>
      <c r="AT294" s="243"/>
    </row>
    <row r="295" spans="1:46" ht="12.75" x14ac:dyDescent="0.2">
      <c r="A295" s="243"/>
      <c r="B295" s="243"/>
      <c r="C295" s="243"/>
      <c r="D295" s="243"/>
      <c r="E295" s="243"/>
      <c r="F295" s="243"/>
      <c r="G295" s="243"/>
      <c r="H295" s="243"/>
      <c r="I295" s="243"/>
      <c r="J295" s="243"/>
      <c r="K295" s="243"/>
      <c r="L295" s="243"/>
      <c r="M295" s="243"/>
      <c r="N295" s="243"/>
      <c r="O295" s="243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  <c r="AH295" s="243"/>
      <c r="AI295" s="243"/>
      <c r="AJ295" s="243"/>
      <c r="AK295" s="243"/>
      <c r="AL295" s="243"/>
      <c r="AM295" s="243"/>
      <c r="AN295" s="243"/>
      <c r="AO295" s="243"/>
      <c r="AP295" s="243"/>
      <c r="AQ295" s="243"/>
      <c r="AR295" s="243"/>
      <c r="AS295" s="243"/>
      <c r="AT295" s="243"/>
    </row>
    <row r="296" spans="1:46" ht="12.75" x14ac:dyDescent="0.2">
      <c r="A296" s="243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  <c r="N296" s="243"/>
      <c r="O296" s="243"/>
      <c r="P296" s="243"/>
      <c r="Q296" s="243"/>
      <c r="R296" s="243"/>
      <c r="S296" s="243"/>
      <c r="T296" s="243"/>
      <c r="U296" s="243"/>
      <c r="V296" s="243"/>
      <c r="W296" s="243"/>
      <c r="X296" s="243"/>
      <c r="Y296" s="243"/>
      <c r="Z296" s="243"/>
      <c r="AA296" s="243"/>
      <c r="AB296" s="243"/>
      <c r="AC296" s="243"/>
      <c r="AD296" s="243"/>
      <c r="AE296" s="243"/>
      <c r="AF296" s="243"/>
      <c r="AG296" s="243"/>
      <c r="AH296" s="243"/>
      <c r="AI296" s="243"/>
      <c r="AJ296" s="243"/>
      <c r="AK296" s="243"/>
      <c r="AL296" s="243"/>
      <c r="AM296" s="243"/>
      <c r="AN296" s="243"/>
      <c r="AO296" s="243"/>
      <c r="AP296" s="243"/>
      <c r="AQ296" s="243"/>
      <c r="AR296" s="243"/>
      <c r="AS296" s="243"/>
      <c r="AT296" s="243"/>
    </row>
    <row r="297" spans="1:46" ht="12.75" x14ac:dyDescent="0.2">
      <c r="A297" s="243"/>
      <c r="B297" s="243"/>
      <c r="C297" s="243"/>
      <c r="D297" s="243"/>
      <c r="E297" s="243"/>
      <c r="F297" s="243"/>
      <c r="G297" s="243"/>
      <c r="H297" s="243"/>
      <c r="I297" s="243"/>
      <c r="J297" s="243"/>
      <c r="K297" s="243"/>
      <c r="L297" s="243"/>
      <c r="M297" s="243"/>
      <c r="N297" s="243"/>
      <c r="O297" s="243"/>
      <c r="P297" s="243"/>
      <c r="Q297" s="243"/>
      <c r="R297" s="243"/>
      <c r="S297" s="243"/>
      <c r="T297" s="243"/>
      <c r="U297" s="243"/>
      <c r="V297" s="243"/>
      <c r="W297" s="243"/>
      <c r="X297" s="243"/>
      <c r="Y297" s="243"/>
      <c r="Z297" s="243"/>
      <c r="AA297" s="243"/>
      <c r="AB297" s="243"/>
      <c r="AC297" s="243"/>
      <c r="AD297" s="243"/>
      <c r="AE297" s="243"/>
      <c r="AF297" s="243"/>
      <c r="AG297" s="243"/>
      <c r="AH297" s="243"/>
      <c r="AI297" s="243"/>
      <c r="AJ297" s="243"/>
      <c r="AK297" s="243"/>
      <c r="AL297" s="243"/>
      <c r="AM297" s="243"/>
      <c r="AN297" s="243"/>
      <c r="AO297" s="243"/>
      <c r="AP297" s="243"/>
      <c r="AQ297" s="243"/>
      <c r="AR297" s="243"/>
      <c r="AS297" s="243"/>
      <c r="AT297" s="243"/>
    </row>
    <row r="298" spans="1:46" ht="12.75" x14ac:dyDescent="0.2">
      <c r="A298" s="243"/>
      <c r="B298" s="243"/>
      <c r="C298" s="243"/>
      <c r="D298" s="243"/>
      <c r="E298" s="243"/>
      <c r="F298" s="243"/>
      <c r="G298" s="243"/>
      <c r="H298" s="243"/>
      <c r="I298" s="243"/>
      <c r="J298" s="243"/>
      <c r="K298" s="243"/>
      <c r="L298" s="243"/>
      <c r="M298" s="243"/>
      <c r="N298" s="243"/>
      <c r="O298" s="243"/>
      <c r="P298" s="243"/>
      <c r="Q298" s="243"/>
      <c r="R298" s="243"/>
      <c r="S298" s="243"/>
      <c r="T298" s="243"/>
      <c r="U298" s="243"/>
      <c r="V298" s="243"/>
      <c r="W298" s="243"/>
      <c r="X298" s="243"/>
      <c r="Y298" s="243"/>
      <c r="Z298" s="243"/>
      <c r="AA298" s="243"/>
      <c r="AB298" s="243"/>
      <c r="AC298" s="243"/>
      <c r="AD298" s="243"/>
      <c r="AE298" s="243"/>
      <c r="AF298" s="243"/>
      <c r="AG298" s="243"/>
      <c r="AH298" s="243"/>
      <c r="AI298" s="243"/>
      <c r="AJ298" s="243"/>
      <c r="AK298" s="243"/>
      <c r="AL298" s="243"/>
      <c r="AM298" s="243"/>
      <c r="AN298" s="243"/>
      <c r="AO298" s="243"/>
      <c r="AP298" s="243"/>
      <c r="AQ298" s="243"/>
      <c r="AR298" s="243"/>
      <c r="AS298" s="243"/>
      <c r="AT298" s="243"/>
    </row>
    <row r="299" spans="1:46" ht="12.75" x14ac:dyDescent="0.2">
      <c r="A299" s="243"/>
      <c r="B299" s="243"/>
      <c r="C299" s="243"/>
      <c r="D299" s="243"/>
      <c r="E299" s="243"/>
      <c r="F299" s="243"/>
      <c r="G299" s="243"/>
      <c r="H299" s="243"/>
      <c r="I299" s="243"/>
      <c r="J299" s="243"/>
      <c r="K299" s="243"/>
      <c r="L299" s="243"/>
      <c r="M299" s="243"/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3"/>
      <c r="AA299" s="243"/>
      <c r="AB299" s="243"/>
      <c r="AC299" s="243"/>
      <c r="AD299" s="243"/>
      <c r="AE299" s="243"/>
      <c r="AF299" s="243"/>
      <c r="AG299" s="243"/>
      <c r="AH299" s="243"/>
      <c r="AI299" s="243"/>
      <c r="AJ299" s="243"/>
      <c r="AK299" s="243"/>
      <c r="AL299" s="243"/>
      <c r="AM299" s="243"/>
      <c r="AN299" s="243"/>
      <c r="AO299" s="243"/>
      <c r="AP299" s="243"/>
      <c r="AQ299" s="243"/>
      <c r="AR299" s="243"/>
      <c r="AS299" s="243"/>
      <c r="AT299" s="243"/>
    </row>
    <row r="300" spans="1:46" ht="12.75" x14ac:dyDescent="0.2">
      <c r="A300" s="243"/>
      <c r="B300" s="243"/>
      <c r="C300" s="243"/>
      <c r="D300" s="243"/>
      <c r="E300" s="243"/>
      <c r="F300" s="243"/>
      <c r="G300" s="243"/>
      <c r="H300" s="243"/>
      <c r="I300" s="243"/>
      <c r="J300" s="243"/>
      <c r="K300" s="243"/>
      <c r="L300" s="243"/>
      <c r="M300" s="243"/>
      <c r="N300" s="243"/>
      <c r="O300" s="243"/>
      <c r="P300" s="243"/>
      <c r="Q300" s="243"/>
      <c r="R300" s="243"/>
      <c r="S300" s="243"/>
      <c r="T300" s="243"/>
      <c r="U300" s="243"/>
      <c r="V300" s="243"/>
      <c r="W300" s="243"/>
      <c r="X300" s="243"/>
      <c r="Y300" s="243"/>
      <c r="Z300" s="243"/>
      <c r="AA300" s="243"/>
      <c r="AB300" s="243"/>
      <c r="AC300" s="243"/>
      <c r="AD300" s="243"/>
      <c r="AE300" s="243"/>
      <c r="AF300" s="243"/>
      <c r="AG300" s="243"/>
      <c r="AH300" s="243"/>
      <c r="AI300" s="243"/>
      <c r="AJ300" s="243"/>
      <c r="AK300" s="243"/>
      <c r="AL300" s="243"/>
      <c r="AM300" s="243"/>
      <c r="AN300" s="243"/>
      <c r="AO300" s="243"/>
      <c r="AP300" s="243"/>
      <c r="AQ300" s="243"/>
      <c r="AR300" s="243"/>
      <c r="AS300" s="243"/>
      <c r="AT300" s="243"/>
    </row>
    <row r="301" spans="1:46" ht="12.75" x14ac:dyDescent="0.2">
      <c r="A301" s="243"/>
      <c r="B301" s="243"/>
      <c r="C301" s="243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  <c r="AA301" s="243"/>
      <c r="AB301" s="243"/>
      <c r="AC301" s="243"/>
      <c r="AD301" s="243"/>
      <c r="AE301" s="243"/>
      <c r="AF301" s="243"/>
      <c r="AG301" s="243"/>
      <c r="AH301" s="243"/>
      <c r="AI301" s="243"/>
      <c r="AJ301" s="243"/>
      <c r="AK301" s="243"/>
      <c r="AL301" s="243"/>
      <c r="AM301" s="243"/>
      <c r="AN301" s="243"/>
      <c r="AO301" s="243"/>
      <c r="AP301" s="243"/>
      <c r="AQ301" s="243"/>
      <c r="AR301" s="243"/>
      <c r="AS301" s="243"/>
      <c r="AT301" s="243"/>
    </row>
    <row r="302" spans="1:46" ht="12.75" x14ac:dyDescent="0.2">
      <c r="A302" s="243"/>
      <c r="B302" s="243"/>
      <c r="C302" s="243"/>
      <c r="D302" s="243"/>
      <c r="E302" s="243"/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  <c r="AA302" s="243"/>
      <c r="AB302" s="243"/>
      <c r="AC302" s="243"/>
      <c r="AD302" s="243"/>
      <c r="AE302" s="243"/>
      <c r="AF302" s="243"/>
      <c r="AG302" s="243"/>
      <c r="AH302" s="243"/>
      <c r="AI302" s="243"/>
      <c r="AJ302" s="243"/>
      <c r="AK302" s="243"/>
      <c r="AL302" s="243"/>
      <c r="AM302" s="243"/>
      <c r="AN302" s="243"/>
      <c r="AO302" s="243"/>
      <c r="AP302" s="243"/>
      <c r="AQ302" s="243"/>
      <c r="AR302" s="243"/>
      <c r="AS302" s="243"/>
      <c r="AT302" s="243"/>
    </row>
    <row r="303" spans="1:46" ht="12.75" x14ac:dyDescent="0.2">
      <c r="A303" s="243"/>
      <c r="B303" s="243"/>
      <c r="C303" s="243"/>
      <c r="D303" s="243"/>
      <c r="E303" s="243"/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  <c r="AA303" s="243"/>
      <c r="AB303" s="243"/>
      <c r="AC303" s="243"/>
      <c r="AD303" s="243"/>
      <c r="AE303" s="243"/>
      <c r="AF303" s="243"/>
      <c r="AG303" s="243"/>
      <c r="AH303" s="243"/>
      <c r="AI303" s="243"/>
      <c r="AJ303" s="243"/>
      <c r="AK303" s="243"/>
      <c r="AL303" s="243"/>
      <c r="AM303" s="243"/>
      <c r="AN303" s="243"/>
      <c r="AO303" s="243"/>
      <c r="AP303" s="243"/>
      <c r="AQ303" s="243"/>
      <c r="AR303" s="243"/>
      <c r="AS303" s="243"/>
      <c r="AT303" s="243"/>
    </row>
    <row r="304" spans="1:46" ht="12.75" x14ac:dyDescent="0.2">
      <c r="A304" s="243"/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  <c r="AH304" s="243"/>
      <c r="AI304" s="243"/>
      <c r="AJ304" s="243"/>
      <c r="AK304" s="243"/>
      <c r="AL304" s="243"/>
      <c r="AM304" s="243"/>
      <c r="AN304" s="243"/>
      <c r="AO304" s="243"/>
      <c r="AP304" s="243"/>
      <c r="AQ304" s="243"/>
      <c r="AR304" s="243"/>
      <c r="AS304" s="243"/>
      <c r="AT304" s="243"/>
    </row>
    <row r="305" spans="1:46" ht="12.75" x14ac:dyDescent="0.2">
      <c r="A305" s="243"/>
      <c r="B305" s="243"/>
      <c r="C305" s="243"/>
      <c r="D305" s="243"/>
      <c r="E305" s="243"/>
      <c r="F305" s="243"/>
      <c r="G305" s="243"/>
      <c r="H305" s="243"/>
      <c r="I305" s="243"/>
      <c r="J305" s="243"/>
      <c r="K305" s="243"/>
      <c r="L305" s="243"/>
      <c r="M305" s="243"/>
      <c r="N305" s="243"/>
      <c r="O305" s="243"/>
      <c r="P305" s="243"/>
      <c r="Q305" s="243"/>
      <c r="R305" s="243"/>
      <c r="S305" s="243"/>
      <c r="T305" s="243"/>
      <c r="U305" s="243"/>
      <c r="V305" s="243"/>
      <c r="W305" s="243"/>
      <c r="X305" s="243"/>
      <c r="Y305" s="243"/>
      <c r="Z305" s="243"/>
      <c r="AA305" s="243"/>
      <c r="AB305" s="243"/>
      <c r="AC305" s="243"/>
      <c r="AD305" s="243"/>
      <c r="AE305" s="243"/>
      <c r="AF305" s="243"/>
      <c r="AG305" s="243"/>
      <c r="AH305" s="243"/>
      <c r="AI305" s="243"/>
      <c r="AJ305" s="243"/>
      <c r="AK305" s="243"/>
      <c r="AL305" s="243"/>
      <c r="AM305" s="243"/>
      <c r="AN305" s="243"/>
      <c r="AO305" s="243"/>
      <c r="AP305" s="243"/>
      <c r="AQ305" s="243"/>
      <c r="AR305" s="243"/>
      <c r="AS305" s="243"/>
      <c r="AT305" s="243"/>
    </row>
    <row r="306" spans="1:46" ht="12.75" x14ac:dyDescent="0.2">
      <c r="A306" s="243"/>
      <c r="B306" s="243"/>
      <c r="C306" s="243"/>
      <c r="D306" s="243"/>
      <c r="E306" s="243"/>
      <c r="F306" s="243"/>
      <c r="G306" s="243"/>
      <c r="H306" s="243"/>
      <c r="I306" s="243"/>
      <c r="J306" s="243"/>
      <c r="K306" s="243"/>
      <c r="L306" s="243"/>
      <c r="M306" s="243"/>
      <c r="N306" s="243"/>
      <c r="O306" s="243"/>
      <c r="P306" s="243"/>
      <c r="Q306" s="243"/>
      <c r="R306" s="243"/>
      <c r="S306" s="243"/>
      <c r="T306" s="243"/>
      <c r="U306" s="243"/>
      <c r="V306" s="243"/>
      <c r="W306" s="243"/>
      <c r="X306" s="243"/>
      <c r="Y306" s="243"/>
      <c r="Z306" s="243"/>
      <c r="AA306" s="243"/>
      <c r="AB306" s="243"/>
      <c r="AC306" s="243"/>
      <c r="AD306" s="243"/>
      <c r="AE306" s="243"/>
      <c r="AF306" s="243"/>
      <c r="AG306" s="243"/>
      <c r="AH306" s="243"/>
      <c r="AI306" s="243"/>
      <c r="AJ306" s="243"/>
      <c r="AK306" s="243"/>
      <c r="AL306" s="243"/>
      <c r="AM306" s="243"/>
      <c r="AN306" s="243"/>
      <c r="AO306" s="243"/>
      <c r="AP306" s="243"/>
      <c r="AQ306" s="243"/>
      <c r="AR306" s="243"/>
      <c r="AS306" s="243"/>
      <c r="AT306" s="243"/>
    </row>
    <row r="307" spans="1:46" ht="12.75" x14ac:dyDescent="0.2">
      <c r="A307" s="243"/>
      <c r="B307" s="243"/>
      <c r="C307" s="243"/>
      <c r="D307" s="243"/>
      <c r="E307" s="243"/>
      <c r="F307" s="243"/>
      <c r="G307" s="243"/>
      <c r="H307" s="243"/>
      <c r="I307" s="243"/>
      <c r="J307" s="243"/>
      <c r="K307" s="243"/>
      <c r="L307" s="243"/>
      <c r="M307" s="243"/>
      <c r="N307" s="243"/>
      <c r="O307" s="243"/>
      <c r="P307" s="243"/>
      <c r="Q307" s="243"/>
      <c r="R307" s="243"/>
      <c r="S307" s="243"/>
      <c r="T307" s="243"/>
      <c r="U307" s="243"/>
      <c r="V307" s="243"/>
      <c r="W307" s="243"/>
      <c r="X307" s="243"/>
      <c r="Y307" s="243"/>
      <c r="Z307" s="243"/>
      <c r="AA307" s="243"/>
      <c r="AB307" s="243"/>
      <c r="AC307" s="243"/>
      <c r="AD307" s="243"/>
      <c r="AE307" s="243"/>
      <c r="AF307" s="243"/>
      <c r="AG307" s="243"/>
      <c r="AH307" s="243"/>
      <c r="AI307" s="243"/>
      <c r="AJ307" s="243"/>
      <c r="AK307" s="243"/>
      <c r="AL307" s="243"/>
      <c r="AM307" s="243"/>
      <c r="AN307" s="243"/>
      <c r="AO307" s="243"/>
      <c r="AP307" s="243"/>
      <c r="AQ307" s="243"/>
      <c r="AR307" s="243"/>
      <c r="AS307" s="243"/>
      <c r="AT307" s="243"/>
    </row>
    <row r="308" spans="1:46" ht="12.75" x14ac:dyDescent="0.2">
      <c r="A308" s="243"/>
      <c r="B308" s="243"/>
      <c r="C308" s="243"/>
      <c r="D308" s="243"/>
      <c r="E308" s="243"/>
      <c r="F308" s="243"/>
      <c r="G308" s="243"/>
      <c r="H308" s="243"/>
      <c r="I308" s="243"/>
      <c r="J308" s="243"/>
      <c r="K308" s="243"/>
      <c r="L308" s="243"/>
      <c r="M308" s="243"/>
      <c r="N308" s="243"/>
      <c r="O308" s="243"/>
      <c r="P308" s="243"/>
      <c r="Q308" s="243"/>
      <c r="R308" s="243"/>
      <c r="S308" s="243"/>
      <c r="T308" s="243"/>
      <c r="U308" s="243"/>
      <c r="V308" s="243"/>
      <c r="W308" s="243"/>
      <c r="X308" s="243"/>
      <c r="Y308" s="243"/>
      <c r="Z308" s="243"/>
      <c r="AA308" s="243"/>
      <c r="AB308" s="243"/>
      <c r="AC308" s="243"/>
      <c r="AD308" s="243"/>
      <c r="AE308" s="243"/>
      <c r="AF308" s="243"/>
      <c r="AG308" s="243"/>
      <c r="AH308" s="243"/>
      <c r="AI308" s="243"/>
      <c r="AJ308" s="243"/>
      <c r="AK308" s="243"/>
      <c r="AL308" s="243"/>
      <c r="AM308" s="243"/>
      <c r="AN308" s="243"/>
      <c r="AO308" s="243"/>
      <c r="AP308" s="243"/>
      <c r="AQ308" s="243"/>
      <c r="AR308" s="243"/>
      <c r="AS308" s="243"/>
      <c r="AT308" s="243"/>
    </row>
    <row r="309" spans="1:46" ht="12.75" x14ac:dyDescent="0.2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  <c r="N309" s="243"/>
      <c r="O309" s="243"/>
      <c r="P309" s="243"/>
      <c r="Q309" s="243"/>
      <c r="R309" s="243"/>
      <c r="S309" s="243"/>
      <c r="T309" s="243"/>
      <c r="U309" s="243"/>
      <c r="V309" s="243"/>
      <c r="W309" s="243"/>
      <c r="X309" s="243"/>
      <c r="Y309" s="243"/>
      <c r="Z309" s="243"/>
      <c r="AA309" s="243"/>
      <c r="AB309" s="243"/>
      <c r="AC309" s="243"/>
      <c r="AD309" s="243"/>
      <c r="AE309" s="243"/>
      <c r="AF309" s="243"/>
      <c r="AG309" s="243"/>
      <c r="AH309" s="243"/>
      <c r="AI309" s="243"/>
      <c r="AJ309" s="243"/>
      <c r="AK309" s="243"/>
      <c r="AL309" s="243"/>
      <c r="AM309" s="243"/>
      <c r="AN309" s="243"/>
      <c r="AO309" s="243"/>
      <c r="AP309" s="243"/>
      <c r="AQ309" s="243"/>
      <c r="AR309" s="243"/>
      <c r="AS309" s="243"/>
      <c r="AT309" s="243"/>
    </row>
    <row r="310" spans="1:46" ht="12.75" x14ac:dyDescent="0.2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43"/>
      <c r="T310" s="243"/>
      <c r="U310" s="243"/>
      <c r="V310" s="243"/>
      <c r="W310" s="243"/>
      <c r="X310" s="243"/>
      <c r="Y310" s="243"/>
      <c r="Z310" s="243"/>
      <c r="AA310" s="243"/>
      <c r="AB310" s="243"/>
      <c r="AC310" s="243"/>
      <c r="AD310" s="243"/>
      <c r="AE310" s="243"/>
      <c r="AF310" s="243"/>
      <c r="AG310" s="243"/>
      <c r="AH310" s="243"/>
      <c r="AI310" s="243"/>
      <c r="AJ310" s="243"/>
      <c r="AK310" s="243"/>
      <c r="AL310" s="243"/>
      <c r="AM310" s="243"/>
      <c r="AN310" s="243"/>
      <c r="AO310" s="243"/>
      <c r="AP310" s="243"/>
      <c r="AQ310" s="243"/>
      <c r="AR310" s="243"/>
      <c r="AS310" s="243"/>
      <c r="AT310" s="243"/>
    </row>
    <row r="311" spans="1:46" ht="12.75" x14ac:dyDescent="0.2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  <c r="N311" s="243"/>
      <c r="O311" s="243"/>
      <c r="P311" s="243"/>
      <c r="Q311" s="243"/>
      <c r="R311" s="243"/>
      <c r="S311" s="243"/>
      <c r="T311" s="243"/>
      <c r="U311" s="243"/>
      <c r="V311" s="243"/>
      <c r="W311" s="243"/>
      <c r="X311" s="243"/>
      <c r="Y311" s="243"/>
      <c r="Z311" s="243"/>
      <c r="AA311" s="243"/>
      <c r="AB311" s="243"/>
      <c r="AC311" s="243"/>
      <c r="AD311" s="243"/>
      <c r="AE311" s="243"/>
      <c r="AF311" s="243"/>
      <c r="AG311" s="243"/>
      <c r="AH311" s="243"/>
      <c r="AI311" s="243"/>
      <c r="AJ311" s="243"/>
      <c r="AK311" s="243"/>
      <c r="AL311" s="243"/>
      <c r="AM311" s="243"/>
      <c r="AN311" s="243"/>
      <c r="AO311" s="243"/>
      <c r="AP311" s="243"/>
      <c r="AQ311" s="243"/>
      <c r="AR311" s="243"/>
      <c r="AS311" s="243"/>
      <c r="AT311" s="243"/>
    </row>
    <row r="312" spans="1:46" ht="12.75" x14ac:dyDescent="0.2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  <c r="N312" s="243"/>
      <c r="O312" s="243"/>
      <c r="P312" s="243"/>
      <c r="Q312" s="243"/>
      <c r="R312" s="243"/>
      <c r="S312" s="243"/>
      <c r="T312" s="243"/>
      <c r="U312" s="243"/>
      <c r="V312" s="243"/>
      <c r="W312" s="243"/>
      <c r="X312" s="243"/>
      <c r="Y312" s="243"/>
      <c r="Z312" s="243"/>
      <c r="AA312" s="243"/>
      <c r="AB312" s="243"/>
      <c r="AC312" s="243"/>
      <c r="AD312" s="243"/>
      <c r="AE312" s="243"/>
      <c r="AF312" s="243"/>
      <c r="AG312" s="243"/>
      <c r="AH312" s="243"/>
      <c r="AI312" s="243"/>
      <c r="AJ312" s="243"/>
      <c r="AK312" s="243"/>
      <c r="AL312" s="243"/>
      <c r="AM312" s="243"/>
      <c r="AN312" s="243"/>
      <c r="AO312" s="243"/>
      <c r="AP312" s="243"/>
      <c r="AQ312" s="243"/>
      <c r="AR312" s="243"/>
      <c r="AS312" s="243"/>
      <c r="AT312" s="243"/>
    </row>
    <row r="313" spans="1:46" ht="12.75" x14ac:dyDescent="0.2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  <c r="N313" s="243"/>
      <c r="O313" s="243"/>
      <c r="P313" s="243"/>
      <c r="Q313" s="243"/>
      <c r="R313" s="243"/>
      <c r="S313" s="243"/>
      <c r="T313" s="243"/>
      <c r="U313" s="243"/>
      <c r="V313" s="243"/>
      <c r="W313" s="243"/>
      <c r="X313" s="243"/>
      <c r="Y313" s="243"/>
      <c r="Z313" s="243"/>
      <c r="AA313" s="243"/>
      <c r="AB313" s="243"/>
      <c r="AC313" s="243"/>
      <c r="AD313" s="243"/>
      <c r="AE313" s="243"/>
      <c r="AF313" s="243"/>
      <c r="AG313" s="243"/>
      <c r="AH313" s="243"/>
      <c r="AI313" s="243"/>
      <c r="AJ313" s="243"/>
      <c r="AK313" s="243"/>
      <c r="AL313" s="243"/>
      <c r="AM313" s="243"/>
      <c r="AN313" s="243"/>
      <c r="AO313" s="243"/>
      <c r="AP313" s="243"/>
      <c r="AQ313" s="243"/>
      <c r="AR313" s="243"/>
      <c r="AS313" s="243"/>
      <c r="AT313" s="243"/>
    </row>
    <row r="314" spans="1:46" ht="12.75" x14ac:dyDescent="0.2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  <c r="AH314" s="243"/>
      <c r="AI314" s="243"/>
      <c r="AJ314" s="243"/>
      <c r="AK314" s="243"/>
      <c r="AL314" s="243"/>
      <c r="AM314" s="243"/>
      <c r="AN314" s="243"/>
      <c r="AO314" s="243"/>
      <c r="AP314" s="243"/>
      <c r="AQ314" s="243"/>
      <c r="AR314" s="243"/>
      <c r="AS314" s="243"/>
      <c r="AT314" s="243"/>
    </row>
    <row r="315" spans="1:46" ht="12.75" x14ac:dyDescent="0.2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  <c r="AH315" s="243"/>
      <c r="AI315" s="243"/>
      <c r="AJ315" s="243"/>
      <c r="AK315" s="243"/>
      <c r="AL315" s="243"/>
      <c r="AM315" s="243"/>
      <c r="AN315" s="243"/>
      <c r="AO315" s="243"/>
      <c r="AP315" s="243"/>
      <c r="AQ315" s="243"/>
      <c r="AR315" s="243"/>
      <c r="AS315" s="243"/>
      <c r="AT315" s="243"/>
    </row>
    <row r="316" spans="1:46" ht="12.75" x14ac:dyDescent="0.2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  <c r="AH316" s="243"/>
      <c r="AI316" s="243"/>
      <c r="AJ316" s="243"/>
      <c r="AK316" s="243"/>
      <c r="AL316" s="243"/>
      <c r="AM316" s="243"/>
      <c r="AN316" s="243"/>
      <c r="AO316" s="243"/>
      <c r="AP316" s="243"/>
      <c r="AQ316" s="243"/>
      <c r="AR316" s="243"/>
      <c r="AS316" s="243"/>
      <c r="AT316" s="243"/>
    </row>
    <row r="317" spans="1:46" ht="12.75" x14ac:dyDescent="0.2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3"/>
      <c r="AI317" s="243"/>
      <c r="AJ317" s="243"/>
      <c r="AK317" s="243"/>
      <c r="AL317" s="243"/>
      <c r="AM317" s="243"/>
      <c r="AN317" s="243"/>
      <c r="AO317" s="243"/>
      <c r="AP317" s="243"/>
      <c r="AQ317" s="243"/>
      <c r="AR317" s="243"/>
      <c r="AS317" s="243"/>
      <c r="AT317" s="243"/>
    </row>
    <row r="318" spans="1:46" ht="12.75" x14ac:dyDescent="0.2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243"/>
      <c r="AM318" s="243"/>
      <c r="AN318" s="243"/>
      <c r="AO318" s="243"/>
      <c r="AP318" s="243"/>
      <c r="AQ318" s="243"/>
      <c r="AR318" s="243"/>
      <c r="AS318" s="243"/>
      <c r="AT318" s="243"/>
    </row>
    <row r="319" spans="1:46" ht="12.75" x14ac:dyDescent="0.2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  <c r="AA319" s="243"/>
      <c r="AB319" s="243"/>
      <c r="AC319" s="243"/>
      <c r="AD319" s="243"/>
      <c r="AE319" s="243"/>
      <c r="AF319" s="243"/>
      <c r="AG319" s="243"/>
      <c r="AH319" s="243"/>
      <c r="AI319" s="243"/>
      <c r="AJ319" s="243"/>
      <c r="AK319" s="243"/>
      <c r="AL319" s="243"/>
      <c r="AM319" s="243"/>
      <c r="AN319" s="243"/>
      <c r="AO319" s="243"/>
      <c r="AP319" s="243"/>
      <c r="AQ319" s="243"/>
      <c r="AR319" s="243"/>
      <c r="AS319" s="243"/>
      <c r="AT319" s="243"/>
    </row>
    <row r="320" spans="1:46" ht="12.75" x14ac:dyDescent="0.2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  <c r="AH320" s="243"/>
      <c r="AI320" s="243"/>
      <c r="AJ320" s="243"/>
      <c r="AK320" s="243"/>
      <c r="AL320" s="243"/>
      <c r="AM320" s="243"/>
      <c r="AN320" s="243"/>
      <c r="AO320" s="243"/>
      <c r="AP320" s="243"/>
      <c r="AQ320" s="243"/>
      <c r="AR320" s="243"/>
      <c r="AS320" s="243"/>
      <c r="AT320" s="243"/>
    </row>
    <row r="321" spans="1:46" ht="12.75" x14ac:dyDescent="0.2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3"/>
      <c r="AI321" s="243"/>
      <c r="AJ321" s="243"/>
      <c r="AK321" s="243"/>
      <c r="AL321" s="243"/>
      <c r="AM321" s="243"/>
      <c r="AN321" s="243"/>
      <c r="AO321" s="243"/>
      <c r="AP321" s="243"/>
      <c r="AQ321" s="243"/>
      <c r="AR321" s="243"/>
      <c r="AS321" s="243"/>
      <c r="AT321" s="243"/>
    </row>
    <row r="322" spans="1:46" ht="12.75" x14ac:dyDescent="0.2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43"/>
      <c r="S322" s="243"/>
      <c r="T322" s="243"/>
      <c r="U322" s="243"/>
      <c r="V322" s="243"/>
      <c r="W322" s="243"/>
      <c r="X322" s="243"/>
      <c r="Y322" s="243"/>
      <c r="Z322" s="243"/>
      <c r="AA322" s="243"/>
      <c r="AB322" s="243"/>
      <c r="AC322" s="243"/>
      <c r="AD322" s="243"/>
      <c r="AE322" s="243"/>
      <c r="AF322" s="243"/>
      <c r="AG322" s="243"/>
      <c r="AH322" s="243"/>
      <c r="AI322" s="243"/>
      <c r="AJ322" s="243"/>
      <c r="AK322" s="243"/>
      <c r="AL322" s="243"/>
      <c r="AM322" s="243"/>
      <c r="AN322" s="243"/>
      <c r="AO322" s="243"/>
      <c r="AP322" s="243"/>
      <c r="AQ322" s="243"/>
      <c r="AR322" s="243"/>
      <c r="AS322" s="243"/>
      <c r="AT322" s="243"/>
    </row>
    <row r="323" spans="1:46" ht="12.75" x14ac:dyDescent="0.2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43"/>
      <c r="S323" s="243"/>
      <c r="T323" s="243"/>
      <c r="U323" s="243"/>
      <c r="V323" s="243"/>
      <c r="W323" s="243"/>
      <c r="X323" s="243"/>
      <c r="Y323" s="243"/>
      <c r="Z323" s="243"/>
      <c r="AA323" s="243"/>
      <c r="AB323" s="243"/>
      <c r="AC323" s="243"/>
      <c r="AD323" s="243"/>
      <c r="AE323" s="243"/>
      <c r="AF323" s="243"/>
      <c r="AG323" s="243"/>
      <c r="AH323" s="243"/>
      <c r="AI323" s="243"/>
      <c r="AJ323" s="243"/>
      <c r="AK323" s="243"/>
      <c r="AL323" s="243"/>
      <c r="AM323" s="243"/>
      <c r="AN323" s="243"/>
      <c r="AO323" s="243"/>
      <c r="AP323" s="243"/>
      <c r="AQ323" s="243"/>
      <c r="AR323" s="243"/>
      <c r="AS323" s="243"/>
      <c r="AT323" s="243"/>
    </row>
    <row r="324" spans="1:46" ht="12.75" x14ac:dyDescent="0.2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  <c r="AA324" s="243"/>
      <c r="AB324" s="243"/>
      <c r="AC324" s="243"/>
      <c r="AD324" s="243"/>
      <c r="AE324" s="243"/>
      <c r="AF324" s="243"/>
      <c r="AG324" s="243"/>
      <c r="AH324" s="243"/>
      <c r="AI324" s="243"/>
      <c r="AJ324" s="243"/>
      <c r="AK324" s="243"/>
      <c r="AL324" s="243"/>
      <c r="AM324" s="243"/>
      <c r="AN324" s="243"/>
      <c r="AO324" s="243"/>
      <c r="AP324" s="243"/>
      <c r="AQ324" s="243"/>
      <c r="AR324" s="243"/>
      <c r="AS324" s="243"/>
      <c r="AT324" s="243"/>
    </row>
    <row r="325" spans="1:46" ht="12.75" x14ac:dyDescent="0.2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  <c r="AA325" s="243"/>
      <c r="AB325" s="243"/>
      <c r="AC325" s="243"/>
      <c r="AD325" s="243"/>
      <c r="AE325" s="243"/>
      <c r="AF325" s="243"/>
      <c r="AG325" s="243"/>
      <c r="AH325" s="243"/>
      <c r="AI325" s="243"/>
      <c r="AJ325" s="243"/>
      <c r="AK325" s="243"/>
      <c r="AL325" s="243"/>
      <c r="AM325" s="243"/>
      <c r="AN325" s="243"/>
      <c r="AO325" s="243"/>
      <c r="AP325" s="243"/>
      <c r="AQ325" s="243"/>
      <c r="AR325" s="243"/>
      <c r="AS325" s="243"/>
      <c r="AT325" s="243"/>
    </row>
    <row r="326" spans="1:46" ht="12.75" x14ac:dyDescent="0.2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3"/>
      <c r="Z326" s="243"/>
      <c r="AA326" s="243"/>
      <c r="AB326" s="243"/>
      <c r="AC326" s="243"/>
      <c r="AD326" s="243"/>
      <c r="AE326" s="243"/>
      <c r="AF326" s="243"/>
      <c r="AG326" s="243"/>
      <c r="AH326" s="243"/>
      <c r="AI326" s="243"/>
      <c r="AJ326" s="243"/>
      <c r="AK326" s="243"/>
      <c r="AL326" s="243"/>
      <c r="AM326" s="243"/>
      <c r="AN326" s="243"/>
      <c r="AO326" s="243"/>
      <c r="AP326" s="243"/>
      <c r="AQ326" s="243"/>
      <c r="AR326" s="243"/>
      <c r="AS326" s="243"/>
      <c r="AT326" s="243"/>
    </row>
    <row r="327" spans="1:46" ht="12.75" x14ac:dyDescent="0.2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3"/>
      <c r="Z327" s="243"/>
      <c r="AA327" s="243"/>
      <c r="AB327" s="243"/>
      <c r="AC327" s="243"/>
      <c r="AD327" s="243"/>
      <c r="AE327" s="243"/>
      <c r="AF327" s="243"/>
      <c r="AG327" s="243"/>
      <c r="AH327" s="243"/>
      <c r="AI327" s="243"/>
      <c r="AJ327" s="243"/>
      <c r="AK327" s="243"/>
      <c r="AL327" s="243"/>
      <c r="AM327" s="243"/>
      <c r="AN327" s="243"/>
      <c r="AO327" s="243"/>
      <c r="AP327" s="243"/>
      <c r="AQ327" s="243"/>
      <c r="AR327" s="243"/>
      <c r="AS327" s="243"/>
      <c r="AT327" s="243"/>
    </row>
    <row r="328" spans="1:46" ht="12.75" x14ac:dyDescent="0.2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  <c r="AH328" s="243"/>
      <c r="AI328" s="243"/>
      <c r="AJ328" s="243"/>
      <c r="AK328" s="243"/>
      <c r="AL328" s="243"/>
      <c r="AM328" s="243"/>
      <c r="AN328" s="243"/>
      <c r="AO328" s="243"/>
      <c r="AP328" s="243"/>
      <c r="AQ328" s="243"/>
      <c r="AR328" s="243"/>
      <c r="AS328" s="243"/>
      <c r="AT328" s="243"/>
    </row>
    <row r="329" spans="1:46" ht="12.75" x14ac:dyDescent="0.2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  <c r="AH329" s="243"/>
      <c r="AI329" s="243"/>
      <c r="AJ329" s="243"/>
      <c r="AK329" s="243"/>
      <c r="AL329" s="243"/>
      <c r="AM329" s="243"/>
      <c r="AN329" s="243"/>
      <c r="AO329" s="243"/>
      <c r="AP329" s="243"/>
      <c r="AQ329" s="243"/>
      <c r="AR329" s="243"/>
      <c r="AS329" s="243"/>
      <c r="AT329" s="243"/>
    </row>
    <row r="330" spans="1:46" ht="12.75" x14ac:dyDescent="0.2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  <c r="AH330" s="243"/>
      <c r="AI330" s="243"/>
      <c r="AJ330" s="243"/>
      <c r="AK330" s="243"/>
      <c r="AL330" s="243"/>
      <c r="AM330" s="243"/>
      <c r="AN330" s="243"/>
      <c r="AO330" s="243"/>
      <c r="AP330" s="243"/>
      <c r="AQ330" s="243"/>
      <c r="AR330" s="243"/>
      <c r="AS330" s="243"/>
      <c r="AT330" s="243"/>
    </row>
    <row r="331" spans="1:46" ht="12.75" x14ac:dyDescent="0.2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  <c r="AH331" s="243"/>
      <c r="AI331" s="243"/>
      <c r="AJ331" s="243"/>
      <c r="AK331" s="243"/>
      <c r="AL331" s="243"/>
      <c r="AM331" s="243"/>
      <c r="AN331" s="243"/>
      <c r="AO331" s="243"/>
      <c r="AP331" s="243"/>
      <c r="AQ331" s="243"/>
      <c r="AR331" s="243"/>
      <c r="AS331" s="243"/>
      <c r="AT331" s="243"/>
    </row>
    <row r="332" spans="1:46" ht="12.75" x14ac:dyDescent="0.2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  <c r="AH332" s="243"/>
      <c r="AI332" s="243"/>
      <c r="AJ332" s="243"/>
      <c r="AK332" s="243"/>
      <c r="AL332" s="243"/>
      <c r="AM332" s="243"/>
      <c r="AN332" s="243"/>
      <c r="AO332" s="243"/>
      <c r="AP332" s="243"/>
      <c r="AQ332" s="243"/>
      <c r="AR332" s="243"/>
      <c r="AS332" s="243"/>
      <c r="AT332" s="243"/>
    </row>
    <row r="333" spans="1:46" ht="12.75" x14ac:dyDescent="0.2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  <c r="AA333" s="243"/>
      <c r="AB333" s="243"/>
      <c r="AC333" s="243"/>
      <c r="AD333" s="243"/>
      <c r="AE333" s="243"/>
      <c r="AF333" s="243"/>
      <c r="AG333" s="243"/>
      <c r="AH333" s="243"/>
      <c r="AI333" s="243"/>
      <c r="AJ333" s="243"/>
      <c r="AK333" s="243"/>
      <c r="AL333" s="243"/>
      <c r="AM333" s="243"/>
      <c r="AN333" s="243"/>
      <c r="AO333" s="243"/>
      <c r="AP333" s="243"/>
      <c r="AQ333" s="243"/>
      <c r="AR333" s="243"/>
      <c r="AS333" s="243"/>
      <c r="AT333" s="243"/>
    </row>
    <row r="334" spans="1:46" ht="12.75" x14ac:dyDescent="0.2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  <c r="AA334" s="243"/>
      <c r="AB334" s="243"/>
      <c r="AC334" s="243"/>
      <c r="AD334" s="243"/>
      <c r="AE334" s="243"/>
      <c r="AF334" s="243"/>
      <c r="AG334" s="243"/>
      <c r="AH334" s="243"/>
      <c r="AI334" s="243"/>
      <c r="AJ334" s="243"/>
      <c r="AK334" s="243"/>
      <c r="AL334" s="243"/>
      <c r="AM334" s="243"/>
      <c r="AN334" s="243"/>
      <c r="AO334" s="243"/>
      <c r="AP334" s="243"/>
      <c r="AQ334" s="243"/>
      <c r="AR334" s="243"/>
      <c r="AS334" s="243"/>
      <c r="AT334" s="243"/>
    </row>
    <row r="335" spans="1:46" ht="12.75" x14ac:dyDescent="0.2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  <c r="AA335" s="243"/>
      <c r="AB335" s="243"/>
      <c r="AC335" s="243"/>
      <c r="AD335" s="243"/>
      <c r="AE335" s="243"/>
      <c r="AF335" s="243"/>
      <c r="AG335" s="243"/>
      <c r="AH335" s="243"/>
      <c r="AI335" s="243"/>
      <c r="AJ335" s="243"/>
      <c r="AK335" s="243"/>
      <c r="AL335" s="243"/>
      <c r="AM335" s="243"/>
      <c r="AN335" s="243"/>
      <c r="AO335" s="243"/>
      <c r="AP335" s="243"/>
      <c r="AQ335" s="243"/>
      <c r="AR335" s="243"/>
      <c r="AS335" s="243"/>
      <c r="AT335" s="243"/>
    </row>
    <row r="336" spans="1:46" ht="12.75" x14ac:dyDescent="0.2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243"/>
      <c r="AR336" s="243"/>
      <c r="AS336" s="243"/>
      <c r="AT336" s="243"/>
    </row>
    <row r="337" spans="1:46" ht="12.75" x14ac:dyDescent="0.2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  <c r="AH337" s="243"/>
      <c r="AI337" s="243"/>
      <c r="AJ337" s="243"/>
      <c r="AK337" s="243"/>
      <c r="AL337" s="243"/>
      <c r="AM337" s="243"/>
      <c r="AN337" s="243"/>
      <c r="AO337" s="243"/>
      <c r="AP337" s="243"/>
      <c r="AQ337" s="243"/>
      <c r="AR337" s="243"/>
      <c r="AS337" s="243"/>
      <c r="AT337" s="243"/>
    </row>
    <row r="338" spans="1:46" ht="12.75" x14ac:dyDescent="0.2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  <c r="AH338" s="243"/>
      <c r="AI338" s="243"/>
      <c r="AJ338" s="243"/>
      <c r="AK338" s="243"/>
      <c r="AL338" s="243"/>
      <c r="AM338" s="243"/>
      <c r="AN338" s="243"/>
      <c r="AO338" s="243"/>
      <c r="AP338" s="243"/>
      <c r="AQ338" s="243"/>
      <c r="AR338" s="243"/>
      <c r="AS338" s="243"/>
      <c r="AT338" s="243"/>
    </row>
    <row r="339" spans="1:46" ht="12.75" x14ac:dyDescent="0.2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  <c r="AH339" s="243"/>
      <c r="AI339" s="243"/>
      <c r="AJ339" s="243"/>
      <c r="AK339" s="243"/>
      <c r="AL339" s="243"/>
      <c r="AM339" s="243"/>
      <c r="AN339" s="243"/>
      <c r="AO339" s="243"/>
      <c r="AP339" s="243"/>
      <c r="AQ339" s="243"/>
      <c r="AR339" s="243"/>
      <c r="AS339" s="243"/>
      <c r="AT339" s="243"/>
    </row>
    <row r="340" spans="1:46" ht="12.75" x14ac:dyDescent="0.2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  <c r="AH340" s="243"/>
      <c r="AI340" s="243"/>
      <c r="AJ340" s="243"/>
      <c r="AK340" s="243"/>
      <c r="AL340" s="243"/>
      <c r="AM340" s="243"/>
      <c r="AN340" s="243"/>
      <c r="AO340" s="243"/>
      <c r="AP340" s="243"/>
      <c r="AQ340" s="243"/>
      <c r="AR340" s="243"/>
      <c r="AS340" s="243"/>
      <c r="AT340" s="243"/>
    </row>
    <row r="341" spans="1:46" ht="12.75" x14ac:dyDescent="0.2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  <c r="AH341" s="243"/>
      <c r="AI341" s="243"/>
      <c r="AJ341" s="243"/>
      <c r="AK341" s="243"/>
      <c r="AL341" s="243"/>
      <c r="AM341" s="243"/>
      <c r="AN341" s="243"/>
      <c r="AO341" s="243"/>
      <c r="AP341" s="243"/>
      <c r="AQ341" s="243"/>
      <c r="AR341" s="243"/>
      <c r="AS341" s="243"/>
      <c r="AT341" s="243"/>
    </row>
    <row r="342" spans="1:46" ht="12.75" x14ac:dyDescent="0.2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243"/>
      <c r="AR342" s="243"/>
      <c r="AS342" s="243"/>
      <c r="AT342" s="243"/>
    </row>
    <row r="343" spans="1:46" ht="12.75" x14ac:dyDescent="0.2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  <c r="AH343" s="243"/>
      <c r="AI343" s="243"/>
      <c r="AJ343" s="243"/>
      <c r="AK343" s="243"/>
      <c r="AL343" s="243"/>
      <c r="AM343" s="243"/>
      <c r="AN343" s="243"/>
      <c r="AO343" s="243"/>
      <c r="AP343" s="243"/>
      <c r="AQ343" s="243"/>
      <c r="AR343" s="243"/>
      <c r="AS343" s="243"/>
      <c r="AT343" s="243"/>
    </row>
    <row r="344" spans="1:46" ht="12.75" x14ac:dyDescent="0.2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  <c r="AH344" s="243"/>
      <c r="AI344" s="243"/>
      <c r="AJ344" s="243"/>
      <c r="AK344" s="243"/>
      <c r="AL344" s="243"/>
      <c r="AM344" s="243"/>
      <c r="AN344" s="243"/>
      <c r="AO344" s="243"/>
      <c r="AP344" s="243"/>
      <c r="AQ344" s="243"/>
      <c r="AR344" s="243"/>
      <c r="AS344" s="243"/>
      <c r="AT344" s="243"/>
    </row>
    <row r="345" spans="1:46" ht="12.75" x14ac:dyDescent="0.2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  <c r="AH345" s="243"/>
      <c r="AI345" s="243"/>
      <c r="AJ345" s="243"/>
      <c r="AK345" s="243"/>
      <c r="AL345" s="243"/>
      <c r="AM345" s="243"/>
      <c r="AN345" s="243"/>
      <c r="AO345" s="243"/>
      <c r="AP345" s="243"/>
      <c r="AQ345" s="243"/>
      <c r="AR345" s="243"/>
      <c r="AS345" s="243"/>
      <c r="AT345" s="243"/>
    </row>
    <row r="346" spans="1:46" ht="12.75" x14ac:dyDescent="0.2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243"/>
      <c r="AC346" s="243"/>
      <c r="AD346" s="243"/>
      <c r="AE346" s="243"/>
      <c r="AF346" s="243"/>
      <c r="AG346" s="243"/>
      <c r="AH346" s="243"/>
      <c r="AI346" s="243"/>
      <c r="AJ346" s="243"/>
      <c r="AK346" s="243"/>
      <c r="AL346" s="243"/>
      <c r="AM346" s="243"/>
      <c r="AN346" s="243"/>
      <c r="AO346" s="243"/>
      <c r="AP346" s="243"/>
      <c r="AQ346" s="243"/>
      <c r="AR346" s="243"/>
      <c r="AS346" s="243"/>
      <c r="AT346" s="243"/>
    </row>
    <row r="347" spans="1:46" ht="12.75" x14ac:dyDescent="0.2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  <c r="AB347" s="243"/>
      <c r="AC347" s="243"/>
      <c r="AD347" s="243"/>
      <c r="AE347" s="243"/>
      <c r="AF347" s="243"/>
      <c r="AG347" s="243"/>
      <c r="AH347" s="243"/>
      <c r="AI347" s="243"/>
      <c r="AJ347" s="243"/>
      <c r="AK347" s="243"/>
      <c r="AL347" s="243"/>
      <c r="AM347" s="243"/>
      <c r="AN347" s="243"/>
      <c r="AO347" s="243"/>
      <c r="AP347" s="243"/>
      <c r="AQ347" s="243"/>
      <c r="AR347" s="243"/>
      <c r="AS347" s="243"/>
      <c r="AT347" s="243"/>
    </row>
    <row r="348" spans="1:46" ht="12.75" x14ac:dyDescent="0.2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  <c r="AH348" s="243"/>
      <c r="AI348" s="243"/>
      <c r="AJ348" s="243"/>
      <c r="AK348" s="243"/>
      <c r="AL348" s="243"/>
      <c r="AM348" s="243"/>
      <c r="AN348" s="243"/>
      <c r="AO348" s="243"/>
      <c r="AP348" s="243"/>
      <c r="AQ348" s="243"/>
      <c r="AR348" s="243"/>
      <c r="AS348" s="243"/>
      <c r="AT348" s="243"/>
    </row>
    <row r="349" spans="1:46" ht="12.75" x14ac:dyDescent="0.2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  <c r="AH349" s="243"/>
      <c r="AI349" s="243"/>
      <c r="AJ349" s="243"/>
      <c r="AK349" s="243"/>
      <c r="AL349" s="243"/>
      <c r="AM349" s="243"/>
      <c r="AN349" s="243"/>
      <c r="AO349" s="243"/>
      <c r="AP349" s="243"/>
      <c r="AQ349" s="243"/>
      <c r="AR349" s="243"/>
      <c r="AS349" s="243"/>
      <c r="AT349" s="243"/>
    </row>
    <row r="350" spans="1:46" ht="12.75" x14ac:dyDescent="0.2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  <c r="AA350" s="243"/>
      <c r="AB350" s="243"/>
      <c r="AC350" s="243"/>
      <c r="AD350" s="243"/>
      <c r="AE350" s="243"/>
      <c r="AF350" s="243"/>
      <c r="AG350" s="243"/>
      <c r="AH350" s="243"/>
      <c r="AI350" s="243"/>
      <c r="AJ350" s="243"/>
      <c r="AK350" s="243"/>
      <c r="AL350" s="243"/>
      <c r="AM350" s="243"/>
      <c r="AN350" s="243"/>
      <c r="AO350" s="243"/>
      <c r="AP350" s="243"/>
      <c r="AQ350" s="243"/>
      <c r="AR350" s="243"/>
      <c r="AS350" s="243"/>
      <c r="AT350" s="243"/>
    </row>
    <row r="351" spans="1:46" ht="12.75" x14ac:dyDescent="0.2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  <c r="AA351" s="243"/>
      <c r="AB351" s="243"/>
      <c r="AC351" s="243"/>
      <c r="AD351" s="243"/>
      <c r="AE351" s="243"/>
      <c r="AF351" s="243"/>
      <c r="AG351" s="243"/>
      <c r="AH351" s="243"/>
      <c r="AI351" s="243"/>
      <c r="AJ351" s="243"/>
      <c r="AK351" s="243"/>
      <c r="AL351" s="243"/>
      <c r="AM351" s="243"/>
      <c r="AN351" s="243"/>
      <c r="AO351" s="243"/>
      <c r="AP351" s="243"/>
      <c r="AQ351" s="243"/>
      <c r="AR351" s="243"/>
      <c r="AS351" s="243"/>
      <c r="AT351" s="243"/>
    </row>
    <row r="352" spans="1:46" ht="12.75" x14ac:dyDescent="0.2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  <c r="AH352" s="243"/>
      <c r="AI352" s="243"/>
      <c r="AJ352" s="243"/>
      <c r="AK352" s="243"/>
      <c r="AL352" s="243"/>
      <c r="AM352" s="243"/>
      <c r="AN352" s="243"/>
      <c r="AO352" s="243"/>
      <c r="AP352" s="243"/>
      <c r="AQ352" s="243"/>
      <c r="AR352" s="243"/>
      <c r="AS352" s="243"/>
      <c r="AT352" s="243"/>
    </row>
    <row r="353" spans="1:46" ht="12.75" x14ac:dyDescent="0.2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  <c r="AH353" s="243"/>
      <c r="AI353" s="243"/>
      <c r="AJ353" s="243"/>
      <c r="AK353" s="243"/>
      <c r="AL353" s="243"/>
      <c r="AM353" s="243"/>
      <c r="AN353" s="243"/>
      <c r="AO353" s="243"/>
      <c r="AP353" s="243"/>
      <c r="AQ353" s="243"/>
      <c r="AR353" s="243"/>
      <c r="AS353" s="243"/>
      <c r="AT353" s="243"/>
    </row>
    <row r="354" spans="1:46" ht="12.75" x14ac:dyDescent="0.2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3"/>
      <c r="AI354" s="243"/>
      <c r="AJ354" s="243"/>
      <c r="AK354" s="243"/>
      <c r="AL354" s="243"/>
      <c r="AM354" s="243"/>
      <c r="AN354" s="243"/>
      <c r="AO354" s="243"/>
      <c r="AP354" s="243"/>
      <c r="AQ354" s="243"/>
      <c r="AR354" s="243"/>
      <c r="AS354" s="243"/>
      <c r="AT354" s="243"/>
    </row>
    <row r="355" spans="1:46" ht="12.75" x14ac:dyDescent="0.2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3"/>
      <c r="AI355" s="243"/>
      <c r="AJ355" s="243"/>
      <c r="AK355" s="243"/>
      <c r="AL355" s="243"/>
      <c r="AM355" s="243"/>
      <c r="AN355" s="243"/>
      <c r="AO355" s="243"/>
      <c r="AP355" s="243"/>
      <c r="AQ355" s="243"/>
      <c r="AR355" s="243"/>
      <c r="AS355" s="243"/>
      <c r="AT355" s="243"/>
    </row>
    <row r="356" spans="1:46" ht="12.75" x14ac:dyDescent="0.2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243"/>
      <c r="AR356" s="243"/>
      <c r="AS356" s="243"/>
      <c r="AT356" s="243"/>
    </row>
    <row r="357" spans="1:46" ht="12.75" x14ac:dyDescent="0.2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243"/>
      <c r="AR357" s="243"/>
      <c r="AS357" s="243"/>
      <c r="AT357" s="243"/>
    </row>
    <row r="358" spans="1:46" ht="12.75" x14ac:dyDescent="0.2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3"/>
      <c r="AI358" s="243"/>
      <c r="AJ358" s="243"/>
      <c r="AK358" s="243"/>
      <c r="AL358" s="243"/>
      <c r="AM358" s="243"/>
      <c r="AN358" s="243"/>
      <c r="AO358" s="243"/>
      <c r="AP358" s="243"/>
      <c r="AQ358" s="243"/>
      <c r="AR358" s="243"/>
      <c r="AS358" s="243"/>
      <c r="AT358" s="243"/>
    </row>
    <row r="359" spans="1:46" ht="12.75" x14ac:dyDescent="0.2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  <c r="AH359" s="243"/>
      <c r="AI359" s="243"/>
      <c r="AJ359" s="243"/>
      <c r="AK359" s="243"/>
      <c r="AL359" s="243"/>
      <c r="AM359" s="243"/>
      <c r="AN359" s="243"/>
      <c r="AO359" s="243"/>
      <c r="AP359" s="243"/>
      <c r="AQ359" s="243"/>
      <c r="AR359" s="243"/>
      <c r="AS359" s="243"/>
      <c r="AT359" s="243"/>
    </row>
    <row r="360" spans="1:46" ht="12.75" x14ac:dyDescent="0.2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  <c r="AH360" s="243"/>
      <c r="AI360" s="243"/>
      <c r="AJ360" s="243"/>
      <c r="AK360" s="243"/>
      <c r="AL360" s="243"/>
      <c r="AM360" s="243"/>
      <c r="AN360" s="243"/>
      <c r="AO360" s="243"/>
      <c r="AP360" s="243"/>
      <c r="AQ360" s="243"/>
      <c r="AR360" s="243"/>
      <c r="AS360" s="243"/>
      <c r="AT360" s="243"/>
    </row>
    <row r="361" spans="1:46" ht="12.75" x14ac:dyDescent="0.2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  <c r="AH361" s="243"/>
      <c r="AI361" s="243"/>
      <c r="AJ361" s="243"/>
      <c r="AK361" s="243"/>
      <c r="AL361" s="243"/>
      <c r="AM361" s="243"/>
      <c r="AN361" s="243"/>
      <c r="AO361" s="243"/>
      <c r="AP361" s="243"/>
      <c r="AQ361" s="243"/>
      <c r="AR361" s="243"/>
      <c r="AS361" s="243"/>
      <c r="AT361" s="243"/>
    </row>
    <row r="362" spans="1:46" ht="12.75" x14ac:dyDescent="0.2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  <c r="AH362" s="243"/>
      <c r="AI362" s="243"/>
      <c r="AJ362" s="243"/>
      <c r="AK362" s="243"/>
      <c r="AL362" s="243"/>
      <c r="AM362" s="243"/>
      <c r="AN362" s="243"/>
      <c r="AO362" s="243"/>
      <c r="AP362" s="243"/>
      <c r="AQ362" s="243"/>
      <c r="AR362" s="243"/>
      <c r="AS362" s="243"/>
      <c r="AT362" s="243"/>
    </row>
    <row r="363" spans="1:46" ht="12.75" x14ac:dyDescent="0.2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  <c r="AH363" s="243"/>
      <c r="AI363" s="243"/>
      <c r="AJ363" s="243"/>
      <c r="AK363" s="243"/>
      <c r="AL363" s="243"/>
      <c r="AM363" s="243"/>
      <c r="AN363" s="243"/>
      <c r="AO363" s="243"/>
      <c r="AP363" s="243"/>
      <c r="AQ363" s="243"/>
      <c r="AR363" s="243"/>
      <c r="AS363" s="243"/>
      <c r="AT363" s="243"/>
    </row>
    <row r="364" spans="1:46" ht="12.75" x14ac:dyDescent="0.2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  <c r="AH364" s="243"/>
      <c r="AI364" s="243"/>
      <c r="AJ364" s="243"/>
      <c r="AK364" s="243"/>
      <c r="AL364" s="243"/>
      <c r="AM364" s="243"/>
      <c r="AN364" s="243"/>
      <c r="AO364" s="243"/>
      <c r="AP364" s="243"/>
      <c r="AQ364" s="243"/>
      <c r="AR364" s="243"/>
      <c r="AS364" s="243"/>
      <c r="AT364" s="243"/>
    </row>
    <row r="365" spans="1:46" ht="12.75" x14ac:dyDescent="0.2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3"/>
      <c r="Z365" s="243"/>
      <c r="AA365" s="243"/>
      <c r="AB365" s="243"/>
      <c r="AC365" s="243"/>
      <c r="AD365" s="243"/>
      <c r="AE365" s="243"/>
      <c r="AF365" s="243"/>
      <c r="AG365" s="243"/>
      <c r="AH365" s="243"/>
      <c r="AI365" s="243"/>
      <c r="AJ365" s="243"/>
      <c r="AK365" s="243"/>
      <c r="AL365" s="243"/>
      <c r="AM365" s="243"/>
      <c r="AN365" s="243"/>
      <c r="AO365" s="243"/>
      <c r="AP365" s="243"/>
      <c r="AQ365" s="243"/>
      <c r="AR365" s="243"/>
      <c r="AS365" s="243"/>
      <c r="AT365" s="243"/>
    </row>
    <row r="366" spans="1:46" ht="12.75" x14ac:dyDescent="0.2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3"/>
      <c r="AG366" s="243"/>
      <c r="AH366" s="243"/>
      <c r="AI366" s="243"/>
      <c r="AJ366" s="243"/>
      <c r="AK366" s="243"/>
      <c r="AL366" s="243"/>
      <c r="AM366" s="243"/>
      <c r="AN366" s="243"/>
      <c r="AO366" s="243"/>
      <c r="AP366" s="243"/>
      <c r="AQ366" s="243"/>
      <c r="AR366" s="243"/>
      <c r="AS366" s="243"/>
      <c r="AT366" s="243"/>
    </row>
    <row r="367" spans="1:46" ht="12.75" x14ac:dyDescent="0.2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3"/>
      <c r="AG367" s="243"/>
      <c r="AH367" s="243"/>
      <c r="AI367" s="243"/>
      <c r="AJ367" s="243"/>
      <c r="AK367" s="243"/>
      <c r="AL367" s="243"/>
      <c r="AM367" s="243"/>
      <c r="AN367" s="243"/>
      <c r="AO367" s="243"/>
      <c r="AP367" s="243"/>
      <c r="AQ367" s="243"/>
      <c r="AR367" s="243"/>
      <c r="AS367" s="243"/>
      <c r="AT367" s="243"/>
    </row>
    <row r="368" spans="1:46" ht="12.75" x14ac:dyDescent="0.2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  <c r="AA368" s="243"/>
      <c r="AB368" s="243"/>
      <c r="AC368" s="243"/>
      <c r="AD368" s="243"/>
      <c r="AE368" s="243"/>
      <c r="AF368" s="243"/>
      <c r="AG368" s="243"/>
      <c r="AH368" s="243"/>
      <c r="AI368" s="243"/>
      <c r="AJ368" s="243"/>
      <c r="AK368" s="243"/>
      <c r="AL368" s="243"/>
      <c r="AM368" s="243"/>
      <c r="AN368" s="243"/>
      <c r="AO368" s="243"/>
      <c r="AP368" s="243"/>
      <c r="AQ368" s="243"/>
      <c r="AR368" s="243"/>
      <c r="AS368" s="243"/>
      <c r="AT368" s="243"/>
    </row>
    <row r="369" spans="1:46" ht="12.75" x14ac:dyDescent="0.2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  <c r="AA369" s="243"/>
      <c r="AB369" s="243"/>
      <c r="AC369" s="243"/>
      <c r="AD369" s="243"/>
      <c r="AE369" s="243"/>
      <c r="AF369" s="243"/>
      <c r="AG369" s="243"/>
      <c r="AH369" s="243"/>
      <c r="AI369" s="243"/>
      <c r="AJ369" s="243"/>
      <c r="AK369" s="243"/>
      <c r="AL369" s="243"/>
      <c r="AM369" s="243"/>
      <c r="AN369" s="243"/>
      <c r="AO369" s="243"/>
      <c r="AP369" s="243"/>
      <c r="AQ369" s="243"/>
      <c r="AR369" s="243"/>
      <c r="AS369" s="243"/>
      <c r="AT369" s="243"/>
    </row>
    <row r="370" spans="1:46" ht="12.75" x14ac:dyDescent="0.2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  <c r="AA370" s="243"/>
      <c r="AB370" s="243"/>
      <c r="AC370" s="243"/>
      <c r="AD370" s="243"/>
      <c r="AE370" s="243"/>
      <c r="AF370" s="243"/>
      <c r="AG370" s="243"/>
      <c r="AH370" s="243"/>
      <c r="AI370" s="243"/>
      <c r="AJ370" s="243"/>
      <c r="AK370" s="243"/>
      <c r="AL370" s="243"/>
      <c r="AM370" s="243"/>
      <c r="AN370" s="243"/>
      <c r="AO370" s="243"/>
      <c r="AP370" s="243"/>
      <c r="AQ370" s="243"/>
      <c r="AR370" s="243"/>
      <c r="AS370" s="243"/>
      <c r="AT370" s="243"/>
    </row>
    <row r="371" spans="1:46" ht="12.75" x14ac:dyDescent="0.2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  <c r="AA371" s="243"/>
      <c r="AB371" s="243"/>
      <c r="AC371" s="243"/>
      <c r="AD371" s="243"/>
      <c r="AE371" s="243"/>
      <c r="AF371" s="243"/>
      <c r="AG371" s="243"/>
      <c r="AH371" s="243"/>
      <c r="AI371" s="243"/>
      <c r="AJ371" s="243"/>
      <c r="AK371" s="243"/>
      <c r="AL371" s="243"/>
      <c r="AM371" s="243"/>
      <c r="AN371" s="243"/>
      <c r="AO371" s="243"/>
      <c r="AP371" s="243"/>
      <c r="AQ371" s="243"/>
      <c r="AR371" s="243"/>
      <c r="AS371" s="243"/>
      <c r="AT371" s="243"/>
    </row>
    <row r="372" spans="1:46" ht="12.75" x14ac:dyDescent="0.2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  <c r="AA372" s="243"/>
      <c r="AB372" s="243"/>
      <c r="AC372" s="243"/>
      <c r="AD372" s="243"/>
      <c r="AE372" s="243"/>
      <c r="AF372" s="243"/>
      <c r="AG372" s="243"/>
      <c r="AH372" s="243"/>
      <c r="AI372" s="243"/>
      <c r="AJ372" s="243"/>
      <c r="AK372" s="243"/>
      <c r="AL372" s="243"/>
      <c r="AM372" s="243"/>
      <c r="AN372" s="243"/>
      <c r="AO372" s="243"/>
      <c r="AP372" s="243"/>
      <c r="AQ372" s="243"/>
      <c r="AR372" s="243"/>
      <c r="AS372" s="243"/>
      <c r="AT372" s="243"/>
    </row>
    <row r="373" spans="1:46" ht="12.75" x14ac:dyDescent="0.2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  <c r="AA373" s="243"/>
      <c r="AB373" s="243"/>
      <c r="AC373" s="243"/>
      <c r="AD373" s="243"/>
      <c r="AE373" s="243"/>
      <c r="AF373" s="243"/>
      <c r="AG373" s="243"/>
      <c r="AH373" s="243"/>
      <c r="AI373" s="243"/>
      <c r="AJ373" s="243"/>
      <c r="AK373" s="243"/>
      <c r="AL373" s="243"/>
      <c r="AM373" s="243"/>
      <c r="AN373" s="243"/>
      <c r="AO373" s="243"/>
      <c r="AP373" s="243"/>
      <c r="AQ373" s="243"/>
      <c r="AR373" s="243"/>
      <c r="AS373" s="243"/>
      <c r="AT373" s="243"/>
    </row>
    <row r="374" spans="1:46" ht="12.75" x14ac:dyDescent="0.2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  <c r="AA374" s="243"/>
      <c r="AB374" s="243"/>
      <c r="AC374" s="243"/>
      <c r="AD374" s="243"/>
      <c r="AE374" s="243"/>
      <c r="AF374" s="243"/>
      <c r="AG374" s="243"/>
      <c r="AH374" s="243"/>
      <c r="AI374" s="243"/>
      <c r="AJ374" s="243"/>
      <c r="AK374" s="243"/>
      <c r="AL374" s="243"/>
      <c r="AM374" s="243"/>
      <c r="AN374" s="243"/>
      <c r="AO374" s="243"/>
      <c r="AP374" s="243"/>
      <c r="AQ374" s="243"/>
      <c r="AR374" s="243"/>
      <c r="AS374" s="243"/>
      <c r="AT374" s="243"/>
    </row>
    <row r="375" spans="1:46" ht="12.75" x14ac:dyDescent="0.2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  <c r="AH375" s="243"/>
      <c r="AI375" s="243"/>
      <c r="AJ375" s="243"/>
      <c r="AK375" s="243"/>
      <c r="AL375" s="243"/>
      <c r="AM375" s="243"/>
      <c r="AN375" s="243"/>
      <c r="AO375" s="243"/>
      <c r="AP375" s="243"/>
      <c r="AQ375" s="243"/>
      <c r="AR375" s="243"/>
      <c r="AS375" s="243"/>
      <c r="AT375" s="243"/>
    </row>
    <row r="376" spans="1:46" ht="12.75" x14ac:dyDescent="0.2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  <c r="AA376" s="243"/>
      <c r="AB376" s="243"/>
      <c r="AC376" s="243"/>
      <c r="AD376" s="243"/>
      <c r="AE376" s="243"/>
      <c r="AF376" s="243"/>
      <c r="AG376" s="243"/>
      <c r="AH376" s="243"/>
      <c r="AI376" s="243"/>
      <c r="AJ376" s="243"/>
      <c r="AK376" s="243"/>
      <c r="AL376" s="243"/>
      <c r="AM376" s="243"/>
      <c r="AN376" s="243"/>
      <c r="AO376" s="243"/>
      <c r="AP376" s="243"/>
      <c r="AQ376" s="243"/>
      <c r="AR376" s="243"/>
      <c r="AS376" s="243"/>
      <c r="AT376" s="243"/>
    </row>
    <row r="377" spans="1:46" ht="12.75" x14ac:dyDescent="0.2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  <c r="AA377" s="243"/>
      <c r="AB377" s="243"/>
      <c r="AC377" s="243"/>
      <c r="AD377" s="243"/>
      <c r="AE377" s="243"/>
      <c r="AF377" s="243"/>
      <c r="AG377" s="243"/>
      <c r="AH377" s="243"/>
      <c r="AI377" s="243"/>
      <c r="AJ377" s="243"/>
      <c r="AK377" s="243"/>
      <c r="AL377" s="243"/>
      <c r="AM377" s="243"/>
      <c r="AN377" s="243"/>
      <c r="AO377" s="243"/>
      <c r="AP377" s="243"/>
      <c r="AQ377" s="243"/>
      <c r="AR377" s="243"/>
      <c r="AS377" s="243"/>
      <c r="AT377" s="243"/>
    </row>
    <row r="378" spans="1:46" ht="12.75" x14ac:dyDescent="0.2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  <c r="AA378" s="243"/>
      <c r="AB378" s="243"/>
      <c r="AC378" s="243"/>
      <c r="AD378" s="243"/>
      <c r="AE378" s="243"/>
      <c r="AF378" s="243"/>
      <c r="AG378" s="243"/>
      <c r="AH378" s="243"/>
      <c r="AI378" s="243"/>
      <c r="AJ378" s="243"/>
      <c r="AK378" s="243"/>
      <c r="AL378" s="243"/>
      <c r="AM378" s="243"/>
      <c r="AN378" s="243"/>
      <c r="AO378" s="243"/>
      <c r="AP378" s="243"/>
      <c r="AQ378" s="243"/>
      <c r="AR378" s="243"/>
      <c r="AS378" s="243"/>
      <c r="AT378" s="243"/>
    </row>
    <row r="379" spans="1:46" ht="12.75" x14ac:dyDescent="0.2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  <c r="AH379" s="243"/>
      <c r="AI379" s="243"/>
      <c r="AJ379" s="243"/>
      <c r="AK379" s="243"/>
      <c r="AL379" s="243"/>
      <c r="AM379" s="243"/>
      <c r="AN379" s="243"/>
      <c r="AO379" s="243"/>
      <c r="AP379" s="243"/>
      <c r="AQ379" s="243"/>
      <c r="AR379" s="243"/>
      <c r="AS379" s="243"/>
      <c r="AT379" s="243"/>
    </row>
    <row r="380" spans="1:46" ht="12.75" x14ac:dyDescent="0.2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  <c r="AH380" s="243"/>
      <c r="AI380" s="243"/>
      <c r="AJ380" s="243"/>
      <c r="AK380" s="243"/>
      <c r="AL380" s="243"/>
      <c r="AM380" s="243"/>
      <c r="AN380" s="243"/>
      <c r="AO380" s="243"/>
      <c r="AP380" s="243"/>
      <c r="AQ380" s="243"/>
      <c r="AR380" s="243"/>
      <c r="AS380" s="243"/>
      <c r="AT380" s="243"/>
    </row>
    <row r="381" spans="1:46" ht="12.75" x14ac:dyDescent="0.2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  <c r="AA381" s="243"/>
      <c r="AB381" s="243"/>
      <c r="AC381" s="243"/>
      <c r="AD381" s="243"/>
      <c r="AE381" s="243"/>
      <c r="AF381" s="243"/>
      <c r="AG381" s="243"/>
      <c r="AH381" s="243"/>
      <c r="AI381" s="243"/>
      <c r="AJ381" s="243"/>
      <c r="AK381" s="243"/>
      <c r="AL381" s="243"/>
      <c r="AM381" s="243"/>
      <c r="AN381" s="243"/>
      <c r="AO381" s="243"/>
      <c r="AP381" s="243"/>
      <c r="AQ381" s="243"/>
      <c r="AR381" s="243"/>
      <c r="AS381" s="243"/>
      <c r="AT381" s="243"/>
    </row>
    <row r="382" spans="1:46" ht="12.75" x14ac:dyDescent="0.2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  <c r="AA382" s="243"/>
      <c r="AB382" s="243"/>
      <c r="AC382" s="243"/>
      <c r="AD382" s="243"/>
      <c r="AE382" s="243"/>
      <c r="AF382" s="243"/>
      <c r="AG382" s="243"/>
      <c r="AH382" s="243"/>
      <c r="AI382" s="243"/>
      <c r="AJ382" s="243"/>
      <c r="AK382" s="243"/>
      <c r="AL382" s="243"/>
      <c r="AM382" s="243"/>
      <c r="AN382" s="243"/>
      <c r="AO382" s="243"/>
      <c r="AP382" s="243"/>
      <c r="AQ382" s="243"/>
      <c r="AR382" s="243"/>
      <c r="AS382" s="243"/>
      <c r="AT382" s="243"/>
    </row>
    <row r="383" spans="1:46" ht="12.75" x14ac:dyDescent="0.2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  <c r="AA383" s="243"/>
      <c r="AB383" s="243"/>
      <c r="AC383" s="243"/>
      <c r="AD383" s="243"/>
      <c r="AE383" s="243"/>
      <c r="AF383" s="243"/>
      <c r="AG383" s="243"/>
      <c r="AH383" s="243"/>
      <c r="AI383" s="243"/>
      <c r="AJ383" s="243"/>
      <c r="AK383" s="243"/>
      <c r="AL383" s="243"/>
      <c r="AM383" s="243"/>
      <c r="AN383" s="243"/>
      <c r="AO383" s="243"/>
      <c r="AP383" s="243"/>
      <c r="AQ383" s="243"/>
      <c r="AR383" s="243"/>
      <c r="AS383" s="243"/>
      <c r="AT383" s="243"/>
    </row>
    <row r="384" spans="1:46" ht="12.75" x14ac:dyDescent="0.2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  <c r="AA384" s="243"/>
      <c r="AB384" s="243"/>
      <c r="AC384" s="243"/>
      <c r="AD384" s="243"/>
      <c r="AE384" s="243"/>
      <c r="AF384" s="243"/>
      <c r="AG384" s="243"/>
      <c r="AH384" s="243"/>
      <c r="AI384" s="243"/>
      <c r="AJ384" s="243"/>
      <c r="AK384" s="243"/>
      <c r="AL384" s="243"/>
      <c r="AM384" s="243"/>
      <c r="AN384" s="243"/>
      <c r="AO384" s="243"/>
      <c r="AP384" s="243"/>
      <c r="AQ384" s="243"/>
      <c r="AR384" s="243"/>
      <c r="AS384" s="243"/>
      <c r="AT384" s="243"/>
    </row>
    <row r="385" spans="1:46" ht="12.75" x14ac:dyDescent="0.2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  <c r="AA385" s="243"/>
      <c r="AB385" s="243"/>
      <c r="AC385" s="243"/>
      <c r="AD385" s="243"/>
      <c r="AE385" s="243"/>
      <c r="AF385" s="243"/>
      <c r="AG385" s="243"/>
      <c r="AH385" s="243"/>
      <c r="AI385" s="243"/>
      <c r="AJ385" s="243"/>
      <c r="AK385" s="243"/>
      <c r="AL385" s="243"/>
      <c r="AM385" s="243"/>
      <c r="AN385" s="243"/>
      <c r="AO385" s="243"/>
      <c r="AP385" s="243"/>
      <c r="AQ385" s="243"/>
      <c r="AR385" s="243"/>
      <c r="AS385" s="243"/>
      <c r="AT385" s="243"/>
    </row>
    <row r="386" spans="1:46" ht="12.75" x14ac:dyDescent="0.2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  <c r="AA386" s="243"/>
      <c r="AB386" s="243"/>
      <c r="AC386" s="243"/>
      <c r="AD386" s="243"/>
      <c r="AE386" s="243"/>
      <c r="AF386" s="243"/>
      <c r="AG386" s="243"/>
      <c r="AH386" s="243"/>
      <c r="AI386" s="243"/>
      <c r="AJ386" s="243"/>
      <c r="AK386" s="243"/>
      <c r="AL386" s="243"/>
      <c r="AM386" s="243"/>
      <c r="AN386" s="243"/>
      <c r="AO386" s="243"/>
      <c r="AP386" s="243"/>
      <c r="AQ386" s="243"/>
      <c r="AR386" s="243"/>
      <c r="AS386" s="243"/>
      <c r="AT386" s="243"/>
    </row>
    <row r="387" spans="1:46" ht="12.75" x14ac:dyDescent="0.2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  <c r="AA387" s="243"/>
      <c r="AB387" s="243"/>
      <c r="AC387" s="243"/>
      <c r="AD387" s="243"/>
      <c r="AE387" s="243"/>
      <c r="AF387" s="243"/>
      <c r="AG387" s="243"/>
      <c r="AH387" s="243"/>
      <c r="AI387" s="243"/>
      <c r="AJ387" s="243"/>
      <c r="AK387" s="243"/>
      <c r="AL387" s="243"/>
      <c r="AM387" s="243"/>
      <c r="AN387" s="243"/>
      <c r="AO387" s="243"/>
      <c r="AP387" s="243"/>
      <c r="AQ387" s="243"/>
      <c r="AR387" s="243"/>
      <c r="AS387" s="243"/>
      <c r="AT387" s="243"/>
    </row>
    <row r="388" spans="1:46" ht="12.75" x14ac:dyDescent="0.2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  <c r="AA388" s="243"/>
      <c r="AB388" s="243"/>
      <c r="AC388" s="243"/>
      <c r="AD388" s="243"/>
      <c r="AE388" s="243"/>
      <c r="AF388" s="243"/>
      <c r="AG388" s="243"/>
      <c r="AH388" s="243"/>
      <c r="AI388" s="243"/>
      <c r="AJ388" s="243"/>
      <c r="AK388" s="243"/>
      <c r="AL388" s="243"/>
      <c r="AM388" s="243"/>
      <c r="AN388" s="243"/>
      <c r="AO388" s="243"/>
      <c r="AP388" s="243"/>
      <c r="AQ388" s="243"/>
      <c r="AR388" s="243"/>
      <c r="AS388" s="243"/>
      <c r="AT388" s="243"/>
    </row>
    <row r="389" spans="1:46" ht="12.75" x14ac:dyDescent="0.2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  <c r="AA389" s="243"/>
      <c r="AB389" s="243"/>
      <c r="AC389" s="243"/>
      <c r="AD389" s="243"/>
      <c r="AE389" s="243"/>
      <c r="AF389" s="243"/>
      <c r="AG389" s="243"/>
      <c r="AH389" s="243"/>
      <c r="AI389" s="243"/>
      <c r="AJ389" s="243"/>
      <c r="AK389" s="243"/>
      <c r="AL389" s="243"/>
      <c r="AM389" s="243"/>
      <c r="AN389" s="243"/>
      <c r="AO389" s="243"/>
      <c r="AP389" s="243"/>
      <c r="AQ389" s="243"/>
      <c r="AR389" s="243"/>
      <c r="AS389" s="243"/>
      <c r="AT389" s="243"/>
    </row>
    <row r="390" spans="1:46" ht="12.75" x14ac:dyDescent="0.2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  <c r="AH390" s="243"/>
      <c r="AI390" s="243"/>
      <c r="AJ390" s="243"/>
      <c r="AK390" s="243"/>
      <c r="AL390" s="243"/>
      <c r="AM390" s="243"/>
      <c r="AN390" s="243"/>
      <c r="AO390" s="243"/>
      <c r="AP390" s="243"/>
      <c r="AQ390" s="243"/>
      <c r="AR390" s="243"/>
      <c r="AS390" s="243"/>
      <c r="AT390" s="243"/>
    </row>
    <row r="391" spans="1:46" ht="12.75" x14ac:dyDescent="0.2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  <c r="AH391" s="243"/>
      <c r="AI391" s="243"/>
      <c r="AJ391" s="243"/>
      <c r="AK391" s="243"/>
      <c r="AL391" s="243"/>
      <c r="AM391" s="243"/>
      <c r="AN391" s="243"/>
      <c r="AO391" s="243"/>
      <c r="AP391" s="243"/>
      <c r="AQ391" s="243"/>
      <c r="AR391" s="243"/>
      <c r="AS391" s="243"/>
      <c r="AT391" s="243"/>
    </row>
    <row r="392" spans="1:46" ht="12.75" x14ac:dyDescent="0.2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  <c r="AA392" s="243"/>
      <c r="AB392" s="243"/>
      <c r="AC392" s="243"/>
      <c r="AD392" s="243"/>
      <c r="AE392" s="243"/>
      <c r="AF392" s="243"/>
      <c r="AG392" s="243"/>
      <c r="AH392" s="243"/>
      <c r="AI392" s="243"/>
      <c r="AJ392" s="243"/>
      <c r="AK392" s="243"/>
      <c r="AL392" s="243"/>
      <c r="AM392" s="243"/>
      <c r="AN392" s="243"/>
      <c r="AO392" s="243"/>
      <c r="AP392" s="243"/>
      <c r="AQ392" s="243"/>
      <c r="AR392" s="243"/>
      <c r="AS392" s="243"/>
      <c r="AT392" s="243"/>
    </row>
    <row r="393" spans="1:46" ht="12.75" x14ac:dyDescent="0.2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  <c r="AA393" s="243"/>
      <c r="AB393" s="243"/>
      <c r="AC393" s="243"/>
      <c r="AD393" s="243"/>
      <c r="AE393" s="243"/>
      <c r="AF393" s="243"/>
      <c r="AG393" s="243"/>
      <c r="AH393" s="243"/>
      <c r="AI393" s="243"/>
      <c r="AJ393" s="243"/>
      <c r="AK393" s="243"/>
      <c r="AL393" s="243"/>
      <c r="AM393" s="243"/>
      <c r="AN393" s="243"/>
      <c r="AO393" s="243"/>
      <c r="AP393" s="243"/>
      <c r="AQ393" s="243"/>
      <c r="AR393" s="243"/>
      <c r="AS393" s="243"/>
      <c r="AT393" s="243"/>
    </row>
    <row r="394" spans="1:46" ht="12.75" x14ac:dyDescent="0.2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  <c r="AA394" s="243"/>
      <c r="AB394" s="243"/>
      <c r="AC394" s="243"/>
      <c r="AD394" s="243"/>
      <c r="AE394" s="243"/>
      <c r="AF394" s="243"/>
      <c r="AG394" s="243"/>
      <c r="AH394" s="243"/>
      <c r="AI394" s="243"/>
      <c r="AJ394" s="243"/>
      <c r="AK394" s="243"/>
      <c r="AL394" s="243"/>
      <c r="AM394" s="243"/>
      <c r="AN394" s="243"/>
      <c r="AO394" s="243"/>
      <c r="AP394" s="243"/>
      <c r="AQ394" s="243"/>
      <c r="AR394" s="243"/>
      <c r="AS394" s="243"/>
      <c r="AT394" s="243"/>
    </row>
    <row r="395" spans="1:46" ht="12.75" x14ac:dyDescent="0.2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3"/>
      <c r="Z395" s="243"/>
      <c r="AA395" s="243"/>
      <c r="AB395" s="243"/>
      <c r="AC395" s="243"/>
      <c r="AD395" s="243"/>
      <c r="AE395" s="243"/>
      <c r="AF395" s="243"/>
      <c r="AG395" s="243"/>
      <c r="AH395" s="243"/>
      <c r="AI395" s="243"/>
      <c r="AJ395" s="243"/>
      <c r="AK395" s="243"/>
      <c r="AL395" s="243"/>
      <c r="AM395" s="243"/>
      <c r="AN395" s="243"/>
      <c r="AO395" s="243"/>
      <c r="AP395" s="243"/>
      <c r="AQ395" s="243"/>
      <c r="AR395" s="243"/>
      <c r="AS395" s="243"/>
      <c r="AT395" s="243"/>
    </row>
    <row r="396" spans="1:46" ht="12.75" x14ac:dyDescent="0.2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3"/>
      <c r="Z396" s="243"/>
      <c r="AA396" s="243"/>
      <c r="AB396" s="243"/>
      <c r="AC396" s="243"/>
      <c r="AD396" s="243"/>
      <c r="AE396" s="243"/>
      <c r="AF396" s="243"/>
      <c r="AG396" s="243"/>
      <c r="AH396" s="243"/>
      <c r="AI396" s="243"/>
      <c r="AJ396" s="243"/>
      <c r="AK396" s="243"/>
      <c r="AL396" s="243"/>
      <c r="AM396" s="243"/>
      <c r="AN396" s="243"/>
      <c r="AO396" s="243"/>
      <c r="AP396" s="243"/>
      <c r="AQ396" s="243"/>
      <c r="AR396" s="243"/>
      <c r="AS396" s="243"/>
      <c r="AT396" s="243"/>
    </row>
    <row r="397" spans="1:46" ht="12.75" x14ac:dyDescent="0.2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3"/>
      <c r="Z397" s="243"/>
      <c r="AA397" s="243"/>
      <c r="AB397" s="243"/>
      <c r="AC397" s="243"/>
      <c r="AD397" s="243"/>
      <c r="AE397" s="243"/>
      <c r="AF397" s="243"/>
      <c r="AG397" s="243"/>
      <c r="AH397" s="243"/>
      <c r="AI397" s="243"/>
      <c r="AJ397" s="243"/>
      <c r="AK397" s="243"/>
      <c r="AL397" s="243"/>
      <c r="AM397" s="243"/>
      <c r="AN397" s="243"/>
      <c r="AO397" s="243"/>
      <c r="AP397" s="243"/>
      <c r="AQ397" s="243"/>
      <c r="AR397" s="243"/>
      <c r="AS397" s="243"/>
      <c r="AT397" s="243"/>
    </row>
    <row r="398" spans="1:46" ht="12.75" x14ac:dyDescent="0.2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</row>
    <row r="399" spans="1:46" ht="12.75" x14ac:dyDescent="0.2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3"/>
      <c r="Z399" s="243"/>
      <c r="AA399" s="243"/>
      <c r="AB399" s="243"/>
      <c r="AC399" s="243"/>
      <c r="AD399" s="243"/>
      <c r="AE399" s="243"/>
      <c r="AF399" s="243"/>
      <c r="AG399" s="243"/>
      <c r="AH399" s="243"/>
      <c r="AI399" s="243"/>
      <c r="AJ399" s="243"/>
      <c r="AK399" s="243"/>
      <c r="AL399" s="243"/>
      <c r="AM399" s="243"/>
      <c r="AN399" s="243"/>
      <c r="AO399" s="243"/>
      <c r="AP399" s="243"/>
      <c r="AQ399" s="243"/>
      <c r="AR399" s="243"/>
      <c r="AS399" s="243"/>
      <c r="AT399" s="243"/>
    </row>
    <row r="400" spans="1:46" ht="12.75" x14ac:dyDescent="0.2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  <c r="AA400" s="243"/>
      <c r="AB400" s="243"/>
      <c r="AC400" s="243"/>
      <c r="AD400" s="243"/>
      <c r="AE400" s="243"/>
      <c r="AF400" s="243"/>
      <c r="AG400" s="243"/>
      <c r="AH400" s="243"/>
      <c r="AI400" s="243"/>
      <c r="AJ400" s="243"/>
      <c r="AK400" s="243"/>
      <c r="AL400" s="243"/>
      <c r="AM400" s="243"/>
      <c r="AN400" s="243"/>
      <c r="AO400" s="243"/>
      <c r="AP400" s="243"/>
      <c r="AQ400" s="243"/>
      <c r="AR400" s="243"/>
      <c r="AS400" s="243"/>
      <c r="AT400" s="243"/>
    </row>
    <row r="401" spans="1:46" ht="12.75" x14ac:dyDescent="0.2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  <c r="AA401" s="243"/>
      <c r="AB401" s="243"/>
      <c r="AC401" s="243"/>
      <c r="AD401" s="243"/>
      <c r="AE401" s="243"/>
      <c r="AF401" s="243"/>
      <c r="AG401" s="243"/>
      <c r="AH401" s="243"/>
      <c r="AI401" s="243"/>
      <c r="AJ401" s="243"/>
      <c r="AK401" s="243"/>
      <c r="AL401" s="243"/>
      <c r="AM401" s="243"/>
      <c r="AN401" s="243"/>
      <c r="AO401" s="243"/>
      <c r="AP401" s="243"/>
      <c r="AQ401" s="243"/>
      <c r="AR401" s="243"/>
      <c r="AS401" s="243"/>
      <c r="AT401" s="243"/>
    </row>
    <row r="402" spans="1:46" ht="12.75" x14ac:dyDescent="0.2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  <c r="AA402" s="243"/>
      <c r="AB402" s="243"/>
      <c r="AC402" s="243"/>
      <c r="AD402" s="243"/>
      <c r="AE402" s="243"/>
      <c r="AF402" s="243"/>
      <c r="AG402" s="243"/>
      <c r="AH402" s="243"/>
      <c r="AI402" s="243"/>
      <c r="AJ402" s="243"/>
      <c r="AK402" s="243"/>
      <c r="AL402" s="243"/>
      <c r="AM402" s="243"/>
      <c r="AN402" s="243"/>
      <c r="AO402" s="243"/>
      <c r="AP402" s="243"/>
      <c r="AQ402" s="243"/>
      <c r="AR402" s="243"/>
      <c r="AS402" s="243"/>
      <c r="AT402" s="243"/>
    </row>
    <row r="403" spans="1:46" ht="12.75" x14ac:dyDescent="0.2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  <c r="AA403" s="243"/>
      <c r="AB403" s="243"/>
      <c r="AC403" s="243"/>
      <c r="AD403" s="243"/>
      <c r="AE403" s="243"/>
      <c r="AF403" s="243"/>
      <c r="AG403" s="243"/>
      <c r="AH403" s="243"/>
      <c r="AI403" s="243"/>
      <c r="AJ403" s="243"/>
      <c r="AK403" s="243"/>
      <c r="AL403" s="243"/>
      <c r="AM403" s="243"/>
      <c r="AN403" s="243"/>
      <c r="AO403" s="243"/>
      <c r="AP403" s="243"/>
      <c r="AQ403" s="243"/>
      <c r="AR403" s="243"/>
      <c r="AS403" s="243"/>
      <c r="AT403" s="243"/>
    </row>
    <row r="404" spans="1:46" ht="12.75" x14ac:dyDescent="0.2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  <c r="AA404" s="243"/>
      <c r="AB404" s="243"/>
      <c r="AC404" s="243"/>
      <c r="AD404" s="243"/>
      <c r="AE404" s="243"/>
      <c r="AF404" s="243"/>
      <c r="AG404" s="243"/>
      <c r="AH404" s="243"/>
      <c r="AI404" s="243"/>
      <c r="AJ404" s="243"/>
      <c r="AK404" s="243"/>
      <c r="AL404" s="243"/>
      <c r="AM404" s="243"/>
      <c r="AN404" s="243"/>
      <c r="AO404" s="243"/>
      <c r="AP404" s="243"/>
      <c r="AQ404" s="243"/>
      <c r="AR404" s="243"/>
      <c r="AS404" s="243"/>
      <c r="AT404" s="243"/>
    </row>
    <row r="405" spans="1:46" ht="12.75" x14ac:dyDescent="0.2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3"/>
      <c r="Z405" s="243"/>
      <c r="AA405" s="243"/>
      <c r="AB405" s="243"/>
      <c r="AC405" s="243"/>
      <c r="AD405" s="243"/>
      <c r="AE405" s="243"/>
      <c r="AF405" s="243"/>
      <c r="AG405" s="243"/>
      <c r="AH405" s="243"/>
      <c r="AI405" s="243"/>
      <c r="AJ405" s="243"/>
      <c r="AK405" s="243"/>
      <c r="AL405" s="243"/>
      <c r="AM405" s="243"/>
      <c r="AN405" s="243"/>
      <c r="AO405" s="243"/>
      <c r="AP405" s="243"/>
      <c r="AQ405" s="243"/>
      <c r="AR405" s="243"/>
      <c r="AS405" s="243"/>
      <c r="AT405" s="243"/>
    </row>
    <row r="406" spans="1:46" ht="12.75" x14ac:dyDescent="0.2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3"/>
      <c r="Z406" s="243"/>
      <c r="AA406" s="243"/>
      <c r="AB406" s="243"/>
      <c r="AC406" s="243"/>
      <c r="AD406" s="243"/>
      <c r="AE406" s="243"/>
      <c r="AF406" s="243"/>
      <c r="AG406" s="243"/>
      <c r="AH406" s="243"/>
      <c r="AI406" s="243"/>
      <c r="AJ406" s="243"/>
      <c r="AK406" s="243"/>
      <c r="AL406" s="243"/>
      <c r="AM406" s="243"/>
      <c r="AN406" s="243"/>
      <c r="AO406" s="243"/>
      <c r="AP406" s="243"/>
      <c r="AQ406" s="243"/>
      <c r="AR406" s="243"/>
      <c r="AS406" s="243"/>
      <c r="AT406" s="243"/>
    </row>
    <row r="407" spans="1:46" ht="12.75" x14ac:dyDescent="0.2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  <c r="AA407" s="243"/>
      <c r="AB407" s="243"/>
      <c r="AC407" s="243"/>
      <c r="AD407" s="243"/>
      <c r="AE407" s="243"/>
      <c r="AF407" s="243"/>
      <c r="AG407" s="243"/>
      <c r="AH407" s="243"/>
      <c r="AI407" s="243"/>
      <c r="AJ407" s="243"/>
      <c r="AK407" s="243"/>
      <c r="AL407" s="243"/>
      <c r="AM407" s="243"/>
      <c r="AN407" s="243"/>
      <c r="AO407" s="243"/>
      <c r="AP407" s="243"/>
      <c r="AQ407" s="243"/>
      <c r="AR407" s="243"/>
      <c r="AS407" s="243"/>
      <c r="AT407" s="243"/>
    </row>
    <row r="408" spans="1:46" ht="12.75" x14ac:dyDescent="0.2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  <c r="AA408" s="243"/>
      <c r="AB408" s="243"/>
      <c r="AC408" s="243"/>
      <c r="AD408" s="243"/>
      <c r="AE408" s="243"/>
      <c r="AF408" s="243"/>
      <c r="AG408" s="243"/>
      <c r="AH408" s="243"/>
      <c r="AI408" s="243"/>
      <c r="AJ408" s="243"/>
      <c r="AK408" s="243"/>
      <c r="AL408" s="243"/>
      <c r="AM408" s="243"/>
      <c r="AN408" s="243"/>
      <c r="AO408" s="243"/>
      <c r="AP408" s="243"/>
      <c r="AQ408" s="243"/>
      <c r="AR408" s="243"/>
      <c r="AS408" s="243"/>
      <c r="AT408" s="243"/>
    </row>
    <row r="409" spans="1:46" ht="12.75" x14ac:dyDescent="0.2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  <c r="AA409" s="243"/>
      <c r="AB409" s="243"/>
      <c r="AC409" s="243"/>
      <c r="AD409" s="243"/>
      <c r="AE409" s="243"/>
      <c r="AF409" s="243"/>
      <c r="AG409" s="243"/>
      <c r="AH409" s="243"/>
      <c r="AI409" s="243"/>
      <c r="AJ409" s="243"/>
      <c r="AK409" s="243"/>
      <c r="AL409" s="243"/>
      <c r="AM409" s="243"/>
      <c r="AN409" s="243"/>
      <c r="AO409" s="243"/>
      <c r="AP409" s="243"/>
      <c r="AQ409" s="243"/>
      <c r="AR409" s="243"/>
      <c r="AS409" s="243"/>
      <c r="AT409" s="243"/>
    </row>
    <row r="410" spans="1:46" ht="12.75" x14ac:dyDescent="0.2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  <c r="AA410" s="243"/>
      <c r="AB410" s="243"/>
      <c r="AC410" s="243"/>
      <c r="AD410" s="243"/>
      <c r="AE410" s="243"/>
      <c r="AF410" s="243"/>
      <c r="AG410" s="243"/>
      <c r="AH410" s="243"/>
      <c r="AI410" s="243"/>
      <c r="AJ410" s="243"/>
      <c r="AK410" s="243"/>
      <c r="AL410" s="243"/>
      <c r="AM410" s="243"/>
      <c r="AN410" s="243"/>
      <c r="AO410" s="243"/>
      <c r="AP410" s="243"/>
      <c r="AQ410" s="243"/>
      <c r="AR410" s="243"/>
      <c r="AS410" s="243"/>
      <c r="AT410" s="243"/>
    </row>
    <row r="411" spans="1:46" ht="12.75" x14ac:dyDescent="0.2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  <c r="AA411" s="243"/>
      <c r="AB411" s="243"/>
      <c r="AC411" s="243"/>
      <c r="AD411" s="243"/>
      <c r="AE411" s="243"/>
      <c r="AF411" s="243"/>
      <c r="AG411" s="243"/>
      <c r="AH411" s="243"/>
      <c r="AI411" s="243"/>
      <c r="AJ411" s="243"/>
      <c r="AK411" s="243"/>
      <c r="AL411" s="243"/>
      <c r="AM411" s="243"/>
      <c r="AN411" s="243"/>
      <c r="AO411" s="243"/>
      <c r="AP411" s="243"/>
      <c r="AQ411" s="243"/>
      <c r="AR411" s="243"/>
      <c r="AS411" s="243"/>
      <c r="AT411" s="243"/>
    </row>
    <row r="412" spans="1:46" ht="12.75" x14ac:dyDescent="0.2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  <c r="AA412" s="243"/>
      <c r="AB412" s="243"/>
      <c r="AC412" s="243"/>
      <c r="AD412" s="243"/>
      <c r="AE412" s="243"/>
      <c r="AF412" s="243"/>
      <c r="AG412" s="243"/>
      <c r="AH412" s="243"/>
      <c r="AI412" s="243"/>
      <c r="AJ412" s="243"/>
      <c r="AK412" s="243"/>
      <c r="AL412" s="243"/>
      <c r="AM412" s="243"/>
      <c r="AN412" s="243"/>
      <c r="AO412" s="243"/>
      <c r="AP412" s="243"/>
      <c r="AQ412" s="243"/>
      <c r="AR412" s="243"/>
      <c r="AS412" s="243"/>
      <c r="AT412" s="243"/>
    </row>
    <row r="413" spans="1:46" ht="12.75" x14ac:dyDescent="0.2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3"/>
      <c r="Z413" s="243"/>
      <c r="AA413" s="243"/>
      <c r="AB413" s="243"/>
      <c r="AC413" s="243"/>
      <c r="AD413" s="243"/>
      <c r="AE413" s="243"/>
      <c r="AF413" s="243"/>
      <c r="AG413" s="243"/>
      <c r="AH413" s="243"/>
      <c r="AI413" s="243"/>
      <c r="AJ413" s="243"/>
      <c r="AK413" s="243"/>
      <c r="AL413" s="243"/>
      <c r="AM413" s="243"/>
      <c r="AN413" s="243"/>
      <c r="AO413" s="243"/>
      <c r="AP413" s="243"/>
      <c r="AQ413" s="243"/>
      <c r="AR413" s="243"/>
      <c r="AS413" s="243"/>
      <c r="AT413" s="243"/>
    </row>
    <row r="414" spans="1:46" ht="12.75" x14ac:dyDescent="0.2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  <c r="AA414" s="243"/>
      <c r="AB414" s="243"/>
      <c r="AC414" s="243"/>
      <c r="AD414" s="243"/>
      <c r="AE414" s="243"/>
      <c r="AF414" s="243"/>
      <c r="AG414" s="243"/>
      <c r="AH414" s="243"/>
      <c r="AI414" s="243"/>
      <c r="AJ414" s="243"/>
      <c r="AK414" s="243"/>
      <c r="AL414" s="243"/>
      <c r="AM414" s="243"/>
      <c r="AN414" s="243"/>
      <c r="AO414" s="243"/>
      <c r="AP414" s="243"/>
      <c r="AQ414" s="243"/>
      <c r="AR414" s="243"/>
      <c r="AS414" s="243"/>
      <c r="AT414" s="243"/>
    </row>
    <row r="415" spans="1:46" ht="12.75" x14ac:dyDescent="0.2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  <c r="AH415" s="243"/>
      <c r="AI415" s="243"/>
      <c r="AJ415" s="243"/>
      <c r="AK415" s="243"/>
      <c r="AL415" s="243"/>
      <c r="AM415" s="243"/>
      <c r="AN415" s="243"/>
      <c r="AO415" s="243"/>
      <c r="AP415" s="243"/>
      <c r="AQ415" s="243"/>
      <c r="AR415" s="243"/>
      <c r="AS415" s="243"/>
      <c r="AT415" s="243"/>
    </row>
    <row r="416" spans="1:46" ht="12.75" x14ac:dyDescent="0.2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  <c r="AA416" s="243"/>
      <c r="AB416" s="243"/>
      <c r="AC416" s="243"/>
      <c r="AD416" s="243"/>
      <c r="AE416" s="243"/>
      <c r="AF416" s="243"/>
      <c r="AG416" s="243"/>
      <c r="AH416" s="243"/>
      <c r="AI416" s="243"/>
      <c r="AJ416" s="243"/>
      <c r="AK416" s="243"/>
      <c r="AL416" s="243"/>
      <c r="AM416" s="243"/>
      <c r="AN416" s="243"/>
      <c r="AO416" s="243"/>
      <c r="AP416" s="243"/>
      <c r="AQ416" s="243"/>
      <c r="AR416" s="243"/>
      <c r="AS416" s="243"/>
      <c r="AT416" s="243"/>
    </row>
    <row r="417" spans="1:46" ht="12.75" x14ac:dyDescent="0.2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3"/>
      <c r="Z417" s="243"/>
      <c r="AA417" s="243"/>
      <c r="AB417" s="243"/>
      <c r="AC417" s="243"/>
      <c r="AD417" s="243"/>
      <c r="AE417" s="243"/>
      <c r="AF417" s="243"/>
      <c r="AG417" s="243"/>
      <c r="AH417" s="243"/>
      <c r="AI417" s="243"/>
      <c r="AJ417" s="243"/>
      <c r="AK417" s="243"/>
      <c r="AL417" s="243"/>
      <c r="AM417" s="243"/>
      <c r="AN417" s="243"/>
      <c r="AO417" s="243"/>
      <c r="AP417" s="243"/>
      <c r="AQ417" s="243"/>
      <c r="AR417" s="243"/>
      <c r="AS417" s="243"/>
      <c r="AT417" s="243"/>
    </row>
    <row r="418" spans="1:46" ht="12.75" x14ac:dyDescent="0.2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  <c r="AH418" s="243"/>
      <c r="AI418" s="243"/>
      <c r="AJ418" s="243"/>
      <c r="AK418" s="243"/>
      <c r="AL418" s="243"/>
      <c r="AM418" s="243"/>
      <c r="AN418" s="243"/>
      <c r="AO418" s="243"/>
      <c r="AP418" s="243"/>
      <c r="AQ418" s="243"/>
      <c r="AR418" s="243"/>
      <c r="AS418" s="243"/>
      <c r="AT418" s="243"/>
    </row>
    <row r="419" spans="1:46" ht="12.75" x14ac:dyDescent="0.2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  <c r="AH419" s="243"/>
      <c r="AI419" s="243"/>
      <c r="AJ419" s="243"/>
      <c r="AK419" s="243"/>
      <c r="AL419" s="243"/>
      <c r="AM419" s="243"/>
      <c r="AN419" s="243"/>
      <c r="AO419" s="243"/>
      <c r="AP419" s="243"/>
      <c r="AQ419" s="243"/>
      <c r="AR419" s="243"/>
      <c r="AS419" s="243"/>
      <c r="AT419" s="243"/>
    </row>
    <row r="420" spans="1:46" ht="12.75" x14ac:dyDescent="0.2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  <c r="AH420" s="243"/>
      <c r="AI420" s="243"/>
      <c r="AJ420" s="243"/>
      <c r="AK420" s="243"/>
      <c r="AL420" s="243"/>
      <c r="AM420" s="243"/>
      <c r="AN420" s="243"/>
      <c r="AO420" s="243"/>
      <c r="AP420" s="243"/>
      <c r="AQ420" s="243"/>
      <c r="AR420" s="243"/>
      <c r="AS420" s="243"/>
      <c r="AT420" s="243"/>
    </row>
    <row r="421" spans="1:46" ht="12.75" x14ac:dyDescent="0.2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3"/>
      <c r="Z421" s="243"/>
      <c r="AA421" s="243"/>
      <c r="AB421" s="243"/>
      <c r="AC421" s="243"/>
      <c r="AD421" s="243"/>
      <c r="AE421" s="243"/>
      <c r="AF421" s="243"/>
      <c r="AG421" s="243"/>
      <c r="AH421" s="243"/>
      <c r="AI421" s="243"/>
      <c r="AJ421" s="243"/>
      <c r="AK421" s="243"/>
      <c r="AL421" s="243"/>
      <c r="AM421" s="243"/>
      <c r="AN421" s="243"/>
      <c r="AO421" s="243"/>
      <c r="AP421" s="243"/>
      <c r="AQ421" s="243"/>
      <c r="AR421" s="243"/>
      <c r="AS421" s="243"/>
      <c r="AT421" s="243"/>
    </row>
    <row r="422" spans="1:46" ht="12.75" x14ac:dyDescent="0.2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  <c r="AA422" s="243"/>
      <c r="AB422" s="243"/>
      <c r="AC422" s="243"/>
      <c r="AD422" s="243"/>
      <c r="AE422" s="243"/>
      <c r="AF422" s="243"/>
      <c r="AG422" s="243"/>
      <c r="AH422" s="243"/>
      <c r="AI422" s="243"/>
      <c r="AJ422" s="243"/>
      <c r="AK422" s="243"/>
      <c r="AL422" s="243"/>
      <c r="AM422" s="243"/>
      <c r="AN422" s="243"/>
      <c r="AO422" s="243"/>
      <c r="AP422" s="243"/>
      <c r="AQ422" s="243"/>
      <c r="AR422" s="243"/>
      <c r="AS422" s="243"/>
      <c r="AT422" s="243"/>
    </row>
    <row r="423" spans="1:46" ht="12.75" x14ac:dyDescent="0.2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  <c r="AH423" s="243"/>
      <c r="AI423" s="243"/>
      <c r="AJ423" s="243"/>
      <c r="AK423" s="243"/>
      <c r="AL423" s="243"/>
      <c r="AM423" s="243"/>
      <c r="AN423" s="243"/>
      <c r="AO423" s="243"/>
      <c r="AP423" s="243"/>
      <c r="AQ423" s="243"/>
      <c r="AR423" s="243"/>
      <c r="AS423" s="243"/>
      <c r="AT423" s="243"/>
    </row>
    <row r="424" spans="1:46" ht="12.75" x14ac:dyDescent="0.2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3"/>
      <c r="Z424" s="243"/>
      <c r="AA424" s="243"/>
      <c r="AB424" s="243"/>
      <c r="AC424" s="243"/>
      <c r="AD424" s="243"/>
      <c r="AE424" s="243"/>
      <c r="AF424" s="243"/>
      <c r="AG424" s="243"/>
      <c r="AH424" s="243"/>
      <c r="AI424" s="243"/>
      <c r="AJ424" s="243"/>
      <c r="AK424" s="243"/>
      <c r="AL424" s="243"/>
      <c r="AM424" s="243"/>
      <c r="AN424" s="243"/>
      <c r="AO424" s="243"/>
      <c r="AP424" s="243"/>
      <c r="AQ424" s="243"/>
      <c r="AR424" s="243"/>
      <c r="AS424" s="243"/>
      <c r="AT424" s="243"/>
    </row>
    <row r="425" spans="1:46" ht="12.75" x14ac:dyDescent="0.2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3"/>
      <c r="Z425" s="243"/>
      <c r="AA425" s="243"/>
      <c r="AB425" s="243"/>
      <c r="AC425" s="243"/>
      <c r="AD425" s="243"/>
      <c r="AE425" s="243"/>
      <c r="AF425" s="243"/>
      <c r="AG425" s="243"/>
      <c r="AH425" s="243"/>
      <c r="AI425" s="243"/>
      <c r="AJ425" s="243"/>
      <c r="AK425" s="243"/>
      <c r="AL425" s="243"/>
      <c r="AM425" s="243"/>
      <c r="AN425" s="243"/>
      <c r="AO425" s="243"/>
      <c r="AP425" s="243"/>
      <c r="AQ425" s="243"/>
      <c r="AR425" s="243"/>
      <c r="AS425" s="243"/>
      <c r="AT425" s="243"/>
    </row>
    <row r="426" spans="1:46" ht="12.75" x14ac:dyDescent="0.2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3"/>
      <c r="Z426" s="243"/>
      <c r="AA426" s="243"/>
      <c r="AB426" s="243"/>
      <c r="AC426" s="243"/>
      <c r="AD426" s="243"/>
      <c r="AE426" s="243"/>
      <c r="AF426" s="243"/>
      <c r="AG426" s="243"/>
      <c r="AH426" s="243"/>
      <c r="AI426" s="243"/>
      <c r="AJ426" s="243"/>
      <c r="AK426" s="243"/>
      <c r="AL426" s="243"/>
      <c r="AM426" s="243"/>
      <c r="AN426" s="243"/>
      <c r="AO426" s="243"/>
      <c r="AP426" s="243"/>
      <c r="AQ426" s="243"/>
      <c r="AR426" s="243"/>
      <c r="AS426" s="243"/>
      <c r="AT426" s="243"/>
    </row>
    <row r="427" spans="1:46" ht="12.75" x14ac:dyDescent="0.2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3"/>
      <c r="Z427" s="243"/>
      <c r="AA427" s="243"/>
      <c r="AB427" s="243"/>
      <c r="AC427" s="243"/>
      <c r="AD427" s="243"/>
      <c r="AE427" s="243"/>
      <c r="AF427" s="243"/>
      <c r="AG427" s="243"/>
      <c r="AH427" s="243"/>
      <c r="AI427" s="243"/>
      <c r="AJ427" s="243"/>
      <c r="AK427" s="243"/>
      <c r="AL427" s="243"/>
      <c r="AM427" s="243"/>
      <c r="AN427" s="243"/>
      <c r="AO427" s="243"/>
      <c r="AP427" s="243"/>
      <c r="AQ427" s="243"/>
      <c r="AR427" s="243"/>
      <c r="AS427" s="243"/>
      <c r="AT427" s="243"/>
    </row>
    <row r="428" spans="1:46" ht="12.75" x14ac:dyDescent="0.2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3"/>
      <c r="Z428" s="243"/>
      <c r="AA428" s="243"/>
      <c r="AB428" s="243"/>
      <c r="AC428" s="243"/>
      <c r="AD428" s="243"/>
      <c r="AE428" s="243"/>
      <c r="AF428" s="243"/>
      <c r="AG428" s="243"/>
      <c r="AH428" s="243"/>
      <c r="AI428" s="243"/>
      <c r="AJ428" s="243"/>
      <c r="AK428" s="243"/>
      <c r="AL428" s="243"/>
      <c r="AM428" s="243"/>
      <c r="AN428" s="243"/>
      <c r="AO428" s="243"/>
      <c r="AP428" s="243"/>
      <c r="AQ428" s="243"/>
      <c r="AR428" s="243"/>
      <c r="AS428" s="243"/>
      <c r="AT428" s="243"/>
    </row>
    <row r="429" spans="1:46" ht="12.75" x14ac:dyDescent="0.2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  <c r="AH429" s="243"/>
      <c r="AI429" s="243"/>
      <c r="AJ429" s="243"/>
      <c r="AK429" s="243"/>
      <c r="AL429" s="243"/>
      <c r="AM429" s="243"/>
      <c r="AN429" s="243"/>
      <c r="AO429" s="243"/>
      <c r="AP429" s="243"/>
      <c r="AQ429" s="243"/>
      <c r="AR429" s="243"/>
      <c r="AS429" s="243"/>
      <c r="AT429" s="243"/>
    </row>
    <row r="430" spans="1:46" ht="12.75" x14ac:dyDescent="0.2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  <c r="AH430" s="243"/>
      <c r="AI430" s="243"/>
      <c r="AJ430" s="243"/>
      <c r="AK430" s="243"/>
      <c r="AL430" s="243"/>
      <c r="AM430" s="243"/>
      <c r="AN430" s="243"/>
      <c r="AO430" s="243"/>
      <c r="AP430" s="243"/>
      <c r="AQ430" s="243"/>
      <c r="AR430" s="243"/>
      <c r="AS430" s="243"/>
      <c r="AT430" s="243"/>
    </row>
    <row r="431" spans="1:46" ht="12.75" x14ac:dyDescent="0.2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3"/>
      <c r="AI431" s="243"/>
      <c r="AJ431" s="243"/>
      <c r="AK431" s="243"/>
      <c r="AL431" s="243"/>
      <c r="AM431" s="243"/>
      <c r="AN431" s="243"/>
      <c r="AO431" s="243"/>
      <c r="AP431" s="243"/>
      <c r="AQ431" s="243"/>
      <c r="AR431" s="243"/>
      <c r="AS431" s="243"/>
      <c r="AT431" s="243"/>
    </row>
    <row r="432" spans="1:46" ht="12.75" x14ac:dyDescent="0.2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3"/>
      <c r="Z432" s="243"/>
      <c r="AA432" s="243"/>
      <c r="AB432" s="243"/>
      <c r="AC432" s="243"/>
      <c r="AD432" s="243"/>
      <c r="AE432" s="243"/>
      <c r="AF432" s="243"/>
      <c r="AG432" s="243"/>
      <c r="AH432" s="243"/>
      <c r="AI432" s="243"/>
      <c r="AJ432" s="243"/>
      <c r="AK432" s="243"/>
      <c r="AL432" s="243"/>
      <c r="AM432" s="243"/>
      <c r="AN432" s="243"/>
      <c r="AO432" s="243"/>
      <c r="AP432" s="243"/>
      <c r="AQ432" s="243"/>
      <c r="AR432" s="243"/>
      <c r="AS432" s="243"/>
      <c r="AT432" s="243"/>
    </row>
    <row r="433" spans="1:46" ht="12.75" x14ac:dyDescent="0.2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3"/>
      <c r="Z433" s="243"/>
      <c r="AA433" s="243"/>
      <c r="AB433" s="243"/>
      <c r="AC433" s="243"/>
      <c r="AD433" s="243"/>
      <c r="AE433" s="243"/>
      <c r="AF433" s="243"/>
      <c r="AG433" s="243"/>
      <c r="AH433" s="243"/>
      <c r="AI433" s="243"/>
      <c r="AJ433" s="243"/>
      <c r="AK433" s="243"/>
      <c r="AL433" s="243"/>
      <c r="AM433" s="243"/>
      <c r="AN433" s="243"/>
      <c r="AO433" s="243"/>
      <c r="AP433" s="243"/>
      <c r="AQ433" s="243"/>
      <c r="AR433" s="243"/>
      <c r="AS433" s="243"/>
      <c r="AT433" s="243"/>
    </row>
    <row r="434" spans="1:46" ht="12.75" x14ac:dyDescent="0.2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3"/>
      <c r="Z434" s="243"/>
      <c r="AA434" s="243"/>
      <c r="AB434" s="243"/>
      <c r="AC434" s="243"/>
      <c r="AD434" s="243"/>
      <c r="AE434" s="243"/>
      <c r="AF434" s="243"/>
      <c r="AG434" s="243"/>
      <c r="AH434" s="243"/>
      <c r="AI434" s="243"/>
      <c r="AJ434" s="243"/>
      <c r="AK434" s="243"/>
      <c r="AL434" s="243"/>
      <c r="AM434" s="243"/>
      <c r="AN434" s="243"/>
      <c r="AO434" s="243"/>
      <c r="AP434" s="243"/>
      <c r="AQ434" s="243"/>
      <c r="AR434" s="243"/>
      <c r="AS434" s="243"/>
      <c r="AT434" s="243"/>
    </row>
    <row r="435" spans="1:46" ht="12.75" x14ac:dyDescent="0.2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  <c r="AA435" s="243"/>
      <c r="AB435" s="243"/>
      <c r="AC435" s="243"/>
      <c r="AD435" s="243"/>
      <c r="AE435" s="243"/>
      <c r="AF435" s="243"/>
      <c r="AG435" s="243"/>
      <c r="AH435" s="243"/>
      <c r="AI435" s="243"/>
      <c r="AJ435" s="243"/>
      <c r="AK435" s="243"/>
      <c r="AL435" s="243"/>
      <c r="AM435" s="243"/>
      <c r="AN435" s="243"/>
      <c r="AO435" s="243"/>
      <c r="AP435" s="243"/>
      <c r="AQ435" s="243"/>
      <c r="AR435" s="243"/>
      <c r="AS435" s="243"/>
      <c r="AT435" s="243"/>
    </row>
    <row r="436" spans="1:46" ht="12.75" x14ac:dyDescent="0.2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  <c r="AA436" s="243"/>
      <c r="AB436" s="243"/>
      <c r="AC436" s="243"/>
      <c r="AD436" s="243"/>
      <c r="AE436" s="243"/>
      <c r="AF436" s="243"/>
      <c r="AG436" s="243"/>
      <c r="AH436" s="243"/>
      <c r="AI436" s="243"/>
      <c r="AJ436" s="243"/>
      <c r="AK436" s="243"/>
      <c r="AL436" s="243"/>
      <c r="AM436" s="243"/>
      <c r="AN436" s="243"/>
      <c r="AO436" s="243"/>
      <c r="AP436" s="243"/>
      <c r="AQ436" s="243"/>
      <c r="AR436" s="243"/>
      <c r="AS436" s="243"/>
      <c r="AT436" s="243"/>
    </row>
    <row r="437" spans="1:46" ht="12.75" x14ac:dyDescent="0.2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  <c r="AA437" s="243"/>
      <c r="AB437" s="243"/>
      <c r="AC437" s="243"/>
      <c r="AD437" s="243"/>
      <c r="AE437" s="243"/>
      <c r="AF437" s="243"/>
      <c r="AG437" s="243"/>
      <c r="AH437" s="243"/>
      <c r="AI437" s="243"/>
      <c r="AJ437" s="243"/>
      <c r="AK437" s="243"/>
      <c r="AL437" s="243"/>
      <c r="AM437" s="243"/>
      <c r="AN437" s="243"/>
      <c r="AO437" s="243"/>
      <c r="AP437" s="243"/>
      <c r="AQ437" s="243"/>
      <c r="AR437" s="243"/>
      <c r="AS437" s="243"/>
      <c r="AT437" s="243"/>
    </row>
    <row r="438" spans="1:46" ht="12.75" x14ac:dyDescent="0.2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3"/>
      <c r="Z438" s="243"/>
      <c r="AA438" s="243"/>
      <c r="AB438" s="243"/>
      <c r="AC438" s="243"/>
      <c r="AD438" s="243"/>
      <c r="AE438" s="243"/>
      <c r="AF438" s="243"/>
      <c r="AG438" s="243"/>
      <c r="AH438" s="243"/>
      <c r="AI438" s="243"/>
      <c r="AJ438" s="243"/>
      <c r="AK438" s="243"/>
      <c r="AL438" s="243"/>
      <c r="AM438" s="243"/>
      <c r="AN438" s="243"/>
      <c r="AO438" s="243"/>
      <c r="AP438" s="243"/>
      <c r="AQ438" s="243"/>
      <c r="AR438" s="243"/>
      <c r="AS438" s="243"/>
      <c r="AT438" s="243"/>
    </row>
    <row r="439" spans="1:46" ht="12.75" x14ac:dyDescent="0.2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3"/>
      <c r="Z439" s="243"/>
      <c r="AA439" s="243"/>
      <c r="AB439" s="243"/>
      <c r="AC439" s="243"/>
      <c r="AD439" s="243"/>
      <c r="AE439" s="243"/>
      <c r="AF439" s="243"/>
      <c r="AG439" s="243"/>
      <c r="AH439" s="243"/>
      <c r="AI439" s="243"/>
      <c r="AJ439" s="243"/>
      <c r="AK439" s="243"/>
      <c r="AL439" s="243"/>
      <c r="AM439" s="243"/>
      <c r="AN439" s="243"/>
      <c r="AO439" s="243"/>
      <c r="AP439" s="243"/>
      <c r="AQ439" s="243"/>
      <c r="AR439" s="243"/>
      <c r="AS439" s="243"/>
      <c r="AT439" s="243"/>
    </row>
    <row r="440" spans="1:46" ht="12.75" x14ac:dyDescent="0.2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3"/>
      <c r="Z440" s="243"/>
      <c r="AA440" s="243"/>
      <c r="AB440" s="243"/>
      <c r="AC440" s="243"/>
      <c r="AD440" s="243"/>
      <c r="AE440" s="243"/>
      <c r="AF440" s="243"/>
      <c r="AG440" s="243"/>
      <c r="AH440" s="243"/>
      <c r="AI440" s="243"/>
      <c r="AJ440" s="243"/>
      <c r="AK440" s="243"/>
      <c r="AL440" s="243"/>
      <c r="AM440" s="243"/>
      <c r="AN440" s="243"/>
      <c r="AO440" s="243"/>
      <c r="AP440" s="243"/>
      <c r="AQ440" s="243"/>
      <c r="AR440" s="243"/>
      <c r="AS440" s="243"/>
      <c r="AT440" s="243"/>
    </row>
    <row r="441" spans="1:46" ht="12.75" x14ac:dyDescent="0.2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  <c r="AA441" s="243"/>
      <c r="AB441" s="243"/>
      <c r="AC441" s="243"/>
      <c r="AD441" s="243"/>
      <c r="AE441" s="243"/>
      <c r="AF441" s="243"/>
      <c r="AG441" s="243"/>
      <c r="AH441" s="243"/>
      <c r="AI441" s="243"/>
      <c r="AJ441" s="243"/>
      <c r="AK441" s="243"/>
      <c r="AL441" s="243"/>
      <c r="AM441" s="243"/>
      <c r="AN441" s="243"/>
      <c r="AO441" s="243"/>
      <c r="AP441" s="243"/>
      <c r="AQ441" s="243"/>
      <c r="AR441" s="243"/>
      <c r="AS441" s="243"/>
      <c r="AT441" s="243"/>
    </row>
    <row r="442" spans="1:46" ht="12.75" x14ac:dyDescent="0.2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  <c r="AA442" s="243"/>
      <c r="AB442" s="243"/>
      <c r="AC442" s="243"/>
      <c r="AD442" s="243"/>
      <c r="AE442" s="243"/>
      <c r="AF442" s="243"/>
      <c r="AG442" s="243"/>
      <c r="AH442" s="243"/>
      <c r="AI442" s="243"/>
      <c r="AJ442" s="243"/>
      <c r="AK442" s="243"/>
      <c r="AL442" s="243"/>
      <c r="AM442" s="243"/>
      <c r="AN442" s="243"/>
      <c r="AO442" s="243"/>
      <c r="AP442" s="243"/>
      <c r="AQ442" s="243"/>
      <c r="AR442" s="243"/>
      <c r="AS442" s="243"/>
      <c r="AT442" s="243"/>
    </row>
    <row r="443" spans="1:46" ht="12.75" x14ac:dyDescent="0.2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  <c r="AA443" s="243"/>
      <c r="AB443" s="243"/>
      <c r="AC443" s="243"/>
      <c r="AD443" s="243"/>
      <c r="AE443" s="243"/>
      <c r="AF443" s="243"/>
      <c r="AG443" s="243"/>
      <c r="AH443" s="243"/>
      <c r="AI443" s="243"/>
      <c r="AJ443" s="243"/>
      <c r="AK443" s="243"/>
      <c r="AL443" s="243"/>
      <c r="AM443" s="243"/>
      <c r="AN443" s="243"/>
      <c r="AO443" s="243"/>
      <c r="AP443" s="243"/>
      <c r="AQ443" s="243"/>
      <c r="AR443" s="243"/>
      <c r="AS443" s="243"/>
      <c r="AT443" s="243"/>
    </row>
    <row r="444" spans="1:46" ht="12.75" x14ac:dyDescent="0.2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3"/>
      <c r="Z444" s="243"/>
      <c r="AA444" s="243"/>
      <c r="AB444" s="243"/>
      <c r="AC444" s="243"/>
      <c r="AD444" s="243"/>
      <c r="AE444" s="243"/>
      <c r="AF444" s="243"/>
      <c r="AG444" s="243"/>
      <c r="AH444" s="243"/>
      <c r="AI444" s="243"/>
      <c r="AJ444" s="243"/>
      <c r="AK444" s="243"/>
      <c r="AL444" s="243"/>
      <c r="AM444" s="243"/>
      <c r="AN444" s="243"/>
      <c r="AO444" s="243"/>
      <c r="AP444" s="243"/>
      <c r="AQ444" s="243"/>
      <c r="AR444" s="243"/>
      <c r="AS444" s="243"/>
      <c r="AT444" s="243"/>
    </row>
    <row r="445" spans="1:46" ht="12.75" x14ac:dyDescent="0.2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3"/>
      <c r="Z445" s="243"/>
      <c r="AA445" s="243"/>
      <c r="AB445" s="243"/>
      <c r="AC445" s="243"/>
      <c r="AD445" s="243"/>
      <c r="AE445" s="243"/>
      <c r="AF445" s="243"/>
      <c r="AG445" s="243"/>
      <c r="AH445" s="243"/>
      <c r="AI445" s="243"/>
      <c r="AJ445" s="243"/>
      <c r="AK445" s="243"/>
      <c r="AL445" s="243"/>
      <c r="AM445" s="243"/>
      <c r="AN445" s="243"/>
      <c r="AO445" s="243"/>
      <c r="AP445" s="243"/>
      <c r="AQ445" s="243"/>
      <c r="AR445" s="243"/>
      <c r="AS445" s="243"/>
      <c r="AT445" s="243"/>
    </row>
    <row r="446" spans="1:46" ht="12.75" x14ac:dyDescent="0.2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3"/>
      <c r="Z446" s="243"/>
      <c r="AA446" s="243"/>
      <c r="AB446" s="243"/>
      <c r="AC446" s="243"/>
      <c r="AD446" s="243"/>
      <c r="AE446" s="243"/>
      <c r="AF446" s="243"/>
      <c r="AG446" s="243"/>
      <c r="AH446" s="243"/>
      <c r="AI446" s="243"/>
      <c r="AJ446" s="243"/>
      <c r="AK446" s="243"/>
      <c r="AL446" s="243"/>
      <c r="AM446" s="243"/>
      <c r="AN446" s="243"/>
      <c r="AO446" s="243"/>
      <c r="AP446" s="243"/>
      <c r="AQ446" s="243"/>
      <c r="AR446" s="243"/>
      <c r="AS446" s="243"/>
      <c r="AT446" s="243"/>
    </row>
    <row r="447" spans="1:46" ht="12.75" x14ac:dyDescent="0.2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3"/>
      <c r="Z447" s="243"/>
      <c r="AA447" s="243"/>
      <c r="AB447" s="243"/>
      <c r="AC447" s="243"/>
      <c r="AD447" s="243"/>
      <c r="AE447" s="243"/>
      <c r="AF447" s="243"/>
      <c r="AG447" s="243"/>
      <c r="AH447" s="243"/>
      <c r="AI447" s="243"/>
      <c r="AJ447" s="243"/>
      <c r="AK447" s="243"/>
      <c r="AL447" s="243"/>
      <c r="AM447" s="243"/>
      <c r="AN447" s="243"/>
      <c r="AO447" s="243"/>
      <c r="AP447" s="243"/>
      <c r="AQ447" s="243"/>
      <c r="AR447" s="243"/>
      <c r="AS447" s="243"/>
      <c r="AT447" s="243"/>
    </row>
    <row r="448" spans="1:46" ht="12.75" x14ac:dyDescent="0.2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  <c r="AH448" s="243"/>
      <c r="AI448" s="243"/>
      <c r="AJ448" s="243"/>
      <c r="AK448" s="243"/>
      <c r="AL448" s="243"/>
      <c r="AM448" s="243"/>
      <c r="AN448" s="243"/>
      <c r="AO448" s="243"/>
      <c r="AP448" s="243"/>
      <c r="AQ448" s="243"/>
      <c r="AR448" s="243"/>
      <c r="AS448" s="243"/>
      <c r="AT448" s="243"/>
    </row>
    <row r="449" spans="1:46" ht="12.75" x14ac:dyDescent="0.2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  <c r="AH449" s="243"/>
      <c r="AI449" s="243"/>
      <c r="AJ449" s="243"/>
      <c r="AK449" s="243"/>
      <c r="AL449" s="243"/>
      <c r="AM449" s="243"/>
      <c r="AN449" s="243"/>
      <c r="AO449" s="243"/>
      <c r="AP449" s="243"/>
      <c r="AQ449" s="243"/>
      <c r="AR449" s="243"/>
      <c r="AS449" s="243"/>
      <c r="AT449" s="243"/>
    </row>
    <row r="450" spans="1:46" ht="12.75" x14ac:dyDescent="0.2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243"/>
      <c r="AR450" s="243"/>
      <c r="AS450" s="243"/>
      <c r="AT450" s="243"/>
    </row>
    <row r="451" spans="1:46" ht="12.75" x14ac:dyDescent="0.2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  <c r="AA451" s="243"/>
      <c r="AB451" s="243"/>
      <c r="AC451" s="243"/>
      <c r="AD451" s="243"/>
      <c r="AE451" s="243"/>
      <c r="AF451" s="243"/>
      <c r="AG451" s="243"/>
      <c r="AH451" s="243"/>
      <c r="AI451" s="243"/>
      <c r="AJ451" s="243"/>
      <c r="AK451" s="243"/>
      <c r="AL451" s="243"/>
      <c r="AM451" s="243"/>
      <c r="AN451" s="243"/>
      <c r="AO451" s="243"/>
      <c r="AP451" s="243"/>
      <c r="AQ451" s="243"/>
      <c r="AR451" s="243"/>
      <c r="AS451" s="243"/>
      <c r="AT451" s="243"/>
    </row>
    <row r="452" spans="1:46" ht="12.75" x14ac:dyDescent="0.2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3"/>
      <c r="Z452" s="243"/>
      <c r="AA452" s="243"/>
      <c r="AB452" s="243"/>
      <c r="AC452" s="243"/>
      <c r="AD452" s="243"/>
      <c r="AE452" s="243"/>
      <c r="AF452" s="243"/>
      <c r="AG452" s="243"/>
      <c r="AH452" s="243"/>
      <c r="AI452" s="243"/>
      <c r="AJ452" s="243"/>
      <c r="AK452" s="243"/>
      <c r="AL452" s="243"/>
      <c r="AM452" s="243"/>
      <c r="AN452" s="243"/>
      <c r="AO452" s="243"/>
      <c r="AP452" s="243"/>
      <c r="AQ452" s="243"/>
      <c r="AR452" s="243"/>
      <c r="AS452" s="243"/>
      <c r="AT452" s="243"/>
    </row>
    <row r="453" spans="1:46" ht="12.75" x14ac:dyDescent="0.2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3"/>
      <c r="Z453" s="243"/>
      <c r="AA453" s="243"/>
      <c r="AB453" s="243"/>
      <c r="AC453" s="243"/>
      <c r="AD453" s="243"/>
      <c r="AE453" s="243"/>
      <c r="AF453" s="243"/>
      <c r="AG453" s="243"/>
      <c r="AH453" s="243"/>
      <c r="AI453" s="243"/>
      <c r="AJ453" s="243"/>
      <c r="AK453" s="243"/>
      <c r="AL453" s="243"/>
      <c r="AM453" s="243"/>
      <c r="AN453" s="243"/>
      <c r="AO453" s="243"/>
      <c r="AP453" s="243"/>
      <c r="AQ453" s="243"/>
      <c r="AR453" s="243"/>
      <c r="AS453" s="243"/>
      <c r="AT453" s="243"/>
    </row>
    <row r="454" spans="1:46" ht="12.75" x14ac:dyDescent="0.2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3"/>
      <c r="Z454" s="243"/>
      <c r="AA454" s="243"/>
      <c r="AB454" s="243"/>
      <c r="AC454" s="243"/>
      <c r="AD454" s="243"/>
      <c r="AE454" s="243"/>
      <c r="AF454" s="243"/>
      <c r="AG454" s="243"/>
      <c r="AH454" s="243"/>
      <c r="AI454" s="243"/>
      <c r="AJ454" s="243"/>
      <c r="AK454" s="243"/>
      <c r="AL454" s="243"/>
      <c r="AM454" s="243"/>
      <c r="AN454" s="243"/>
      <c r="AO454" s="243"/>
      <c r="AP454" s="243"/>
      <c r="AQ454" s="243"/>
      <c r="AR454" s="243"/>
      <c r="AS454" s="243"/>
      <c r="AT454" s="243"/>
    </row>
    <row r="455" spans="1:46" ht="12.75" x14ac:dyDescent="0.2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3"/>
      <c r="Z455" s="243"/>
      <c r="AA455" s="243"/>
      <c r="AB455" s="243"/>
      <c r="AC455" s="243"/>
      <c r="AD455" s="243"/>
      <c r="AE455" s="243"/>
      <c r="AF455" s="243"/>
      <c r="AG455" s="243"/>
      <c r="AH455" s="243"/>
      <c r="AI455" s="243"/>
      <c r="AJ455" s="243"/>
      <c r="AK455" s="243"/>
      <c r="AL455" s="243"/>
      <c r="AM455" s="243"/>
      <c r="AN455" s="243"/>
      <c r="AO455" s="243"/>
      <c r="AP455" s="243"/>
      <c r="AQ455" s="243"/>
      <c r="AR455" s="243"/>
      <c r="AS455" s="243"/>
      <c r="AT455" s="243"/>
    </row>
    <row r="456" spans="1:46" ht="12.75" x14ac:dyDescent="0.2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3"/>
      <c r="Z456" s="243"/>
      <c r="AA456" s="243"/>
      <c r="AB456" s="243"/>
      <c r="AC456" s="243"/>
      <c r="AD456" s="243"/>
      <c r="AE456" s="243"/>
      <c r="AF456" s="243"/>
      <c r="AG456" s="243"/>
      <c r="AH456" s="243"/>
      <c r="AI456" s="243"/>
      <c r="AJ456" s="243"/>
      <c r="AK456" s="243"/>
      <c r="AL456" s="243"/>
      <c r="AM456" s="243"/>
      <c r="AN456" s="243"/>
      <c r="AO456" s="243"/>
      <c r="AP456" s="243"/>
      <c r="AQ456" s="243"/>
      <c r="AR456" s="243"/>
      <c r="AS456" s="243"/>
      <c r="AT456" s="243"/>
    </row>
    <row r="457" spans="1:46" ht="12.75" x14ac:dyDescent="0.2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3"/>
      <c r="Z457" s="243"/>
      <c r="AA457" s="243"/>
      <c r="AB457" s="243"/>
      <c r="AC457" s="243"/>
      <c r="AD457" s="243"/>
      <c r="AE457" s="243"/>
      <c r="AF457" s="243"/>
      <c r="AG457" s="243"/>
      <c r="AH457" s="243"/>
      <c r="AI457" s="243"/>
      <c r="AJ457" s="243"/>
      <c r="AK457" s="243"/>
      <c r="AL457" s="243"/>
      <c r="AM457" s="243"/>
      <c r="AN457" s="243"/>
      <c r="AO457" s="243"/>
      <c r="AP457" s="243"/>
      <c r="AQ457" s="243"/>
      <c r="AR457" s="243"/>
      <c r="AS457" s="243"/>
      <c r="AT457" s="243"/>
    </row>
    <row r="458" spans="1:46" ht="12.75" x14ac:dyDescent="0.2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3"/>
      <c r="Z458" s="243"/>
      <c r="AA458" s="243"/>
      <c r="AB458" s="243"/>
      <c r="AC458" s="243"/>
      <c r="AD458" s="243"/>
      <c r="AE458" s="243"/>
      <c r="AF458" s="243"/>
      <c r="AG458" s="243"/>
      <c r="AH458" s="243"/>
      <c r="AI458" s="243"/>
      <c r="AJ458" s="243"/>
      <c r="AK458" s="243"/>
      <c r="AL458" s="243"/>
      <c r="AM458" s="243"/>
      <c r="AN458" s="243"/>
      <c r="AO458" s="243"/>
      <c r="AP458" s="243"/>
      <c r="AQ458" s="243"/>
      <c r="AR458" s="243"/>
      <c r="AS458" s="243"/>
      <c r="AT458" s="243"/>
    </row>
    <row r="459" spans="1:46" ht="12.75" x14ac:dyDescent="0.2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3"/>
      <c r="Z459" s="243"/>
      <c r="AA459" s="243"/>
      <c r="AB459" s="243"/>
      <c r="AC459" s="243"/>
      <c r="AD459" s="243"/>
      <c r="AE459" s="243"/>
      <c r="AF459" s="243"/>
      <c r="AG459" s="243"/>
      <c r="AH459" s="243"/>
      <c r="AI459" s="243"/>
      <c r="AJ459" s="243"/>
      <c r="AK459" s="243"/>
      <c r="AL459" s="243"/>
      <c r="AM459" s="243"/>
      <c r="AN459" s="243"/>
      <c r="AO459" s="243"/>
      <c r="AP459" s="243"/>
      <c r="AQ459" s="243"/>
      <c r="AR459" s="243"/>
      <c r="AS459" s="243"/>
      <c r="AT459" s="243"/>
    </row>
    <row r="460" spans="1:46" ht="12.75" x14ac:dyDescent="0.2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3"/>
      <c r="Z460" s="243"/>
      <c r="AA460" s="243"/>
      <c r="AB460" s="243"/>
      <c r="AC460" s="243"/>
      <c r="AD460" s="243"/>
      <c r="AE460" s="243"/>
      <c r="AF460" s="243"/>
      <c r="AG460" s="243"/>
      <c r="AH460" s="243"/>
      <c r="AI460" s="243"/>
      <c r="AJ460" s="243"/>
      <c r="AK460" s="243"/>
      <c r="AL460" s="243"/>
      <c r="AM460" s="243"/>
      <c r="AN460" s="243"/>
      <c r="AO460" s="243"/>
      <c r="AP460" s="243"/>
      <c r="AQ460" s="243"/>
      <c r="AR460" s="243"/>
      <c r="AS460" s="243"/>
      <c r="AT460" s="243"/>
    </row>
    <row r="461" spans="1:46" ht="12.75" x14ac:dyDescent="0.2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3"/>
      <c r="Z461" s="243"/>
      <c r="AA461" s="243"/>
      <c r="AB461" s="243"/>
      <c r="AC461" s="243"/>
      <c r="AD461" s="243"/>
      <c r="AE461" s="243"/>
      <c r="AF461" s="243"/>
      <c r="AG461" s="243"/>
      <c r="AH461" s="243"/>
      <c r="AI461" s="243"/>
      <c r="AJ461" s="243"/>
      <c r="AK461" s="243"/>
      <c r="AL461" s="243"/>
      <c r="AM461" s="243"/>
      <c r="AN461" s="243"/>
      <c r="AO461" s="243"/>
      <c r="AP461" s="243"/>
      <c r="AQ461" s="243"/>
      <c r="AR461" s="243"/>
      <c r="AS461" s="243"/>
      <c r="AT461" s="243"/>
    </row>
    <row r="462" spans="1:46" ht="12.75" x14ac:dyDescent="0.2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  <c r="AA462" s="243"/>
      <c r="AB462" s="243"/>
      <c r="AC462" s="243"/>
      <c r="AD462" s="243"/>
      <c r="AE462" s="243"/>
      <c r="AF462" s="243"/>
      <c r="AG462" s="243"/>
      <c r="AH462" s="243"/>
      <c r="AI462" s="243"/>
      <c r="AJ462" s="243"/>
      <c r="AK462" s="243"/>
      <c r="AL462" s="243"/>
      <c r="AM462" s="243"/>
      <c r="AN462" s="243"/>
      <c r="AO462" s="243"/>
      <c r="AP462" s="243"/>
      <c r="AQ462" s="243"/>
      <c r="AR462" s="243"/>
      <c r="AS462" s="243"/>
      <c r="AT462" s="243"/>
    </row>
    <row r="463" spans="1:46" ht="12.75" x14ac:dyDescent="0.2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  <c r="AA463" s="243"/>
      <c r="AB463" s="243"/>
      <c r="AC463" s="243"/>
      <c r="AD463" s="243"/>
      <c r="AE463" s="243"/>
      <c r="AF463" s="243"/>
      <c r="AG463" s="243"/>
      <c r="AH463" s="243"/>
      <c r="AI463" s="243"/>
      <c r="AJ463" s="243"/>
      <c r="AK463" s="243"/>
      <c r="AL463" s="243"/>
      <c r="AM463" s="243"/>
      <c r="AN463" s="243"/>
      <c r="AO463" s="243"/>
      <c r="AP463" s="243"/>
      <c r="AQ463" s="243"/>
      <c r="AR463" s="243"/>
      <c r="AS463" s="243"/>
      <c r="AT463" s="243"/>
    </row>
    <row r="464" spans="1:46" ht="12.75" x14ac:dyDescent="0.2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  <c r="AA464" s="243"/>
      <c r="AB464" s="243"/>
      <c r="AC464" s="243"/>
      <c r="AD464" s="243"/>
      <c r="AE464" s="243"/>
      <c r="AF464" s="243"/>
      <c r="AG464" s="243"/>
      <c r="AH464" s="243"/>
      <c r="AI464" s="243"/>
      <c r="AJ464" s="243"/>
      <c r="AK464" s="243"/>
      <c r="AL464" s="243"/>
      <c r="AM464" s="243"/>
      <c r="AN464" s="243"/>
      <c r="AO464" s="243"/>
      <c r="AP464" s="243"/>
      <c r="AQ464" s="243"/>
      <c r="AR464" s="243"/>
      <c r="AS464" s="243"/>
      <c r="AT464" s="243"/>
    </row>
    <row r="465" spans="1:46" ht="12.75" x14ac:dyDescent="0.2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  <c r="AA465" s="243"/>
      <c r="AB465" s="243"/>
      <c r="AC465" s="243"/>
      <c r="AD465" s="243"/>
      <c r="AE465" s="243"/>
      <c r="AF465" s="243"/>
      <c r="AG465" s="243"/>
      <c r="AH465" s="243"/>
      <c r="AI465" s="243"/>
      <c r="AJ465" s="243"/>
      <c r="AK465" s="243"/>
      <c r="AL465" s="243"/>
      <c r="AM465" s="243"/>
      <c r="AN465" s="243"/>
      <c r="AO465" s="243"/>
      <c r="AP465" s="243"/>
      <c r="AQ465" s="243"/>
      <c r="AR465" s="243"/>
      <c r="AS465" s="243"/>
      <c r="AT465" s="243"/>
    </row>
    <row r="466" spans="1:46" ht="12.75" x14ac:dyDescent="0.2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  <c r="AA466" s="243"/>
      <c r="AB466" s="243"/>
      <c r="AC466" s="243"/>
      <c r="AD466" s="243"/>
      <c r="AE466" s="243"/>
      <c r="AF466" s="243"/>
      <c r="AG466" s="243"/>
      <c r="AH466" s="243"/>
      <c r="AI466" s="243"/>
      <c r="AJ466" s="243"/>
      <c r="AK466" s="243"/>
      <c r="AL466" s="243"/>
      <c r="AM466" s="243"/>
      <c r="AN466" s="243"/>
      <c r="AO466" s="243"/>
      <c r="AP466" s="243"/>
      <c r="AQ466" s="243"/>
      <c r="AR466" s="243"/>
      <c r="AS466" s="243"/>
      <c r="AT466" s="243"/>
    </row>
    <row r="467" spans="1:46" ht="12.75" x14ac:dyDescent="0.2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3"/>
      <c r="Z467" s="243"/>
      <c r="AA467" s="243"/>
      <c r="AB467" s="243"/>
      <c r="AC467" s="243"/>
      <c r="AD467" s="243"/>
      <c r="AE467" s="243"/>
      <c r="AF467" s="243"/>
      <c r="AG467" s="243"/>
      <c r="AH467" s="243"/>
      <c r="AI467" s="243"/>
      <c r="AJ467" s="243"/>
      <c r="AK467" s="243"/>
      <c r="AL467" s="243"/>
      <c r="AM467" s="243"/>
      <c r="AN467" s="243"/>
      <c r="AO467" s="243"/>
      <c r="AP467" s="243"/>
      <c r="AQ467" s="243"/>
      <c r="AR467" s="243"/>
      <c r="AS467" s="243"/>
      <c r="AT467" s="243"/>
    </row>
    <row r="468" spans="1:46" ht="12.75" x14ac:dyDescent="0.2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3"/>
      <c r="Z468" s="243"/>
      <c r="AA468" s="243"/>
      <c r="AB468" s="243"/>
      <c r="AC468" s="243"/>
      <c r="AD468" s="243"/>
      <c r="AE468" s="243"/>
      <c r="AF468" s="243"/>
      <c r="AG468" s="243"/>
      <c r="AH468" s="243"/>
      <c r="AI468" s="243"/>
      <c r="AJ468" s="243"/>
      <c r="AK468" s="243"/>
      <c r="AL468" s="243"/>
      <c r="AM468" s="243"/>
      <c r="AN468" s="243"/>
      <c r="AO468" s="243"/>
      <c r="AP468" s="243"/>
      <c r="AQ468" s="243"/>
      <c r="AR468" s="243"/>
      <c r="AS468" s="243"/>
      <c r="AT468" s="243"/>
    </row>
    <row r="469" spans="1:46" ht="12.75" x14ac:dyDescent="0.2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  <c r="AA469" s="243"/>
      <c r="AB469" s="243"/>
      <c r="AC469" s="243"/>
      <c r="AD469" s="243"/>
      <c r="AE469" s="243"/>
      <c r="AF469" s="243"/>
      <c r="AG469" s="243"/>
      <c r="AH469" s="243"/>
      <c r="AI469" s="243"/>
      <c r="AJ469" s="243"/>
      <c r="AK469" s="243"/>
      <c r="AL469" s="243"/>
      <c r="AM469" s="243"/>
      <c r="AN469" s="243"/>
      <c r="AO469" s="243"/>
      <c r="AP469" s="243"/>
      <c r="AQ469" s="243"/>
      <c r="AR469" s="243"/>
      <c r="AS469" s="243"/>
      <c r="AT469" s="243"/>
    </row>
    <row r="470" spans="1:46" ht="12.75" x14ac:dyDescent="0.2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3"/>
      <c r="AG470" s="243"/>
      <c r="AH470" s="243"/>
      <c r="AI470" s="243"/>
      <c r="AJ470" s="243"/>
      <c r="AK470" s="243"/>
      <c r="AL470" s="243"/>
      <c r="AM470" s="243"/>
      <c r="AN470" s="243"/>
      <c r="AO470" s="243"/>
      <c r="AP470" s="243"/>
      <c r="AQ470" s="243"/>
      <c r="AR470" s="243"/>
      <c r="AS470" s="243"/>
      <c r="AT470" s="243"/>
    </row>
    <row r="471" spans="1:46" ht="12.75" x14ac:dyDescent="0.2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  <c r="AH471" s="243"/>
      <c r="AI471" s="243"/>
      <c r="AJ471" s="243"/>
      <c r="AK471" s="243"/>
      <c r="AL471" s="243"/>
      <c r="AM471" s="243"/>
      <c r="AN471" s="243"/>
      <c r="AO471" s="243"/>
      <c r="AP471" s="243"/>
      <c r="AQ471" s="243"/>
      <c r="AR471" s="243"/>
      <c r="AS471" s="243"/>
      <c r="AT471" s="243"/>
    </row>
    <row r="472" spans="1:46" ht="12.75" x14ac:dyDescent="0.2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  <c r="AH472" s="243"/>
      <c r="AI472" s="243"/>
      <c r="AJ472" s="243"/>
      <c r="AK472" s="243"/>
      <c r="AL472" s="243"/>
      <c r="AM472" s="243"/>
      <c r="AN472" s="243"/>
      <c r="AO472" s="243"/>
      <c r="AP472" s="243"/>
      <c r="AQ472" s="243"/>
      <c r="AR472" s="243"/>
      <c r="AS472" s="243"/>
      <c r="AT472" s="243"/>
    </row>
    <row r="473" spans="1:46" ht="12.75" x14ac:dyDescent="0.2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3"/>
      <c r="Z473" s="243"/>
      <c r="AA473" s="243"/>
      <c r="AB473" s="243"/>
      <c r="AC473" s="243"/>
      <c r="AD473" s="243"/>
      <c r="AE473" s="243"/>
      <c r="AF473" s="243"/>
      <c r="AG473" s="243"/>
      <c r="AH473" s="243"/>
      <c r="AI473" s="243"/>
      <c r="AJ473" s="243"/>
      <c r="AK473" s="243"/>
      <c r="AL473" s="243"/>
      <c r="AM473" s="243"/>
      <c r="AN473" s="243"/>
      <c r="AO473" s="243"/>
      <c r="AP473" s="243"/>
      <c r="AQ473" s="243"/>
      <c r="AR473" s="243"/>
      <c r="AS473" s="243"/>
      <c r="AT473" s="243"/>
    </row>
    <row r="474" spans="1:46" ht="12.75" x14ac:dyDescent="0.2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3"/>
      <c r="Z474" s="243"/>
      <c r="AA474" s="243"/>
      <c r="AB474" s="243"/>
      <c r="AC474" s="243"/>
      <c r="AD474" s="243"/>
      <c r="AE474" s="243"/>
      <c r="AF474" s="243"/>
      <c r="AG474" s="243"/>
      <c r="AH474" s="243"/>
      <c r="AI474" s="243"/>
      <c r="AJ474" s="243"/>
      <c r="AK474" s="243"/>
      <c r="AL474" s="243"/>
      <c r="AM474" s="243"/>
      <c r="AN474" s="243"/>
      <c r="AO474" s="243"/>
      <c r="AP474" s="243"/>
      <c r="AQ474" s="243"/>
      <c r="AR474" s="243"/>
      <c r="AS474" s="243"/>
      <c r="AT474" s="243"/>
    </row>
    <row r="475" spans="1:46" ht="12.75" x14ac:dyDescent="0.2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3"/>
      <c r="Z475" s="243"/>
      <c r="AA475" s="243"/>
      <c r="AB475" s="243"/>
      <c r="AC475" s="243"/>
      <c r="AD475" s="243"/>
      <c r="AE475" s="243"/>
      <c r="AF475" s="243"/>
      <c r="AG475" s="243"/>
      <c r="AH475" s="243"/>
      <c r="AI475" s="243"/>
      <c r="AJ475" s="243"/>
      <c r="AK475" s="243"/>
      <c r="AL475" s="243"/>
      <c r="AM475" s="243"/>
      <c r="AN475" s="243"/>
      <c r="AO475" s="243"/>
      <c r="AP475" s="243"/>
      <c r="AQ475" s="243"/>
      <c r="AR475" s="243"/>
      <c r="AS475" s="243"/>
      <c r="AT475" s="243"/>
    </row>
    <row r="476" spans="1:46" ht="12.75" x14ac:dyDescent="0.2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3"/>
      <c r="Z476" s="243"/>
      <c r="AA476" s="243"/>
      <c r="AB476" s="243"/>
      <c r="AC476" s="243"/>
      <c r="AD476" s="243"/>
      <c r="AE476" s="243"/>
      <c r="AF476" s="243"/>
      <c r="AG476" s="243"/>
      <c r="AH476" s="243"/>
      <c r="AI476" s="243"/>
      <c r="AJ476" s="243"/>
      <c r="AK476" s="243"/>
      <c r="AL476" s="243"/>
      <c r="AM476" s="243"/>
      <c r="AN476" s="243"/>
      <c r="AO476" s="243"/>
      <c r="AP476" s="243"/>
      <c r="AQ476" s="243"/>
      <c r="AR476" s="243"/>
      <c r="AS476" s="243"/>
      <c r="AT476" s="243"/>
    </row>
    <row r="477" spans="1:46" ht="12.75" x14ac:dyDescent="0.2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3"/>
      <c r="Z477" s="243"/>
      <c r="AA477" s="243"/>
      <c r="AB477" s="243"/>
      <c r="AC477" s="243"/>
      <c r="AD477" s="243"/>
      <c r="AE477" s="243"/>
      <c r="AF477" s="243"/>
      <c r="AG477" s="243"/>
      <c r="AH477" s="243"/>
      <c r="AI477" s="243"/>
      <c r="AJ477" s="243"/>
      <c r="AK477" s="243"/>
      <c r="AL477" s="243"/>
      <c r="AM477" s="243"/>
      <c r="AN477" s="243"/>
      <c r="AO477" s="243"/>
      <c r="AP477" s="243"/>
      <c r="AQ477" s="243"/>
      <c r="AR477" s="243"/>
      <c r="AS477" s="243"/>
      <c r="AT477" s="243"/>
    </row>
    <row r="478" spans="1:46" ht="12.75" x14ac:dyDescent="0.2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3"/>
      <c r="Z478" s="243"/>
      <c r="AA478" s="243"/>
      <c r="AB478" s="243"/>
      <c r="AC478" s="243"/>
      <c r="AD478" s="243"/>
      <c r="AE478" s="243"/>
      <c r="AF478" s="243"/>
      <c r="AG478" s="243"/>
      <c r="AH478" s="243"/>
      <c r="AI478" s="243"/>
      <c r="AJ478" s="243"/>
      <c r="AK478" s="243"/>
      <c r="AL478" s="243"/>
      <c r="AM478" s="243"/>
      <c r="AN478" s="243"/>
      <c r="AO478" s="243"/>
      <c r="AP478" s="243"/>
      <c r="AQ478" s="243"/>
      <c r="AR478" s="243"/>
      <c r="AS478" s="243"/>
      <c r="AT478" s="243"/>
    </row>
    <row r="479" spans="1:46" ht="12.75" x14ac:dyDescent="0.2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3"/>
      <c r="Z479" s="243"/>
      <c r="AA479" s="243"/>
      <c r="AB479" s="243"/>
      <c r="AC479" s="243"/>
      <c r="AD479" s="243"/>
      <c r="AE479" s="243"/>
      <c r="AF479" s="243"/>
      <c r="AG479" s="243"/>
      <c r="AH479" s="243"/>
      <c r="AI479" s="243"/>
      <c r="AJ479" s="243"/>
      <c r="AK479" s="243"/>
      <c r="AL479" s="243"/>
      <c r="AM479" s="243"/>
      <c r="AN479" s="243"/>
      <c r="AO479" s="243"/>
      <c r="AP479" s="243"/>
      <c r="AQ479" s="243"/>
      <c r="AR479" s="243"/>
      <c r="AS479" s="243"/>
      <c r="AT479" s="243"/>
    </row>
    <row r="480" spans="1:46" ht="12.75" x14ac:dyDescent="0.2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3"/>
      <c r="Z480" s="243"/>
      <c r="AA480" s="243"/>
      <c r="AB480" s="243"/>
      <c r="AC480" s="243"/>
      <c r="AD480" s="243"/>
      <c r="AE480" s="243"/>
      <c r="AF480" s="243"/>
      <c r="AG480" s="243"/>
      <c r="AH480" s="243"/>
      <c r="AI480" s="243"/>
      <c r="AJ480" s="243"/>
      <c r="AK480" s="243"/>
      <c r="AL480" s="243"/>
      <c r="AM480" s="243"/>
      <c r="AN480" s="243"/>
      <c r="AO480" s="243"/>
      <c r="AP480" s="243"/>
      <c r="AQ480" s="243"/>
      <c r="AR480" s="243"/>
      <c r="AS480" s="243"/>
      <c r="AT480" s="243"/>
    </row>
    <row r="481" spans="1:46" ht="12.75" x14ac:dyDescent="0.2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3"/>
      <c r="Z481" s="243"/>
      <c r="AA481" s="243"/>
      <c r="AB481" s="243"/>
      <c r="AC481" s="243"/>
      <c r="AD481" s="243"/>
      <c r="AE481" s="243"/>
      <c r="AF481" s="243"/>
      <c r="AG481" s="243"/>
      <c r="AH481" s="243"/>
      <c r="AI481" s="243"/>
      <c r="AJ481" s="243"/>
      <c r="AK481" s="243"/>
      <c r="AL481" s="243"/>
      <c r="AM481" s="243"/>
      <c r="AN481" s="243"/>
      <c r="AO481" s="243"/>
      <c r="AP481" s="243"/>
      <c r="AQ481" s="243"/>
      <c r="AR481" s="243"/>
      <c r="AS481" s="243"/>
      <c r="AT481" s="243"/>
    </row>
    <row r="482" spans="1:46" ht="12.75" x14ac:dyDescent="0.2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  <c r="AH482" s="243"/>
      <c r="AI482" s="243"/>
      <c r="AJ482" s="243"/>
      <c r="AK482" s="243"/>
      <c r="AL482" s="243"/>
      <c r="AM482" s="243"/>
      <c r="AN482" s="243"/>
      <c r="AO482" s="243"/>
      <c r="AP482" s="243"/>
      <c r="AQ482" s="243"/>
      <c r="AR482" s="243"/>
      <c r="AS482" s="243"/>
      <c r="AT482" s="243"/>
    </row>
    <row r="483" spans="1:46" ht="12.75" x14ac:dyDescent="0.2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  <c r="AH483" s="243"/>
      <c r="AI483" s="243"/>
      <c r="AJ483" s="243"/>
      <c r="AK483" s="243"/>
      <c r="AL483" s="243"/>
      <c r="AM483" s="243"/>
      <c r="AN483" s="243"/>
      <c r="AO483" s="243"/>
      <c r="AP483" s="243"/>
      <c r="AQ483" s="243"/>
      <c r="AR483" s="243"/>
      <c r="AS483" s="243"/>
      <c r="AT483" s="243"/>
    </row>
    <row r="484" spans="1:46" ht="12.75" x14ac:dyDescent="0.2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3"/>
      <c r="Z484" s="243"/>
      <c r="AA484" s="243"/>
      <c r="AB484" s="243"/>
      <c r="AC484" s="243"/>
      <c r="AD484" s="243"/>
      <c r="AE484" s="243"/>
      <c r="AF484" s="243"/>
      <c r="AG484" s="243"/>
      <c r="AH484" s="243"/>
      <c r="AI484" s="243"/>
      <c r="AJ484" s="243"/>
      <c r="AK484" s="243"/>
      <c r="AL484" s="243"/>
      <c r="AM484" s="243"/>
      <c r="AN484" s="243"/>
      <c r="AO484" s="243"/>
      <c r="AP484" s="243"/>
      <c r="AQ484" s="243"/>
      <c r="AR484" s="243"/>
      <c r="AS484" s="243"/>
      <c r="AT484" s="243"/>
    </row>
    <row r="485" spans="1:46" ht="12.75" x14ac:dyDescent="0.2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3"/>
      <c r="Z485" s="243"/>
      <c r="AA485" s="243"/>
      <c r="AB485" s="243"/>
      <c r="AC485" s="243"/>
      <c r="AD485" s="243"/>
      <c r="AE485" s="243"/>
      <c r="AF485" s="243"/>
      <c r="AG485" s="243"/>
      <c r="AH485" s="243"/>
      <c r="AI485" s="243"/>
      <c r="AJ485" s="243"/>
      <c r="AK485" s="243"/>
      <c r="AL485" s="243"/>
      <c r="AM485" s="243"/>
      <c r="AN485" s="243"/>
      <c r="AO485" s="243"/>
      <c r="AP485" s="243"/>
      <c r="AQ485" s="243"/>
      <c r="AR485" s="243"/>
      <c r="AS485" s="243"/>
      <c r="AT485" s="243"/>
    </row>
    <row r="486" spans="1:46" ht="12.75" x14ac:dyDescent="0.2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3"/>
      <c r="Z486" s="243"/>
      <c r="AA486" s="243"/>
      <c r="AB486" s="243"/>
      <c r="AC486" s="243"/>
      <c r="AD486" s="243"/>
      <c r="AE486" s="243"/>
      <c r="AF486" s="243"/>
      <c r="AG486" s="243"/>
      <c r="AH486" s="243"/>
      <c r="AI486" s="243"/>
      <c r="AJ486" s="243"/>
      <c r="AK486" s="243"/>
      <c r="AL486" s="243"/>
      <c r="AM486" s="243"/>
      <c r="AN486" s="243"/>
      <c r="AO486" s="243"/>
      <c r="AP486" s="243"/>
      <c r="AQ486" s="243"/>
      <c r="AR486" s="243"/>
      <c r="AS486" s="243"/>
      <c r="AT486" s="243"/>
    </row>
    <row r="487" spans="1:46" ht="12.75" x14ac:dyDescent="0.2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3"/>
      <c r="Z487" s="243"/>
      <c r="AA487" s="243"/>
      <c r="AB487" s="243"/>
      <c r="AC487" s="243"/>
      <c r="AD487" s="243"/>
      <c r="AE487" s="243"/>
      <c r="AF487" s="243"/>
      <c r="AG487" s="243"/>
      <c r="AH487" s="243"/>
      <c r="AI487" s="243"/>
      <c r="AJ487" s="243"/>
      <c r="AK487" s="243"/>
      <c r="AL487" s="243"/>
      <c r="AM487" s="243"/>
      <c r="AN487" s="243"/>
      <c r="AO487" s="243"/>
      <c r="AP487" s="243"/>
      <c r="AQ487" s="243"/>
      <c r="AR487" s="243"/>
      <c r="AS487" s="243"/>
      <c r="AT487" s="243"/>
    </row>
    <row r="488" spans="1:46" ht="12.75" x14ac:dyDescent="0.2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3"/>
      <c r="Z488" s="243"/>
      <c r="AA488" s="243"/>
      <c r="AB488" s="243"/>
      <c r="AC488" s="243"/>
      <c r="AD488" s="243"/>
      <c r="AE488" s="243"/>
      <c r="AF488" s="243"/>
      <c r="AG488" s="243"/>
      <c r="AH488" s="243"/>
      <c r="AI488" s="243"/>
      <c r="AJ488" s="243"/>
      <c r="AK488" s="243"/>
      <c r="AL488" s="243"/>
      <c r="AM488" s="243"/>
      <c r="AN488" s="243"/>
      <c r="AO488" s="243"/>
      <c r="AP488" s="243"/>
      <c r="AQ488" s="243"/>
      <c r="AR488" s="243"/>
      <c r="AS488" s="243"/>
      <c r="AT488" s="243"/>
    </row>
    <row r="489" spans="1:46" ht="12.75" x14ac:dyDescent="0.2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  <c r="AA489" s="243"/>
      <c r="AB489" s="243"/>
      <c r="AC489" s="243"/>
      <c r="AD489" s="243"/>
      <c r="AE489" s="243"/>
      <c r="AF489" s="243"/>
      <c r="AG489" s="243"/>
      <c r="AH489" s="243"/>
      <c r="AI489" s="243"/>
      <c r="AJ489" s="243"/>
      <c r="AK489" s="243"/>
      <c r="AL489" s="243"/>
      <c r="AM489" s="243"/>
      <c r="AN489" s="243"/>
      <c r="AO489" s="243"/>
      <c r="AP489" s="243"/>
      <c r="AQ489" s="243"/>
      <c r="AR489" s="243"/>
      <c r="AS489" s="243"/>
      <c r="AT489" s="243"/>
    </row>
    <row r="490" spans="1:46" ht="12.75" x14ac:dyDescent="0.2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  <c r="AA490" s="243"/>
      <c r="AB490" s="243"/>
      <c r="AC490" s="243"/>
      <c r="AD490" s="243"/>
      <c r="AE490" s="243"/>
      <c r="AF490" s="243"/>
      <c r="AG490" s="243"/>
      <c r="AH490" s="243"/>
      <c r="AI490" s="243"/>
      <c r="AJ490" s="243"/>
      <c r="AK490" s="243"/>
      <c r="AL490" s="243"/>
      <c r="AM490" s="243"/>
      <c r="AN490" s="243"/>
      <c r="AO490" s="243"/>
      <c r="AP490" s="243"/>
      <c r="AQ490" s="243"/>
      <c r="AR490" s="243"/>
      <c r="AS490" s="243"/>
      <c r="AT490" s="243"/>
    </row>
    <row r="491" spans="1:46" ht="12.75" x14ac:dyDescent="0.2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  <c r="AA491" s="243"/>
      <c r="AB491" s="243"/>
      <c r="AC491" s="243"/>
      <c r="AD491" s="243"/>
      <c r="AE491" s="243"/>
      <c r="AF491" s="243"/>
      <c r="AG491" s="243"/>
      <c r="AH491" s="243"/>
      <c r="AI491" s="243"/>
      <c r="AJ491" s="243"/>
      <c r="AK491" s="243"/>
      <c r="AL491" s="243"/>
      <c r="AM491" s="243"/>
      <c r="AN491" s="243"/>
      <c r="AO491" s="243"/>
      <c r="AP491" s="243"/>
      <c r="AQ491" s="243"/>
      <c r="AR491" s="243"/>
      <c r="AS491" s="243"/>
      <c r="AT491" s="243"/>
    </row>
    <row r="492" spans="1:46" ht="12.75" x14ac:dyDescent="0.2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  <c r="AA492" s="243"/>
      <c r="AB492" s="243"/>
      <c r="AC492" s="243"/>
      <c r="AD492" s="243"/>
      <c r="AE492" s="243"/>
      <c r="AF492" s="243"/>
      <c r="AG492" s="243"/>
      <c r="AH492" s="243"/>
      <c r="AI492" s="243"/>
      <c r="AJ492" s="243"/>
      <c r="AK492" s="243"/>
      <c r="AL492" s="243"/>
      <c r="AM492" s="243"/>
      <c r="AN492" s="243"/>
      <c r="AO492" s="243"/>
      <c r="AP492" s="243"/>
      <c r="AQ492" s="243"/>
      <c r="AR492" s="243"/>
      <c r="AS492" s="243"/>
      <c r="AT492" s="243"/>
    </row>
    <row r="493" spans="1:46" ht="12.75" x14ac:dyDescent="0.2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  <c r="AA493" s="243"/>
      <c r="AB493" s="243"/>
      <c r="AC493" s="243"/>
      <c r="AD493" s="243"/>
      <c r="AE493" s="243"/>
      <c r="AF493" s="243"/>
      <c r="AG493" s="243"/>
      <c r="AH493" s="243"/>
      <c r="AI493" s="243"/>
      <c r="AJ493" s="243"/>
      <c r="AK493" s="243"/>
      <c r="AL493" s="243"/>
      <c r="AM493" s="243"/>
      <c r="AN493" s="243"/>
      <c r="AO493" s="243"/>
      <c r="AP493" s="243"/>
      <c r="AQ493" s="243"/>
      <c r="AR493" s="243"/>
      <c r="AS493" s="243"/>
      <c r="AT493" s="243"/>
    </row>
    <row r="494" spans="1:46" ht="12.75" x14ac:dyDescent="0.2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  <c r="AA494" s="243"/>
      <c r="AB494" s="243"/>
      <c r="AC494" s="243"/>
      <c r="AD494" s="243"/>
      <c r="AE494" s="243"/>
      <c r="AF494" s="243"/>
      <c r="AG494" s="243"/>
      <c r="AH494" s="243"/>
      <c r="AI494" s="243"/>
      <c r="AJ494" s="243"/>
      <c r="AK494" s="243"/>
      <c r="AL494" s="243"/>
      <c r="AM494" s="243"/>
      <c r="AN494" s="243"/>
      <c r="AO494" s="243"/>
      <c r="AP494" s="243"/>
      <c r="AQ494" s="243"/>
      <c r="AR494" s="243"/>
      <c r="AS494" s="243"/>
      <c r="AT494" s="243"/>
    </row>
    <row r="495" spans="1:46" ht="12.75" x14ac:dyDescent="0.2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3"/>
      <c r="Z495" s="243"/>
      <c r="AA495" s="243"/>
      <c r="AB495" s="243"/>
      <c r="AC495" s="243"/>
      <c r="AD495" s="243"/>
      <c r="AE495" s="243"/>
      <c r="AF495" s="243"/>
      <c r="AG495" s="243"/>
      <c r="AH495" s="243"/>
      <c r="AI495" s="243"/>
      <c r="AJ495" s="243"/>
      <c r="AK495" s="243"/>
      <c r="AL495" s="243"/>
      <c r="AM495" s="243"/>
      <c r="AN495" s="243"/>
      <c r="AO495" s="243"/>
      <c r="AP495" s="243"/>
      <c r="AQ495" s="243"/>
      <c r="AR495" s="243"/>
      <c r="AS495" s="243"/>
      <c r="AT495" s="243"/>
    </row>
    <row r="496" spans="1:46" ht="12.75" x14ac:dyDescent="0.2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3"/>
      <c r="Z496" s="243"/>
      <c r="AA496" s="243"/>
      <c r="AB496" s="243"/>
      <c r="AC496" s="243"/>
      <c r="AD496" s="243"/>
      <c r="AE496" s="243"/>
      <c r="AF496" s="243"/>
      <c r="AG496" s="243"/>
      <c r="AH496" s="243"/>
      <c r="AI496" s="243"/>
      <c r="AJ496" s="243"/>
      <c r="AK496" s="243"/>
      <c r="AL496" s="243"/>
      <c r="AM496" s="243"/>
      <c r="AN496" s="243"/>
      <c r="AO496" s="243"/>
      <c r="AP496" s="243"/>
      <c r="AQ496" s="243"/>
      <c r="AR496" s="243"/>
      <c r="AS496" s="243"/>
      <c r="AT496" s="243"/>
    </row>
    <row r="497" spans="1:46" ht="12.75" x14ac:dyDescent="0.2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3"/>
      <c r="Z497" s="243"/>
      <c r="AA497" s="243"/>
      <c r="AB497" s="243"/>
      <c r="AC497" s="243"/>
      <c r="AD497" s="243"/>
      <c r="AE497" s="243"/>
      <c r="AF497" s="243"/>
      <c r="AG497" s="243"/>
      <c r="AH497" s="243"/>
      <c r="AI497" s="243"/>
      <c r="AJ497" s="243"/>
      <c r="AK497" s="243"/>
      <c r="AL497" s="243"/>
      <c r="AM497" s="243"/>
      <c r="AN497" s="243"/>
      <c r="AO497" s="243"/>
      <c r="AP497" s="243"/>
      <c r="AQ497" s="243"/>
      <c r="AR497" s="243"/>
      <c r="AS497" s="243"/>
      <c r="AT497" s="243"/>
    </row>
    <row r="498" spans="1:46" ht="12.75" x14ac:dyDescent="0.2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  <c r="AA498" s="243"/>
      <c r="AB498" s="243"/>
      <c r="AC498" s="243"/>
      <c r="AD498" s="243"/>
      <c r="AE498" s="243"/>
      <c r="AF498" s="243"/>
      <c r="AG498" s="243"/>
      <c r="AH498" s="243"/>
      <c r="AI498" s="243"/>
      <c r="AJ498" s="243"/>
      <c r="AK498" s="243"/>
      <c r="AL498" s="243"/>
      <c r="AM498" s="243"/>
      <c r="AN498" s="243"/>
      <c r="AO498" s="243"/>
      <c r="AP498" s="243"/>
      <c r="AQ498" s="243"/>
      <c r="AR498" s="243"/>
      <c r="AS498" s="243"/>
      <c r="AT498" s="243"/>
    </row>
    <row r="499" spans="1:46" ht="12.75" x14ac:dyDescent="0.2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  <c r="AH499" s="243"/>
      <c r="AI499" s="243"/>
      <c r="AJ499" s="243"/>
      <c r="AK499" s="243"/>
      <c r="AL499" s="243"/>
      <c r="AM499" s="243"/>
      <c r="AN499" s="243"/>
      <c r="AO499" s="243"/>
      <c r="AP499" s="243"/>
      <c r="AQ499" s="243"/>
      <c r="AR499" s="243"/>
      <c r="AS499" s="243"/>
      <c r="AT499" s="243"/>
    </row>
    <row r="500" spans="1:46" ht="12.75" x14ac:dyDescent="0.2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  <c r="AH500" s="243"/>
      <c r="AI500" s="243"/>
      <c r="AJ500" s="243"/>
      <c r="AK500" s="243"/>
      <c r="AL500" s="243"/>
      <c r="AM500" s="243"/>
      <c r="AN500" s="243"/>
      <c r="AO500" s="243"/>
      <c r="AP500" s="243"/>
      <c r="AQ500" s="243"/>
      <c r="AR500" s="243"/>
      <c r="AS500" s="243"/>
      <c r="AT500" s="243"/>
    </row>
    <row r="501" spans="1:46" ht="12.75" x14ac:dyDescent="0.2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  <c r="AH501" s="243"/>
      <c r="AI501" s="243"/>
      <c r="AJ501" s="243"/>
      <c r="AK501" s="243"/>
      <c r="AL501" s="243"/>
      <c r="AM501" s="243"/>
      <c r="AN501" s="243"/>
      <c r="AO501" s="243"/>
      <c r="AP501" s="243"/>
      <c r="AQ501" s="243"/>
      <c r="AR501" s="243"/>
      <c r="AS501" s="243"/>
      <c r="AT501" s="243"/>
    </row>
    <row r="502" spans="1:46" ht="12.75" x14ac:dyDescent="0.2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3"/>
      <c r="Z502" s="243"/>
      <c r="AA502" s="243"/>
      <c r="AB502" s="243"/>
      <c r="AC502" s="243"/>
      <c r="AD502" s="243"/>
      <c r="AE502" s="243"/>
      <c r="AF502" s="243"/>
      <c r="AG502" s="243"/>
      <c r="AH502" s="243"/>
      <c r="AI502" s="243"/>
      <c r="AJ502" s="243"/>
      <c r="AK502" s="243"/>
      <c r="AL502" s="243"/>
      <c r="AM502" s="243"/>
      <c r="AN502" s="243"/>
      <c r="AO502" s="243"/>
      <c r="AP502" s="243"/>
      <c r="AQ502" s="243"/>
      <c r="AR502" s="243"/>
      <c r="AS502" s="243"/>
      <c r="AT502" s="243"/>
    </row>
    <row r="503" spans="1:46" ht="12.75" x14ac:dyDescent="0.2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3"/>
      <c r="Z503" s="243"/>
      <c r="AA503" s="243"/>
      <c r="AB503" s="243"/>
      <c r="AC503" s="243"/>
      <c r="AD503" s="243"/>
      <c r="AE503" s="243"/>
      <c r="AF503" s="243"/>
      <c r="AG503" s="243"/>
      <c r="AH503" s="243"/>
      <c r="AI503" s="243"/>
      <c r="AJ503" s="243"/>
      <c r="AK503" s="243"/>
      <c r="AL503" s="243"/>
      <c r="AM503" s="243"/>
      <c r="AN503" s="243"/>
      <c r="AO503" s="243"/>
      <c r="AP503" s="243"/>
      <c r="AQ503" s="243"/>
      <c r="AR503" s="243"/>
      <c r="AS503" s="243"/>
      <c r="AT503" s="243"/>
    </row>
    <row r="504" spans="1:46" ht="12.75" x14ac:dyDescent="0.2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3"/>
      <c r="Z504" s="243"/>
      <c r="AA504" s="243"/>
      <c r="AB504" s="243"/>
      <c r="AC504" s="243"/>
      <c r="AD504" s="243"/>
      <c r="AE504" s="243"/>
      <c r="AF504" s="243"/>
      <c r="AG504" s="243"/>
      <c r="AH504" s="243"/>
      <c r="AI504" s="243"/>
      <c r="AJ504" s="243"/>
      <c r="AK504" s="243"/>
      <c r="AL504" s="243"/>
      <c r="AM504" s="243"/>
      <c r="AN504" s="243"/>
      <c r="AO504" s="243"/>
      <c r="AP504" s="243"/>
      <c r="AQ504" s="243"/>
      <c r="AR504" s="243"/>
      <c r="AS504" s="243"/>
      <c r="AT504" s="243"/>
    </row>
    <row r="505" spans="1:46" ht="12.75" x14ac:dyDescent="0.2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3"/>
      <c r="Z505" s="243"/>
      <c r="AA505" s="243"/>
      <c r="AB505" s="243"/>
      <c r="AC505" s="243"/>
      <c r="AD505" s="243"/>
      <c r="AE505" s="243"/>
      <c r="AF505" s="243"/>
      <c r="AG505" s="243"/>
      <c r="AH505" s="243"/>
      <c r="AI505" s="243"/>
      <c r="AJ505" s="243"/>
      <c r="AK505" s="243"/>
      <c r="AL505" s="243"/>
      <c r="AM505" s="243"/>
      <c r="AN505" s="243"/>
      <c r="AO505" s="243"/>
      <c r="AP505" s="243"/>
      <c r="AQ505" s="243"/>
      <c r="AR505" s="243"/>
      <c r="AS505" s="243"/>
      <c r="AT505" s="243"/>
    </row>
    <row r="506" spans="1:46" ht="12.75" x14ac:dyDescent="0.2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3"/>
      <c r="Z506" s="243"/>
      <c r="AA506" s="243"/>
      <c r="AB506" s="243"/>
      <c r="AC506" s="243"/>
      <c r="AD506" s="243"/>
      <c r="AE506" s="243"/>
      <c r="AF506" s="243"/>
      <c r="AG506" s="243"/>
      <c r="AH506" s="243"/>
      <c r="AI506" s="243"/>
      <c r="AJ506" s="243"/>
      <c r="AK506" s="243"/>
      <c r="AL506" s="243"/>
      <c r="AM506" s="243"/>
      <c r="AN506" s="243"/>
      <c r="AO506" s="243"/>
      <c r="AP506" s="243"/>
      <c r="AQ506" s="243"/>
      <c r="AR506" s="243"/>
      <c r="AS506" s="243"/>
      <c r="AT506" s="243"/>
    </row>
    <row r="507" spans="1:46" ht="12.75" x14ac:dyDescent="0.2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  <c r="AA507" s="243"/>
      <c r="AB507" s="243"/>
      <c r="AC507" s="243"/>
      <c r="AD507" s="243"/>
      <c r="AE507" s="243"/>
      <c r="AF507" s="243"/>
      <c r="AG507" s="243"/>
      <c r="AH507" s="243"/>
      <c r="AI507" s="243"/>
      <c r="AJ507" s="243"/>
      <c r="AK507" s="243"/>
      <c r="AL507" s="243"/>
      <c r="AM507" s="243"/>
      <c r="AN507" s="243"/>
      <c r="AO507" s="243"/>
      <c r="AP507" s="243"/>
      <c r="AQ507" s="243"/>
      <c r="AR507" s="243"/>
      <c r="AS507" s="243"/>
      <c r="AT507" s="243"/>
    </row>
    <row r="508" spans="1:46" ht="12.75" x14ac:dyDescent="0.2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  <c r="AA508" s="243"/>
      <c r="AB508" s="243"/>
      <c r="AC508" s="243"/>
      <c r="AD508" s="243"/>
      <c r="AE508" s="243"/>
      <c r="AF508" s="243"/>
      <c r="AG508" s="243"/>
      <c r="AH508" s="243"/>
      <c r="AI508" s="243"/>
      <c r="AJ508" s="243"/>
      <c r="AK508" s="243"/>
      <c r="AL508" s="243"/>
      <c r="AM508" s="243"/>
      <c r="AN508" s="243"/>
      <c r="AO508" s="243"/>
      <c r="AP508" s="243"/>
      <c r="AQ508" s="243"/>
      <c r="AR508" s="243"/>
      <c r="AS508" s="243"/>
      <c r="AT508" s="243"/>
    </row>
    <row r="509" spans="1:46" ht="12.75" x14ac:dyDescent="0.2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  <c r="AA509" s="243"/>
      <c r="AB509" s="243"/>
      <c r="AC509" s="243"/>
      <c r="AD509" s="243"/>
      <c r="AE509" s="243"/>
      <c r="AF509" s="243"/>
      <c r="AG509" s="243"/>
      <c r="AH509" s="243"/>
      <c r="AI509" s="243"/>
      <c r="AJ509" s="243"/>
      <c r="AK509" s="243"/>
      <c r="AL509" s="243"/>
      <c r="AM509" s="243"/>
      <c r="AN509" s="243"/>
      <c r="AO509" s="243"/>
      <c r="AP509" s="243"/>
      <c r="AQ509" s="243"/>
      <c r="AR509" s="243"/>
      <c r="AS509" s="243"/>
      <c r="AT509" s="243"/>
    </row>
    <row r="510" spans="1:46" ht="12.75" x14ac:dyDescent="0.2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3"/>
      <c r="Z510" s="243"/>
      <c r="AA510" s="243"/>
      <c r="AB510" s="243"/>
      <c r="AC510" s="243"/>
      <c r="AD510" s="243"/>
      <c r="AE510" s="243"/>
      <c r="AF510" s="243"/>
      <c r="AG510" s="243"/>
      <c r="AH510" s="243"/>
      <c r="AI510" s="243"/>
      <c r="AJ510" s="243"/>
      <c r="AK510" s="243"/>
      <c r="AL510" s="243"/>
      <c r="AM510" s="243"/>
      <c r="AN510" s="243"/>
      <c r="AO510" s="243"/>
      <c r="AP510" s="243"/>
      <c r="AQ510" s="243"/>
      <c r="AR510" s="243"/>
      <c r="AS510" s="243"/>
      <c r="AT510" s="243"/>
    </row>
    <row r="511" spans="1:46" ht="12.75" x14ac:dyDescent="0.2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3"/>
      <c r="Z511" s="243"/>
      <c r="AA511" s="243"/>
      <c r="AB511" s="243"/>
      <c r="AC511" s="243"/>
      <c r="AD511" s="243"/>
      <c r="AE511" s="243"/>
      <c r="AF511" s="243"/>
      <c r="AG511" s="243"/>
      <c r="AH511" s="243"/>
      <c r="AI511" s="243"/>
      <c r="AJ511" s="243"/>
      <c r="AK511" s="243"/>
      <c r="AL511" s="243"/>
      <c r="AM511" s="243"/>
      <c r="AN511" s="243"/>
      <c r="AO511" s="243"/>
      <c r="AP511" s="243"/>
      <c r="AQ511" s="243"/>
      <c r="AR511" s="243"/>
      <c r="AS511" s="243"/>
      <c r="AT511" s="243"/>
    </row>
    <row r="512" spans="1:46" ht="12.75" x14ac:dyDescent="0.2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3"/>
      <c r="Z512" s="243"/>
      <c r="AA512" s="243"/>
      <c r="AB512" s="243"/>
      <c r="AC512" s="243"/>
      <c r="AD512" s="243"/>
      <c r="AE512" s="243"/>
      <c r="AF512" s="243"/>
      <c r="AG512" s="243"/>
      <c r="AH512" s="243"/>
      <c r="AI512" s="243"/>
      <c r="AJ512" s="243"/>
      <c r="AK512" s="243"/>
      <c r="AL512" s="243"/>
      <c r="AM512" s="243"/>
      <c r="AN512" s="243"/>
      <c r="AO512" s="243"/>
      <c r="AP512" s="243"/>
      <c r="AQ512" s="243"/>
      <c r="AR512" s="243"/>
      <c r="AS512" s="243"/>
      <c r="AT512" s="243"/>
    </row>
    <row r="513" spans="1:46" ht="12.75" x14ac:dyDescent="0.2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3"/>
      <c r="Z513" s="243"/>
      <c r="AA513" s="243"/>
      <c r="AB513" s="243"/>
      <c r="AC513" s="243"/>
      <c r="AD513" s="243"/>
      <c r="AE513" s="243"/>
      <c r="AF513" s="243"/>
      <c r="AG513" s="243"/>
      <c r="AH513" s="243"/>
      <c r="AI513" s="243"/>
      <c r="AJ513" s="243"/>
      <c r="AK513" s="243"/>
      <c r="AL513" s="243"/>
      <c r="AM513" s="243"/>
      <c r="AN513" s="243"/>
      <c r="AO513" s="243"/>
      <c r="AP513" s="243"/>
      <c r="AQ513" s="243"/>
      <c r="AR513" s="243"/>
      <c r="AS513" s="243"/>
      <c r="AT513" s="243"/>
    </row>
    <row r="514" spans="1:46" ht="12.75" x14ac:dyDescent="0.2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3"/>
      <c r="Z514" s="243"/>
      <c r="AA514" s="243"/>
      <c r="AB514" s="243"/>
      <c r="AC514" s="243"/>
      <c r="AD514" s="243"/>
      <c r="AE514" s="243"/>
      <c r="AF514" s="243"/>
      <c r="AG514" s="243"/>
      <c r="AH514" s="243"/>
      <c r="AI514" s="243"/>
      <c r="AJ514" s="243"/>
      <c r="AK514" s="243"/>
      <c r="AL514" s="243"/>
      <c r="AM514" s="243"/>
      <c r="AN514" s="243"/>
      <c r="AO514" s="243"/>
      <c r="AP514" s="243"/>
      <c r="AQ514" s="243"/>
      <c r="AR514" s="243"/>
      <c r="AS514" s="243"/>
      <c r="AT514" s="243"/>
    </row>
    <row r="515" spans="1:46" ht="12.75" x14ac:dyDescent="0.2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3"/>
      <c r="Z515" s="243"/>
      <c r="AA515" s="243"/>
      <c r="AB515" s="243"/>
      <c r="AC515" s="243"/>
      <c r="AD515" s="243"/>
      <c r="AE515" s="243"/>
      <c r="AF515" s="243"/>
      <c r="AG515" s="243"/>
      <c r="AH515" s="243"/>
      <c r="AI515" s="243"/>
      <c r="AJ515" s="243"/>
      <c r="AK515" s="243"/>
      <c r="AL515" s="243"/>
      <c r="AM515" s="243"/>
      <c r="AN515" s="243"/>
      <c r="AO515" s="243"/>
      <c r="AP515" s="243"/>
      <c r="AQ515" s="243"/>
      <c r="AR515" s="243"/>
      <c r="AS515" s="243"/>
      <c r="AT515" s="243"/>
    </row>
    <row r="516" spans="1:46" ht="12.75" x14ac:dyDescent="0.2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3"/>
      <c r="Z516" s="243"/>
      <c r="AA516" s="243"/>
      <c r="AB516" s="243"/>
      <c r="AC516" s="243"/>
      <c r="AD516" s="243"/>
      <c r="AE516" s="243"/>
      <c r="AF516" s="243"/>
      <c r="AG516" s="243"/>
      <c r="AH516" s="243"/>
      <c r="AI516" s="243"/>
      <c r="AJ516" s="243"/>
      <c r="AK516" s="243"/>
      <c r="AL516" s="243"/>
      <c r="AM516" s="243"/>
      <c r="AN516" s="243"/>
      <c r="AO516" s="243"/>
      <c r="AP516" s="243"/>
      <c r="AQ516" s="243"/>
      <c r="AR516" s="243"/>
      <c r="AS516" s="243"/>
      <c r="AT516" s="243"/>
    </row>
    <row r="517" spans="1:46" ht="12.75" x14ac:dyDescent="0.2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3"/>
      <c r="Z517" s="243"/>
      <c r="AA517" s="243"/>
      <c r="AB517" s="243"/>
      <c r="AC517" s="243"/>
      <c r="AD517" s="243"/>
      <c r="AE517" s="243"/>
      <c r="AF517" s="243"/>
      <c r="AG517" s="243"/>
      <c r="AH517" s="243"/>
      <c r="AI517" s="243"/>
      <c r="AJ517" s="243"/>
      <c r="AK517" s="243"/>
      <c r="AL517" s="243"/>
      <c r="AM517" s="243"/>
      <c r="AN517" s="243"/>
      <c r="AO517" s="243"/>
      <c r="AP517" s="243"/>
      <c r="AQ517" s="243"/>
      <c r="AR517" s="243"/>
      <c r="AS517" s="243"/>
      <c r="AT517" s="243"/>
    </row>
    <row r="518" spans="1:46" ht="12.75" x14ac:dyDescent="0.2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3"/>
      <c r="Z518" s="243"/>
      <c r="AA518" s="243"/>
      <c r="AB518" s="243"/>
      <c r="AC518" s="243"/>
      <c r="AD518" s="243"/>
      <c r="AE518" s="243"/>
      <c r="AF518" s="243"/>
      <c r="AG518" s="243"/>
      <c r="AH518" s="243"/>
      <c r="AI518" s="243"/>
      <c r="AJ518" s="243"/>
      <c r="AK518" s="243"/>
      <c r="AL518" s="243"/>
      <c r="AM518" s="243"/>
      <c r="AN518" s="243"/>
      <c r="AO518" s="243"/>
      <c r="AP518" s="243"/>
      <c r="AQ518" s="243"/>
      <c r="AR518" s="243"/>
      <c r="AS518" s="243"/>
      <c r="AT518" s="243"/>
    </row>
    <row r="519" spans="1:46" ht="12.75" x14ac:dyDescent="0.2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3"/>
      <c r="Z519" s="243"/>
      <c r="AA519" s="243"/>
      <c r="AB519" s="243"/>
      <c r="AC519" s="243"/>
      <c r="AD519" s="243"/>
      <c r="AE519" s="243"/>
      <c r="AF519" s="243"/>
      <c r="AG519" s="243"/>
      <c r="AH519" s="243"/>
      <c r="AI519" s="243"/>
      <c r="AJ519" s="243"/>
      <c r="AK519" s="243"/>
      <c r="AL519" s="243"/>
      <c r="AM519" s="243"/>
      <c r="AN519" s="243"/>
      <c r="AO519" s="243"/>
      <c r="AP519" s="243"/>
      <c r="AQ519" s="243"/>
      <c r="AR519" s="243"/>
      <c r="AS519" s="243"/>
      <c r="AT519" s="243"/>
    </row>
    <row r="520" spans="1:46" ht="12.75" x14ac:dyDescent="0.2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  <c r="AA520" s="243"/>
      <c r="AB520" s="243"/>
      <c r="AC520" s="243"/>
      <c r="AD520" s="243"/>
      <c r="AE520" s="243"/>
      <c r="AF520" s="243"/>
      <c r="AG520" s="243"/>
      <c r="AH520" s="243"/>
      <c r="AI520" s="243"/>
      <c r="AJ520" s="243"/>
      <c r="AK520" s="243"/>
      <c r="AL520" s="243"/>
      <c r="AM520" s="243"/>
      <c r="AN520" s="243"/>
      <c r="AO520" s="243"/>
      <c r="AP520" s="243"/>
      <c r="AQ520" s="243"/>
      <c r="AR520" s="243"/>
      <c r="AS520" s="243"/>
      <c r="AT520" s="243"/>
    </row>
    <row r="521" spans="1:46" ht="12.75" x14ac:dyDescent="0.2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  <c r="AA521" s="243"/>
      <c r="AB521" s="243"/>
      <c r="AC521" s="243"/>
      <c r="AD521" s="243"/>
      <c r="AE521" s="243"/>
      <c r="AF521" s="243"/>
      <c r="AG521" s="243"/>
      <c r="AH521" s="243"/>
      <c r="AI521" s="243"/>
      <c r="AJ521" s="243"/>
      <c r="AK521" s="243"/>
      <c r="AL521" s="243"/>
      <c r="AM521" s="243"/>
      <c r="AN521" s="243"/>
      <c r="AO521" s="243"/>
      <c r="AP521" s="243"/>
      <c r="AQ521" s="243"/>
      <c r="AR521" s="243"/>
      <c r="AS521" s="243"/>
      <c r="AT521" s="243"/>
    </row>
    <row r="522" spans="1:46" ht="12.75" x14ac:dyDescent="0.2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3"/>
      <c r="AG522" s="243"/>
      <c r="AH522" s="243"/>
      <c r="AI522" s="243"/>
      <c r="AJ522" s="243"/>
      <c r="AK522" s="243"/>
      <c r="AL522" s="243"/>
      <c r="AM522" s="243"/>
      <c r="AN522" s="243"/>
      <c r="AO522" s="243"/>
      <c r="AP522" s="243"/>
      <c r="AQ522" s="243"/>
      <c r="AR522" s="243"/>
      <c r="AS522" s="243"/>
      <c r="AT522" s="243"/>
    </row>
    <row r="523" spans="1:46" ht="12.75" x14ac:dyDescent="0.2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3"/>
      <c r="AG523" s="243"/>
      <c r="AH523" s="243"/>
      <c r="AI523" s="243"/>
      <c r="AJ523" s="243"/>
      <c r="AK523" s="243"/>
      <c r="AL523" s="243"/>
      <c r="AM523" s="243"/>
      <c r="AN523" s="243"/>
      <c r="AO523" s="243"/>
      <c r="AP523" s="243"/>
      <c r="AQ523" s="243"/>
      <c r="AR523" s="243"/>
      <c r="AS523" s="243"/>
      <c r="AT523" s="243"/>
    </row>
    <row r="524" spans="1:46" ht="12.75" x14ac:dyDescent="0.2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3"/>
      <c r="Z524" s="243"/>
      <c r="AA524" s="243"/>
      <c r="AB524" s="243"/>
      <c r="AC524" s="243"/>
      <c r="AD524" s="243"/>
      <c r="AE524" s="243"/>
      <c r="AF524" s="243"/>
      <c r="AG524" s="243"/>
      <c r="AH524" s="243"/>
      <c r="AI524" s="243"/>
      <c r="AJ524" s="243"/>
      <c r="AK524" s="243"/>
      <c r="AL524" s="243"/>
      <c r="AM524" s="243"/>
      <c r="AN524" s="243"/>
      <c r="AO524" s="243"/>
      <c r="AP524" s="243"/>
      <c r="AQ524" s="243"/>
      <c r="AR524" s="243"/>
      <c r="AS524" s="243"/>
      <c r="AT524" s="243"/>
    </row>
    <row r="525" spans="1:46" ht="12.75" x14ac:dyDescent="0.2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3"/>
      <c r="Z525" s="243"/>
      <c r="AA525" s="243"/>
      <c r="AB525" s="243"/>
      <c r="AC525" s="243"/>
      <c r="AD525" s="243"/>
      <c r="AE525" s="243"/>
      <c r="AF525" s="243"/>
      <c r="AG525" s="243"/>
      <c r="AH525" s="243"/>
      <c r="AI525" s="243"/>
      <c r="AJ525" s="243"/>
      <c r="AK525" s="243"/>
      <c r="AL525" s="243"/>
      <c r="AM525" s="243"/>
      <c r="AN525" s="243"/>
      <c r="AO525" s="243"/>
      <c r="AP525" s="243"/>
      <c r="AQ525" s="243"/>
      <c r="AR525" s="243"/>
      <c r="AS525" s="243"/>
      <c r="AT525" s="243"/>
    </row>
    <row r="526" spans="1:46" ht="12.75" x14ac:dyDescent="0.2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3"/>
      <c r="Z526" s="243"/>
      <c r="AA526" s="243"/>
      <c r="AB526" s="243"/>
      <c r="AC526" s="243"/>
      <c r="AD526" s="243"/>
      <c r="AE526" s="243"/>
      <c r="AF526" s="243"/>
      <c r="AG526" s="243"/>
      <c r="AH526" s="243"/>
      <c r="AI526" s="243"/>
      <c r="AJ526" s="243"/>
      <c r="AK526" s="243"/>
      <c r="AL526" s="243"/>
      <c r="AM526" s="243"/>
      <c r="AN526" s="243"/>
      <c r="AO526" s="243"/>
      <c r="AP526" s="243"/>
      <c r="AQ526" s="243"/>
      <c r="AR526" s="243"/>
      <c r="AS526" s="243"/>
      <c r="AT526" s="243"/>
    </row>
    <row r="527" spans="1:46" ht="12.75" x14ac:dyDescent="0.2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  <c r="AH527" s="243"/>
      <c r="AI527" s="243"/>
      <c r="AJ527" s="243"/>
      <c r="AK527" s="243"/>
      <c r="AL527" s="243"/>
      <c r="AM527" s="243"/>
      <c r="AN527" s="243"/>
      <c r="AO527" s="243"/>
      <c r="AP527" s="243"/>
      <c r="AQ527" s="243"/>
      <c r="AR527" s="243"/>
      <c r="AS527" s="243"/>
      <c r="AT527" s="243"/>
    </row>
    <row r="528" spans="1:46" ht="12.75" x14ac:dyDescent="0.2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  <c r="AA528" s="243"/>
      <c r="AB528" s="243"/>
      <c r="AC528" s="243"/>
      <c r="AD528" s="243"/>
      <c r="AE528" s="243"/>
      <c r="AF528" s="243"/>
      <c r="AG528" s="243"/>
      <c r="AH528" s="243"/>
      <c r="AI528" s="243"/>
      <c r="AJ528" s="243"/>
      <c r="AK528" s="243"/>
      <c r="AL528" s="243"/>
      <c r="AM528" s="243"/>
      <c r="AN528" s="243"/>
      <c r="AO528" s="243"/>
      <c r="AP528" s="243"/>
      <c r="AQ528" s="243"/>
      <c r="AR528" s="243"/>
      <c r="AS528" s="243"/>
      <c r="AT528" s="243"/>
    </row>
    <row r="529" spans="1:46" ht="12.75" x14ac:dyDescent="0.2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  <c r="AA529" s="243"/>
      <c r="AB529" s="243"/>
      <c r="AC529" s="243"/>
      <c r="AD529" s="243"/>
      <c r="AE529" s="243"/>
      <c r="AF529" s="243"/>
      <c r="AG529" s="243"/>
      <c r="AH529" s="243"/>
      <c r="AI529" s="243"/>
      <c r="AJ529" s="243"/>
      <c r="AK529" s="243"/>
      <c r="AL529" s="243"/>
      <c r="AM529" s="243"/>
      <c r="AN529" s="243"/>
      <c r="AO529" s="243"/>
      <c r="AP529" s="243"/>
      <c r="AQ529" s="243"/>
      <c r="AR529" s="243"/>
      <c r="AS529" s="243"/>
      <c r="AT529" s="243"/>
    </row>
    <row r="530" spans="1:46" ht="12.75" x14ac:dyDescent="0.2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  <c r="AA530" s="243"/>
      <c r="AB530" s="243"/>
      <c r="AC530" s="243"/>
      <c r="AD530" s="243"/>
      <c r="AE530" s="243"/>
      <c r="AF530" s="243"/>
      <c r="AG530" s="243"/>
      <c r="AH530" s="243"/>
      <c r="AI530" s="243"/>
      <c r="AJ530" s="243"/>
      <c r="AK530" s="243"/>
      <c r="AL530" s="243"/>
      <c r="AM530" s="243"/>
      <c r="AN530" s="243"/>
      <c r="AO530" s="243"/>
      <c r="AP530" s="243"/>
      <c r="AQ530" s="243"/>
      <c r="AR530" s="243"/>
      <c r="AS530" s="243"/>
      <c r="AT530" s="243"/>
    </row>
    <row r="531" spans="1:46" ht="12.75" x14ac:dyDescent="0.2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  <c r="AA531" s="243"/>
      <c r="AB531" s="243"/>
      <c r="AC531" s="243"/>
      <c r="AD531" s="243"/>
      <c r="AE531" s="243"/>
      <c r="AF531" s="243"/>
      <c r="AG531" s="243"/>
      <c r="AH531" s="243"/>
      <c r="AI531" s="243"/>
      <c r="AJ531" s="243"/>
      <c r="AK531" s="243"/>
      <c r="AL531" s="243"/>
      <c r="AM531" s="243"/>
      <c r="AN531" s="243"/>
      <c r="AO531" s="243"/>
      <c r="AP531" s="243"/>
      <c r="AQ531" s="243"/>
      <c r="AR531" s="243"/>
      <c r="AS531" s="243"/>
      <c r="AT531" s="243"/>
    </row>
    <row r="532" spans="1:46" ht="12.75" x14ac:dyDescent="0.2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243"/>
      <c r="AB532" s="243"/>
      <c r="AC532" s="243"/>
      <c r="AD532" s="243"/>
      <c r="AE532" s="243"/>
      <c r="AF532" s="243"/>
      <c r="AG532" s="243"/>
      <c r="AH532" s="243"/>
      <c r="AI532" s="243"/>
      <c r="AJ532" s="243"/>
      <c r="AK532" s="243"/>
      <c r="AL532" s="243"/>
      <c r="AM532" s="243"/>
      <c r="AN532" s="243"/>
      <c r="AO532" s="243"/>
      <c r="AP532" s="243"/>
      <c r="AQ532" s="243"/>
      <c r="AR532" s="243"/>
      <c r="AS532" s="243"/>
      <c r="AT532" s="243"/>
    </row>
    <row r="533" spans="1:46" ht="12.75" x14ac:dyDescent="0.2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  <c r="AH533" s="243"/>
      <c r="AI533" s="243"/>
      <c r="AJ533" s="243"/>
      <c r="AK533" s="243"/>
      <c r="AL533" s="243"/>
      <c r="AM533" s="243"/>
      <c r="AN533" s="243"/>
      <c r="AO533" s="243"/>
      <c r="AP533" s="243"/>
      <c r="AQ533" s="243"/>
      <c r="AR533" s="243"/>
      <c r="AS533" s="243"/>
      <c r="AT533" s="243"/>
    </row>
    <row r="534" spans="1:46" ht="12.75" x14ac:dyDescent="0.2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3"/>
      <c r="Z534" s="243"/>
      <c r="AA534" s="243"/>
      <c r="AB534" s="243"/>
      <c r="AC534" s="243"/>
      <c r="AD534" s="243"/>
      <c r="AE534" s="243"/>
      <c r="AF534" s="243"/>
      <c r="AG534" s="243"/>
      <c r="AH534" s="243"/>
      <c r="AI534" s="243"/>
      <c r="AJ534" s="243"/>
      <c r="AK534" s="243"/>
      <c r="AL534" s="243"/>
      <c r="AM534" s="243"/>
      <c r="AN534" s="243"/>
      <c r="AO534" s="243"/>
      <c r="AP534" s="243"/>
      <c r="AQ534" s="243"/>
      <c r="AR534" s="243"/>
      <c r="AS534" s="243"/>
      <c r="AT534" s="243"/>
    </row>
    <row r="535" spans="1:46" ht="12.75" x14ac:dyDescent="0.2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  <c r="AA535" s="243"/>
      <c r="AB535" s="243"/>
      <c r="AC535" s="243"/>
      <c r="AD535" s="243"/>
      <c r="AE535" s="243"/>
      <c r="AF535" s="243"/>
      <c r="AG535" s="243"/>
      <c r="AH535" s="243"/>
      <c r="AI535" s="243"/>
      <c r="AJ535" s="243"/>
      <c r="AK535" s="243"/>
      <c r="AL535" s="243"/>
      <c r="AM535" s="243"/>
      <c r="AN535" s="243"/>
      <c r="AO535" s="243"/>
      <c r="AP535" s="243"/>
      <c r="AQ535" s="243"/>
      <c r="AR535" s="243"/>
      <c r="AS535" s="243"/>
      <c r="AT535" s="243"/>
    </row>
    <row r="536" spans="1:46" ht="12.75" x14ac:dyDescent="0.2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  <c r="AA536" s="243"/>
      <c r="AB536" s="243"/>
      <c r="AC536" s="243"/>
      <c r="AD536" s="243"/>
      <c r="AE536" s="243"/>
      <c r="AF536" s="243"/>
      <c r="AG536" s="243"/>
      <c r="AH536" s="243"/>
      <c r="AI536" s="243"/>
      <c r="AJ536" s="243"/>
      <c r="AK536" s="243"/>
      <c r="AL536" s="243"/>
      <c r="AM536" s="243"/>
      <c r="AN536" s="243"/>
      <c r="AO536" s="243"/>
      <c r="AP536" s="243"/>
      <c r="AQ536" s="243"/>
      <c r="AR536" s="243"/>
      <c r="AS536" s="243"/>
      <c r="AT536" s="243"/>
    </row>
    <row r="537" spans="1:46" ht="12.75" x14ac:dyDescent="0.2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  <c r="AA537" s="243"/>
      <c r="AB537" s="243"/>
      <c r="AC537" s="243"/>
      <c r="AD537" s="243"/>
      <c r="AE537" s="243"/>
      <c r="AF537" s="243"/>
      <c r="AG537" s="243"/>
      <c r="AH537" s="243"/>
      <c r="AI537" s="243"/>
      <c r="AJ537" s="243"/>
      <c r="AK537" s="243"/>
      <c r="AL537" s="243"/>
      <c r="AM537" s="243"/>
      <c r="AN537" s="243"/>
      <c r="AO537" s="243"/>
      <c r="AP537" s="243"/>
      <c r="AQ537" s="243"/>
      <c r="AR537" s="243"/>
      <c r="AS537" s="243"/>
      <c r="AT537" s="243"/>
    </row>
    <row r="538" spans="1:46" ht="12.75" x14ac:dyDescent="0.2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  <c r="AA538" s="243"/>
      <c r="AB538" s="243"/>
      <c r="AC538" s="243"/>
      <c r="AD538" s="243"/>
      <c r="AE538" s="243"/>
      <c r="AF538" s="243"/>
      <c r="AG538" s="243"/>
      <c r="AH538" s="243"/>
      <c r="AI538" s="243"/>
      <c r="AJ538" s="243"/>
      <c r="AK538" s="243"/>
      <c r="AL538" s="243"/>
      <c r="AM538" s="243"/>
      <c r="AN538" s="243"/>
      <c r="AO538" s="243"/>
      <c r="AP538" s="243"/>
      <c r="AQ538" s="243"/>
      <c r="AR538" s="243"/>
      <c r="AS538" s="243"/>
      <c r="AT538" s="243"/>
    </row>
    <row r="539" spans="1:46" ht="12.75" x14ac:dyDescent="0.2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  <c r="AA539" s="243"/>
      <c r="AB539" s="243"/>
      <c r="AC539" s="243"/>
      <c r="AD539" s="243"/>
      <c r="AE539" s="243"/>
      <c r="AF539" s="243"/>
      <c r="AG539" s="243"/>
      <c r="AH539" s="243"/>
      <c r="AI539" s="243"/>
      <c r="AJ539" s="243"/>
      <c r="AK539" s="243"/>
      <c r="AL539" s="243"/>
      <c r="AM539" s="243"/>
      <c r="AN539" s="243"/>
      <c r="AO539" s="243"/>
      <c r="AP539" s="243"/>
      <c r="AQ539" s="243"/>
      <c r="AR539" s="243"/>
      <c r="AS539" s="243"/>
      <c r="AT539" s="243"/>
    </row>
    <row r="540" spans="1:46" ht="12.75" x14ac:dyDescent="0.2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  <c r="AA540" s="243"/>
      <c r="AB540" s="243"/>
      <c r="AC540" s="243"/>
      <c r="AD540" s="243"/>
      <c r="AE540" s="243"/>
      <c r="AF540" s="243"/>
      <c r="AG540" s="243"/>
      <c r="AH540" s="243"/>
      <c r="AI540" s="243"/>
      <c r="AJ540" s="243"/>
      <c r="AK540" s="243"/>
      <c r="AL540" s="243"/>
      <c r="AM540" s="243"/>
      <c r="AN540" s="243"/>
      <c r="AO540" s="243"/>
      <c r="AP540" s="243"/>
      <c r="AQ540" s="243"/>
      <c r="AR540" s="243"/>
      <c r="AS540" s="243"/>
      <c r="AT540" s="243"/>
    </row>
    <row r="541" spans="1:46" ht="12.75" x14ac:dyDescent="0.2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  <c r="AH541" s="243"/>
      <c r="AI541" s="243"/>
      <c r="AJ541" s="243"/>
      <c r="AK541" s="243"/>
      <c r="AL541" s="243"/>
      <c r="AM541" s="243"/>
      <c r="AN541" s="243"/>
      <c r="AO541" s="243"/>
      <c r="AP541" s="243"/>
      <c r="AQ541" s="243"/>
      <c r="AR541" s="243"/>
      <c r="AS541" s="243"/>
      <c r="AT541" s="243"/>
    </row>
    <row r="542" spans="1:46" ht="12.75" x14ac:dyDescent="0.2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  <c r="AH542" s="243"/>
      <c r="AI542" s="243"/>
      <c r="AJ542" s="243"/>
      <c r="AK542" s="243"/>
      <c r="AL542" s="243"/>
      <c r="AM542" s="243"/>
      <c r="AN542" s="243"/>
      <c r="AO542" s="243"/>
      <c r="AP542" s="243"/>
      <c r="AQ542" s="243"/>
      <c r="AR542" s="243"/>
      <c r="AS542" s="243"/>
      <c r="AT542" s="243"/>
    </row>
    <row r="543" spans="1:46" ht="12.75" x14ac:dyDescent="0.2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  <c r="AH543" s="243"/>
      <c r="AI543" s="243"/>
      <c r="AJ543" s="243"/>
      <c r="AK543" s="243"/>
      <c r="AL543" s="243"/>
      <c r="AM543" s="243"/>
      <c r="AN543" s="243"/>
      <c r="AO543" s="243"/>
      <c r="AP543" s="243"/>
      <c r="AQ543" s="243"/>
      <c r="AR543" s="243"/>
      <c r="AS543" s="243"/>
      <c r="AT543" s="243"/>
    </row>
    <row r="544" spans="1:46" ht="12.75" x14ac:dyDescent="0.2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  <c r="AH544" s="243"/>
      <c r="AI544" s="243"/>
      <c r="AJ544" s="243"/>
      <c r="AK544" s="243"/>
      <c r="AL544" s="243"/>
      <c r="AM544" s="243"/>
      <c r="AN544" s="243"/>
      <c r="AO544" s="243"/>
      <c r="AP544" s="243"/>
      <c r="AQ544" s="243"/>
      <c r="AR544" s="243"/>
      <c r="AS544" s="243"/>
      <c r="AT544" s="243"/>
    </row>
    <row r="545" spans="1:46" ht="12.75" x14ac:dyDescent="0.2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  <c r="AA545" s="243"/>
      <c r="AB545" s="243"/>
      <c r="AC545" s="243"/>
      <c r="AD545" s="243"/>
      <c r="AE545" s="243"/>
      <c r="AF545" s="243"/>
      <c r="AG545" s="243"/>
      <c r="AH545" s="243"/>
      <c r="AI545" s="243"/>
      <c r="AJ545" s="243"/>
      <c r="AK545" s="243"/>
      <c r="AL545" s="243"/>
      <c r="AM545" s="243"/>
      <c r="AN545" s="243"/>
      <c r="AO545" s="243"/>
      <c r="AP545" s="243"/>
      <c r="AQ545" s="243"/>
      <c r="AR545" s="243"/>
      <c r="AS545" s="243"/>
      <c r="AT545" s="243"/>
    </row>
    <row r="546" spans="1:46" ht="12.75" x14ac:dyDescent="0.2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  <c r="AH546" s="243"/>
      <c r="AI546" s="243"/>
      <c r="AJ546" s="243"/>
      <c r="AK546" s="243"/>
      <c r="AL546" s="243"/>
      <c r="AM546" s="243"/>
      <c r="AN546" s="243"/>
      <c r="AO546" s="243"/>
      <c r="AP546" s="243"/>
      <c r="AQ546" s="243"/>
      <c r="AR546" s="243"/>
      <c r="AS546" s="243"/>
      <c r="AT546" s="243"/>
    </row>
    <row r="547" spans="1:46" ht="12.75" x14ac:dyDescent="0.2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  <c r="AA547" s="243"/>
      <c r="AB547" s="243"/>
      <c r="AC547" s="243"/>
      <c r="AD547" s="243"/>
      <c r="AE547" s="243"/>
      <c r="AF547" s="243"/>
      <c r="AG547" s="243"/>
      <c r="AH547" s="243"/>
      <c r="AI547" s="243"/>
      <c r="AJ547" s="243"/>
      <c r="AK547" s="243"/>
      <c r="AL547" s="243"/>
      <c r="AM547" s="243"/>
      <c r="AN547" s="243"/>
      <c r="AO547" s="243"/>
      <c r="AP547" s="243"/>
      <c r="AQ547" s="243"/>
      <c r="AR547" s="243"/>
      <c r="AS547" s="243"/>
      <c r="AT547" s="243"/>
    </row>
    <row r="548" spans="1:46" ht="12.75" x14ac:dyDescent="0.2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  <c r="AA548" s="243"/>
      <c r="AB548" s="243"/>
      <c r="AC548" s="243"/>
      <c r="AD548" s="243"/>
      <c r="AE548" s="243"/>
      <c r="AF548" s="243"/>
      <c r="AG548" s="243"/>
      <c r="AH548" s="243"/>
      <c r="AI548" s="243"/>
      <c r="AJ548" s="243"/>
      <c r="AK548" s="243"/>
      <c r="AL548" s="243"/>
      <c r="AM548" s="243"/>
      <c r="AN548" s="243"/>
      <c r="AO548" s="243"/>
      <c r="AP548" s="243"/>
      <c r="AQ548" s="243"/>
      <c r="AR548" s="243"/>
      <c r="AS548" s="243"/>
      <c r="AT548" s="243"/>
    </row>
    <row r="549" spans="1:46" ht="12.75" x14ac:dyDescent="0.2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  <c r="AA549" s="243"/>
      <c r="AB549" s="243"/>
      <c r="AC549" s="243"/>
      <c r="AD549" s="243"/>
      <c r="AE549" s="243"/>
      <c r="AF549" s="243"/>
      <c r="AG549" s="243"/>
      <c r="AH549" s="243"/>
      <c r="AI549" s="243"/>
      <c r="AJ549" s="243"/>
      <c r="AK549" s="243"/>
      <c r="AL549" s="243"/>
      <c r="AM549" s="243"/>
      <c r="AN549" s="243"/>
      <c r="AO549" s="243"/>
      <c r="AP549" s="243"/>
      <c r="AQ549" s="243"/>
      <c r="AR549" s="243"/>
      <c r="AS549" s="243"/>
      <c r="AT549" s="243"/>
    </row>
    <row r="550" spans="1:46" ht="12.75" x14ac:dyDescent="0.2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  <c r="AA550" s="243"/>
      <c r="AB550" s="243"/>
      <c r="AC550" s="243"/>
      <c r="AD550" s="243"/>
      <c r="AE550" s="243"/>
      <c r="AF550" s="243"/>
      <c r="AG550" s="243"/>
      <c r="AH550" s="243"/>
      <c r="AI550" s="243"/>
      <c r="AJ550" s="243"/>
      <c r="AK550" s="243"/>
      <c r="AL550" s="243"/>
      <c r="AM550" s="243"/>
      <c r="AN550" s="243"/>
      <c r="AO550" s="243"/>
      <c r="AP550" s="243"/>
      <c r="AQ550" s="243"/>
      <c r="AR550" s="243"/>
      <c r="AS550" s="243"/>
      <c r="AT550" s="243"/>
    </row>
    <row r="551" spans="1:46" ht="12.75" x14ac:dyDescent="0.2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  <c r="AA551" s="243"/>
      <c r="AB551" s="243"/>
      <c r="AC551" s="243"/>
      <c r="AD551" s="243"/>
      <c r="AE551" s="243"/>
      <c r="AF551" s="243"/>
      <c r="AG551" s="243"/>
      <c r="AH551" s="243"/>
      <c r="AI551" s="243"/>
      <c r="AJ551" s="243"/>
      <c r="AK551" s="243"/>
      <c r="AL551" s="243"/>
      <c r="AM551" s="243"/>
      <c r="AN551" s="243"/>
      <c r="AO551" s="243"/>
      <c r="AP551" s="243"/>
      <c r="AQ551" s="243"/>
      <c r="AR551" s="243"/>
      <c r="AS551" s="243"/>
      <c r="AT551" s="243"/>
    </row>
    <row r="552" spans="1:46" ht="12.75" x14ac:dyDescent="0.2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  <c r="AA552" s="243"/>
      <c r="AB552" s="243"/>
      <c r="AC552" s="243"/>
      <c r="AD552" s="243"/>
      <c r="AE552" s="243"/>
      <c r="AF552" s="243"/>
      <c r="AG552" s="243"/>
      <c r="AH552" s="243"/>
      <c r="AI552" s="243"/>
      <c r="AJ552" s="243"/>
      <c r="AK552" s="243"/>
      <c r="AL552" s="243"/>
      <c r="AM552" s="243"/>
      <c r="AN552" s="243"/>
      <c r="AO552" s="243"/>
      <c r="AP552" s="243"/>
      <c r="AQ552" s="243"/>
      <c r="AR552" s="243"/>
      <c r="AS552" s="243"/>
      <c r="AT552" s="243"/>
    </row>
    <row r="553" spans="1:46" ht="12.75" x14ac:dyDescent="0.2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  <c r="AH553" s="243"/>
      <c r="AI553" s="243"/>
      <c r="AJ553" s="243"/>
      <c r="AK553" s="243"/>
      <c r="AL553" s="243"/>
      <c r="AM553" s="243"/>
      <c r="AN553" s="243"/>
      <c r="AO553" s="243"/>
      <c r="AP553" s="243"/>
      <c r="AQ553" s="243"/>
      <c r="AR553" s="243"/>
      <c r="AS553" s="243"/>
      <c r="AT553" s="243"/>
    </row>
    <row r="554" spans="1:46" ht="12.75" x14ac:dyDescent="0.2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  <c r="AA554" s="243"/>
      <c r="AB554" s="243"/>
      <c r="AC554" s="243"/>
      <c r="AD554" s="243"/>
      <c r="AE554" s="243"/>
      <c r="AF554" s="243"/>
      <c r="AG554" s="243"/>
      <c r="AH554" s="243"/>
      <c r="AI554" s="243"/>
      <c r="AJ554" s="243"/>
      <c r="AK554" s="243"/>
      <c r="AL554" s="243"/>
      <c r="AM554" s="243"/>
      <c r="AN554" s="243"/>
      <c r="AO554" s="243"/>
      <c r="AP554" s="243"/>
      <c r="AQ554" s="243"/>
      <c r="AR554" s="243"/>
      <c r="AS554" s="243"/>
      <c r="AT554" s="243"/>
    </row>
    <row r="555" spans="1:46" ht="12.75" x14ac:dyDescent="0.2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243"/>
      <c r="AR555" s="243"/>
      <c r="AS555" s="243"/>
      <c r="AT555" s="243"/>
    </row>
    <row r="556" spans="1:46" ht="12.75" x14ac:dyDescent="0.2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  <c r="AH556" s="243"/>
      <c r="AI556" s="243"/>
      <c r="AJ556" s="243"/>
      <c r="AK556" s="243"/>
      <c r="AL556" s="243"/>
      <c r="AM556" s="243"/>
      <c r="AN556" s="243"/>
      <c r="AO556" s="243"/>
      <c r="AP556" s="243"/>
      <c r="AQ556" s="243"/>
      <c r="AR556" s="243"/>
      <c r="AS556" s="243"/>
      <c r="AT556" s="243"/>
    </row>
    <row r="557" spans="1:46" ht="12.75" x14ac:dyDescent="0.2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  <c r="AH557" s="243"/>
      <c r="AI557" s="243"/>
      <c r="AJ557" s="243"/>
      <c r="AK557" s="243"/>
      <c r="AL557" s="243"/>
      <c r="AM557" s="243"/>
      <c r="AN557" s="243"/>
      <c r="AO557" s="243"/>
      <c r="AP557" s="243"/>
      <c r="AQ557" s="243"/>
      <c r="AR557" s="243"/>
      <c r="AS557" s="243"/>
      <c r="AT557" s="243"/>
    </row>
    <row r="558" spans="1:46" ht="12.75" x14ac:dyDescent="0.2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  <c r="AH558" s="243"/>
      <c r="AI558" s="243"/>
      <c r="AJ558" s="243"/>
      <c r="AK558" s="243"/>
      <c r="AL558" s="243"/>
      <c r="AM558" s="243"/>
      <c r="AN558" s="243"/>
      <c r="AO558" s="243"/>
      <c r="AP558" s="243"/>
      <c r="AQ558" s="243"/>
      <c r="AR558" s="243"/>
      <c r="AS558" s="243"/>
      <c r="AT558" s="243"/>
    </row>
    <row r="559" spans="1:46" ht="12.75" x14ac:dyDescent="0.2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  <c r="AA559" s="243"/>
      <c r="AB559" s="243"/>
      <c r="AC559" s="243"/>
      <c r="AD559" s="243"/>
      <c r="AE559" s="243"/>
      <c r="AF559" s="243"/>
      <c r="AG559" s="243"/>
      <c r="AH559" s="243"/>
      <c r="AI559" s="243"/>
      <c r="AJ559" s="243"/>
      <c r="AK559" s="243"/>
      <c r="AL559" s="243"/>
      <c r="AM559" s="243"/>
      <c r="AN559" s="243"/>
      <c r="AO559" s="243"/>
      <c r="AP559" s="243"/>
      <c r="AQ559" s="243"/>
      <c r="AR559" s="243"/>
      <c r="AS559" s="243"/>
      <c r="AT559" s="243"/>
    </row>
    <row r="560" spans="1:46" ht="12.75" x14ac:dyDescent="0.2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  <c r="AA560" s="243"/>
      <c r="AB560" s="243"/>
      <c r="AC560" s="243"/>
      <c r="AD560" s="243"/>
      <c r="AE560" s="243"/>
      <c r="AF560" s="243"/>
      <c r="AG560" s="243"/>
      <c r="AH560" s="243"/>
      <c r="AI560" s="243"/>
      <c r="AJ560" s="243"/>
      <c r="AK560" s="243"/>
      <c r="AL560" s="243"/>
      <c r="AM560" s="243"/>
      <c r="AN560" s="243"/>
      <c r="AO560" s="243"/>
      <c r="AP560" s="243"/>
      <c r="AQ560" s="243"/>
      <c r="AR560" s="243"/>
      <c r="AS560" s="243"/>
      <c r="AT560" s="243"/>
    </row>
    <row r="561" spans="1:46" ht="12.75" x14ac:dyDescent="0.2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  <c r="AH561" s="243"/>
      <c r="AI561" s="243"/>
      <c r="AJ561" s="243"/>
      <c r="AK561" s="243"/>
      <c r="AL561" s="243"/>
      <c r="AM561" s="243"/>
      <c r="AN561" s="243"/>
      <c r="AO561" s="243"/>
      <c r="AP561" s="243"/>
      <c r="AQ561" s="243"/>
      <c r="AR561" s="243"/>
      <c r="AS561" s="243"/>
      <c r="AT561" s="243"/>
    </row>
    <row r="562" spans="1:46" ht="12.75" x14ac:dyDescent="0.2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  <c r="AH562" s="243"/>
      <c r="AI562" s="243"/>
      <c r="AJ562" s="243"/>
      <c r="AK562" s="243"/>
      <c r="AL562" s="243"/>
      <c r="AM562" s="243"/>
      <c r="AN562" s="243"/>
      <c r="AO562" s="243"/>
      <c r="AP562" s="243"/>
      <c r="AQ562" s="243"/>
      <c r="AR562" s="243"/>
      <c r="AS562" s="243"/>
      <c r="AT562" s="243"/>
    </row>
    <row r="563" spans="1:46" ht="12.75" x14ac:dyDescent="0.2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243"/>
      <c r="AR563" s="243"/>
      <c r="AS563" s="243"/>
      <c r="AT563" s="243"/>
    </row>
    <row r="564" spans="1:46" ht="12.75" x14ac:dyDescent="0.2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243"/>
      <c r="AR564" s="243"/>
      <c r="AS564" s="243"/>
      <c r="AT564" s="243"/>
    </row>
    <row r="565" spans="1:46" ht="12.75" x14ac:dyDescent="0.2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  <c r="AA565" s="243"/>
      <c r="AB565" s="243"/>
      <c r="AC565" s="243"/>
      <c r="AD565" s="243"/>
      <c r="AE565" s="243"/>
      <c r="AF565" s="243"/>
      <c r="AG565" s="243"/>
      <c r="AH565" s="243"/>
      <c r="AI565" s="243"/>
      <c r="AJ565" s="243"/>
      <c r="AK565" s="243"/>
      <c r="AL565" s="243"/>
      <c r="AM565" s="243"/>
      <c r="AN565" s="243"/>
      <c r="AO565" s="243"/>
      <c r="AP565" s="243"/>
      <c r="AQ565" s="243"/>
      <c r="AR565" s="243"/>
      <c r="AS565" s="243"/>
      <c r="AT565" s="243"/>
    </row>
    <row r="566" spans="1:46" ht="12.75" x14ac:dyDescent="0.2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  <c r="AA566" s="243"/>
      <c r="AB566" s="243"/>
      <c r="AC566" s="243"/>
      <c r="AD566" s="243"/>
      <c r="AE566" s="243"/>
      <c r="AF566" s="243"/>
      <c r="AG566" s="243"/>
      <c r="AH566" s="243"/>
      <c r="AI566" s="243"/>
      <c r="AJ566" s="243"/>
      <c r="AK566" s="243"/>
      <c r="AL566" s="243"/>
      <c r="AM566" s="243"/>
      <c r="AN566" s="243"/>
      <c r="AO566" s="243"/>
      <c r="AP566" s="243"/>
      <c r="AQ566" s="243"/>
      <c r="AR566" s="243"/>
      <c r="AS566" s="243"/>
      <c r="AT566" s="243"/>
    </row>
    <row r="567" spans="1:46" ht="12.75" x14ac:dyDescent="0.2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  <c r="AA567" s="243"/>
      <c r="AB567" s="243"/>
      <c r="AC567" s="243"/>
      <c r="AD567" s="243"/>
      <c r="AE567" s="243"/>
      <c r="AF567" s="243"/>
      <c r="AG567" s="243"/>
      <c r="AH567" s="243"/>
      <c r="AI567" s="243"/>
      <c r="AJ567" s="243"/>
      <c r="AK567" s="243"/>
      <c r="AL567" s="243"/>
      <c r="AM567" s="243"/>
      <c r="AN567" s="243"/>
      <c r="AO567" s="243"/>
      <c r="AP567" s="243"/>
      <c r="AQ567" s="243"/>
      <c r="AR567" s="243"/>
      <c r="AS567" s="243"/>
      <c r="AT567" s="243"/>
    </row>
    <row r="568" spans="1:46" ht="12.75" x14ac:dyDescent="0.2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  <c r="AA568" s="243"/>
      <c r="AB568" s="243"/>
      <c r="AC568" s="243"/>
      <c r="AD568" s="243"/>
      <c r="AE568" s="243"/>
      <c r="AF568" s="243"/>
      <c r="AG568" s="243"/>
      <c r="AH568" s="243"/>
      <c r="AI568" s="243"/>
      <c r="AJ568" s="243"/>
      <c r="AK568" s="243"/>
      <c r="AL568" s="243"/>
      <c r="AM568" s="243"/>
      <c r="AN568" s="243"/>
      <c r="AO568" s="243"/>
      <c r="AP568" s="243"/>
      <c r="AQ568" s="243"/>
      <c r="AR568" s="243"/>
      <c r="AS568" s="243"/>
      <c r="AT568" s="243"/>
    </row>
    <row r="569" spans="1:46" ht="12.75" x14ac:dyDescent="0.2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3"/>
      <c r="Z569" s="243"/>
      <c r="AA569" s="243"/>
      <c r="AB569" s="243"/>
      <c r="AC569" s="243"/>
      <c r="AD569" s="243"/>
      <c r="AE569" s="243"/>
      <c r="AF569" s="243"/>
      <c r="AG569" s="243"/>
      <c r="AH569" s="243"/>
      <c r="AI569" s="243"/>
      <c r="AJ569" s="243"/>
      <c r="AK569" s="243"/>
      <c r="AL569" s="243"/>
      <c r="AM569" s="243"/>
      <c r="AN569" s="243"/>
      <c r="AO569" s="243"/>
      <c r="AP569" s="243"/>
      <c r="AQ569" s="243"/>
      <c r="AR569" s="243"/>
      <c r="AS569" s="243"/>
      <c r="AT569" s="243"/>
    </row>
    <row r="570" spans="1:46" ht="12.75" x14ac:dyDescent="0.2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  <c r="AA570" s="243"/>
      <c r="AB570" s="243"/>
      <c r="AC570" s="243"/>
      <c r="AD570" s="243"/>
      <c r="AE570" s="243"/>
      <c r="AF570" s="243"/>
      <c r="AG570" s="243"/>
      <c r="AH570" s="243"/>
      <c r="AI570" s="243"/>
      <c r="AJ570" s="243"/>
      <c r="AK570" s="243"/>
      <c r="AL570" s="243"/>
      <c r="AM570" s="243"/>
      <c r="AN570" s="243"/>
      <c r="AO570" s="243"/>
      <c r="AP570" s="243"/>
      <c r="AQ570" s="243"/>
      <c r="AR570" s="243"/>
      <c r="AS570" s="243"/>
      <c r="AT570" s="243"/>
    </row>
    <row r="571" spans="1:46" ht="12.75" x14ac:dyDescent="0.2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243"/>
      <c r="AC571" s="243"/>
      <c r="AD571" s="243"/>
      <c r="AE571" s="243"/>
      <c r="AF571" s="243"/>
      <c r="AG571" s="243"/>
      <c r="AH571" s="243"/>
      <c r="AI571" s="243"/>
      <c r="AJ571" s="243"/>
      <c r="AK571" s="243"/>
      <c r="AL571" s="243"/>
      <c r="AM571" s="243"/>
      <c r="AN571" s="243"/>
      <c r="AO571" s="243"/>
      <c r="AP571" s="243"/>
      <c r="AQ571" s="243"/>
      <c r="AR571" s="243"/>
      <c r="AS571" s="243"/>
      <c r="AT571" s="243"/>
    </row>
    <row r="572" spans="1:46" ht="12.75" x14ac:dyDescent="0.2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  <c r="AA572" s="243"/>
      <c r="AB572" s="243"/>
      <c r="AC572" s="243"/>
      <c r="AD572" s="243"/>
      <c r="AE572" s="243"/>
      <c r="AF572" s="243"/>
      <c r="AG572" s="243"/>
      <c r="AH572" s="243"/>
      <c r="AI572" s="243"/>
      <c r="AJ572" s="243"/>
      <c r="AK572" s="243"/>
      <c r="AL572" s="243"/>
      <c r="AM572" s="243"/>
      <c r="AN572" s="243"/>
      <c r="AO572" s="243"/>
      <c r="AP572" s="243"/>
      <c r="AQ572" s="243"/>
      <c r="AR572" s="243"/>
      <c r="AS572" s="243"/>
      <c r="AT572" s="243"/>
    </row>
    <row r="573" spans="1:46" ht="12.75" x14ac:dyDescent="0.2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  <c r="AA573" s="243"/>
      <c r="AB573" s="243"/>
      <c r="AC573" s="243"/>
      <c r="AD573" s="243"/>
      <c r="AE573" s="243"/>
      <c r="AF573" s="243"/>
      <c r="AG573" s="243"/>
      <c r="AH573" s="243"/>
      <c r="AI573" s="243"/>
      <c r="AJ573" s="243"/>
      <c r="AK573" s="243"/>
      <c r="AL573" s="243"/>
      <c r="AM573" s="243"/>
      <c r="AN573" s="243"/>
      <c r="AO573" s="243"/>
      <c r="AP573" s="243"/>
      <c r="AQ573" s="243"/>
      <c r="AR573" s="243"/>
      <c r="AS573" s="243"/>
      <c r="AT573" s="243"/>
    </row>
    <row r="574" spans="1:46" ht="12.75" x14ac:dyDescent="0.2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3"/>
      <c r="AG574" s="243"/>
      <c r="AH574" s="243"/>
      <c r="AI574" s="243"/>
      <c r="AJ574" s="243"/>
      <c r="AK574" s="243"/>
      <c r="AL574" s="243"/>
      <c r="AM574" s="243"/>
      <c r="AN574" s="243"/>
      <c r="AO574" s="243"/>
      <c r="AP574" s="243"/>
      <c r="AQ574" s="243"/>
      <c r="AR574" s="243"/>
      <c r="AS574" s="243"/>
      <c r="AT574" s="243"/>
    </row>
    <row r="575" spans="1:46" ht="12.75" x14ac:dyDescent="0.2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  <c r="AH575" s="243"/>
      <c r="AI575" s="243"/>
      <c r="AJ575" s="243"/>
      <c r="AK575" s="243"/>
      <c r="AL575" s="243"/>
      <c r="AM575" s="243"/>
      <c r="AN575" s="243"/>
      <c r="AO575" s="243"/>
      <c r="AP575" s="243"/>
      <c r="AQ575" s="243"/>
      <c r="AR575" s="243"/>
      <c r="AS575" s="243"/>
      <c r="AT575" s="243"/>
    </row>
    <row r="576" spans="1:46" ht="12.75" x14ac:dyDescent="0.2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  <c r="AH576" s="243"/>
      <c r="AI576" s="243"/>
      <c r="AJ576" s="243"/>
      <c r="AK576" s="243"/>
      <c r="AL576" s="243"/>
      <c r="AM576" s="243"/>
      <c r="AN576" s="243"/>
      <c r="AO576" s="243"/>
      <c r="AP576" s="243"/>
      <c r="AQ576" s="243"/>
      <c r="AR576" s="243"/>
      <c r="AS576" s="243"/>
      <c r="AT576" s="243"/>
    </row>
    <row r="577" spans="1:46" ht="12.75" x14ac:dyDescent="0.2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  <c r="AA577" s="243"/>
      <c r="AB577" s="243"/>
      <c r="AC577" s="243"/>
      <c r="AD577" s="243"/>
      <c r="AE577" s="243"/>
      <c r="AF577" s="243"/>
      <c r="AG577" s="243"/>
      <c r="AH577" s="243"/>
      <c r="AI577" s="243"/>
      <c r="AJ577" s="243"/>
      <c r="AK577" s="243"/>
      <c r="AL577" s="243"/>
      <c r="AM577" s="243"/>
      <c r="AN577" s="243"/>
      <c r="AO577" s="243"/>
      <c r="AP577" s="243"/>
      <c r="AQ577" s="243"/>
      <c r="AR577" s="243"/>
      <c r="AS577" s="243"/>
      <c r="AT577" s="243"/>
    </row>
    <row r="578" spans="1:46" ht="12.75" x14ac:dyDescent="0.2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  <c r="AA578" s="243"/>
      <c r="AB578" s="243"/>
      <c r="AC578" s="243"/>
      <c r="AD578" s="243"/>
      <c r="AE578" s="243"/>
      <c r="AF578" s="243"/>
      <c r="AG578" s="243"/>
      <c r="AH578" s="243"/>
      <c r="AI578" s="243"/>
      <c r="AJ578" s="243"/>
      <c r="AK578" s="243"/>
      <c r="AL578" s="243"/>
      <c r="AM578" s="243"/>
      <c r="AN578" s="243"/>
      <c r="AO578" s="243"/>
      <c r="AP578" s="243"/>
      <c r="AQ578" s="243"/>
      <c r="AR578" s="243"/>
      <c r="AS578" s="243"/>
      <c r="AT578" s="243"/>
    </row>
    <row r="579" spans="1:46" ht="12.75" x14ac:dyDescent="0.2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  <c r="AA579" s="243"/>
      <c r="AB579" s="243"/>
      <c r="AC579" s="243"/>
      <c r="AD579" s="243"/>
      <c r="AE579" s="243"/>
      <c r="AF579" s="243"/>
      <c r="AG579" s="243"/>
      <c r="AH579" s="243"/>
      <c r="AI579" s="243"/>
      <c r="AJ579" s="243"/>
      <c r="AK579" s="243"/>
      <c r="AL579" s="243"/>
      <c r="AM579" s="243"/>
      <c r="AN579" s="243"/>
      <c r="AO579" s="243"/>
      <c r="AP579" s="243"/>
      <c r="AQ579" s="243"/>
      <c r="AR579" s="243"/>
      <c r="AS579" s="243"/>
      <c r="AT579" s="243"/>
    </row>
    <row r="580" spans="1:46" ht="12.75" x14ac:dyDescent="0.2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  <c r="AA580" s="243"/>
      <c r="AB580" s="243"/>
      <c r="AC580" s="243"/>
      <c r="AD580" s="243"/>
      <c r="AE580" s="243"/>
      <c r="AF580" s="243"/>
      <c r="AG580" s="243"/>
      <c r="AH580" s="243"/>
      <c r="AI580" s="243"/>
      <c r="AJ580" s="243"/>
      <c r="AK580" s="243"/>
      <c r="AL580" s="243"/>
      <c r="AM580" s="243"/>
      <c r="AN580" s="243"/>
      <c r="AO580" s="243"/>
      <c r="AP580" s="243"/>
      <c r="AQ580" s="243"/>
      <c r="AR580" s="243"/>
      <c r="AS580" s="243"/>
      <c r="AT580" s="243"/>
    </row>
    <row r="581" spans="1:46" ht="12.75" x14ac:dyDescent="0.2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  <c r="AA581" s="243"/>
      <c r="AB581" s="243"/>
      <c r="AC581" s="243"/>
      <c r="AD581" s="243"/>
      <c r="AE581" s="243"/>
      <c r="AF581" s="243"/>
      <c r="AG581" s="243"/>
      <c r="AH581" s="243"/>
      <c r="AI581" s="243"/>
      <c r="AJ581" s="243"/>
      <c r="AK581" s="243"/>
      <c r="AL581" s="243"/>
      <c r="AM581" s="243"/>
      <c r="AN581" s="243"/>
      <c r="AO581" s="243"/>
      <c r="AP581" s="243"/>
      <c r="AQ581" s="243"/>
      <c r="AR581" s="243"/>
      <c r="AS581" s="243"/>
      <c r="AT581" s="243"/>
    </row>
    <row r="582" spans="1:46" ht="12.75" x14ac:dyDescent="0.2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  <c r="AA582" s="243"/>
      <c r="AB582" s="243"/>
      <c r="AC582" s="243"/>
      <c r="AD582" s="243"/>
      <c r="AE582" s="243"/>
      <c r="AF582" s="243"/>
      <c r="AG582" s="243"/>
      <c r="AH582" s="243"/>
      <c r="AI582" s="243"/>
      <c r="AJ582" s="243"/>
      <c r="AK582" s="243"/>
      <c r="AL582" s="243"/>
      <c r="AM582" s="243"/>
      <c r="AN582" s="243"/>
      <c r="AO582" s="243"/>
      <c r="AP582" s="243"/>
      <c r="AQ582" s="243"/>
      <c r="AR582" s="243"/>
      <c r="AS582" s="243"/>
      <c r="AT582" s="243"/>
    </row>
    <row r="583" spans="1:46" ht="12.75" x14ac:dyDescent="0.2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  <c r="AA583" s="243"/>
      <c r="AB583" s="243"/>
      <c r="AC583" s="243"/>
      <c r="AD583" s="243"/>
      <c r="AE583" s="243"/>
      <c r="AF583" s="243"/>
      <c r="AG583" s="243"/>
      <c r="AH583" s="243"/>
      <c r="AI583" s="243"/>
      <c r="AJ583" s="243"/>
      <c r="AK583" s="243"/>
      <c r="AL583" s="243"/>
      <c r="AM583" s="243"/>
      <c r="AN583" s="243"/>
      <c r="AO583" s="243"/>
      <c r="AP583" s="243"/>
      <c r="AQ583" s="243"/>
      <c r="AR583" s="243"/>
      <c r="AS583" s="243"/>
      <c r="AT583" s="243"/>
    </row>
    <row r="584" spans="1:46" ht="12.75" x14ac:dyDescent="0.2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3"/>
      <c r="Z584" s="243"/>
      <c r="AA584" s="243"/>
      <c r="AB584" s="243"/>
      <c r="AC584" s="243"/>
      <c r="AD584" s="243"/>
      <c r="AE584" s="243"/>
      <c r="AF584" s="243"/>
      <c r="AG584" s="243"/>
      <c r="AH584" s="243"/>
      <c r="AI584" s="243"/>
      <c r="AJ584" s="243"/>
      <c r="AK584" s="243"/>
      <c r="AL584" s="243"/>
      <c r="AM584" s="243"/>
      <c r="AN584" s="243"/>
      <c r="AO584" s="243"/>
      <c r="AP584" s="243"/>
      <c r="AQ584" s="243"/>
      <c r="AR584" s="243"/>
      <c r="AS584" s="243"/>
      <c r="AT584" s="243"/>
    </row>
    <row r="585" spans="1:46" ht="12.75" x14ac:dyDescent="0.2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3"/>
      <c r="Z585" s="243"/>
      <c r="AA585" s="243"/>
      <c r="AB585" s="243"/>
      <c r="AC585" s="243"/>
      <c r="AD585" s="243"/>
      <c r="AE585" s="243"/>
      <c r="AF585" s="243"/>
      <c r="AG585" s="243"/>
      <c r="AH585" s="243"/>
      <c r="AI585" s="243"/>
      <c r="AJ585" s="243"/>
      <c r="AK585" s="243"/>
      <c r="AL585" s="243"/>
      <c r="AM585" s="243"/>
      <c r="AN585" s="243"/>
      <c r="AO585" s="243"/>
      <c r="AP585" s="243"/>
      <c r="AQ585" s="243"/>
      <c r="AR585" s="243"/>
      <c r="AS585" s="243"/>
      <c r="AT585" s="243"/>
    </row>
    <row r="586" spans="1:46" ht="12.75" x14ac:dyDescent="0.2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3"/>
      <c r="Z586" s="243"/>
      <c r="AA586" s="243"/>
      <c r="AB586" s="243"/>
      <c r="AC586" s="243"/>
      <c r="AD586" s="243"/>
      <c r="AE586" s="243"/>
      <c r="AF586" s="243"/>
      <c r="AG586" s="243"/>
      <c r="AH586" s="243"/>
      <c r="AI586" s="243"/>
      <c r="AJ586" s="243"/>
      <c r="AK586" s="243"/>
      <c r="AL586" s="243"/>
      <c r="AM586" s="243"/>
      <c r="AN586" s="243"/>
      <c r="AO586" s="243"/>
      <c r="AP586" s="243"/>
      <c r="AQ586" s="243"/>
      <c r="AR586" s="243"/>
      <c r="AS586" s="243"/>
      <c r="AT586" s="243"/>
    </row>
    <row r="587" spans="1:46" ht="12.75" x14ac:dyDescent="0.2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  <c r="AA587" s="243"/>
      <c r="AB587" s="243"/>
      <c r="AC587" s="243"/>
      <c r="AD587" s="243"/>
      <c r="AE587" s="243"/>
      <c r="AF587" s="243"/>
      <c r="AG587" s="243"/>
      <c r="AH587" s="243"/>
      <c r="AI587" s="243"/>
      <c r="AJ587" s="243"/>
      <c r="AK587" s="243"/>
      <c r="AL587" s="243"/>
      <c r="AM587" s="243"/>
      <c r="AN587" s="243"/>
      <c r="AO587" s="243"/>
      <c r="AP587" s="243"/>
      <c r="AQ587" s="243"/>
      <c r="AR587" s="243"/>
      <c r="AS587" s="243"/>
      <c r="AT587" s="243"/>
    </row>
    <row r="588" spans="1:46" ht="12.75" x14ac:dyDescent="0.2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  <c r="AH588" s="243"/>
      <c r="AI588" s="243"/>
      <c r="AJ588" s="243"/>
      <c r="AK588" s="243"/>
      <c r="AL588" s="243"/>
      <c r="AM588" s="243"/>
      <c r="AN588" s="243"/>
      <c r="AO588" s="243"/>
      <c r="AP588" s="243"/>
      <c r="AQ588" s="243"/>
      <c r="AR588" s="243"/>
      <c r="AS588" s="243"/>
      <c r="AT588" s="243"/>
    </row>
    <row r="589" spans="1:46" ht="12.75" x14ac:dyDescent="0.2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  <c r="AH589" s="243"/>
      <c r="AI589" s="243"/>
      <c r="AJ589" s="243"/>
      <c r="AK589" s="243"/>
      <c r="AL589" s="243"/>
      <c r="AM589" s="243"/>
      <c r="AN589" s="243"/>
      <c r="AO589" s="243"/>
      <c r="AP589" s="243"/>
      <c r="AQ589" s="243"/>
      <c r="AR589" s="243"/>
      <c r="AS589" s="243"/>
      <c r="AT589" s="243"/>
    </row>
    <row r="590" spans="1:46" ht="12.75" x14ac:dyDescent="0.2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  <c r="AH590" s="243"/>
      <c r="AI590" s="243"/>
      <c r="AJ590" s="243"/>
      <c r="AK590" s="243"/>
      <c r="AL590" s="243"/>
      <c r="AM590" s="243"/>
      <c r="AN590" s="243"/>
      <c r="AO590" s="243"/>
      <c r="AP590" s="243"/>
      <c r="AQ590" s="243"/>
      <c r="AR590" s="243"/>
      <c r="AS590" s="243"/>
      <c r="AT590" s="243"/>
    </row>
    <row r="591" spans="1:46" ht="12.75" x14ac:dyDescent="0.2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  <c r="AH591" s="243"/>
      <c r="AI591" s="243"/>
      <c r="AJ591" s="243"/>
      <c r="AK591" s="243"/>
      <c r="AL591" s="243"/>
      <c r="AM591" s="243"/>
      <c r="AN591" s="243"/>
      <c r="AO591" s="243"/>
      <c r="AP591" s="243"/>
      <c r="AQ591" s="243"/>
      <c r="AR591" s="243"/>
      <c r="AS591" s="243"/>
      <c r="AT591" s="243"/>
    </row>
    <row r="592" spans="1:46" ht="12.75" x14ac:dyDescent="0.2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  <c r="AH592" s="243"/>
      <c r="AI592" s="243"/>
      <c r="AJ592" s="243"/>
      <c r="AK592" s="243"/>
      <c r="AL592" s="243"/>
      <c r="AM592" s="243"/>
      <c r="AN592" s="243"/>
      <c r="AO592" s="243"/>
      <c r="AP592" s="243"/>
      <c r="AQ592" s="243"/>
      <c r="AR592" s="243"/>
      <c r="AS592" s="243"/>
      <c r="AT592" s="243"/>
    </row>
    <row r="593" spans="1:46" ht="12.75" x14ac:dyDescent="0.2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3"/>
      <c r="Z593" s="243"/>
      <c r="AA593" s="243"/>
      <c r="AB593" s="243"/>
      <c r="AC593" s="243"/>
      <c r="AD593" s="243"/>
      <c r="AE593" s="243"/>
      <c r="AF593" s="243"/>
      <c r="AG593" s="243"/>
      <c r="AH593" s="243"/>
      <c r="AI593" s="243"/>
      <c r="AJ593" s="243"/>
      <c r="AK593" s="243"/>
      <c r="AL593" s="243"/>
      <c r="AM593" s="243"/>
      <c r="AN593" s="243"/>
      <c r="AO593" s="243"/>
      <c r="AP593" s="243"/>
      <c r="AQ593" s="243"/>
      <c r="AR593" s="243"/>
      <c r="AS593" s="243"/>
      <c r="AT593" s="243"/>
    </row>
    <row r="594" spans="1:46" ht="12.75" x14ac:dyDescent="0.2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  <c r="AA594" s="243"/>
      <c r="AB594" s="243"/>
      <c r="AC594" s="243"/>
      <c r="AD594" s="243"/>
      <c r="AE594" s="243"/>
      <c r="AF594" s="243"/>
      <c r="AG594" s="243"/>
      <c r="AH594" s="243"/>
      <c r="AI594" s="243"/>
      <c r="AJ594" s="243"/>
      <c r="AK594" s="243"/>
      <c r="AL594" s="243"/>
      <c r="AM594" s="243"/>
      <c r="AN594" s="243"/>
      <c r="AO594" s="243"/>
      <c r="AP594" s="243"/>
      <c r="AQ594" s="243"/>
      <c r="AR594" s="243"/>
      <c r="AS594" s="243"/>
      <c r="AT594" s="243"/>
    </row>
    <row r="595" spans="1:46" ht="12.75" x14ac:dyDescent="0.2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  <c r="AH595" s="243"/>
      <c r="AI595" s="243"/>
      <c r="AJ595" s="243"/>
      <c r="AK595" s="243"/>
      <c r="AL595" s="243"/>
      <c r="AM595" s="243"/>
      <c r="AN595" s="243"/>
      <c r="AO595" s="243"/>
      <c r="AP595" s="243"/>
      <c r="AQ595" s="243"/>
      <c r="AR595" s="243"/>
      <c r="AS595" s="243"/>
      <c r="AT595" s="243"/>
    </row>
    <row r="596" spans="1:46" ht="12.75" x14ac:dyDescent="0.2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  <c r="AA596" s="243"/>
      <c r="AB596" s="243"/>
      <c r="AC596" s="243"/>
      <c r="AD596" s="243"/>
      <c r="AE596" s="243"/>
      <c r="AF596" s="243"/>
      <c r="AG596" s="243"/>
      <c r="AH596" s="243"/>
      <c r="AI596" s="243"/>
      <c r="AJ596" s="243"/>
      <c r="AK596" s="243"/>
      <c r="AL596" s="243"/>
      <c r="AM596" s="243"/>
      <c r="AN596" s="243"/>
      <c r="AO596" s="243"/>
      <c r="AP596" s="243"/>
      <c r="AQ596" s="243"/>
      <c r="AR596" s="243"/>
      <c r="AS596" s="243"/>
      <c r="AT596" s="243"/>
    </row>
    <row r="597" spans="1:46" ht="12.75" x14ac:dyDescent="0.2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3"/>
      <c r="Z597" s="243"/>
      <c r="AA597" s="243"/>
      <c r="AB597" s="243"/>
      <c r="AC597" s="243"/>
      <c r="AD597" s="243"/>
      <c r="AE597" s="243"/>
      <c r="AF597" s="243"/>
      <c r="AG597" s="243"/>
      <c r="AH597" s="243"/>
      <c r="AI597" s="243"/>
      <c r="AJ597" s="243"/>
      <c r="AK597" s="243"/>
      <c r="AL597" s="243"/>
      <c r="AM597" s="243"/>
      <c r="AN597" s="243"/>
      <c r="AO597" s="243"/>
      <c r="AP597" s="243"/>
      <c r="AQ597" s="243"/>
      <c r="AR597" s="243"/>
      <c r="AS597" s="243"/>
      <c r="AT597" s="243"/>
    </row>
    <row r="598" spans="1:46" ht="12.75" x14ac:dyDescent="0.2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  <c r="AA598" s="243"/>
      <c r="AB598" s="243"/>
      <c r="AC598" s="243"/>
      <c r="AD598" s="243"/>
      <c r="AE598" s="243"/>
      <c r="AF598" s="243"/>
      <c r="AG598" s="243"/>
      <c r="AH598" s="243"/>
      <c r="AI598" s="243"/>
      <c r="AJ598" s="243"/>
      <c r="AK598" s="243"/>
      <c r="AL598" s="243"/>
      <c r="AM598" s="243"/>
      <c r="AN598" s="243"/>
      <c r="AO598" s="243"/>
      <c r="AP598" s="243"/>
      <c r="AQ598" s="243"/>
      <c r="AR598" s="243"/>
      <c r="AS598" s="243"/>
      <c r="AT598" s="243"/>
    </row>
    <row r="599" spans="1:46" ht="12.75" x14ac:dyDescent="0.2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  <c r="AA599" s="243"/>
      <c r="AB599" s="243"/>
      <c r="AC599" s="243"/>
      <c r="AD599" s="243"/>
      <c r="AE599" s="243"/>
      <c r="AF599" s="243"/>
      <c r="AG599" s="243"/>
      <c r="AH599" s="243"/>
      <c r="AI599" s="243"/>
      <c r="AJ599" s="243"/>
      <c r="AK599" s="243"/>
      <c r="AL599" s="243"/>
      <c r="AM599" s="243"/>
      <c r="AN599" s="243"/>
      <c r="AO599" s="243"/>
      <c r="AP599" s="243"/>
      <c r="AQ599" s="243"/>
      <c r="AR599" s="243"/>
      <c r="AS599" s="243"/>
      <c r="AT599" s="243"/>
    </row>
    <row r="600" spans="1:46" ht="12.75" x14ac:dyDescent="0.2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3"/>
      <c r="Z600" s="243"/>
      <c r="AA600" s="243"/>
      <c r="AB600" s="243"/>
      <c r="AC600" s="243"/>
      <c r="AD600" s="243"/>
      <c r="AE600" s="243"/>
      <c r="AF600" s="243"/>
      <c r="AG600" s="243"/>
      <c r="AH600" s="243"/>
      <c r="AI600" s="243"/>
      <c r="AJ600" s="243"/>
      <c r="AK600" s="243"/>
      <c r="AL600" s="243"/>
      <c r="AM600" s="243"/>
      <c r="AN600" s="243"/>
      <c r="AO600" s="243"/>
      <c r="AP600" s="243"/>
      <c r="AQ600" s="243"/>
      <c r="AR600" s="243"/>
      <c r="AS600" s="243"/>
      <c r="AT600" s="243"/>
    </row>
    <row r="601" spans="1:46" ht="12.75" x14ac:dyDescent="0.2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3"/>
      <c r="Z601" s="243"/>
      <c r="AA601" s="243"/>
      <c r="AB601" s="243"/>
      <c r="AC601" s="243"/>
      <c r="AD601" s="243"/>
      <c r="AE601" s="243"/>
      <c r="AF601" s="243"/>
      <c r="AG601" s="243"/>
      <c r="AH601" s="243"/>
      <c r="AI601" s="243"/>
      <c r="AJ601" s="243"/>
      <c r="AK601" s="243"/>
      <c r="AL601" s="243"/>
      <c r="AM601" s="243"/>
      <c r="AN601" s="243"/>
      <c r="AO601" s="243"/>
      <c r="AP601" s="243"/>
      <c r="AQ601" s="243"/>
      <c r="AR601" s="243"/>
      <c r="AS601" s="243"/>
      <c r="AT601" s="243"/>
    </row>
    <row r="602" spans="1:46" ht="12.75" x14ac:dyDescent="0.2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  <c r="AA602" s="243"/>
      <c r="AB602" s="243"/>
      <c r="AC602" s="243"/>
      <c r="AD602" s="243"/>
      <c r="AE602" s="243"/>
      <c r="AF602" s="243"/>
      <c r="AG602" s="243"/>
      <c r="AH602" s="243"/>
      <c r="AI602" s="243"/>
      <c r="AJ602" s="243"/>
      <c r="AK602" s="243"/>
      <c r="AL602" s="243"/>
      <c r="AM602" s="243"/>
      <c r="AN602" s="243"/>
      <c r="AO602" s="243"/>
      <c r="AP602" s="243"/>
      <c r="AQ602" s="243"/>
      <c r="AR602" s="243"/>
      <c r="AS602" s="243"/>
      <c r="AT602" s="243"/>
    </row>
    <row r="603" spans="1:46" ht="12.75" x14ac:dyDescent="0.2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  <c r="AA603" s="243"/>
      <c r="AB603" s="243"/>
      <c r="AC603" s="243"/>
      <c r="AD603" s="243"/>
      <c r="AE603" s="243"/>
      <c r="AF603" s="243"/>
      <c r="AG603" s="243"/>
      <c r="AH603" s="243"/>
      <c r="AI603" s="243"/>
      <c r="AJ603" s="243"/>
      <c r="AK603" s="243"/>
      <c r="AL603" s="243"/>
      <c r="AM603" s="243"/>
      <c r="AN603" s="243"/>
      <c r="AO603" s="243"/>
      <c r="AP603" s="243"/>
      <c r="AQ603" s="243"/>
      <c r="AR603" s="243"/>
      <c r="AS603" s="243"/>
      <c r="AT603" s="243"/>
    </row>
    <row r="604" spans="1:46" ht="12.75" x14ac:dyDescent="0.2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3"/>
      <c r="Z604" s="243"/>
      <c r="AA604" s="243"/>
      <c r="AB604" s="243"/>
      <c r="AC604" s="243"/>
      <c r="AD604" s="243"/>
      <c r="AE604" s="243"/>
      <c r="AF604" s="243"/>
      <c r="AG604" s="243"/>
      <c r="AH604" s="243"/>
      <c r="AI604" s="243"/>
      <c r="AJ604" s="243"/>
      <c r="AK604" s="243"/>
      <c r="AL604" s="243"/>
      <c r="AM604" s="243"/>
      <c r="AN604" s="243"/>
      <c r="AO604" s="243"/>
      <c r="AP604" s="243"/>
      <c r="AQ604" s="243"/>
      <c r="AR604" s="243"/>
      <c r="AS604" s="243"/>
      <c r="AT604" s="243"/>
    </row>
    <row r="605" spans="1:46" ht="12.75" x14ac:dyDescent="0.2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  <c r="AA605" s="243"/>
      <c r="AB605" s="243"/>
      <c r="AC605" s="243"/>
      <c r="AD605" s="243"/>
      <c r="AE605" s="243"/>
      <c r="AF605" s="243"/>
      <c r="AG605" s="243"/>
      <c r="AH605" s="243"/>
      <c r="AI605" s="243"/>
      <c r="AJ605" s="243"/>
      <c r="AK605" s="243"/>
      <c r="AL605" s="243"/>
      <c r="AM605" s="243"/>
      <c r="AN605" s="243"/>
      <c r="AO605" s="243"/>
      <c r="AP605" s="243"/>
      <c r="AQ605" s="243"/>
      <c r="AR605" s="243"/>
      <c r="AS605" s="243"/>
      <c r="AT605" s="243"/>
    </row>
    <row r="606" spans="1:46" ht="12.75" x14ac:dyDescent="0.2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  <c r="AA606" s="243"/>
      <c r="AB606" s="243"/>
      <c r="AC606" s="243"/>
      <c r="AD606" s="243"/>
      <c r="AE606" s="243"/>
      <c r="AF606" s="243"/>
      <c r="AG606" s="243"/>
      <c r="AH606" s="243"/>
      <c r="AI606" s="243"/>
      <c r="AJ606" s="243"/>
      <c r="AK606" s="243"/>
      <c r="AL606" s="243"/>
      <c r="AM606" s="243"/>
      <c r="AN606" s="243"/>
      <c r="AO606" s="243"/>
      <c r="AP606" s="243"/>
      <c r="AQ606" s="243"/>
      <c r="AR606" s="243"/>
      <c r="AS606" s="243"/>
      <c r="AT606" s="243"/>
    </row>
    <row r="607" spans="1:46" ht="12.75" x14ac:dyDescent="0.2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  <c r="AA607" s="243"/>
      <c r="AB607" s="243"/>
      <c r="AC607" s="243"/>
      <c r="AD607" s="243"/>
      <c r="AE607" s="243"/>
      <c r="AF607" s="243"/>
      <c r="AG607" s="243"/>
      <c r="AH607" s="243"/>
      <c r="AI607" s="243"/>
      <c r="AJ607" s="243"/>
      <c r="AK607" s="243"/>
      <c r="AL607" s="243"/>
      <c r="AM607" s="243"/>
      <c r="AN607" s="243"/>
      <c r="AO607" s="243"/>
      <c r="AP607" s="243"/>
      <c r="AQ607" s="243"/>
      <c r="AR607" s="243"/>
      <c r="AS607" s="243"/>
      <c r="AT607" s="243"/>
    </row>
    <row r="608" spans="1:46" ht="12.75" x14ac:dyDescent="0.2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  <c r="AA608" s="243"/>
      <c r="AB608" s="243"/>
      <c r="AC608" s="243"/>
      <c r="AD608" s="243"/>
      <c r="AE608" s="243"/>
      <c r="AF608" s="243"/>
      <c r="AG608" s="243"/>
      <c r="AH608" s="243"/>
      <c r="AI608" s="243"/>
      <c r="AJ608" s="243"/>
      <c r="AK608" s="243"/>
      <c r="AL608" s="243"/>
      <c r="AM608" s="243"/>
      <c r="AN608" s="243"/>
      <c r="AO608" s="243"/>
      <c r="AP608" s="243"/>
      <c r="AQ608" s="243"/>
      <c r="AR608" s="243"/>
      <c r="AS608" s="243"/>
      <c r="AT608" s="243"/>
    </row>
    <row r="609" spans="1:46" ht="12.75" x14ac:dyDescent="0.2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  <c r="AH609" s="243"/>
      <c r="AI609" s="243"/>
      <c r="AJ609" s="243"/>
      <c r="AK609" s="243"/>
      <c r="AL609" s="243"/>
      <c r="AM609" s="243"/>
      <c r="AN609" s="243"/>
      <c r="AO609" s="243"/>
      <c r="AP609" s="243"/>
      <c r="AQ609" s="243"/>
      <c r="AR609" s="243"/>
      <c r="AS609" s="243"/>
      <c r="AT609" s="243"/>
    </row>
    <row r="610" spans="1:46" ht="12.75" x14ac:dyDescent="0.2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  <c r="AH610" s="243"/>
      <c r="AI610" s="243"/>
      <c r="AJ610" s="243"/>
      <c r="AK610" s="243"/>
      <c r="AL610" s="243"/>
      <c r="AM610" s="243"/>
      <c r="AN610" s="243"/>
      <c r="AO610" s="243"/>
      <c r="AP610" s="243"/>
      <c r="AQ610" s="243"/>
      <c r="AR610" s="243"/>
      <c r="AS610" s="243"/>
      <c r="AT610" s="243"/>
    </row>
    <row r="611" spans="1:46" ht="12.75" x14ac:dyDescent="0.2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3"/>
      <c r="Z611" s="243"/>
      <c r="AA611" s="243"/>
      <c r="AB611" s="243"/>
      <c r="AC611" s="243"/>
      <c r="AD611" s="243"/>
      <c r="AE611" s="243"/>
      <c r="AF611" s="243"/>
      <c r="AG611" s="243"/>
      <c r="AH611" s="243"/>
      <c r="AI611" s="243"/>
      <c r="AJ611" s="243"/>
      <c r="AK611" s="243"/>
      <c r="AL611" s="243"/>
      <c r="AM611" s="243"/>
      <c r="AN611" s="243"/>
      <c r="AO611" s="243"/>
      <c r="AP611" s="243"/>
      <c r="AQ611" s="243"/>
      <c r="AR611" s="243"/>
      <c r="AS611" s="243"/>
      <c r="AT611" s="243"/>
    </row>
    <row r="612" spans="1:46" ht="12.75" x14ac:dyDescent="0.2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3"/>
      <c r="Z612" s="243"/>
      <c r="AA612" s="243"/>
      <c r="AB612" s="243"/>
      <c r="AC612" s="243"/>
      <c r="AD612" s="243"/>
      <c r="AE612" s="243"/>
      <c r="AF612" s="243"/>
      <c r="AG612" s="243"/>
      <c r="AH612" s="243"/>
      <c r="AI612" s="243"/>
      <c r="AJ612" s="243"/>
      <c r="AK612" s="243"/>
      <c r="AL612" s="243"/>
      <c r="AM612" s="243"/>
      <c r="AN612" s="243"/>
      <c r="AO612" s="243"/>
      <c r="AP612" s="243"/>
      <c r="AQ612" s="243"/>
      <c r="AR612" s="243"/>
      <c r="AS612" s="243"/>
      <c r="AT612" s="243"/>
    </row>
    <row r="613" spans="1:46" ht="12.75" x14ac:dyDescent="0.2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  <c r="AA613" s="243"/>
      <c r="AB613" s="243"/>
      <c r="AC613" s="243"/>
      <c r="AD613" s="243"/>
      <c r="AE613" s="243"/>
      <c r="AF613" s="243"/>
      <c r="AG613" s="243"/>
      <c r="AH613" s="243"/>
      <c r="AI613" s="243"/>
      <c r="AJ613" s="243"/>
      <c r="AK613" s="243"/>
      <c r="AL613" s="243"/>
      <c r="AM613" s="243"/>
      <c r="AN613" s="243"/>
      <c r="AO613" s="243"/>
      <c r="AP613" s="243"/>
      <c r="AQ613" s="243"/>
      <c r="AR613" s="243"/>
      <c r="AS613" s="243"/>
      <c r="AT613" s="243"/>
    </row>
    <row r="614" spans="1:46" ht="12.75" x14ac:dyDescent="0.2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3"/>
      <c r="Z614" s="243"/>
      <c r="AA614" s="243"/>
      <c r="AB614" s="243"/>
      <c r="AC614" s="243"/>
      <c r="AD614" s="243"/>
      <c r="AE614" s="243"/>
      <c r="AF614" s="243"/>
      <c r="AG614" s="243"/>
      <c r="AH614" s="243"/>
      <c r="AI614" s="243"/>
      <c r="AJ614" s="243"/>
      <c r="AK614" s="243"/>
      <c r="AL614" s="243"/>
      <c r="AM614" s="243"/>
      <c r="AN614" s="243"/>
      <c r="AO614" s="243"/>
      <c r="AP614" s="243"/>
      <c r="AQ614" s="243"/>
      <c r="AR614" s="243"/>
      <c r="AS614" s="243"/>
      <c r="AT614" s="243"/>
    </row>
    <row r="615" spans="1:46" ht="12.75" x14ac:dyDescent="0.2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3"/>
      <c r="Z615" s="243"/>
      <c r="AA615" s="243"/>
      <c r="AB615" s="243"/>
      <c r="AC615" s="243"/>
      <c r="AD615" s="243"/>
      <c r="AE615" s="243"/>
      <c r="AF615" s="243"/>
      <c r="AG615" s="243"/>
      <c r="AH615" s="243"/>
      <c r="AI615" s="243"/>
      <c r="AJ615" s="243"/>
      <c r="AK615" s="243"/>
      <c r="AL615" s="243"/>
      <c r="AM615" s="243"/>
      <c r="AN615" s="243"/>
      <c r="AO615" s="243"/>
      <c r="AP615" s="243"/>
      <c r="AQ615" s="243"/>
      <c r="AR615" s="243"/>
      <c r="AS615" s="243"/>
      <c r="AT615" s="243"/>
    </row>
    <row r="616" spans="1:46" ht="12.75" x14ac:dyDescent="0.2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  <c r="AA616" s="243"/>
      <c r="AB616" s="243"/>
      <c r="AC616" s="243"/>
      <c r="AD616" s="243"/>
      <c r="AE616" s="243"/>
      <c r="AF616" s="243"/>
      <c r="AG616" s="243"/>
      <c r="AH616" s="243"/>
      <c r="AI616" s="243"/>
      <c r="AJ616" s="243"/>
      <c r="AK616" s="243"/>
      <c r="AL616" s="243"/>
      <c r="AM616" s="243"/>
      <c r="AN616" s="243"/>
      <c r="AO616" s="243"/>
      <c r="AP616" s="243"/>
      <c r="AQ616" s="243"/>
      <c r="AR616" s="243"/>
      <c r="AS616" s="243"/>
      <c r="AT616" s="243"/>
    </row>
    <row r="617" spans="1:46" ht="12.75" x14ac:dyDescent="0.2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  <c r="AA617" s="243"/>
      <c r="AB617" s="243"/>
      <c r="AC617" s="243"/>
      <c r="AD617" s="243"/>
      <c r="AE617" s="243"/>
      <c r="AF617" s="243"/>
      <c r="AG617" s="243"/>
      <c r="AH617" s="243"/>
      <c r="AI617" s="243"/>
      <c r="AJ617" s="243"/>
      <c r="AK617" s="243"/>
      <c r="AL617" s="243"/>
      <c r="AM617" s="243"/>
      <c r="AN617" s="243"/>
      <c r="AO617" s="243"/>
      <c r="AP617" s="243"/>
      <c r="AQ617" s="243"/>
      <c r="AR617" s="243"/>
      <c r="AS617" s="243"/>
      <c r="AT617" s="243"/>
    </row>
    <row r="618" spans="1:46" ht="12.75" x14ac:dyDescent="0.2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  <c r="AA618" s="243"/>
      <c r="AB618" s="243"/>
      <c r="AC618" s="243"/>
      <c r="AD618" s="243"/>
      <c r="AE618" s="243"/>
      <c r="AF618" s="243"/>
      <c r="AG618" s="243"/>
      <c r="AH618" s="243"/>
      <c r="AI618" s="243"/>
      <c r="AJ618" s="243"/>
      <c r="AK618" s="243"/>
      <c r="AL618" s="243"/>
      <c r="AM618" s="243"/>
      <c r="AN618" s="243"/>
      <c r="AO618" s="243"/>
      <c r="AP618" s="243"/>
      <c r="AQ618" s="243"/>
      <c r="AR618" s="243"/>
      <c r="AS618" s="243"/>
      <c r="AT618" s="243"/>
    </row>
    <row r="619" spans="1:46" ht="12.75" x14ac:dyDescent="0.2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  <c r="AA619" s="243"/>
      <c r="AB619" s="243"/>
      <c r="AC619" s="243"/>
      <c r="AD619" s="243"/>
      <c r="AE619" s="243"/>
      <c r="AF619" s="243"/>
      <c r="AG619" s="243"/>
      <c r="AH619" s="243"/>
      <c r="AI619" s="243"/>
      <c r="AJ619" s="243"/>
      <c r="AK619" s="243"/>
      <c r="AL619" s="243"/>
      <c r="AM619" s="243"/>
      <c r="AN619" s="243"/>
      <c r="AO619" s="243"/>
      <c r="AP619" s="243"/>
      <c r="AQ619" s="243"/>
      <c r="AR619" s="243"/>
      <c r="AS619" s="243"/>
      <c r="AT619" s="243"/>
    </row>
    <row r="620" spans="1:46" ht="12.75" x14ac:dyDescent="0.2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  <c r="AA620" s="243"/>
      <c r="AB620" s="243"/>
      <c r="AC620" s="243"/>
      <c r="AD620" s="243"/>
      <c r="AE620" s="243"/>
      <c r="AF620" s="243"/>
      <c r="AG620" s="243"/>
      <c r="AH620" s="243"/>
      <c r="AI620" s="243"/>
      <c r="AJ620" s="243"/>
      <c r="AK620" s="243"/>
      <c r="AL620" s="243"/>
      <c r="AM620" s="243"/>
      <c r="AN620" s="243"/>
      <c r="AO620" s="243"/>
      <c r="AP620" s="243"/>
      <c r="AQ620" s="243"/>
      <c r="AR620" s="243"/>
      <c r="AS620" s="243"/>
      <c r="AT620" s="243"/>
    </row>
    <row r="621" spans="1:46" ht="12.75" x14ac:dyDescent="0.2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3"/>
      <c r="Z621" s="243"/>
      <c r="AA621" s="243"/>
      <c r="AB621" s="243"/>
      <c r="AC621" s="243"/>
      <c r="AD621" s="243"/>
      <c r="AE621" s="243"/>
      <c r="AF621" s="243"/>
      <c r="AG621" s="243"/>
      <c r="AH621" s="243"/>
      <c r="AI621" s="243"/>
      <c r="AJ621" s="243"/>
      <c r="AK621" s="243"/>
      <c r="AL621" s="243"/>
      <c r="AM621" s="243"/>
      <c r="AN621" s="243"/>
      <c r="AO621" s="243"/>
      <c r="AP621" s="243"/>
      <c r="AQ621" s="243"/>
      <c r="AR621" s="243"/>
      <c r="AS621" s="243"/>
      <c r="AT621" s="243"/>
    </row>
    <row r="622" spans="1:46" ht="12.75" x14ac:dyDescent="0.2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3"/>
      <c r="Z622" s="243"/>
      <c r="AA622" s="243"/>
      <c r="AB622" s="243"/>
      <c r="AC622" s="243"/>
      <c r="AD622" s="243"/>
      <c r="AE622" s="243"/>
      <c r="AF622" s="243"/>
      <c r="AG622" s="243"/>
      <c r="AH622" s="243"/>
      <c r="AI622" s="243"/>
      <c r="AJ622" s="243"/>
      <c r="AK622" s="243"/>
      <c r="AL622" s="243"/>
      <c r="AM622" s="243"/>
      <c r="AN622" s="243"/>
      <c r="AO622" s="243"/>
      <c r="AP622" s="243"/>
      <c r="AQ622" s="243"/>
      <c r="AR622" s="243"/>
      <c r="AS622" s="243"/>
      <c r="AT622" s="243"/>
    </row>
    <row r="623" spans="1:46" ht="12.75" x14ac:dyDescent="0.2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  <c r="AA623" s="243"/>
      <c r="AB623" s="243"/>
      <c r="AC623" s="243"/>
      <c r="AD623" s="243"/>
      <c r="AE623" s="243"/>
      <c r="AF623" s="243"/>
      <c r="AG623" s="243"/>
      <c r="AH623" s="243"/>
      <c r="AI623" s="243"/>
      <c r="AJ623" s="243"/>
      <c r="AK623" s="243"/>
      <c r="AL623" s="243"/>
      <c r="AM623" s="243"/>
      <c r="AN623" s="243"/>
      <c r="AO623" s="243"/>
      <c r="AP623" s="243"/>
      <c r="AQ623" s="243"/>
      <c r="AR623" s="243"/>
      <c r="AS623" s="243"/>
      <c r="AT623" s="243"/>
    </row>
    <row r="624" spans="1:46" ht="12.75" x14ac:dyDescent="0.2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  <c r="AA624" s="243"/>
      <c r="AB624" s="243"/>
      <c r="AC624" s="243"/>
      <c r="AD624" s="243"/>
      <c r="AE624" s="243"/>
      <c r="AF624" s="243"/>
      <c r="AG624" s="243"/>
      <c r="AH624" s="243"/>
      <c r="AI624" s="243"/>
      <c r="AJ624" s="243"/>
      <c r="AK624" s="243"/>
      <c r="AL624" s="243"/>
      <c r="AM624" s="243"/>
      <c r="AN624" s="243"/>
      <c r="AO624" s="243"/>
      <c r="AP624" s="243"/>
      <c r="AQ624" s="243"/>
      <c r="AR624" s="243"/>
      <c r="AS624" s="243"/>
      <c r="AT624" s="243"/>
    </row>
    <row r="625" spans="1:46" ht="12.75" x14ac:dyDescent="0.2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  <c r="AA625" s="243"/>
      <c r="AB625" s="243"/>
      <c r="AC625" s="243"/>
      <c r="AD625" s="243"/>
      <c r="AE625" s="243"/>
      <c r="AF625" s="243"/>
      <c r="AG625" s="243"/>
      <c r="AH625" s="243"/>
      <c r="AI625" s="243"/>
      <c r="AJ625" s="243"/>
      <c r="AK625" s="243"/>
      <c r="AL625" s="243"/>
      <c r="AM625" s="243"/>
      <c r="AN625" s="243"/>
      <c r="AO625" s="243"/>
      <c r="AP625" s="243"/>
      <c r="AQ625" s="243"/>
      <c r="AR625" s="243"/>
      <c r="AS625" s="243"/>
      <c r="AT625" s="243"/>
    </row>
    <row r="626" spans="1:46" ht="12.75" x14ac:dyDescent="0.2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  <c r="AH626" s="243"/>
      <c r="AI626" s="243"/>
      <c r="AJ626" s="243"/>
      <c r="AK626" s="243"/>
      <c r="AL626" s="243"/>
      <c r="AM626" s="243"/>
      <c r="AN626" s="243"/>
      <c r="AO626" s="243"/>
      <c r="AP626" s="243"/>
      <c r="AQ626" s="243"/>
      <c r="AR626" s="243"/>
      <c r="AS626" s="243"/>
      <c r="AT626" s="243"/>
    </row>
    <row r="627" spans="1:46" ht="12.75" x14ac:dyDescent="0.2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  <c r="AH627" s="243"/>
      <c r="AI627" s="243"/>
      <c r="AJ627" s="243"/>
      <c r="AK627" s="243"/>
      <c r="AL627" s="243"/>
      <c r="AM627" s="243"/>
      <c r="AN627" s="243"/>
      <c r="AO627" s="243"/>
      <c r="AP627" s="243"/>
      <c r="AQ627" s="243"/>
      <c r="AR627" s="243"/>
      <c r="AS627" s="243"/>
      <c r="AT627" s="243"/>
    </row>
    <row r="628" spans="1:46" ht="12.75" x14ac:dyDescent="0.2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  <c r="AH628" s="243"/>
      <c r="AI628" s="243"/>
      <c r="AJ628" s="243"/>
      <c r="AK628" s="243"/>
      <c r="AL628" s="243"/>
      <c r="AM628" s="243"/>
      <c r="AN628" s="243"/>
      <c r="AO628" s="243"/>
      <c r="AP628" s="243"/>
      <c r="AQ628" s="243"/>
      <c r="AR628" s="243"/>
      <c r="AS628" s="243"/>
      <c r="AT628" s="243"/>
    </row>
    <row r="629" spans="1:46" ht="12.75" x14ac:dyDescent="0.2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  <c r="AH629" s="243"/>
      <c r="AI629" s="243"/>
      <c r="AJ629" s="243"/>
      <c r="AK629" s="243"/>
      <c r="AL629" s="243"/>
      <c r="AM629" s="243"/>
      <c r="AN629" s="243"/>
      <c r="AO629" s="243"/>
      <c r="AP629" s="243"/>
      <c r="AQ629" s="243"/>
      <c r="AR629" s="243"/>
      <c r="AS629" s="243"/>
      <c r="AT629" s="243"/>
    </row>
    <row r="630" spans="1:46" ht="12.75" x14ac:dyDescent="0.2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243"/>
      <c r="AR630" s="243"/>
      <c r="AS630" s="243"/>
      <c r="AT630" s="243"/>
    </row>
    <row r="631" spans="1:46" ht="12.75" x14ac:dyDescent="0.2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  <c r="AA631" s="243"/>
      <c r="AB631" s="243"/>
      <c r="AC631" s="243"/>
      <c r="AD631" s="243"/>
      <c r="AE631" s="243"/>
      <c r="AF631" s="243"/>
      <c r="AG631" s="243"/>
      <c r="AH631" s="243"/>
      <c r="AI631" s="243"/>
      <c r="AJ631" s="243"/>
      <c r="AK631" s="243"/>
      <c r="AL631" s="243"/>
      <c r="AM631" s="243"/>
      <c r="AN631" s="243"/>
      <c r="AO631" s="243"/>
      <c r="AP631" s="243"/>
      <c r="AQ631" s="243"/>
      <c r="AR631" s="243"/>
      <c r="AS631" s="243"/>
      <c r="AT631" s="243"/>
    </row>
    <row r="632" spans="1:46" ht="12.75" x14ac:dyDescent="0.2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  <c r="AA632" s="243"/>
      <c r="AB632" s="243"/>
      <c r="AC632" s="243"/>
      <c r="AD632" s="243"/>
      <c r="AE632" s="243"/>
      <c r="AF632" s="243"/>
      <c r="AG632" s="243"/>
      <c r="AH632" s="243"/>
      <c r="AI632" s="243"/>
      <c r="AJ632" s="243"/>
      <c r="AK632" s="243"/>
      <c r="AL632" s="243"/>
      <c r="AM632" s="243"/>
      <c r="AN632" s="243"/>
      <c r="AO632" s="243"/>
      <c r="AP632" s="243"/>
      <c r="AQ632" s="243"/>
      <c r="AR632" s="243"/>
      <c r="AS632" s="243"/>
      <c r="AT632" s="243"/>
    </row>
    <row r="633" spans="1:46" ht="12.75" x14ac:dyDescent="0.2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  <c r="AA633" s="243"/>
      <c r="AB633" s="243"/>
      <c r="AC633" s="243"/>
      <c r="AD633" s="243"/>
      <c r="AE633" s="243"/>
      <c r="AF633" s="243"/>
      <c r="AG633" s="243"/>
      <c r="AH633" s="243"/>
      <c r="AI633" s="243"/>
      <c r="AJ633" s="243"/>
      <c r="AK633" s="243"/>
      <c r="AL633" s="243"/>
      <c r="AM633" s="243"/>
      <c r="AN633" s="243"/>
      <c r="AO633" s="243"/>
      <c r="AP633" s="243"/>
      <c r="AQ633" s="243"/>
      <c r="AR633" s="243"/>
      <c r="AS633" s="243"/>
      <c r="AT633" s="243"/>
    </row>
    <row r="634" spans="1:46" ht="12.75" x14ac:dyDescent="0.2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  <c r="AA634" s="243"/>
      <c r="AB634" s="243"/>
      <c r="AC634" s="243"/>
      <c r="AD634" s="243"/>
      <c r="AE634" s="243"/>
      <c r="AF634" s="243"/>
      <c r="AG634" s="243"/>
      <c r="AH634" s="243"/>
      <c r="AI634" s="243"/>
      <c r="AJ634" s="243"/>
      <c r="AK634" s="243"/>
      <c r="AL634" s="243"/>
      <c r="AM634" s="243"/>
      <c r="AN634" s="243"/>
      <c r="AO634" s="243"/>
      <c r="AP634" s="243"/>
      <c r="AQ634" s="243"/>
      <c r="AR634" s="243"/>
      <c r="AS634" s="243"/>
      <c r="AT634" s="243"/>
    </row>
    <row r="635" spans="1:46" ht="12.75" x14ac:dyDescent="0.2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  <c r="AA635" s="243"/>
      <c r="AB635" s="243"/>
      <c r="AC635" s="243"/>
      <c r="AD635" s="243"/>
      <c r="AE635" s="243"/>
      <c r="AF635" s="243"/>
      <c r="AG635" s="243"/>
      <c r="AH635" s="243"/>
      <c r="AI635" s="243"/>
      <c r="AJ635" s="243"/>
      <c r="AK635" s="243"/>
      <c r="AL635" s="243"/>
      <c r="AM635" s="243"/>
      <c r="AN635" s="243"/>
      <c r="AO635" s="243"/>
      <c r="AP635" s="243"/>
      <c r="AQ635" s="243"/>
      <c r="AR635" s="243"/>
      <c r="AS635" s="243"/>
      <c r="AT635" s="243"/>
    </row>
    <row r="636" spans="1:46" ht="12.75" x14ac:dyDescent="0.2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  <c r="AH636" s="243"/>
      <c r="AI636" s="243"/>
      <c r="AJ636" s="243"/>
      <c r="AK636" s="243"/>
      <c r="AL636" s="243"/>
      <c r="AM636" s="243"/>
      <c r="AN636" s="243"/>
      <c r="AO636" s="243"/>
      <c r="AP636" s="243"/>
      <c r="AQ636" s="243"/>
      <c r="AR636" s="243"/>
      <c r="AS636" s="243"/>
      <c r="AT636" s="243"/>
    </row>
    <row r="637" spans="1:46" ht="12.75" x14ac:dyDescent="0.2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  <c r="AA637" s="243"/>
      <c r="AB637" s="243"/>
      <c r="AC637" s="243"/>
      <c r="AD637" s="243"/>
      <c r="AE637" s="243"/>
      <c r="AF637" s="243"/>
      <c r="AG637" s="243"/>
      <c r="AH637" s="243"/>
      <c r="AI637" s="243"/>
      <c r="AJ637" s="243"/>
      <c r="AK637" s="243"/>
      <c r="AL637" s="243"/>
      <c r="AM637" s="243"/>
      <c r="AN637" s="243"/>
      <c r="AO637" s="243"/>
      <c r="AP637" s="243"/>
      <c r="AQ637" s="243"/>
      <c r="AR637" s="243"/>
      <c r="AS637" s="243"/>
      <c r="AT637" s="243"/>
    </row>
    <row r="638" spans="1:46" ht="12.75" x14ac:dyDescent="0.2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  <c r="AA638" s="243"/>
      <c r="AB638" s="243"/>
      <c r="AC638" s="243"/>
      <c r="AD638" s="243"/>
      <c r="AE638" s="243"/>
      <c r="AF638" s="243"/>
      <c r="AG638" s="243"/>
      <c r="AH638" s="243"/>
      <c r="AI638" s="243"/>
      <c r="AJ638" s="243"/>
      <c r="AK638" s="243"/>
      <c r="AL638" s="243"/>
      <c r="AM638" s="243"/>
      <c r="AN638" s="243"/>
      <c r="AO638" s="243"/>
      <c r="AP638" s="243"/>
      <c r="AQ638" s="243"/>
      <c r="AR638" s="243"/>
      <c r="AS638" s="243"/>
      <c r="AT638" s="243"/>
    </row>
    <row r="639" spans="1:46" ht="12.75" x14ac:dyDescent="0.2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3"/>
      <c r="Z639" s="243"/>
      <c r="AA639" s="243"/>
      <c r="AB639" s="243"/>
      <c r="AC639" s="243"/>
      <c r="AD639" s="243"/>
      <c r="AE639" s="243"/>
      <c r="AF639" s="243"/>
      <c r="AG639" s="243"/>
      <c r="AH639" s="243"/>
      <c r="AI639" s="243"/>
      <c r="AJ639" s="243"/>
      <c r="AK639" s="243"/>
      <c r="AL639" s="243"/>
      <c r="AM639" s="243"/>
      <c r="AN639" s="243"/>
      <c r="AO639" s="243"/>
      <c r="AP639" s="243"/>
      <c r="AQ639" s="243"/>
      <c r="AR639" s="243"/>
      <c r="AS639" s="243"/>
      <c r="AT639" s="243"/>
    </row>
    <row r="640" spans="1:46" ht="12.75" x14ac:dyDescent="0.2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3"/>
      <c r="Z640" s="243"/>
      <c r="AA640" s="243"/>
      <c r="AB640" s="243"/>
      <c r="AC640" s="243"/>
      <c r="AD640" s="243"/>
      <c r="AE640" s="243"/>
      <c r="AF640" s="243"/>
      <c r="AG640" s="243"/>
      <c r="AH640" s="243"/>
      <c r="AI640" s="243"/>
      <c r="AJ640" s="243"/>
      <c r="AK640" s="243"/>
      <c r="AL640" s="243"/>
      <c r="AM640" s="243"/>
      <c r="AN640" s="243"/>
      <c r="AO640" s="243"/>
      <c r="AP640" s="243"/>
      <c r="AQ640" s="243"/>
      <c r="AR640" s="243"/>
      <c r="AS640" s="243"/>
      <c r="AT640" s="243"/>
    </row>
    <row r="641" spans="1:46" ht="12.75" x14ac:dyDescent="0.2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3"/>
      <c r="Z641" s="243"/>
      <c r="AA641" s="243"/>
      <c r="AB641" s="243"/>
      <c r="AC641" s="243"/>
      <c r="AD641" s="243"/>
      <c r="AE641" s="243"/>
      <c r="AF641" s="243"/>
      <c r="AG641" s="243"/>
      <c r="AH641" s="243"/>
      <c r="AI641" s="243"/>
      <c r="AJ641" s="243"/>
      <c r="AK641" s="243"/>
      <c r="AL641" s="243"/>
      <c r="AM641" s="243"/>
      <c r="AN641" s="243"/>
      <c r="AO641" s="243"/>
      <c r="AP641" s="243"/>
      <c r="AQ641" s="243"/>
      <c r="AR641" s="243"/>
      <c r="AS641" s="243"/>
      <c r="AT641" s="243"/>
    </row>
    <row r="642" spans="1:46" ht="12.75" x14ac:dyDescent="0.2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  <c r="AA642" s="243"/>
      <c r="AB642" s="243"/>
      <c r="AC642" s="243"/>
      <c r="AD642" s="243"/>
      <c r="AE642" s="243"/>
      <c r="AF642" s="243"/>
      <c r="AG642" s="243"/>
      <c r="AH642" s="243"/>
      <c r="AI642" s="243"/>
      <c r="AJ642" s="243"/>
      <c r="AK642" s="243"/>
      <c r="AL642" s="243"/>
      <c r="AM642" s="243"/>
      <c r="AN642" s="243"/>
      <c r="AO642" s="243"/>
      <c r="AP642" s="243"/>
      <c r="AQ642" s="243"/>
      <c r="AR642" s="243"/>
      <c r="AS642" s="243"/>
      <c r="AT642" s="243"/>
    </row>
    <row r="643" spans="1:46" ht="12.75" x14ac:dyDescent="0.2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  <c r="AA643" s="243"/>
      <c r="AB643" s="243"/>
      <c r="AC643" s="243"/>
      <c r="AD643" s="243"/>
      <c r="AE643" s="243"/>
      <c r="AF643" s="243"/>
      <c r="AG643" s="243"/>
      <c r="AH643" s="243"/>
      <c r="AI643" s="243"/>
      <c r="AJ643" s="243"/>
      <c r="AK643" s="243"/>
      <c r="AL643" s="243"/>
      <c r="AM643" s="243"/>
      <c r="AN643" s="243"/>
      <c r="AO643" s="243"/>
      <c r="AP643" s="243"/>
      <c r="AQ643" s="243"/>
      <c r="AR643" s="243"/>
      <c r="AS643" s="243"/>
      <c r="AT643" s="243"/>
    </row>
    <row r="644" spans="1:46" ht="12.75" x14ac:dyDescent="0.2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  <c r="AA644" s="243"/>
      <c r="AB644" s="243"/>
      <c r="AC644" s="243"/>
      <c r="AD644" s="243"/>
      <c r="AE644" s="243"/>
      <c r="AF644" s="243"/>
      <c r="AG644" s="243"/>
      <c r="AH644" s="243"/>
      <c r="AI644" s="243"/>
      <c r="AJ644" s="243"/>
      <c r="AK644" s="243"/>
      <c r="AL644" s="243"/>
      <c r="AM644" s="243"/>
      <c r="AN644" s="243"/>
      <c r="AO644" s="243"/>
      <c r="AP644" s="243"/>
      <c r="AQ644" s="243"/>
      <c r="AR644" s="243"/>
      <c r="AS644" s="243"/>
      <c r="AT644" s="243"/>
    </row>
    <row r="645" spans="1:46" ht="12.75" x14ac:dyDescent="0.2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3"/>
      <c r="Z645" s="243"/>
      <c r="AA645" s="243"/>
      <c r="AB645" s="243"/>
      <c r="AC645" s="243"/>
      <c r="AD645" s="243"/>
      <c r="AE645" s="243"/>
      <c r="AF645" s="243"/>
      <c r="AG645" s="243"/>
      <c r="AH645" s="243"/>
      <c r="AI645" s="243"/>
      <c r="AJ645" s="243"/>
      <c r="AK645" s="243"/>
      <c r="AL645" s="243"/>
      <c r="AM645" s="243"/>
      <c r="AN645" s="243"/>
      <c r="AO645" s="243"/>
      <c r="AP645" s="243"/>
      <c r="AQ645" s="243"/>
      <c r="AR645" s="243"/>
      <c r="AS645" s="243"/>
      <c r="AT645" s="243"/>
    </row>
    <row r="646" spans="1:46" ht="12.75" x14ac:dyDescent="0.2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3"/>
      <c r="Z646" s="243"/>
      <c r="AA646" s="243"/>
      <c r="AB646" s="243"/>
      <c r="AC646" s="243"/>
      <c r="AD646" s="243"/>
      <c r="AE646" s="243"/>
      <c r="AF646" s="243"/>
      <c r="AG646" s="243"/>
      <c r="AH646" s="243"/>
      <c r="AI646" s="243"/>
      <c r="AJ646" s="243"/>
      <c r="AK646" s="243"/>
      <c r="AL646" s="243"/>
      <c r="AM646" s="243"/>
      <c r="AN646" s="243"/>
      <c r="AO646" s="243"/>
      <c r="AP646" s="243"/>
      <c r="AQ646" s="243"/>
      <c r="AR646" s="243"/>
      <c r="AS646" s="243"/>
      <c r="AT646" s="243"/>
    </row>
    <row r="647" spans="1:46" ht="12.75" x14ac:dyDescent="0.2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3"/>
      <c r="Z647" s="243"/>
      <c r="AA647" s="243"/>
      <c r="AB647" s="243"/>
      <c r="AC647" s="243"/>
      <c r="AD647" s="243"/>
      <c r="AE647" s="243"/>
      <c r="AF647" s="243"/>
      <c r="AG647" s="243"/>
      <c r="AH647" s="243"/>
      <c r="AI647" s="243"/>
      <c r="AJ647" s="243"/>
      <c r="AK647" s="243"/>
      <c r="AL647" s="243"/>
      <c r="AM647" s="243"/>
      <c r="AN647" s="243"/>
      <c r="AO647" s="243"/>
      <c r="AP647" s="243"/>
      <c r="AQ647" s="243"/>
      <c r="AR647" s="243"/>
      <c r="AS647" s="243"/>
      <c r="AT647" s="243"/>
    </row>
    <row r="648" spans="1:46" ht="12.75" x14ac:dyDescent="0.2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3"/>
      <c r="Z648" s="243"/>
      <c r="AA648" s="243"/>
      <c r="AB648" s="243"/>
      <c r="AC648" s="243"/>
      <c r="AD648" s="243"/>
      <c r="AE648" s="243"/>
      <c r="AF648" s="243"/>
      <c r="AG648" s="243"/>
      <c r="AH648" s="243"/>
      <c r="AI648" s="243"/>
      <c r="AJ648" s="243"/>
      <c r="AK648" s="243"/>
      <c r="AL648" s="243"/>
      <c r="AM648" s="243"/>
      <c r="AN648" s="243"/>
      <c r="AO648" s="243"/>
      <c r="AP648" s="243"/>
      <c r="AQ648" s="243"/>
      <c r="AR648" s="243"/>
      <c r="AS648" s="243"/>
      <c r="AT648" s="243"/>
    </row>
    <row r="649" spans="1:46" ht="12.75" x14ac:dyDescent="0.2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3"/>
      <c r="Z649" s="243"/>
      <c r="AA649" s="243"/>
      <c r="AB649" s="243"/>
      <c r="AC649" s="243"/>
      <c r="AD649" s="243"/>
      <c r="AE649" s="243"/>
      <c r="AF649" s="243"/>
      <c r="AG649" s="243"/>
      <c r="AH649" s="243"/>
      <c r="AI649" s="243"/>
      <c r="AJ649" s="243"/>
      <c r="AK649" s="243"/>
      <c r="AL649" s="243"/>
      <c r="AM649" s="243"/>
      <c r="AN649" s="243"/>
      <c r="AO649" s="243"/>
      <c r="AP649" s="243"/>
      <c r="AQ649" s="243"/>
      <c r="AR649" s="243"/>
      <c r="AS649" s="243"/>
      <c r="AT649" s="243"/>
    </row>
    <row r="650" spans="1:46" ht="12.75" x14ac:dyDescent="0.2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3"/>
      <c r="Z650" s="243"/>
      <c r="AA650" s="243"/>
      <c r="AB650" s="243"/>
      <c r="AC650" s="243"/>
      <c r="AD650" s="243"/>
      <c r="AE650" s="243"/>
      <c r="AF650" s="243"/>
      <c r="AG650" s="243"/>
      <c r="AH650" s="243"/>
      <c r="AI650" s="243"/>
      <c r="AJ650" s="243"/>
      <c r="AK650" s="243"/>
      <c r="AL650" s="243"/>
      <c r="AM650" s="243"/>
      <c r="AN650" s="243"/>
      <c r="AO650" s="243"/>
      <c r="AP650" s="243"/>
      <c r="AQ650" s="243"/>
      <c r="AR650" s="243"/>
      <c r="AS650" s="243"/>
      <c r="AT650" s="243"/>
    </row>
    <row r="651" spans="1:46" ht="12.75" x14ac:dyDescent="0.2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  <c r="AA651" s="243"/>
      <c r="AB651" s="243"/>
      <c r="AC651" s="243"/>
      <c r="AD651" s="243"/>
      <c r="AE651" s="243"/>
      <c r="AF651" s="243"/>
      <c r="AG651" s="243"/>
      <c r="AH651" s="243"/>
      <c r="AI651" s="243"/>
      <c r="AJ651" s="243"/>
      <c r="AK651" s="243"/>
      <c r="AL651" s="243"/>
      <c r="AM651" s="243"/>
      <c r="AN651" s="243"/>
      <c r="AO651" s="243"/>
      <c r="AP651" s="243"/>
      <c r="AQ651" s="243"/>
      <c r="AR651" s="243"/>
      <c r="AS651" s="243"/>
      <c r="AT651" s="243"/>
    </row>
    <row r="652" spans="1:46" ht="12.75" x14ac:dyDescent="0.2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3"/>
      <c r="Z652" s="243"/>
      <c r="AA652" s="243"/>
      <c r="AB652" s="243"/>
      <c r="AC652" s="243"/>
      <c r="AD652" s="243"/>
      <c r="AE652" s="243"/>
      <c r="AF652" s="243"/>
      <c r="AG652" s="243"/>
      <c r="AH652" s="243"/>
      <c r="AI652" s="243"/>
      <c r="AJ652" s="243"/>
      <c r="AK652" s="243"/>
      <c r="AL652" s="243"/>
      <c r="AM652" s="243"/>
      <c r="AN652" s="243"/>
      <c r="AO652" s="243"/>
      <c r="AP652" s="243"/>
      <c r="AQ652" s="243"/>
      <c r="AR652" s="243"/>
      <c r="AS652" s="243"/>
      <c r="AT652" s="243"/>
    </row>
    <row r="653" spans="1:46" ht="12.75" x14ac:dyDescent="0.2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3"/>
      <c r="Z653" s="243"/>
      <c r="AA653" s="243"/>
      <c r="AB653" s="243"/>
      <c r="AC653" s="243"/>
      <c r="AD653" s="243"/>
      <c r="AE653" s="243"/>
      <c r="AF653" s="243"/>
      <c r="AG653" s="243"/>
      <c r="AH653" s="243"/>
      <c r="AI653" s="243"/>
      <c r="AJ653" s="243"/>
      <c r="AK653" s="243"/>
      <c r="AL653" s="243"/>
      <c r="AM653" s="243"/>
      <c r="AN653" s="243"/>
      <c r="AO653" s="243"/>
      <c r="AP653" s="243"/>
      <c r="AQ653" s="243"/>
      <c r="AR653" s="243"/>
      <c r="AS653" s="243"/>
      <c r="AT653" s="243"/>
    </row>
    <row r="654" spans="1:46" ht="12.75" x14ac:dyDescent="0.2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3"/>
      <c r="Z654" s="243"/>
      <c r="AA654" s="243"/>
      <c r="AB654" s="243"/>
      <c r="AC654" s="243"/>
      <c r="AD654" s="243"/>
      <c r="AE654" s="243"/>
      <c r="AF654" s="243"/>
      <c r="AG654" s="243"/>
      <c r="AH654" s="243"/>
      <c r="AI654" s="243"/>
      <c r="AJ654" s="243"/>
      <c r="AK654" s="243"/>
      <c r="AL654" s="243"/>
      <c r="AM654" s="243"/>
      <c r="AN654" s="243"/>
      <c r="AO654" s="243"/>
      <c r="AP654" s="243"/>
      <c r="AQ654" s="243"/>
      <c r="AR654" s="243"/>
      <c r="AS654" s="243"/>
      <c r="AT654" s="243"/>
    </row>
    <row r="655" spans="1:46" ht="12.75" x14ac:dyDescent="0.2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3"/>
      <c r="Z655" s="243"/>
      <c r="AA655" s="243"/>
      <c r="AB655" s="243"/>
      <c r="AC655" s="243"/>
      <c r="AD655" s="243"/>
      <c r="AE655" s="243"/>
      <c r="AF655" s="243"/>
      <c r="AG655" s="243"/>
      <c r="AH655" s="243"/>
      <c r="AI655" s="243"/>
      <c r="AJ655" s="243"/>
      <c r="AK655" s="243"/>
      <c r="AL655" s="243"/>
      <c r="AM655" s="243"/>
      <c r="AN655" s="243"/>
      <c r="AO655" s="243"/>
      <c r="AP655" s="243"/>
      <c r="AQ655" s="243"/>
      <c r="AR655" s="243"/>
      <c r="AS655" s="243"/>
      <c r="AT655" s="243"/>
    </row>
    <row r="656" spans="1:46" ht="12.75" x14ac:dyDescent="0.2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3"/>
      <c r="Z656" s="243"/>
      <c r="AA656" s="243"/>
      <c r="AB656" s="243"/>
      <c r="AC656" s="243"/>
      <c r="AD656" s="243"/>
      <c r="AE656" s="243"/>
      <c r="AF656" s="243"/>
      <c r="AG656" s="243"/>
      <c r="AH656" s="243"/>
      <c r="AI656" s="243"/>
      <c r="AJ656" s="243"/>
      <c r="AK656" s="243"/>
      <c r="AL656" s="243"/>
      <c r="AM656" s="243"/>
      <c r="AN656" s="243"/>
      <c r="AO656" s="243"/>
      <c r="AP656" s="243"/>
      <c r="AQ656" s="243"/>
      <c r="AR656" s="243"/>
      <c r="AS656" s="243"/>
      <c r="AT656" s="243"/>
    </row>
    <row r="657" spans="1:46" ht="12.75" x14ac:dyDescent="0.2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3"/>
      <c r="Z657" s="243"/>
      <c r="AA657" s="243"/>
      <c r="AB657" s="243"/>
      <c r="AC657" s="243"/>
      <c r="AD657" s="243"/>
      <c r="AE657" s="243"/>
      <c r="AF657" s="243"/>
      <c r="AG657" s="243"/>
      <c r="AH657" s="243"/>
      <c r="AI657" s="243"/>
      <c r="AJ657" s="243"/>
      <c r="AK657" s="243"/>
      <c r="AL657" s="243"/>
      <c r="AM657" s="243"/>
      <c r="AN657" s="243"/>
      <c r="AO657" s="243"/>
      <c r="AP657" s="243"/>
      <c r="AQ657" s="243"/>
      <c r="AR657" s="243"/>
      <c r="AS657" s="243"/>
      <c r="AT657" s="243"/>
    </row>
    <row r="658" spans="1:46" ht="12.75" x14ac:dyDescent="0.2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  <c r="AA658" s="243"/>
      <c r="AB658" s="243"/>
      <c r="AC658" s="243"/>
      <c r="AD658" s="243"/>
      <c r="AE658" s="243"/>
      <c r="AF658" s="243"/>
      <c r="AG658" s="243"/>
      <c r="AH658" s="243"/>
      <c r="AI658" s="243"/>
      <c r="AJ658" s="243"/>
      <c r="AK658" s="243"/>
      <c r="AL658" s="243"/>
      <c r="AM658" s="243"/>
      <c r="AN658" s="243"/>
      <c r="AO658" s="243"/>
      <c r="AP658" s="243"/>
      <c r="AQ658" s="243"/>
      <c r="AR658" s="243"/>
      <c r="AS658" s="243"/>
      <c r="AT658" s="243"/>
    </row>
    <row r="659" spans="1:46" ht="12.75" x14ac:dyDescent="0.2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  <c r="AA659" s="243"/>
      <c r="AB659" s="243"/>
      <c r="AC659" s="243"/>
      <c r="AD659" s="243"/>
      <c r="AE659" s="243"/>
      <c r="AF659" s="243"/>
      <c r="AG659" s="243"/>
      <c r="AH659" s="243"/>
      <c r="AI659" s="243"/>
      <c r="AJ659" s="243"/>
      <c r="AK659" s="243"/>
      <c r="AL659" s="243"/>
      <c r="AM659" s="243"/>
      <c r="AN659" s="243"/>
      <c r="AO659" s="243"/>
      <c r="AP659" s="243"/>
      <c r="AQ659" s="243"/>
      <c r="AR659" s="243"/>
      <c r="AS659" s="243"/>
      <c r="AT659" s="243"/>
    </row>
    <row r="660" spans="1:46" ht="12.75" x14ac:dyDescent="0.2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  <c r="AA660" s="243"/>
      <c r="AB660" s="243"/>
      <c r="AC660" s="243"/>
      <c r="AD660" s="243"/>
      <c r="AE660" s="243"/>
      <c r="AF660" s="243"/>
      <c r="AG660" s="243"/>
      <c r="AH660" s="243"/>
      <c r="AI660" s="243"/>
      <c r="AJ660" s="243"/>
      <c r="AK660" s="243"/>
      <c r="AL660" s="243"/>
      <c r="AM660" s="243"/>
      <c r="AN660" s="243"/>
      <c r="AO660" s="243"/>
      <c r="AP660" s="243"/>
      <c r="AQ660" s="243"/>
      <c r="AR660" s="243"/>
      <c r="AS660" s="243"/>
      <c r="AT660" s="243"/>
    </row>
    <row r="661" spans="1:46" ht="12.75" x14ac:dyDescent="0.2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  <c r="AA661" s="243"/>
      <c r="AB661" s="243"/>
      <c r="AC661" s="243"/>
      <c r="AD661" s="243"/>
      <c r="AE661" s="243"/>
      <c r="AF661" s="243"/>
      <c r="AG661" s="243"/>
      <c r="AH661" s="243"/>
      <c r="AI661" s="243"/>
      <c r="AJ661" s="243"/>
      <c r="AK661" s="243"/>
      <c r="AL661" s="243"/>
      <c r="AM661" s="243"/>
      <c r="AN661" s="243"/>
      <c r="AO661" s="243"/>
      <c r="AP661" s="243"/>
      <c r="AQ661" s="243"/>
      <c r="AR661" s="243"/>
      <c r="AS661" s="243"/>
      <c r="AT661" s="243"/>
    </row>
    <row r="662" spans="1:46" ht="12.75" x14ac:dyDescent="0.2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  <c r="AA662" s="243"/>
      <c r="AB662" s="243"/>
      <c r="AC662" s="243"/>
      <c r="AD662" s="243"/>
      <c r="AE662" s="243"/>
      <c r="AF662" s="243"/>
      <c r="AG662" s="243"/>
      <c r="AH662" s="243"/>
      <c r="AI662" s="243"/>
      <c r="AJ662" s="243"/>
      <c r="AK662" s="243"/>
      <c r="AL662" s="243"/>
      <c r="AM662" s="243"/>
      <c r="AN662" s="243"/>
      <c r="AO662" s="243"/>
      <c r="AP662" s="243"/>
      <c r="AQ662" s="243"/>
      <c r="AR662" s="243"/>
      <c r="AS662" s="243"/>
      <c r="AT662" s="243"/>
    </row>
    <row r="663" spans="1:46" ht="12.75" x14ac:dyDescent="0.2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  <c r="AA663" s="243"/>
      <c r="AB663" s="243"/>
      <c r="AC663" s="243"/>
      <c r="AD663" s="243"/>
      <c r="AE663" s="243"/>
      <c r="AF663" s="243"/>
      <c r="AG663" s="243"/>
      <c r="AH663" s="243"/>
      <c r="AI663" s="243"/>
      <c r="AJ663" s="243"/>
      <c r="AK663" s="243"/>
      <c r="AL663" s="243"/>
      <c r="AM663" s="243"/>
      <c r="AN663" s="243"/>
      <c r="AO663" s="243"/>
      <c r="AP663" s="243"/>
      <c r="AQ663" s="243"/>
      <c r="AR663" s="243"/>
      <c r="AS663" s="243"/>
      <c r="AT663" s="243"/>
    </row>
    <row r="664" spans="1:46" ht="12.75" x14ac:dyDescent="0.2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  <c r="AA664" s="243"/>
      <c r="AB664" s="243"/>
      <c r="AC664" s="243"/>
      <c r="AD664" s="243"/>
      <c r="AE664" s="243"/>
      <c r="AF664" s="243"/>
      <c r="AG664" s="243"/>
      <c r="AH664" s="243"/>
      <c r="AI664" s="243"/>
      <c r="AJ664" s="243"/>
      <c r="AK664" s="243"/>
      <c r="AL664" s="243"/>
      <c r="AM664" s="243"/>
      <c r="AN664" s="243"/>
      <c r="AO664" s="243"/>
      <c r="AP664" s="243"/>
      <c r="AQ664" s="243"/>
      <c r="AR664" s="243"/>
      <c r="AS664" s="243"/>
      <c r="AT664" s="243"/>
    </row>
    <row r="665" spans="1:46" ht="12.75" x14ac:dyDescent="0.2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  <c r="AA665" s="243"/>
      <c r="AB665" s="243"/>
      <c r="AC665" s="243"/>
      <c r="AD665" s="243"/>
      <c r="AE665" s="243"/>
      <c r="AF665" s="243"/>
      <c r="AG665" s="243"/>
      <c r="AH665" s="243"/>
      <c r="AI665" s="243"/>
      <c r="AJ665" s="243"/>
      <c r="AK665" s="243"/>
      <c r="AL665" s="243"/>
      <c r="AM665" s="243"/>
      <c r="AN665" s="243"/>
      <c r="AO665" s="243"/>
      <c r="AP665" s="243"/>
      <c r="AQ665" s="243"/>
      <c r="AR665" s="243"/>
      <c r="AS665" s="243"/>
      <c r="AT665" s="243"/>
    </row>
    <row r="666" spans="1:46" ht="12.75" x14ac:dyDescent="0.2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  <c r="AH666" s="243"/>
      <c r="AI666" s="243"/>
      <c r="AJ666" s="243"/>
      <c r="AK666" s="243"/>
      <c r="AL666" s="243"/>
      <c r="AM666" s="243"/>
      <c r="AN666" s="243"/>
      <c r="AO666" s="243"/>
      <c r="AP666" s="243"/>
      <c r="AQ666" s="243"/>
      <c r="AR666" s="243"/>
      <c r="AS666" s="243"/>
      <c r="AT666" s="243"/>
    </row>
    <row r="667" spans="1:46" ht="12.75" x14ac:dyDescent="0.2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  <c r="AH667" s="243"/>
      <c r="AI667" s="243"/>
      <c r="AJ667" s="243"/>
      <c r="AK667" s="243"/>
      <c r="AL667" s="243"/>
      <c r="AM667" s="243"/>
      <c r="AN667" s="243"/>
      <c r="AO667" s="243"/>
      <c r="AP667" s="243"/>
      <c r="AQ667" s="243"/>
      <c r="AR667" s="243"/>
      <c r="AS667" s="243"/>
      <c r="AT667" s="243"/>
    </row>
    <row r="668" spans="1:46" ht="12.75" x14ac:dyDescent="0.2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  <c r="AH668" s="243"/>
      <c r="AI668" s="243"/>
      <c r="AJ668" s="243"/>
      <c r="AK668" s="243"/>
      <c r="AL668" s="243"/>
      <c r="AM668" s="243"/>
      <c r="AN668" s="243"/>
      <c r="AO668" s="243"/>
      <c r="AP668" s="243"/>
      <c r="AQ668" s="243"/>
      <c r="AR668" s="243"/>
      <c r="AS668" s="243"/>
      <c r="AT668" s="243"/>
    </row>
    <row r="669" spans="1:46" ht="12.75" x14ac:dyDescent="0.2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  <c r="AH669" s="243"/>
      <c r="AI669" s="243"/>
      <c r="AJ669" s="243"/>
      <c r="AK669" s="243"/>
      <c r="AL669" s="243"/>
      <c r="AM669" s="243"/>
      <c r="AN669" s="243"/>
      <c r="AO669" s="243"/>
      <c r="AP669" s="243"/>
      <c r="AQ669" s="243"/>
      <c r="AR669" s="243"/>
      <c r="AS669" s="243"/>
      <c r="AT669" s="243"/>
    </row>
    <row r="670" spans="1:46" ht="12.75" x14ac:dyDescent="0.2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  <c r="AA670" s="243"/>
      <c r="AB670" s="243"/>
      <c r="AC670" s="243"/>
      <c r="AD670" s="243"/>
      <c r="AE670" s="243"/>
      <c r="AF670" s="243"/>
      <c r="AG670" s="243"/>
      <c r="AH670" s="243"/>
      <c r="AI670" s="243"/>
      <c r="AJ670" s="243"/>
      <c r="AK670" s="243"/>
      <c r="AL670" s="243"/>
      <c r="AM670" s="243"/>
      <c r="AN670" s="243"/>
      <c r="AO670" s="243"/>
      <c r="AP670" s="243"/>
      <c r="AQ670" s="243"/>
      <c r="AR670" s="243"/>
      <c r="AS670" s="243"/>
      <c r="AT670" s="243"/>
    </row>
    <row r="671" spans="1:46" ht="12.75" x14ac:dyDescent="0.2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  <c r="AA671" s="243"/>
      <c r="AB671" s="243"/>
      <c r="AC671" s="243"/>
      <c r="AD671" s="243"/>
      <c r="AE671" s="243"/>
      <c r="AF671" s="243"/>
      <c r="AG671" s="243"/>
      <c r="AH671" s="243"/>
      <c r="AI671" s="243"/>
      <c r="AJ671" s="243"/>
      <c r="AK671" s="243"/>
      <c r="AL671" s="243"/>
      <c r="AM671" s="243"/>
      <c r="AN671" s="243"/>
      <c r="AO671" s="243"/>
      <c r="AP671" s="243"/>
      <c r="AQ671" s="243"/>
      <c r="AR671" s="243"/>
      <c r="AS671" s="243"/>
      <c r="AT671" s="243"/>
    </row>
    <row r="672" spans="1:46" ht="12.75" x14ac:dyDescent="0.2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  <c r="AA672" s="243"/>
      <c r="AB672" s="243"/>
      <c r="AC672" s="243"/>
      <c r="AD672" s="243"/>
      <c r="AE672" s="243"/>
      <c r="AF672" s="243"/>
      <c r="AG672" s="243"/>
      <c r="AH672" s="243"/>
      <c r="AI672" s="243"/>
      <c r="AJ672" s="243"/>
      <c r="AK672" s="243"/>
      <c r="AL672" s="243"/>
      <c r="AM672" s="243"/>
      <c r="AN672" s="243"/>
      <c r="AO672" s="243"/>
      <c r="AP672" s="243"/>
      <c r="AQ672" s="243"/>
      <c r="AR672" s="243"/>
      <c r="AS672" s="243"/>
      <c r="AT672" s="243"/>
    </row>
    <row r="673" spans="1:46" ht="12.75" x14ac:dyDescent="0.2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  <c r="AA673" s="243"/>
      <c r="AB673" s="243"/>
      <c r="AC673" s="243"/>
      <c r="AD673" s="243"/>
      <c r="AE673" s="243"/>
      <c r="AF673" s="243"/>
      <c r="AG673" s="243"/>
      <c r="AH673" s="243"/>
      <c r="AI673" s="243"/>
      <c r="AJ673" s="243"/>
      <c r="AK673" s="243"/>
      <c r="AL673" s="243"/>
      <c r="AM673" s="243"/>
      <c r="AN673" s="243"/>
      <c r="AO673" s="243"/>
      <c r="AP673" s="243"/>
      <c r="AQ673" s="243"/>
      <c r="AR673" s="243"/>
      <c r="AS673" s="243"/>
      <c r="AT673" s="243"/>
    </row>
    <row r="674" spans="1:46" ht="12.75" x14ac:dyDescent="0.2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  <c r="AA674" s="243"/>
      <c r="AB674" s="243"/>
      <c r="AC674" s="243"/>
      <c r="AD674" s="243"/>
      <c r="AE674" s="243"/>
      <c r="AF674" s="243"/>
      <c r="AG674" s="243"/>
      <c r="AH674" s="243"/>
      <c r="AI674" s="243"/>
      <c r="AJ674" s="243"/>
      <c r="AK674" s="243"/>
      <c r="AL674" s="243"/>
      <c r="AM674" s="243"/>
      <c r="AN674" s="243"/>
      <c r="AO674" s="243"/>
      <c r="AP674" s="243"/>
      <c r="AQ674" s="243"/>
      <c r="AR674" s="243"/>
      <c r="AS674" s="243"/>
      <c r="AT674" s="243"/>
    </row>
    <row r="675" spans="1:46" ht="12.75" x14ac:dyDescent="0.2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  <c r="AA675" s="243"/>
      <c r="AB675" s="243"/>
      <c r="AC675" s="243"/>
      <c r="AD675" s="243"/>
      <c r="AE675" s="243"/>
      <c r="AF675" s="243"/>
      <c r="AG675" s="243"/>
      <c r="AH675" s="243"/>
      <c r="AI675" s="243"/>
      <c r="AJ675" s="243"/>
      <c r="AK675" s="243"/>
      <c r="AL675" s="243"/>
      <c r="AM675" s="243"/>
      <c r="AN675" s="243"/>
      <c r="AO675" s="243"/>
      <c r="AP675" s="243"/>
      <c r="AQ675" s="243"/>
      <c r="AR675" s="243"/>
      <c r="AS675" s="243"/>
      <c r="AT675" s="243"/>
    </row>
    <row r="676" spans="1:46" ht="12.75" x14ac:dyDescent="0.2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  <c r="AA676" s="243"/>
      <c r="AB676" s="243"/>
      <c r="AC676" s="243"/>
      <c r="AD676" s="243"/>
      <c r="AE676" s="243"/>
      <c r="AF676" s="243"/>
      <c r="AG676" s="243"/>
      <c r="AH676" s="243"/>
      <c r="AI676" s="243"/>
      <c r="AJ676" s="243"/>
      <c r="AK676" s="243"/>
      <c r="AL676" s="243"/>
      <c r="AM676" s="243"/>
      <c r="AN676" s="243"/>
      <c r="AO676" s="243"/>
      <c r="AP676" s="243"/>
      <c r="AQ676" s="243"/>
      <c r="AR676" s="243"/>
      <c r="AS676" s="243"/>
      <c r="AT676" s="243"/>
    </row>
    <row r="677" spans="1:46" ht="12.75" x14ac:dyDescent="0.2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  <c r="AA677" s="243"/>
      <c r="AB677" s="243"/>
      <c r="AC677" s="243"/>
      <c r="AD677" s="243"/>
      <c r="AE677" s="243"/>
      <c r="AF677" s="243"/>
      <c r="AG677" s="243"/>
      <c r="AH677" s="243"/>
      <c r="AI677" s="243"/>
      <c r="AJ677" s="243"/>
      <c r="AK677" s="243"/>
      <c r="AL677" s="243"/>
      <c r="AM677" s="243"/>
      <c r="AN677" s="243"/>
      <c r="AO677" s="243"/>
      <c r="AP677" s="243"/>
      <c r="AQ677" s="243"/>
      <c r="AR677" s="243"/>
      <c r="AS677" s="243"/>
      <c r="AT677" s="243"/>
    </row>
    <row r="678" spans="1:46" ht="12.75" x14ac:dyDescent="0.2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  <c r="AA678" s="243"/>
      <c r="AB678" s="243"/>
      <c r="AC678" s="243"/>
      <c r="AD678" s="243"/>
      <c r="AE678" s="243"/>
      <c r="AF678" s="243"/>
      <c r="AG678" s="243"/>
      <c r="AH678" s="243"/>
      <c r="AI678" s="243"/>
      <c r="AJ678" s="243"/>
      <c r="AK678" s="243"/>
      <c r="AL678" s="243"/>
      <c r="AM678" s="243"/>
      <c r="AN678" s="243"/>
      <c r="AO678" s="243"/>
      <c r="AP678" s="243"/>
      <c r="AQ678" s="243"/>
      <c r="AR678" s="243"/>
      <c r="AS678" s="243"/>
      <c r="AT678" s="243"/>
    </row>
    <row r="679" spans="1:46" ht="12.75" x14ac:dyDescent="0.2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  <c r="AH679" s="243"/>
      <c r="AI679" s="243"/>
      <c r="AJ679" s="243"/>
      <c r="AK679" s="243"/>
      <c r="AL679" s="243"/>
      <c r="AM679" s="243"/>
      <c r="AN679" s="243"/>
      <c r="AO679" s="243"/>
      <c r="AP679" s="243"/>
      <c r="AQ679" s="243"/>
      <c r="AR679" s="243"/>
      <c r="AS679" s="243"/>
      <c r="AT679" s="243"/>
    </row>
    <row r="680" spans="1:46" ht="12.75" x14ac:dyDescent="0.2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  <c r="AH680" s="243"/>
      <c r="AI680" s="243"/>
      <c r="AJ680" s="243"/>
      <c r="AK680" s="243"/>
      <c r="AL680" s="243"/>
      <c r="AM680" s="243"/>
      <c r="AN680" s="243"/>
      <c r="AO680" s="243"/>
      <c r="AP680" s="243"/>
      <c r="AQ680" s="243"/>
      <c r="AR680" s="243"/>
      <c r="AS680" s="243"/>
      <c r="AT680" s="243"/>
    </row>
    <row r="681" spans="1:46" ht="12.75" x14ac:dyDescent="0.2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  <c r="AH681" s="243"/>
      <c r="AI681" s="243"/>
      <c r="AJ681" s="243"/>
      <c r="AK681" s="243"/>
      <c r="AL681" s="243"/>
      <c r="AM681" s="243"/>
      <c r="AN681" s="243"/>
      <c r="AO681" s="243"/>
      <c r="AP681" s="243"/>
      <c r="AQ681" s="243"/>
      <c r="AR681" s="243"/>
      <c r="AS681" s="243"/>
      <c r="AT681" s="243"/>
    </row>
    <row r="682" spans="1:46" ht="12.75" x14ac:dyDescent="0.2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3"/>
      <c r="AI682" s="243"/>
      <c r="AJ682" s="243"/>
      <c r="AK682" s="243"/>
      <c r="AL682" s="243"/>
      <c r="AM682" s="243"/>
      <c r="AN682" s="243"/>
      <c r="AO682" s="243"/>
      <c r="AP682" s="243"/>
      <c r="AQ682" s="243"/>
      <c r="AR682" s="243"/>
      <c r="AS682" s="243"/>
      <c r="AT682" s="243"/>
    </row>
    <row r="683" spans="1:46" ht="12.75" x14ac:dyDescent="0.2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3"/>
      <c r="AI683" s="243"/>
      <c r="AJ683" s="243"/>
      <c r="AK683" s="243"/>
      <c r="AL683" s="243"/>
      <c r="AM683" s="243"/>
      <c r="AN683" s="243"/>
      <c r="AO683" s="243"/>
      <c r="AP683" s="243"/>
      <c r="AQ683" s="243"/>
      <c r="AR683" s="243"/>
      <c r="AS683" s="243"/>
      <c r="AT683" s="243"/>
    </row>
    <row r="684" spans="1:46" ht="12.75" x14ac:dyDescent="0.2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3"/>
      <c r="AI684" s="243"/>
      <c r="AJ684" s="243"/>
      <c r="AK684" s="243"/>
      <c r="AL684" s="243"/>
      <c r="AM684" s="243"/>
      <c r="AN684" s="243"/>
      <c r="AO684" s="243"/>
      <c r="AP684" s="243"/>
      <c r="AQ684" s="243"/>
      <c r="AR684" s="243"/>
      <c r="AS684" s="243"/>
      <c r="AT684" s="243"/>
    </row>
    <row r="685" spans="1:46" ht="12.75" x14ac:dyDescent="0.2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3"/>
      <c r="AI685" s="243"/>
      <c r="AJ685" s="243"/>
      <c r="AK685" s="243"/>
      <c r="AL685" s="243"/>
      <c r="AM685" s="243"/>
      <c r="AN685" s="243"/>
      <c r="AO685" s="243"/>
      <c r="AP685" s="243"/>
      <c r="AQ685" s="243"/>
      <c r="AR685" s="243"/>
      <c r="AS685" s="243"/>
      <c r="AT685" s="243"/>
    </row>
    <row r="686" spans="1:46" ht="12.75" x14ac:dyDescent="0.2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  <c r="AH686" s="243"/>
      <c r="AI686" s="243"/>
      <c r="AJ686" s="243"/>
      <c r="AK686" s="243"/>
      <c r="AL686" s="243"/>
      <c r="AM686" s="243"/>
      <c r="AN686" s="243"/>
      <c r="AO686" s="243"/>
      <c r="AP686" s="243"/>
      <c r="AQ686" s="243"/>
      <c r="AR686" s="243"/>
      <c r="AS686" s="243"/>
      <c r="AT686" s="243"/>
    </row>
    <row r="687" spans="1:46" ht="12.75" x14ac:dyDescent="0.2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  <c r="AH687" s="243"/>
      <c r="AI687" s="243"/>
      <c r="AJ687" s="243"/>
      <c r="AK687" s="243"/>
      <c r="AL687" s="243"/>
      <c r="AM687" s="243"/>
      <c r="AN687" s="243"/>
      <c r="AO687" s="243"/>
      <c r="AP687" s="243"/>
      <c r="AQ687" s="243"/>
      <c r="AR687" s="243"/>
      <c r="AS687" s="243"/>
      <c r="AT687" s="243"/>
    </row>
    <row r="688" spans="1:46" ht="12.75" x14ac:dyDescent="0.2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  <c r="AH688" s="243"/>
      <c r="AI688" s="243"/>
      <c r="AJ688" s="243"/>
      <c r="AK688" s="243"/>
      <c r="AL688" s="243"/>
      <c r="AM688" s="243"/>
      <c r="AN688" s="243"/>
      <c r="AO688" s="243"/>
      <c r="AP688" s="243"/>
      <c r="AQ688" s="243"/>
      <c r="AR688" s="243"/>
      <c r="AS688" s="243"/>
      <c r="AT688" s="243"/>
    </row>
    <row r="689" spans="1:46" ht="12.75" x14ac:dyDescent="0.2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  <c r="AA689" s="243"/>
      <c r="AB689" s="243"/>
      <c r="AC689" s="243"/>
      <c r="AD689" s="243"/>
      <c r="AE689" s="243"/>
      <c r="AF689" s="243"/>
      <c r="AG689" s="243"/>
      <c r="AH689" s="243"/>
      <c r="AI689" s="243"/>
      <c r="AJ689" s="243"/>
      <c r="AK689" s="243"/>
      <c r="AL689" s="243"/>
      <c r="AM689" s="243"/>
      <c r="AN689" s="243"/>
      <c r="AO689" s="243"/>
      <c r="AP689" s="243"/>
      <c r="AQ689" s="243"/>
      <c r="AR689" s="243"/>
      <c r="AS689" s="243"/>
      <c r="AT689" s="243"/>
    </row>
    <row r="690" spans="1:46" ht="12.75" x14ac:dyDescent="0.2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  <c r="AA690" s="243"/>
      <c r="AB690" s="243"/>
      <c r="AC690" s="243"/>
      <c r="AD690" s="243"/>
      <c r="AE690" s="243"/>
      <c r="AF690" s="243"/>
      <c r="AG690" s="243"/>
      <c r="AH690" s="243"/>
      <c r="AI690" s="243"/>
      <c r="AJ690" s="243"/>
      <c r="AK690" s="243"/>
      <c r="AL690" s="243"/>
      <c r="AM690" s="243"/>
      <c r="AN690" s="243"/>
      <c r="AO690" s="243"/>
      <c r="AP690" s="243"/>
      <c r="AQ690" s="243"/>
      <c r="AR690" s="243"/>
      <c r="AS690" s="243"/>
      <c r="AT690" s="243"/>
    </row>
    <row r="691" spans="1:46" ht="12.75" x14ac:dyDescent="0.2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3"/>
      <c r="AI691" s="243"/>
      <c r="AJ691" s="243"/>
      <c r="AK691" s="243"/>
      <c r="AL691" s="243"/>
      <c r="AM691" s="243"/>
      <c r="AN691" s="243"/>
      <c r="AO691" s="243"/>
      <c r="AP691" s="243"/>
      <c r="AQ691" s="243"/>
      <c r="AR691" s="243"/>
      <c r="AS691" s="243"/>
      <c r="AT691" s="243"/>
    </row>
    <row r="692" spans="1:46" ht="12.75" x14ac:dyDescent="0.2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3"/>
      <c r="AI692" s="243"/>
      <c r="AJ692" s="243"/>
      <c r="AK692" s="243"/>
      <c r="AL692" s="243"/>
      <c r="AM692" s="243"/>
      <c r="AN692" s="243"/>
      <c r="AO692" s="243"/>
      <c r="AP692" s="243"/>
      <c r="AQ692" s="243"/>
      <c r="AR692" s="243"/>
      <c r="AS692" s="243"/>
      <c r="AT692" s="243"/>
    </row>
    <row r="693" spans="1:46" ht="12.75" x14ac:dyDescent="0.2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3"/>
      <c r="AI693" s="243"/>
      <c r="AJ693" s="243"/>
      <c r="AK693" s="243"/>
      <c r="AL693" s="243"/>
      <c r="AM693" s="243"/>
      <c r="AN693" s="243"/>
      <c r="AO693" s="243"/>
      <c r="AP693" s="243"/>
      <c r="AQ693" s="243"/>
      <c r="AR693" s="243"/>
      <c r="AS693" s="243"/>
      <c r="AT693" s="243"/>
    </row>
    <row r="694" spans="1:46" ht="12.75" x14ac:dyDescent="0.2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  <c r="AH694" s="243"/>
      <c r="AI694" s="243"/>
      <c r="AJ694" s="243"/>
      <c r="AK694" s="243"/>
      <c r="AL694" s="243"/>
      <c r="AM694" s="243"/>
      <c r="AN694" s="243"/>
      <c r="AO694" s="243"/>
      <c r="AP694" s="243"/>
      <c r="AQ694" s="243"/>
      <c r="AR694" s="243"/>
      <c r="AS694" s="243"/>
      <c r="AT694" s="243"/>
    </row>
    <row r="695" spans="1:46" ht="12.75" x14ac:dyDescent="0.2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  <c r="AA695" s="243"/>
      <c r="AB695" s="243"/>
      <c r="AC695" s="243"/>
      <c r="AD695" s="243"/>
      <c r="AE695" s="243"/>
      <c r="AF695" s="243"/>
      <c r="AG695" s="243"/>
      <c r="AH695" s="243"/>
      <c r="AI695" s="243"/>
      <c r="AJ695" s="243"/>
      <c r="AK695" s="243"/>
      <c r="AL695" s="243"/>
      <c r="AM695" s="243"/>
      <c r="AN695" s="243"/>
      <c r="AO695" s="243"/>
      <c r="AP695" s="243"/>
      <c r="AQ695" s="243"/>
      <c r="AR695" s="243"/>
      <c r="AS695" s="243"/>
      <c r="AT695" s="243"/>
    </row>
    <row r="696" spans="1:46" ht="12.75" x14ac:dyDescent="0.2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  <c r="AA696" s="243"/>
      <c r="AB696" s="243"/>
      <c r="AC696" s="243"/>
      <c r="AD696" s="243"/>
      <c r="AE696" s="243"/>
      <c r="AF696" s="243"/>
      <c r="AG696" s="243"/>
      <c r="AH696" s="243"/>
      <c r="AI696" s="243"/>
      <c r="AJ696" s="243"/>
      <c r="AK696" s="243"/>
      <c r="AL696" s="243"/>
      <c r="AM696" s="243"/>
      <c r="AN696" s="243"/>
      <c r="AO696" s="243"/>
      <c r="AP696" s="243"/>
      <c r="AQ696" s="243"/>
      <c r="AR696" s="243"/>
      <c r="AS696" s="243"/>
      <c r="AT696" s="243"/>
    </row>
    <row r="697" spans="1:46" ht="12.75" x14ac:dyDescent="0.2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  <c r="AH697" s="243"/>
      <c r="AI697" s="243"/>
      <c r="AJ697" s="243"/>
      <c r="AK697" s="243"/>
      <c r="AL697" s="243"/>
      <c r="AM697" s="243"/>
      <c r="AN697" s="243"/>
      <c r="AO697" s="243"/>
      <c r="AP697" s="243"/>
      <c r="AQ697" s="243"/>
      <c r="AR697" s="243"/>
      <c r="AS697" s="243"/>
      <c r="AT697" s="243"/>
    </row>
    <row r="698" spans="1:46" ht="12.75" x14ac:dyDescent="0.2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  <c r="AH698" s="243"/>
      <c r="AI698" s="243"/>
      <c r="AJ698" s="243"/>
      <c r="AK698" s="243"/>
      <c r="AL698" s="243"/>
      <c r="AM698" s="243"/>
      <c r="AN698" s="243"/>
      <c r="AO698" s="243"/>
      <c r="AP698" s="243"/>
      <c r="AQ698" s="243"/>
      <c r="AR698" s="243"/>
      <c r="AS698" s="243"/>
      <c r="AT698" s="243"/>
    </row>
    <row r="699" spans="1:46" ht="12.75" x14ac:dyDescent="0.2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  <c r="AH699" s="243"/>
      <c r="AI699" s="243"/>
      <c r="AJ699" s="243"/>
      <c r="AK699" s="243"/>
      <c r="AL699" s="243"/>
      <c r="AM699" s="243"/>
      <c r="AN699" s="243"/>
      <c r="AO699" s="243"/>
      <c r="AP699" s="243"/>
      <c r="AQ699" s="243"/>
      <c r="AR699" s="243"/>
      <c r="AS699" s="243"/>
      <c r="AT699" s="243"/>
    </row>
    <row r="700" spans="1:46" ht="12.75" x14ac:dyDescent="0.2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3"/>
      <c r="AI700" s="243"/>
      <c r="AJ700" s="243"/>
      <c r="AK700" s="243"/>
      <c r="AL700" s="243"/>
      <c r="AM700" s="243"/>
      <c r="AN700" s="243"/>
      <c r="AO700" s="243"/>
      <c r="AP700" s="243"/>
      <c r="AQ700" s="243"/>
      <c r="AR700" s="243"/>
      <c r="AS700" s="243"/>
      <c r="AT700" s="243"/>
    </row>
    <row r="701" spans="1:46" ht="12.75" x14ac:dyDescent="0.2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  <c r="AH701" s="243"/>
      <c r="AI701" s="243"/>
      <c r="AJ701" s="243"/>
      <c r="AK701" s="243"/>
      <c r="AL701" s="243"/>
      <c r="AM701" s="243"/>
      <c r="AN701" s="243"/>
      <c r="AO701" s="243"/>
      <c r="AP701" s="243"/>
      <c r="AQ701" s="243"/>
      <c r="AR701" s="243"/>
      <c r="AS701" s="243"/>
      <c r="AT701" s="243"/>
    </row>
    <row r="702" spans="1:46" ht="12.75" x14ac:dyDescent="0.2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  <c r="AA702" s="243"/>
      <c r="AB702" s="243"/>
      <c r="AC702" s="243"/>
      <c r="AD702" s="243"/>
      <c r="AE702" s="243"/>
      <c r="AF702" s="243"/>
      <c r="AG702" s="243"/>
      <c r="AH702" s="243"/>
      <c r="AI702" s="243"/>
      <c r="AJ702" s="243"/>
      <c r="AK702" s="243"/>
      <c r="AL702" s="243"/>
      <c r="AM702" s="243"/>
      <c r="AN702" s="243"/>
      <c r="AO702" s="243"/>
      <c r="AP702" s="243"/>
      <c r="AQ702" s="243"/>
      <c r="AR702" s="243"/>
      <c r="AS702" s="243"/>
      <c r="AT702" s="243"/>
    </row>
    <row r="703" spans="1:46" ht="12.75" x14ac:dyDescent="0.2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  <c r="AH703" s="243"/>
      <c r="AI703" s="243"/>
      <c r="AJ703" s="243"/>
      <c r="AK703" s="243"/>
      <c r="AL703" s="243"/>
      <c r="AM703" s="243"/>
      <c r="AN703" s="243"/>
      <c r="AO703" s="243"/>
      <c r="AP703" s="243"/>
      <c r="AQ703" s="243"/>
      <c r="AR703" s="243"/>
      <c r="AS703" s="243"/>
      <c r="AT703" s="243"/>
    </row>
    <row r="704" spans="1:46" ht="12.75" x14ac:dyDescent="0.2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  <c r="AA704" s="243"/>
      <c r="AB704" s="243"/>
      <c r="AC704" s="243"/>
      <c r="AD704" s="243"/>
      <c r="AE704" s="243"/>
      <c r="AF704" s="243"/>
      <c r="AG704" s="243"/>
      <c r="AH704" s="243"/>
      <c r="AI704" s="243"/>
      <c r="AJ704" s="243"/>
      <c r="AK704" s="243"/>
      <c r="AL704" s="243"/>
      <c r="AM704" s="243"/>
      <c r="AN704" s="243"/>
      <c r="AO704" s="243"/>
      <c r="AP704" s="243"/>
      <c r="AQ704" s="243"/>
      <c r="AR704" s="243"/>
      <c r="AS704" s="243"/>
      <c r="AT704" s="243"/>
    </row>
    <row r="705" spans="1:46" ht="12.75" x14ac:dyDescent="0.2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  <c r="AA705" s="243"/>
      <c r="AB705" s="243"/>
      <c r="AC705" s="243"/>
      <c r="AD705" s="243"/>
      <c r="AE705" s="243"/>
      <c r="AF705" s="243"/>
      <c r="AG705" s="243"/>
      <c r="AH705" s="243"/>
      <c r="AI705" s="243"/>
      <c r="AJ705" s="243"/>
      <c r="AK705" s="243"/>
      <c r="AL705" s="243"/>
      <c r="AM705" s="243"/>
      <c r="AN705" s="243"/>
      <c r="AO705" s="243"/>
      <c r="AP705" s="243"/>
      <c r="AQ705" s="243"/>
      <c r="AR705" s="243"/>
      <c r="AS705" s="243"/>
      <c r="AT705" s="243"/>
    </row>
    <row r="706" spans="1:46" ht="12.75" x14ac:dyDescent="0.2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  <c r="AA706" s="243"/>
      <c r="AB706" s="243"/>
      <c r="AC706" s="243"/>
      <c r="AD706" s="243"/>
      <c r="AE706" s="243"/>
      <c r="AF706" s="243"/>
      <c r="AG706" s="243"/>
      <c r="AH706" s="243"/>
      <c r="AI706" s="243"/>
      <c r="AJ706" s="243"/>
      <c r="AK706" s="243"/>
      <c r="AL706" s="243"/>
      <c r="AM706" s="243"/>
      <c r="AN706" s="243"/>
      <c r="AO706" s="243"/>
      <c r="AP706" s="243"/>
      <c r="AQ706" s="243"/>
      <c r="AR706" s="243"/>
      <c r="AS706" s="243"/>
      <c r="AT706" s="243"/>
    </row>
    <row r="707" spans="1:46" ht="12.75" x14ac:dyDescent="0.2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  <c r="AA707" s="243"/>
      <c r="AB707" s="243"/>
      <c r="AC707" s="243"/>
      <c r="AD707" s="243"/>
      <c r="AE707" s="243"/>
      <c r="AF707" s="243"/>
      <c r="AG707" s="243"/>
      <c r="AH707" s="243"/>
      <c r="AI707" s="243"/>
      <c r="AJ707" s="243"/>
      <c r="AK707" s="243"/>
      <c r="AL707" s="243"/>
      <c r="AM707" s="243"/>
      <c r="AN707" s="243"/>
      <c r="AO707" s="243"/>
      <c r="AP707" s="243"/>
      <c r="AQ707" s="243"/>
      <c r="AR707" s="243"/>
      <c r="AS707" s="243"/>
      <c r="AT707" s="243"/>
    </row>
    <row r="708" spans="1:46" ht="12.75" x14ac:dyDescent="0.2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  <c r="AH708" s="243"/>
      <c r="AI708" s="243"/>
      <c r="AJ708" s="243"/>
      <c r="AK708" s="243"/>
      <c r="AL708" s="243"/>
      <c r="AM708" s="243"/>
      <c r="AN708" s="243"/>
      <c r="AO708" s="243"/>
      <c r="AP708" s="243"/>
      <c r="AQ708" s="243"/>
      <c r="AR708" s="243"/>
      <c r="AS708" s="243"/>
      <c r="AT708" s="243"/>
    </row>
    <row r="709" spans="1:46" ht="12.75" x14ac:dyDescent="0.2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3"/>
      <c r="AI709" s="243"/>
      <c r="AJ709" s="243"/>
      <c r="AK709" s="243"/>
      <c r="AL709" s="243"/>
      <c r="AM709" s="243"/>
      <c r="AN709" s="243"/>
      <c r="AO709" s="243"/>
      <c r="AP709" s="243"/>
      <c r="AQ709" s="243"/>
      <c r="AR709" s="243"/>
      <c r="AS709" s="243"/>
      <c r="AT709" s="243"/>
    </row>
    <row r="710" spans="1:46" ht="12.75" x14ac:dyDescent="0.2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3"/>
      <c r="AI710" s="243"/>
      <c r="AJ710" s="243"/>
      <c r="AK710" s="243"/>
      <c r="AL710" s="243"/>
      <c r="AM710" s="243"/>
      <c r="AN710" s="243"/>
      <c r="AO710" s="243"/>
      <c r="AP710" s="243"/>
      <c r="AQ710" s="243"/>
      <c r="AR710" s="243"/>
      <c r="AS710" s="243"/>
      <c r="AT710" s="243"/>
    </row>
    <row r="711" spans="1:46" ht="12.75" x14ac:dyDescent="0.2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  <c r="AH711" s="243"/>
      <c r="AI711" s="243"/>
      <c r="AJ711" s="243"/>
      <c r="AK711" s="243"/>
      <c r="AL711" s="243"/>
      <c r="AM711" s="243"/>
      <c r="AN711" s="243"/>
      <c r="AO711" s="243"/>
      <c r="AP711" s="243"/>
      <c r="AQ711" s="243"/>
      <c r="AR711" s="243"/>
      <c r="AS711" s="243"/>
      <c r="AT711" s="243"/>
    </row>
    <row r="712" spans="1:46" ht="12.75" x14ac:dyDescent="0.2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  <c r="AA712" s="243"/>
      <c r="AB712" s="243"/>
      <c r="AC712" s="243"/>
      <c r="AD712" s="243"/>
      <c r="AE712" s="243"/>
      <c r="AF712" s="243"/>
      <c r="AG712" s="243"/>
      <c r="AH712" s="243"/>
      <c r="AI712" s="243"/>
      <c r="AJ712" s="243"/>
      <c r="AK712" s="243"/>
      <c r="AL712" s="243"/>
      <c r="AM712" s="243"/>
      <c r="AN712" s="243"/>
      <c r="AO712" s="243"/>
      <c r="AP712" s="243"/>
      <c r="AQ712" s="243"/>
      <c r="AR712" s="243"/>
      <c r="AS712" s="243"/>
      <c r="AT712" s="243"/>
    </row>
    <row r="713" spans="1:46" ht="12.75" x14ac:dyDescent="0.2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  <c r="AH713" s="243"/>
      <c r="AI713" s="243"/>
      <c r="AJ713" s="243"/>
      <c r="AK713" s="243"/>
      <c r="AL713" s="243"/>
      <c r="AM713" s="243"/>
      <c r="AN713" s="243"/>
      <c r="AO713" s="243"/>
      <c r="AP713" s="243"/>
      <c r="AQ713" s="243"/>
      <c r="AR713" s="243"/>
      <c r="AS713" s="243"/>
      <c r="AT713" s="243"/>
    </row>
    <row r="714" spans="1:46" ht="12.75" x14ac:dyDescent="0.2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  <c r="AH714" s="243"/>
      <c r="AI714" s="243"/>
      <c r="AJ714" s="243"/>
      <c r="AK714" s="243"/>
      <c r="AL714" s="243"/>
      <c r="AM714" s="243"/>
      <c r="AN714" s="243"/>
      <c r="AO714" s="243"/>
      <c r="AP714" s="243"/>
      <c r="AQ714" s="243"/>
      <c r="AR714" s="243"/>
      <c r="AS714" s="243"/>
      <c r="AT714" s="243"/>
    </row>
    <row r="715" spans="1:46" ht="12.75" x14ac:dyDescent="0.2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  <c r="AH715" s="243"/>
      <c r="AI715" s="243"/>
      <c r="AJ715" s="243"/>
      <c r="AK715" s="243"/>
      <c r="AL715" s="243"/>
      <c r="AM715" s="243"/>
      <c r="AN715" s="243"/>
      <c r="AO715" s="243"/>
      <c r="AP715" s="243"/>
      <c r="AQ715" s="243"/>
      <c r="AR715" s="243"/>
      <c r="AS715" s="243"/>
      <c r="AT715" s="243"/>
    </row>
    <row r="716" spans="1:46" ht="12.75" x14ac:dyDescent="0.2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3"/>
      <c r="Z716" s="243"/>
      <c r="AA716" s="243"/>
      <c r="AB716" s="243"/>
      <c r="AC716" s="243"/>
      <c r="AD716" s="243"/>
      <c r="AE716" s="243"/>
      <c r="AF716" s="243"/>
      <c r="AG716" s="243"/>
      <c r="AH716" s="243"/>
      <c r="AI716" s="243"/>
      <c r="AJ716" s="243"/>
      <c r="AK716" s="243"/>
      <c r="AL716" s="243"/>
      <c r="AM716" s="243"/>
      <c r="AN716" s="243"/>
      <c r="AO716" s="243"/>
      <c r="AP716" s="243"/>
      <c r="AQ716" s="243"/>
      <c r="AR716" s="243"/>
      <c r="AS716" s="243"/>
      <c r="AT716" s="243"/>
    </row>
    <row r="717" spans="1:46" ht="12.75" x14ac:dyDescent="0.2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3"/>
      <c r="Z717" s="243"/>
      <c r="AA717" s="243"/>
      <c r="AB717" s="243"/>
      <c r="AC717" s="243"/>
      <c r="AD717" s="243"/>
      <c r="AE717" s="243"/>
      <c r="AF717" s="243"/>
      <c r="AG717" s="243"/>
      <c r="AH717" s="243"/>
      <c r="AI717" s="243"/>
      <c r="AJ717" s="243"/>
      <c r="AK717" s="243"/>
      <c r="AL717" s="243"/>
      <c r="AM717" s="243"/>
      <c r="AN717" s="243"/>
      <c r="AO717" s="243"/>
      <c r="AP717" s="243"/>
      <c r="AQ717" s="243"/>
      <c r="AR717" s="243"/>
      <c r="AS717" s="243"/>
      <c r="AT717" s="243"/>
    </row>
    <row r="718" spans="1:46" ht="12.75" x14ac:dyDescent="0.2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  <c r="AA718" s="243"/>
      <c r="AB718" s="243"/>
      <c r="AC718" s="243"/>
      <c r="AD718" s="243"/>
      <c r="AE718" s="243"/>
      <c r="AF718" s="243"/>
      <c r="AG718" s="243"/>
      <c r="AH718" s="243"/>
      <c r="AI718" s="243"/>
      <c r="AJ718" s="243"/>
      <c r="AK718" s="243"/>
      <c r="AL718" s="243"/>
      <c r="AM718" s="243"/>
      <c r="AN718" s="243"/>
      <c r="AO718" s="243"/>
      <c r="AP718" s="243"/>
      <c r="AQ718" s="243"/>
      <c r="AR718" s="243"/>
      <c r="AS718" s="243"/>
      <c r="AT718" s="243"/>
    </row>
    <row r="719" spans="1:46" ht="12.75" x14ac:dyDescent="0.2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  <c r="AH719" s="243"/>
      <c r="AI719" s="243"/>
      <c r="AJ719" s="243"/>
      <c r="AK719" s="243"/>
      <c r="AL719" s="243"/>
      <c r="AM719" s="243"/>
      <c r="AN719" s="243"/>
      <c r="AO719" s="243"/>
      <c r="AP719" s="243"/>
      <c r="AQ719" s="243"/>
      <c r="AR719" s="243"/>
      <c r="AS719" s="243"/>
      <c r="AT719" s="243"/>
    </row>
    <row r="720" spans="1:46" ht="12.75" x14ac:dyDescent="0.2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  <c r="AH720" s="243"/>
      <c r="AI720" s="243"/>
      <c r="AJ720" s="243"/>
      <c r="AK720" s="243"/>
      <c r="AL720" s="243"/>
      <c r="AM720" s="243"/>
      <c r="AN720" s="243"/>
      <c r="AO720" s="243"/>
      <c r="AP720" s="243"/>
      <c r="AQ720" s="243"/>
      <c r="AR720" s="243"/>
      <c r="AS720" s="243"/>
      <c r="AT720" s="243"/>
    </row>
    <row r="721" spans="1:46" ht="12.75" x14ac:dyDescent="0.2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  <c r="AA721" s="243"/>
      <c r="AB721" s="243"/>
      <c r="AC721" s="243"/>
      <c r="AD721" s="243"/>
      <c r="AE721" s="243"/>
      <c r="AF721" s="243"/>
      <c r="AG721" s="243"/>
      <c r="AH721" s="243"/>
      <c r="AI721" s="243"/>
      <c r="AJ721" s="243"/>
      <c r="AK721" s="243"/>
      <c r="AL721" s="243"/>
      <c r="AM721" s="243"/>
      <c r="AN721" s="243"/>
      <c r="AO721" s="243"/>
      <c r="AP721" s="243"/>
      <c r="AQ721" s="243"/>
      <c r="AR721" s="243"/>
      <c r="AS721" s="243"/>
      <c r="AT721" s="243"/>
    </row>
    <row r="722" spans="1:46" ht="12.75" x14ac:dyDescent="0.2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  <c r="AA722" s="243"/>
      <c r="AB722" s="243"/>
      <c r="AC722" s="243"/>
      <c r="AD722" s="243"/>
      <c r="AE722" s="243"/>
      <c r="AF722" s="243"/>
      <c r="AG722" s="243"/>
      <c r="AH722" s="243"/>
      <c r="AI722" s="243"/>
      <c r="AJ722" s="243"/>
      <c r="AK722" s="243"/>
      <c r="AL722" s="243"/>
      <c r="AM722" s="243"/>
      <c r="AN722" s="243"/>
      <c r="AO722" s="243"/>
      <c r="AP722" s="243"/>
      <c r="AQ722" s="243"/>
      <c r="AR722" s="243"/>
      <c r="AS722" s="243"/>
      <c r="AT722" s="243"/>
    </row>
    <row r="723" spans="1:46" ht="12.75" x14ac:dyDescent="0.2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  <c r="AH723" s="243"/>
      <c r="AI723" s="243"/>
      <c r="AJ723" s="243"/>
      <c r="AK723" s="243"/>
      <c r="AL723" s="243"/>
      <c r="AM723" s="243"/>
      <c r="AN723" s="243"/>
      <c r="AO723" s="243"/>
      <c r="AP723" s="243"/>
      <c r="AQ723" s="243"/>
      <c r="AR723" s="243"/>
      <c r="AS723" s="243"/>
      <c r="AT723" s="243"/>
    </row>
    <row r="724" spans="1:46" ht="12.75" x14ac:dyDescent="0.2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  <c r="AH724" s="243"/>
      <c r="AI724" s="243"/>
      <c r="AJ724" s="243"/>
      <c r="AK724" s="243"/>
      <c r="AL724" s="243"/>
      <c r="AM724" s="243"/>
      <c r="AN724" s="243"/>
      <c r="AO724" s="243"/>
      <c r="AP724" s="243"/>
      <c r="AQ724" s="243"/>
      <c r="AR724" s="243"/>
      <c r="AS724" s="243"/>
      <c r="AT724" s="243"/>
    </row>
    <row r="725" spans="1:46" ht="12.75" x14ac:dyDescent="0.2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  <c r="AH725" s="243"/>
      <c r="AI725" s="243"/>
      <c r="AJ725" s="243"/>
      <c r="AK725" s="243"/>
      <c r="AL725" s="243"/>
      <c r="AM725" s="243"/>
      <c r="AN725" s="243"/>
      <c r="AO725" s="243"/>
      <c r="AP725" s="243"/>
      <c r="AQ725" s="243"/>
      <c r="AR725" s="243"/>
      <c r="AS725" s="243"/>
      <c r="AT725" s="243"/>
    </row>
    <row r="726" spans="1:46" ht="12.75" x14ac:dyDescent="0.2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  <c r="AA726" s="243"/>
      <c r="AB726" s="243"/>
      <c r="AC726" s="243"/>
      <c r="AD726" s="243"/>
      <c r="AE726" s="243"/>
      <c r="AF726" s="243"/>
      <c r="AG726" s="243"/>
      <c r="AH726" s="243"/>
      <c r="AI726" s="243"/>
      <c r="AJ726" s="243"/>
      <c r="AK726" s="243"/>
      <c r="AL726" s="243"/>
      <c r="AM726" s="243"/>
      <c r="AN726" s="243"/>
      <c r="AO726" s="243"/>
      <c r="AP726" s="243"/>
      <c r="AQ726" s="243"/>
      <c r="AR726" s="243"/>
      <c r="AS726" s="243"/>
      <c r="AT726" s="243"/>
    </row>
    <row r="727" spans="1:46" ht="12.75" x14ac:dyDescent="0.2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3"/>
      <c r="Z727" s="243"/>
      <c r="AA727" s="243"/>
      <c r="AB727" s="243"/>
      <c r="AC727" s="243"/>
      <c r="AD727" s="243"/>
      <c r="AE727" s="243"/>
      <c r="AF727" s="243"/>
      <c r="AG727" s="243"/>
      <c r="AH727" s="243"/>
      <c r="AI727" s="243"/>
      <c r="AJ727" s="243"/>
      <c r="AK727" s="243"/>
      <c r="AL727" s="243"/>
      <c r="AM727" s="243"/>
      <c r="AN727" s="243"/>
      <c r="AO727" s="243"/>
      <c r="AP727" s="243"/>
      <c r="AQ727" s="243"/>
      <c r="AR727" s="243"/>
      <c r="AS727" s="243"/>
      <c r="AT727" s="243"/>
    </row>
    <row r="728" spans="1:46" ht="12.75" x14ac:dyDescent="0.2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3"/>
      <c r="Z728" s="243"/>
      <c r="AA728" s="243"/>
      <c r="AB728" s="243"/>
      <c r="AC728" s="243"/>
      <c r="AD728" s="243"/>
      <c r="AE728" s="243"/>
      <c r="AF728" s="243"/>
      <c r="AG728" s="243"/>
      <c r="AH728" s="243"/>
      <c r="AI728" s="243"/>
      <c r="AJ728" s="243"/>
      <c r="AK728" s="243"/>
      <c r="AL728" s="243"/>
      <c r="AM728" s="243"/>
      <c r="AN728" s="243"/>
      <c r="AO728" s="243"/>
      <c r="AP728" s="243"/>
      <c r="AQ728" s="243"/>
      <c r="AR728" s="243"/>
      <c r="AS728" s="243"/>
      <c r="AT728" s="243"/>
    </row>
    <row r="729" spans="1:46" ht="12.75" x14ac:dyDescent="0.2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3"/>
      <c r="Z729" s="243"/>
      <c r="AA729" s="243"/>
      <c r="AB729" s="243"/>
      <c r="AC729" s="243"/>
      <c r="AD729" s="243"/>
      <c r="AE729" s="243"/>
      <c r="AF729" s="243"/>
      <c r="AG729" s="243"/>
      <c r="AH729" s="243"/>
      <c r="AI729" s="243"/>
      <c r="AJ729" s="243"/>
      <c r="AK729" s="243"/>
      <c r="AL729" s="243"/>
      <c r="AM729" s="243"/>
      <c r="AN729" s="243"/>
      <c r="AO729" s="243"/>
      <c r="AP729" s="243"/>
      <c r="AQ729" s="243"/>
      <c r="AR729" s="243"/>
      <c r="AS729" s="243"/>
      <c r="AT729" s="243"/>
    </row>
    <row r="730" spans="1:46" ht="12.75" x14ac:dyDescent="0.2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  <c r="AA730" s="243"/>
      <c r="AB730" s="243"/>
      <c r="AC730" s="243"/>
      <c r="AD730" s="243"/>
      <c r="AE730" s="243"/>
      <c r="AF730" s="243"/>
      <c r="AG730" s="243"/>
      <c r="AH730" s="243"/>
      <c r="AI730" s="243"/>
      <c r="AJ730" s="243"/>
      <c r="AK730" s="243"/>
      <c r="AL730" s="243"/>
      <c r="AM730" s="243"/>
      <c r="AN730" s="243"/>
      <c r="AO730" s="243"/>
      <c r="AP730" s="243"/>
      <c r="AQ730" s="243"/>
      <c r="AR730" s="243"/>
      <c r="AS730" s="243"/>
      <c r="AT730" s="243"/>
    </row>
    <row r="731" spans="1:46" ht="12.75" x14ac:dyDescent="0.2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  <c r="AH731" s="243"/>
      <c r="AI731" s="243"/>
      <c r="AJ731" s="243"/>
      <c r="AK731" s="243"/>
      <c r="AL731" s="243"/>
      <c r="AM731" s="243"/>
      <c r="AN731" s="243"/>
      <c r="AO731" s="243"/>
      <c r="AP731" s="243"/>
      <c r="AQ731" s="243"/>
      <c r="AR731" s="243"/>
      <c r="AS731" s="243"/>
      <c r="AT731" s="243"/>
    </row>
    <row r="732" spans="1:46" ht="12.75" x14ac:dyDescent="0.2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  <c r="AH732" s="243"/>
      <c r="AI732" s="243"/>
      <c r="AJ732" s="243"/>
      <c r="AK732" s="243"/>
      <c r="AL732" s="243"/>
      <c r="AM732" s="243"/>
      <c r="AN732" s="243"/>
      <c r="AO732" s="243"/>
      <c r="AP732" s="243"/>
      <c r="AQ732" s="243"/>
      <c r="AR732" s="243"/>
      <c r="AS732" s="243"/>
      <c r="AT732" s="243"/>
    </row>
    <row r="733" spans="1:46" ht="12.75" x14ac:dyDescent="0.2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  <c r="AH733" s="243"/>
      <c r="AI733" s="243"/>
      <c r="AJ733" s="243"/>
      <c r="AK733" s="243"/>
      <c r="AL733" s="243"/>
      <c r="AM733" s="243"/>
      <c r="AN733" s="243"/>
      <c r="AO733" s="243"/>
      <c r="AP733" s="243"/>
      <c r="AQ733" s="243"/>
      <c r="AR733" s="243"/>
      <c r="AS733" s="243"/>
      <c r="AT733" s="243"/>
    </row>
    <row r="734" spans="1:46" ht="12.75" x14ac:dyDescent="0.2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  <c r="AH734" s="243"/>
      <c r="AI734" s="243"/>
      <c r="AJ734" s="243"/>
      <c r="AK734" s="243"/>
      <c r="AL734" s="243"/>
      <c r="AM734" s="243"/>
      <c r="AN734" s="243"/>
      <c r="AO734" s="243"/>
      <c r="AP734" s="243"/>
      <c r="AQ734" s="243"/>
      <c r="AR734" s="243"/>
      <c r="AS734" s="243"/>
      <c r="AT734" s="243"/>
    </row>
    <row r="735" spans="1:46" ht="12.75" x14ac:dyDescent="0.2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  <c r="AH735" s="243"/>
      <c r="AI735" s="243"/>
      <c r="AJ735" s="243"/>
      <c r="AK735" s="243"/>
      <c r="AL735" s="243"/>
      <c r="AM735" s="243"/>
      <c r="AN735" s="243"/>
      <c r="AO735" s="243"/>
      <c r="AP735" s="243"/>
      <c r="AQ735" s="243"/>
      <c r="AR735" s="243"/>
      <c r="AS735" s="243"/>
      <c r="AT735" s="243"/>
    </row>
    <row r="736" spans="1:46" ht="12.75" x14ac:dyDescent="0.2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  <c r="AH736" s="243"/>
      <c r="AI736" s="243"/>
      <c r="AJ736" s="243"/>
      <c r="AK736" s="243"/>
      <c r="AL736" s="243"/>
      <c r="AM736" s="243"/>
      <c r="AN736" s="243"/>
      <c r="AO736" s="243"/>
      <c r="AP736" s="243"/>
      <c r="AQ736" s="243"/>
      <c r="AR736" s="243"/>
      <c r="AS736" s="243"/>
      <c r="AT736" s="243"/>
    </row>
    <row r="737" spans="1:46" ht="12.75" x14ac:dyDescent="0.2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  <c r="AA737" s="243"/>
      <c r="AB737" s="243"/>
      <c r="AC737" s="243"/>
      <c r="AD737" s="243"/>
      <c r="AE737" s="243"/>
      <c r="AF737" s="243"/>
      <c r="AG737" s="243"/>
      <c r="AH737" s="243"/>
      <c r="AI737" s="243"/>
      <c r="AJ737" s="243"/>
      <c r="AK737" s="243"/>
      <c r="AL737" s="243"/>
      <c r="AM737" s="243"/>
      <c r="AN737" s="243"/>
      <c r="AO737" s="243"/>
      <c r="AP737" s="243"/>
      <c r="AQ737" s="243"/>
      <c r="AR737" s="243"/>
      <c r="AS737" s="243"/>
      <c r="AT737" s="243"/>
    </row>
    <row r="738" spans="1:46" ht="12.75" x14ac:dyDescent="0.2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  <c r="AA738" s="243"/>
      <c r="AB738" s="243"/>
      <c r="AC738" s="243"/>
      <c r="AD738" s="243"/>
      <c r="AE738" s="243"/>
      <c r="AF738" s="243"/>
      <c r="AG738" s="243"/>
      <c r="AH738" s="243"/>
      <c r="AI738" s="243"/>
      <c r="AJ738" s="243"/>
      <c r="AK738" s="243"/>
      <c r="AL738" s="243"/>
      <c r="AM738" s="243"/>
      <c r="AN738" s="243"/>
      <c r="AO738" s="243"/>
      <c r="AP738" s="243"/>
      <c r="AQ738" s="243"/>
      <c r="AR738" s="243"/>
      <c r="AS738" s="243"/>
      <c r="AT738" s="243"/>
    </row>
    <row r="739" spans="1:46" ht="12.75" x14ac:dyDescent="0.2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  <c r="AH739" s="243"/>
      <c r="AI739" s="243"/>
      <c r="AJ739" s="243"/>
      <c r="AK739" s="243"/>
      <c r="AL739" s="243"/>
      <c r="AM739" s="243"/>
      <c r="AN739" s="243"/>
      <c r="AO739" s="243"/>
      <c r="AP739" s="243"/>
      <c r="AQ739" s="243"/>
      <c r="AR739" s="243"/>
      <c r="AS739" s="243"/>
      <c r="AT739" s="243"/>
    </row>
    <row r="740" spans="1:46" ht="12.75" x14ac:dyDescent="0.2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  <c r="AA740" s="243"/>
      <c r="AB740" s="243"/>
      <c r="AC740" s="243"/>
      <c r="AD740" s="243"/>
      <c r="AE740" s="243"/>
      <c r="AF740" s="243"/>
      <c r="AG740" s="243"/>
      <c r="AH740" s="243"/>
      <c r="AI740" s="243"/>
      <c r="AJ740" s="243"/>
      <c r="AK740" s="243"/>
      <c r="AL740" s="243"/>
      <c r="AM740" s="243"/>
      <c r="AN740" s="243"/>
      <c r="AO740" s="243"/>
      <c r="AP740" s="243"/>
      <c r="AQ740" s="243"/>
      <c r="AR740" s="243"/>
      <c r="AS740" s="243"/>
      <c r="AT740" s="243"/>
    </row>
    <row r="741" spans="1:46" ht="12.75" x14ac:dyDescent="0.2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  <c r="AA741" s="243"/>
      <c r="AB741" s="243"/>
      <c r="AC741" s="243"/>
      <c r="AD741" s="243"/>
      <c r="AE741" s="243"/>
      <c r="AF741" s="243"/>
      <c r="AG741" s="243"/>
      <c r="AH741" s="243"/>
      <c r="AI741" s="243"/>
      <c r="AJ741" s="243"/>
      <c r="AK741" s="243"/>
      <c r="AL741" s="243"/>
      <c r="AM741" s="243"/>
      <c r="AN741" s="243"/>
      <c r="AO741" s="243"/>
      <c r="AP741" s="243"/>
      <c r="AQ741" s="243"/>
      <c r="AR741" s="243"/>
      <c r="AS741" s="243"/>
      <c r="AT741" s="243"/>
    </row>
    <row r="742" spans="1:46" ht="12.75" x14ac:dyDescent="0.2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  <c r="AH742" s="243"/>
      <c r="AI742" s="243"/>
      <c r="AJ742" s="243"/>
      <c r="AK742" s="243"/>
      <c r="AL742" s="243"/>
      <c r="AM742" s="243"/>
      <c r="AN742" s="243"/>
      <c r="AO742" s="243"/>
      <c r="AP742" s="243"/>
      <c r="AQ742" s="243"/>
      <c r="AR742" s="243"/>
      <c r="AS742" s="243"/>
      <c r="AT742" s="243"/>
    </row>
    <row r="743" spans="1:46" ht="12.75" x14ac:dyDescent="0.2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  <c r="AA743" s="243"/>
      <c r="AB743" s="243"/>
      <c r="AC743" s="243"/>
      <c r="AD743" s="243"/>
      <c r="AE743" s="243"/>
      <c r="AF743" s="243"/>
      <c r="AG743" s="243"/>
      <c r="AH743" s="243"/>
      <c r="AI743" s="243"/>
      <c r="AJ743" s="243"/>
      <c r="AK743" s="243"/>
      <c r="AL743" s="243"/>
      <c r="AM743" s="243"/>
      <c r="AN743" s="243"/>
      <c r="AO743" s="243"/>
      <c r="AP743" s="243"/>
      <c r="AQ743" s="243"/>
      <c r="AR743" s="243"/>
      <c r="AS743" s="243"/>
      <c r="AT743" s="243"/>
    </row>
    <row r="744" spans="1:46" ht="12.75" x14ac:dyDescent="0.2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  <c r="AA744" s="243"/>
      <c r="AB744" s="243"/>
      <c r="AC744" s="243"/>
      <c r="AD744" s="243"/>
      <c r="AE744" s="243"/>
      <c r="AF744" s="243"/>
      <c r="AG744" s="243"/>
      <c r="AH744" s="243"/>
      <c r="AI744" s="243"/>
      <c r="AJ744" s="243"/>
      <c r="AK744" s="243"/>
      <c r="AL744" s="243"/>
      <c r="AM744" s="243"/>
      <c r="AN744" s="243"/>
      <c r="AO744" s="243"/>
      <c r="AP744" s="243"/>
      <c r="AQ744" s="243"/>
      <c r="AR744" s="243"/>
      <c r="AS744" s="243"/>
      <c r="AT744" s="243"/>
    </row>
    <row r="745" spans="1:46" ht="12.75" x14ac:dyDescent="0.2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  <c r="AH745" s="243"/>
      <c r="AI745" s="243"/>
      <c r="AJ745" s="243"/>
      <c r="AK745" s="243"/>
      <c r="AL745" s="243"/>
      <c r="AM745" s="243"/>
      <c r="AN745" s="243"/>
      <c r="AO745" s="243"/>
      <c r="AP745" s="243"/>
      <c r="AQ745" s="243"/>
      <c r="AR745" s="243"/>
      <c r="AS745" s="243"/>
      <c r="AT745" s="243"/>
    </row>
    <row r="746" spans="1:46" ht="12.75" x14ac:dyDescent="0.2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  <c r="AH746" s="243"/>
      <c r="AI746" s="243"/>
      <c r="AJ746" s="243"/>
      <c r="AK746" s="243"/>
      <c r="AL746" s="243"/>
      <c r="AM746" s="243"/>
      <c r="AN746" s="243"/>
      <c r="AO746" s="243"/>
      <c r="AP746" s="243"/>
      <c r="AQ746" s="243"/>
      <c r="AR746" s="243"/>
      <c r="AS746" s="243"/>
      <c r="AT746" s="243"/>
    </row>
    <row r="747" spans="1:46" ht="12.75" x14ac:dyDescent="0.2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  <c r="AH747" s="243"/>
      <c r="AI747" s="243"/>
      <c r="AJ747" s="243"/>
      <c r="AK747" s="243"/>
      <c r="AL747" s="243"/>
      <c r="AM747" s="243"/>
      <c r="AN747" s="243"/>
      <c r="AO747" s="243"/>
      <c r="AP747" s="243"/>
      <c r="AQ747" s="243"/>
      <c r="AR747" s="243"/>
      <c r="AS747" s="243"/>
      <c r="AT747" s="243"/>
    </row>
    <row r="748" spans="1:46" ht="12.75" x14ac:dyDescent="0.2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  <c r="AA748" s="243"/>
      <c r="AB748" s="243"/>
      <c r="AC748" s="243"/>
      <c r="AD748" s="243"/>
      <c r="AE748" s="243"/>
      <c r="AF748" s="243"/>
      <c r="AG748" s="243"/>
      <c r="AH748" s="243"/>
      <c r="AI748" s="243"/>
      <c r="AJ748" s="243"/>
      <c r="AK748" s="243"/>
      <c r="AL748" s="243"/>
      <c r="AM748" s="243"/>
      <c r="AN748" s="243"/>
      <c r="AO748" s="243"/>
      <c r="AP748" s="243"/>
      <c r="AQ748" s="243"/>
      <c r="AR748" s="243"/>
      <c r="AS748" s="243"/>
      <c r="AT748" s="243"/>
    </row>
    <row r="749" spans="1:46" ht="12.75" x14ac:dyDescent="0.2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3"/>
      <c r="Z749" s="243"/>
      <c r="AA749" s="243"/>
      <c r="AB749" s="243"/>
      <c r="AC749" s="243"/>
      <c r="AD749" s="243"/>
      <c r="AE749" s="243"/>
      <c r="AF749" s="243"/>
      <c r="AG749" s="243"/>
      <c r="AH749" s="243"/>
      <c r="AI749" s="243"/>
      <c r="AJ749" s="243"/>
      <c r="AK749" s="243"/>
      <c r="AL749" s="243"/>
      <c r="AM749" s="243"/>
      <c r="AN749" s="243"/>
      <c r="AO749" s="243"/>
      <c r="AP749" s="243"/>
      <c r="AQ749" s="243"/>
      <c r="AR749" s="243"/>
      <c r="AS749" s="243"/>
      <c r="AT749" s="243"/>
    </row>
    <row r="750" spans="1:46" ht="12.75" x14ac:dyDescent="0.2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3"/>
      <c r="Z750" s="243"/>
      <c r="AA750" s="243"/>
      <c r="AB750" s="243"/>
      <c r="AC750" s="243"/>
      <c r="AD750" s="243"/>
      <c r="AE750" s="243"/>
      <c r="AF750" s="243"/>
      <c r="AG750" s="243"/>
      <c r="AH750" s="243"/>
      <c r="AI750" s="243"/>
      <c r="AJ750" s="243"/>
      <c r="AK750" s="243"/>
      <c r="AL750" s="243"/>
      <c r="AM750" s="243"/>
      <c r="AN750" s="243"/>
      <c r="AO750" s="243"/>
      <c r="AP750" s="243"/>
      <c r="AQ750" s="243"/>
      <c r="AR750" s="243"/>
      <c r="AS750" s="243"/>
      <c r="AT750" s="243"/>
    </row>
    <row r="751" spans="1:46" ht="12.75" x14ac:dyDescent="0.2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3"/>
      <c r="Z751" s="243"/>
      <c r="AA751" s="243"/>
      <c r="AB751" s="243"/>
      <c r="AC751" s="243"/>
      <c r="AD751" s="243"/>
      <c r="AE751" s="243"/>
      <c r="AF751" s="243"/>
      <c r="AG751" s="243"/>
      <c r="AH751" s="243"/>
      <c r="AI751" s="243"/>
      <c r="AJ751" s="243"/>
      <c r="AK751" s="243"/>
      <c r="AL751" s="243"/>
      <c r="AM751" s="243"/>
      <c r="AN751" s="243"/>
      <c r="AO751" s="243"/>
      <c r="AP751" s="243"/>
      <c r="AQ751" s="243"/>
      <c r="AR751" s="243"/>
      <c r="AS751" s="243"/>
      <c r="AT751" s="243"/>
    </row>
    <row r="752" spans="1:46" ht="12.75" x14ac:dyDescent="0.2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3"/>
      <c r="Z752" s="243"/>
      <c r="AA752" s="243"/>
      <c r="AB752" s="243"/>
      <c r="AC752" s="243"/>
      <c r="AD752" s="243"/>
      <c r="AE752" s="243"/>
      <c r="AF752" s="243"/>
      <c r="AG752" s="243"/>
      <c r="AH752" s="243"/>
      <c r="AI752" s="243"/>
      <c r="AJ752" s="243"/>
      <c r="AK752" s="243"/>
      <c r="AL752" s="243"/>
      <c r="AM752" s="243"/>
      <c r="AN752" s="243"/>
      <c r="AO752" s="243"/>
      <c r="AP752" s="243"/>
      <c r="AQ752" s="243"/>
      <c r="AR752" s="243"/>
      <c r="AS752" s="243"/>
      <c r="AT752" s="243"/>
    </row>
    <row r="753" spans="1:46" ht="12.75" x14ac:dyDescent="0.2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3"/>
      <c r="Z753" s="243"/>
      <c r="AA753" s="243"/>
      <c r="AB753" s="243"/>
      <c r="AC753" s="243"/>
      <c r="AD753" s="243"/>
      <c r="AE753" s="243"/>
      <c r="AF753" s="243"/>
      <c r="AG753" s="243"/>
      <c r="AH753" s="243"/>
      <c r="AI753" s="243"/>
      <c r="AJ753" s="243"/>
      <c r="AK753" s="243"/>
      <c r="AL753" s="243"/>
      <c r="AM753" s="243"/>
      <c r="AN753" s="243"/>
      <c r="AO753" s="243"/>
      <c r="AP753" s="243"/>
      <c r="AQ753" s="243"/>
      <c r="AR753" s="243"/>
      <c r="AS753" s="243"/>
      <c r="AT753" s="243"/>
    </row>
    <row r="754" spans="1:46" ht="12.75" x14ac:dyDescent="0.2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3"/>
      <c r="Z754" s="243"/>
      <c r="AA754" s="243"/>
      <c r="AB754" s="243"/>
      <c r="AC754" s="243"/>
      <c r="AD754" s="243"/>
      <c r="AE754" s="243"/>
      <c r="AF754" s="243"/>
      <c r="AG754" s="243"/>
      <c r="AH754" s="243"/>
      <c r="AI754" s="243"/>
      <c r="AJ754" s="243"/>
      <c r="AK754" s="243"/>
      <c r="AL754" s="243"/>
      <c r="AM754" s="243"/>
      <c r="AN754" s="243"/>
      <c r="AO754" s="243"/>
      <c r="AP754" s="243"/>
      <c r="AQ754" s="243"/>
      <c r="AR754" s="243"/>
      <c r="AS754" s="243"/>
      <c r="AT754" s="243"/>
    </row>
    <row r="755" spans="1:46" ht="12.75" x14ac:dyDescent="0.2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3"/>
      <c r="Z755" s="243"/>
      <c r="AA755" s="243"/>
      <c r="AB755" s="243"/>
      <c r="AC755" s="243"/>
      <c r="AD755" s="243"/>
      <c r="AE755" s="243"/>
      <c r="AF755" s="243"/>
      <c r="AG755" s="243"/>
      <c r="AH755" s="243"/>
      <c r="AI755" s="243"/>
      <c r="AJ755" s="243"/>
      <c r="AK755" s="243"/>
      <c r="AL755" s="243"/>
      <c r="AM755" s="243"/>
      <c r="AN755" s="243"/>
      <c r="AO755" s="243"/>
      <c r="AP755" s="243"/>
      <c r="AQ755" s="243"/>
      <c r="AR755" s="243"/>
      <c r="AS755" s="243"/>
      <c r="AT755" s="243"/>
    </row>
    <row r="756" spans="1:46" ht="12.75" x14ac:dyDescent="0.2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  <c r="AA756" s="243"/>
      <c r="AB756" s="243"/>
      <c r="AC756" s="243"/>
      <c r="AD756" s="243"/>
      <c r="AE756" s="243"/>
      <c r="AF756" s="243"/>
      <c r="AG756" s="243"/>
      <c r="AH756" s="243"/>
      <c r="AI756" s="243"/>
      <c r="AJ756" s="243"/>
      <c r="AK756" s="243"/>
      <c r="AL756" s="243"/>
      <c r="AM756" s="243"/>
      <c r="AN756" s="243"/>
      <c r="AO756" s="243"/>
      <c r="AP756" s="243"/>
      <c r="AQ756" s="243"/>
      <c r="AR756" s="243"/>
      <c r="AS756" s="243"/>
      <c r="AT756" s="243"/>
    </row>
    <row r="757" spans="1:46" ht="12.75" x14ac:dyDescent="0.2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  <c r="AH757" s="243"/>
      <c r="AI757" s="243"/>
      <c r="AJ757" s="243"/>
      <c r="AK757" s="243"/>
      <c r="AL757" s="243"/>
      <c r="AM757" s="243"/>
      <c r="AN757" s="243"/>
      <c r="AO757" s="243"/>
      <c r="AP757" s="243"/>
      <c r="AQ757" s="243"/>
      <c r="AR757" s="243"/>
      <c r="AS757" s="243"/>
      <c r="AT757" s="243"/>
    </row>
    <row r="758" spans="1:46" ht="12.75" x14ac:dyDescent="0.2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  <c r="AA758" s="243"/>
      <c r="AB758" s="243"/>
      <c r="AC758" s="243"/>
      <c r="AD758" s="243"/>
      <c r="AE758" s="243"/>
      <c r="AF758" s="243"/>
      <c r="AG758" s="243"/>
      <c r="AH758" s="243"/>
      <c r="AI758" s="243"/>
      <c r="AJ758" s="243"/>
      <c r="AK758" s="243"/>
      <c r="AL758" s="243"/>
      <c r="AM758" s="243"/>
      <c r="AN758" s="243"/>
      <c r="AO758" s="243"/>
      <c r="AP758" s="243"/>
      <c r="AQ758" s="243"/>
      <c r="AR758" s="243"/>
      <c r="AS758" s="243"/>
      <c r="AT758" s="243"/>
    </row>
    <row r="759" spans="1:46" ht="12.75" x14ac:dyDescent="0.2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  <c r="AA759" s="243"/>
      <c r="AB759" s="243"/>
      <c r="AC759" s="243"/>
      <c r="AD759" s="243"/>
      <c r="AE759" s="243"/>
      <c r="AF759" s="243"/>
      <c r="AG759" s="243"/>
      <c r="AH759" s="243"/>
      <c r="AI759" s="243"/>
      <c r="AJ759" s="243"/>
      <c r="AK759" s="243"/>
      <c r="AL759" s="243"/>
      <c r="AM759" s="243"/>
      <c r="AN759" s="243"/>
      <c r="AO759" s="243"/>
      <c r="AP759" s="243"/>
      <c r="AQ759" s="243"/>
      <c r="AR759" s="243"/>
      <c r="AS759" s="243"/>
      <c r="AT759" s="243"/>
    </row>
    <row r="760" spans="1:46" ht="12.75" x14ac:dyDescent="0.2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  <c r="AA760" s="243"/>
      <c r="AB760" s="243"/>
      <c r="AC760" s="243"/>
      <c r="AD760" s="243"/>
      <c r="AE760" s="243"/>
      <c r="AF760" s="243"/>
      <c r="AG760" s="243"/>
      <c r="AH760" s="243"/>
      <c r="AI760" s="243"/>
      <c r="AJ760" s="243"/>
      <c r="AK760" s="243"/>
      <c r="AL760" s="243"/>
      <c r="AM760" s="243"/>
      <c r="AN760" s="243"/>
      <c r="AO760" s="243"/>
      <c r="AP760" s="243"/>
      <c r="AQ760" s="243"/>
      <c r="AR760" s="243"/>
      <c r="AS760" s="243"/>
      <c r="AT760" s="243"/>
    </row>
    <row r="761" spans="1:46" ht="12.75" x14ac:dyDescent="0.2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  <c r="AA761" s="243"/>
      <c r="AB761" s="243"/>
      <c r="AC761" s="243"/>
      <c r="AD761" s="243"/>
      <c r="AE761" s="243"/>
      <c r="AF761" s="243"/>
      <c r="AG761" s="243"/>
      <c r="AH761" s="243"/>
      <c r="AI761" s="243"/>
      <c r="AJ761" s="243"/>
      <c r="AK761" s="243"/>
      <c r="AL761" s="243"/>
      <c r="AM761" s="243"/>
      <c r="AN761" s="243"/>
      <c r="AO761" s="243"/>
      <c r="AP761" s="243"/>
      <c r="AQ761" s="243"/>
      <c r="AR761" s="243"/>
      <c r="AS761" s="243"/>
      <c r="AT761" s="243"/>
    </row>
    <row r="762" spans="1:46" ht="12.75" x14ac:dyDescent="0.2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  <c r="AA762" s="243"/>
      <c r="AB762" s="243"/>
      <c r="AC762" s="243"/>
      <c r="AD762" s="243"/>
      <c r="AE762" s="243"/>
      <c r="AF762" s="243"/>
      <c r="AG762" s="243"/>
      <c r="AH762" s="243"/>
      <c r="AI762" s="243"/>
      <c r="AJ762" s="243"/>
      <c r="AK762" s="243"/>
      <c r="AL762" s="243"/>
      <c r="AM762" s="243"/>
      <c r="AN762" s="243"/>
      <c r="AO762" s="243"/>
      <c r="AP762" s="243"/>
      <c r="AQ762" s="243"/>
      <c r="AR762" s="243"/>
      <c r="AS762" s="243"/>
      <c r="AT762" s="243"/>
    </row>
    <row r="763" spans="1:46" ht="12.75" x14ac:dyDescent="0.2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  <c r="AA763" s="243"/>
      <c r="AB763" s="243"/>
      <c r="AC763" s="243"/>
      <c r="AD763" s="243"/>
      <c r="AE763" s="243"/>
      <c r="AF763" s="243"/>
      <c r="AG763" s="243"/>
      <c r="AH763" s="243"/>
      <c r="AI763" s="243"/>
      <c r="AJ763" s="243"/>
      <c r="AK763" s="243"/>
      <c r="AL763" s="243"/>
      <c r="AM763" s="243"/>
      <c r="AN763" s="243"/>
      <c r="AO763" s="243"/>
      <c r="AP763" s="243"/>
      <c r="AQ763" s="243"/>
      <c r="AR763" s="243"/>
      <c r="AS763" s="243"/>
      <c r="AT763" s="243"/>
    </row>
    <row r="764" spans="1:46" ht="12.75" x14ac:dyDescent="0.2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3"/>
      <c r="AI764" s="243"/>
      <c r="AJ764" s="243"/>
      <c r="AK764" s="243"/>
      <c r="AL764" s="243"/>
      <c r="AM764" s="243"/>
      <c r="AN764" s="243"/>
      <c r="AO764" s="243"/>
      <c r="AP764" s="243"/>
      <c r="AQ764" s="243"/>
      <c r="AR764" s="243"/>
      <c r="AS764" s="243"/>
      <c r="AT764" s="243"/>
    </row>
    <row r="765" spans="1:46" ht="12.75" x14ac:dyDescent="0.2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3"/>
      <c r="Z765" s="243"/>
      <c r="AA765" s="243"/>
      <c r="AB765" s="243"/>
      <c r="AC765" s="243"/>
      <c r="AD765" s="243"/>
      <c r="AE765" s="243"/>
      <c r="AF765" s="243"/>
      <c r="AG765" s="243"/>
      <c r="AH765" s="243"/>
      <c r="AI765" s="243"/>
      <c r="AJ765" s="243"/>
      <c r="AK765" s="243"/>
      <c r="AL765" s="243"/>
      <c r="AM765" s="243"/>
      <c r="AN765" s="243"/>
      <c r="AO765" s="243"/>
      <c r="AP765" s="243"/>
      <c r="AQ765" s="243"/>
      <c r="AR765" s="243"/>
      <c r="AS765" s="243"/>
      <c r="AT765" s="243"/>
    </row>
    <row r="766" spans="1:46" ht="12.75" x14ac:dyDescent="0.2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3"/>
      <c r="Z766" s="243"/>
      <c r="AA766" s="243"/>
      <c r="AB766" s="243"/>
      <c r="AC766" s="243"/>
      <c r="AD766" s="243"/>
      <c r="AE766" s="243"/>
      <c r="AF766" s="243"/>
      <c r="AG766" s="243"/>
      <c r="AH766" s="243"/>
      <c r="AI766" s="243"/>
      <c r="AJ766" s="243"/>
      <c r="AK766" s="243"/>
      <c r="AL766" s="243"/>
      <c r="AM766" s="243"/>
      <c r="AN766" s="243"/>
      <c r="AO766" s="243"/>
      <c r="AP766" s="243"/>
      <c r="AQ766" s="243"/>
      <c r="AR766" s="243"/>
      <c r="AS766" s="243"/>
      <c r="AT766" s="243"/>
    </row>
    <row r="767" spans="1:46" ht="12.75" x14ac:dyDescent="0.2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3"/>
      <c r="Z767" s="243"/>
      <c r="AA767" s="243"/>
      <c r="AB767" s="243"/>
      <c r="AC767" s="243"/>
      <c r="AD767" s="243"/>
      <c r="AE767" s="243"/>
      <c r="AF767" s="243"/>
      <c r="AG767" s="243"/>
      <c r="AH767" s="243"/>
      <c r="AI767" s="243"/>
      <c r="AJ767" s="243"/>
      <c r="AK767" s="243"/>
      <c r="AL767" s="243"/>
      <c r="AM767" s="243"/>
      <c r="AN767" s="243"/>
      <c r="AO767" s="243"/>
      <c r="AP767" s="243"/>
      <c r="AQ767" s="243"/>
      <c r="AR767" s="243"/>
      <c r="AS767" s="243"/>
      <c r="AT767" s="243"/>
    </row>
    <row r="768" spans="1:46" ht="12.75" x14ac:dyDescent="0.2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3"/>
      <c r="Z768" s="243"/>
      <c r="AA768" s="243"/>
      <c r="AB768" s="243"/>
      <c r="AC768" s="243"/>
      <c r="AD768" s="243"/>
      <c r="AE768" s="243"/>
      <c r="AF768" s="243"/>
      <c r="AG768" s="243"/>
      <c r="AH768" s="243"/>
      <c r="AI768" s="243"/>
      <c r="AJ768" s="243"/>
      <c r="AK768" s="243"/>
      <c r="AL768" s="243"/>
      <c r="AM768" s="243"/>
      <c r="AN768" s="243"/>
      <c r="AO768" s="243"/>
      <c r="AP768" s="243"/>
      <c r="AQ768" s="243"/>
      <c r="AR768" s="243"/>
      <c r="AS768" s="243"/>
      <c r="AT768" s="243"/>
    </row>
    <row r="769" spans="1:46" ht="12.75" x14ac:dyDescent="0.2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3"/>
      <c r="Z769" s="243"/>
      <c r="AA769" s="243"/>
      <c r="AB769" s="243"/>
      <c r="AC769" s="243"/>
      <c r="AD769" s="243"/>
      <c r="AE769" s="243"/>
      <c r="AF769" s="243"/>
      <c r="AG769" s="243"/>
      <c r="AH769" s="243"/>
      <c r="AI769" s="243"/>
      <c r="AJ769" s="243"/>
      <c r="AK769" s="243"/>
      <c r="AL769" s="243"/>
      <c r="AM769" s="243"/>
      <c r="AN769" s="243"/>
      <c r="AO769" s="243"/>
      <c r="AP769" s="243"/>
      <c r="AQ769" s="243"/>
      <c r="AR769" s="243"/>
      <c r="AS769" s="243"/>
      <c r="AT769" s="243"/>
    </row>
    <row r="770" spans="1:46" ht="12.75" x14ac:dyDescent="0.2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3"/>
      <c r="Z770" s="243"/>
      <c r="AA770" s="243"/>
      <c r="AB770" s="243"/>
      <c r="AC770" s="243"/>
      <c r="AD770" s="243"/>
      <c r="AE770" s="243"/>
      <c r="AF770" s="243"/>
      <c r="AG770" s="243"/>
      <c r="AH770" s="243"/>
      <c r="AI770" s="243"/>
      <c r="AJ770" s="243"/>
      <c r="AK770" s="243"/>
      <c r="AL770" s="243"/>
      <c r="AM770" s="243"/>
      <c r="AN770" s="243"/>
      <c r="AO770" s="243"/>
      <c r="AP770" s="243"/>
      <c r="AQ770" s="243"/>
      <c r="AR770" s="243"/>
      <c r="AS770" s="243"/>
      <c r="AT770" s="243"/>
    </row>
    <row r="771" spans="1:46" ht="12.75" x14ac:dyDescent="0.2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3"/>
      <c r="Z771" s="243"/>
      <c r="AA771" s="243"/>
      <c r="AB771" s="243"/>
      <c r="AC771" s="243"/>
      <c r="AD771" s="243"/>
      <c r="AE771" s="243"/>
      <c r="AF771" s="243"/>
      <c r="AG771" s="243"/>
      <c r="AH771" s="243"/>
      <c r="AI771" s="243"/>
      <c r="AJ771" s="243"/>
      <c r="AK771" s="243"/>
      <c r="AL771" s="243"/>
      <c r="AM771" s="243"/>
      <c r="AN771" s="243"/>
      <c r="AO771" s="243"/>
      <c r="AP771" s="243"/>
      <c r="AQ771" s="243"/>
      <c r="AR771" s="243"/>
      <c r="AS771" s="243"/>
      <c r="AT771" s="243"/>
    </row>
    <row r="772" spans="1:46" ht="12.75" x14ac:dyDescent="0.2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3"/>
      <c r="Z772" s="243"/>
      <c r="AA772" s="243"/>
      <c r="AB772" s="243"/>
      <c r="AC772" s="243"/>
      <c r="AD772" s="243"/>
      <c r="AE772" s="243"/>
      <c r="AF772" s="243"/>
      <c r="AG772" s="243"/>
      <c r="AH772" s="243"/>
      <c r="AI772" s="243"/>
      <c r="AJ772" s="243"/>
      <c r="AK772" s="243"/>
      <c r="AL772" s="243"/>
      <c r="AM772" s="243"/>
      <c r="AN772" s="243"/>
      <c r="AO772" s="243"/>
      <c r="AP772" s="243"/>
      <c r="AQ772" s="243"/>
      <c r="AR772" s="243"/>
      <c r="AS772" s="243"/>
      <c r="AT772" s="243"/>
    </row>
    <row r="773" spans="1:46" ht="12.75" x14ac:dyDescent="0.2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3"/>
      <c r="Z773" s="243"/>
      <c r="AA773" s="243"/>
      <c r="AB773" s="243"/>
      <c r="AC773" s="243"/>
      <c r="AD773" s="243"/>
      <c r="AE773" s="243"/>
      <c r="AF773" s="243"/>
      <c r="AG773" s="243"/>
      <c r="AH773" s="243"/>
      <c r="AI773" s="243"/>
      <c r="AJ773" s="243"/>
      <c r="AK773" s="243"/>
      <c r="AL773" s="243"/>
      <c r="AM773" s="243"/>
      <c r="AN773" s="243"/>
      <c r="AO773" s="243"/>
      <c r="AP773" s="243"/>
      <c r="AQ773" s="243"/>
      <c r="AR773" s="243"/>
      <c r="AS773" s="243"/>
      <c r="AT773" s="243"/>
    </row>
    <row r="774" spans="1:46" ht="12.75" x14ac:dyDescent="0.2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3"/>
      <c r="Z774" s="243"/>
      <c r="AA774" s="243"/>
      <c r="AB774" s="243"/>
      <c r="AC774" s="243"/>
      <c r="AD774" s="243"/>
      <c r="AE774" s="243"/>
      <c r="AF774" s="243"/>
      <c r="AG774" s="243"/>
      <c r="AH774" s="243"/>
      <c r="AI774" s="243"/>
      <c r="AJ774" s="243"/>
      <c r="AK774" s="243"/>
      <c r="AL774" s="243"/>
      <c r="AM774" s="243"/>
      <c r="AN774" s="243"/>
      <c r="AO774" s="243"/>
      <c r="AP774" s="243"/>
      <c r="AQ774" s="243"/>
      <c r="AR774" s="243"/>
      <c r="AS774" s="243"/>
      <c r="AT774" s="243"/>
    </row>
    <row r="775" spans="1:46" ht="12.75" x14ac:dyDescent="0.2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3"/>
      <c r="AI775" s="243"/>
      <c r="AJ775" s="243"/>
      <c r="AK775" s="243"/>
      <c r="AL775" s="243"/>
      <c r="AM775" s="243"/>
      <c r="AN775" s="243"/>
      <c r="AO775" s="243"/>
      <c r="AP775" s="243"/>
      <c r="AQ775" s="243"/>
      <c r="AR775" s="243"/>
      <c r="AS775" s="243"/>
      <c r="AT775" s="243"/>
    </row>
    <row r="776" spans="1:46" ht="12.75" x14ac:dyDescent="0.2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3"/>
      <c r="AI776" s="243"/>
      <c r="AJ776" s="243"/>
      <c r="AK776" s="243"/>
      <c r="AL776" s="243"/>
      <c r="AM776" s="243"/>
      <c r="AN776" s="243"/>
      <c r="AO776" s="243"/>
      <c r="AP776" s="243"/>
      <c r="AQ776" s="243"/>
      <c r="AR776" s="243"/>
      <c r="AS776" s="243"/>
      <c r="AT776" s="243"/>
    </row>
    <row r="777" spans="1:46" ht="12.75" x14ac:dyDescent="0.2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3"/>
      <c r="AI777" s="243"/>
      <c r="AJ777" s="243"/>
      <c r="AK777" s="243"/>
      <c r="AL777" s="243"/>
      <c r="AM777" s="243"/>
      <c r="AN777" s="243"/>
      <c r="AO777" s="243"/>
      <c r="AP777" s="243"/>
      <c r="AQ777" s="243"/>
      <c r="AR777" s="243"/>
      <c r="AS777" s="243"/>
      <c r="AT777" s="243"/>
    </row>
    <row r="778" spans="1:46" ht="12.75" x14ac:dyDescent="0.2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  <c r="AH778" s="243"/>
      <c r="AI778" s="243"/>
      <c r="AJ778" s="243"/>
      <c r="AK778" s="243"/>
      <c r="AL778" s="243"/>
      <c r="AM778" s="243"/>
      <c r="AN778" s="243"/>
      <c r="AO778" s="243"/>
      <c r="AP778" s="243"/>
      <c r="AQ778" s="243"/>
      <c r="AR778" s="243"/>
      <c r="AS778" s="243"/>
      <c r="AT778" s="243"/>
    </row>
    <row r="779" spans="1:46" ht="12.75" x14ac:dyDescent="0.2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3"/>
      <c r="Z779" s="243"/>
      <c r="AA779" s="243"/>
      <c r="AB779" s="243"/>
      <c r="AC779" s="243"/>
      <c r="AD779" s="243"/>
      <c r="AE779" s="243"/>
      <c r="AF779" s="243"/>
      <c r="AG779" s="243"/>
      <c r="AH779" s="243"/>
      <c r="AI779" s="243"/>
      <c r="AJ779" s="243"/>
      <c r="AK779" s="243"/>
      <c r="AL779" s="243"/>
      <c r="AM779" s="243"/>
      <c r="AN779" s="243"/>
      <c r="AO779" s="243"/>
      <c r="AP779" s="243"/>
      <c r="AQ779" s="243"/>
      <c r="AR779" s="243"/>
      <c r="AS779" s="243"/>
      <c r="AT779" s="243"/>
    </row>
    <row r="780" spans="1:46" ht="12.75" x14ac:dyDescent="0.2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3"/>
      <c r="Z780" s="243"/>
      <c r="AA780" s="243"/>
      <c r="AB780" s="243"/>
      <c r="AC780" s="243"/>
      <c r="AD780" s="243"/>
      <c r="AE780" s="243"/>
      <c r="AF780" s="243"/>
      <c r="AG780" s="243"/>
      <c r="AH780" s="243"/>
      <c r="AI780" s="243"/>
      <c r="AJ780" s="243"/>
      <c r="AK780" s="243"/>
      <c r="AL780" s="243"/>
      <c r="AM780" s="243"/>
      <c r="AN780" s="243"/>
      <c r="AO780" s="243"/>
      <c r="AP780" s="243"/>
      <c r="AQ780" s="243"/>
      <c r="AR780" s="243"/>
      <c r="AS780" s="243"/>
      <c r="AT780" s="243"/>
    </row>
    <row r="781" spans="1:46" ht="12.75" x14ac:dyDescent="0.2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3"/>
      <c r="Z781" s="243"/>
      <c r="AA781" s="243"/>
      <c r="AB781" s="243"/>
      <c r="AC781" s="243"/>
      <c r="AD781" s="243"/>
      <c r="AE781" s="243"/>
      <c r="AF781" s="243"/>
      <c r="AG781" s="243"/>
      <c r="AH781" s="243"/>
      <c r="AI781" s="243"/>
      <c r="AJ781" s="243"/>
      <c r="AK781" s="243"/>
      <c r="AL781" s="243"/>
      <c r="AM781" s="243"/>
      <c r="AN781" s="243"/>
      <c r="AO781" s="243"/>
      <c r="AP781" s="243"/>
      <c r="AQ781" s="243"/>
      <c r="AR781" s="243"/>
      <c r="AS781" s="243"/>
      <c r="AT781" s="243"/>
    </row>
    <row r="782" spans="1:46" ht="12.75" x14ac:dyDescent="0.2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3"/>
      <c r="Z782" s="243"/>
      <c r="AA782" s="243"/>
      <c r="AB782" s="243"/>
      <c r="AC782" s="243"/>
      <c r="AD782" s="243"/>
      <c r="AE782" s="243"/>
      <c r="AF782" s="243"/>
      <c r="AG782" s="243"/>
      <c r="AH782" s="243"/>
      <c r="AI782" s="243"/>
      <c r="AJ782" s="243"/>
      <c r="AK782" s="243"/>
      <c r="AL782" s="243"/>
      <c r="AM782" s="243"/>
      <c r="AN782" s="243"/>
      <c r="AO782" s="243"/>
      <c r="AP782" s="243"/>
      <c r="AQ782" s="243"/>
      <c r="AR782" s="243"/>
      <c r="AS782" s="243"/>
      <c r="AT782" s="243"/>
    </row>
    <row r="783" spans="1:46" ht="12.75" x14ac:dyDescent="0.2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3"/>
      <c r="Z783" s="243"/>
      <c r="AA783" s="243"/>
      <c r="AB783" s="243"/>
      <c r="AC783" s="243"/>
      <c r="AD783" s="243"/>
      <c r="AE783" s="243"/>
      <c r="AF783" s="243"/>
      <c r="AG783" s="243"/>
      <c r="AH783" s="243"/>
      <c r="AI783" s="243"/>
      <c r="AJ783" s="243"/>
      <c r="AK783" s="243"/>
      <c r="AL783" s="243"/>
      <c r="AM783" s="243"/>
      <c r="AN783" s="243"/>
      <c r="AO783" s="243"/>
      <c r="AP783" s="243"/>
      <c r="AQ783" s="243"/>
      <c r="AR783" s="243"/>
      <c r="AS783" s="243"/>
      <c r="AT783" s="243"/>
    </row>
    <row r="784" spans="1:46" ht="12.75" x14ac:dyDescent="0.2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3"/>
      <c r="Z784" s="243"/>
      <c r="AA784" s="243"/>
      <c r="AB784" s="243"/>
      <c r="AC784" s="243"/>
      <c r="AD784" s="243"/>
      <c r="AE784" s="243"/>
      <c r="AF784" s="243"/>
      <c r="AG784" s="243"/>
      <c r="AH784" s="243"/>
      <c r="AI784" s="243"/>
      <c r="AJ784" s="243"/>
      <c r="AK784" s="243"/>
      <c r="AL784" s="243"/>
      <c r="AM784" s="243"/>
      <c r="AN784" s="243"/>
      <c r="AO784" s="243"/>
      <c r="AP784" s="243"/>
      <c r="AQ784" s="243"/>
      <c r="AR784" s="243"/>
      <c r="AS784" s="243"/>
      <c r="AT784" s="243"/>
    </row>
    <row r="785" spans="1:46" ht="12.75" x14ac:dyDescent="0.2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3"/>
      <c r="Z785" s="243"/>
      <c r="AA785" s="243"/>
      <c r="AB785" s="243"/>
      <c r="AC785" s="243"/>
      <c r="AD785" s="243"/>
      <c r="AE785" s="243"/>
      <c r="AF785" s="243"/>
      <c r="AG785" s="243"/>
      <c r="AH785" s="243"/>
      <c r="AI785" s="243"/>
      <c r="AJ785" s="243"/>
      <c r="AK785" s="243"/>
      <c r="AL785" s="243"/>
      <c r="AM785" s="243"/>
      <c r="AN785" s="243"/>
      <c r="AO785" s="243"/>
      <c r="AP785" s="243"/>
      <c r="AQ785" s="243"/>
      <c r="AR785" s="243"/>
      <c r="AS785" s="243"/>
      <c r="AT785" s="243"/>
    </row>
    <row r="786" spans="1:46" ht="12.75" x14ac:dyDescent="0.2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3"/>
      <c r="Z786" s="243"/>
      <c r="AA786" s="243"/>
      <c r="AB786" s="243"/>
      <c r="AC786" s="243"/>
      <c r="AD786" s="243"/>
      <c r="AE786" s="243"/>
      <c r="AF786" s="243"/>
      <c r="AG786" s="243"/>
      <c r="AH786" s="243"/>
      <c r="AI786" s="243"/>
      <c r="AJ786" s="243"/>
      <c r="AK786" s="243"/>
      <c r="AL786" s="243"/>
      <c r="AM786" s="243"/>
      <c r="AN786" s="243"/>
      <c r="AO786" s="243"/>
      <c r="AP786" s="243"/>
      <c r="AQ786" s="243"/>
      <c r="AR786" s="243"/>
      <c r="AS786" s="243"/>
      <c r="AT786" s="243"/>
    </row>
    <row r="787" spans="1:46" ht="12.75" x14ac:dyDescent="0.2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3"/>
      <c r="Z787" s="243"/>
      <c r="AA787" s="243"/>
      <c r="AB787" s="243"/>
      <c r="AC787" s="243"/>
      <c r="AD787" s="243"/>
      <c r="AE787" s="243"/>
      <c r="AF787" s="243"/>
      <c r="AG787" s="243"/>
      <c r="AH787" s="243"/>
      <c r="AI787" s="243"/>
      <c r="AJ787" s="243"/>
      <c r="AK787" s="243"/>
      <c r="AL787" s="243"/>
      <c r="AM787" s="243"/>
      <c r="AN787" s="243"/>
      <c r="AO787" s="243"/>
      <c r="AP787" s="243"/>
      <c r="AQ787" s="243"/>
      <c r="AR787" s="243"/>
      <c r="AS787" s="243"/>
      <c r="AT787" s="243"/>
    </row>
    <row r="788" spans="1:46" ht="12.75" x14ac:dyDescent="0.2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3"/>
      <c r="Z788" s="243"/>
      <c r="AA788" s="243"/>
      <c r="AB788" s="243"/>
      <c r="AC788" s="243"/>
      <c r="AD788" s="243"/>
      <c r="AE788" s="243"/>
      <c r="AF788" s="243"/>
      <c r="AG788" s="243"/>
      <c r="AH788" s="243"/>
      <c r="AI788" s="243"/>
      <c r="AJ788" s="243"/>
      <c r="AK788" s="243"/>
      <c r="AL788" s="243"/>
      <c r="AM788" s="243"/>
      <c r="AN788" s="243"/>
      <c r="AO788" s="243"/>
      <c r="AP788" s="243"/>
      <c r="AQ788" s="243"/>
      <c r="AR788" s="243"/>
      <c r="AS788" s="243"/>
      <c r="AT788" s="243"/>
    </row>
    <row r="789" spans="1:46" ht="12.75" x14ac:dyDescent="0.2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3"/>
      <c r="Z789" s="243"/>
      <c r="AA789" s="243"/>
      <c r="AB789" s="243"/>
      <c r="AC789" s="243"/>
      <c r="AD789" s="243"/>
      <c r="AE789" s="243"/>
      <c r="AF789" s="243"/>
      <c r="AG789" s="243"/>
      <c r="AH789" s="243"/>
      <c r="AI789" s="243"/>
      <c r="AJ789" s="243"/>
      <c r="AK789" s="243"/>
      <c r="AL789" s="243"/>
      <c r="AM789" s="243"/>
      <c r="AN789" s="243"/>
      <c r="AO789" s="243"/>
      <c r="AP789" s="243"/>
      <c r="AQ789" s="243"/>
      <c r="AR789" s="243"/>
      <c r="AS789" s="243"/>
      <c r="AT789" s="243"/>
    </row>
    <row r="790" spans="1:46" ht="12.75" x14ac:dyDescent="0.2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  <c r="AH790" s="243"/>
      <c r="AI790" s="243"/>
      <c r="AJ790" s="243"/>
      <c r="AK790" s="243"/>
      <c r="AL790" s="243"/>
      <c r="AM790" s="243"/>
      <c r="AN790" s="243"/>
      <c r="AO790" s="243"/>
      <c r="AP790" s="243"/>
      <c r="AQ790" s="243"/>
      <c r="AR790" s="243"/>
      <c r="AS790" s="243"/>
      <c r="AT790" s="243"/>
    </row>
    <row r="791" spans="1:46" ht="12.75" x14ac:dyDescent="0.2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  <c r="AH791" s="243"/>
      <c r="AI791" s="243"/>
      <c r="AJ791" s="243"/>
      <c r="AK791" s="243"/>
      <c r="AL791" s="243"/>
      <c r="AM791" s="243"/>
      <c r="AN791" s="243"/>
      <c r="AO791" s="243"/>
      <c r="AP791" s="243"/>
      <c r="AQ791" s="243"/>
      <c r="AR791" s="243"/>
      <c r="AS791" s="243"/>
      <c r="AT791" s="243"/>
    </row>
    <row r="792" spans="1:46" ht="12.75" x14ac:dyDescent="0.2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  <c r="AH792" s="243"/>
      <c r="AI792" s="243"/>
      <c r="AJ792" s="243"/>
      <c r="AK792" s="243"/>
      <c r="AL792" s="243"/>
      <c r="AM792" s="243"/>
      <c r="AN792" s="243"/>
      <c r="AO792" s="243"/>
      <c r="AP792" s="243"/>
      <c r="AQ792" s="243"/>
      <c r="AR792" s="243"/>
      <c r="AS792" s="243"/>
      <c r="AT792" s="243"/>
    </row>
    <row r="793" spans="1:46" ht="12.75" x14ac:dyDescent="0.2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  <c r="AH793" s="243"/>
      <c r="AI793" s="243"/>
      <c r="AJ793" s="243"/>
      <c r="AK793" s="243"/>
      <c r="AL793" s="243"/>
      <c r="AM793" s="243"/>
      <c r="AN793" s="243"/>
      <c r="AO793" s="243"/>
      <c r="AP793" s="243"/>
      <c r="AQ793" s="243"/>
      <c r="AR793" s="243"/>
      <c r="AS793" s="243"/>
      <c r="AT793" s="243"/>
    </row>
    <row r="794" spans="1:46" ht="12.75" x14ac:dyDescent="0.2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3"/>
      <c r="AI794" s="243"/>
      <c r="AJ794" s="243"/>
      <c r="AK794" s="243"/>
      <c r="AL794" s="243"/>
      <c r="AM794" s="243"/>
      <c r="AN794" s="243"/>
      <c r="AO794" s="243"/>
      <c r="AP794" s="243"/>
      <c r="AQ794" s="243"/>
      <c r="AR794" s="243"/>
      <c r="AS794" s="243"/>
      <c r="AT794" s="243"/>
    </row>
    <row r="795" spans="1:46" ht="12.75" x14ac:dyDescent="0.2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3"/>
      <c r="AI795" s="243"/>
      <c r="AJ795" s="243"/>
      <c r="AK795" s="243"/>
      <c r="AL795" s="243"/>
      <c r="AM795" s="243"/>
      <c r="AN795" s="243"/>
      <c r="AO795" s="243"/>
      <c r="AP795" s="243"/>
      <c r="AQ795" s="243"/>
      <c r="AR795" s="243"/>
      <c r="AS795" s="243"/>
      <c r="AT795" s="243"/>
    </row>
    <row r="796" spans="1:46" ht="12.75" x14ac:dyDescent="0.2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  <c r="AH796" s="243"/>
      <c r="AI796" s="243"/>
      <c r="AJ796" s="243"/>
      <c r="AK796" s="243"/>
      <c r="AL796" s="243"/>
      <c r="AM796" s="243"/>
      <c r="AN796" s="243"/>
      <c r="AO796" s="243"/>
      <c r="AP796" s="243"/>
      <c r="AQ796" s="243"/>
      <c r="AR796" s="243"/>
      <c r="AS796" s="243"/>
      <c r="AT796" s="243"/>
    </row>
    <row r="797" spans="1:46" ht="12.75" x14ac:dyDescent="0.2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  <c r="AH797" s="243"/>
      <c r="AI797" s="243"/>
      <c r="AJ797" s="243"/>
      <c r="AK797" s="243"/>
      <c r="AL797" s="243"/>
      <c r="AM797" s="243"/>
      <c r="AN797" s="243"/>
      <c r="AO797" s="243"/>
      <c r="AP797" s="243"/>
      <c r="AQ797" s="243"/>
      <c r="AR797" s="243"/>
      <c r="AS797" s="243"/>
      <c r="AT797" s="243"/>
    </row>
    <row r="798" spans="1:46" ht="12.75" x14ac:dyDescent="0.2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  <c r="AH798" s="243"/>
      <c r="AI798" s="243"/>
      <c r="AJ798" s="243"/>
      <c r="AK798" s="243"/>
      <c r="AL798" s="243"/>
      <c r="AM798" s="243"/>
      <c r="AN798" s="243"/>
      <c r="AO798" s="243"/>
      <c r="AP798" s="243"/>
      <c r="AQ798" s="243"/>
      <c r="AR798" s="243"/>
      <c r="AS798" s="243"/>
      <c r="AT798" s="243"/>
    </row>
    <row r="799" spans="1:46" ht="12.75" x14ac:dyDescent="0.2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  <c r="AH799" s="243"/>
      <c r="AI799" s="243"/>
      <c r="AJ799" s="243"/>
      <c r="AK799" s="243"/>
      <c r="AL799" s="243"/>
      <c r="AM799" s="243"/>
      <c r="AN799" s="243"/>
      <c r="AO799" s="243"/>
      <c r="AP799" s="243"/>
      <c r="AQ799" s="243"/>
      <c r="AR799" s="243"/>
      <c r="AS799" s="243"/>
      <c r="AT799" s="243"/>
    </row>
    <row r="800" spans="1:46" ht="12.75" x14ac:dyDescent="0.2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  <c r="AH800" s="243"/>
      <c r="AI800" s="243"/>
      <c r="AJ800" s="243"/>
      <c r="AK800" s="243"/>
      <c r="AL800" s="243"/>
      <c r="AM800" s="243"/>
      <c r="AN800" s="243"/>
      <c r="AO800" s="243"/>
      <c r="AP800" s="243"/>
      <c r="AQ800" s="243"/>
      <c r="AR800" s="243"/>
      <c r="AS800" s="243"/>
      <c r="AT800" s="243"/>
    </row>
    <row r="801" spans="1:46" ht="12.75" x14ac:dyDescent="0.2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  <c r="AH801" s="243"/>
      <c r="AI801" s="243"/>
      <c r="AJ801" s="243"/>
      <c r="AK801" s="243"/>
      <c r="AL801" s="243"/>
      <c r="AM801" s="243"/>
      <c r="AN801" s="243"/>
      <c r="AO801" s="243"/>
      <c r="AP801" s="243"/>
      <c r="AQ801" s="243"/>
      <c r="AR801" s="243"/>
      <c r="AS801" s="243"/>
      <c r="AT801" s="243"/>
    </row>
    <row r="802" spans="1:46" ht="12.75" x14ac:dyDescent="0.2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  <c r="AH802" s="243"/>
      <c r="AI802" s="243"/>
      <c r="AJ802" s="243"/>
      <c r="AK802" s="243"/>
      <c r="AL802" s="243"/>
      <c r="AM802" s="243"/>
      <c r="AN802" s="243"/>
      <c r="AO802" s="243"/>
      <c r="AP802" s="243"/>
      <c r="AQ802" s="243"/>
      <c r="AR802" s="243"/>
      <c r="AS802" s="243"/>
      <c r="AT802" s="243"/>
    </row>
    <row r="803" spans="1:46" ht="12.75" x14ac:dyDescent="0.2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  <c r="AH803" s="243"/>
      <c r="AI803" s="243"/>
      <c r="AJ803" s="243"/>
      <c r="AK803" s="243"/>
      <c r="AL803" s="243"/>
      <c r="AM803" s="243"/>
      <c r="AN803" s="243"/>
      <c r="AO803" s="243"/>
      <c r="AP803" s="243"/>
      <c r="AQ803" s="243"/>
      <c r="AR803" s="243"/>
      <c r="AS803" s="243"/>
      <c r="AT803" s="243"/>
    </row>
    <row r="804" spans="1:46" ht="12.75" x14ac:dyDescent="0.2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  <c r="AH804" s="243"/>
      <c r="AI804" s="243"/>
      <c r="AJ804" s="243"/>
      <c r="AK804" s="243"/>
      <c r="AL804" s="243"/>
      <c r="AM804" s="243"/>
      <c r="AN804" s="243"/>
      <c r="AO804" s="243"/>
      <c r="AP804" s="243"/>
      <c r="AQ804" s="243"/>
      <c r="AR804" s="243"/>
      <c r="AS804" s="243"/>
      <c r="AT804" s="243"/>
    </row>
    <row r="805" spans="1:46" ht="12.75" x14ac:dyDescent="0.2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  <c r="AH805" s="243"/>
      <c r="AI805" s="243"/>
      <c r="AJ805" s="243"/>
      <c r="AK805" s="243"/>
      <c r="AL805" s="243"/>
      <c r="AM805" s="243"/>
      <c r="AN805" s="243"/>
      <c r="AO805" s="243"/>
      <c r="AP805" s="243"/>
      <c r="AQ805" s="243"/>
      <c r="AR805" s="243"/>
      <c r="AS805" s="243"/>
      <c r="AT805" s="243"/>
    </row>
    <row r="806" spans="1:46" ht="12.75" x14ac:dyDescent="0.2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3"/>
      <c r="Z806" s="243"/>
      <c r="AA806" s="243"/>
      <c r="AB806" s="243"/>
      <c r="AC806" s="243"/>
      <c r="AD806" s="243"/>
      <c r="AE806" s="243"/>
      <c r="AF806" s="243"/>
      <c r="AG806" s="243"/>
      <c r="AH806" s="243"/>
      <c r="AI806" s="243"/>
      <c r="AJ806" s="243"/>
      <c r="AK806" s="243"/>
      <c r="AL806" s="243"/>
      <c r="AM806" s="243"/>
      <c r="AN806" s="243"/>
      <c r="AO806" s="243"/>
      <c r="AP806" s="243"/>
      <c r="AQ806" s="243"/>
      <c r="AR806" s="243"/>
      <c r="AS806" s="243"/>
      <c r="AT806" s="243"/>
    </row>
    <row r="807" spans="1:46" ht="12.75" x14ac:dyDescent="0.2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3"/>
      <c r="Z807" s="243"/>
      <c r="AA807" s="243"/>
      <c r="AB807" s="243"/>
      <c r="AC807" s="243"/>
      <c r="AD807" s="243"/>
      <c r="AE807" s="243"/>
      <c r="AF807" s="243"/>
      <c r="AG807" s="243"/>
      <c r="AH807" s="243"/>
      <c r="AI807" s="243"/>
      <c r="AJ807" s="243"/>
      <c r="AK807" s="243"/>
      <c r="AL807" s="243"/>
      <c r="AM807" s="243"/>
      <c r="AN807" s="243"/>
      <c r="AO807" s="243"/>
      <c r="AP807" s="243"/>
      <c r="AQ807" s="243"/>
      <c r="AR807" s="243"/>
      <c r="AS807" s="243"/>
      <c r="AT807" s="243"/>
    </row>
    <row r="808" spans="1:46" ht="12.75" x14ac:dyDescent="0.2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3"/>
      <c r="Z808" s="243"/>
      <c r="AA808" s="243"/>
      <c r="AB808" s="243"/>
      <c r="AC808" s="243"/>
      <c r="AD808" s="243"/>
      <c r="AE808" s="243"/>
      <c r="AF808" s="243"/>
      <c r="AG808" s="243"/>
      <c r="AH808" s="243"/>
      <c r="AI808" s="243"/>
      <c r="AJ808" s="243"/>
      <c r="AK808" s="243"/>
      <c r="AL808" s="243"/>
      <c r="AM808" s="243"/>
      <c r="AN808" s="243"/>
      <c r="AO808" s="243"/>
      <c r="AP808" s="243"/>
      <c r="AQ808" s="243"/>
      <c r="AR808" s="243"/>
      <c r="AS808" s="243"/>
      <c r="AT808" s="243"/>
    </row>
    <row r="809" spans="1:46" ht="12.75" x14ac:dyDescent="0.2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  <c r="AH809" s="243"/>
      <c r="AI809" s="243"/>
      <c r="AJ809" s="243"/>
      <c r="AK809" s="243"/>
      <c r="AL809" s="243"/>
      <c r="AM809" s="243"/>
      <c r="AN809" s="243"/>
      <c r="AO809" s="243"/>
      <c r="AP809" s="243"/>
      <c r="AQ809" s="243"/>
      <c r="AR809" s="243"/>
      <c r="AS809" s="243"/>
      <c r="AT809" s="243"/>
    </row>
    <row r="810" spans="1:46" ht="12.75" x14ac:dyDescent="0.2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  <c r="AH810" s="243"/>
      <c r="AI810" s="243"/>
      <c r="AJ810" s="243"/>
      <c r="AK810" s="243"/>
      <c r="AL810" s="243"/>
      <c r="AM810" s="243"/>
      <c r="AN810" s="243"/>
      <c r="AO810" s="243"/>
      <c r="AP810" s="243"/>
      <c r="AQ810" s="243"/>
      <c r="AR810" s="243"/>
      <c r="AS810" s="243"/>
      <c r="AT810" s="243"/>
    </row>
    <row r="811" spans="1:46" ht="12.75" x14ac:dyDescent="0.2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  <c r="AH811" s="243"/>
      <c r="AI811" s="243"/>
      <c r="AJ811" s="243"/>
      <c r="AK811" s="243"/>
      <c r="AL811" s="243"/>
      <c r="AM811" s="243"/>
      <c r="AN811" s="243"/>
      <c r="AO811" s="243"/>
      <c r="AP811" s="243"/>
      <c r="AQ811" s="243"/>
      <c r="AR811" s="243"/>
      <c r="AS811" s="243"/>
      <c r="AT811" s="243"/>
    </row>
    <row r="812" spans="1:46" ht="12.75" x14ac:dyDescent="0.2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  <c r="AH812" s="243"/>
      <c r="AI812" s="243"/>
      <c r="AJ812" s="243"/>
      <c r="AK812" s="243"/>
      <c r="AL812" s="243"/>
      <c r="AM812" s="243"/>
      <c r="AN812" s="243"/>
      <c r="AO812" s="243"/>
      <c r="AP812" s="243"/>
      <c r="AQ812" s="243"/>
      <c r="AR812" s="243"/>
      <c r="AS812" s="243"/>
      <c r="AT812" s="243"/>
    </row>
    <row r="813" spans="1:46" ht="12.75" x14ac:dyDescent="0.2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3"/>
      <c r="Z813" s="243"/>
      <c r="AA813" s="243"/>
      <c r="AB813" s="243"/>
      <c r="AC813" s="243"/>
      <c r="AD813" s="243"/>
      <c r="AE813" s="243"/>
      <c r="AF813" s="243"/>
      <c r="AG813" s="243"/>
      <c r="AH813" s="243"/>
      <c r="AI813" s="243"/>
      <c r="AJ813" s="243"/>
      <c r="AK813" s="243"/>
      <c r="AL813" s="243"/>
      <c r="AM813" s="243"/>
      <c r="AN813" s="243"/>
      <c r="AO813" s="243"/>
      <c r="AP813" s="243"/>
      <c r="AQ813" s="243"/>
      <c r="AR813" s="243"/>
      <c r="AS813" s="243"/>
      <c r="AT813" s="243"/>
    </row>
    <row r="814" spans="1:46" ht="12.75" x14ac:dyDescent="0.2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3"/>
      <c r="Z814" s="243"/>
      <c r="AA814" s="243"/>
      <c r="AB814" s="243"/>
      <c r="AC814" s="243"/>
      <c r="AD814" s="243"/>
      <c r="AE814" s="243"/>
      <c r="AF814" s="243"/>
      <c r="AG814" s="243"/>
      <c r="AH814" s="243"/>
      <c r="AI814" s="243"/>
      <c r="AJ814" s="243"/>
      <c r="AK814" s="243"/>
      <c r="AL814" s="243"/>
      <c r="AM814" s="243"/>
      <c r="AN814" s="243"/>
      <c r="AO814" s="243"/>
      <c r="AP814" s="243"/>
      <c r="AQ814" s="243"/>
      <c r="AR814" s="243"/>
      <c r="AS814" s="243"/>
      <c r="AT814" s="243"/>
    </row>
    <row r="815" spans="1:46" ht="12.75" x14ac:dyDescent="0.2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  <c r="AH815" s="243"/>
      <c r="AI815" s="243"/>
      <c r="AJ815" s="243"/>
      <c r="AK815" s="243"/>
      <c r="AL815" s="243"/>
      <c r="AM815" s="243"/>
      <c r="AN815" s="243"/>
      <c r="AO815" s="243"/>
      <c r="AP815" s="243"/>
      <c r="AQ815" s="243"/>
      <c r="AR815" s="243"/>
      <c r="AS815" s="243"/>
      <c r="AT815" s="243"/>
    </row>
    <row r="816" spans="1:46" ht="12.75" x14ac:dyDescent="0.2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  <c r="AH816" s="243"/>
      <c r="AI816" s="243"/>
      <c r="AJ816" s="243"/>
      <c r="AK816" s="243"/>
      <c r="AL816" s="243"/>
      <c r="AM816" s="243"/>
      <c r="AN816" s="243"/>
      <c r="AO816" s="243"/>
      <c r="AP816" s="243"/>
      <c r="AQ816" s="243"/>
      <c r="AR816" s="243"/>
      <c r="AS816" s="243"/>
      <c r="AT816" s="243"/>
    </row>
    <row r="817" spans="1:46" ht="12.75" x14ac:dyDescent="0.2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  <c r="AH817" s="243"/>
      <c r="AI817" s="243"/>
      <c r="AJ817" s="243"/>
      <c r="AK817" s="243"/>
      <c r="AL817" s="243"/>
      <c r="AM817" s="243"/>
      <c r="AN817" s="243"/>
      <c r="AO817" s="243"/>
      <c r="AP817" s="243"/>
      <c r="AQ817" s="243"/>
      <c r="AR817" s="243"/>
      <c r="AS817" s="243"/>
      <c r="AT817" s="243"/>
    </row>
    <row r="818" spans="1:46" ht="12.75" x14ac:dyDescent="0.2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3"/>
      <c r="Z818" s="243"/>
      <c r="AA818" s="243"/>
      <c r="AB818" s="243"/>
      <c r="AC818" s="243"/>
      <c r="AD818" s="243"/>
      <c r="AE818" s="243"/>
      <c r="AF818" s="243"/>
      <c r="AG818" s="243"/>
      <c r="AH818" s="243"/>
      <c r="AI818" s="243"/>
      <c r="AJ818" s="243"/>
      <c r="AK818" s="243"/>
      <c r="AL818" s="243"/>
      <c r="AM818" s="243"/>
      <c r="AN818" s="243"/>
      <c r="AO818" s="243"/>
      <c r="AP818" s="243"/>
      <c r="AQ818" s="243"/>
      <c r="AR818" s="243"/>
      <c r="AS818" s="243"/>
      <c r="AT818" s="243"/>
    </row>
    <row r="819" spans="1:46" ht="12.75" x14ac:dyDescent="0.2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3"/>
      <c r="Z819" s="243"/>
      <c r="AA819" s="243"/>
      <c r="AB819" s="243"/>
      <c r="AC819" s="243"/>
      <c r="AD819" s="243"/>
      <c r="AE819" s="243"/>
      <c r="AF819" s="243"/>
      <c r="AG819" s="243"/>
      <c r="AH819" s="243"/>
      <c r="AI819" s="243"/>
      <c r="AJ819" s="243"/>
      <c r="AK819" s="243"/>
      <c r="AL819" s="243"/>
      <c r="AM819" s="243"/>
      <c r="AN819" s="243"/>
      <c r="AO819" s="243"/>
      <c r="AP819" s="243"/>
      <c r="AQ819" s="243"/>
      <c r="AR819" s="243"/>
      <c r="AS819" s="243"/>
      <c r="AT819" s="243"/>
    </row>
    <row r="820" spans="1:46" ht="12.75" x14ac:dyDescent="0.2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  <c r="AH820" s="243"/>
      <c r="AI820" s="243"/>
      <c r="AJ820" s="243"/>
      <c r="AK820" s="243"/>
      <c r="AL820" s="243"/>
      <c r="AM820" s="243"/>
      <c r="AN820" s="243"/>
      <c r="AO820" s="243"/>
      <c r="AP820" s="243"/>
      <c r="AQ820" s="243"/>
      <c r="AR820" s="243"/>
      <c r="AS820" s="243"/>
      <c r="AT820" s="243"/>
    </row>
    <row r="821" spans="1:46" ht="12.75" x14ac:dyDescent="0.2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  <c r="AH821" s="243"/>
      <c r="AI821" s="243"/>
      <c r="AJ821" s="243"/>
      <c r="AK821" s="243"/>
      <c r="AL821" s="243"/>
      <c r="AM821" s="243"/>
      <c r="AN821" s="243"/>
      <c r="AO821" s="243"/>
      <c r="AP821" s="243"/>
      <c r="AQ821" s="243"/>
      <c r="AR821" s="243"/>
      <c r="AS821" s="243"/>
      <c r="AT821" s="243"/>
    </row>
    <row r="822" spans="1:46" ht="12.75" x14ac:dyDescent="0.2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  <c r="AH822" s="243"/>
      <c r="AI822" s="243"/>
      <c r="AJ822" s="243"/>
      <c r="AK822" s="243"/>
      <c r="AL822" s="243"/>
      <c r="AM822" s="243"/>
      <c r="AN822" s="243"/>
      <c r="AO822" s="243"/>
      <c r="AP822" s="243"/>
      <c r="AQ822" s="243"/>
      <c r="AR822" s="243"/>
      <c r="AS822" s="243"/>
      <c r="AT822" s="243"/>
    </row>
    <row r="823" spans="1:46" ht="12.75" x14ac:dyDescent="0.2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  <c r="AA823" s="243"/>
      <c r="AB823" s="243"/>
      <c r="AC823" s="243"/>
      <c r="AD823" s="243"/>
      <c r="AE823" s="243"/>
      <c r="AF823" s="243"/>
      <c r="AG823" s="243"/>
      <c r="AH823" s="243"/>
      <c r="AI823" s="243"/>
      <c r="AJ823" s="243"/>
      <c r="AK823" s="243"/>
      <c r="AL823" s="243"/>
      <c r="AM823" s="243"/>
      <c r="AN823" s="243"/>
      <c r="AO823" s="243"/>
      <c r="AP823" s="243"/>
      <c r="AQ823" s="243"/>
      <c r="AR823" s="243"/>
      <c r="AS823" s="243"/>
      <c r="AT823" s="243"/>
    </row>
    <row r="824" spans="1:46" ht="12.75" x14ac:dyDescent="0.2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3"/>
      <c r="Z824" s="243"/>
      <c r="AA824" s="243"/>
      <c r="AB824" s="243"/>
      <c r="AC824" s="243"/>
      <c r="AD824" s="243"/>
      <c r="AE824" s="243"/>
      <c r="AF824" s="243"/>
      <c r="AG824" s="243"/>
      <c r="AH824" s="243"/>
      <c r="AI824" s="243"/>
      <c r="AJ824" s="243"/>
      <c r="AK824" s="243"/>
      <c r="AL824" s="243"/>
      <c r="AM824" s="243"/>
      <c r="AN824" s="243"/>
      <c r="AO824" s="243"/>
      <c r="AP824" s="243"/>
      <c r="AQ824" s="243"/>
      <c r="AR824" s="243"/>
      <c r="AS824" s="243"/>
      <c r="AT824" s="243"/>
    </row>
    <row r="825" spans="1:46" ht="12.75" x14ac:dyDescent="0.2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  <c r="AH825" s="243"/>
      <c r="AI825" s="243"/>
      <c r="AJ825" s="243"/>
      <c r="AK825" s="243"/>
      <c r="AL825" s="243"/>
      <c r="AM825" s="243"/>
      <c r="AN825" s="243"/>
      <c r="AO825" s="243"/>
      <c r="AP825" s="243"/>
      <c r="AQ825" s="243"/>
      <c r="AR825" s="243"/>
      <c r="AS825" s="243"/>
      <c r="AT825" s="243"/>
    </row>
    <row r="826" spans="1:46" ht="12.75" x14ac:dyDescent="0.2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  <c r="AH826" s="243"/>
      <c r="AI826" s="243"/>
      <c r="AJ826" s="243"/>
      <c r="AK826" s="243"/>
      <c r="AL826" s="243"/>
      <c r="AM826" s="243"/>
      <c r="AN826" s="243"/>
      <c r="AO826" s="243"/>
      <c r="AP826" s="243"/>
      <c r="AQ826" s="243"/>
      <c r="AR826" s="243"/>
      <c r="AS826" s="243"/>
      <c r="AT826" s="243"/>
    </row>
    <row r="827" spans="1:46" ht="12.75" x14ac:dyDescent="0.2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  <c r="AH827" s="243"/>
      <c r="AI827" s="243"/>
      <c r="AJ827" s="243"/>
      <c r="AK827" s="243"/>
      <c r="AL827" s="243"/>
      <c r="AM827" s="243"/>
      <c r="AN827" s="243"/>
      <c r="AO827" s="243"/>
      <c r="AP827" s="243"/>
      <c r="AQ827" s="243"/>
      <c r="AR827" s="243"/>
      <c r="AS827" s="243"/>
      <c r="AT827" s="243"/>
    </row>
    <row r="828" spans="1:46" ht="12.75" x14ac:dyDescent="0.2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3"/>
      <c r="Z828" s="243"/>
      <c r="AA828" s="243"/>
      <c r="AB828" s="243"/>
      <c r="AC828" s="243"/>
      <c r="AD828" s="243"/>
      <c r="AE828" s="243"/>
      <c r="AF828" s="243"/>
      <c r="AG828" s="243"/>
      <c r="AH828" s="243"/>
      <c r="AI828" s="243"/>
      <c r="AJ828" s="243"/>
      <c r="AK828" s="243"/>
      <c r="AL828" s="243"/>
      <c r="AM828" s="243"/>
      <c r="AN828" s="243"/>
      <c r="AO828" s="243"/>
      <c r="AP828" s="243"/>
      <c r="AQ828" s="243"/>
      <c r="AR828" s="243"/>
      <c r="AS828" s="243"/>
      <c r="AT828" s="243"/>
    </row>
    <row r="829" spans="1:46" ht="12.75" x14ac:dyDescent="0.2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3"/>
      <c r="Z829" s="243"/>
      <c r="AA829" s="243"/>
      <c r="AB829" s="243"/>
      <c r="AC829" s="243"/>
      <c r="AD829" s="243"/>
      <c r="AE829" s="243"/>
      <c r="AF829" s="243"/>
      <c r="AG829" s="243"/>
      <c r="AH829" s="243"/>
      <c r="AI829" s="243"/>
      <c r="AJ829" s="243"/>
      <c r="AK829" s="243"/>
      <c r="AL829" s="243"/>
      <c r="AM829" s="243"/>
      <c r="AN829" s="243"/>
      <c r="AO829" s="243"/>
      <c r="AP829" s="243"/>
      <c r="AQ829" s="243"/>
      <c r="AR829" s="243"/>
      <c r="AS829" s="243"/>
      <c r="AT829" s="243"/>
    </row>
    <row r="830" spans="1:46" ht="12.75" x14ac:dyDescent="0.2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  <c r="AH830" s="243"/>
      <c r="AI830" s="243"/>
      <c r="AJ830" s="243"/>
      <c r="AK830" s="243"/>
      <c r="AL830" s="243"/>
      <c r="AM830" s="243"/>
      <c r="AN830" s="243"/>
      <c r="AO830" s="243"/>
      <c r="AP830" s="243"/>
      <c r="AQ830" s="243"/>
      <c r="AR830" s="243"/>
      <c r="AS830" s="243"/>
      <c r="AT830" s="243"/>
    </row>
    <row r="831" spans="1:46" ht="12.75" x14ac:dyDescent="0.2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  <c r="AH831" s="243"/>
      <c r="AI831" s="243"/>
      <c r="AJ831" s="243"/>
      <c r="AK831" s="243"/>
      <c r="AL831" s="243"/>
      <c r="AM831" s="243"/>
      <c r="AN831" s="243"/>
      <c r="AO831" s="243"/>
      <c r="AP831" s="243"/>
      <c r="AQ831" s="243"/>
      <c r="AR831" s="243"/>
      <c r="AS831" s="243"/>
      <c r="AT831" s="243"/>
    </row>
    <row r="832" spans="1:46" ht="12.75" x14ac:dyDescent="0.2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  <c r="AH832" s="243"/>
      <c r="AI832" s="243"/>
      <c r="AJ832" s="243"/>
      <c r="AK832" s="243"/>
      <c r="AL832" s="243"/>
      <c r="AM832" s="243"/>
      <c r="AN832" s="243"/>
      <c r="AO832" s="243"/>
      <c r="AP832" s="243"/>
      <c r="AQ832" s="243"/>
      <c r="AR832" s="243"/>
      <c r="AS832" s="243"/>
      <c r="AT832" s="243"/>
    </row>
    <row r="833" spans="1:46" ht="12.75" x14ac:dyDescent="0.2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3"/>
      <c r="Z833" s="243"/>
      <c r="AA833" s="243"/>
      <c r="AB833" s="243"/>
      <c r="AC833" s="243"/>
      <c r="AD833" s="243"/>
      <c r="AE833" s="243"/>
      <c r="AF833" s="243"/>
      <c r="AG833" s="243"/>
      <c r="AH833" s="243"/>
      <c r="AI833" s="243"/>
      <c r="AJ833" s="243"/>
      <c r="AK833" s="243"/>
      <c r="AL833" s="243"/>
      <c r="AM833" s="243"/>
      <c r="AN833" s="243"/>
      <c r="AO833" s="243"/>
      <c r="AP833" s="243"/>
      <c r="AQ833" s="243"/>
      <c r="AR833" s="243"/>
      <c r="AS833" s="243"/>
      <c r="AT833" s="243"/>
    </row>
    <row r="834" spans="1:46" ht="12.75" x14ac:dyDescent="0.2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3"/>
      <c r="Z834" s="243"/>
      <c r="AA834" s="243"/>
      <c r="AB834" s="243"/>
      <c r="AC834" s="243"/>
      <c r="AD834" s="243"/>
      <c r="AE834" s="243"/>
      <c r="AF834" s="243"/>
      <c r="AG834" s="243"/>
      <c r="AH834" s="243"/>
      <c r="AI834" s="243"/>
      <c r="AJ834" s="243"/>
      <c r="AK834" s="243"/>
      <c r="AL834" s="243"/>
      <c r="AM834" s="243"/>
      <c r="AN834" s="243"/>
      <c r="AO834" s="243"/>
      <c r="AP834" s="243"/>
      <c r="AQ834" s="243"/>
      <c r="AR834" s="243"/>
      <c r="AS834" s="243"/>
      <c r="AT834" s="243"/>
    </row>
    <row r="835" spans="1:46" ht="12.75" x14ac:dyDescent="0.2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  <c r="AH835" s="243"/>
      <c r="AI835" s="243"/>
      <c r="AJ835" s="243"/>
      <c r="AK835" s="243"/>
      <c r="AL835" s="243"/>
      <c r="AM835" s="243"/>
      <c r="AN835" s="243"/>
      <c r="AO835" s="243"/>
      <c r="AP835" s="243"/>
      <c r="AQ835" s="243"/>
      <c r="AR835" s="243"/>
      <c r="AS835" s="243"/>
      <c r="AT835" s="243"/>
    </row>
    <row r="836" spans="1:46" ht="12.75" x14ac:dyDescent="0.2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  <c r="AH836" s="243"/>
      <c r="AI836" s="243"/>
      <c r="AJ836" s="243"/>
      <c r="AK836" s="243"/>
      <c r="AL836" s="243"/>
      <c r="AM836" s="243"/>
      <c r="AN836" s="243"/>
      <c r="AO836" s="243"/>
      <c r="AP836" s="243"/>
      <c r="AQ836" s="243"/>
      <c r="AR836" s="243"/>
      <c r="AS836" s="243"/>
      <c r="AT836" s="243"/>
    </row>
    <row r="837" spans="1:46" ht="12.75" x14ac:dyDescent="0.2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  <c r="AH837" s="243"/>
      <c r="AI837" s="243"/>
      <c r="AJ837" s="243"/>
      <c r="AK837" s="243"/>
      <c r="AL837" s="243"/>
      <c r="AM837" s="243"/>
      <c r="AN837" s="243"/>
      <c r="AO837" s="243"/>
      <c r="AP837" s="243"/>
      <c r="AQ837" s="243"/>
      <c r="AR837" s="243"/>
      <c r="AS837" s="243"/>
      <c r="AT837" s="243"/>
    </row>
    <row r="838" spans="1:46" ht="12.75" x14ac:dyDescent="0.2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  <c r="AH838" s="243"/>
      <c r="AI838" s="243"/>
      <c r="AJ838" s="243"/>
      <c r="AK838" s="243"/>
      <c r="AL838" s="243"/>
      <c r="AM838" s="243"/>
      <c r="AN838" s="243"/>
      <c r="AO838" s="243"/>
      <c r="AP838" s="243"/>
      <c r="AQ838" s="243"/>
      <c r="AR838" s="243"/>
      <c r="AS838" s="243"/>
      <c r="AT838" s="243"/>
    </row>
    <row r="839" spans="1:46" ht="12.75" x14ac:dyDescent="0.2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  <c r="AH839" s="243"/>
      <c r="AI839" s="243"/>
      <c r="AJ839" s="243"/>
      <c r="AK839" s="243"/>
      <c r="AL839" s="243"/>
      <c r="AM839" s="243"/>
      <c r="AN839" s="243"/>
      <c r="AO839" s="243"/>
      <c r="AP839" s="243"/>
      <c r="AQ839" s="243"/>
      <c r="AR839" s="243"/>
      <c r="AS839" s="243"/>
      <c r="AT839" s="243"/>
    </row>
    <row r="840" spans="1:46" ht="12.75" x14ac:dyDescent="0.2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3"/>
      <c r="AI840" s="243"/>
      <c r="AJ840" s="243"/>
      <c r="AK840" s="243"/>
      <c r="AL840" s="243"/>
      <c r="AM840" s="243"/>
      <c r="AN840" s="243"/>
      <c r="AO840" s="243"/>
      <c r="AP840" s="243"/>
      <c r="AQ840" s="243"/>
      <c r="AR840" s="243"/>
      <c r="AS840" s="243"/>
      <c r="AT840" s="243"/>
    </row>
    <row r="841" spans="1:46" ht="12.75" x14ac:dyDescent="0.2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3"/>
      <c r="AI841" s="243"/>
      <c r="AJ841" s="243"/>
      <c r="AK841" s="243"/>
      <c r="AL841" s="243"/>
      <c r="AM841" s="243"/>
      <c r="AN841" s="243"/>
      <c r="AO841" s="243"/>
      <c r="AP841" s="243"/>
      <c r="AQ841" s="243"/>
      <c r="AR841" s="243"/>
      <c r="AS841" s="243"/>
      <c r="AT841" s="243"/>
    </row>
    <row r="842" spans="1:46" ht="12.75" x14ac:dyDescent="0.2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3"/>
      <c r="AI842" s="243"/>
      <c r="AJ842" s="243"/>
      <c r="AK842" s="243"/>
      <c r="AL842" s="243"/>
      <c r="AM842" s="243"/>
      <c r="AN842" s="243"/>
      <c r="AO842" s="243"/>
      <c r="AP842" s="243"/>
      <c r="AQ842" s="243"/>
      <c r="AR842" s="243"/>
      <c r="AS842" s="243"/>
      <c r="AT842" s="243"/>
    </row>
    <row r="843" spans="1:46" ht="12.75" x14ac:dyDescent="0.2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  <c r="AH843" s="243"/>
      <c r="AI843" s="243"/>
      <c r="AJ843" s="243"/>
      <c r="AK843" s="243"/>
      <c r="AL843" s="243"/>
      <c r="AM843" s="243"/>
      <c r="AN843" s="243"/>
      <c r="AO843" s="243"/>
      <c r="AP843" s="243"/>
      <c r="AQ843" s="243"/>
      <c r="AR843" s="243"/>
      <c r="AS843" s="243"/>
      <c r="AT843" s="243"/>
    </row>
    <row r="844" spans="1:46" ht="12.75" x14ac:dyDescent="0.2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  <c r="AH844" s="243"/>
      <c r="AI844" s="243"/>
      <c r="AJ844" s="243"/>
      <c r="AK844" s="243"/>
      <c r="AL844" s="243"/>
      <c r="AM844" s="243"/>
      <c r="AN844" s="243"/>
      <c r="AO844" s="243"/>
      <c r="AP844" s="243"/>
      <c r="AQ844" s="243"/>
      <c r="AR844" s="243"/>
      <c r="AS844" s="243"/>
      <c r="AT844" s="243"/>
    </row>
    <row r="845" spans="1:46" ht="12.75" x14ac:dyDescent="0.2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3"/>
      <c r="AI845" s="243"/>
      <c r="AJ845" s="243"/>
      <c r="AK845" s="243"/>
      <c r="AL845" s="243"/>
      <c r="AM845" s="243"/>
      <c r="AN845" s="243"/>
      <c r="AO845" s="243"/>
      <c r="AP845" s="243"/>
      <c r="AQ845" s="243"/>
      <c r="AR845" s="243"/>
      <c r="AS845" s="243"/>
      <c r="AT845" s="243"/>
    </row>
    <row r="846" spans="1:46" ht="12.75" x14ac:dyDescent="0.2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3"/>
      <c r="AI846" s="243"/>
      <c r="AJ846" s="243"/>
      <c r="AK846" s="243"/>
      <c r="AL846" s="243"/>
      <c r="AM846" s="243"/>
      <c r="AN846" s="243"/>
      <c r="AO846" s="243"/>
      <c r="AP846" s="243"/>
      <c r="AQ846" s="243"/>
      <c r="AR846" s="243"/>
      <c r="AS846" s="243"/>
      <c r="AT846" s="243"/>
    </row>
    <row r="847" spans="1:46" ht="12.75" x14ac:dyDescent="0.2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3"/>
      <c r="AI847" s="243"/>
      <c r="AJ847" s="243"/>
      <c r="AK847" s="243"/>
      <c r="AL847" s="243"/>
      <c r="AM847" s="243"/>
      <c r="AN847" s="243"/>
      <c r="AO847" s="243"/>
      <c r="AP847" s="243"/>
      <c r="AQ847" s="243"/>
      <c r="AR847" s="243"/>
      <c r="AS847" s="243"/>
      <c r="AT847" s="243"/>
    </row>
    <row r="848" spans="1:46" ht="12.75" x14ac:dyDescent="0.2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  <c r="AH848" s="243"/>
      <c r="AI848" s="243"/>
      <c r="AJ848" s="243"/>
      <c r="AK848" s="243"/>
      <c r="AL848" s="243"/>
      <c r="AM848" s="243"/>
      <c r="AN848" s="243"/>
      <c r="AO848" s="243"/>
      <c r="AP848" s="243"/>
      <c r="AQ848" s="243"/>
      <c r="AR848" s="243"/>
      <c r="AS848" s="243"/>
      <c r="AT848" s="243"/>
    </row>
    <row r="849" spans="1:46" ht="12.75" x14ac:dyDescent="0.2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  <c r="AH849" s="243"/>
      <c r="AI849" s="243"/>
      <c r="AJ849" s="243"/>
      <c r="AK849" s="243"/>
      <c r="AL849" s="243"/>
      <c r="AM849" s="243"/>
      <c r="AN849" s="243"/>
      <c r="AO849" s="243"/>
      <c r="AP849" s="243"/>
      <c r="AQ849" s="243"/>
      <c r="AR849" s="243"/>
      <c r="AS849" s="243"/>
      <c r="AT849" s="243"/>
    </row>
    <row r="850" spans="1:46" ht="12.75" x14ac:dyDescent="0.2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3"/>
      <c r="Z850" s="243"/>
      <c r="AA850" s="243"/>
      <c r="AB850" s="243"/>
      <c r="AC850" s="243"/>
      <c r="AD850" s="243"/>
      <c r="AE850" s="243"/>
      <c r="AF850" s="243"/>
      <c r="AG850" s="243"/>
      <c r="AH850" s="243"/>
      <c r="AI850" s="243"/>
      <c r="AJ850" s="243"/>
      <c r="AK850" s="243"/>
      <c r="AL850" s="243"/>
      <c r="AM850" s="243"/>
      <c r="AN850" s="243"/>
      <c r="AO850" s="243"/>
      <c r="AP850" s="243"/>
      <c r="AQ850" s="243"/>
      <c r="AR850" s="243"/>
      <c r="AS850" s="243"/>
      <c r="AT850" s="243"/>
    </row>
    <row r="851" spans="1:46" ht="12.75" x14ac:dyDescent="0.2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3"/>
      <c r="Z851" s="243"/>
      <c r="AA851" s="243"/>
      <c r="AB851" s="243"/>
      <c r="AC851" s="243"/>
      <c r="AD851" s="243"/>
      <c r="AE851" s="243"/>
      <c r="AF851" s="243"/>
      <c r="AG851" s="243"/>
      <c r="AH851" s="243"/>
      <c r="AI851" s="243"/>
      <c r="AJ851" s="243"/>
      <c r="AK851" s="243"/>
      <c r="AL851" s="243"/>
      <c r="AM851" s="243"/>
      <c r="AN851" s="243"/>
      <c r="AO851" s="243"/>
      <c r="AP851" s="243"/>
      <c r="AQ851" s="243"/>
      <c r="AR851" s="243"/>
      <c r="AS851" s="243"/>
      <c r="AT851" s="243"/>
    </row>
    <row r="852" spans="1:46" ht="12.75" x14ac:dyDescent="0.2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3"/>
      <c r="Z852" s="243"/>
      <c r="AA852" s="243"/>
      <c r="AB852" s="243"/>
      <c r="AC852" s="243"/>
      <c r="AD852" s="243"/>
      <c r="AE852" s="243"/>
      <c r="AF852" s="243"/>
      <c r="AG852" s="243"/>
      <c r="AH852" s="243"/>
      <c r="AI852" s="243"/>
      <c r="AJ852" s="243"/>
      <c r="AK852" s="243"/>
      <c r="AL852" s="243"/>
      <c r="AM852" s="243"/>
      <c r="AN852" s="243"/>
      <c r="AO852" s="243"/>
      <c r="AP852" s="243"/>
      <c r="AQ852" s="243"/>
      <c r="AR852" s="243"/>
      <c r="AS852" s="243"/>
      <c r="AT852" s="243"/>
    </row>
    <row r="853" spans="1:46" ht="12.75" x14ac:dyDescent="0.2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  <c r="AH853" s="243"/>
      <c r="AI853" s="243"/>
      <c r="AJ853" s="243"/>
      <c r="AK853" s="243"/>
      <c r="AL853" s="243"/>
      <c r="AM853" s="243"/>
      <c r="AN853" s="243"/>
      <c r="AO853" s="243"/>
      <c r="AP853" s="243"/>
      <c r="AQ853" s="243"/>
      <c r="AR853" s="243"/>
      <c r="AS853" s="243"/>
      <c r="AT853" s="243"/>
    </row>
    <row r="854" spans="1:46" ht="12.75" x14ac:dyDescent="0.2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  <c r="AH854" s="243"/>
      <c r="AI854" s="243"/>
      <c r="AJ854" s="243"/>
      <c r="AK854" s="243"/>
      <c r="AL854" s="243"/>
      <c r="AM854" s="243"/>
      <c r="AN854" s="243"/>
      <c r="AO854" s="243"/>
      <c r="AP854" s="243"/>
      <c r="AQ854" s="243"/>
      <c r="AR854" s="243"/>
      <c r="AS854" s="243"/>
      <c r="AT854" s="243"/>
    </row>
    <row r="855" spans="1:46" ht="12.75" x14ac:dyDescent="0.2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  <c r="AH855" s="243"/>
      <c r="AI855" s="243"/>
      <c r="AJ855" s="243"/>
      <c r="AK855" s="243"/>
      <c r="AL855" s="243"/>
      <c r="AM855" s="243"/>
      <c r="AN855" s="243"/>
      <c r="AO855" s="243"/>
      <c r="AP855" s="243"/>
      <c r="AQ855" s="243"/>
      <c r="AR855" s="243"/>
      <c r="AS855" s="243"/>
      <c r="AT855" s="243"/>
    </row>
    <row r="856" spans="1:46" ht="12.75" x14ac:dyDescent="0.2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  <c r="AH856" s="243"/>
      <c r="AI856" s="243"/>
      <c r="AJ856" s="243"/>
      <c r="AK856" s="243"/>
      <c r="AL856" s="243"/>
      <c r="AM856" s="243"/>
      <c r="AN856" s="243"/>
      <c r="AO856" s="243"/>
      <c r="AP856" s="243"/>
      <c r="AQ856" s="243"/>
      <c r="AR856" s="243"/>
      <c r="AS856" s="243"/>
      <c r="AT856" s="243"/>
    </row>
    <row r="857" spans="1:46" ht="12.75" x14ac:dyDescent="0.2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  <c r="AH857" s="243"/>
      <c r="AI857" s="243"/>
      <c r="AJ857" s="243"/>
      <c r="AK857" s="243"/>
      <c r="AL857" s="243"/>
      <c r="AM857" s="243"/>
      <c r="AN857" s="243"/>
      <c r="AO857" s="243"/>
      <c r="AP857" s="243"/>
      <c r="AQ857" s="243"/>
      <c r="AR857" s="243"/>
      <c r="AS857" s="243"/>
      <c r="AT857" s="243"/>
    </row>
    <row r="858" spans="1:46" ht="12.75" x14ac:dyDescent="0.2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  <c r="AH858" s="243"/>
      <c r="AI858" s="243"/>
      <c r="AJ858" s="243"/>
      <c r="AK858" s="243"/>
      <c r="AL858" s="243"/>
      <c r="AM858" s="243"/>
      <c r="AN858" s="243"/>
      <c r="AO858" s="243"/>
      <c r="AP858" s="243"/>
      <c r="AQ858" s="243"/>
      <c r="AR858" s="243"/>
      <c r="AS858" s="243"/>
      <c r="AT858" s="243"/>
    </row>
    <row r="859" spans="1:46" ht="12.75" x14ac:dyDescent="0.2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  <c r="AH859" s="243"/>
      <c r="AI859" s="243"/>
      <c r="AJ859" s="243"/>
      <c r="AK859" s="243"/>
      <c r="AL859" s="243"/>
      <c r="AM859" s="243"/>
      <c r="AN859" s="243"/>
      <c r="AO859" s="243"/>
      <c r="AP859" s="243"/>
      <c r="AQ859" s="243"/>
      <c r="AR859" s="243"/>
      <c r="AS859" s="243"/>
      <c r="AT859" s="243"/>
    </row>
    <row r="860" spans="1:46" ht="12.75" x14ac:dyDescent="0.2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  <c r="AH860" s="243"/>
      <c r="AI860" s="243"/>
      <c r="AJ860" s="243"/>
      <c r="AK860" s="243"/>
      <c r="AL860" s="243"/>
      <c r="AM860" s="243"/>
      <c r="AN860" s="243"/>
      <c r="AO860" s="243"/>
      <c r="AP860" s="243"/>
      <c r="AQ860" s="243"/>
      <c r="AR860" s="243"/>
      <c r="AS860" s="243"/>
      <c r="AT860" s="243"/>
    </row>
    <row r="861" spans="1:46" ht="12.75" x14ac:dyDescent="0.2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  <c r="AH861" s="243"/>
      <c r="AI861" s="243"/>
      <c r="AJ861" s="243"/>
      <c r="AK861" s="243"/>
      <c r="AL861" s="243"/>
      <c r="AM861" s="243"/>
      <c r="AN861" s="243"/>
      <c r="AO861" s="243"/>
      <c r="AP861" s="243"/>
      <c r="AQ861" s="243"/>
      <c r="AR861" s="243"/>
      <c r="AS861" s="243"/>
      <c r="AT861" s="243"/>
    </row>
    <row r="862" spans="1:46" ht="12.75" x14ac:dyDescent="0.2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  <c r="AH862" s="243"/>
      <c r="AI862" s="243"/>
      <c r="AJ862" s="243"/>
      <c r="AK862" s="243"/>
      <c r="AL862" s="243"/>
      <c r="AM862" s="243"/>
      <c r="AN862" s="243"/>
      <c r="AO862" s="243"/>
      <c r="AP862" s="243"/>
      <c r="AQ862" s="243"/>
      <c r="AR862" s="243"/>
      <c r="AS862" s="243"/>
      <c r="AT862" s="243"/>
    </row>
    <row r="863" spans="1:46" ht="12.75" x14ac:dyDescent="0.2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  <c r="AH863" s="243"/>
      <c r="AI863" s="243"/>
      <c r="AJ863" s="243"/>
      <c r="AK863" s="243"/>
      <c r="AL863" s="243"/>
      <c r="AM863" s="243"/>
      <c r="AN863" s="243"/>
      <c r="AO863" s="243"/>
      <c r="AP863" s="243"/>
      <c r="AQ863" s="243"/>
      <c r="AR863" s="243"/>
      <c r="AS863" s="243"/>
      <c r="AT863" s="243"/>
    </row>
    <row r="864" spans="1:46" ht="12.75" x14ac:dyDescent="0.2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  <c r="AH864" s="243"/>
      <c r="AI864" s="243"/>
      <c r="AJ864" s="243"/>
      <c r="AK864" s="243"/>
      <c r="AL864" s="243"/>
      <c r="AM864" s="243"/>
      <c r="AN864" s="243"/>
      <c r="AO864" s="243"/>
      <c r="AP864" s="243"/>
      <c r="AQ864" s="243"/>
      <c r="AR864" s="243"/>
      <c r="AS864" s="243"/>
      <c r="AT864" s="243"/>
    </row>
    <row r="865" spans="1:46" ht="12.75" x14ac:dyDescent="0.2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  <c r="AH865" s="243"/>
      <c r="AI865" s="243"/>
      <c r="AJ865" s="243"/>
      <c r="AK865" s="243"/>
      <c r="AL865" s="243"/>
      <c r="AM865" s="243"/>
      <c r="AN865" s="243"/>
      <c r="AO865" s="243"/>
      <c r="AP865" s="243"/>
      <c r="AQ865" s="243"/>
      <c r="AR865" s="243"/>
      <c r="AS865" s="243"/>
      <c r="AT865" s="243"/>
    </row>
    <row r="866" spans="1:46" ht="12.75" x14ac:dyDescent="0.2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  <c r="AH866" s="243"/>
      <c r="AI866" s="243"/>
      <c r="AJ866" s="243"/>
      <c r="AK866" s="243"/>
      <c r="AL866" s="243"/>
      <c r="AM866" s="243"/>
      <c r="AN866" s="243"/>
      <c r="AO866" s="243"/>
      <c r="AP866" s="243"/>
      <c r="AQ866" s="243"/>
      <c r="AR866" s="243"/>
      <c r="AS866" s="243"/>
      <c r="AT866" s="243"/>
    </row>
    <row r="867" spans="1:46" ht="12.75" x14ac:dyDescent="0.2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  <c r="AH867" s="243"/>
      <c r="AI867" s="243"/>
      <c r="AJ867" s="243"/>
      <c r="AK867" s="243"/>
      <c r="AL867" s="243"/>
      <c r="AM867" s="243"/>
      <c r="AN867" s="243"/>
      <c r="AO867" s="243"/>
      <c r="AP867" s="243"/>
      <c r="AQ867" s="243"/>
      <c r="AR867" s="243"/>
      <c r="AS867" s="243"/>
      <c r="AT867" s="243"/>
    </row>
    <row r="868" spans="1:46" ht="12.75" x14ac:dyDescent="0.2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  <c r="AH868" s="243"/>
      <c r="AI868" s="243"/>
      <c r="AJ868" s="243"/>
      <c r="AK868" s="243"/>
      <c r="AL868" s="243"/>
      <c r="AM868" s="243"/>
      <c r="AN868" s="243"/>
      <c r="AO868" s="243"/>
      <c r="AP868" s="243"/>
      <c r="AQ868" s="243"/>
      <c r="AR868" s="243"/>
      <c r="AS868" s="243"/>
      <c r="AT868" s="243"/>
    </row>
    <row r="869" spans="1:46" ht="12.75" x14ac:dyDescent="0.2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  <c r="AH869" s="243"/>
      <c r="AI869" s="243"/>
      <c r="AJ869" s="243"/>
      <c r="AK869" s="243"/>
      <c r="AL869" s="243"/>
      <c r="AM869" s="243"/>
      <c r="AN869" s="243"/>
      <c r="AO869" s="243"/>
      <c r="AP869" s="243"/>
      <c r="AQ869" s="243"/>
      <c r="AR869" s="243"/>
      <c r="AS869" s="243"/>
      <c r="AT869" s="243"/>
    </row>
    <row r="870" spans="1:46" ht="12.75" x14ac:dyDescent="0.2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3"/>
      <c r="Z870" s="243"/>
      <c r="AA870" s="243"/>
      <c r="AB870" s="243"/>
      <c r="AC870" s="243"/>
      <c r="AD870" s="243"/>
      <c r="AE870" s="243"/>
      <c r="AF870" s="243"/>
      <c r="AG870" s="243"/>
      <c r="AH870" s="243"/>
      <c r="AI870" s="243"/>
      <c r="AJ870" s="243"/>
      <c r="AK870" s="243"/>
      <c r="AL870" s="243"/>
      <c r="AM870" s="243"/>
      <c r="AN870" s="243"/>
      <c r="AO870" s="243"/>
      <c r="AP870" s="243"/>
      <c r="AQ870" s="243"/>
      <c r="AR870" s="243"/>
      <c r="AS870" s="243"/>
      <c r="AT870" s="243"/>
    </row>
    <row r="871" spans="1:46" ht="12.75" x14ac:dyDescent="0.2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3"/>
      <c r="AI871" s="243"/>
      <c r="AJ871" s="243"/>
      <c r="AK871" s="243"/>
      <c r="AL871" s="243"/>
      <c r="AM871" s="243"/>
      <c r="AN871" s="243"/>
      <c r="AO871" s="243"/>
      <c r="AP871" s="243"/>
      <c r="AQ871" s="243"/>
      <c r="AR871" s="243"/>
      <c r="AS871" s="243"/>
      <c r="AT871" s="243"/>
    </row>
    <row r="872" spans="1:46" ht="12.75" x14ac:dyDescent="0.2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3"/>
      <c r="Z872" s="243"/>
      <c r="AA872" s="243"/>
      <c r="AB872" s="243"/>
      <c r="AC872" s="243"/>
      <c r="AD872" s="243"/>
      <c r="AE872" s="243"/>
      <c r="AF872" s="243"/>
      <c r="AG872" s="243"/>
      <c r="AH872" s="243"/>
      <c r="AI872" s="243"/>
      <c r="AJ872" s="243"/>
      <c r="AK872" s="243"/>
      <c r="AL872" s="243"/>
      <c r="AM872" s="243"/>
      <c r="AN872" s="243"/>
      <c r="AO872" s="243"/>
      <c r="AP872" s="243"/>
      <c r="AQ872" s="243"/>
      <c r="AR872" s="243"/>
      <c r="AS872" s="243"/>
      <c r="AT872" s="243"/>
    </row>
    <row r="873" spans="1:46" ht="12.75" x14ac:dyDescent="0.2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3"/>
      <c r="Z873" s="243"/>
      <c r="AA873" s="243"/>
      <c r="AB873" s="243"/>
      <c r="AC873" s="243"/>
      <c r="AD873" s="243"/>
      <c r="AE873" s="243"/>
      <c r="AF873" s="243"/>
      <c r="AG873" s="243"/>
      <c r="AH873" s="243"/>
      <c r="AI873" s="243"/>
      <c r="AJ873" s="243"/>
      <c r="AK873" s="243"/>
      <c r="AL873" s="243"/>
      <c r="AM873" s="243"/>
      <c r="AN873" s="243"/>
      <c r="AO873" s="243"/>
      <c r="AP873" s="243"/>
      <c r="AQ873" s="243"/>
      <c r="AR873" s="243"/>
      <c r="AS873" s="243"/>
      <c r="AT873" s="243"/>
    </row>
    <row r="874" spans="1:46" ht="12.75" x14ac:dyDescent="0.2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3"/>
      <c r="Z874" s="243"/>
      <c r="AA874" s="243"/>
      <c r="AB874" s="243"/>
      <c r="AC874" s="243"/>
      <c r="AD874" s="243"/>
      <c r="AE874" s="243"/>
      <c r="AF874" s="243"/>
      <c r="AG874" s="243"/>
      <c r="AH874" s="243"/>
      <c r="AI874" s="243"/>
      <c r="AJ874" s="243"/>
      <c r="AK874" s="243"/>
      <c r="AL874" s="243"/>
      <c r="AM874" s="243"/>
      <c r="AN874" s="243"/>
      <c r="AO874" s="243"/>
      <c r="AP874" s="243"/>
      <c r="AQ874" s="243"/>
      <c r="AR874" s="243"/>
      <c r="AS874" s="243"/>
      <c r="AT874" s="243"/>
    </row>
    <row r="875" spans="1:46" ht="12.75" x14ac:dyDescent="0.2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  <c r="AH875" s="243"/>
      <c r="AI875" s="243"/>
      <c r="AJ875" s="243"/>
      <c r="AK875" s="243"/>
      <c r="AL875" s="243"/>
      <c r="AM875" s="243"/>
      <c r="AN875" s="243"/>
      <c r="AO875" s="243"/>
      <c r="AP875" s="243"/>
      <c r="AQ875" s="243"/>
      <c r="AR875" s="243"/>
      <c r="AS875" s="243"/>
      <c r="AT875" s="243"/>
    </row>
    <row r="876" spans="1:46" ht="12.75" x14ac:dyDescent="0.2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  <c r="AH876" s="243"/>
      <c r="AI876" s="243"/>
      <c r="AJ876" s="243"/>
      <c r="AK876" s="243"/>
      <c r="AL876" s="243"/>
      <c r="AM876" s="243"/>
      <c r="AN876" s="243"/>
      <c r="AO876" s="243"/>
      <c r="AP876" s="243"/>
      <c r="AQ876" s="243"/>
      <c r="AR876" s="243"/>
      <c r="AS876" s="243"/>
      <c r="AT876" s="243"/>
    </row>
    <row r="877" spans="1:46" ht="12.75" x14ac:dyDescent="0.2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  <c r="AH877" s="243"/>
      <c r="AI877" s="243"/>
      <c r="AJ877" s="243"/>
      <c r="AK877" s="243"/>
      <c r="AL877" s="243"/>
      <c r="AM877" s="243"/>
      <c r="AN877" s="243"/>
      <c r="AO877" s="243"/>
      <c r="AP877" s="243"/>
      <c r="AQ877" s="243"/>
      <c r="AR877" s="243"/>
      <c r="AS877" s="243"/>
      <c r="AT877" s="243"/>
    </row>
    <row r="878" spans="1:46" ht="12.75" x14ac:dyDescent="0.2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3"/>
      <c r="Z878" s="243"/>
      <c r="AA878" s="243"/>
      <c r="AB878" s="243"/>
      <c r="AC878" s="243"/>
      <c r="AD878" s="243"/>
      <c r="AE878" s="243"/>
      <c r="AF878" s="243"/>
      <c r="AG878" s="243"/>
      <c r="AH878" s="243"/>
      <c r="AI878" s="243"/>
      <c r="AJ878" s="243"/>
      <c r="AK878" s="243"/>
      <c r="AL878" s="243"/>
      <c r="AM878" s="243"/>
      <c r="AN878" s="243"/>
      <c r="AO878" s="243"/>
      <c r="AP878" s="243"/>
      <c r="AQ878" s="243"/>
      <c r="AR878" s="243"/>
      <c r="AS878" s="243"/>
      <c r="AT878" s="243"/>
    </row>
    <row r="879" spans="1:46" ht="12.75" x14ac:dyDescent="0.2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3"/>
      <c r="Z879" s="243"/>
      <c r="AA879" s="243"/>
      <c r="AB879" s="243"/>
      <c r="AC879" s="243"/>
      <c r="AD879" s="243"/>
      <c r="AE879" s="243"/>
      <c r="AF879" s="243"/>
      <c r="AG879" s="243"/>
      <c r="AH879" s="243"/>
      <c r="AI879" s="243"/>
      <c r="AJ879" s="243"/>
      <c r="AK879" s="243"/>
      <c r="AL879" s="243"/>
      <c r="AM879" s="243"/>
      <c r="AN879" s="243"/>
      <c r="AO879" s="243"/>
      <c r="AP879" s="243"/>
      <c r="AQ879" s="243"/>
      <c r="AR879" s="243"/>
      <c r="AS879" s="243"/>
      <c r="AT879" s="243"/>
    </row>
    <row r="880" spans="1:46" ht="12.75" x14ac:dyDescent="0.2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3"/>
      <c r="Z880" s="243"/>
      <c r="AA880" s="243"/>
      <c r="AB880" s="243"/>
      <c r="AC880" s="243"/>
      <c r="AD880" s="243"/>
      <c r="AE880" s="243"/>
      <c r="AF880" s="243"/>
      <c r="AG880" s="243"/>
      <c r="AH880" s="243"/>
      <c r="AI880" s="243"/>
      <c r="AJ880" s="243"/>
      <c r="AK880" s="243"/>
      <c r="AL880" s="243"/>
      <c r="AM880" s="243"/>
      <c r="AN880" s="243"/>
      <c r="AO880" s="243"/>
      <c r="AP880" s="243"/>
      <c r="AQ880" s="243"/>
      <c r="AR880" s="243"/>
      <c r="AS880" s="243"/>
      <c r="AT880" s="243"/>
    </row>
    <row r="881" spans="1:46" ht="12.75" x14ac:dyDescent="0.2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3"/>
      <c r="Z881" s="243"/>
      <c r="AA881" s="243"/>
      <c r="AB881" s="243"/>
      <c r="AC881" s="243"/>
      <c r="AD881" s="243"/>
      <c r="AE881" s="243"/>
      <c r="AF881" s="243"/>
      <c r="AG881" s="243"/>
      <c r="AH881" s="243"/>
      <c r="AI881" s="243"/>
      <c r="AJ881" s="243"/>
      <c r="AK881" s="243"/>
      <c r="AL881" s="243"/>
      <c r="AM881" s="243"/>
      <c r="AN881" s="243"/>
      <c r="AO881" s="243"/>
      <c r="AP881" s="243"/>
      <c r="AQ881" s="243"/>
      <c r="AR881" s="243"/>
      <c r="AS881" s="243"/>
      <c r="AT881" s="243"/>
    </row>
    <row r="882" spans="1:46" ht="12.75" x14ac:dyDescent="0.2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3"/>
      <c r="Z882" s="243"/>
      <c r="AA882" s="243"/>
      <c r="AB882" s="243"/>
      <c r="AC882" s="243"/>
      <c r="AD882" s="243"/>
      <c r="AE882" s="243"/>
      <c r="AF882" s="243"/>
      <c r="AG882" s="243"/>
      <c r="AH882" s="243"/>
      <c r="AI882" s="243"/>
      <c r="AJ882" s="243"/>
      <c r="AK882" s="243"/>
      <c r="AL882" s="243"/>
      <c r="AM882" s="243"/>
      <c r="AN882" s="243"/>
      <c r="AO882" s="243"/>
      <c r="AP882" s="243"/>
      <c r="AQ882" s="243"/>
      <c r="AR882" s="243"/>
      <c r="AS882" s="243"/>
      <c r="AT882" s="243"/>
    </row>
    <row r="883" spans="1:46" ht="12.75" x14ac:dyDescent="0.2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3"/>
      <c r="Z883" s="243"/>
      <c r="AA883" s="243"/>
      <c r="AB883" s="243"/>
      <c r="AC883" s="243"/>
      <c r="AD883" s="243"/>
      <c r="AE883" s="243"/>
      <c r="AF883" s="243"/>
      <c r="AG883" s="243"/>
      <c r="AH883" s="243"/>
      <c r="AI883" s="243"/>
      <c r="AJ883" s="243"/>
      <c r="AK883" s="243"/>
      <c r="AL883" s="243"/>
      <c r="AM883" s="243"/>
      <c r="AN883" s="243"/>
      <c r="AO883" s="243"/>
      <c r="AP883" s="243"/>
      <c r="AQ883" s="243"/>
      <c r="AR883" s="243"/>
      <c r="AS883" s="243"/>
      <c r="AT883" s="243"/>
    </row>
    <row r="884" spans="1:46" ht="12.75" x14ac:dyDescent="0.2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3"/>
      <c r="Z884" s="243"/>
      <c r="AA884" s="243"/>
      <c r="AB884" s="243"/>
      <c r="AC884" s="243"/>
      <c r="AD884" s="243"/>
      <c r="AE884" s="243"/>
      <c r="AF884" s="243"/>
      <c r="AG884" s="243"/>
      <c r="AH884" s="243"/>
      <c r="AI884" s="243"/>
      <c r="AJ884" s="243"/>
      <c r="AK884" s="243"/>
      <c r="AL884" s="243"/>
      <c r="AM884" s="243"/>
      <c r="AN884" s="243"/>
      <c r="AO884" s="243"/>
      <c r="AP884" s="243"/>
      <c r="AQ884" s="243"/>
      <c r="AR884" s="243"/>
      <c r="AS884" s="243"/>
      <c r="AT884" s="243"/>
    </row>
    <row r="885" spans="1:46" ht="12.75" x14ac:dyDescent="0.2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3"/>
      <c r="Z885" s="243"/>
      <c r="AA885" s="243"/>
      <c r="AB885" s="243"/>
      <c r="AC885" s="243"/>
      <c r="AD885" s="243"/>
      <c r="AE885" s="243"/>
      <c r="AF885" s="243"/>
      <c r="AG885" s="243"/>
      <c r="AH885" s="243"/>
      <c r="AI885" s="243"/>
      <c r="AJ885" s="243"/>
      <c r="AK885" s="243"/>
      <c r="AL885" s="243"/>
      <c r="AM885" s="243"/>
      <c r="AN885" s="243"/>
      <c r="AO885" s="243"/>
      <c r="AP885" s="243"/>
      <c r="AQ885" s="243"/>
      <c r="AR885" s="243"/>
      <c r="AS885" s="243"/>
      <c r="AT885" s="243"/>
    </row>
    <row r="886" spans="1:46" ht="12.75" x14ac:dyDescent="0.2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  <c r="AH886" s="243"/>
      <c r="AI886" s="243"/>
      <c r="AJ886" s="243"/>
      <c r="AK886" s="243"/>
      <c r="AL886" s="243"/>
      <c r="AM886" s="243"/>
      <c r="AN886" s="243"/>
      <c r="AO886" s="243"/>
      <c r="AP886" s="243"/>
      <c r="AQ886" s="243"/>
      <c r="AR886" s="243"/>
      <c r="AS886" s="243"/>
      <c r="AT886" s="243"/>
    </row>
    <row r="887" spans="1:46" ht="12.75" x14ac:dyDescent="0.2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3"/>
      <c r="Z887" s="243"/>
      <c r="AA887" s="243"/>
      <c r="AB887" s="243"/>
      <c r="AC887" s="243"/>
      <c r="AD887" s="243"/>
      <c r="AE887" s="243"/>
      <c r="AF887" s="243"/>
      <c r="AG887" s="243"/>
      <c r="AH887" s="243"/>
      <c r="AI887" s="243"/>
      <c r="AJ887" s="243"/>
      <c r="AK887" s="243"/>
      <c r="AL887" s="243"/>
      <c r="AM887" s="243"/>
      <c r="AN887" s="243"/>
      <c r="AO887" s="243"/>
      <c r="AP887" s="243"/>
      <c r="AQ887" s="243"/>
      <c r="AR887" s="243"/>
      <c r="AS887" s="243"/>
      <c r="AT887" s="243"/>
    </row>
    <row r="888" spans="1:46" ht="12.75" x14ac:dyDescent="0.2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3"/>
      <c r="Z888" s="243"/>
      <c r="AA888" s="243"/>
      <c r="AB888" s="243"/>
      <c r="AC888" s="243"/>
      <c r="AD888" s="243"/>
      <c r="AE888" s="243"/>
      <c r="AF888" s="243"/>
      <c r="AG888" s="243"/>
      <c r="AH888" s="243"/>
      <c r="AI888" s="243"/>
      <c r="AJ888" s="243"/>
      <c r="AK888" s="243"/>
      <c r="AL888" s="243"/>
      <c r="AM888" s="243"/>
      <c r="AN888" s="243"/>
      <c r="AO888" s="243"/>
      <c r="AP888" s="243"/>
      <c r="AQ888" s="243"/>
      <c r="AR888" s="243"/>
      <c r="AS888" s="243"/>
      <c r="AT888" s="243"/>
    </row>
    <row r="889" spans="1:46" ht="12.75" x14ac:dyDescent="0.2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3"/>
      <c r="Z889" s="243"/>
      <c r="AA889" s="243"/>
      <c r="AB889" s="243"/>
      <c r="AC889" s="243"/>
      <c r="AD889" s="243"/>
      <c r="AE889" s="243"/>
      <c r="AF889" s="243"/>
      <c r="AG889" s="243"/>
      <c r="AH889" s="243"/>
      <c r="AI889" s="243"/>
      <c r="AJ889" s="243"/>
      <c r="AK889" s="243"/>
      <c r="AL889" s="243"/>
      <c r="AM889" s="243"/>
      <c r="AN889" s="243"/>
      <c r="AO889" s="243"/>
      <c r="AP889" s="243"/>
      <c r="AQ889" s="243"/>
      <c r="AR889" s="243"/>
      <c r="AS889" s="243"/>
      <c r="AT889" s="243"/>
    </row>
    <row r="890" spans="1:46" ht="12.75" x14ac:dyDescent="0.2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3"/>
      <c r="Z890" s="243"/>
      <c r="AA890" s="243"/>
      <c r="AB890" s="243"/>
      <c r="AC890" s="243"/>
      <c r="AD890" s="243"/>
      <c r="AE890" s="243"/>
      <c r="AF890" s="243"/>
      <c r="AG890" s="243"/>
      <c r="AH890" s="243"/>
      <c r="AI890" s="243"/>
      <c r="AJ890" s="243"/>
      <c r="AK890" s="243"/>
      <c r="AL890" s="243"/>
      <c r="AM890" s="243"/>
      <c r="AN890" s="243"/>
      <c r="AO890" s="243"/>
      <c r="AP890" s="243"/>
      <c r="AQ890" s="243"/>
      <c r="AR890" s="243"/>
      <c r="AS890" s="243"/>
      <c r="AT890" s="243"/>
    </row>
    <row r="891" spans="1:46" ht="12.75" x14ac:dyDescent="0.2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3"/>
      <c r="Z891" s="243"/>
      <c r="AA891" s="243"/>
      <c r="AB891" s="243"/>
      <c r="AC891" s="243"/>
      <c r="AD891" s="243"/>
      <c r="AE891" s="243"/>
      <c r="AF891" s="243"/>
      <c r="AG891" s="243"/>
      <c r="AH891" s="243"/>
      <c r="AI891" s="243"/>
      <c r="AJ891" s="243"/>
      <c r="AK891" s="243"/>
      <c r="AL891" s="243"/>
      <c r="AM891" s="243"/>
      <c r="AN891" s="243"/>
      <c r="AO891" s="243"/>
      <c r="AP891" s="243"/>
      <c r="AQ891" s="243"/>
      <c r="AR891" s="243"/>
      <c r="AS891" s="243"/>
      <c r="AT891" s="243"/>
    </row>
    <row r="892" spans="1:46" ht="12.75" x14ac:dyDescent="0.2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3"/>
      <c r="Z892" s="243"/>
      <c r="AA892" s="243"/>
      <c r="AB892" s="243"/>
      <c r="AC892" s="243"/>
      <c r="AD892" s="243"/>
      <c r="AE892" s="243"/>
      <c r="AF892" s="243"/>
      <c r="AG892" s="243"/>
      <c r="AH892" s="243"/>
      <c r="AI892" s="243"/>
      <c r="AJ892" s="243"/>
      <c r="AK892" s="243"/>
      <c r="AL892" s="243"/>
      <c r="AM892" s="243"/>
      <c r="AN892" s="243"/>
      <c r="AO892" s="243"/>
      <c r="AP892" s="243"/>
      <c r="AQ892" s="243"/>
      <c r="AR892" s="243"/>
      <c r="AS892" s="243"/>
      <c r="AT892" s="243"/>
    </row>
    <row r="893" spans="1:46" ht="12.75" x14ac:dyDescent="0.2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3"/>
      <c r="Z893" s="243"/>
      <c r="AA893" s="243"/>
      <c r="AB893" s="243"/>
      <c r="AC893" s="243"/>
      <c r="AD893" s="243"/>
      <c r="AE893" s="243"/>
      <c r="AF893" s="243"/>
      <c r="AG893" s="243"/>
      <c r="AH893" s="243"/>
      <c r="AI893" s="243"/>
      <c r="AJ893" s="243"/>
      <c r="AK893" s="243"/>
      <c r="AL893" s="243"/>
      <c r="AM893" s="243"/>
      <c r="AN893" s="243"/>
      <c r="AO893" s="243"/>
      <c r="AP893" s="243"/>
      <c r="AQ893" s="243"/>
      <c r="AR893" s="243"/>
      <c r="AS893" s="243"/>
      <c r="AT893" s="243"/>
    </row>
    <row r="894" spans="1:46" ht="12.75" x14ac:dyDescent="0.2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3"/>
      <c r="Z894" s="243"/>
      <c r="AA894" s="243"/>
      <c r="AB894" s="243"/>
      <c r="AC894" s="243"/>
      <c r="AD894" s="243"/>
      <c r="AE894" s="243"/>
      <c r="AF894" s="243"/>
      <c r="AG894" s="243"/>
      <c r="AH894" s="243"/>
      <c r="AI894" s="243"/>
      <c r="AJ894" s="243"/>
      <c r="AK894" s="243"/>
      <c r="AL894" s="243"/>
      <c r="AM894" s="243"/>
      <c r="AN894" s="243"/>
      <c r="AO894" s="243"/>
      <c r="AP894" s="243"/>
      <c r="AQ894" s="243"/>
      <c r="AR894" s="243"/>
      <c r="AS894" s="243"/>
      <c r="AT894" s="243"/>
    </row>
    <row r="895" spans="1:46" ht="12.75" x14ac:dyDescent="0.2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3"/>
      <c r="Z895" s="243"/>
      <c r="AA895" s="243"/>
      <c r="AB895" s="243"/>
      <c r="AC895" s="243"/>
      <c r="AD895" s="243"/>
      <c r="AE895" s="243"/>
      <c r="AF895" s="243"/>
      <c r="AG895" s="243"/>
      <c r="AH895" s="243"/>
      <c r="AI895" s="243"/>
      <c r="AJ895" s="243"/>
      <c r="AK895" s="243"/>
      <c r="AL895" s="243"/>
      <c r="AM895" s="243"/>
      <c r="AN895" s="243"/>
      <c r="AO895" s="243"/>
      <c r="AP895" s="243"/>
      <c r="AQ895" s="243"/>
      <c r="AR895" s="243"/>
      <c r="AS895" s="243"/>
      <c r="AT895" s="243"/>
    </row>
    <row r="896" spans="1:46" ht="12.75" x14ac:dyDescent="0.2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3"/>
      <c r="Z896" s="243"/>
      <c r="AA896" s="243"/>
      <c r="AB896" s="243"/>
      <c r="AC896" s="243"/>
      <c r="AD896" s="243"/>
      <c r="AE896" s="243"/>
      <c r="AF896" s="243"/>
      <c r="AG896" s="243"/>
      <c r="AH896" s="243"/>
      <c r="AI896" s="243"/>
      <c r="AJ896" s="243"/>
      <c r="AK896" s="243"/>
      <c r="AL896" s="243"/>
      <c r="AM896" s="243"/>
      <c r="AN896" s="243"/>
      <c r="AO896" s="243"/>
      <c r="AP896" s="243"/>
      <c r="AQ896" s="243"/>
      <c r="AR896" s="243"/>
      <c r="AS896" s="243"/>
      <c r="AT896" s="243"/>
    </row>
    <row r="897" spans="1:46" ht="12.75" x14ac:dyDescent="0.2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3"/>
      <c r="Z897" s="243"/>
      <c r="AA897" s="243"/>
      <c r="AB897" s="243"/>
      <c r="AC897" s="243"/>
      <c r="AD897" s="243"/>
      <c r="AE897" s="243"/>
      <c r="AF897" s="243"/>
      <c r="AG897" s="243"/>
      <c r="AH897" s="243"/>
      <c r="AI897" s="243"/>
      <c r="AJ897" s="243"/>
      <c r="AK897" s="243"/>
      <c r="AL897" s="243"/>
      <c r="AM897" s="243"/>
      <c r="AN897" s="243"/>
      <c r="AO897" s="243"/>
      <c r="AP897" s="243"/>
      <c r="AQ897" s="243"/>
      <c r="AR897" s="243"/>
      <c r="AS897" s="243"/>
      <c r="AT897" s="243"/>
    </row>
    <row r="898" spans="1:46" ht="12.75" x14ac:dyDescent="0.2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3"/>
      <c r="Z898" s="243"/>
      <c r="AA898" s="243"/>
      <c r="AB898" s="243"/>
      <c r="AC898" s="243"/>
      <c r="AD898" s="243"/>
      <c r="AE898" s="243"/>
      <c r="AF898" s="243"/>
      <c r="AG898" s="243"/>
      <c r="AH898" s="243"/>
      <c r="AI898" s="243"/>
      <c r="AJ898" s="243"/>
      <c r="AK898" s="243"/>
      <c r="AL898" s="243"/>
      <c r="AM898" s="243"/>
      <c r="AN898" s="243"/>
      <c r="AO898" s="243"/>
      <c r="AP898" s="243"/>
      <c r="AQ898" s="243"/>
      <c r="AR898" s="243"/>
      <c r="AS898" s="243"/>
      <c r="AT898" s="243"/>
    </row>
    <row r="899" spans="1:46" ht="12.75" x14ac:dyDescent="0.2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3"/>
      <c r="Z899" s="243"/>
      <c r="AA899" s="243"/>
      <c r="AB899" s="243"/>
      <c r="AC899" s="243"/>
      <c r="AD899" s="243"/>
      <c r="AE899" s="243"/>
      <c r="AF899" s="243"/>
      <c r="AG899" s="243"/>
      <c r="AH899" s="243"/>
      <c r="AI899" s="243"/>
      <c r="AJ899" s="243"/>
      <c r="AK899" s="243"/>
      <c r="AL899" s="243"/>
      <c r="AM899" s="243"/>
      <c r="AN899" s="243"/>
      <c r="AO899" s="243"/>
      <c r="AP899" s="243"/>
      <c r="AQ899" s="243"/>
      <c r="AR899" s="243"/>
      <c r="AS899" s="243"/>
      <c r="AT899" s="243"/>
    </row>
    <row r="900" spans="1:46" ht="12.75" x14ac:dyDescent="0.2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3"/>
      <c r="Z900" s="243"/>
      <c r="AA900" s="243"/>
      <c r="AB900" s="243"/>
      <c r="AC900" s="243"/>
      <c r="AD900" s="243"/>
      <c r="AE900" s="243"/>
      <c r="AF900" s="243"/>
      <c r="AG900" s="243"/>
      <c r="AH900" s="243"/>
      <c r="AI900" s="243"/>
      <c r="AJ900" s="243"/>
      <c r="AK900" s="243"/>
      <c r="AL900" s="243"/>
      <c r="AM900" s="243"/>
      <c r="AN900" s="243"/>
      <c r="AO900" s="243"/>
      <c r="AP900" s="243"/>
      <c r="AQ900" s="243"/>
      <c r="AR900" s="243"/>
      <c r="AS900" s="243"/>
      <c r="AT900" s="243"/>
    </row>
    <row r="901" spans="1:46" ht="12.75" x14ac:dyDescent="0.2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3"/>
      <c r="Z901" s="243"/>
      <c r="AA901" s="243"/>
      <c r="AB901" s="243"/>
      <c r="AC901" s="243"/>
      <c r="AD901" s="243"/>
      <c r="AE901" s="243"/>
      <c r="AF901" s="243"/>
      <c r="AG901" s="243"/>
      <c r="AH901" s="243"/>
      <c r="AI901" s="243"/>
      <c r="AJ901" s="243"/>
      <c r="AK901" s="243"/>
      <c r="AL901" s="243"/>
      <c r="AM901" s="243"/>
      <c r="AN901" s="243"/>
      <c r="AO901" s="243"/>
      <c r="AP901" s="243"/>
      <c r="AQ901" s="243"/>
      <c r="AR901" s="243"/>
      <c r="AS901" s="243"/>
      <c r="AT901" s="243"/>
    </row>
    <row r="902" spans="1:46" ht="12.75" x14ac:dyDescent="0.2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3"/>
      <c r="Z902" s="243"/>
      <c r="AA902" s="243"/>
      <c r="AB902" s="243"/>
      <c r="AC902" s="243"/>
      <c r="AD902" s="243"/>
      <c r="AE902" s="243"/>
      <c r="AF902" s="243"/>
      <c r="AG902" s="243"/>
      <c r="AH902" s="243"/>
      <c r="AI902" s="243"/>
      <c r="AJ902" s="243"/>
      <c r="AK902" s="243"/>
      <c r="AL902" s="243"/>
      <c r="AM902" s="243"/>
      <c r="AN902" s="243"/>
      <c r="AO902" s="243"/>
      <c r="AP902" s="243"/>
      <c r="AQ902" s="243"/>
      <c r="AR902" s="243"/>
      <c r="AS902" s="243"/>
      <c r="AT902" s="243"/>
    </row>
    <row r="903" spans="1:46" ht="12.75" x14ac:dyDescent="0.2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3"/>
      <c r="Z903" s="243"/>
      <c r="AA903" s="243"/>
      <c r="AB903" s="243"/>
      <c r="AC903" s="243"/>
      <c r="AD903" s="243"/>
      <c r="AE903" s="243"/>
      <c r="AF903" s="243"/>
      <c r="AG903" s="243"/>
      <c r="AH903" s="243"/>
      <c r="AI903" s="243"/>
      <c r="AJ903" s="243"/>
      <c r="AK903" s="243"/>
      <c r="AL903" s="243"/>
      <c r="AM903" s="243"/>
      <c r="AN903" s="243"/>
      <c r="AO903" s="243"/>
      <c r="AP903" s="243"/>
      <c r="AQ903" s="243"/>
      <c r="AR903" s="243"/>
      <c r="AS903" s="243"/>
      <c r="AT903" s="243"/>
    </row>
    <row r="904" spans="1:46" ht="12.75" x14ac:dyDescent="0.2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3"/>
      <c r="Z904" s="243"/>
      <c r="AA904" s="243"/>
      <c r="AB904" s="243"/>
      <c r="AC904" s="243"/>
      <c r="AD904" s="243"/>
      <c r="AE904" s="243"/>
      <c r="AF904" s="243"/>
      <c r="AG904" s="243"/>
      <c r="AH904" s="243"/>
      <c r="AI904" s="243"/>
      <c r="AJ904" s="243"/>
      <c r="AK904" s="243"/>
      <c r="AL904" s="243"/>
      <c r="AM904" s="243"/>
      <c r="AN904" s="243"/>
      <c r="AO904" s="243"/>
      <c r="AP904" s="243"/>
      <c r="AQ904" s="243"/>
      <c r="AR904" s="243"/>
      <c r="AS904" s="243"/>
      <c r="AT904" s="243"/>
    </row>
    <row r="905" spans="1:46" ht="12.75" x14ac:dyDescent="0.2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  <c r="AH905" s="243"/>
      <c r="AI905" s="243"/>
      <c r="AJ905" s="243"/>
      <c r="AK905" s="243"/>
      <c r="AL905" s="243"/>
      <c r="AM905" s="243"/>
      <c r="AN905" s="243"/>
      <c r="AO905" s="243"/>
      <c r="AP905" s="243"/>
      <c r="AQ905" s="243"/>
      <c r="AR905" s="243"/>
      <c r="AS905" s="243"/>
      <c r="AT905" s="243"/>
    </row>
    <row r="906" spans="1:46" ht="12.75" x14ac:dyDescent="0.2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  <c r="AH906" s="243"/>
      <c r="AI906" s="243"/>
      <c r="AJ906" s="243"/>
      <c r="AK906" s="243"/>
      <c r="AL906" s="243"/>
      <c r="AM906" s="243"/>
      <c r="AN906" s="243"/>
      <c r="AO906" s="243"/>
      <c r="AP906" s="243"/>
      <c r="AQ906" s="243"/>
      <c r="AR906" s="243"/>
      <c r="AS906" s="243"/>
      <c r="AT906" s="243"/>
    </row>
    <row r="907" spans="1:46" ht="12.75" x14ac:dyDescent="0.2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  <c r="AH907" s="243"/>
      <c r="AI907" s="243"/>
      <c r="AJ907" s="243"/>
      <c r="AK907" s="243"/>
      <c r="AL907" s="243"/>
      <c r="AM907" s="243"/>
      <c r="AN907" s="243"/>
      <c r="AO907" s="243"/>
      <c r="AP907" s="243"/>
      <c r="AQ907" s="243"/>
      <c r="AR907" s="243"/>
      <c r="AS907" s="243"/>
      <c r="AT907" s="243"/>
    </row>
    <row r="908" spans="1:46" ht="12.75" x14ac:dyDescent="0.2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  <c r="AH908" s="243"/>
      <c r="AI908" s="243"/>
      <c r="AJ908" s="243"/>
      <c r="AK908" s="243"/>
      <c r="AL908" s="243"/>
      <c r="AM908" s="243"/>
      <c r="AN908" s="243"/>
      <c r="AO908" s="243"/>
      <c r="AP908" s="243"/>
      <c r="AQ908" s="243"/>
      <c r="AR908" s="243"/>
      <c r="AS908" s="243"/>
      <c r="AT908" s="243"/>
    </row>
    <row r="909" spans="1:46" ht="12.75" x14ac:dyDescent="0.2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3"/>
      <c r="Z909" s="243"/>
      <c r="AA909" s="243"/>
      <c r="AB909" s="243"/>
      <c r="AC909" s="243"/>
      <c r="AD909" s="243"/>
      <c r="AE909" s="243"/>
      <c r="AF909" s="243"/>
      <c r="AG909" s="243"/>
      <c r="AH909" s="243"/>
      <c r="AI909" s="243"/>
      <c r="AJ909" s="243"/>
      <c r="AK909" s="243"/>
      <c r="AL909" s="243"/>
      <c r="AM909" s="243"/>
      <c r="AN909" s="243"/>
      <c r="AO909" s="243"/>
      <c r="AP909" s="243"/>
      <c r="AQ909" s="243"/>
      <c r="AR909" s="243"/>
      <c r="AS909" s="243"/>
      <c r="AT909" s="243"/>
    </row>
    <row r="910" spans="1:46" ht="12.75" x14ac:dyDescent="0.2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3"/>
      <c r="Z910" s="243"/>
      <c r="AA910" s="243"/>
      <c r="AB910" s="243"/>
      <c r="AC910" s="243"/>
      <c r="AD910" s="243"/>
      <c r="AE910" s="243"/>
      <c r="AF910" s="243"/>
      <c r="AG910" s="243"/>
      <c r="AH910" s="243"/>
      <c r="AI910" s="243"/>
      <c r="AJ910" s="243"/>
      <c r="AK910" s="243"/>
      <c r="AL910" s="243"/>
      <c r="AM910" s="243"/>
      <c r="AN910" s="243"/>
      <c r="AO910" s="243"/>
      <c r="AP910" s="243"/>
      <c r="AQ910" s="243"/>
      <c r="AR910" s="243"/>
      <c r="AS910" s="243"/>
      <c r="AT910" s="243"/>
    </row>
    <row r="911" spans="1:46" ht="12.75" x14ac:dyDescent="0.2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3"/>
      <c r="Z911" s="243"/>
      <c r="AA911" s="243"/>
      <c r="AB911" s="243"/>
      <c r="AC911" s="243"/>
      <c r="AD911" s="243"/>
      <c r="AE911" s="243"/>
      <c r="AF911" s="243"/>
      <c r="AG911" s="243"/>
      <c r="AH911" s="243"/>
      <c r="AI911" s="243"/>
      <c r="AJ911" s="243"/>
      <c r="AK911" s="243"/>
      <c r="AL911" s="243"/>
      <c r="AM911" s="243"/>
      <c r="AN911" s="243"/>
      <c r="AO911" s="243"/>
      <c r="AP911" s="243"/>
      <c r="AQ911" s="243"/>
      <c r="AR911" s="243"/>
      <c r="AS911" s="243"/>
      <c r="AT911" s="243"/>
    </row>
    <row r="912" spans="1:46" ht="12.75" x14ac:dyDescent="0.2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3"/>
      <c r="Z912" s="243"/>
      <c r="AA912" s="243"/>
      <c r="AB912" s="243"/>
      <c r="AC912" s="243"/>
      <c r="AD912" s="243"/>
      <c r="AE912" s="243"/>
      <c r="AF912" s="243"/>
      <c r="AG912" s="243"/>
      <c r="AH912" s="243"/>
      <c r="AI912" s="243"/>
      <c r="AJ912" s="243"/>
      <c r="AK912" s="243"/>
      <c r="AL912" s="243"/>
      <c r="AM912" s="243"/>
      <c r="AN912" s="243"/>
      <c r="AO912" s="243"/>
      <c r="AP912" s="243"/>
      <c r="AQ912" s="243"/>
      <c r="AR912" s="243"/>
      <c r="AS912" s="243"/>
      <c r="AT912" s="243"/>
    </row>
    <row r="913" spans="1:46" ht="12.75" x14ac:dyDescent="0.2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3"/>
      <c r="Z913" s="243"/>
      <c r="AA913" s="243"/>
      <c r="AB913" s="243"/>
      <c r="AC913" s="243"/>
      <c r="AD913" s="243"/>
      <c r="AE913" s="243"/>
      <c r="AF913" s="243"/>
      <c r="AG913" s="243"/>
      <c r="AH913" s="243"/>
      <c r="AI913" s="243"/>
      <c r="AJ913" s="243"/>
      <c r="AK913" s="243"/>
      <c r="AL913" s="243"/>
      <c r="AM913" s="243"/>
      <c r="AN913" s="243"/>
      <c r="AO913" s="243"/>
      <c r="AP913" s="243"/>
      <c r="AQ913" s="243"/>
      <c r="AR913" s="243"/>
      <c r="AS913" s="243"/>
      <c r="AT913" s="243"/>
    </row>
    <row r="914" spans="1:46" ht="12.75" x14ac:dyDescent="0.2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3"/>
      <c r="Z914" s="243"/>
      <c r="AA914" s="243"/>
      <c r="AB914" s="243"/>
      <c r="AC914" s="243"/>
      <c r="AD914" s="243"/>
      <c r="AE914" s="243"/>
      <c r="AF914" s="243"/>
      <c r="AG914" s="243"/>
      <c r="AH914" s="243"/>
      <c r="AI914" s="243"/>
      <c r="AJ914" s="243"/>
      <c r="AK914" s="243"/>
      <c r="AL914" s="243"/>
      <c r="AM914" s="243"/>
      <c r="AN914" s="243"/>
      <c r="AO914" s="243"/>
      <c r="AP914" s="243"/>
      <c r="AQ914" s="243"/>
      <c r="AR914" s="243"/>
      <c r="AS914" s="243"/>
      <c r="AT914" s="243"/>
    </row>
    <row r="915" spans="1:46" ht="12.75" x14ac:dyDescent="0.2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3"/>
      <c r="Z915" s="243"/>
      <c r="AA915" s="243"/>
      <c r="AB915" s="243"/>
      <c r="AC915" s="243"/>
      <c r="AD915" s="243"/>
      <c r="AE915" s="243"/>
      <c r="AF915" s="243"/>
      <c r="AG915" s="243"/>
      <c r="AH915" s="243"/>
      <c r="AI915" s="243"/>
      <c r="AJ915" s="243"/>
      <c r="AK915" s="243"/>
      <c r="AL915" s="243"/>
      <c r="AM915" s="243"/>
      <c r="AN915" s="243"/>
      <c r="AO915" s="243"/>
      <c r="AP915" s="243"/>
      <c r="AQ915" s="243"/>
      <c r="AR915" s="243"/>
      <c r="AS915" s="243"/>
      <c r="AT915" s="243"/>
    </row>
    <row r="916" spans="1:46" ht="12.75" x14ac:dyDescent="0.2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3"/>
      <c r="Z916" s="243"/>
      <c r="AA916" s="243"/>
      <c r="AB916" s="243"/>
      <c r="AC916" s="243"/>
      <c r="AD916" s="243"/>
      <c r="AE916" s="243"/>
      <c r="AF916" s="243"/>
      <c r="AG916" s="243"/>
      <c r="AH916" s="243"/>
      <c r="AI916" s="243"/>
      <c r="AJ916" s="243"/>
      <c r="AK916" s="243"/>
      <c r="AL916" s="243"/>
      <c r="AM916" s="243"/>
      <c r="AN916" s="243"/>
      <c r="AO916" s="243"/>
      <c r="AP916" s="243"/>
      <c r="AQ916" s="243"/>
      <c r="AR916" s="243"/>
      <c r="AS916" s="243"/>
      <c r="AT916" s="243"/>
    </row>
    <row r="917" spans="1:46" ht="12.75" x14ac:dyDescent="0.2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3"/>
      <c r="Z917" s="243"/>
      <c r="AA917" s="243"/>
      <c r="AB917" s="243"/>
      <c r="AC917" s="243"/>
      <c r="AD917" s="243"/>
      <c r="AE917" s="243"/>
      <c r="AF917" s="243"/>
      <c r="AG917" s="243"/>
      <c r="AH917" s="243"/>
      <c r="AI917" s="243"/>
      <c r="AJ917" s="243"/>
      <c r="AK917" s="243"/>
      <c r="AL917" s="243"/>
      <c r="AM917" s="243"/>
      <c r="AN917" s="243"/>
      <c r="AO917" s="243"/>
      <c r="AP917" s="243"/>
      <c r="AQ917" s="243"/>
      <c r="AR917" s="243"/>
      <c r="AS917" s="243"/>
      <c r="AT917" s="243"/>
    </row>
    <row r="918" spans="1:46" ht="12.75" x14ac:dyDescent="0.2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3"/>
      <c r="Z918" s="243"/>
      <c r="AA918" s="243"/>
      <c r="AB918" s="243"/>
      <c r="AC918" s="243"/>
      <c r="AD918" s="243"/>
      <c r="AE918" s="243"/>
      <c r="AF918" s="243"/>
      <c r="AG918" s="243"/>
      <c r="AH918" s="243"/>
      <c r="AI918" s="243"/>
      <c r="AJ918" s="243"/>
      <c r="AK918" s="243"/>
      <c r="AL918" s="243"/>
      <c r="AM918" s="243"/>
      <c r="AN918" s="243"/>
      <c r="AO918" s="243"/>
      <c r="AP918" s="243"/>
      <c r="AQ918" s="243"/>
      <c r="AR918" s="243"/>
      <c r="AS918" s="243"/>
      <c r="AT918" s="243"/>
    </row>
    <row r="919" spans="1:46" ht="12.75" x14ac:dyDescent="0.2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3"/>
      <c r="Z919" s="243"/>
      <c r="AA919" s="243"/>
      <c r="AB919" s="243"/>
      <c r="AC919" s="243"/>
      <c r="AD919" s="243"/>
      <c r="AE919" s="243"/>
      <c r="AF919" s="243"/>
      <c r="AG919" s="243"/>
      <c r="AH919" s="243"/>
      <c r="AI919" s="243"/>
      <c r="AJ919" s="243"/>
      <c r="AK919" s="243"/>
      <c r="AL919" s="243"/>
      <c r="AM919" s="243"/>
      <c r="AN919" s="243"/>
      <c r="AO919" s="243"/>
      <c r="AP919" s="243"/>
      <c r="AQ919" s="243"/>
      <c r="AR919" s="243"/>
      <c r="AS919" s="243"/>
      <c r="AT919" s="243"/>
    </row>
    <row r="920" spans="1:46" ht="12.75" x14ac:dyDescent="0.2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3"/>
      <c r="Z920" s="243"/>
      <c r="AA920" s="243"/>
      <c r="AB920" s="243"/>
      <c r="AC920" s="243"/>
      <c r="AD920" s="243"/>
      <c r="AE920" s="243"/>
      <c r="AF920" s="243"/>
      <c r="AG920" s="243"/>
      <c r="AH920" s="243"/>
      <c r="AI920" s="243"/>
      <c r="AJ920" s="243"/>
      <c r="AK920" s="243"/>
      <c r="AL920" s="243"/>
      <c r="AM920" s="243"/>
      <c r="AN920" s="243"/>
      <c r="AO920" s="243"/>
      <c r="AP920" s="243"/>
      <c r="AQ920" s="243"/>
      <c r="AR920" s="243"/>
      <c r="AS920" s="243"/>
      <c r="AT920" s="243"/>
    </row>
    <row r="921" spans="1:46" ht="12.75" x14ac:dyDescent="0.2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3"/>
      <c r="Z921" s="243"/>
      <c r="AA921" s="243"/>
      <c r="AB921" s="243"/>
      <c r="AC921" s="243"/>
      <c r="AD921" s="243"/>
      <c r="AE921" s="243"/>
      <c r="AF921" s="243"/>
      <c r="AG921" s="243"/>
      <c r="AH921" s="243"/>
      <c r="AI921" s="243"/>
      <c r="AJ921" s="243"/>
      <c r="AK921" s="243"/>
      <c r="AL921" s="243"/>
      <c r="AM921" s="243"/>
      <c r="AN921" s="243"/>
      <c r="AO921" s="243"/>
      <c r="AP921" s="243"/>
      <c r="AQ921" s="243"/>
      <c r="AR921" s="243"/>
      <c r="AS921" s="243"/>
      <c r="AT921" s="243"/>
    </row>
    <row r="922" spans="1:46" ht="12.75" x14ac:dyDescent="0.2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3"/>
      <c r="Z922" s="243"/>
      <c r="AA922" s="243"/>
      <c r="AB922" s="243"/>
      <c r="AC922" s="243"/>
      <c r="AD922" s="243"/>
      <c r="AE922" s="243"/>
      <c r="AF922" s="243"/>
      <c r="AG922" s="243"/>
      <c r="AH922" s="243"/>
      <c r="AI922" s="243"/>
      <c r="AJ922" s="243"/>
      <c r="AK922" s="243"/>
      <c r="AL922" s="243"/>
      <c r="AM922" s="243"/>
      <c r="AN922" s="243"/>
      <c r="AO922" s="243"/>
      <c r="AP922" s="243"/>
      <c r="AQ922" s="243"/>
      <c r="AR922" s="243"/>
      <c r="AS922" s="243"/>
      <c r="AT922" s="243"/>
    </row>
    <row r="923" spans="1:46" ht="12.75" x14ac:dyDescent="0.2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3"/>
      <c r="Z923" s="243"/>
      <c r="AA923" s="243"/>
      <c r="AB923" s="243"/>
      <c r="AC923" s="243"/>
      <c r="AD923" s="243"/>
      <c r="AE923" s="243"/>
      <c r="AF923" s="243"/>
      <c r="AG923" s="243"/>
      <c r="AH923" s="243"/>
      <c r="AI923" s="243"/>
      <c r="AJ923" s="243"/>
      <c r="AK923" s="243"/>
      <c r="AL923" s="243"/>
      <c r="AM923" s="243"/>
      <c r="AN923" s="243"/>
      <c r="AO923" s="243"/>
      <c r="AP923" s="243"/>
      <c r="AQ923" s="243"/>
      <c r="AR923" s="243"/>
      <c r="AS923" s="243"/>
      <c r="AT923" s="243"/>
    </row>
    <row r="924" spans="1:46" ht="12.75" x14ac:dyDescent="0.2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3"/>
      <c r="Z924" s="243"/>
      <c r="AA924" s="243"/>
      <c r="AB924" s="243"/>
      <c r="AC924" s="243"/>
      <c r="AD924" s="243"/>
      <c r="AE924" s="243"/>
      <c r="AF924" s="243"/>
      <c r="AG924" s="243"/>
      <c r="AH924" s="243"/>
      <c r="AI924" s="243"/>
      <c r="AJ924" s="243"/>
      <c r="AK924" s="243"/>
      <c r="AL924" s="243"/>
      <c r="AM924" s="243"/>
      <c r="AN924" s="243"/>
      <c r="AO924" s="243"/>
      <c r="AP924" s="243"/>
      <c r="AQ924" s="243"/>
      <c r="AR924" s="243"/>
      <c r="AS924" s="243"/>
      <c r="AT924" s="243"/>
    </row>
    <row r="925" spans="1:46" ht="12.75" x14ac:dyDescent="0.2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3"/>
      <c r="Z925" s="243"/>
      <c r="AA925" s="243"/>
      <c r="AB925" s="243"/>
      <c r="AC925" s="243"/>
      <c r="AD925" s="243"/>
      <c r="AE925" s="243"/>
      <c r="AF925" s="243"/>
      <c r="AG925" s="243"/>
      <c r="AH925" s="243"/>
      <c r="AI925" s="243"/>
      <c r="AJ925" s="243"/>
      <c r="AK925" s="243"/>
      <c r="AL925" s="243"/>
      <c r="AM925" s="243"/>
      <c r="AN925" s="243"/>
      <c r="AO925" s="243"/>
      <c r="AP925" s="243"/>
      <c r="AQ925" s="243"/>
      <c r="AR925" s="243"/>
      <c r="AS925" s="243"/>
      <c r="AT925" s="243"/>
    </row>
    <row r="926" spans="1:46" ht="12.75" x14ac:dyDescent="0.2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3"/>
      <c r="Z926" s="243"/>
      <c r="AA926" s="243"/>
      <c r="AB926" s="243"/>
      <c r="AC926" s="243"/>
      <c r="AD926" s="243"/>
      <c r="AE926" s="243"/>
      <c r="AF926" s="243"/>
      <c r="AG926" s="243"/>
      <c r="AH926" s="243"/>
      <c r="AI926" s="243"/>
      <c r="AJ926" s="243"/>
      <c r="AK926" s="243"/>
      <c r="AL926" s="243"/>
      <c r="AM926" s="243"/>
      <c r="AN926" s="243"/>
      <c r="AO926" s="243"/>
      <c r="AP926" s="243"/>
      <c r="AQ926" s="243"/>
      <c r="AR926" s="243"/>
      <c r="AS926" s="243"/>
      <c r="AT926" s="243"/>
    </row>
    <row r="927" spans="1:46" ht="12.75" x14ac:dyDescent="0.2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  <c r="AH927" s="243"/>
      <c r="AI927" s="243"/>
      <c r="AJ927" s="243"/>
      <c r="AK927" s="243"/>
      <c r="AL927" s="243"/>
      <c r="AM927" s="243"/>
      <c r="AN927" s="243"/>
      <c r="AO927" s="243"/>
      <c r="AP927" s="243"/>
      <c r="AQ927" s="243"/>
      <c r="AR927" s="243"/>
      <c r="AS927" s="243"/>
      <c r="AT927" s="243"/>
    </row>
    <row r="928" spans="1:46" ht="12.75" x14ac:dyDescent="0.2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  <c r="AH928" s="243"/>
      <c r="AI928" s="243"/>
      <c r="AJ928" s="243"/>
      <c r="AK928" s="243"/>
      <c r="AL928" s="243"/>
      <c r="AM928" s="243"/>
      <c r="AN928" s="243"/>
      <c r="AO928" s="243"/>
      <c r="AP928" s="243"/>
      <c r="AQ928" s="243"/>
      <c r="AR928" s="243"/>
      <c r="AS928" s="243"/>
      <c r="AT928" s="243"/>
    </row>
    <row r="929" spans="1:46" ht="12.75" x14ac:dyDescent="0.2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  <c r="AH929" s="243"/>
      <c r="AI929" s="243"/>
      <c r="AJ929" s="243"/>
      <c r="AK929" s="243"/>
      <c r="AL929" s="243"/>
      <c r="AM929" s="243"/>
      <c r="AN929" s="243"/>
      <c r="AO929" s="243"/>
      <c r="AP929" s="243"/>
      <c r="AQ929" s="243"/>
      <c r="AR929" s="243"/>
      <c r="AS929" s="243"/>
      <c r="AT929" s="243"/>
    </row>
    <row r="930" spans="1:46" ht="12.75" x14ac:dyDescent="0.2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3"/>
      <c r="AI930" s="243"/>
      <c r="AJ930" s="243"/>
      <c r="AK930" s="243"/>
      <c r="AL930" s="243"/>
      <c r="AM930" s="243"/>
      <c r="AN930" s="243"/>
      <c r="AO930" s="243"/>
      <c r="AP930" s="243"/>
      <c r="AQ930" s="243"/>
      <c r="AR930" s="243"/>
      <c r="AS930" s="243"/>
      <c r="AT930" s="243"/>
    </row>
    <row r="931" spans="1:46" ht="12.75" x14ac:dyDescent="0.2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3"/>
      <c r="AI931" s="243"/>
      <c r="AJ931" s="243"/>
      <c r="AK931" s="243"/>
      <c r="AL931" s="243"/>
      <c r="AM931" s="243"/>
      <c r="AN931" s="243"/>
      <c r="AO931" s="243"/>
      <c r="AP931" s="243"/>
      <c r="AQ931" s="243"/>
      <c r="AR931" s="243"/>
      <c r="AS931" s="243"/>
      <c r="AT931" s="243"/>
    </row>
    <row r="932" spans="1:46" ht="12.75" x14ac:dyDescent="0.2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3"/>
      <c r="AI932" s="243"/>
      <c r="AJ932" s="243"/>
      <c r="AK932" s="243"/>
      <c r="AL932" s="243"/>
      <c r="AM932" s="243"/>
      <c r="AN932" s="243"/>
      <c r="AO932" s="243"/>
      <c r="AP932" s="243"/>
      <c r="AQ932" s="243"/>
      <c r="AR932" s="243"/>
      <c r="AS932" s="243"/>
      <c r="AT932" s="243"/>
    </row>
    <row r="933" spans="1:46" ht="12.75" x14ac:dyDescent="0.2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3"/>
      <c r="AJ933" s="243"/>
      <c r="AK933" s="243"/>
      <c r="AL933" s="243"/>
      <c r="AM933" s="243"/>
      <c r="AN933" s="243"/>
      <c r="AO933" s="243"/>
      <c r="AP933" s="243"/>
      <c r="AQ933" s="243"/>
      <c r="AR933" s="243"/>
      <c r="AS933" s="243"/>
      <c r="AT933" s="243"/>
    </row>
    <row r="934" spans="1:46" ht="12.75" x14ac:dyDescent="0.2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3"/>
      <c r="AI934" s="243"/>
      <c r="AJ934" s="243"/>
      <c r="AK934" s="243"/>
      <c r="AL934" s="243"/>
      <c r="AM934" s="243"/>
      <c r="AN934" s="243"/>
      <c r="AO934" s="243"/>
      <c r="AP934" s="243"/>
      <c r="AQ934" s="243"/>
      <c r="AR934" s="243"/>
      <c r="AS934" s="243"/>
      <c r="AT934" s="243"/>
    </row>
    <row r="935" spans="1:46" ht="12.75" x14ac:dyDescent="0.2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3"/>
      <c r="AI935" s="243"/>
      <c r="AJ935" s="243"/>
      <c r="AK935" s="243"/>
      <c r="AL935" s="243"/>
      <c r="AM935" s="243"/>
      <c r="AN935" s="243"/>
      <c r="AO935" s="243"/>
      <c r="AP935" s="243"/>
      <c r="AQ935" s="243"/>
      <c r="AR935" s="243"/>
      <c r="AS935" s="243"/>
      <c r="AT935" s="243"/>
    </row>
    <row r="936" spans="1:46" ht="12.75" x14ac:dyDescent="0.2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3"/>
      <c r="AJ936" s="243"/>
      <c r="AK936" s="243"/>
      <c r="AL936" s="243"/>
      <c r="AM936" s="243"/>
      <c r="AN936" s="243"/>
      <c r="AO936" s="243"/>
      <c r="AP936" s="243"/>
      <c r="AQ936" s="243"/>
      <c r="AR936" s="243"/>
      <c r="AS936" s="243"/>
      <c r="AT936" s="243"/>
    </row>
    <row r="937" spans="1:46" ht="12.75" x14ac:dyDescent="0.2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3"/>
      <c r="AJ937" s="243"/>
      <c r="AK937" s="243"/>
      <c r="AL937" s="243"/>
      <c r="AM937" s="243"/>
      <c r="AN937" s="243"/>
      <c r="AO937" s="243"/>
      <c r="AP937" s="243"/>
      <c r="AQ937" s="243"/>
      <c r="AR937" s="243"/>
      <c r="AS937" s="243"/>
      <c r="AT937" s="243"/>
    </row>
    <row r="938" spans="1:46" ht="12.75" x14ac:dyDescent="0.2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3"/>
      <c r="AJ938" s="243"/>
      <c r="AK938" s="243"/>
      <c r="AL938" s="243"/>
      <c r="AM938" s="243"/>
      <c r="AN938" s="243"/>
      <c r="AO938" s="243"/>
      <c r="AP938" s="243"/>
      <c r="AQ938" s="243"/>
      <c r="AR938" s="243"/>
      <c r="AS938" s="243"/>
      <c r="AT938" s="243"/>
    </row>
    <row r="939" spans="1:46" ht="12.75" x14ac:dyDescent="0.2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  <c r="AH939" s="243"/>
      <c r="AI939" s="243"/>
      <c r="AJ939" s="243"/>
      <c r="AK939" s="243"/>
      <c r="AL939" s="243"/>
      <c r="AM939" s="243"/>
      <c r="AN939" s="243"/>
      <c r="AO939" s="243"/>
      <c r="AP939" s="243"/>
      <c r="AQ939" s="243"/>
      <c r="AR939" s="243"/>
      <c r="AS939" s="243"/>
      <c r="AT939" s="243"/>
    </row>
    <row r="940" spans="1:46" ht="12.75" x14ac:dyDescent="0.2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  <c r="AH940" s="243"/>
      <c r="AI940" s="243"/>
      <c r="AJ940" s="243"/>
      <c r="AK940" s="243"/>
      <c r="AL940" s="243"/>
      <c r="AM940" s="243"/>
      <c r="AN940" s="243"/>
      <c r="AO940" s="243"/>
      <c r="AP940" s="243"/>
      <c r="AQ940" s="243"/>
      <c r="AR940" s="243"/>
      <c r="AS940" s="243"/>
      <c r="AT940" s="243"/>
    </row>
    <row r="941" spans="1:46" ht="12.75" x14ac:dyDescent="0.2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  <c r="AH941" s="243"/>
      <c r="AI941" s="243"/>
      <c r="AJ941" s="243"/>
      <c r="AK941" s="243"/>
      <c r="AL941" s="243"/>
      <c r="AM941" s="243"/>
      <c r="AN941" s="243"/>
      <c r="AO941" s="243"/>
      <c r="AP941" s="243"/>
      <c r="AQ941" s="243"/>
      <c r="AR941" s="243"/>
      <c r="AS941" s="243"/>
      <c r="AT941" s="243"/>
    </row>
    <row r="942" spans="1:46" ht="12.75" x14ac:dyDescent="0.2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3"/>
      <c r="AI942" s="243"/>
      <c r="AJ942" s="243"/>
      <c r="AK942" s="243"/>
      <c r="AL942" s="243"/>
      <c r="AM942" s="243"/>
      <c r="AN942" s="243"/>
      <c r="AO942" s="243"/>
      <c r="AP942" s="243"/>
      <c r="AQ942" s="243"/>
      <c r="AR942" s="243"/>
      <c r="AS942" s="243"/>
      <c r="AT942" s="243"/>
    </row>
    <row r="943" spans="1:46" ht="12.75" x14ac:dyDescent="0.2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3"/>
      <c r="AI943" s="243"/>
      <c r="AJ943" s="243"/>
      <c r="AK943" s="243"/>
      <c r="AL943" s="243"/>
      <c r="AM943" s="243"/>
      <c r="AN943" s="243"/>
      <c r="AO943" s="243"/>
      <c r="AP943" s="243"/>
      <c r="AQ943" s="243"/>
      <c r="AR943" s="243"/>
      <c r="AS943" s="243"/>
      <c r="AT943" s="243"/>
    </row>
    <row r="944" spans="1:46" ht="12.75" x14ac:dyDescent="0.2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3"/>
      <c r="AI944" s="243"/>
      <c r="AJ944" s="243"/>
      <c r="AK944" s="243"/>
      <c r="AL944" s="243"/>
      <c r="AM944" s="243"/>
      <c r="AN944" s="243"/>
      <c r="AO944" s="243"/>
      <c r="AP944" s="243"/>
      <c r="AQ944" s="243"/>
      <c r="AR944" s="243"/>
      <c r="AS944" s="243"/>
      <c r="AT944" s="243"/>
    </row>
    <row r="945" spans="1:46" ht="12.75" x14ac:dyDescent="0.2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3"/>
      <c r="AI945" s="243"/>
      <c r="AJ945" s="243"/>
      <c r="AK945" s="243"/>
      <c r="AL945" s="243"/>
      <c r="AM945" s="243"/>
      <c r="AN945" s="243"/>
      <c r="AO945" s="243"/>
      <c r="AP945" s="243"/>
      <c r="AQ945" s="243"/>
      <c r="AR945" s="243"/>
      <c r="AS945" s="243"/>
      <c r="AT945" s="243"/>
    </row>
    <row r="946" spans="1:46" ht="12.75" x14ac:dyDescent="0.2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  <c r="AH946" s="243"/>
      <c r="AI946" s="243"/>
      <c r="AJ946" s="243"/>
      <c r="AK946" s="243"/>
      <c r="AL946" s="243"/>
      <c r="AM946" s="243"/>
      <c r="AN946" s="243"/>
      <c r="AO946" s="243"/>
      <c r="AP946" s="243"/>
      <c r="AQ946" s="243"/>
      <c r="AR946" s="243"/>
      <c r="AS946" s="243"/>
      <c r="AT946" s="243"/>
    </row>
    <row r="947" spans="1:46" ht="12.75" x14ac:dyDescent="0.2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  <c r="AH947" s="243"/>
      <c r="AI947" s="243"/>
      <c r="AJ947" s="243"/>
      <c r="AK947" s="243"/>
      <c r="AL947" s="243"/>
      <c r="AM947" s="243"/>
      <c r="AN947" s="243"/>
      <c r="AO947" s="243"/>
      <c r="AP947" s="243"/>
      <c r="AQ947" s="243"/>
      <c r="AR947" s="243"/>
      <c r="AS947" s="243"/>
      <c r="AT947" s="243"/>
    </row>
    <row r="948" spans="1:46" ht="12.75" x14ac:dyDescent="0.2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3"/>
      <c r="AJ948" s="243"/>
      <c r="AK948" s="243"/>
      <c r="AL948" s="243"/>
      <c r="AM948" s="243"/>
      <c r="AN948" s="243"/>
      <c r="AO948" s="243"/>
      <c r="AP948" s="243"/>
      <c r="AQ948" s="243"/>
      <c r="AR948" s="243"/>
      <c r="AS948" s="243"/>
      <c r="AT948" s="243"/>
    </row>
    <row r="949" spans="1:46" ht="12.75" x14ac:dyDescent="0.2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3"/>
      <c r="AJ949" s="243"/>
      <c r="AK949" s="243"/>
      <c r="AL949" s="243"/>
      <c r="AM949" s="243"/>
      <c r="AN949" s="243"/>
      <c r="AO949" s="243"/>
      <c r="AP949" s="243"/>
      <c r="AQ949" s="243"/>
      <c r="AR949" s="243"/>
      <c r="AS949" s="243"/>
      <c r="AT949" s="243"/>
    </row>
    <row r="950" spans="1:46" ht="12.75" x14ac:dyDescent="0.2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3"/>
      <c r="AJ950" s="243"/>
      <c r="AK950" s="243"/>
      <c r="AL950" s="243"/>
      <c r="AM950" s="243"/>
      <c r="AN950" s="243"/>
      <c r="AO950" s="243"/>
      <c r="AP950" s="243"/>
      <c r="AQ950" s="243"/>
      <c r="AR950" s="243"/>
      <c r="AS950" s="243"/>
      <c r="AT950" s="243"/>
    </row>
    <row r="951" spans="1:46" ht="12.75" x14ac:dyDescent="0.2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3"/>
      <c r="AI951" s="243"/>
      <c r="AJ951" s="243"/>
      <c r="AK951" s="243"/>
      <c r="AL951" s="243"/>
      <c r="AM951" s="243"/>
      <c r="AN951" s="243"/>
      <c r="AO951" s="243"/>
      <c r="AP951" s="243"/>
      <c r="AQ951" s="243"/>
      <c r="AR951" s="243"/>
      <c r="AS951" s="243"/>
      <c r="AT951" s="243"/>
    </row>
    <row r="952" spans="1:46" ht="12.75" x14ac:dyDescent="0.2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3"/>
      <c r="AI952" s="243"/>
      <c r="AJ952" s="243"/>
      <c r="AK952" s="243"/>
      <c r="AL952" s="243"/>
      <c r="AM952" s="243"/>
      <c r="AN952" s="243"/>
      <c r="AO952" s="243"/>
      <c r="AP952" s="243"/>
      <c r="AQ952" s="243"/>
      <c r="AR952" s="243"/>
      <c r="AS952" s="243"/>
      <c r="AT952" s="243"/>
    </row>
    <row r="953" spans="1:46" ht="12.75" x14ac:dyDescent="0.2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3"/>
      <c r="AJ953" s="243"/>
      <c r="AK953" s="243"/>
      <c r="AL953" s="243"/>
      <c r="AM953" s="243"/>
      <c r="AN953" s="243"/>
      <c r="AO953" s="243"/>
      <c r="AP953" s="243"/>
      <c r="AQ953" s="243"/>
      <c r="AR953" s="243"/>
      <c r="AS953" s="243"/>
      <c r="AT953" s="243"/>
    </row>
    <row r="954" spans="1:46" ht="12.75" x14ac:dyDescent="0.2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3"/>
      <c r="AJ954" s="243"/>
      <c r="AK954" s="243"/>
      <c r="AL954" s="243"/>
      <c r="AM954" s="243"/>
      <c r="AN954" s="243"/>
      <c r="AO954" s="243"/>
      <c r="AP954" s="243"/>
      <c r="AQ954" s="243"/>
      <c r="AR954" s="243"/>
      <c r="AS954" s="243"/>
      <c r="AT954" s="243"/>
    </row>
    <row r="955" spans="1:46" ht="12.75" x14ac:dyDescent="0.2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3"/>
      <c r="AJ955" s="243"/>
      <c r="AK955" s="243"/>
      <c r="AL955" s="243"/>
      <c r="AM955" s="243"/>
      <c r="AN955" s="243"/>
      <c r="AO955" s="243"/>
      <c r="AP955" s="243"/>
      <c r="AQ955" s="243"/>
      <c r="AR955" s="243"/>
      <c r="AS955" s="243"/>
      <c r="AT955" s="243"/>
    </row>
    <row r="956" spans="1:46" ht="12.75" x14ac:dyDescent="0.2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3"/>
      <c r="AI956" s="243"/>
      <c r="AJ956" s="243"/>
      <c r="AK956" s="243"/>
      <c r="AL956" s="243"/>
      <c r="AM956" s="243"/>
      <c r="AN956" s="243"/>
      <c r="AO956" s="243"/>
      <c r="AP956" s="243"/>
      <c r="AQ956" s="243"/>
      <c r="AR956" s="243"/>
      <c r="AS956" s="243"/>
      <c r="AT956" s="243"/>
    </row>
    <row r="957" spans="1:46" ht="12.75" x14ac:dyDescent="0.2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3"/>
      <c r="AI957" s="243"/>
      <c r="AJ957" s="243"/>
      <c r="AK957" s="243"/>
      <c r="AL957" s="243"/>
      <c r="AM957" s="243"/>
      <c r="AN957" s="243"/>
      <c r="AO957" s="243"/>
      <c r="AP957" s="243"/>
      <c r="AQ957" s="243"/>
      <c r="AR957" s="243"/>
      <c r="AS957" s="243"/>
      <c r="AT957" s="243"/>
    </row>
    <row r="958" spans="1:46" ht="12.75" x14ac:dyDescent="0.2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3"/>
      <c r="AI958" s="243"/>
      <c r="AJ958" s="243"/>
      <c r="AK958" s="243"/>
      <c r="AL958" s="243"/>
      <c r="AM958" s="243"/>
      <c r="AN958" s="243"/>
      <c r="AO958" s="243"/>
      <c r="AP958" s="243"/>
      <c r="AQ958" s="243"/>
      <c r="AR958" s="243"/>
      <c r="AS958" s="243"/>
      <c r="AT958" s="243"/>
    </row>
    <row r="959" spans="1:46" ht="12.75" x14ac:dyDescent="0.2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3"/>
      <c r="AI959" s="243"/>
      <c r="AJ959" s="243"/>
      <c r="AK959" s="243"/>
      <c r="AL959" s="243"/>
      <c r="AM959" s="243"/>
      <c r="AN959" s="243"/>
      <c r="AO959" s="243"/>
      <c r="AP959" s="243"/>
      <c r="AQ959" s="243"/>
      <c r="AR959" s="243"/>
      <c r="AS959" s="243"/>
      <c r="AT959" s="243"/>
    </row>
    <row r="960" spans="1:46" ht="12.75" x14ac:dyDescent="0.2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3"/>
      <c r="AI960" s="243"/>
      <c r="AJ960" s="243"/>
      <c r="AK960" s="243"/>
      <c r="AL960" s="243"/>
      <c r="AM960" s="243"/>
      <c r="AN960" s="243"/>
      <c r="AO960" s="243"/>
      <c r="AP960" s="243"/>
      <c r="AQ960" s="243"/>
      <c r="AR960" s="243"/>
      <c r="AS960" s="243"/>
      <c r="AT960" s="243"/>
    </row>
    <row r="961" spans="1:46" ht="12.75" x14ac:dyDescent="0.2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  <c r="AH961" s="243"/>
      <c r="AI961" s="243"/>
      <c r="AJ961" s="243"/>
      <c r="AK961" s="243"/>
      <c r="AL961" s="243"/>
      <c r="AM961" s="243"/>
      <c r="AN961" s="243"/>
      <c r="AO961" s="243"/>
      <c r="AP961" s="243"/>
      <c r="AQ961" s="243"/>
      <c r="AR961" s="243"/>
      <c r="AS961" s="243"/>
      <c r="AT961" s="243"/>
    </row>
    <row r="962" spans="1:46" ht="12.75" x14ac:dyDescent="0.2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  <c r="AH962" s="243"/>
      <c r="AI962" s="243"/>
      <c r="AJ962" s="243"/>
      <c r="AK962" s="243"/>
      <c r="AL962" s="243"/>
      <c r="AM962" s="243"/>
      <c r="AN962" s="243"/>
      <c r="AO962" s="243"/>
      <c r="AP962" s="243"/>
      <c r="AQ962" s="243"/>
      <c r="AR962" s="243"/>
      <c r="AS962" s="243"/>
      <c r="AT962" s="243"/>
    </row>
    <row r="963" spans="1:46" ht="12.75" x14ac:dyDescent="0.2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3"/>
      <c r="AI963" s="243"/>
      <c r="AJ963" s="243"/>
      <c r="AK963" s="243"/>
      <c r="AL963" s="243"/>
      <c r="AM963" s="243"/>
      <c r="AN963" s="243"/>
      <c r="AO963" s="243"/>
      <c r="AP963" s="243"/>
      <c r="AQ963" s="243"/>
      <c r="AR963" s="243"/>
      <c r="AS963" s="243"/>
      <c r="AT963" s="243"/>
    </row>
    <row r="964" spans="1:46" ht="12.75" x14ac:dyDescent="0.2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3"/>
      <c r="AI964" s="243"/>
      <c r="AJ964" s="243"/>
      <c r="AK964" s="243"/>
      <c r="AL964" s="243"/>
      <c r="AM964" s="243"/>
      <c r="AN964" s="243"/>
      <c r="AO964" s="243"/>
      <c r="AP964" s="243"/>
      <c r="AQ964" s="243"/>
      <c r="AR964" s="243"/>
      <c r="AS964" s="243"/>
      <c r="AT964" s="243"/>
    </row>
    <row r="965" spans="1:46" ht="12.75" x14ac:dyDescent="0.2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3"/>
      <c r="AI965" s="243"/>
      <c r="AJ965" s="243"/>
      <c r="AK965" s="243"/>
      <c r="AL965" s="243"/>
      <c r="AM965" s="243"/>
      <c r="AN965" s="243"/>
      <c r="AO965" s="243"/>
      <c r="AP965" s="243"/>
      <c r="AQ965" s="243"/>
      <c r="AR965" s="243"/>
      <c r="AS965" s="243"/>
      <c r="AT965" s="243"/>
    </row>
    <row r="966" spans="1:46" ht="12.75" x14ac:dyDescent="0.2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  <c r="AH966" s="243"/>
      <c r="AI966" s="243"/>
      <c r="AJ966" s="243"/>
      <c r="AK966" s="243"/>
      <c r="AL966" s="243"/>
      <c r="AM966" s="243"/>
      <c r="AN966" s="243"/>
      <c r="AO966" s="243"/>
      <c r="AP966" s="243"/>
      <c r="AQ966" s="243"/>
      <c r="AR966" s="243"/>
      <c r="AS966" s="243"/>
      <c r="AT966" s="243"/>
    </row>
    <row r="967" spans="1:46" ht="12.75" x14ac:dyDescent="0.2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  <c r="AH967" s="243"/>
      <c r="AI967" s="243"/>
      <c r="AJ967" s="243"/>
      <c r="AK967" s="243"/>
      <c r="AL967" s="243"/>
      <c r="AM967" s="243"/>
      <c r="AN967" s="243"/>
      <c r="AO967" s="243"/>
      <c r="AP967" s="243"/>
      <c r="AQ967" s="243"/>
      <c r="AR967" s="243"/>
      <c r="AS967" s="243"/>
      <c r="AT967" s="243"/>
    </row>
    <row r="968" spans="1:46" ht="12.75" x14ac:dyDescent="0.2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3"/>
      <c r="AI968" s="243"/>
      <c r="AJ968" s="243"/>
      <c r="AK968" s="243"/>
      <c r="AL968" s="243"/>
      <c r="AM968" s="243"/>
      <c r="AN968" s="243"/>
      <c r="AO968" s="243"/>
      <c r="AP968" s="243"/>
      <c r="AQ968" s="243"/>
      <c r="AR968" s="243"/>
      <c r="AS968" s="243"/>
      <c r="AT968" s="243"/>
    </row>
    <row r="969" spans="1:46" ht="12.75" x14ac:dyDescent="0.2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3"/>
      <c r="AI969" s="243"/>
      <c r="AJ969" s="243"/>
      <c r="AK969" s="243"/>
      <c r="AL969" s="243"/>
      <c r="AM969" s="243"/>
      <c r="AN969" s="243"/>
      <c r="AO969" s="243"/>
      <c r="AP969" s="243"/>
      <c r="AQ969" s="243"/>
      <c r="AR969" s="243"/>
      <c r="AS969" s="243"/>
      <c r="AT969" s="243"/>
    </row>
    <row r="970" spans="1:46" ht="12.75" x14ac:dyDescent="0.2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3"/>
      <c r="AI970" s="243"/>
      <c r="AJ970" s="243"/>
      <c r="AK970" s="243"/>
      <c r="AL970" s="243"/>
      <c r="AM970" s="243"/>
      <c r="AN970" s="243"/>
      <c r="AO970" s="243"/>
      <c r="AP970" s="243"/>
      <c r="AQ970" s="243"/>
      <c r="AR970" s="243"/>
      <c r="AS970" s="243"/>
      <c r="AT970" s="243"/>
    </row>
    <row r="971" spans="1:46" ht="12.75" x14ac:dyDescent="0.2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  <c r="AH971" s="243"/>
      <c r="AI971" s="243"/>
      <c r="AJ971" s="243"/>
      <c r="AK971" s="243"/>
      <c r="AL971" s="243"/>
      <c r="AM971" s="243"/>
      <c r="AN971" s="243"/>
      <c r="AO971" s="243"/>
      <c r="AP971" s="243"/>
      <c r="AQ971" s="243"/>
      <c r="AR971" s="243"/>
      <c r="AS971" s="243"/>
      <c r="AT971" s="243"/>
    </row>
    <row r="972" spans="1:46" ht="12.75" x14ac:dyDescent="0.2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  <c r="AH972" s="243"/>
      <c r="AI972" s="243"/>
      <c r="AJ972" s="243"/>
      <c r="AK972" s="243"/>
      <c r="AL972" s="243"/>
      <c r="AM972" s="243"/>
      <c r="AN972" s="243"/>
      <c r="AO972" s="243"/>
      <c r="AP972" s="243"/>
      <c r="AQ972" s="243"/>
      <c r="AR972" s="243"/>
      <c r="AS972" s="243"/>
      <c r="AT972" s="243"/>
    </row>
    <row r="973" spans="1:46" ht="12.75" x14ac:dyDescent="0.2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  <c r="AH973" s="243"/>
      <c r="AI973" s="243"/>
      <c r="AJ973" s="243"/>
      <c r="AK973" s="243"/>
      <c r="AL973" s="243"/>
      <c r="AM973" s="243"/>
      <c r="AN973" s="243"/>
      <c r="AO973" s="243"/>
      <c r="AP973" s="243"/>
      <c r="AQ973" s="243"/>
      <c r="AR973" s="243"/>
      <c r="AS973" s="243"/>
      <c r="AT973" s="243"/>
    </row>
    <row r="974" spans="1:46" ht="12.75" x14ac:dyDescent="0.2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  <c r="AH974" s="243"/>
      <c r="AI974" s="243"/>
      <c r="AJ974" s="243"/>
      <c r="AK974" s="243"/>
      <c r="AL974" s="243"/>
      <c r="AM974" s="243"/>
      <c r="AN974" s="243"/>
      <c r="AO974" s="243"/>
      <c r="AP974" s="243"/>
      <c r="AQ974" s="243"/>
      <c r="AR974" s="243"/>
      <c r="AS974" s="243"/>
      <c r="AT974" s="243"/>
    </row>
    <row r="975" spans="1:46" ht="12.75" x14ac:dyDescent="0.2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  <c r="AH975" s="243"/>
      <c r="AI975" s="243"/>
      <c r="AJ975" s="243"/>
      <c r="AK975" s="243"/>
      <c r="AL975" s="243"/>
      <c r="AM975" s="243"/>
      <c r="AN975" s="243"/>
      <c r="AO975" s="243"/>
      <c r="AP975" s="243"/>
      <c r="AQ975" s="243"/>
      <c r="AR975" s="243"/>
      <c r="AS975" s="243"/>
      <c r="AT975" s="243"/>
    </row>
    <row r="976" spans="1:46" ht="12.75" x14ac:dyDescent="0.2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  <c r="AH976" s="243"/>
      <c r="AI976" s="243"/>
      <c r="AJ976" s="243"/>
      <c r="AK976" s="243"/>
      <c r="AL976" s="243"/>
      <c r="AM976" s="243"/>
      <c r="AN976" s="243"/>
      <c r="AO976" s="243"/>
      <c r="AP976" s="243"/>
      <c r="AQ976" s="243"/>
      <c r="AR976" s="243"/>
      <c r="AS976" s="243"/>
      <c r="AT976" s="243"/>
    </row>
    <row r="977" spans="1:46" ht="12.75" x14ac:dyDescent="0.2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3"/>
      <c r="AI977" s="243"/>
      <c r="AJ977" s="243"/>
      <c r="AK977" s="243"/>
      <c r="AL977" s="243"/>
      <c r="AM977" s="243"/>
      <c r="AN977" s="243"/>
      <c r="AO977" s="243"/>
      <c r="AP977" s="243"/>
      <c r="AQ977" s="243"/>
      <c r="AR977" s="243"/>
      <c r="AS977" s="243"/>
      <c r="AT977" s="243"/>
    </row>
    <row r="978" spans="1:46" ht="12.75" x14ac:dyDescent="0.2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3"/>
      <c r="AI978" s="243"/>
      <c r="AJ978" s="243"/>
      <c r="AK978" s="243"/>
      <c r="AL978" s="243"/>
      <c r="AM978" s="243"/>
      <c r="AN978" s="243"/>
      <c r="AO978" s="243"/>
      <c r="AP978" s="243"/>
      <c r="AQ978" s="243"/>
      <c r="AR978" s="243"/>
      <c r="AS978" s="243"/>
      <c r="AT978" s="243"/>
    </row>
    <row r="979" spans="1:46" ht="12.75" x14ac:dyDescent="0.2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3"/>
      <c r="AI979" s="243"/>
      <c r="AJ979" s="243"/>
      <c r="AK979" s="243"/>
      <c r="AL979" s="243"/>
      <c r="AM979" s="243"/>
      <c r="AN979" s="243"/>
      <c r="AO979" s="243"/>
      <c r="AP979" s="243"/>
      <c r="AQ979" s="243"/>
      <c r="AR979" s="243"/>
      <c r="AS979" s="243"/>
      <c r="AT979" s="243"/>
    </row>
    <row r="980" spans="1:46" ht="12.75" x14ac:dyDescent="0.2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3"/>
      <c r="AI980" s="243"/>
      <c r="AJ980" s="243"/>
      <c r="AK980" s="243"/>
      <c r="AL980" s="243"/>
      <c r="AM980" s="243"/>
      <c r="AN980" s="243"/>
      <c r="AO980" s="243"/>
      <c r="AP980" s="243"/>
      <c r="AQ980" s="243"/>
      <c r="AR980" s="243"/>
      <c r="AS980" s="243"/>
      <c r="AT980" s="243"/>
    </row>
    <row r="981" spans="1:46" ht="12.75" x14ac:dyDescent="0.2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3"/>
      <c r="AI981" s="243"/>
      <c r="AJ981" s="243"/>
      <c r="AK981" s="243"/>
      <c r="AL981" s="243"/>
      <c r="AM981" s="243"/>
      <c r="AN981" s="243"/>
      <c r="AO981" s="243"/>
      <c r="AP981" s="243"/>
      <c r="AQ981" s="243"/>
      <c r="AR981" s="243"/>
      <c r="AS981" s="243"/>
      <c r="AT981" s="243"/>
    </row>
    <row r="982" spans="1:46" ht="12.75" x14ac:dyDescent="0.2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3"/>
      <c r="AI982" s="243"/>
      <c r="AJ982" s="243"/>
      <c r="AK982" s="243"/>
      <c r="AL982" s="243"/>
      <c r="AM982" s="243"/>
      <c r="AN982" s="243"/>
      <c r="AO982" s="243"/>
      <c r="AP982" s="243"/>
      <c r="AQ982" s="243"/>
      <c r="AR982" s="243"/>
      <c r="AS982" s="243"/>
      <c r="AT982" s="243"/>
    </row>
    <row r="983" spans="1:46" ht="12.75" x14ac:dyDescent="0.2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3"/>
      <c r="AI983" s="243"/>
      <c r="AJ983" s="243"/>
      <c r="AK983" s="243"/>
      <c r="AL983" s="243"/>
      <c r="AM983" s="243"/>
      <c r="AN983" s="243"/>
      <c r="AO983" s="243"/>
      <c r="AP983" s="243"/>
      <c r="AQ983" s="243"/>
      <c r="AR983" s="243"/>
      <c r="AS983" s="243"/>
      <c r="AT983" s="243"/>
    </row>
    <row r="984" spans="1:46" ht="12.75" x14ac:dyDescent="0.2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3"/>
      <c r="AI984" s="243"/>
      <c r="AJ984" s="243"/>
      <c r="AK984" s="243"/>
      <c r="AL984" s="243"/>
      <c r="AM984" s="243"/>
      <c r="AN984" s="243"/>
      <c r="AO984" s="243"/>
      <c r="AP984" s="243"/>
      <c r="AQ984" s="243"/>
      <c r="AR984" s="243"/>
      <c r="AS984" s="243"/>
      <c r="AT984" s="243"/>
    </row>
    <row r="985" spans="1:46" ht="12.75" x14ac:dyDescent="0.2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3"/>
      <c r="AI985" s="243"/>
      <c r="AJ985" s="243"/>
      <c r="AK985" s="243"/>
      <c r="AL985" s="243"/>
      <c r="AM985" s="243"/>
      <c r="AN985" s="243"/>
      <c r="AO985" s="243"/>
      <c r="AP985" s="243"/>
      <c r="AQ985" s="243"/>
      <c r="AR985" s="243"/>
      <c r="AS985" s="243"/>
      <c r="AT985" s="243"/>
    </row>
    <row r="986" spans="1:46" ht="12.75" x14ac:dyDescent="0.2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3"/>
      <c r="AI986" s="243"/>
      <c r="AJ986" s="243"/>
      <c r="AK986" s="243"/>
      <c r="AL986" s="243"/>
      <c r="AM986" s="243"/>
      <c r="AN986" s="243"/>
      <c r="AO986" s="243"/>
      <c r="AP986" s="243"/>
      <c r="AQ986" s="243"/>
      <c r="AR986" s="243"/>
      <c r="AS986" s="243"/>
      <c r="AT986" s="243"/>
    </row>
    <row r="987" spans="1:46" ht="12.75" x14ac:dyDescent="0.2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3"/>
      <c r="AI987" s="243"/>
      <c r="AJ987" s="243"/>
      <c r="AK987" s="243"/>
      <c r="AL987" s="243"/>
      <c r="AM987" s="243"/>
      <c r="AN987" s="243"/>
      <c r="AO987" s="243"/>
      <c r="AP987" s="243"/>
      <c r="AQ987" s="243"/>
      <c r="AR987" s="243"/>
      <c r="AS987" s="243"/>
      <c r="AT987" s="243"/>
    </row>
    <row r="988" spans="1:46" ht="12.75" x14ac:dyDescent="0.2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3"/>
      <c r="AI988" s="243"/>
      <c r="AJ988" s="243"/>
      <c r="AK988" s="243"/>
      <c r="AL988" s="243"/>
      <c r="AM988" s="243"/>
      <c r="AN988" s="243"/>
      <c r="AO988" s="243"/>
      <c r="AP988" s="243"/>
      <c r="AQ988" s="243"/>
      <c r="AR988" s="243"/>
      <c r="AS988" s="243"/>
      <c r="AT988" s="243"/>
    </row>
    <row r="989" spans="1:46" ht="12.75" x14ac:dyDescent="0.2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3"/>
      <c r="AI989" s="243"/>
      <c r="AJ989" s="243"/>
      <c r="AK989" s="243"/>
      <c r="AL989" s="243"/>
      <c r="AM989" s="243"/>
      <c r="AN989" s="243"/>
      <c r="AO989" s="243"/>
      <c r="AP989" s="243"/>
      <c r="AQ989" s="243"/>
      <c r="AR989" s="243"/>
      <c r="AS989" s="243"/>
      <c r="AT989" s="243"/>
    </row>
    <row r="990" spans="1:46" ht="12.75" x14ac:dyDescent="0.2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3"/>
      <c r="AI990" s="243"/>
      <c r="AJ990" s="243"/>
      <c r="AK990" s="243"/>
      <c r="AL990" s="243"/>
      <c r="AM990" s="243"/>
      <c r="AN990" s="243"/>
      <c r="AO990" s="243"/>
      <c r="AP990" s="243"/>
      <c r="AQ990" s="243"/>
      <c r="AR990" s="243"/>
      <c r="AS990" s="243"/>
      <c r="AT990" s="243"/>
    </row>
    <row r="991" spans="1:46" ht="12.75" x14ac:dyDescent="0.2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3"/>
      <c r="AJ991" s="243"/>
      <c r="AK991" s="243"/>
      <c r="AL991" s="243"/>
      <c r="AM991" s="243"/>
      <c r="AN991" s="243"/>
      <c r="AO991" s="243"/>
      <c r="AP991" s="243"/>
      <c r="AQ991" s="243"/>
      <c r="AR991" s="243"/>
      <c r="AS991" s="243"/>
      <c r="AT991" s="243"/>
    </row>
    <row r="992" spans="1:46" ht="12.75" x14ac:dyDescent="0.2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3"/>
      <c r="AJ992" s="243"/>
      <c r="AK992" s="243"/>
      <c r="AL992" s="243"/>
      <c r="AM992" s="243"/>
      <c r="AN992" s="243"/>
      <c r="AO992" s="243"/>
      <c r="AP992" s="243"/>
      <c r="AQ992" s="243"/>
      <c r="AR992" s="243"/>
      <c r="AS992" s="243"/>
      <c r="AT992" s="243"/>
    </row>
    <row r="993" spans="1:46" ht="12.75" x14ac:dyDescent="0.2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3"/>
      <c r="AJ993" s="243"/>
      <c r="AK993" s="243"/>
      <c r="AL993" s="243"/>
      <c r="AM993" s="243"/>
      <c r="AN993" s="243"/>
      <c r="AO993" s="243"/>
      <c r="AP993" s="243"/>
      <c r="AQ993" s="243"/>
      <c r="AR993" s="243"/>
      <c r="AS993" s="243"/>
      <c r="AT993" s="243"/>
    </row>
    <row r="994" spans="1:46" ht="12.75" x14ac:dyDescent="0.2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3"/>
      <c r="AJ994" s="243"/>
      <c r="AK994" s="243"/>
      <c r="AL994" s="243"/>
      <c r="AM994" s="243"/>
      <c r="AN994" s="243"/>
      <c r="AO994" s="243"/>
      <c r="AP994" s="243"/>
      <c r="AQ994" s="243"/>
      <c r="AR994" s="243"/>
      <c r="AS994" s="243"/>
      <c r="AT994" s="243"/>
    </row>
    <row r="995" spans="1:46" ht="12.75" x14ac:dyDescent="0.2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3"/>
      <c r="AJ995" s="243"/>
      <c r="AK995" s="243"/>
      <c r="AL995" s="243"/>
      <c r="AM995" s="243"/>
      <c r="AN995" s="243"/>
      <c r="AO995" s="243"/>
      <c r="AP995" s="243"/>
      <c r="AQ995" s="243"/>
      <c r="AR995" s="243"/>
      <c r="AS995" s="243"/>
      <c r="AT995" s="243"/>
    </row>
    <row r="996" spans="1:46" ht="12.75" x14ac:dyDescent="0.2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3"/>
      <c r="AJ996" s="243"/>
      <c r="AK996" s="243"/>
      <c r="AL996" s="243"/>
      <c r="AM996" s="243"/>
      <c r="AN996" s="243"/>
      <c r="AO996" s="243"/>
      <c r="AP996" s="243"/>
      <c r="AQ996" s="243"/>
      <c r="AR996" s="243"/>
      <c r="AS996" s="243"/>
      <c r="AT996" s="243"/>
    </row>
    <row r="997" spans="1:46" ht="12.75" x14ac:dyDescent="0.2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3"/>
      <c r="AJ997" s="243"/>
      <c r="AK997" s="243"/>
      <c r="AL997" s="243"/>
      <c r="AM997" s="243"/>
      <c r="AN997" s="243"/>
      <c r="AO997" s="243"/>
      <c r="AP997" s="243"/>
      <c r="AQ997" s="243"/>
      <c r="AR997" s="243"/>
      <c r="AS997" s="243"/>
      <c r="AT997" s="243"/>
    </row>
    <row r="998" spans="1:46" ht="12.75" x14ac:dyDescent="0.2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  <c r="AA998" s="243"/>
      <c r="AB998" s="243"/>
      <c r="AC998" s="243"/>
      <c r="AD998" s="243"/>
      <c r="AE998" s="243"/>
      <c r="AF998" s="243"/>
      <c r="AG998" s="243"/>
      <c r="AH998" s="243"/>
      <c r="AI998" s="243"/>
      <c r="AJ998" s="243"/>
      <c r="AK998" s="243"/>
      <c r="AL998" s="243"/>
      <c r="AM998" s="243"/>
      <c r="AN998" s="243"/>
      <c r="AO998" s="243"/>
      <c r="AP998" s="243"/>
      <c r="AQ998" s="243"/>
      <c r="AR998" s="243"/>
      <c r="AS998" s="243"/>
      <c r="AT998" s="243"/>
    </row>
    <row r="999" spans="1:46" ht="12.75" x14ac:dyDescent="0.2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43"/>
      <c r="S999" s="243"/>
      <c r="T999" s="243"/>
      <c r="U999" s="243"/>
      <c r="V999" s="243"/>
      <c r="W999" s="243"/>
      <c r="X999" s="243"/>
      <c r="Y999" s="243"/>
      <c r="Z999" s="243"/>
      <c r="AA999" s="243"/>
      <c r="AB999" s="243"/>
      <c r="AC999" s="243"/>
      <c r="AD999" s="243"/>
      <c r="AE999" s="243"/>
      <c r="AF999" s="243"/>
      <c r="AG999" s="243"/>
      <c r="AH999" s="243"/>
      <c r="AI999" s="243"/>
      <c r="AJ999" s="243"/>
      <c r="AK999" s="243"/>
      <c r="AL999" s="243"/>
      <c r="AM999" s="243"/>
      <c r="AN999" s="243"/>
      <c r="AO999" s="243"/>
      <c r="AP999" s="243"/>
      <c r="AQ999" s="243"/>
      <c r="AR999" s="243"/>
      <c r="AS999" s="243"/>
      <c r="AT999" s="243"/>
    </row>
    <row r="1000" spans="1:46" ht="12.75" x14ac:dyDescent="0.2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  <c r="N1000" s="243"/>
      <c r="O1000" s="243"/>
      <c r="P1000" s="243"/>
      <c r="Q1000" s="243"/>
      <c r="R1000" s="243"/>
      <c r="S1000" s="243"/>
      <c r="T1000" s="243"/>
      <c r="U1000" s="243"/>
      <c r="V1000" s="243"/>
      <c r="W1000" s="243"/>
      <c r="X1000" s="243"/>
      <c r="Y1000" s="243"/>
      <c r="Z1000" s="243"/>
      <c r="AA1000" s="243"/>
      <c r="AB1000" s="243"/>
      <c r="AC1000" s="243"/>
      <c r="AD1000" s="243"/>
      <c r="AE1000" s="243"/>
      <c r="AF1000" s="243"/>
      <c r="AG1000" s="243"/>
      <c r="AH1000" s="243"/>
      <c r="AI1000" s="243"/>
      <c r="AJ1000" s="243"/>
      <c r="AK1000" s="243"/>
      <c r="AL1000" s="243"/>
      <c r="AM1000" s="243"/>
      <c r="AN1000" s="243"/>
      <c r="AO1000" s="243"/>
      <c r="AP1000" s="243"/>
      <c r="AQ1000" s="243"/>
      <c r="AR1000" s="243"/>
      <c r="AS1000" s="243"/>
      <c r="AT1000" s="243"/>
    </row>
    <row r="1001" spans="1:46" ht="12.75" x14ac:dyDescent="0.2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  <c r="N1001" s="243"/>
      <c r="O1001" s="243"/>
      <c r="P1001" s="243"/>
      <c r="Q1001" s="243"/>
      <c r="R1001" s="243"/>
      <c r="S1001" s="243"/>
      <c r="T1001" s="243"/>
      <c r="U1001" s="243"/>
      <c r="V1001" s="243"/>
      <c r="W1001" s="243"/>
      <c r="X1001" s="243"/>
      <c r="Y1001" s="243"/>
      <c r="Z1001" s="243"/>
      <c r="AA1001" s="243"/>
      <c r="AB1001" s="243"/>
      <c r="AC1001" s="243"/>
      <c r="AD1001" s="243"/>
      <c r="AE1001" s="243"/>
      <c r="AF1001" s="243"/>
      <c r="AG1001" s="243"/>
      <c r="AH1001" s="243"/>
      <c r="AI1001" s="243"/>
      <c r="AJ1001" s="243"/>
      <c r="AK1001" s="243"/>
      <c r="AL1001" s="243"/>
      <c r="AM1001" s="243"/>
      <c r="AN1001" s="243"/>
      <c r="AO1001" s="243"/>
      <c r="AP1001" s="243"/>
      <c r="AQ1001" s="243"/>
      <c r="AR1001" s="243"/>
      <c r="AS1001" s="243"/>
      <c r="AT1001" s="243"/>
    </row>
  </sheetData>
  <mergeCells count="16">
    <mergeCell ref="AH2:AJ2"/>
    <mergeCell ref="AK2:AM2"/>
    <mergeCell ref="AN2:AP2"/>
    <mergeCell ref="A1:E3"/>
    <mergeCell ref="H1:S1"/>
    <mergeCell ref="U1:AF1"/>
    <mergeCell ref="AH1:AS1"/>
    <mergeCell ref="H2:J2"/>
    <mergeCell ref="K2:M2"/>
    <mergeCell ref="N2:P2"/>
    <mergeCell ref="AQ2:AS2"/>
    <mergeCell ref="Q2:S2"/>
    <mergeCell ref="U2:W2"/>
    <mergeCell ref="X2:Z2"/>
    <mergeCell ref="AA2:AC2"/>
    <mergeCell ref="AD2:AF2"/>
  </mergeCells>
  <conditionalFormatting sqref="F1:G3 AT1:AT3 H3:AS3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FA8DC"/>
    <outlinePr summaryBelow="0" summaryRight="0"/>
  </sheetPr>
  <dimension ref="A1:AV997"/>
  <sheetViews>
    <sheetView workbookViewId="0"/>
  </sheetViews>
  <sheetFormatPr defaultColWidth="12.5703125" defaultRowHeight="15.75" customHeight="1" x14ac:dyDescent="0.2"/>
  <cols>
    <col min="2" max="2" width="21.7109375" customWidth="1"/>
    <col min="4" max="5" width="12.5703125" hidden="1"/>
    <col min="6" max="17" width="15.7109375" customWidth="1"/>
    <col min="18" max="18" width="15.7109375" hidden="1" customWidth="1"/>
    <col min="19" max="30" width="15.7109375" customWidth="1"/>
    <col min="31" max="31" width="15.7109375" hidden="1" customWidth="1"/>
    <col min="32" max="43" width="15.7109375" customWidth="1"/>
  </cols>
  <sheetData>
    <row r="1" spans="1:48" ht="12.75" x14ac:dyDescent="0.2">
      <c r="A1" s="1379" t="s">
        <v>504</v>
      </c>
      <c r="B1" s="1380"/>
      <c r="C1" s="1434"/>
      <c r="D1" s="243"/>
      <c r="E1" s="243" t="s">
        <v>505</v>
      </c>
      <c r="F1" s="1376">
        <v>2025</v>
      </c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1368"/>
      <c r="R1" s="166"/>
      <c r="S1" s="1377">
        <v>2026</v>
      </c>
      <c r="T1" s="1367"/>
      <c r="U1" s="1367"/>
      <c r="V1" s="1367"/>
      <c r="W1" s="1367"/>
      <c r="X1" s="1367"/>
      <c r="Y1" s="1367"/>
      <c r="Z1" s="1367"/>
      <c r="AA1" s="1367"/>
      <c r="AB1" s="1367"/>
      <c r="AC1" s="1367"/>
      <c r="AD1" s="1368"/>
      <c r="AE1" s="167"/>
      <c r="AF1" s="1376">
        <v>2027</v>
      </c>
      <c r="AG1" s="1367"/>
      <c r="AH1" s="1367"/>
      <c r="AI1" s="1367"/>
      <c r="AJ1" s="1367"/>
      <c r="AK1" s="1367"/>
      <c r="AL1" s="1367"/>
      <c r="AM1" s="1367"/>
      <c r="AN1" s="1367"/>
      <c r="AO1" s="1367"/>
      <c r="AP1" s="1367"/>
      <c r="AQ1" s="1368"/>
      <c r="AR1" s="495"/>
      <c r="AS1" s="496"/>
      <c r="AT1" s="496"/>
      <c r="AU1" s="496"/>
      <c r="AV1" s="1326"/>
    </row>
    <row r="2" spans="1:48" ht="12.75" x14ac:dyDescent="0.2">
      <c r="A2" s="1381"/>
      <c r="B2" s="1343"/>
      <c r="C2" s="1373"/>
      <c r="D2" s="243"/>
      <c r="E2" s="243"/>
      <c r="F2" s="1378" t="s">
        <v>118</v>
      </c>
      <c r="G2" s="1367"/>
      <c r="H2" s="1368"/>
      <c r="I2" s="1371" t="s">
        <v>119</v>
      </c>
      <c r="J2" s="1367"/>
      <c r="K2" s="1368"/>
      <c r="L2" s="1371" t="s">
        <v>120</v>
      </c>
      <c r="M2" s="1367"/>
      <c r="N2" s="1368"/>
      <c r="O2" s="1371" t="s">
        <v>121</v>
      </c>
      <c r="P2" s="1367"/>
      <c r="Q2" s="1368"/>
      <c r="R2" s="174"/>
      <c r="S2" s="1378" t="s">
        <v>118</v>
      </c>
      <c r="T2" s="1367"/>
      <c r="U2" s="1368"/>
      <c r="V2" s="1371" t="s">
        <v>119</v>
      </c>
      <c r="W2" s="1367"/>
      <c r="X2" s="1368"/>
      <c r="Y2" s="1371" t="s">
        <v>120</v>
      </c>
      <c r="Z2" s="1367"/>
      <c r="AA2" s="1368"/>
      <c r="AB2" s="1371" t="s">
        <v>121</v>
      </c>
      <c r="AC2" s="1367"/>
      <c r="AD2" s="1368"/>
      <c r="AE2" s="174"/>
      <c r="AF2" s="1378" t="s">
        <v>118</v>
      </c>
      <c r="AG2" s="1367"/>
      <c r="AH2" s="1368"/>
      <c r="AI2" s="1371" t="s">
        <v>119</v>
      </c>
      <c r="AJ2" s="1367"/>
      <c r="AK2" s="1368"/>
      <c r="AL2" s="1371" t="s">
        <v>120</v>
      </c>
      <c r="AM2" s="1367"/>
      <c r="AN2" s="1368"/>
      <c r="AO2" s="1371" t="s">
        <v>121</v>
      </c>
      <c r="AP2" s="1367"/>
      <c r="AQ2" s="1368"/>
      <c r="AR2" s="497"/>
      <c r="AS2" s="498"/>
      <c r="AT2" s="498"/>
      <c r="AU2" s="498"/>
      <c r="AV2" s="1327"/>
    </row>
    <row r="3" spans="1:48" ht="15.75" customHeight="1" x14ac:dyDescent="0.25">
      <c r="A3" s="1416"/>
      <c r="B3" s="1417"/>
      <c r="C3" s="1449"/>
      <c r="D3" s="1328"/>
      <c r="E3" s="1329">
        <v>45657</v>
      </c>
      <c r="F3" s="1051">
        <v>45688</v>
      </c>
      <c r="G3" s="1051">
        <v>45716</v>
      </c>
      <c r="H3" s="1051">
        <v>45747</v>
      </c>
      <c r="I3" s="1051">
        <v>45777</v>
      </c>
      <c r="J3" s="1051">
        <v>45808</v>
      </c>
      <c r="K3" s="1051">
        <v>45838</v>
      </c>
      <c r="L3" s="1051">
        <v>45869</v>
      </c>
      <c r="M3" s="1051">
        <v>45900</v>
      </c>
      <c r="N3" s="1051">
        <v>45930</v>
      </c>
      <c r="O3" s="1051">
        <v>45961</v>
      </c>
      <c r="P3" s="1051">
        <v>45991</v>
      </c>
      <c r="Q3" s="1051">
        <v>46022</v>
      </c>
      <c r="R3" s="1051"/>
      <c r="S3" s="1051">
        <v>46053</v>
      </c>
      <c r="T3" s="1051">
        <v>46081</v>
      </c>
      <c r="U3" s="1051">
        <v>46112</v>
      </c>
      <c r="V3" s="1051">
        <v>46142</v>
      </c>
      <c r="W3" s="1051">
        <v>46173</v>
      </c>
      <c r="X3" s="1051">
        <v>46203</v>
      </c>
      <c r="Y3" s="1051">
        <v>46234</v>
      </c>
      <c r="Z3" s="1051">
        <v>46265</v>
      </c>
      <c r="AA3" s="1051">
        <v>46295</v>
      </c>
      <c r="AB3" s="1051">
        <v>46326</v>
      </c>
      <c r="AC3" s="1051">
        <v>46356</v>
      </c>
      <c r="AD3" s="1051">
        <v>46387</v>
      </c>
      <c r="AE3" s="1051"/>
      <c r="AF3" s="1052">
        <v>46418</v>
      </c>
      <c r="AG3" s="1053">
        <v>46446</v>
      </c>
      <c r="AH3" s="1053">
        <v>46477</v>
      </c>
      <c r="AI3" s="1053">
        <v>46507</v>
      </c>
      <c r="AJ3" s="1053">
        <v>46538</v>
      </c>
      <c r="AK3" s="1053">
        <v>46568</v>
      </c>
      <c r="AL3" s="1053">
        <v>46599</v>
      </c>
      <c r="AM3" s="1053">
        <v>46630</v>
      </c>
      <c r="AN3" s="1053">
        <v>46660</v>
      </c>
      <c r="AO3" s="1053">
        <v>46691</v>
      </c>
      <c r="AP3" s="1053">
        <v>46721</v>
      </c>
      <c r="AQ3" s="1054">
        <v>46752</v>
      </c>
      <c r="AR3" s="1330"/>
      <c r="AS3" s="1331"/>
      <c r="AT3" s="1331"/>
      <c r="AU3" s="1331"/>
      <c r="AV3" s="1332"/>
    </row>
    <row r="4" spans="1:48" ht="12.75" x14ac:dyDescent="0.2">
      <c r="A4" s="317" t="s">
        <v>298</v>
      </c>
      <c r="B4" s="317" t="s">
        <v>299</v>
      </c>
      <c r="C4" s="1333" t="s">
        <v>301</v>
      </c>
      <c r="D4" s="1024"/>
      <c r="E4" s="1025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1024"/>
      <c r="AR4" s="357"/>
      <c r="AS4" s="163"/>
      <c r="AT4" s="163"/>
      <c r="AU4" s="163"/>
      <c r="AV4" s="321"/>
    </row>
    <row r="5" spans="1:48" ht="12.75" x14ac:dyDescent="0.2">
      <c r="A5" s="1004">
        <f>'Item list'!A18</f>
        <v>0</v>
      </c>
      <c r="B5" s="243">
        <f>'Item list'!B18</f>
        <v>0</v>
      </c>
      <c r="C5" s="1265">
        <f>'Item list'!D18</f>
        <v>0</v>
      </c>
      <c r="D5" s="1024"/>
      <c r="E5" s="1025"/>
      <c r="F5" s="258">
        <f t="shared" ref="F5:AQ5" si="0">SUMIFS($C$5:$C29,$A$5:$A29,"&gt;="&amp;E$3,$A$5:$A29,"&lt;"&amp;F$3)</f>
        <v>0</v>
      </c>
      <c r="G5" s="258">
        <f t="shared" si="0"/>
        <v>17195000000</v>
      </c>
      <c r="H5" s="258">
        <f t="shared" si="0"/>
        <v>168000000</v>
      </c>
      <c r="I5" s="258">
        <f t="shared" si="0"/>
        <v>0</v>
      </c>
      <c r="J5" s="258">
        <f t="shared" si="0"/>
        <v>34215000000</v>
      </c>
      <c r="K5" s="258">
        <f t="shared" si="0"/>
        <v>0</v>
      </c>
      <c r="L5" s="243">
        <f t="shared" si="0"/>
        <v>0</v>
      </c>
      <c r="M5" s="243">
        <f t="shared" si="0"/>
        <v>0</v>
      </c>
      <c r="N5" s="243">
        <f t="shared" si="0"/>
        <v>0</v>
      </c>
      <c r="O5" s="243">
        <f t="shared" si="0"/>
        <v>0</v>
      </c>
      <c r="P5" s="243">
        <f t="shared" si="0"/>
        <v>0</v>
      </c>
      <c r="Q5" s="243">
        <f t="shared" si="0"/>
        <v>0</v>
      </c>
      <c r="R5" s="243">
        <f t="shared" si="0"/>
        <v>0</v>
      </c>
      <c r="S5" s="243">
        <f t="shared" si="0"/>
        <v>0</v>
      </c>
      <c r="T5" s="243">
        <f t="shared" si="0"/>
        <v>0</v>
      </c>
      <c r="U5" s="243">
        <f t="shared" si="0"/>
        <v>0</v>
      </c>
      <c r="V5" s="243">
        <f t="shared" si="0"/>
        <v>0</v>
      </c>
      <c r="W5" s="243">
        <f t="shared" si="0"/>
        <v>0</v>
      </c>
      <c r="X5" s="243">
        <f t="shared" si="0"/>
        <v>0</v>
      </c>
      <c r="Y5" s="243">
        <f t="shared" si="0"/>
        <v>0</v>
      </c>
      <c r="Z5" s="243">
        <f t="shared" si="0"/>
        <v>0</v>
      </c>
      <c r="AA5" s="243">
        <f t="shared" si="0"/>
        <v>0</v>
      </c>
      <c r="AB5" s="243">
        <f t="shared" si="0"/>
        <v>0</v>
      </c>
      <c r="AC5" s="243">
        <f t="shared" si="0"/>
        <v>0</v>
      </c>
      <c r="AD5" s="243">
        <f t="shared" si="0"/>
        <v>0</v>
      </c>
      <c r="AE5" s="243">
        <f t="shared" si="0"/>
        <v>0</v>
      </c>
      <c r="AF5" s="243">
        <f t="shared" si="0"/>
        <v>0</v>
      </c>
      <c r="AG5" s="243">
        <f t="shared" si="0"/>
        <v>0</v>
      </c>
      <c r="AH5" s="243">
        <f t="shared" si="0"/>
        <v>0</v>
      </c>
      <c r="AI5" s="243">
        <f t="shared" si="0"/>
        <v>0</v>
      </c>
      <c r="AJ5" s="243">
        <f t="shared" si="0"/>
        <v>0</v>
      </c>
      <c r="AK5" s="243">
        <f t="shared" si="0"/>
        <v>0</v>
      </c>
      <c r="AL5" s="243">
        <f t="shared" si="0"/>
        <v>0</v>
      </c>
      <c r="AM5" s="243">
        <f t="shared" si="0"/>
        <v>0</v>
      </c>
      <c r="AN5" s="243">
        <f t="shared" si="0"/>
        <v>0</v>
      </c>
      <c r="AO5" s="243">
        <f t="shared" si="0"/>
        <v>0</v>
      </c>
      <c r="AP5" s="243">
        <f t="shared" si="0"/>
        <v>0</v>
      </c>
      <c r="AQ5" s="1024">
        <f t="shared" si="0"/>
        <v>0</v>
      </c>
      <c r="AR5" s="357"/>
      <c r="AS5" s="163"/>
      <c r="AT5" s="163"/>
      <c r="AU5" s="163"/>
      <c r="AV5" s="321"/>
    </row>
    <row r="6" spans="1:48" ht="12.75" x14ac:dyDescent="0.2">
      <c r="A6" s="1010">
        <f>'Item list'!A19</f>
        <v>45792</v>
      </c>
      <c r="B6" s="243" t="str">
        <f>'Item list'!B19</f>
        <v>6 CNC machine</v>
      </c>
      <c r="C6" s="1265">
        <f>'Item list'!D19</f>
        <v>4800000000</v>
      </c>
      <c r="D6" s="1024"/>
      <c r="E6" s="1025"/>
      <c r="AQ6" s="1334"/>
      <c r="AR6" s="783"/>
      <c r="AS6" s="784"/>
      <c r="AT6" s="784"/>
      <c r="AU6" s="784"/>
      <c r="AV6" s="820"/>
    </row>
    <row r="7" spans="1:48" ht="15.75" customHeight="1" x14ac:dyDescent="0.25">
      <c r="A7" s="1010">
        <f>'Item list'!A20</f>
        <v>45792</v>
      </c>
      <c r="B7" s="243" t="str">
        <f>'Item list'!B20</f>
        <v>3 Laser cutting machine</v>
      </c>
      <c r="C7" s="1265">
        <f>'Item list'!D20</f>
        <v>3600000000</v>
      </c>
      <c r="D7" s="1024"/>
      <c r="E7" s="1025"/>
      <c r="F7" s="1119" t="s">
        <v>506</v>
      </c>
      <c r="G7" s="258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1024"/>
      <c r="AR7" s="357"/>
      <c r="AS7" s="163"/>
      <c r="AT7" s="163"/>
      <c r="AU7" s="163"/>
      <c r="AV7" s="321"/>
    </row>
    <row r="8" spans="1:48" ht="12.75" x14ac:dyDescent="0.2">
      <c r="A8" s="1010">
        <f>'Item list'!A21</f>
        <v>45792</v>
      </c>
      <c r="B8" s="243" t="str">
        <f>'Item list'!B21</f>
        <v>6 Welding robots</v>
      </c>
      <c r="C8" s="1265">
        <f>'Item list'!D21</f>
        <v>6000000000</v>
      </c>
      <c r="D8" s="1024"/>
      <c r="E8" s="1025"/>
      <c r="F8" s="258">
        <f t="shared" ref="F8:AQ8" si="1">SUMIFS($C$32:$C35,$A$32:$A35,"&gt;="&amp;E$3,$A$32:$A35,"&lt;"&amp;F$3)+E8</f>
        <v>0</v>
      </c>
      <c r="G8" s="258">
        <f t="shared" si="1"/>
        <v>50000000</v>
      </c>
      <c r="H8" s="258">
        <f t="shared" si="1"/>
        <v>50000000</v>
      </c>
      <c r="I8" s="258">
        <f t="shared" si="1"/>
        <v>50000000</v>
      </c>
      <c r="J8" s="258">
        <f t="shared" si="1"/>
        <v>50000000</v>
      </c>
      <c r="K8" s="258">
        <f t="shared" si="1"/>
        <v>170000000</v>
      </c>
      <c r="L8" s="258">
        <f t="shared" si="1"/>
        <v>170000000</v>
      </c>
      <c r="M8" s="258">
        <f t="shared" si="1"/>
        <v>170000000</v>
      </c>
      <c r="N8" s="258">
        <f t="shared" si="1"/>
        <v>170000000</v>
      </c>
      <c r="O8" s="258">
        <f t="shared" si="1"/>
        <v>170000000</v>
      </c>
      <c r="P8" s="258">
        <f t="shared" si="1"/>
        <v>170000000</v>
      </c>
      <c r="Q8" s="258">
        <f t="shared" si="1"/>
        <v>170000000</v>
      </c>
      <c r="R8" s="258">
        <f t="shared" si="1"/>
        <v>170000000</v>
      </c>
      <c r="S8" s="258">
        <f t="shared" si="1"/>
        <v>170000000</v>
      </c>
      <c r="T8" s="258">
        <f t="shared" si="1"/>
        <v>170000000</v>
      </c>
      <c r="U8" s="258">
        <f t="shared" si="1"/>
        <v>170000000</v>
      </c>
      <c r="V8" s="258">
        <f t="shared" si="1"/>
        <v>170000000</v>
      </c>
      <c r="W8" s="258">
        <f t="shared" si="1"/>
        <v>170000000</v>
      </c>
      <c r="X8" s="258">
        <f t="shared" si="1"/>
        <v>170000000</v>
      </c>
      <c r="Y8" s="258">
        <f t="shared" si="1"/>
        <v>170000000</v>
      </c>
      <c r="Z8" s="258">
        <f t="shared" si="1"/>
        <v>170000000</v>
      </c>
      <c r="AA8" s="258">
        <f t="shared" si="1"/>
        <v>170000000</v>
      </c>
      <c r="AB8" s="258">
        <f t="shared" si="1"/>
        <v>170000000</v>
      </c>
      <c r="AC8" s="258">
        <f t="shared" si="1"/>
        <v>170000000</v>
      </c>
      <c r="AD8" s="258">
        <f t="shared" si="1"/>
        <v>170000000</v>
      </c>
      <c r="AE8" s="258">
        <f t="shared" si="1"/>
        <v>170000000</v>
      </c>
      <c r="AF8" s="258">
        <f t="shared" si="1"/>
        <v>170000000</v>
      </c>
      <c r="AG8" s="258">
        <f t="shared" si="1"/>
        <v>170000000</v>
      </c>
      <c r="AH8" s="258">
        <f t="shared" si="1"/>
        <v>170000000</v>
      </c>
      <c r="AI8" s="258">
        <f t="shared" si="1"/>
        <v>170000000</v>
      </c>
      <c r="AJ8" s="258">
        <f t="shared" si="1"/>
        <v>170000000</v>
      </c>
      <c r="AK8" s="258">
        <f t="shared" si="1"/>
        <v>170000000</v>
      </c>
      <c r="AL8" s="258">
        <f t="shared" si="1"/>
        <v>170000000</v>
      </c>
      <c r="AM8" s="258">
        <f t="shared" si="1"/>
        <v>170000000</v>
      </c>
      <c r="AN8" s="258">
        <f t="shared" si="1"/>
        <v>170000000</v>
      </c>
      <c r="AO8" s="258">
        <f t="shared" si="1"/>
        <v>170000000</v>
      </c>
      <c r="AP8" s="258">
        <f t="shared" si="1"/>
        <v>170000000</v>
      </c>
      <c r="AQ8" s="1008">
        <f t="shared" si="1"/>
        <v>170000000</v>
      </c>
      <c r="AR8" s="783"/>
      <c r="AS8" s="784"/>
      <c r="AT8" s="784"/>
      <c r="AU8" s="784"/>
      <c r="AV8" s="820"/>
    </row>
    <row r="9" spans="1:48" ht="12.75" x14ac:dyDescent="0.2">
      <c r="A9" s="1010">
        <f>'Item list'!A22</f>
        <v>45792</v>
      </c>
      <c r="B9" s="243" t="str">
        <f>'Item list'!B22</f>
        <v>3 Assembly line equipment</v>
      </c>
      <c r="C9" s="1265">
        <f>'Item list'!D22</f>
        <v>7500000000</v>
      </c>
      <c r="D9" s="1024"/>
      <c r="E9" s="1025"/>
      <c r="AQ9" s="1334"/>
      <c r="AR9" s="357"/>
      <c r="AS9" s="163"/>
      <c r="AT9" s="163"/>
      <c r="AU9" s="163"/>
      <c r="AV9" s="321"/>
    </row>
    <row r="10" spans="1:48" ht="15.75" customHeight="1" x14ac:dyDescent="0.25">
      <c r="A10" s="1010">
        <f>'Item list'!A23</f>
        <v>45792</v>
      </c>
      <c r="B10" s="243" t="str">
        <f>'Item list'!B23</f>
        <v>3 Painting booth</v>
      </c>
      <c r="C10" s="1265">
        <f>'Item list'!D23</f>
        <v>2100000000</v>
      </c>
      <c r="D10" s="1024"/>
      <c r="E10" s="1025"/>
      <c r="F10" s="1119" t="s">
        <v>507</v>
      </c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1008"/>
      <c r="AR10" s="357"/>
      <c r="AS10" s="163"/>
      <c r="AT10" s="163"/>
      <c r="AU10" s="163"/>
      <c r="AV10" s="321"/>
    </row>
    <row r="11" spans="1:48" ht="12.75" x14ac:dyDescent="0.2">
      <c r="A11" s="1010">
        <f>'Item list'!A24</f>
        <v>45792</v>
      </c>
      <c r="B11" s="243" t="str">
        <f>'Item list'!B24</f>
        <v>3 Material handling system</v>
      </c>
      <c r="C11" s="1265">
        <f>'Item list'!D24</f>
        <v>1800000000</v>
      </c>
      <c r="D11" s="1024"/>
      <c r="E11" s="1025"/>
      <c r="F11" s="258">
        <f ca="1">IFERROR(INDIRECT(ADDRESS(11, COLUMN('Dep. plan monthly {supplement}'!$H$16) + MATCH(F3, 'Dep. plan monthly {supplement}'!$H$16:$GJ$16, 0) - 1,,,"Dep. plan monthly {supplement}")),0)</f>
        <v>0</v>
      </c>
      <c r="G11" s="258">
        <f ca="1">IFERROR(INDIRECT(ADDRESS(11, COLUMN('Dep. plan monthly {supplement}'!$H$16) + MATCH(G3, 'Dep. plan monthly {supplement}'!$H$16:$GJ$16, 0) - 1,,,"Dep. plan monthly {supplement}")),0)</f>
        <v>220986301.36986303</v>
      </c>
      <c r="H11" s="258">
        <f ca="1">IFERROR(INDIRECT(ADDRESS(11, COLUMN('Dep. plan monthly {supplement}'!$H$16) + MATCH(H3, 'Dep. plan monthly {supplement}'!$H$16:$GJ$16, 0) - 1,,,"Dep. plan monthly {supplement}")),0)</f>
        <v>265839138.9432486</v>
      </c>
      <c r="I11" s="258">
        <f ca="1">IFERROR(INDIRECT(ADDRESS(11, COLUMN('Dep. plan monthly {supplement}'!$H$16) + MATCH(I3, 'Dep. plan monthly {supplement}'!$H$16:$GJ$16, 0) - 1,,,"Dep. plan monthly {supplement}")),0)</f>
        <v>262227005.87084147</v>
      </c>
      <c r="J11" s="258">
        <f ca="1">IFERROR(INDIRECT(ADDRESS(11, COLUMN('Dep. plan monthly {supplement}'!$H$16) + MATCH(J3, 'Dep. plan monthly {supplement}'!$H$16:$GJ$16, 0) - 1,,,"Dep. plan monthly {supplement}")),0)</f>
        <v>270967906.06653619</v>
      </c>
      <c r="K11" s="258">
        <f ca="1">IFERROR(INDIRECT(ADDRESS(11, COLUMN('Dep. plan monthly {supplement}'!$H$16) + MATCH(K3, 'Dep. plan monthly {supplement}'!$H$16:$GJ$16, 0) - 1,,,"Dep. plan monthly {supplement}")),0)</f>
        <v>585340508.80626237</v>
      </c>
      <c r="L11" s="258">
        <f ca="1">IFERROR(INDIRECT(ADDRESS(11, COLUMN('Dep. plan monthly {supplement}'!$H$16) + MATCH(L3, 'Dep. plan monthly {supplement}'!$H$16:$GJ$16, 0) - 1,,,"Dep. plan monthly {supplement}")),0)</f>
        <v>623961448.14090014</v>
      </c>
      <c r="M11" s="258">
        <f ca="1">IFERROR(INDIRECT(ADDRESS(11, COLUMN('Dep. plan monthly {supplement}'!$H$16) + MATCH(M3, 'Dep. plan monthly {supplement}'!$H$16:$GJ$16, 0) - 1,,,"Dep. plan monthly {supplement}")),0)</f>
        <v>623961448.14090037</v>
      </c>
      <c r="N11" s="258">
        <f ca="1">IFERROR(INDIRECT(ADDRESS(11, COLUMN('Dep. plan monthly {supplement}'!$H$16) + MATCH(N3, 'Dep. plan monthly {supplement}'!$H$16:$GJ$16, 0) - 1,,,"Dep. plan monthly {supplement}")),0)</f>
        <v>603833659.49119365</v>
      </c>
      <c r="O11" s="258">
        <f ca="1">IFERROR(INDIRECT(ADDRESS(11, COLUMN('Dep. plan monthly {supplement}'!$H$16) + MATCH(O3, 'Dep. plan monthly {supplement}'!$H$16:$GJ$16, 0) - 1,,,"Dep. plan monthly {supplement}")),0)</f>
        <v>623961448.14090014</v>
      </c>
      <c r="P11" s="258">
        <f ca="1">IFERROR(INDIRECT(ADDRESS(11, COLUMN('Dep. plan monthly {supplement}'!$H$16) + MATCH(P3, 'Dep. plan monthly {supplement}'!$H$16:$GJ$16, 0) - 1,,,"Dep. plan monthly {supplement}")),0)</f>
        <v>603833659.49119413</v>
      </c>
      <c r="Q11" s="258">
        <f ca="1">IFERROR(INDIRECT(ADDRESS(11, COLUMN('Dep. plan monthly {supplement}'!$H$16) + MATCH(Q3, 'Dep. plan monthly {supplement}'!$H$16:$GJ$16, 0) - 1,,,"Dep. plan monthly {supplement}")),0)</f>
        <v>623961448.1408999</v>
      </c>
      <c r="R11" s="258">
        <f ca="1">IFERROR(INDIRECT(ADDRESS(11, COLUMN('Dep. plan monthly {supplement}'!$H$16) + MATCH(R3, 'Dep. plan monthly {supplement}'!$H$16:$GJ$16, 0) - 1,,,"Dep. plan monthly {supplement}")),0)</f>
        <v>0</v>
      </c>
      <c r="S11" s="258">
        <f ca="1">IFERROR(INDIRECT(ADDRESS(11, COLUMN('Dep. plan monthly {supplement}'!$H$16) + MATCH(S3, 'Dep. plan monthly {supplement}'!$H$16:$GJ$16, 0) - 1,,,"Dep. plan monthly {supplement}")),0)</f>
        <v>623961448.14090037</v>
      </c>
      <c r="T11" s="258">
        <f ca="1">IFERROR(INDIRECT(ADDRESS(11, COLUMN('Dep. plan monthly {supplement}'!$H$16) + MATCH(T3, 'Dep. plan monthly {supplement}'!$H$16:$GJ$16, 0) - 1,,,"Dep. plan monthly {supplement}")),0)</f>
        <v>563578082.19178092</v>
      </c>
      <c r="U11" s="258">
        <f ca="1">IFERROR(INDIRECT(ADDRESS(11, COLUMN('Dep. plan monthly {supplement}'!$H$16) + MATCH(U3, 'Dep. plan monthly {supplement}'!$H$16:$GJ$16, 0) - 1,,,"Dep. plan monthly {supplement}")),0)</f>
        <v>623961448.14090037</v>
      </c>
      <c r="V11" s="258">
        <f ca="1">IFERROR(INDIRECT(ADDRESS(11, COLUMN('Dep. plan monthly {supplement}'!$H$16) + MATCH(V3, 'Dep. plan monthly {supplement}'!$H$16:$GJ$16, 0) - 1,,,"Dep. plan monthly {supplement}")),0)</f>
        <v>603833659.49119353</v>
      </c>
      <c r="W11" s="258">
        <f ca="1">IFERROR(INDIRECT(ADDRESS(11, COLUMN('Dep. plan monthly {supplement}'!$H$16) + MATCH(W3, 'Dep. plan monthly {supplement}'!$H$16:$GJ$16, 0) - 1,,,"Dep. plan monthly {supplement}")),0)</f>
        <v>623961448.14090025</v>
      </c>
      <c r="X11" s="258">
        <f ca="1">IFERROR(INDIRECT(ADDRESS(11, COLUMN('Dep. plan monthly {supplement}'!$H$16) + MATCH(X3, 'Dep. plan monthly {supplement}'!$H$16:$GJ$16, 0) - 1,,,"Dep. plan monthly {supplement}")),0)</f>
        <v>603833659.49119389</v>
      </c>
      <c r="Y11" s="258">
        <f ca="1">IFERROR(INDIRECT(ADDRESS(11, COLUMN('Dep. plan monthly {supplement}'!$H$16) + MATCH(Y3, 'Dep. plan monthly {supplement}'!$H$16:$GJ$16, 0) - 1,,,"Dep. plan monthly {supplement}")),0)</f>
        <v>623961448.1408999</v>
      </c>
      <c r="Z11" s="258">
        <f ca="1">IFERROR(INDIRECT(ADDRESS(11, COLUMN('Dep. plan monthly {supplement}'!$H$16) + MATCH(Z3, 'Dep. plan monthly {supplement}'!$H$16:$GJ$16, 0) - 1,,,"Dep. plan monthly {supplement}")),0)</f>
        <v>623961448.14090037</v>
      </c>
      <c r="AA11" s="258">
        <f ca="1">IFERROR(INDIRECT(ADDRESS(11, COLUMN('Dep. plan monthly {supplement}'!$H$16) + MATCH(AA3, 'Dep. plan monthly {supplement}'!$H$16:$GJ$16, 0) - 1,,,"Dep. plan monthly {supplement}")),0)</f>
        <v>603833659.49119365</v>
      </c>
      <c r="AB11" s="258">
        <f ca="1">IFERROR(INDIRECT(ADDRESS(11, COLUMN('Dep. plan monthly {supplement}'!$H$16) + MATCH(AB3, 'Dep. plan monthly {supplement}'!$H$16:$GJ$16, 0) - 1,,,"Dep. plan monthly {supplement}")),0)</f>
        <v>623961448.14090037</v>
      </c>
      <c r="AC11" s="258">
        <f ca="1">IFERROR(INDIRECT(ADDRESS(11, COLUMN('Dep. plan monthly {supplement}'!$H$16) + MATCH(AC3, 'Dep. plan monthly {supplement}'!$H$16:$GJ$16, 0) - 1,,,"Dep. plan monthly {supplement}")),0)</f>
        <v>603833659.49119353</v>
      </c>
      <c r="AD11" s="258">
        <f ca="1">IFERROR(INDIRECT(ADDRESS(11, COLUMN('Dep. plan monthly {supplement}'!$H$16) + MATCH(AD3, 'Dep. plan monthly {supplement}'!$H$16:$GJ$16, 0) - 1,,,"Dep. plan monthly {supplement}")),0)</f>
        <v>623961448.14090049</v>
      </c>
      <c r="AE11" s="258">
        <f ca="1">IFERROR(INDIRECT(ADDRESS(11, COLUMN('Dep. plan monthly {supplement}'!$H$16) + MATCH(AE3, 'Dep. plan monthly {supplement}'!$H$16:$GJ$16, 0) - 1,,,"Dep. plan monthly {supplement}")),0)</f>
        <v>0</v>
      </c>
      <c r="AF11" s="258">
        <f ca="1">IFERROR(INDIRECT(ADDRESS(11, COLUMN('Dep. plan monthly {supplement}'!$H$16) + MATCH(AF3, 'Dep. plan monthly {supplement}'!$H$16:$GJ$16, 0) - 1,,,"Dep. plan monthly {supplement}")),0)</f>
        <v>623961448.14090037</v>
      </c>
      <c r="AG11" s="258">
        <f ca="1">IFERROR(INDIRECT(ADDRESS(11, COLUMN('Dep. plan monthly {supplement}'!$H$16) + MATCH(AG3, 'Dep. plan monthly {supplement}'!$H$16:$GJ$16, 0) - 1,,,"Dep. plan monthly {supplement}")),0)</f>
        <v>563578082.19178128</v>
      </c>
      <c r="AH11" s="258">
        <f ca="1">IFERROR(INDIRECT(ADDRESS(11, COLUMN('Dep. plan monthly {supplement}'!$H$16) + MATCH(AH3, 'Dep. plan monthly {supplement}'!$H$16:$GJ$16, 0) - 1,,,"Dep. plan monthly {supplement}")),0)</f>
        <v>623961448.14090037</v>
      </c>
      <c r="AI11" s="258">
        <f ca="1">IFERROR(INDIRECT(ADDRESS(11, COLUMN('Dep. plan monthly {supplement}'!$H$16) + MATCH(AI3, 'Dep. plan monthly {supplement}'!$H$16:$GJ$16, 0) - 1,,,"Dep. plan monthly {supplement}")),0)</f>
        <v>603833659.49119353</v>
      </c>
      <c r="AJ11" s="258">
        <f ca="1">IFERROR(INDIRECT(ADDRESS(11, COLUMN('Dep. plan monthly {supplement}'!$H$16) + MATCH(AJ3, 'Dep. plan monthly {supplement}'!$H$16:$GJ$16, 0) - 1,,,"Dep. plan monthly {supplement}")),0)</f>
        <v>623961448.14090014</v>
      </c>
      <c r="AK11" s="258">
        <f ca="1">IFERROR(INDIRECT(ADDRESS(11, COLUMN('Dep. plan monthly {supplement}'!$H$16) + MATCH(AK3, 'Dep. plan monthly {supplement}'!$H$16:$GJ$16, 0) - 1,,,"Dep. plan monthly {supplement}")),0)</f>
        <v>603833659.49119401</v>
      </c>
      <c r="AL11" s="258">
        <f ca="1">IFERROR(INDIRECT(ADDRESS(11, COLUMN('Dep. plan monthly {supplement}'!$H$16) + MATCH(AL3, 'Dep. plan monthly {supplement}'!$H$16:$GJ$16, 0) - 1,,,"Dep. plan monthly {supplement}")),0)</f>
        <v>623961448.14090037</v>
      </c>
      <c r="AM11" s="258">
        <f ca="1">IFERROR(INDIRECT(ADDRESS(11, COLUMN('Dep. plan monthly {supplement}'!$H$16) + MATCH(AM3, 'Dep. plan monthly {supplement}'!$H$16:$GJ$16, 0) - 1,,,"Dep. plan monthly {supplement}")),0)</f>
        <v>623961448.14089966</v>
      </c>
      <c r="AN11" s="258">
        <f ca="1">IFERROR(INDIRECT(ADDRESS(11, COLUMN('Dep. plan monthly {supplement}'!$H$16) + MATCH(AN3, 'Dep. plan monthly {supplement}'!$H$16:$GJ$16, 0) - 1,,,"Dep. plan monthly {supplement}")),0)</f>
        <v>603833659.49119437</v>
      </c>
      <c r="AO11" s="258">
        <f ca="1">IFERROR(INDIRECT(ADDRESS(11, COLUMN('Dep. plan monthly {supplement}'!$H$16) + MATCH(AO3, 'Dep. plan monthly {supplement}'!$H$16:$GJ$16, 0) - 1,,,"Dep. plan monthly {supplement}")),0)</f>
        <v>623961448.14089942</v>
      </c>
      <c r="AP11" s="258">
        <f ca="1">IFERROR(INDIRECT(ADDRESS(11, COLUMN('Dep. plan monthly {supplement}'!$H$16) + MATCH(AP3, 'Dep. plan monthly {supplement}'!$H$16:$GJ$16, 0) - 1,,,"Dep. plan monthly {supplement}")),0)</f>
        <v>603833659.49119473</v>
      </c>
      <c r="AQ11" s="1008">
        <f ca="1">IFERROR(INDIRECT(ADDRESS(11, COLUMN('Dep. plan monthly {supplement}'!$H$16) + MATCH(AQ3, 'Dep. plan monthly {supplement}'!$H$16:$GJ$16, 0) - 1,,,"Dep. plan monthly {supplement}")),0)</f>
        <v>623961448.1408993</v>
      </c>
      <c r="AR11" s="357"/>
      <c r="AS11" s="163"/>
      <c r="AT11" s="163"/>
      <c r="AU11" s="163"/>
      <c r="AV11" s="321"/>
    </row>
    <row r="12" spans="1:48" ht="12.75" x14ac:dyDescent="0.2">
      <c r="A12" s="1010">
        <f>'Item list'!A25</f>
        <v>45708</v>
      </c>
      <c r="B12" s="243" t="str">
        <f>'Item list'!B25</f>
        <v>22 Office computers</v>
      </c>
      <c r="C12" s="1265">
        <f>'Item list'!D25</f>
        <v>440000000</v>
      </c>
      <c r="D12" s="1024"/>
      <c r="E12" s="1025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1024"/>
      <c r="AR12" s="357"/>
      <c r="AS12" s="163"/>
      <c r="AT12" s="163"/>
      <c r="AU12" s="163"/>
      <c r="AV12" s="321"/>
    </row>
    <row r="13" spans="1:48" ht="15.75" customHeight="1" x14ac:dyDescent="0.25">
      <c r="A13" s="1010">
        <f>'Item list'!A26</f>
        <v>45716</v>
      </c>
      <c r="B13" s="243" t="str">
        <f>'Item list'!B26</f>
        <v>3 Design software</v>
      </c>
      <c r="C13" s="1265">
        <f>'Item list'!D26</f>
        <v>60000000</v>
      </c>
      <c r="D13" s="1024"/>
      <c r="E13" s="1025"/>
      <c r="F13" s="1119" t="s">
        <v>508</v>
      </c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1024"/>
      <c r="AR13" s="357"/>
      <c r="AS13" s="163"/>
      <c r="AT13" s="163"/>
      <c r="AU13" s="163"/>
      <c r="AV13" s="321"/>
    </row>
    <row r="14" spans="1:48" ht="12.75" x14ac:dyDescent="0.2">
      <c r="A14" s="1004">
        <f>'Item list'!A27</f>
        <v>45708</v>
      </c>
      <c r="B14" s="243" t="str">
        <f>'Item list'!B27</f>
        <v>40 Desks &amp; Chairs</v>
      </c>
      <c r="C14" s="1265">
        <f>'Item list'!D27</f>
        <v>200000000</v>
      </c>
      <c r="D14" s="1024"/>
      <c r="E14" s="1025"/>
      <c r="F14" s="258">
        <f t="shared" ref="F14:AQ14" si="2">SUMIFS($C$38:$C65,$A$38:$A65,"&gt;="&amp;E$3,$A$38:$A65,"&lt;"&amp;F$3)</f>
        <v>0</v>
      </c>
      <c r="G14" s="258">
        <f t="shared" si="2"/>
        <v>0</v>
      </c>
      <c r="H14" s="258">
        <f t="shared" si="2"/>
        <v>8500000</v>
      </c>
      <c r="I14" s="258">
        <f t="shared" si="2"/>
        <v>19000000</v>
      </c>
      <c r="J14" s="258">
        <f t="shared" si="2"/>
        <v>7600000</v>
      </c>
      <c r="K14" s="258">
        <f t="shared" si="2"/>
        <v>0</v>
      </c>
      <c r="L14" s="258">
        <f t="shared" si="2"/>
        <v>10200000</v>
      </c>
      <c r="M14" s="258">
        <f t="shared" si="2"/>
        <v>0</v>
      </c>
      <c r="N14" s="258">
        <f t="shared" si="2"/>
        <v>0</v>
      </c>
      <c r="O14" s="258">
        <f t="shared" si="2"/>
        <v>0</v>
      </c>
      <c r="P14" s="258">
        <f t="shared" si="2"/>
        <v>0</v>
      </c>
      <c r="Q14" s="258">
        <f t="shared" si="2"/>
        <v>0</v>
      </c>
      <c r="R14" s="258">
        <f t="shared" si="2"/>
        <v>0</v>
      </c>
      <c r="S14" s="258">
        <f t="shared" si="2"/>
        <v>0</v>
      </c>
      <c r="T14" s="258">
        <f t="shared" si="2"/>
        <v>5500000</v>
      </c>
      <c r="U14" s="258">
        <f t="shared" si="2"/>
        <v>0</v>
      </c>
      <c r="V14" s="258">
        <f t="shared" si="2"/>
        <v>0</v>
      </c>
      <c r="W14" s="258">
        <f t="shared" si="2"/>
        <v>0</v>
      </c>
      <c r="X14" s="258">
        <f t="shared" si="2"/>
        <v>0</v>
      </c>
      <c r="Y14" s="258">
        <f t="shared" si="2"/>
        <v>0</v>
      </c>
      <c r="Z14" s="258">
        <f t="shared" si="2"/>
        <v>0</v>
      </c>
      <c r="AA14" s="258">
        <f t="shared" si="2"/>
        <v>0</v>
      </c>
      <c r="AB14" s="258">
        <f t="shared" si="2"/>
        <v>0</v>
      </c>
      <c r="AC14" s="258">
        <f t="shared" si="2"/>
        <v>0</v>
      </c>
      <c r="AD14" s="258">
        <f t="shared" si="2"/>
        <v>4000000</v>
      </c>
      <c r="AE14" s="258">
        <f t="shared" si="2"/>
        <v>0</v>
      </c>
      <c r="AF14" s="258">
        <f t="shared" si="2"/>
        <v>0</v>
      </c>
      <c r="AG14" s="258">
        <f t="shared" si="2"/>
        <v>0</v>
      </c>
      <c r="AH14" s="258">
        <f t="shared" si="2"/>
        <v>0</v>
      </c>
      <c r="AI14" s="258">
        <f t="shared" si="2"/>
        <v>0</v>
      </c>
      <c r="AJ14" s="258">
        <f t="shared" si="2"/>
        <v>0</v>
      </c>
      <c r="AK14" s="258">
        <f t="shared" si="2"/>
        <v>0</v>
      </c>
      <c r="AL14" s="258">
        <f t="shared" si="2"/>
        <v>0</v>
      </c>
      <c r="AM14" s="258">
        <f t="shared" si="2"/>
        <v>0</v>
      </c>
      <c r="AN14" s="258">
        <f t="shared" si="2"/>
        <v>0</v>
      </c>
      <c r="AO14" s="258">
        <f t="shared" si="2"/>
        <v>0</v>
      </c>
      <c r="AP14" s="258">
        <f t="shared" si="2"/>
        <v>0</v>
      </c>
      <c r="AQ14" s="1008">
        <f t="shared" si="2"/>
        <v>0</v>
      </c>
      <c r="AR14" s="357"/>
      <c r="AS14" s="163"/>
      <c r="AT14" s="163"/>
      <c r="AU14" s="163"/>
      <c r="AV14" s="321"/>
    </row>
    <row r="15" spans="1:48" ht="12.75" x14ac:dyDescent="0.2">
      <c r="A15" s="1004">
        <f>'Item list'!A28</f>
        <v>45708</v>
      </c>
      <c r="B15" s="243" t="str">
        <f>'Item list'!B28</f>
        <v>10 Filling cabinets</v>
      </c>
      <c r="C15" s="1265">
        <f>'Item list'!D28</f>
        <v>30000000</v>
      </c>
      <c r="D15" s="1024"/>
      <c r="E15" s="1025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1024"/>
      <c r="AR15" s="357"/>
      <c r="AS15" s="163"/>
      <c r="AT15" s="163"/>
      <c r="AU15" s="163"/>
      <c r="AV15" s="321"/>
    </row>
    <row r="16" spans="1:48" ht="12.75" x14ac:dyDescent="0.2">
      <c r="A16" s="1004">
        <f>'Item list'!A29</f>
        <v>45708</v>
      </c>
      <c r="B16" s="243" t="str">
        <f>'Item list'!B29</f>
        <v>Air conditioning system</v>
      </c>
      <c r="C16" s="1265">
        <f>'Item list'!D29</f>
        <v>850000000</v>
      </c>
      <c r="D16" s="1024"/>
      <c r="E16" s="1025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1024"/>
      <c r="AR16" s="357"/>
      <c r="AS16" s="163"/>
      <c r="AT16" s="163"/>
      <c r="AU16" s="163"/>
      <c r="AV16" s="321"/>
    </row>
    <row r="17" spans="1:48" ht="12.75" x14ac:dyDescent="0.2">
      <c r="A17" s="1004">
        <f>'Item list'!A30</f>
        <v>45802</v>
      </c>
      <c r="B17" s="243" t="str">
        <f>'Item list'!B30</f>
        <v>12 Delivery vans</v>
      </c>
      <c r="C17" s="1265">
        <f>'Item list'!D30</f>
        <v>6000000000</v>
      </c>
      <c r="D17" s="1024"/>
      <c r="E17" s="1025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1024"/>
      <c r="AR17" s="357"/>
      <c r="AS17" s="163"/>
      <c r="AT17" s="163"/>
      <c r="AU17" s="163"/>
      <c r="AV17" s="321"/>
    </row>
    <row r="18" spans="1:48" ht="12.75" x14ac:dyDescent="0.2">
      <c r="A18" s="1004">
        <f>'Item list'!A31</f>
        <v>45713</v>
      </c>
      <c r="B18" s="243" t="str">
        <f>'Item list'!B31</f>
        <v>6 Company cars</v>
      </c>
      <c r="C18" s="1265">
        <f>'Item list'!D31</f>
        <v>6300000000</v>
      </c>
      <c r="D18" s="1024"/>
      <c r="E18" s="1025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1024"/>
      <c r="AR18" s="357"/>
      <c r="AS18" s="163"/>
      <c r="AT18" s="163"/>
      <c r="AU18" s="163"/>
      <c r="AV18" s="321"/>
    </row>
    <row r="19" spans="1:48" ht="12.75" x14ac:dyDescent="0.2">
      <c r="A19" s="1010">
        <f>'Item list'!A32</f>
        <v>45792</v>
      </c>
      <c r="B19" s="243" t="str">
        <f>'Item list'!B32</f>
        <v>6 Testing &amp; Quality Systems</v>
      </c>
      <c r="C19" s="1265">
        <f>'Item list'!D32</f>
        <v>1200000000</v>
      </c>
      <c r="D19" s="1024"/>
      <c r="E19" s="1025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1024"/>
      <c r="AR19" s="357"/>
      <c r="AS19" s="163"/>
      <c r="AT19" s="163"/>
      <c r="AU19" s="163"/>
      <c r="AV19" s="321"/>
    </row>
    <row r="20" spans="1:48" ht="12.75" x14ac:dyDescent="0.2">
      <c r="A20" s="1004">
        <f>'Item list'!A33</f>
        <v>45689</v>
      </c>
      <c r="B20" s="243" t="str">
        <f>'Item list'!B33</f>
        <v>Factory lease (3,300 m²)</v>
      </c>
      <c r="C20" s="1265">
        <f>'Item list'!D33</f>
        <v>8640000000</v>
      </c>
      <c r="D20" s="1024"/>
      <c r="E20" s="1025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1024"/>
      <c r="AR20" s="357"/>
      <c r="AS20" s="163"/>
      <c r="AT20" s="163"/>
      <c r="AU20" s="163"/>
      <c r="AV20" s="321"/>
    </row>
    <row r="21" spans="1:48" ht="12.75" x14ac:dyDescent="0.2">
      <c r="A21" s="1004">
        <f>'Item list'!A34</f>
        <v>45708</v>
      </c>
      <c r="B21" s="243" t="str">
        <f>'Item list'!B34</f>
        <v>Lighting system</v>
      </c>
      <c r="C21" s="1265">
        <f>'Item list'!D34</f>
        <v>150000000</v>
      </c>
      <c r="D21" s="1024"/>
      <c r="E21" s="1025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1024"/>
      <c r="AR21" s="357"/>
      <c r="AS21" s="163"/>
      <c r="AT21" s="163"/>
      <c r="AU21" s="163"/>
      <c r="AV21" s="321"/>
    </row>
    <row r="22" spans="1:48" ht="12.75" x14ac:dyDescent="0.2">
      <c r="A22" s="1004">
        <f>'Item list'!A35</f>
        <v>45708</v>
      </c>
      <c r="B22" s="243" t="str">
        <f>'Item list'!B35</f>
        <v>Electrical system</v>
      </c>
      <c r="C22" s="1265">
        <f>'Item list'!D35</f>
        <v>150000000</v>
      </c>
      <c r="D22" s="1024"/>
      <c r="E22" s="1025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1024"/>
      <c r="AR22" s="357"/>
      <c r="AS22" s="163"/>
      <c r="AT22" s="163"/>
      <c r="AU22" s="163"/>
      <c r="AV22" s="321"/>
    </row>
    <row r="23" spans="1:48" ht="12.75" x14ac:dyDescent="0.2">
      <c r="A23" s="1004">
        <f>'Item list'!A36</f>
        <v>45708</v>
      </c>
      <c r="B23" s="243" t="str">
        <f>'Item list'!B36</f>
        <v>Security alarm system (CCTV cameras)</v>
      </c>
      <c r="C23" s="1265">
        <f>'Item list'!D36</f>
        <v>90000000</v>
      </c>
      <c r="D23" s="1024"/>
      <c r="E23" s="1025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1024"/>
      <c r="AR23" s="357"/>
      <c r="AS23" s="163"/>
      <c r="AT23" s="163"/>
      <c r="AU23" s="163"/>
      <c r="AV23" s="321"/>
    </row>
    <row r="24" spans="1:48" ht="12.75" x14ac:dyDescent="0.2">
      <c r="A24" s="1004">
        <f>'Item list'!A37</f>
        <v>45713</v>
      </c>
      <c r="B24" s="243" t="str">
        <f>'Item list'!B37</f>
        <v xml:space="preserve">Printer &amp; Scanner (Multi-function)        </v>
      </c>
      <c r="C24" s="1265">
        <f>'Item list'!D37</f>
        <v>35000000</v>
      </c>
      <c r="D24" s="1024"/>
      <c r="E24" s="1025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1024"/>
      <c r="AR24" s="357"/>
      <c r="AS24" s="163"/>
      <c r="AT24" s="163"/>
      <c r="AU24" s="163"/>
      <c r="AV24" s="321"/>
    </row>
    <row r="25" spans="1:48" ht="12.75" x14ac:dyDescent="0.2">
      <c r="A25" s="1004">
        <f>'Item list'!A38</f>
        <v>45717</v>
      </c>
      <c r="B25" s="243" t="str">
        <f>'Item list'!B38</f>
        <v xml:space="preserve">Server &amp; Networking equipment	</v>
      </c>
      <c r="C25" s="1265">
        <f>'Item list'!D38</f>
        <v>108000000</v>
      </c>
      <c r="D25" s="1024"/>
      <c r="E25" s="1025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1024"/>
      <c r="AR25" s="357"/>
      <c r="AS25" s="163"/>
      <c r="AT25" s="163"/>
      <c r="AU25" s="163"/>
      <c r="AV25" s="321"/>
    </row>
    <row r="26" spans="1:48" ht="12.75" x14ac:dyDescent="0.2">
      <c r="A26" s="1004">
        <f>'Item list'!A39</f>
        <v>45802</v>
      </c>
      <c r="B26" s="243" t="str">
        <f>'Item list'!B39</f>
        <v>2 Point of Sale (POS) system</v>
      </c>
      <c r="C26" s="1265">
        <f>'Item list'!D39</f>
        <v>15000000</v>
      </c>
      <c r="D26" s="1024"/>
      <c r="E26" s="1025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1024"/>
      <c r="AR26" s="357"/>
      <c r="AS26" s="163"/>
      <c r="AT26" s="163"/>
      <c r="AU26" s="163"/>
      <c r="AV26" s="321"/>
    </row>
    <row r="27" spans="1:48" ht="12.75" x14ac:dyDescent="0.2">
      <c r="A27" s="1004">
        <f>'Item list'!A40</f>
        <v>45708</v>
      </c>
      <c r="B27" s="243" t="str">
        <f>'Item list'!B40</f>
        <v>Ventilation system</v>
      </c>
      <c r="C27" s="1265">
        <f>'Item list'!D40</f>
        <v>300000000</v>
      </c>
      <c r="D27" s="1024"/>
      <c r="E27" s="1025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1024"/>
      <c r="AR27" s="357"/>
      <c r="AS27" s="163"/>
      <c r="AT27" s="163"/>
      <c r="AU27" s="163"/>
      <c r="AV27" s="321"/>
    </row>
    <row r="28" spans="1:48" ht="12.75" x14ac:dyDescent="0.2">
      <c r="A28" s="1004">
        <f>'Item list'!A41</f>
        <v>45703</v>
      </c>
      <c r="B28" s="243" t="str">
        <f>'Item list'!B41</f>
        <v>Signage</v>
      </c>
      <c r="C28" s="1265">
        <f>'Item list'!D41</f>
        <v>10000000</v>
      </c>
      <c r="D28" s="1024"/>
      <c r="E28" s="1025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1024"/>
      <c r="AR28" s="357"/>
      <c r="AS28" s="163"/>
      <c r="AT28" s="163"/>
      <c r="AU28" s="163"/>
      <c r="AV28" s="321"/>
    </row>
    <row r="29" spans="1:48" ht="12.75" x14ac:dyDescent="0.2">
      <c r="A29" s="1004">
        <f>'Item list'!A42</f>
        <v>45792</v>
      </c>
      <c r="B29" s="243" t="str">
        <f>'Item list'!B42</f>
        <v>Warehouse forklifts</v>
      </c>
      <c r="C29" s="1265">
        <f>'Item list'!D42</f>
        <v>1200000000</v>
      </c>
      <c r="D29" s="1024"/>
      <c r="E29" s="1025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1024"/>
      <c r="AR29" s="357"/>
      <c r="AS29" s="163"/>
      <c r="AT29" s="163"/>
      <c r="AU29" s="163"/>
      <c r="AV29" s="321"/>
    </row>
    <row r="30" spans="1:48" ht="12.75" x14ac:dyDescent="0.2">
      <c r="A30" s="243">
        <f>'Item list'!A43</f>
        <v>0</v>
      </c>
      <c r="B30" s="243">
        <f>'Item list'!B43</f>
        <v>0</v>
      </c>
      <c r="C30" s="1265">
        <f>'Item list'!D43</f>
        <v>0</v>
      </c>
      <c r="D30" s="1024"/>
      <c r="E30" s="1025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1024"/>
      <c r="AR30" s="357"/>
      <c r="AS30" s="163"/>
      <c r="AT30" s="163"/>
      <c r="AU30" s="163"/>
      <c r="AV30" s="321"/>
    </row>
    <row r="31" spans="1:48" ht="12.75" x14ac:dyDescent="0.2">
      <c r="A31" s="243">
        <f>'Item list'!A44</f>
        <v>0</v>
      </c>
      <c r="B31" s="243">
        <f>'Item list'!B44</f>
        <v>0</v>
      </c>
      <c r="C31" s="1265">
        <f>'Item list'!D44</f>
        <v>0</v>
      </c>
      <c r="D31" s="1024"/>
      <c r="E31" s="1025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1024"/>
      <c r="AR31" s="357"/>
      <c r="AS31" s="163"/>
      <c r="AT31" s="163"/>
      <c r="AU31" s="163"/>
      <c r="AV31" s="321"/>
    </row>
    <row r="32" spans="1:48" ht="12.75" x14ac:dyDescent="0.2">
      <c r="A32" s="243"/>
      <c r="B32" s="243"/>
      <c r="C32" s="1024"/>
      <c r="D32" s="1024"/>
      <c r="E32" s="1025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1024"/>
      <c r="AR32" s="357"/>
      <c r="AS32" s="163"/>
      <c r="AT32" s="163"/>
      <c r="AU32" s="163"/>
      <c r="AV32" s="321"/>
    </row>
    <row r="33" spans="1:48" ht="12.75" x14ac:dyDescent="0.2">
      <c r="A33" s="1010">
        <f>Parameter!D76</f>
        <v>45689</v>
      </c>
      <c r="B33" s="243" t="str">
        <f>Parameter!A76</f>
        <v>Office</v>
      </c>
      <c r="C33" s="1008">
        <f>Parameter!B76</f>
        <v>50000000</v>
      </c>
      <c r="D33" s="1024"/>
      <c r="E33" s="1025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1024"/>
      <c r="AR33" s="357"/>
      <c r="AS33" s="163"/>
      <c r="AT33" s="163"/>
      <c r="AU33" s="163"/>
      <c r="AV33" s="321"/>
    </row>
    <row r="34" spans="1:48" ht="12.75" x14ac:dyDescent="0.2">
      <c r="A34" s="1010">
        <f>Parameter!D77</f>
        <v>45809</v>
      </c>
      <c r="B34" s="243" t="str">
        <f>Parameter!A77</f>
        <v>Store</v>
      </c>
      <c r="C34" s="1008">
        <f>Parameter!B77</f>
        <v>120000000</v>
      </c>
      <c r="D34" s="1024"/>
      <c r="E34" s="1025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1024"/>
      <c r="AR34" s="357"/>
      <c r="AS34" s="163"/>
      <c r="AT34" s="163"/>
      <c r="AU34" s="163"/>
      <c r="AV34" s="321"/>
    </row>
    <row r="35" spans="1:48" ht="12.75" x14ac:dyDescent="0.2">
      <c r="A35" s="243"/>
      <c r="B35" s="243">
        <f>'Item list'!B48</f>
        <v>0</v>
      </c>
      <c r="C35" s="1265">
        <f>'Item list'!D48</f>
        <v>0</v>
      </c>
      <c r="D35" s="1024"/>
      <c r="E35" s="1025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1024"/>
      <c r="AR35" s="357"/>
      <c r="AS35" s="163"/>
      <c r="AT35" s="163"/>
      <c r="AU35" s="163"/>
      <c r="AV35" s="321"/>
    </row>
    <row r="36" spans="1:48" ht="12.75" x14ac:dyDescent="0.2">
      <c r="A36" s="243">
        <f>Parameter!D78</f>
        <v>0</v>
      </c>
      <c r="B36" s="243">
        <f>'Item list'!B49</f>
        <v>0</v>
      </c>
      <c r="C36" s="1265">
        <f>'Item list'!D49</f>
        <v>0</v>
      </c>
      <c r="D36" s="1024"/>
      <c r="E36" s="1025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1024"/>
      <c r="AR36" s="357"/>
      <c r="AS36" s="163"/>
      <c r="AT36" s="163"/>
      <c r="AU36" s="163"/>
      <c r="AV36" s="321"/>
    </row>
    <row r="37" spans="1:48" ht="12.75" x14ac:dyDescent="0.2">
      <c r="B37" s="243">
        <f>'Item list'!B50</f>
        <v>0</v>
      </c>
      <c r="C37" s="1265">
        <f>'Item list'!D50</f>
        <v>0</v>
      </c>
      <c r="D37" s="1024"/>
      <c r="E37" s="1025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1024"/>
      <c r="AR37" s="357"/>
      <c r="AS37" s="163"/>
      <c r="AT37" s="163"/>
      <c r="AU37" s="163"/>
      <c r="AV37" s="321"/>
    </row>
    <row r="38" spans="1:48" ht="12.75" x14ac:dyDescent="0.2">
      <c r="A38" s="1004">
        <f>'Salaries and wages'!I10</f>
        <v>45733</v>
      </c>
      <c r="B38" s="243" t="str">
        <f>'Salaries and wages'!C10</f>
        <v>HR Manager</v>
      </c>
      <c r="C38" s="1008">
        <f>'Salaries and wages'!H10*10^6*'Salaries and wages'!D10</f>
        <v>1000000</v>
      </c>
      <c r="D38" s="1024"/>
      <c r="E38" s="1025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1024"/>
      <c r="AR38" s="357"/>
      <c r="AS38" s="163"/>
      <c r="AT38" s="163"/>
      <c r="AU38" s="163"/>
      <c r="AV38" s="321"/>
    </row>
    <row r="39" spans="1:48" ht="12.75" x14ac:dyDescent="0.2">
      <c r="A39" s="1004">
        <f>'Salaries and wages'!I11</f>
        <v>45733</v>
      </c>
      <c r="B39" s="243" t="str">
        <f>'Salaries and wages'!C11</f>
        <v>Operations Manager</v>
      </c>
      <c r="C39" s="1008">
        <f>'Salaries and wages'!H11*10^6*'Salaries and wages'!D11</f>
        <v>1000000</v>
      </c>
      <c r="D39" s="1024"/>
      <c r="E39" s="1025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1024"/>
      <c r="AR39" s="357"/>
      <c r="AS39" s="163"/>
      <c r="AT39" s="163"/>
      <c r="AU39" s="163"/>
      <c r="AV39" s="321"/>
    </row>
    <row r="40" spans="1:48" ht="12.75" x14ac:dyDescent="0.2">
      <c r="A40" s="1004">
        <f>'Salaries and wages'!I12</f>
        <v>45733</v>
      </c>
      <c r="B40" s="243" t="str">
        <f>'Salaries and wages'!C12</f>
        <v>Finance Manager</v>
      </c>
      <c r="C40" s="1008">
        <f>'Salaries and wages'!H12*10^6*'Salaries and wages'!D12</f>
        <v>1000000</v>
      </c>
      <c r="D40" s="1024"/>
      <c r="E40" s="1025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1024"/>
      <c r="AR40" s="357"/>
      <c r="AS40" s="163"/>
      <c r="AT40" s="163"/>
      <c r="AU40" s="163"/>
      <c r="AV40" s="321"/>
    </row>
    <row r="41" spans="1:48" ht="12.75" x14ac:dyDescent="0.2">
      <c r="A41" s="1004">
        <f>'Salaries and wages'!I13</f>
        <v>45733</v>
      </c>
      <c r="B41" s="243" t="str">
        <f>'Salaries and wages'!C13</f>
        <v>Accounting Manager</v>
      </c>
      <c r="C41" s="1008">
        <f>'Salaries and wages'!H13*10^6*'Salaries and wages'!D13</f>
        <v>1000000</v>
      </c>
      <c r="D41" s="1024"/>
      <c r="E41" s="1025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1024"/>
      <c r="AR41" s="357"/>
      <c r="AS41" s="163"/>
      <c r="AT41" s="163"/>
      <c r="AU41" s="163"/>
      <c r="AV41" s="321"/>
    </row>
    <row r="42" spans="1:48" ht="12.75" x14ac:dyDescent="0.2">
      <c r="A42" s="1004">
        <f>'Salaries and wages'!I14</f>
        <v>45733</v>
      </c>
      <c r="B42" s="243" t="str">
        <f>'Salaries and wages'!C14</f>
        <v>Logistics Manager</v>
      </c>
      <c r="C42" s="1008">
        <f>'Salaries and wages'!H14*10^6*'Salaries and wages'!D14</f>
        <v>1000000</v>
      </c>
      <c r="D42" s="1024"/>
      <c r="E42" s="1025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1024"/>
      <c r="AR42" s="357"/>
      <c r="AS42" s="163"/>
      <c r="AT42" s="163"/>
      <c r="AU42" s="163"/>
      <c r="AV42" s="321"/>
    </row>
    <row r="43" spans="1:48" ht="12.75" x14ac:dyDescent="0.2">
      <c r="A43" s="1004">
        <f>'Salaries and wages'!I15</f>
        <v>45733</v>
      </c>
      <c r="B43" s="243" t="str">
        <f>'Salaries and wages'!C15</f>
        <v>Product Designer</v>
      </c>
      <c r="C43" s="1008">
        <f>'Salaries and wages'!H15*10^6*'Salaries and wages'!D15</f>
        <v>1500000</v>
      </c>
      <c r="D43" s="1024"/>
      <c r="E43" s="1025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1024"/>
      <c r="AR43" s="357"/>
      <c r="AS43" s="163"/>
      <c r="AT43" s="163"/>
      <c r="AU43" s="163"/>
      <c r="AV43" s="321"/>
    </row>
    <row r="44" spans="1:48" ht="12.75" x14ac:dyDescent="0.2">
      <c r="A44" s="1004">
        <f>'Salaries and wages'!I16</f>
        <v>45733</v>
      </c>
      <c r="B44" s="243" t="str">
        <f>'Salaries and wages'!C16</f>
        <v>Project Director</v>
      </c>
      <c r="C44" s="1008">
        <f>'Salaries and wages'!H16*10^6*'Salaries and wages'!D16</f>
        <v>2000000</v>
      </c>
      <c r="D44" s="1024"/>
      <c r="E44" s="1025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1024"/>
      <c r="AR44" s="357"/>
      <c r="AS44" s="163"/>
      <c r="AT44" s="163"/>
      <c r="AU44" s="163"/>
      <c r="AV44" s="321"/>
    </row>
    <row r="45" spans="1:48" ht="12.75" x14ac:dyDescent="0.2">
      <c r="A45" s="1004">
        <f>'Salaries and wages'!I17</f>
        <v>45749</v>
      </c>
      <c r="B45" s="243" t="str">
        <f>'Salaries and wages'!C17</f>
        <v>Production Staff</v>
      </c>
      <c r="C45" s="1008">
        <f>'Salaries and wages'!H17*10^6*'Salaries and wages'!D17</f>
        <v>16000000</v>
      </c>
      <c r="D45" s="1024"/>
      <c r="E45" s="1025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1024"/>
      <c r="AR45" s="357"/>
      <c r="AS45" s="163"/>
      <c r="AT45" s="163"/>
      <c r="AU45" s="163"/>
      <c r="AV45" s="321"/>
    </row>
    <row r="46" spans="1:48" ht="12.75" x14ac:dyDescent="0.2">
      <c r="A46" s="1004">
        <f>'Salaries and wages'!I18</f>
        <v>45749</v>
      </c>
      <c r="B46" s="243" t="str">
        <f>'Salaries and wages'!C18</f>
        <v>Security Staff</v>
      </c>
      <c r="C46" s="1008">
        <f>'Salaries and wages'!H18*10^6*'Salaries and wages'!D18</f>
        <v>0</v>
      </c>
      <c r="D46" s="1024"/>
      <c r="E46" s="1025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1024"/>
      <c r="AR46" s="357"/>
      <c r="AS46" s="163"/>
      <c r="AT46" s="163"/>
      <c r="AU46" s="163"/>
      <c r="AV46" s="321"/>
    </row>
    <row r="47" spans="1:48" ht="12.75" x14ac:dyDescent="0.2">
      <c r="A47" s="1004">
        <f>'Salaries and wages'!I19</f>
        <v>45762</v>
      </c>
      <c r="B47" s="243" t="str">
        <f>'Salaries and wages'!C19</f>
        <v>Sales Manager</v>
      </c>
      <c r="C47" s="1008">
        <f>'Salaries and wages'!H19*10^6*'Salaries and wages'!D19</f>
        <v>1000000</v>
      </c>
      <c r="D47" s="1024"/>
      <c r="E47" s="1025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1024"/>
      <c r="AR47" s="357"/>
      <c r="AS47" s="163"/>
      <c r="AT47" s="163"/>
      <c r="AU47" s="163"/>
      <c r="AV47" s="321"/>
    </row>
    <row r="48" spans="1:48" ht="12.75" x14ac:dyDescent="0.2">
      <c r="A48" s="1004">
        <f>'Salaries and wages'!I20</f>
        <v>45762</v>
      </c>
      <c r="B48" s="243" t="str">
        <f>'Salaries and wages'!C20</f>
        <v>Marketing Manager</v>
      </c>
      <c r="C48" s="1008">
        <f>'Salaries and wages'!H20*10^6*'Salaries and wages'!D20</f>
        <v>1000000</v>
      </c>
      <c r="D48" s="1024"/>
      <c r="E48" s="1025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1024"/>
      <c r="AR48" s="357"/>
      <c r="AS48" s="163"/>
      <c r="AT48" s="163"/>
      <c r="AU48" s="163"/>
      <c r="AV48" s="321"/>
    </row>
    <row r="49" spans="1:48" ht="12.75" x14ac:dyDescent="0.2">
      <c r="A49" s="1004">
        <f>'Salaries and wages'!I21</f>
        <v>45762</v>
      </c>
      <c r="B49" s="243" t="str">
        <f>'Salaries and wages'!C21</f>
        <v>PR Manager</v>
      </c>
      <c r="C49" s="1008">
        <f>'Salaries and wages'!H21*10^6*'Salaries and wages'!D21</f>
        <v>1000000</v>
      </c>
      <c r="D49" s="1024"/>
      <c r="E49" s="1025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1024"/>
      <c r="AR49" s="357"/>
      <c r="AS49" s="163"/>
      <c r="AT49" s="163"/>
      <c r="AU49" s="163"/>
      <c r="AV49" s="321"/>
    </row>
    <row r="50" spans="1:48" ht="12.75" x14ac:dyDescent="0.2">
      <c r="A50" s="1004">
        <f>'Salaries and wages'!I22</f>
        <v>45779</v>
      </c>
      <c r="B50" s="243" t="str">
        <f>'Salaries and wages'!C22</f>
        <v>HR Staff</v>
      </c>
      <c r="C50" s="1008">
        <f>'Salaries and wages'!H22*10^6*'Salaries and wages'!D22</f>
        <v>1000000</v>
      </c>
      <c r="D50" s="1024"/>
      <c r="E50" s="1025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1024"/>
      <c r="AR50" s="357"/>
      <c r="AS50" s="163"/>
      <c r="AT50" s="163"/>
      <c r="AU50" s="163"/>
      <c r="AV50" s="321"/>
    </row>
    <row r="51" spans="1:48" ht="12.75" x14ac:dyDescent="0.2">
      <c r="A51" s="1004">
        <f>'Salaries and wages'!I23</f>
        <v>45779</v>
      </c>
      <c r="B51" s="243" t="str">
        <f>'Salaries and wages'!C23</f>
        <v>Accountant</v>
      </c>
      <c r="C51" s="1008">
        <f>'Salaries and wages'!H23*10^6*'Salaries and wages'!D23</f>
        <v>2400000</v>
      </c>
      <c r="D51" s="1024"/>
      <c r="E51" s="1025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1024"/>
      <c r="AR51" s="357"/>
      <c r="AS51" s="163"/>
      <c r="AT51" s="163"/>
      <c r="AU51" s="163"/>
      <c r="AV51" s="321"/>
    </row>
    <row r="52" spans="1:48" ht="12.75" x14ac:dyDescent="0.2">
      <c r="A52" s="1004">
        <f>'Salaries and wages'!I24</f>
        <v>45779</v>
      </c>
      <c r="B52" s="243" t="str">
        <f>'Salaries and wages'!C24</f>
        <v>Marketing Staff</v>
      </c>
      <c r="C52" s="1008">
        <f>'Salaries and wages'!H24*10^6*'Salaries and wages'!D24</f>
        <v>3200000</v>
      </c>
      <c r="D52" s="1024"/>
      <c r="E52" s="1025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1024"/>
      <c r="AR52" s="357"/>
      <c r="AS52" s="163"/>
      <c r="AT52" s="163"/>
      <c r="AU52" s="163"/>
      <c r="AV52" s="321"/>
    </row>
    <row r="53" spans="1:48" ht="12.75" x14ac:dyDescent="0.2">
      <c r="A53" s="1004">
        <f>'Salaries and wages'!I25</f>
        <v>45779</v>
      </c>
      <c r="B53" s="243" t="str">
        <f>'Salaries and wages'!C25</f>
        <v>Security Staff</v>
      </c>
      <c r="C53" s="1008">
        <f>'Salaries and wages'!H25*10^6*'Salaries and wages'!D25</f>
        <v>0</v>
      </c>
      <c r="D53" s="1024"/>
      <c r="E53" s="1025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  <c r="AK53" s="243"/>
      <c r="AL53" s="243"/>
      <c r="AM53" s="243"/>
      <c r="AN53" s="243"/>
      <c r="AO53" s="243"/>
      <c r="AP53" s="243"/>
      <c r="AQ53" s="1024"/>
      <c r="AR53" s="357"/>
      <c r="AS53" s="163"/>
      <c r="AT53" s="163"/>
      <c r="AU53" s="163"/>
      <c r="AV53" s="321"/>
    </row>
    <row r="54" spans="1:48" ht="12.75" x14ac:dyDescent="0.2">
      <c r="A54" s="1004">
        <f>'Salaries and wages'!I26</f>
        <v>45792</v>
      </c>
      <c r="B54" s="243" t="str">
        <f>'Salaries and wages'!C26</f>
        <v>Customer Service Staff</v>
      </c>
      <c r="C54" s="1008">
        <f>'Salaries and wages'!H26*10^6*'Salaries and wages'!D26</f>
        <v>1000000</v>
      </c>
      <c r="D54" s="1024"/>
      <c r="E54" s="1025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1024"/>
      <c r="AR54" s="357"/>
      <c r="AS54" s="163"/>
      <c r="AT54" s="163"/>
      <c r="AU54" s="163"/>
      <c r="AV54" s="321"/>
    </row>
    <row r="55" spans="1:48" ht="12.75" x14ac:dyDescent="0.2">
      <c r="A55" s="1004">
        <f>'Salaries and wages'!I27</f>
        <v>45838</v>
      </c>
      <c r="B55" s="243" t="str">
        <f>'Salaries and wages'!C27</f>
        <v>Store Manager</v>
      </c>
      <c r="C55" s="1008">
        <f>'Salaries and wages'!H27*10^6*'Salaries and wages'!D27</f>
        <v>3000000</v>
      </c>
      <c r="D55" s="1024"/>
      <c r="E55" s="1025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243"/>
      <c r="AP55" s="243"/>
      <c r="AQ55" s="1024"/>
      <c r="AR55" s="357"/>
      <c r="AS55" s="163"/>
      <c r="AT55" s="163"/>
      <c r="AU55" s="163"/>
      <c r="AV55" s="321"/>
    </row>
    <row r="56" spans="1:48" ht="12.75" x14ac:dyDescent="0.2">
      <c r="A56" s="1004">
        <f>'Salaries and wages'!I28</f>
        <v>45853</v>
      </c>
      <c r="B56" s="243" t="str">
        <f>'Salaries and wages'!C28</f>
        <v>Sales Staff</v>
      </c>
      <c r="C56" s="1008">
        <f>'Salaries and wages'!H28*10^6*'Salaries and wages'!D28</f>
        <v>7200000</v>
      </c>
      <c r="D56" s="1024"/>
      <c r="E56" s="1025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1024"/>
      <c r="AR56" s="357"/>
      <c r="AS56" s="163"/>
      <c r="AT56" s="163"/>
      <c r="AU56" s="163"/>
      <c r="AV56" s="321"/>
    </row>
    <row r="57" spans="1:48" ht="12.75" x14ac:dyDescent="0.2">
      <c r="A57" s="1004">
        <f>'Salaries and wages'!I29</f>
        <v>45853</v>
      </c>
      <c r="B57" s="243" t="str">
        <f>'Salaries and wages'!C29</f>
        <v>Security Staff</v>
      </c>
      <c r="C57" s="1008">
        <f>'Salaries and wages'!H29*10^6*'Salaries and wages'!D29</f>
        <v>0</v>
      </c>
      <c r="D57" s="1024"/>
      <c r="E57" s="1025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243"/>
      <c r="AP57" s="243"/>
      <c r="AQ57" s="1024"/>
      <c r="AR57" s="357"/>
      <c r="AS57" s="163"/>
      <c r="AT57" s="163"/>
      <c r="AU57" s="163"/>
      <c r="AV57" s="321"/>
    </row>
    <row r="58" spans="1:48" ht="12.75" x14ac:dyDescent="0.2">
      <c r="A58" s="1004">
        <f>'Salaries and wages'!I30</f>
        <v>46006</v>
      </c>
      <c r="B58" s="243" t="str">
        <f>'Salaries and wages'!C30</f>
        <v>Accountant</v>
      </c>
      <c r="C58" s="1008">
        <f>'Salaries and wages'!H30*10^6*'Salaries and wages'!D30</f>
        <v>0</v>
      </c>
      <c r="D58" s="1024"/>
      <c r="E58" s="1025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1024"/>
      <c r="AR58" s="357"/>
      <c r="AS58" s="163"/>
      <c r="AT58" s="163"/>
      <c r="AU58" s="163"/>
      <c r="AV58" s="321"/>
    </row>
    <row r="59" spans="1:48" ht="12.75" x14ac:dyDescent="0.2">
      <c r="A59" s="1004">
        <f>'Salaries and wages'!I31</f>
        <v>46073</v>
      </c>
      <c r="B59" s="243" t="str">
        <f>'Salaries and wages'!C31</f>
        <v>IT Manager</v>
      </c>
      <c r="C59" s="1008">
        <f>'Salaries and wages'!H31*10^6*'Salaries and wages'!D31</f>
        <v>2000000</v>
      </c>
      <c r="D59" s="1024"/>
      <c r="E59" s="1025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243"/>
      <c r="AP59" s="243"/>
      <c r="AQ59" s="1024"/>
      <c r="AR59" s="357"/>
      <c r="AS59" s="163"/>
      <c r="AT59" s="163"/>
      <c r="AU59" s="163"/>
      <c r="AV59" s="321"/>
    </row>
    <row r="60" spans="1:48" ht="12.75" x14ac:dyDescent="0.2">
      <c r="A60" s="1004">
        <f>'Salaries and wages'!I32</f>
        <v>46073</v>
      </c>
      <c r="B60" s="243" t="str">
        <f>'Salaries and wages'!C32</f>
        <v>R&amp;D Manager</v>
      </c>
      <c r="C60" s="1008">
        <f>'Salaries and wages'!H32*10^6*'Salaries and wages'!D32</f>
        <v>1000000</v>
      </c>
      <c r="D60" s="1024"/>
      <c r="E60" s="1025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1024"/>
      <c r="AR60" s="357"/>
      <c r="AS60" s="163"/>
      <c r="AT60" s="163"/>
      <c r="AU60" s="163"/>
      <c r="AV60" s="321"/>
    </row>
    <row r="61" spans="1:48" ht="12.75" x14ac:dyDescent="0.2">
      <c r="A61" s="1004">
        <f>'Salaries and wages'!I33</f>
        <v>46073</v>
      </c>
      <c r="B61" s="243" t="str">
        <f>'Salaries and wages'!C33</f>
        <v>Product Development Manager</v>
      </c>
      <c r="C61" s="1008">
        <f>'Salaries and wages'!H33*10^6*'Salaries and wages'!D33</f>
        <v>1000000</v>
      </c>
      <c r="D61" s="1024"/>
      <c r="E61" s="1025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1024"/>
      <c r="AR61" s="357"/>
      <c r="AS61" s="163"/>
      <c r="AT61" s="163"/>
      <c r="AU61" s="163"/>
      <c r="AV61" s="321"/>
    </row>
    <row r="62" spans="1:48" ht="12.75" x14ac:dyDescent="0.2">
      <c r="A62" s="1004">
        <f>'Salaries and wages'!I34</f>
        <v>46073</v>
      </c>
      <c r="B62" s="243" t="str">
        <f>'Salaries and wages'!C34</f>
        <v>Quality Control Manager</v>
      </c>
      <c r="C62" s="1008">
        <f>'Salaries and wages'!H34*10^6*'Salaries and wages'!D34</f>
        <v>1000000</v>
      </c>
      <c r="D62" s="1024"/>
      <c r="E62" s="1025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243"/>
      <c r="AB62" s="243"/>
      <c r="AC62" s="243"/>
      <c r="AD62" s="243"/>
      <c r="AE62" s="243"/>
      <c r="AF62" s="243"/>
      <c r="AG62" s="243"/>
      <c r="AH62" s="243"/>
      <c r="AI62" s="243"/>
      <c r="AJ62" s="243"/>
      <c r="AK62" s="243"/>
      <c r="AL62" s="243"/>
      <c r="AM62" s="243"/>
      <c r="AN62" s="243"/>
      <c r="AO62" s="243"/>
      <c r="AP62" s="243"/>
      <c r="AQ62" s="1024"/>
      <c r="AR62" s="357"/>
      <c r="AS62" s="163"/>
      <c r="AT62" s="163"/>
      <c r="AU62" s="163"/>
      <c r="AV62" s="321"/>
    </row>
    <row r="63" spans="1:48" ht="12.75" x14ac:dyDescent="0.2">
      <c r="A63" s="1004">
        <f>'Salaries and wages'!I35</f>
        <v>46357</v>
      </c>
      <c r="B63" s="243" t="str">
        <f>'Salaries and wages'!C35</f>
        <v>Production Staff</v>
      </c>
      <c r="C63" s="1008">
        <f>'Salaries and wages'!H35*10^6*'Salaries and wages'!D35</f>
        <v>4000000</v>
      </c>
      <c r="D63" s="1024"/>
      <c r="E63" s="1025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  <c r="AH63" s="243"/>
      <c r="AI63" s="243"/>
      <c r="AJ63" s="243"/>
      <c r="AK63" s="243"/>
      <c r="AL63" s="243"/>
      <c r="AM63" s="243"/>
      <c r="AN63" s="243"/>
      <c r="AO63" s="243"/>
      <c r="AP63" s="243"/>
      <c r="AQ63" s="1024"/>
      <c r="AR63" s="357"/>
      <c r="AS63" s="163"/>
      <c r="AT63" s="163"/>
      <c r="AU63" s="163"/>
      <c r="AV63" s="321"/>
    </row>
    <row r="64" spans="1:48" ht="12.75" x14ac:dyDescent="0.2">
      <c r="A64" s="1004">
        <f>'Salaries and wages'!I36</f>
        <v>46371</v>
      </c>
      <c r="B64" s="243" t="str">
        <f>'Salaries and wages'!C36</f>
        <v>Accountant</v>
      </c>
      <c r="C64" s="1008">
        <f>'Salaries and wages'!H36*10^6*'Salaries and wages'!D36</f>
        <v>0</v>
      </c>
      <c r="D64" s="1024"/>
      <c r="E64" s="1025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243"/>
      <c r="AP64" s="243"/>
      <c r="AQ64" s="1024"/>
      <c r="AR64" s="357"/>
      <c r="AS64" s="163"/>
      <c r="AT64" s="163"/>
      <c r="AU64" s="163"/>
      <c r="AV64" s="321"/>
    </row>
    <row r="65" spans="1:48" ht="12.75" x14ac:dyDescent="0.2">
      <c r="A65" s="1004">
        <f>'Salaries and wages'!I37</f>
        <v>46076</v>
      </c>
      <c r="B65" s="243" t="str">
        <f>'Salaries and wages'!C37</f>
        <v>Customer Service Staff</v>
      </c>
      <c r="C65" s="1008">
        <f>'Salaries and wages'!H37*10^6*'Salaries and wages'!D37</f>
        <v>500000</v>
      </c>
      <c r="D65" s="1024"/>
      <c r="E65" s="1025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  <c r="AH65" s="243"/>
      <c r="AI65" s="243"/>
      <c r="AJ65" s="243"/>
      <c r="AK65" s="243"/>
      <c r="AL65" s="243"/>
      <c r="AM65" s="243"/>
      <c r="AN65" s="243"/>
      <c r="AO65" s="243"/>
      <c r="AP65" s="243"/>
      <c r="AQ65" s="1024"/>
      <c r="AR65" s="357"/>
      <c r="AS65" s="163"/>
      <c r="AT65" s="163"/>
      <c r="AU65" s="163"/>
      <c r="AV65" s="321"/>
    </row>
    <row r="66" spans="1:48" ht="12.75" x14ac:dyDescent="0.2">
      <c r="A66" s="243"/>
      <c r="B66" s="243"/>
      <c r="C66" s="1024"/>
      <c r="D66" s="1024"/>
      <c r="E66" s="1025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1024"/>
      <c r="AR66" s="357"/>
      <c r="AS66" s="163"/>
      <c r="AT66" s="163"/>
      <c r="AU66" s="163"/>
      <c r="AV66" s="321"/>
    </row>
    <row r="67" spans="1:48" ht="12.75" x14ac:dyDescent="0.2">
      <c r="A67" s="243"/>
      <c r="B67" s="243"/>
      <c r="C67" s="1024"/>
      <c r="D67" s="1024"/>
      <c r="E67" s="1025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1024"/>
      <c r="AR67" s="357"/>
      <c r="AS67" s="163"/>
      <c r="AT67" s="163"/>
      <c r="AU67" s="163"/>
      <c r="AV67" s="321"/>
    </row>
    <row r="68" spans="1:48" ht="12.75" x14ac:dyDescent="0.2">
      <c r="A68" s="243"/>
      <c r="B68" s="243"/>
      <c r="C68" s="1024"/>
      <c r="D68" s="1024"/>
      <c r="E68" s="1025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1024"/>
      <c r="AR68" s="357"/>
      <c r="AS68" s="163"/>
      <c r="AT68" s="163"/>
      <c r="AU68" s="163"/>
      <c r="AV68" s="321"/>
    </row>
    <row r="69" spans="1:48" ht="12.75" x14ac:dyDescent="0.2">
      <c r="A69" s="243"/>
      <c r="B69" s="243"/>
      <c r="C69" s="1024"/>
      <c r="D69" s="1024"/>
      <c r="E69" s="1025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1024"/>
      <c r="AR69" s="357"/>
      <c r="AS69" s="163"/>
      <c r="AT69" s="163"/>
      <c r="AU69" s="163"/>
      <c r="AV69" s="321"/>
    </row>
    <row r="70" spans="1:48" ht="12.75" x14ac:dyDescent="0.2">
      <c r="A70" s="243"/>
      <c r="B70" s="243"/>
      <c r="C70" s="1024"/>
      <c r="D70" s="1024"/>
      <c r="E70" s="1025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1024"/>
      <c r="AR70" s="357"/>
      <c r="AS70" s="163"/>
      <c r="AT70" s="163"/>
      <c r="AU70" s="163"/>
      <c r="AV70" s="321"/>
    </row>
    <row r="71" spans="1:48" ht="12.75" x14ac:dyDescent="0.2">
      <c r="A71" s="243"/>
      <c r="B71" s="243"/>
      <c r="C71" s="1024"/>
      <c r="D71" s="1024"/>
      <c r="E71" s="1025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1024"/>
      <c r="AR71" s="357"/>
      <c r="AS71" s="163"/>
      <c r="AT71" s="163"/>
      <c r="AU71" s="163"/>
      <c r="AV71" s="321"/>
    </row>
    <row r="72" spans="1:48" ht="12.75" x14ac:dyDescent="0.2">
      <c r="A72" s="243"/>
      <c r="B72" s="243"/>
      <c r="C72" s="1024"/>
      <c r="D72" s="1024"/>
      <c r="E72" s="1025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3"/>
      <c r="AM72" s="243"/>
      <c r="AN72" s="243"/>
      <c r="AO72" s="243"/>
      <c r="AP72" s="243"/>
      <c r="AQ72" s="1024"/>
      <c r="AR72" s="357"/>
      <c r="AS72" s="163"/>
      <c r="AT72" s="163"/>
      <c r="AU72" s="163"/>
      <c r="AV72" s="321"/>
    </row>
    <row r="73" spans="1:48" ht="12.75" x14ac:dyDescent="0.2">
      <c r="A73" s="243"/>
      <c r="B73" s="243"/>
      <c r="C73" s="1024"/>
      <c r="D73" s="1024"/>
      <c r="E73" s="1025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1024"/>
      <c r="AR73" s="357"/>
      <c r="AS73" s="163"/>
      <c r="AT73" s="163"/>
      <c r="AU73" s="163"/>
      <c r="AV73" s="321"/>
    </row>
    <row r="74" spans="1:48" ht="12.75" x14ac:dyDescent="0.2">
      <c r="A74" s="243"/>
      <c r="B74" s="243"/>
      <c r="C74" s="1024"/>
      <c r="D74" s="1024"/>
      <c r="E74" s="1025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1024"/>
      <c r="AR74" s="357"/>
      <c r="AS74" s="163"/>
      <c r="AT74" s="163"/>
      <c r="AU74" s="163"/>
      <c r="AV74" s="321"/>
    </row>
    <row r="75" spans="1:48" ht="12.75" x14ac:dyDescent="0.2">
      <c r="A75" s="243"/>
      <c r="B75" s="243"/>
      <c r="C75" s="1024"/>
      <c r="D75" s="1024"/>
      <c r="E75" s="1025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1024"/>
      <c r="AR75" s="357"/>
      <c r="AS75" s="163"/>
      <c r="AT75" s="163"/>
      <c r="AU75" s="163"/>
      <c r="AV75" s="321"/>
    </row>
    <row r="76" spans="1:48" ht="12.75" x14ac:dyDescent="0.2">
      <c r="A76" s="243"/>
      <c r="B76" s="243"/>
      <c r="C76" s="1024"/>
      <c r="D76" s="1024"/>
      <c r="E76" s="1025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1024"/>
      <c r="AR76" s="357"/>
      <c r="AS76" s="163"/>
      <c r="AT76" s="163"/>
      <c r="AU76" s="163"/>
      <c r="AV76" s="321"/>
    </row>
    <row r="77" spans="1:48" ht="12.75" x14ac:dyDescent="0.2">
      <c r="A77" s="243"/>
      <c r="B77" s="243"/>
      <c r="C77" s="1024"/>
      <c r="D77" s="1024"/>
      <c r="E77" s="1025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1024"/>
      <c r="AR77" s="357"/>
      <c r="AS77" s="163"/>
      <c r="AT77" s="163"/>
      <c r="AU77" s="163"/>
      <c r="AV77" s="321"/>
    </row>
    <row r="78" spans="1:48" ht="12.75" x14ac:dyDescent="0.2">
      <c r="A78" s="243"/>
      <c r="B78" s="243"/>
      <c r="C78" s="1024"/>
      <c r="D78" s="1024"/>
      <c r="E78" s="1025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1024"/>
      <c r="AR78" s="357"/>
      <c r="AS78" s="163"/>
      <c r="AT78" s="163"/>
      <c r="AU78" s="163"/>
      <c r="AV78" s="321"/>
    </row>
    <row r="79" spans="1:48" ht="12.75" x14ac:dyDescent="0.2">
      <c r="A79" s="243"/>
      <c r="B79" s="243"/>
      <c r="C79" s="1024"/>
      <c r="D79" s="1024"/>
      <c r="E79" s="1025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  <c r="AM79" s="243"/>
      <c r="AN79" s="243"/>
      <c r="AO79" s="243"/>
      <c r="AP79" s="243"/>
      <c r="AQ79" s="1024"/>
      <c r="AR79" s="357"/>
      <c r="AS79" s="163"/>
      <c r="AT79" s="163"/>
      <c r="AU79" s="163"/>
      <c r="AV79" s="321"/>
    </row>
    <row r="80" spans="1:48" ht="12.75" x14ac:dyDescent="0.2">
      <c r="A80" s="243"/>
      <c r="B80" s="243"/>
      <c r="C80" s="1024"/>
      <c r="D80" s="1024"/>
      <c r="E80" s="1025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1024"/>
      <c r="AR80" s="357"/>
      <c r="AS80" s="163"/>
      <c r="AT80" s="163"/>
      <c r="AU80" s="163"/>
      <c r="AV80" s="321"/>
    </row>
    <row r="81" spans="1:48" ht="12.75" x14ac:dyDescent="0.2">
      <c r="A81" s="243"/>
      <c r="B81" s="243"/>
      <c r="C81" s="1024"/>
      <c r="D81" s="1024"/>
      <c r="E81" s="1025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1024"/>
      <c r="AR81" s="357"/>
      <c r="AS81" s="163"/>
      <c r="AT81" s="163"/>
      <c r="AU81" s="163"/>
      <c r="AV81" s="321"/>
    </row>
    <row r="82" spans="1:48" ht="12.75" x14ac:dyDescent="0.2">
      <c r="A82" s="243"/>
      <c r="B82" s="243"/>
      <c r="C82" s="1024"/>
      <c r="D82" s="1024"/>
      <c r="E82" s="1025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1024"/>
      <c r="AR82" s="357"/>
      <c r="AS82" s="163"/>
      <c r="AT82" s="163"/>
      <c r="AU82" s="163"/>
      <c r="AV82" s="321"/>
    </row>
    <row r="83" spans="1:48" ht="12.75" x14ac:dyDescent="0.2">
      <c r="A83" s="243"/>
      <c r="B83" s="243"/>
      <c r="C83" s="1024"/>
      <c r="D83" s="1024"/>
      <c r="E83" s="1025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3"/>
      <c r="AN83" s="243"/>
      <c r="AO83" s="243"/>
      <c r="AP83" s="243"/>
      <c r="AQ83" s="1024"/>
      <c r="AR83" s="357"/>
      <c r="AS83" s="163"/>
      <c r="AT83" s="163"/>
      <c r="AU83" s="163"/>
      <c r="AV83" s="321"/>
    </row>
    <row r="84" spans="1:48" ht="12.75" x14ac:dyDescent="0.2">
      <c r="A84" s="243" t="e">
        <f t="shared" ref="A84:C84" si="3">#REF!</f>
        <v>#REF!</v>
      </c>
      <c r="B84" s="243" t="e">
        <f t="shared" si="3"/>
        <v>#REF!</v>
      </c>
      <c r="C84" s="1024" t="e">
        <f t="shared" si="3"/>
        <v>#REF!</v>
      </c>
      <c r="D84" s="1024"/>
      <c r="E84" s="1025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  <c r="AK84" s="243"/>
      <c r="AL84" s="243"/>
      <c r="AM84" s="243"/>
      <c r="AN84" s="243"/>
      <c r="AO84" s="243"/>
      <c r="AP84" s="243"/>
      <c r="AQ84" s="1024"/>
      <c r="AR84" s="357"/>
      <c r="AS84" s="163"/>
      <c r="AT84" s="163"/>
      <c r="AU84" s="163"/>
      <c r="AV84" s="321"/>
    </row>
    <row r="85" spans="1:48" ht="12.75" x14ac:dyDescent="0.2">
      <c r="A85" s="243" t="e">
        <f t="shared" ref="A85:C85" si="4">#REF!</f>
        <v>#REF!</v>
      </c>
      <c r="B85" s="243" t="e">
        <f t="shared" si="4"/>
        <v>#REF!</v>
      </c>
      <c r="C85" s="1024" t="e">
        <f t="shared" si="4"/>
        <v>#REF!</v>
      </c>
      <c r="D85" s="1024"/>
      <c r="E85" s="1025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3"/>
      <c r="AM85" s="243"/>
      <c r="AN85" s="243"/>
      <c r="AO85" s="243"/>
      <c r="AP85" s="243"/>
      <c r="AQ85" s="1024"/>
      <c r="AR85" s="357"/>
      <c r="AS85" s="163"/>
      <c r="AT85" s="163"/>
      <c r="AU85" s="163"/>
      <c r="AV85" s="321"/>
    </row>
    <row r="86" spans="1:48" ht="12.75" x14ac:dyDescent="0.2">
      <c r="A86" s="243" t="e">
        <f t="shared" ref="A86:C86" si="5">#REF!</f>
        <v>#REF!</v>
      </c>
      <c r="B86" s="243" t="e">
        <f t="shared" si="5"/>
        <v>#REF!</v>
      </c>
      <c r="C86" s="1024" t="e">
        <f t="shared" si="5"/>
        <v>#REF!</v>
      </c>
      <c r="D86" s="1024"/>
      <c r="E86" s="1025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1024"/>
      <c r="AR86" s="357"/>
      <c r="AS86" s="163"/>
      <c r="AT86" s="163"/>
      <c r="AU86" s="163"/>
      <c r="AV86" s="321"/>
    </row>
    <row r="87" spans="1:48" ht="12.75" x14ac:dyDescent="0.2">
      <c r="A87" s="243" t="e">
        <f t="shared" ref="A87:C87" si="6">#REF!</f>
        <v>#REF!</v>
      </c>
      <c r="B87" s="243" t="e">
        <f t="shared" si="6"/>
        <v>#REF!</v>
      </c>
      <c r="C87" s="1024" t="e">
        <f t="shared" si="6"/>
        <v>#REF!</v>
      </c>
      <c r="D87" s="1024"/>
      <c r="E87" s="1025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1024"/>
      <c r="AR87" s="357"/>
      <c r="AS87" s="163"/>
      <c r="AT87" s="163"/>
      <c r="AU87" s="163"/>
      <c r="AV87" s="321"/>
    </row>
    <row r="88" spans="1:48" ht="12.75" x14ac:dyDescent="0.2">
      <c r="A88" s="243" t="e">
        <f t="shared" ref="A88:C88" si="7">#REF!</f>
        <v>#REF!</v>
      </c>
      <c r="B88" s="243" t="e">
        <f t="shared" si="7"/>
        <v>#REF!</v>
      </c>
      <c r="C88" s="1024" t="e">
        <f t="shared" si="7"/>
        <v>#REF!</v>
      </c>
      <c r="D88" s="1024"/>
      <c r="E88" s="1025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1024"/>
      <c r="AR88" s="357"/>
      <c r="AS88" s="163"/>
      <c r="AT88" s="163"/>
      <c r="AU88" s="163"/>
      <c r="AV88" s="321"/>
    </row>
    <row r="89" spans="1:48" ht="12.75" x14ac:dyDescent="0.2">
      <c r="A89" s="243" t="e">
        <f t="shared" ref="A89:C89" si="8">#REF!</f>
        <v>#REF!</v>
      </c>
      <c r="B89" s="243" t="e">
        <f t="shared" si="8"/>
        <v>#REF!</v>
      </c>
      <c r="C89" s="1024" t="e">
        <f t="shared" si="8"/>
        <v>#REF!</v>
      </c>
      <c r="D89" s="1024"/>
      <c r="E89" s="1025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3"/>
      <c r="AI89" s="243"/>
      <c r="AJ89" s="243"/>
      <c r="AK89" s="243"/>
      <c r="AL89" s="243"/>
      <c r="AM89" s="243"/>
      <c r="AN89" s="243"/>
      <c r="AO89" s="243"/>
      <c r="AP89" s="243"/>
      <c r="AQ89" s="1024"/>
      <c r="AR89" s="357"/>
      <c r="AS89" s="163"/>
      <c r="AT89" s="163"/>
      <c r="AU89" s="163"/>
      <c r="AV89" s="321"/>
    </row>
    <row r="90" spans="1:48" ht="12.75" x14ac:dyDescent="0.2">
      <c r="A90" s="243" t="e">
        <f t="shared" ref="A90:C90" si="9">#REF!</f>
        <v>#REF!</v>
      </c>
      <c r="B90" s="243" t="e">
        <f t="shared" si="9"/>
        <v>#REF!</v>
      </c>
      <c r="C90" s="1024" t="e">
        <f t="shared" si="9"/>
        <v>#REF!</v>
      </c>
      <c r="D90" s="1024"/>
      <c r="E90" s="1025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1024"/>
      <c r="AR90" s="357"/>
      <c r="AS90" s="163"/>
      <c r="AT90" s="163"/>
      <c r="AU90" s="163"/>
      <c r="AV90" s="321"/>
    </row>
    <row r="91" spans="1:48" ht="12.75" x14ac:dyDescent="0.2">
      <c r="A91" s="243" t="e">
        <f t="shared" ref="A91:C91" si="10">#REF!</f>
        <v>#REF!</v>
      </c>
      <c r="B91" s="243" t="e">
        <f t="shared" si="10"/>
        <v>#REF!</v>
      </c>
      <c r="C91" s="1024" t="e">
        <f t="shared" si="10"/>
        <v>#REF!</v>
      </c>
      <c r="D91" s="1024"/>
      <c r="E91" s="1025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243"/>
      <c r="AK91" s="243"/>
      <c r="AL91" s="243"/>
      <c r="AM91" s="243"/>
      <c r="AN91" s="243"/>
      <c r="AO91" s="243"/>
      <c r="AP91" s="243"/>
      <c r="AQ91" s="1024"/>
      <c r="AR91" s="357"/>
      <c r="AS91" s="163"/>
      <c r="AT91" s="163"/>
      <c r="AU91" s="163"/>
      <c r="AV91" s="321"/>
    </row>
    <row r="92" spans="1:48" ht="12.75" x14ac:dyDescent="0.2">
      <c r="A92" s="243" t="e">
        <f t="shared" ref="A92:C92" si="11">#REF!</f>
        <v>#REF!</v>
      </c>
      <c r="B92" s="243" t="e">
        <f t="shared" si="11"/>
        <v>#REF!</v>
      </c>
      <c r="C92" s="1024" t="e">
        <f t="shared" si="11"/>
        <v>#REF!</v>
      </c>
      <c r="D92" s="1024"/>
      <c r="E92" s="1025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1024"/>
      <c r="AR92" s="357"/>
      <c r="AS92" s="163"/>
      <c r="AT92" s="163"/>
      <c r="AU92" s="163"/>
      <c r="AV92" s="321"/>
    </row>
    <row r="93" spans="1:48" ht="12.75" x14ac:dyDescent="0.2">
      <c r="A93" s="243" t="e">
        <f t="shared" ref="A93:C93" si="12">#REF!</f>
        <v>#REF!</v>
      </c>
      <c r="B93" s="243" t="e">
        <f t="shared" si="12"/>
        <v>#REF!</v>
      </c>
      <c r="C93" s="1024" t="e">
        <f t="shared" si="12"/>
        <v>#REF!</v>
      </c>
      <c r="D93" s="1024"/>
      <c r="E93" s="1025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3"/>
      <c r="AN93" s="243"/>
      <c r="AO93" s="243"/>
      <c r="AP93" s="243"/>
      <c r="AQ93" s="1024"/>
      <c r="AR93" s="357"/>
      <c r="AS93" s="163"/>
      <c r="AT93" s="163"/>
      <c r="AU93" s="163"/>
      <c r="AV93" s="321"/>
    </row>
    <row r="94" spans="1:48" ht="12.75" x14ac:dyDescent="0.2">
      <c r="A94" s="243" t="e">
        <f t="shared" ref="A94:C94" si="13">#REF!</f>
        <v>#REF!</v>
      </c>
      <c r="B94" s="243" t="e">
        <f t="shared" si="13"/>
        <v>#REF!</v>
      </c>
      <c r="C94" s="1024" t="e">
        <f t="shared" si="13"/>
        <v>#REF!</v>
      </c>
      <c r="D94" s="1024"/>
      <c r="E94" s="1025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1024"/>
      <c r="AR94" s="357"/>
      <c r="AS94" s="163"/>
      <c r="AT94" s="163"/>
      <c r="AU94" s="163"/>
      <c r="AV94" s="321"/>
    </row>
    <row r="95" spans="1:48" ht="12.75" x14ac:dyDescent="0.2">
      <c r="A95" s="243" t="e">
        <f t="shared" ref="A95:C95" si="14">#REF!</f>
        <v>#REF!</v>
      </c>
      <c r="B95" s="243" t="e">
        <f t="shared" si="14"/>
        <v>#REF!</v>
      </c>
      <c r="C95" s="1024" t="e">
        <f t="shared" si="14"/>
        <v>#REF!</v>
      </c>
      <c r="D95" s="1024"/>
      <c r="E95" s="1025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1024"/>
      <c r="AR95" s="357"/>
      <c r="AS95" s="163"/>
      <c r="AT95" s="163"/>
      <c r="AU95" s="163"/>
      <c r="AV95" s="321"/>
    </row>
    <row r="96" spans="1:48" ht="12.75" x14ac:dyDescent="0.2">
      <c r="A96" s="243" t="e">
        <f t="shared" ref="A96:C96" si="15">#REF!</f>
        <v>#REF!</v>
      </c>
      <c r="B96" s="243" t="e">
        <f t="shared" si="15"/>
        <v>#REF!</v>
      </c>
      <c r="C96" s="1024" t="e">
        <f t="shared" si="15"/>
        <v>#REF!</v>
      </c>
      <c r="D96" s="1024"/>
      <c r="E96" s="1025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1024"/>
      <c r="AR96" s="357"/>
      <c r="AS96" s="163"/>
      <c r="AT96" s="163"/>
      <c r="AU96" s="163"/>
      <c r="AV96" s="321"/>
    </row>
    <row r="97" spans="1:48" ht="12.75" x14ac:dyDescent="0.2">
      <c r="A97" s="243" t="e">
        <f t="shared" ref="A97:C97" si="16">#REF!</f>
        <v>#REF!</v>
      </c>
      <c r="B97" s="243" t="e">
        <f t="shared" si="16"/>
        <v>#REF!</v>
      </c>
      <c r="C97" s="1024" t="e">
        <f t="shared" si="16"/>
        <v>#REF!</v>
      </c>
      <c r="D97" s="1024"/>
      <c r="E97" s="1025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1024"/>
      <c r="AR97" s="357"/>
      <c r="AS97" s="163"/>
      <c r="AT97" s="163"/>
      <c r="AU97" s="163"/>
      <c r="AV97" s="321"/>
    </row>
    <row r="98" spans="1:48" ht="12.75" x14ac:dyDescent="0.2">
      <c r="A98" s="243" t="e">
        <f t="shared" ref="A98:C98" si="17">#REF!</f>
        <v>#REF!</v>
      </c>
      <c r="B98" s="243" t="e">
        <f t="shared" si="17"/>
        <v>#REF!</v>
      </c>
      <c r="C98" s="1024" t="e">
        <f t="shared" si="17"/>
        <v>#REF!</v>
      </c>
      <c r="D98" s="1024"/>
      <c r="E98" s="1025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1024"/>
      <c r="AR98" s="357"/>
      <c r="AS98" s="163"/>
      <c r="AT98" s="163"/>
      <c r="AU98" s="163"/>
      <c r="AV98" s="321"/>
    </row>
    <row r="99" spans="1:48" ht="12.75" x14ac:dyDescent="0.2">
      <c r="A99" s="243" t="e">
        <f t="shared" ref="A99:C99" si="18">#REF!</f>
        <v>#REF!</v>
      </c>
      <c r="B99" s="243" t="e">
        <f t="shared" si="18"/>
        <v>#REF!</v>
      </c>
      <c r="C99" s="1024" t="e">
        <f t="shared" si="18"/>
        <v>#REF!</v>
      </c>
      <c r="D99" s="1024"/>
      <c r="E99" s="1025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1024"/>
      <c r="AR99" s="357"/>
      <c r="AS99" s="163"/>
      <c r="AT99" s="163"/>
      <c r="AU99" s="163"/>
      <c r="AV99" s="321"/>
    </row>
    <row r="100" spans="1:48" ht="12.75" x14ac:dyDescent="0.2">
      <c r="A100" s="243" t="e">
        <f t="shared" ref="A100:C100" si="19">#REF!</f>
        <v>#REF!</v>
      </c>
      <c r="B100" s="243" t="e">
        <f t="shared" si="19"/>
        <v>#REF!</v>
      </c>
      <c r="C100" s="1024" t="e">
        <f t="shared" si="19"/>
        <v>#REF!</v>
      </c>
      <c r="D100" s="1024"/>
      <c r="E100" s="1025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  <c r="AP100" s="243"/>
      <c r="AQ100" s="1024"/>
      <c r="AR100" s="357"/>
      <c r="AS100" s="163"/>
      <c r="AT100" s="163"/>
      <c r="AU100" s="163"/>
      <c r="AV100" s="321"/>
    </row>
    <row r="101" spans="1:48" ht="12.75" x14ac:dyDescent="0.2">
      <c r="A101" s="243" t="e">
        <f t="shared" ref="A101:C101" si="20">#REF!</f>
        <v>#REF!</v>
      </c>
      <c r="B101" s="243" t="e">
        <f t="shared" si="20"/>
        <v>#REF!</v>
      </c>
      <c r="C101" s="1024" t="e">
        <f t="shared" si="20"/>
        <v>#REF!</v>
      </c>
      <c r="D101" s="1024"/>
      <c r="E101" s="1025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1024"/>
      <c r="AR101" s="357"/>
      <c r="AS101" s="163"/>
      <c r="AT101" s="163"/>
      <c r="AU101" s="163"/>
      <c r="AV101" s="321"/>
    </row>
    <row r="102" spans="1:48" ht="12.75" x14ac:dyDescent="0.2">
      <c r="A102" s="243" t="e">
        <f t="shared" ref="A102:C102" si="21">#REF!</f>
        <v>#REF!</v>
      </c>
      <c r="B102" s="243" t="e">
        <f t="shared" si="21"/>
        <v>#REF!</v>
      </c>
      <c r="C102" s="1024" t="e">
        <f t="shared" si="21"/>
        <v>#REF!</v>
      </c>
      <c r="D102" s="1024"/>
      <c r="E102" s="1025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  <c r="AK102" s="243"/>
      <c r="AL102" s="243"/>
      <c r="AM102" s="243"/>
      <c r="AN102" s="243"/>
      <c r="AO102" s="243"/>
      <c r="AP102" s="243"/>
      <c r="AQ102" s="1024"/>
      <c r="AR102" s="357"/>
      <c r="AS102" s="163"/>
      <c r="AT102" s="163"/>
      <c r="AU102" s="163"/>
      <c r="AV102" s="321"/>
    </row>
    <row r="103" spans="1:48" ht="12.75" x14ac:dyDescent="0.2">
      <c r="A103" s="243" t="e">
        <f t="shared" ref="A103:C103" si="22">#REF!</f>
        <v>#REF!</v>
      </c>
      <c r="B103" s="243" t="e">
        <f t="shared" si="22"/>
        <v>#REF!</v>
      </c>
      <c r="C103" s="1024" t="e">
        <f t="shared" si="22"/>
        <v>#REF!</v>
      </c>
      <c r="D103" s="1024"/>
      <c r="E103" s="1025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43"/>
      <c r="AN103" s="243"/>
      <c r="AO103" s="243"/>
      <c r="AP103" s="243"/>
      <c r="AQ103" s="1024"/>
      <c r="AR103" s="357"/>
      <c r="AS103" s="163"/>
      <c r="AT103" s="163"/>
      <c r="AU103" s="163"/>
      <c r="AV103" s="321"/>
    </row>
    <row r="104" spans="1:48" ht="12.75" x14ac:dyDescent="0.2">
      <c r="A104" s="243" t="e">
        <f t="shared" ref="A104:C104" si="23">#REF!</f>
        <v>#REF!</v>
      </c>
      <c r="B104" s="243" t="e">
        <f t="shared" si="23"/>
        <v>#REF!</v>
      </c>
      <c r="C104" s="1024" t="e">
        <f t="shared" si="23"/>
        <v>#REF!</v>
      </c>
      <c r="D104" s="1024"/>
      <c r="E104" s="1025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1024"/>
      <c r="AR104" s="357"/>
      <c r="AS104" s="163"/>
      <c r="AT104" s="163"/>
      <c r="AU104" s="163"/>
      <c r="AV104" s="321"/>
    </row>
    <row r="105" spans="1:48" ht="12.75" x14ac:dyDescent="0.2">
      <c r="A105" s="243" t="e">
        <f t="shared" ref="A105:C105" si="24">#REF!</f>
        <v>#REF!</v>
      </c>
      <c r="B105" s="243" t="e">
        <f t="shared" si="24"/>
        <v>#REF!</v>
      </c>
      <c r="C105" s="1024" t="e">
        <f t="shared" si="24"/>
        <v>#REF!</v>
      </c>
      <c r="D105" s="1024"/>
      <c r="E105" s="1025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1024"/>
      <c r="AR105" s="357"/>
      <c r="AS105" s="163"/>
      <c r="AT105" s="163"/>
      <c r="AU105" s="163"/>
      <c r="AV105" s="321"/>
    </row>
    <row r="106" spans="1:48" ht="12.75" x14ac:dyDescent="0.2">
      <c r="A106" s="243" t="e">
        <f t="shared" ref="A106:C106" si="25">#REF!</f>
        <v>#REF!</v>
      </c>
      <c r="B106" s="243" t="e">
        <f t="shared" si="25"/>
        <v>#REF!</v>
      </c>
      <c r="C106" s="1024" t="e">
        <f t="shared" si="25"/>
        <v>#REF!</v>
      </c>
      <c r="D106" s="1024"/>
      <c r="E106" s="1025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1024"/>
      <c r="AR106" s="357"/>
      <c r="AS106" s="163"/>
      <c r="AT106" s="163"/>
      <c r="AU106" s="163"/>
      <c r="AV106" s="321"/>
    </row>
    <row r="107" spans="1:48" ht="12.75" x14ac:dyDescent="0.2">
      <c r="A107" s="243" t="e">
        <f t="shared" ref="A107:C107" si="26">#REF!</f>
        <v>#REF!</v>
      </c>
      <c r="B107" s="243" t="e">
        <f t="shared" si="26"/>
        <v>#REF!</v>
      </c>
      <c r="C107" s="1024" t="e">
        <f t="shared" si="26"/>
        <v>#REF!</v>
      </c>
      <c r="D107" s="1024"/>
      <c r="E107" s="1025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  <c r="AM107" s="243"/>
      <c r="AN107" s="243"/>
      <c r="AO107" s="243"/>
      <c r="AP107" s="243"/>
      <c r="AQ107" s="1024"/>
      <c r="AR107" s="357"/>
      <c r="AS107" s="163"/>
      <c r="AT107" s="163"/>
      <c r="AU107" s="163"/>
      <c r="AV107" s="321"/>
    </row>
    <row r="108" spans="1:48" ht="12.75" x14ac:dyDescent="0.2">
      <c r="A108" s="243" t="e">
        <f t="shared" ref="A108:C108" si="27">#REF!</f>
        <v>#REF!</v>
      </c>
      <c r="B108" s="243" t="e">
        <f t="shared" si="27"/>
        <v>#REF!</v>
      </c>
      <c r="C108" s="1024" t="e">
        <f t="shared" si="27"/>
        <v>#REF!</v>
      </c>
      <c r="D108" s="1024"/>
      <c r="E108" s="1025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1024"/>
      <c r="AR108" s="357"/>
      <c r="AS108" s="163"/>
      <c r="AT108" s="163"/>
      <c r="AU108" s="163"/>
      <c r="AV108" s="321"/>
    </row>
    <row r="109" spans="1:48" ht="12.75" x14ac:dyDescent="0.2">
      <c r="A109" s="243" t="e">
        <f t="shared" ref="A109:C109" si="28">#REF!</f>
        <v>#REF!</v>
      </c>
      <c r="B109" s="243" t="e">
        <f t="shared" si="28"/>
        <v>#REF!</v>
      </c>
      <c r="C109" s="1024" t="e">
        <f t="shared" si="28"/>
        <v>#REF!</v>
      </c>
      <c r="D109" s="1024"/>
      <c r="E109" s="1025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1024"/>
      <c r="AR109" s="357"/>
      <c r="AS109" s="163"/>
      <c r="AT109" s="163"/>
      <c r="AU109" s="163"/>
      <c r="AV109" s="321"/>
    </row>
    <row r="110" spans="1:48" ht="12.75" x14ac:dyDescent="0.2">
      <c r="A110" s="243" t="e">
        <f t="shared" ref="A110:C110" si="29">#REF!</f>
        <v>#REF!</v>
      </c>
      <c r="B110" s="243" t="e">
        <f t="shared" si="29"/>
        <v>#REF!</v>
      </c>
      <c r="C110" s="1024" t="e">
        <f t="shared" si="29"/>
        <v>#REF!</v>
      </c>
      <c r="D110" s="1024"/>
      <c r="E110" s="1025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  <c r="AM110" s="243"/>
      <c r="AN110" s="243"/>
      <c r="AO110" s="243"/>
      <c r="AP110" s="243"/>
      <c r="AQ110" s="1024"/>
      <c r="AR110" s="357"/>
      <c r="AS110" s="163"/>
      <c r="AT110" s="163"/>
      <c r="AU110" s="163"/>
      <c r="AV110" s="321"/>
    </row>
    <row r="111" spans="1:48" ht="12.75" x14ac:dyDescent="0.2">
      <c r="A111" s="243" t="e">
        <f t="shared" ref="A111:C111" si="30">#REF!</f>
        <v>#REF!</v>
      </c>
      <c r="B111" s="243" t="e">
        <f t="shared" si="30"/>
        <v>#REF!</v>
      </c>
      <c r="C111" s="1024" t="e">
        <f t="shared" si="30"/>
        <v>#REF!</v>
      </c>
      <c r="D111" s="1024"/>
      <c r="E111" s="1025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1024"/>
      <c r="AR111" s="357"/>
      <c r="AS111" s="163"/>
      <c r="AT111" s="163"/>
      <c r="AU111" s="163"/>
      <c r="AV111" s="321"/>
    </row>
    <row r="112" spans="1:48" ht="12.75" x14ac:dyDescent="0.2">
      <c r="A112" s="243" t="e">
        <f t="shared" ref="A112:C112" si="31">#REF!</f>
        <v>#REF!</v>
      </c>
      <c r="B112" s="243" t="e">
        <f t="shared" si="31"/>
        <v>#REF!</v>
      </c>
      <c r="C112" s="1024" t="e">
        <f t="shared" si="31"/>
        <v>#REF!</v>
      </c>
      <c r="D112" s="1024"/>
      <c r="E112" s="1025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  <c r="AK112" s="243"/>
      <c r="AL112" s="243"/>
      <c r="AM112" s="243"/>
      <c r="AN112" s="243"/>
      <c r="AO112" s="243"/>
      <c r="AP112" s="243"/>
      <c r="AQ112" s="1024"/>
      <c r="AR112" s="357"/>
      <c r="AS112" s="163"/>
      <c r="AT112" s="163"/>
      <c r="AU112" s="163"/>
      <c r="AV112" s="321"/>
    </row>
    <row r="113" spans="1:48" ht="12.75" x14ac:dyDescent="0.2">
      <c r="A113" s="243" t="e">
        <f t="shared" ref="A113:C113" si="32">#REF!</f>
        <v>#REF!</v>
      </c>
      <c r="B113" s="243" t="e">
        <f t="shared" si="32"/>
        <v>#REF!</v>
      </c>
      <c r="C113" s="1024" t="e">
        <f t="shared" si="32"/>
        <v>#REF!</v>
      </c>
      <c r="D113" s="1024"/>
      <c r="E113" s="1025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  <c r="AM113" s="243"/>
      <c r="AN113" s="243"/>
      <c r="AO113" s="243"/>
      <c r="AP113" s="243"/>
      <c r="AQ113" s="1024"/>
      <c r="AR113" s="357"/>
      <c r="AS113" s="163"/>
      <c r="AT113" s="163"/>
      <c r="AU113" s="163"/>
      <c r="AV113" s="321"/>
    </row>
    <row r="114" spans="1:48" ht="12.75" x14ac:dyDescent="0.2">
      <c r="A114" s="243" t="e">
        <f t="shared" ref="A114:C114" si="33">#REF!</f>
        <v>#REF!</v>
      </c>
      <c r="B114" s="243" t="e">
        <f t="shared" si="33"/>
        <v>#REF!</v>
      </c>
      <c r="C114" s="1024" t="e">
        <f t="shared" si="33"/>
        <v>#REF!</v>
      </c>
      <c r="D114" s="1024"/>
      <c r="E114" s="1025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  <c r="AM114" s="243"/>
      <c r="AN114" s="243"/>
      <c r="AO114" s="243"/>
      <c r="AP114" s="243"/>
      <c r="AQ114" s="1024"/>
      <c r="AR114" s="357"/>
      <c r="AS114" s="163"/>
      <c r="AT114" s="163"/>
      <c r="AU114" s="163"/>
      <c r="AV114" s="321"/>
    </row>
    <row r="115" spans="1:48" ht="12.75" x14ac:dyDescent="0.2">
      <c r="A115" s="243" t="e">
        <f t="shared" ref="A115:C115" si="34">#REF!</f>
        <v>#REF!</v>
      </c>
      <c r="B115" s="243" t="e">
        <f t="shared" si="34"/>
        <v>#REF!</v>
      </c>
      <c r="C115" s="1024" t="e">
        <f t="shared" si="34"/>
        <v>#REF!</v>
      </c>
      <c r="D115" s="1024"/>
      <c r="E115" s="1025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3"/>
      <c r="AI115" s="243"/>
      <c r="AJ115" s="243"/>
      <c r="AK115" s="243"/>
      <c r="AL115" s="243"/>
      <c r="AM115" s="243"/>
      <c r="AN115" s="243"/>
      <c r="AO115" s="243"/>
      <c r="AP115" s="243"/>
      <c r="AQ115" s="1024"/>
      <c r="AR115" s="357"/>
      <c r="AS115" s="163"/>
      <c r="AT115" s="163"/>
      <c r="AU115" s="163"/>
      <c r="AV115" s="321"/>
    </row>
    <row r="116" spans="1:48" ht="12.75" x14ac:dyDescent="0.2">
      <c r="A116" s="243" t="e">
        <f t="shared" ref="A116:C116" si="35">#REF!</f>
        <v>#REF!</v>
      </c>
      <c r="B116" s="243" t="e">
        <f t="shared" si="35"/>
        <v>#REF!</v>
      </c>
      <c r="C116" s="1024" t="e">
        <f t="shared" si="35"/>
        <v>#REF!</v>
      </c>
      <c r="D116" s="1024"/>
      <c r="E116" s="1025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  <c r="AM116" s="243"/>
      <c r="AN116" s="243"/>
      <c r="AO116" s="243"/>
      <c r="AP116" s="243"/>
      <c r="AQ116" s="1024"/>
      <c r="AR116" s="357"/>
      <c r="AS116" s="163"/>
      <c r="AT116" s="163"/>
      <c r="AU116" s="163"/>
      <c r="AV116" s="321"/>
    </row>
    <row r="117" spans="1:48" ht="12.75" x14ac:dyDescent="0.2">
      <c r="A117" s="243" t="e">
        <f t="shared" ref="A117:C117" si="36">#REF!</f>
        <v>#REF!</v>
      </c>
      <c r="B117" s="243" t="e">
        <f t="shared" si="36"/>
        <v>#REF!</v>
      </c>
      <c r="C117" s="1024" t="e">
        <f t="shared" si="36"/>
        <v>#REF!</v>
      </c>
      <c r="D117" s="1024"/>
      <c r="E117" s="1025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  <c r="AM117" s="243"/>
      <c r="AN117" s="243"/>
      <c r="AO117" s="243"/>
      <c r="AP117" s="243"/>
      <c r="AQ117" s="1024"/>
      <c r="AR117" s="357"/>
      <c r="AS117" s="163"/>
      <c r="AT117" s="163"/>
      <c r="AU117" s="163"/>
      <c r="AV117" s="321"/>
    </row>
    <row r="118" spans="1:48" ht="12.75" x14ac:dyDescent="0.2">
      <c r="A118" s="243" t="e">
        <f t="shared" ref="A118:C118" si="37">#REF!</f>
        <v>#REF!</v>
      </c>
      <c r="B118" s="243" t="e">
        <f t="shared" si="37"/>
        <v>#REF!</v>
      </c>
      <c r="C118" s="1024" t="e">
        <f t="shared" si="37"/>
        <v>#REF!</v>
      </c>
      <c r="D118" s="1024"/>
      <c r="E118" s="1025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1024"/>
      <c r="AR118" s="357"/>
      <c r="AS118" s="163"/>
      <c r="AT118" s="163"/>
      <c r="AU118" s="163"/>
      <c r="AV118" s="321"/>
    </row>
    <row r="119" spans="1:48" ht="12.75" x14ac:dyDescent="0.2">
      <c r="A119" s="243" t="e">
        <f t="shared" ref="A119:C119" si="38">#REF!</f>
        <v>#REF!</v>
      </c>
      <c r="B119" s="243" t="e">
        <f t="shared" si="38"/>
        <v>#REF!</v>
      </c>
      <c r="C119" s="1024" t="e">
        <f t="shared" si="38"/>
        <v>#REF!</v>
      </c>
      <c r="D119" s="1024"/>
      <c r="E119" s="1025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  <c r="AM119" s="243"/>
      <c r="AN119" s="243"/>
      <c r="AO119" s="243"/>
      <c r="AP119" s="243"/>
      <c r="AQ119" s="1024"/>
      <c r="AR119" s="357"/>
      <c r="AS119" s="163"/>
      <c r="AT119" s="163"/>
      <c r="AU119" s="163"/>
      <c r="AV119" s="321"/>
    </row>
    <row r="120" spans="1:48" ht="12.75" x14ac:dyDescent="0.2">
      <c r="A120" s="243" t="e">
        <f t="shared" ref="A120:C120" si="39">#REF!</f>
        <v>#REF!</v>
      </c>
      <c r="B120" s="243" t="e">
        <f t="shared" si="39"/>
        <v>#REF!</v>
      </c>
      <c r="C120" s="1024" t="e">
        <f t="shared" si="39"/>
        <v>#REF!</v>
      </c>
      <c r="D120" s="1024"/>
      <c r="E120" s="1025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1024"/>
      <c r="AR120" s="357"/>
      <c r="AS120" s="163"/>
      <c r="AT120" s="163"/>
      <c r="AU120" s="163"/>
      <c r="AV120" s="321"/>
    </row>
    <row r="121" spans="1:48" ht="12.75" x14ac:dyDescent="0.2">
      <c r="A121" s="243" t="e">
        <f t="shared" ref="A121:C121" si="40">#REF!</f>
        <v>#REF!</v>
      </c>
      <c r="B121" s="243" t="e">
        <f t="shared" si="40"/>
        <v>#REF!</v>
      </c>
      <c r="C121" s="1024" t="e">
        <f t="shared" si="40"/>
        <v>#REF!</v>
      </c>
      <c r="D121" s="1024"/>
      <c r="E121" s="1025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3"/>
      <c r="AM121" s="243"/>
      <c r="AN121" s="243"/>
      <c r="AO121" s="243"/>
      <c r="AP121" s="243"/>
      <c r="AQ121" s="1024"/>
      <c r="AR121" s="357"/>
      <c r="AS121" s="163"/>
      <c r="AT121" s="163"/>
      <c r="AU121" s="163"/>
      <c r="AV121" s="321"/>
    </row>
    <row r="122" spans="1:48" ht="12.75" x14ac:dyDescent="0.2">
      <c r="A122" s="243" t="e">
        <f t="shared" ref="A122:C122" si="41">#REF!</f>
        <v>#REF!</v>
      </c>
      <c r="B122" s="243" t="e">
        <f t="shared" si="41"/>
        <v>#REF!</v>
      </c>
      <c r="C122" s="1024" t="e">
        <f t="shared" si="41"/>
        <v>#REF!</v>
      </c>
      <c r="D122" s="1024"/>
      <c r="E122" s="1025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1024"/>
      <c r="AR122" s="357"/>
      <c r="AS122" s="163"/>
      <c r="AT122" s="163"/>
      <c r="AU122" s="163"/>
      <c r="AV122" s="321"/>
    </row>
    <row r="123" spans="1:48" ht="12.75" x14ac:dyDescent="0.2">
      <c r="A123" s="243" t="e">
        <f t="shared" ref="A123:C123" si="42">#REF!</f>
        <v>#REF!</v>
      </c>
      <c r="B123" s="243" t="e">
        <f t="shared" si="42"/>
        <v>#REF!</v>
      </c>
      <c r="C123" s="1024" t="e">
        <f t="shared" si="42"/>
        <v>#REF!</v>
      </c>
      <c r="D123" s="1024"/>
      <c r="E123" s="1025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  <c r="AM123" s="243"/>
      <c r="AN123" s="243"/>
      <c r="AO123" s="243"/>
      <c r="AP123" s="243"/>
      <c r="AQ123" s="1024"/>
      <c r="AR123" s="357"/>
      <c r="AS123" s="163"/>
      <c r="AT123" s="163"/>
      <c r="AU123" s="163"/>
      <c r="AV123" s="321"/>
    </row>
    <row r="124" spans="1:48" ht="12.75" x14ac:dyDescent="0.2">
      <c r="A124" s="243" t="e">
        <f t="shared" ref="A124:C124" si="43">#REF!</f>
        <v>#REF!</v>
      </c>
      <c r="B124" s="243" t="e">
        <f t="shared" si="43"/>
        <v>#REF!</v>
      </c>
      <c r="C124" s="1024" t="e">
        <f t="shared" si="43"/>
        <v>#REF!</v>
      </c>
      <c r="D124" s="1024"/>
      <c r="E124" s="1025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1024"/>
      <c r="AR124" s="357"/>
      <c r="AS124" s="163"/>
      <c r="AT124" s="163"/>
      <c r="AU124" s="163"/>
      <c r="AV124" s="321"/>
    </row>
    <row r="125" spans="1:48" ht="12.75" x14ac:dyDescent="0.2">
      <c r="A125" s="243" t="e">
        <f t="shared" ref="A125:C125" si="44">#REF!</f>
        <v>#REF!</v>
      </c>
      <c r="B125" s="243" t="e">
        <f t="shared" si="44"/>
        <v>#REF!</v>
      </c>
      <c r="C125" s="1024" t="e">
        <f t="shared" si="44"/>
        <v>#REF!</v>
      </c>
      <c r="D125" s="1024"/>
      <c r="E125" s="1025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3"/>
      <c r="AI125" s="243"/>
      <c r="AJ125" s="243"/>
      <c r="AK125" s="243"/>
      <c r="AL125" s="243"/>
      <c r="AM125" s="243"/>
      <c r="AN125" s="243"/>
      <c r="AO125" s="243"/>
      <c r="AP125" s="243"/>
      <c r="AQ125" s="1024"/>
      <c r="AR125" s="357"/>
      <c r="AS125" s="163"/>
      <c r="AT125" s="163"/>
      <c r="AU125" s="163"/>
      <c r="AV125" s="321"/>
    </row>
    <row r="126" spans="1:48" ht="12.75" x14ac:dyDescent="0.2">
      <c r="A126" s="243" t="e">
        <f t="shared" ref="A126:C126" si="45">#REF!</f>
        <v>#REF!</v>
      </c>
      <c r="B126" s="243" t="e">
        <f t="shared" si="45"/>
        <v>#REF!</v>
      </c>
      <c r="C126" s="1024" t="e">
        <f t="shared" si="45"/>
        <v>#REF!</v>
      </c>
      <c r="D126" s="1024"/>
      <c r="E126" s="1025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1024"/>
      <c r="AR126" s="357"/>
      <c r="AS126" s="163"/>
      <c r="AT126" s="163"/>
      <c r="AU126" s="163"/>
      <c r="AV126" s="321"/>
    </row>
    <row r="127" spans="1:48" ht="12.75" x14ac:dyDescent="0.2">
      <c r="A127" s="243" t="e">
        <f t="shared" ref="A127:C127" si="46">#REF!</f>
        <v>#REF!</v>
      </c>
      <c r="B127" s="243" t="e">
        <f t="shared" si="46"/>
        <v>#REF!</v>
      </c>
      <c r="C127" s="1024" t="e">
        <f t="shared" si="46"/>
        <v>#REF!</v>
      </c>
      <c r="D127" s="1024"/>
      <c r="E127" s="1025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1024"/>
      <c r="AR127" s="357"/>
      <c r="AS127" s="163"/>
      <c r="AT127" s="163"/>
      <c r="AU127" s="163"/>
      <c r="AV127" s="321"/>
    </row>
    <row r="128" spans="1:48" ht="12.75" x14ac:dyDescent="0.2">
      <c r="A128" s="243" t="e">
        <f t="shared" ref="A128:C128" si="47">#REF!</f>
        <v>#REF!</v>
      </c>
      <c r="B128" s="243" t="e">
        <f t="shared" si="47"/>
        <v>#REF!</v>
      </c>
      <c r="C128" s="1024" t="e">
        <f t="shared" si="47"/>
        <v>#REF!</v>
      </c>
      <c r="D128" s="1024"/>
      <c r="E128" s="1025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1024"/>
      <c r="AR128" s="357"/>
      <c r="AS128" s="163"/>
      <c r="AT128" s="163"/>
      <c r="AU128" s="163"/>
      <c r="AV128" s="321"/>
    </row>
    <row r="129" spans="1:48" ht="12.75" x14ac:dyDescent="0.2">
      <c r="A129" s="243" t="e">
        <f t="shared" ref="A129:C129" si="48">#REF!</f>
        <v>#REF!</v>
      </c>
      <c r="B129" s="243" t="e">
        <f t="shared" si="48"/>
        <v>#REF!</v>
      </c>
      <c r="C129" s="1024" t="e">
        <f t="shared" si="48"/>
        <v>#REF!</v>
      </c>
      <c r="D129" s="1024"/>
      <c r="E129" s="1025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43"/>
      <c r="AN129" s="243"/>
      <c r="AO129" s="243"/>
      <c r="AP129" s="243"/>
      <c r="AQ129" s="1024"/>
      <c r="AR129" s="357"/>
      <c r="AS129" s="163"/>
      <c r="AT129" s="163"/>
      <c r="AU129" s="163"/>
      <c r="AV129" s="321"/>
    </row>
    <row r="130" spans="1:48" ht="12.75" x14ac:dyDescent="0.2">
      <c r="A130" s="243" t="e">
        <f t="shared" ref="A130:C130" si="49">#REF!</f>
        <v>#REF!</v>
      </c>
      <c r="B130" s="243" t="e">
        <f t="shared" si="49"/>
        <v>#REF!</v>
      </c>
      <c r="C130" s="1024" t="e">
        <f t="shared" si="49"/>
        <v>#REF!</v>
      </c>
      <c r="D130" s="1024"/>
      <c r="E130" s="1025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1024"/>
      <c r="AR130" s="357"/>
      <c r="AS130" s="163"/>
      <c r="AT130" s="163"/>
      <c r="AU130" s="163"/>
      <c r="AV130" s="321"/>
    </row>
    <row r="131" spans="1:48" ht="12.75" x14ac:dyDescent="0.2">
      <c r="A131" s="243" t="e">
        <f t="shared" ref="A131:C131" si="50">#REF!</f>
        <v>#REF!</v>
      </c>
      <c r="B131" s="243" t="e">
        <f t="shared" si="50"/>
        <v>#REF!</v>
      </c>
      <c r="C131" s="1024" t="e">
        <f t="shared" si="50"/>
        <v>#REF!</v>
      </c>
      <c r="D131" s="1024"/>
      <c r="E131" s="1025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1024"/>
      <c r="AR131" s="357"/>
      <c r="AS131" s="163"/>
      <c r="AT131" s="163"/>
      <c r="AU131" s="163"/>
      <c r="AV131" s="321"/>
    </row>
    <row r="132" spans="1:48" ht="12.75" x14ac:dyDescent="0.2">
      <c r="A132" s="243" t="e">
        <f t="shared" ref="A132:C132" si="51">#REF!</f>
        <v>#REF!</v>
      </c>
      <c r="B132" s="243" t="e">
        <f t="shared" si="51"/>
        <v>#REF!</v>
      </c>
      <c r="C132" s="1024" t="e">
        <f t="shared" si="51"/>
        <v>#REF!</v>
      </c>
      <c r="D132" s="1024"/>
      <c r="E132" s="1025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  <c r="AM132" s="243"/>
      <c r="AN132" s="243"/>
      <c r="AO132" s="243"/>
      <c r="AP132" s="243"/>
      <c r="AQ132" s="1024"/>
      <c r="AR132" s="357"/>
      <c r="AS132" s="163"/>
      <c r="AT132" s="163"/>
      <c r="AU132" s="163"/>
      <c r="AV132" s="321"/>
    </row>
    <row r="133" spans="1:48" ht="12.75" x14ac:dyDescent="0.2">
      <c r="A133" s="243" t="e">
        <f t="shared" ref="A133:C133" si="52">#REF!</f>
        <v>#REF!</v>
      </c>
      <c r="B133" s="243" t="e">
        <f t="shared" si="52"/>
        <v>#REF!</v>
      </c>
      <c r="C133" s="1024" t="e">
        <f t="shared" si="52"/>
        <v>#REF!</v>
      </c>
      <c r="D133" s="1024"/>
      <c r="E133" s="1025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3"/>
      <c r="AI133" s="243"/>
      <c r="AJ133" s="243"/>
      <c r="AK133" s="243"/>
      <c r="AL133" s="243"/>
      <c r="AM133" s="243"/>
      <c r="AN133" s="243"/>
      <c r="AO133" s="243"/>
      <c r="AP133" s="243"/>
      <c r="AQ133" s="1024"/>
      <c r="AR133" s="357"/>
      <c r="AS133" s="163"/>
      <c r="AT133" s="163"/>
      <c r="AU133" s="163"/>
      <c r="AV133" s="321"/>
    </row>
    <row r="134" spans="1:48" ht="12.75" x14ac:dyDescent="0.2">
      <c r="A134" s="243" t="e">
        <f t="shared" ref="A134:C134" si="53">#REF!</f>
        <v>#REF!</v>
      </c>
      <c r="B134" s="243" t="e">
        <f t="shared" si="53"/>
        <v>#REF!</v>
      </c>
      <c r="C134" s="1024" t="e">
        <f t="shared" si="53"/>
        <v>#REF!</v>
      </c>
      <c r="D134" s="1024"/>
      <c r="E134" s="1025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  <c r="AI134" s="243"/>
      <c r="AJ134" s="243"/>
      <c r="AK134" s="243"/>
      <c r="AL134" s="243"/>
      <c r="AM134" s="243"/>
      <c r="AN134" s="243"/>
      <c r="AO134" s="243"/>
      <c r="AP134" s="243"/>
      <c r="AQ134" s="1024"/>
      <c r="AR134" s="357"/>
      <c r="AS134" s="163"/>
      <c r="AT134" s="163"/>
      <c r="AU134" s="163"/>
      <c r="AV134" s="321"/>
    </row>
    <row r="135" spans="1:48" ht="12.75" x14ac:dyDescent="0.2">
      <c r="A135" s="243" t="e">
        <f t="shared" ref="A135:C135" si="54">#REF!</f>
        <v>#REF!</v>
      </c>
      <c r="B135" s="243" t="e">
        <f t="shared" si="54"/>
        <v>#REF!</v>
      </c>
      <c r="C135" s="1024" t="e">
        <f t="shared" si="54"/>
        <v>#REF!</v>
      </c>
      <c r="D135" s="1024"/>
      <c r="E135" s="1025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3"/>
      <c r="AI135" s="243"/>
      <c r="AJ135" s="243"/>
      <c r="AK135" s="243"/>
      <c r="AL135" s="243"/>
      <c r="AM135" s="243"/>
      <c r="AN135" s="243"/>
      <c r="AO135" s="243"/>
      <c r="AP135" s="243"/>
      <c r="AQ135" s="1024"/>
      <c r="AR135" s="357"/>
      <c r="AS135" s="163"/>
      <c r="AT135" s="163"/>
      <c r="AU135" s="163"/>
      <c r="AV135" s="321"/>
    </row>
    <row r="136" spans="1:48" ht="12.75" x14ac:dyDescent="0.2">
      <c r="A136" s="243" t="e">
        <f t="shared" ref="A136:C136" si="55">#REF!</f>
        <v>#REF!</v>
      </c>
      <c r="B136" s="243" t="e">
        <f t="shared" si="55"/>
        <v>#REF!</v>
      </c>
      <c r="C136" s="1024" t="e">
        <f t="shared" si="55"/>
        <v>#REF!</v>
      </c>
      <c r="D136" s="1024"/>
      <c r="E136" s="1025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  <c r="AM136" s="243"/>
      <c r="AN136" s="243"/>
      <c r="AO136" s="243"/>
      <c r="AP136" s="243"/>
      <c r="AQ136" s="1024"/>
      <c r="AR136" s="357"/>
      <c r="AS136" s="163"/>
      <c r="AT136" s="163"/>
      <c r="AU136" s="163"/>
      <c r="AV136" s="321"/>
    </row>
    <row r="137" spans="1:48" ht="12.75" x14ac:dyDescent="0.2">
      <c r="A137" s="243" t="e">
        <f t="shared" ref="A137:C137" si="56">#REF!</f>
        <v>#REF!</v>
      </c>
      <c r="B137" s="243" t="e">
        <f t="shared" si="56"/>
        <v>#REF!</v>
      </c>
      <c r="C137" s="1024" t="e">
        <f t="shared" si="56"/>
        <v>#REF!</v>
      </c>
      <c r="D137" s="1024"/>
      <c r="E137" s="1025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  <c r="AK137" s="243"/>
      <c r="AL137" s="243"/>
      <c r="AM137" s="243"/>
      <c r="AN137" s="243"/>
      <c r="AO137" s="243"/>
      <c r="AP137" s="243"/>
      <c r="AQ137" s="1024"/>
      <c r="AR137" s="357"/>
      <c r="AS137" s="163"/>
      <c r="AT137" s="163"/>
      <c r="AU137" s="163"/>
      <c r="AV137" s="321"/>
    </row>
    <row r="138" spans="1:48" ht="12.75" x14ac:dyDescent="0.2">
      <c r="A138" s="243" t="e">
        <f t="shared" ref="A138:C138" si="57">#REF!</f>
        <v>#REF!</v>
      </c>
      <c r="B138" s="243" t="e">
        <f t="shared" si="57"/>
        <v>#REF!</v>
      </c>
      <c r="C138" s="1024" t="e">
        <f t="shared" si="57"/>
        <v>#REF!</v>
      </c>
      <c r="D138" s="1024"/>
      <c r="E138" s="1025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  <c r="AM138" s="243"/>
      <c r="AN138" s="243"/>
      <c r="AO138" s="243"/>
      <c r="AP138" s="243"/>
      <c r="AQ138" s="1024"/>
      <c r="AR138" s="357"/>
      <c r="AS138" s="163"/>
      <c r="AT138" s="163"/>
      <c r="AU138" s="163"/>
      <c r="AV138" s="321"/>
    </row>
    <row r="139" spans="1:48" ht="12.75" x14ac:dyDescent="0.2">
      <c r="A139" s="243" t="e">
        <f t="shared" ref="A139:C139" si="58">#REF!</f>
        <v>#REF!</v>
      </c>
      <c r="B139" s="243" t="e">
        <f t="shared" si="58"/>
        <v>#REF!</v>
      </c>
      <c r="C139" s="1024" t="e">
        <f t="shared" si="58"/>
        <v>#REF!</v>
      </c>
      <c r="D139" s="1024"/>
      <c r="E139" s="1025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  <c r="AM139" s="243"/>
      <c r="AN139" s="243"/>
      <c r="AO139" s="243"/>
      <c r="AP139" s="243"/>
      <c r="AQ139" s="1024"/>
      <c r="AR139" s="357"/>
      <c r="AS139" s="163"/>
      <c r="AT139" s="163"/>
      <c r="AU139" s="163"/>
      <c r="AV139" s="321"/>
    </row>
    <row r="140" spans="1:48" ht="12.75" x14ac:dyDescent="0.2">
      <c r="A140" s="243" t="e">
        <f t="shared" ref="A140:C140" si="59">#REF!</f>
        <v>#REF!</v>
      </c>
      <c r="B140" s="243" t="e">
        <f t="shared" si="59"/>
        <v>#REF!</v>
      </c>
      <c r="C140" s="1024" t="e">
        <f t="shared" si="59"/>
        <v>#REF!</v>
      </c>
      <c r="D140" s="1024"/>
      <c r="E140" s="1025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1024"/>
      <c r="AR140" s="357"/>
      <c r="AS140" s="163"/>
      <c r="AT140" s="163"/>
      <c r="AU140" s="163"/>
      <c r="AV140" s="321"/>
    </row>
    <row r="141" spans="1:48" ht="12.75" x14ac:dyDescent="0.2">
      <c r="A141" s="243" t="e">
        <f t="shared" ref="A141:C141" si="60">#REF!</f>
        <v>#REF!</v>
      </c>
      <c r="B141" s="243" t="e">
        <f t="shared" si="60"/>
        <v>#REF!</v>
      </c>
      <c r="C141" s="1024" t="e">
        <f t="shared" si="60"/>
        <v>#REF!</v>
      </c>
      <c r="D141" s="1024"/>
      <c r="E141" s="1025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3"/>
      <c r="AI141" s="243"/>
      <c r="AJ141" s="243"/>
      <c r="AK141" s="243"/>
      <c r="AL141" s="243"/>
      <c r="AM141" s="243"/>
      <c r="AN141" s="243"/>
      <c r="AO141" s="243"/>
      <c r="AP141" s="243"/>
      <c r="AQ141" s="1024"/>
      <c r="AR141" s="357"/>
      <c r="AS141" s="163"/>
      <c r="AT141" s="163"/>
      <c r="AU141" s="163"/>
      <c r="AV141" s="321"/>
    </row>
    <row r="142" spans="1:48" ht="12.75" x14ac:dyDescent="0.2">
      <c r="A142" s="243" t="e">
        <f t="shared" ref="A142:C142" si="61">#REF!</f>
        <v>#REF!</v>
      </c>
      <c r="B142" s="243" t="e">
        <f t="shared" si="61"/>
        <v>#REF!</v>
      </c>
      <c r="C142" s="1024" t="e">
        <f t="shared" si="61"/>
        <v>#REF!</v>
      </c>
      <c r="D142" s="1024"/>
      <c r="E142" s="1025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1024"/>
      <c r="AR142" s="357"/>
      <c r="AS142" s="163"/>
      <c r="AT142" s="163"/>
      <c r="AU142" s="163"/>
      <c r="AV142" s="321"/>
    </row>
    <row r="143" spans="1:48" ht="12.75" x14ac:dyDescent="0.2">
      <c r="A143" s="243" t="e">
        <f t="shared" ref="A143:C143" si="62">#REF!</f>
        <v>#REF!</v>
      </c>
      <c r="B143" s="243" t="e">
        <f t="shared" si="62"/>
        <v>#REF!</v>
      </c>
      <c r="C143" s="1024" t="e">
        <f t="shared" si="62"/>
        <v>#REF!</v>
      </c>
      <c r="D143" s="1024"/>
      <c r="E143" s="1025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3"/>
      <c r="AI143" s="243"/>
      <c r="AJ143" s="243"/>
      <c r="AK143" s="243"/>
      <c r="AL143" s="243"/>
      <c r="AM143" s="243"/>
      <c r="AN143" s="243"/>
      <c r="AO143" s="243"/>
      <c r="AP143" s="243"/>
      <c r="AQ143" s="1024"/>
      <c r="AR143" s="357"/>
      <c r="AS143" s="163"/>
      <c r="AT143" s="163"/>
      <c r="AU143" s="163"/>
      <c r="AV143" s="321"/>
    </row>
    <row r="144" spans="1:48" ht="12.75" x14ac:dyDescent="0.2">
      <c r="A144" s="243" t="e">
        <f t="shared" ref="A144:C144" si="63">#REF!</f>
        <v>#REF!</v>
      </c>
      <c r="B144" s="243" t="e">
        <f t="shared" si="63"/>
        <v>#REF!</v>
      </c>
      <c r="C144" s="1024" t="e">
        <f t="shared" si="63"/>
        <v>#REF!</v>
      </c>
      <c r="D144" s="1024"/>
      <c r="E144" s="1025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1024"/>
      <c r="AR144" s="357"/>
      <c r="AS144" s="163"/>
      <c r="AT144" s="163"/>
      <c r="AU144" s="163"/>
      <c r="AV144" s="321"/>
    </row>
    <row r="145" spans="1:48" ht="12.75" x14ac:dyDescent="0.2">
      <c r="A145" s="243" t="e">
        <f t="shared" ref="A145:C145" si="64">#REF!</f>
        <v>#REF!</v>
      </c>
      <c r="B145" s="243" t="e">
        <f t="shared" si="64"/>
        <v>#REF!</v>
      </c>
      <c r="C145" s="1024" t="e">
        <f t="shared" si="64"/>
        <v>#REF!</v>
      </c>
      <c r="D145" s="1024"/>
      <c r="E145" s="1025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243"/>
      <c r="AL145" s="243"/>
      <c r="AM145" s="243"/>
      <c r="AN145" s="243"/>
      <c r="AO145" s="243"/>
      <c r="AP145" s="243"/>
      <c r="AQ145" s="1024"/>
      <c r="AR145" s="357"/>
      <c r="AS145" s="163"/>
      <c r="AT145" s="163"/>
      <c r="AU145" s="163"/>
      <c r="AV145" s="321"/>
    </row>
    <row r="146" spans="1:48" ht="12.75" x14ac:dyDescent="0.2">
      <c r="A146" s="243" t="e">
        <f t="shared" ref="A146:C146" si="65">#REF!</f>
        <v>#REF!</v>
      </c>
      <c r="B146" s="243" t="e">
        <f t="shared" si="65"/>
        <v>#REF!</v>
      </c>
      <c r="C146" s="1024" t="e">
        <f t="shared" si="65"/>
        <v>#REF!</v>
      </c>
      <c r="D146" s="1024"/>
      <c r="E146" s="1025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3"/>
      <c r="AI146" s="243"/>
      <c r="AJ146" s="243"/>
      <c r="AK146" s="243"/>
      <c r="AL146" s="243"/>
      <c r="AM146" s="243"/>
      <c r="AN146" s="243"/>
      <c r="AO146" s="243"/>
      <c r="AP146" s="243"/>
      <c r="AQ146" s="1024"/>
      <c r="AR146" s="357"/>
      <c r="AS146" s="163"/>
      <c r="AT146" s="163"/>
      <c r="AU146" s="163"/>
      <c r="AV146" s="321"/>
    </row>
    <row r="147" spans="1:48" ht="12.75" x14ac:dyDescent="0.2">
      <c r="A147" s="243" t="e">
        <f t="shared" ref="A147:C147" si="66">#REF!</f>
        <v>#REF!</v>
      </c>
      <c r="B147" s="243" t="e">
        <f t="shared" si="66"/>
        <v>#REF!</v>
      </c>
      <c r="C147" s="1024" t="e">
        <f t="shared" si="66"/>
        <v>#REF!</v>
      </c>
      <c r="D147" s="1024"/>
      <c r="E147" s="1025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1024"/>
      <c r="AR147" s="357"/>
      <c r="AS147" s="163"/>
      <c r="AT147" s="163"/>
      <c r="AU147" s="163"/>
      <c r="AV147" s="321"/>
    </row>
    <row r="148" spans="1:48" ht="12.75" x14ac:dyDescent="0.2">
      <c r="A148" s="243" t="e">
        <f t="shared" ref="A148:C148" si="67">#REF!</f>
        <v>#REF!</v>
      </c>
      <c r="B148" s="243" t="e">
        <f t="shared" si="67"/>
        <v>#REF!</v>
      </c>
      <c r="C148" s="1024" t="e">
        <f t="shared" si="67"/>
        <v>#REF!</v>
      </c>
      <c r="D148" s="1024"/>
      <c r="E148" s="1025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3"/>
      <c r="AI148" s="243"/>
      <c r="AJ148" s="243"/>
      <c r="AK148" s="243"/>
      <c r="AL148" s="243"/>
      <c r="AM148" s="243"/>
      <c r="AN148" s="243"/>
      <c r="AO148" s="243"/>
      <c r="AP148" s="243"/>
      <c r="AQ148" s="1024"/>
      <c r="AR148" s="357"/>
      <c r="AS148" s="163"/>
      <c r="AT148" s="163"/>
      <c r="AU148" s="163"/>
      <c r="AV148" s="321"/>
    </row>
    <row r="149" spans="1:48" ht="12.75" x14ac:dyDescent="0.2">
      <c r="A149" s="243" t="e">
        <f t="shared" ref="A149:C149" si="68">#REF!</f>
        <v>#REF!</v>
      </c>
      <c r="B149" s="243" t="e">
        <f t="shared" si="68"/>
        <v>#REF!</v>
      </c>
      <c r="C149" s="1024" t="e">
        <f t="shared" si="68"/>
        <v>#REF!</v>
      </c>
      <c r="D149" s="1024"/>
      <c r="E149" s="1025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243"/>
      <c r="AL149" s="243"/>
      <c r="AM149" s="243"/>
      <c r="AN149" s="243"/>
      <c r="AO149" s="243"/>
      <c r="AP149" s="243"/>
      <c r="AQ149" s="1024"/>
      <c r="AR149" s="357"/>
      <c r="AS149" s="163"/>
      <c r="AT149" s="163"/>
      <c r="AU149" s="163"/>
      <c r="AV149" s="321"/>
    </row>
    <row r="150" spans="1:48" ht="12.75" x14ac:dyDescent="0.2">
      <c r="A150" s="243" t="e">
        <f t="shared" ref="A150:C150" si="69">#REF!</f>
        <v>#REF!</v>
      </c>
      <c r="B150" s="243" t="e">
        <f t="shared" si="69"/>
        <v>#REF!</v>
      </c>
      <c r="C150" s="1024" t="e">
        <f t="shared" si="69"/>
        <v>#REF!</v>
      </c>
      <c r="D150" s="1024"/>
      <c r="E150" s="1025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243"/>
      <c r="AL150" s="243"/>
      <c r="AM150" s="243"/>
      <c r="AN150" s="243"/>
      <c r="AO150" s="243"/>
      <c r="AP150" s="243"/>
      <c r="AQ150" s="1024"/>
      <c r="AR150" s="357"/>
      <c r="AS150" s="163"/>
      <c r="AT150" s="163"/>
      <c r="AU150" s="163"/>
      <c r="AV150" s="321"/>
    </row>
    <row r="151" spans="1:48" ht="12.75" x14ac:dyDescent="0.2">
      <c r="A151" s="243" t="e">
        <f t="shared" ref="A151:C151" si="70">#REF!</f>
        <v>#REF!</v>
      </c>
      <c r="B151" s="243" t="e">
        <f t="shared" si="70"/>
        <v>#REF!</v>
      </c>
      <c r="C151" s="1024" t="e">
        <f t="shared" si="70"/>
        <v>#REF!</v>
      </c>
      <c r="D151" s="1024"/>
      <c r="E151" s="1025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243"/>
      <c r="AL151" s="243"/>
      <c r="AM151" s="243"/>
      <c r="AN151" s="243"/>
      <c r="AO151" s="243"/>
      <c r="AP151" s="243"/>
      <c r="AQ151" s="1024"/>
      <c r="AR151" s="357"/>
      <c r="AS151" s="163"/>
      <c r="AT151" s="163"/>
      <c r="AU151" s="163"/>
      <c r="AV151" s="321"/>
    </row>
    <row r="152" spans="1:48" ht="12.75" x14ac:dyDescent="0.2">
      <c r="A152" s="243" t="e">
        <f t="shared" ref="A152:C152" si="71">#REF!</f>
        <v>#REF!</v>
      </c>
      <c r="B152" s="243" t="e">
        <f t="shared" si="71"/>
        <v>#REF!</v>
      </c>
      <c r="C152" s="1024" t="e">
        <f t="shared" si="71"/>
        <v>#REF!</v>
      </c>
      <c r="D152" s="1024"/>
      <c r="E152" s="1025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243"/>
      <c r="AL152" s="243"/>
      <c r="AM152" s="243"/>
      <c r="AN152" s="243"/>
      <c r="AO152" s="243"/>
      <c r="AP152" s="243"/>
      <c r="AQ152" s="1024"/>
      <c r="AR152" s="357"/>
      <c r="AS152" s="163"/>
      <c r="AT152" s="163"/>
      <c r="AU152" s="163"/>
      <c r="AV152" s="321"/>
    </row>
    <row r="153" spans="1:48" ht="12.75" x14ac:dyDescent="0.2">
      <c r="A153" s="243" t="e">
        <f t="shared" ref="A153:C153" si="72">#REF!</f>
        <v>#REF!</v>
      </c>
      <c r="B153" s="243" t="e">
        <f t="shared" si="72"/>
        <v>#REF!</v>
      </c>
      <c r="C153" s="1024" t="e">
        <f t="shared" si="72"/>
        <v>#REF!</v>
      </c>
      <c r="D153" s="1024"/>
      <c r="E153" s="1025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1024"/>
      <c r="AR153" s="357"/>
      <c r="AS153" s="163"/>
      <c r="AT153" s="163"/>
      <c r="AU153" s="163"/>
      <c r="AV153" s="321"/>
    </row>
    <row r="154" spans="1:48" ht="12.75" x14ac:dyDescent="0.2">
      <c r="A154" s="243" t="e">
        <f t="shared" ref="A154:C154" si="73">#REF!</f>
        <v>#REF!</v>
      </c>
      <c r="B154" s="243" t="e">
        <f t="shared" si="73"/>
        <v>#REF!</v>
      </c>
      <c r="C154" s="1024" t="e">
        <f t="shared" si="73"/>
        <v>#REF!</v>
      </c>
      <c r="D154" s="1024"/>
      <c r="E154" s="1025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3"/>
      <c r="AM154" s="243"/>
      <c r="AN154" s="243"/>
      <c r="AO154" s="243"/>
      <c r="AP154" s="243"/>
      <c r="AQ154" s="1024"/>
      <c r="AR154" s="357"/>
      <c r="AS154" s="163"/>
      <c r="AT154" s="163"/>
      <c r="AU154" s="163"/>
      <c r="AV154" s="321"/>
    </row>
    <row r="155" spans="1:48" ht="12.75" x14ac:dyDescent="0.2">
      <c r="A155" s="243" t="e">
        <f t="shared" ref="A155:C155" si="74">#REF!</f>
        <v>#REF!</v>
      </c>
      <c r="B155" s="243" t="e">
        <f t="shared" si="74"/>
        <v>#REF!</v>
      </c>
      <c r="C155" s="1024" t="e">
        <f t="shared" si="74"/>
        <v>#REF!</v>
      </c>
      <c r="D155" s="1024"/>
      <c r="E155" s="1025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3"/>
      <c r="AI155" s="243"/>
      <c r="AJ155" s="243"/>
      <c r="AK155" s="243"/>
      <c r="AL155" s="243"/>
      <c r="AM155" s="243"/>
      <c r="AN155" s="243"/>
      <c r="AO155" s="243"/>
      <c r="AP155" s="243"/>
      <c r="AQ155" s="1024"/>
      <c r="AR155" s="357"/>
      <c r="AS155" s="163"/>
      <c r="AT155" s="163"/>
      <c r="AU155" s="163"/>
      <c r="AV155" s="321"/>
    </row>
    <row r="156" spans="1:48" ht="12.75" x14ac:dyDescent="0.2">
      <c r="A156" s="243" t="e">
        <f t="shared" ref="A156:C156" si="75">#REF!</f>
        <v>#REF!</v>
      </c>
      <c r="B156" s="243" t="e">
        <f t="shared" si="75"/>
        <v>#REF!</v>
      </c>
      <c r="C156" s="1024" t="e">
        <f t="shared" si="75"/>
        <v>#REF!</v>
      </c>
      <c r="D156" s="1024"/>
      <c r="E156" s="1025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3"/>
      <c r="AI156" s="243"/>
      <c r="AJ156" s="243"/>
      <c r="AK156" s="243"/>
      <c r="AL156" s="243"/>
      <c r="AM156" s="243"/>
      <c r="AN156" s="243"/>
      <c r="AO156" s="243"/>
      <c r="AP156" s="243"/>
      <c r="AQ156" s="1024"/>
      <c r="AR156" s="357"/>
      <c r="AS156" s="163"/>
      <c r="AT156" s="163"/>
      <c r="AU156" s="163"/>
      <c r="AV156" s="321"/>
    </row>
    <row r="157" spans="1:48" ht="12.75" x14ac:dyDescent="0.2">
      <c r="A157" s="243" t="e">
        <f t="shared" ref="A157:C157" si="76">#REF!</f>
        <v>#REF!</v>
      </c>
      <c r="B157" s="243" t="e">
        <f t="shared" si="76"/>
        <v>#REF!</v>
      </c>
      <c r="C157" s="1024" t="e">
        <f t="shared" si="76"/>
        <v>#REF!</v>
      </c>
      <c r="D157" s="1024"/>
      <c r="E157" s="1025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3"/>
      <c r="AI157" s="243"/>
      <c r="AJ157" s="243"/>
      <c r="AK157" s="243"/>
      <c r="AL157" s="243"/>
      <c r="AM157" s="243"/>
      <c r="AN157" s="243"/>
      <c r="AO157" s="243"/>
      <c r="AP157" s="243"/>
      <c r="AQ157" s="1024"/>
      <c r="AR157" s="357"/>
      <c r="AS157" s="163"/>
      <c r="AT157" s="163"/>
      <c r="AU157" s="163"/>
      <c r="AV157" s="321"/>
    </row>
    <row r="158" spans="1:48" ht="12.75" x14ac:dyDescent="0.2">
      <c r="A158" s="243" t="e">
        <f t="shared" ref="A158:C158" si="77">#REF!</f>
        <v>#REF!</v>
      </c>
      <c r="B158" s="243" t="e">
        <f t="shared" si="77"/>
        <v>#REF!</v>
      </c>
      <c r="C158" s="1024" t="e">
        <f t="shared" si="77"/>
        <v>#REF!</v>
      </c>
      <c r="D158" s="1024"/>
      <c r="E158" s="1025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3"/>
      <c r="AI158" s="243"/>
      <c r="AJ158" s="243"/>
      <c r="AK158" s="243"/>
      <c r="AL158" s="243"/>
      <c r="AM158" s="243"/>
      <c r="AN158" s="243"/>
      <c r="AO158" s="243"/>
      <c r="AP158" s="243"/>
      <c r="AQ158" s="1024"/>
      <c r="AR158" s="357"/>
      <c r="AS158" s="163"/>
      <c r="AT158" s="163"/>
      <c r="AU158" s="163"/>
      <c r="AV158" s="321"/>
    </row>
    <row r="159" spans="1:48" ht="12.75" x14ac:dyDescent="0.2">
      <c r="A159" s="243" t="e">
        <f t="shared" ref="A159:C159" si="78">#REF!</f>
        <v>#REF!</v>
      </c>
      <c r="B159" s="243" t="e">
        <f t="shared" si="78"/>
        <v>#REF!</v>
      </c>
      <c r="C159" s="1024" t="e">
        <f t="shared" si="78"/>
        <v>#REF!</v>
      </c>
      <c r="D159" s="1024"/>
      <c r="E159" s="1025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1024"/>
      <c r="AR159" s="357"/>
      <c r="AS159" s="163"/>
      <c r="AT159" s="163"/>
      <c r="AU159" s="163"/>
      <c r="AV159" s="321"/>
    </row>
    <row r="160" spans="1:48" ht="12.75" x14ac:dyDescent="0.2">
      <c r="A160" s="243" t="e">
        <f t="shared" ref="A160:C160" si="79">#REF!</f>
        <v>#REF!</v>
      </c>
      <c r="B160" s="243" t="e">
        <f t="shared" si="79"/>
        <v>#REF!</v>
      </c>
      <c r="C160" s="1024" t="e">
        <f t="shared" si="79"/>
        <v>#REF!</v>
      </c>
      <c r="D160" s="1024"/>
      <c r="E160" s="1025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1024"/>
      <c r="AR160" s="357"/>
      <c r="AS160" s="163"/>
      <c r="AT160" s="163"/>
      <c r="AU160" s="163"/>
      <c r="AV160" s="321"/>
    </row>
    <row r="161" spans="1:48" ht="12.75" x14ac:dyDescent="0.2">
      <c r="A161" s="243" t="e">
        <f t="shared" ref="A161:C161" si="80">#REF!</f>
        <v>#REF!</v>
      </c>
      <c r="B161" s="243" t="e">
        <f t="shared" si="80"/>
        <v>#REF!</v>
      </c>
      <c r="C161" s="1024" t="e">
        <f t="shared" si="80"/>
        <v>#REF!</v>
      </c>
      <c r="D161" s="1024"/>
      <c r="E161" s="1025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1024"/>
      <c r="AR161" s="357"/>
      <c r="AS161" s="163"/>
      <c r="AT161" s="163"/>
      <c r="AU161" s="163"/>
      <c r="AV161" s="321"/>
    </row>
    <row r="162" spans="1:48" ht="12.75" x14ac:dyDescent="0.2">
      <c r="A162" s="243" t="e">
        <f t="shared" ref="A162:C162" si="81">#REF!</f>
        <v>#REF!</v>
      </c>
      <c r="B162" s="243" t="e">
        <f t="shared" si="81"/>
        <v>#REF!</v>
      </c>
      <c r="C162" s="1024" t="e">
        <f t="shared" si="81"/>
        <v>#REF!</v>
      </c>
      <c r="D162" s="1024"/>
      <c r="E162" s="1025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1024"/>
      <c r="AR162" s="357"/>
      <c r="AS162" s="163"/>
      <c r="AT162" s="163"/>
      <c r="AU162" s="163"/>
      <c r="AV162" s="321"/>
    </row>
    <row r="163" spans="1:48" ht="12.75" x14ac:dyDescent="0.2">
      <c r="A163" s="243" t="e">
        <f t="shared" ref="A163:C163" si="82">#REF!</f>
        <v>#REF!</v>
      </c>
      <c r="B163" s="243" t="e">
        <f t="shared" si="82"/>
        <v>#REF!</v>
      </c>
      <c r="C163" s="1024" t="e">
        <f t="shared" si="82"/>
        <v>#REF!</v>
      </c>
      <c r="D163" s="1024"/>
      <c r="E163" s="1025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3"/>
      <c r="AI163" s="243"/>
      <c r="AJ163" s="243"/>
      <c r="AK163" s="243"/>
      <c r="AL163" s="243"/>
      <c r="AM163" s="243"/>
      <c r="AN163" s="243"/>
      <c r="AO163" s="243"/>
      <c r="AP163" s="243"/>
      <c r="AQ163" s="1024"/>
      <c r="AR163" s="357"/>
      <c r="AS163" s="163"/>
      <c r="AT163" s="163"/>
      <c r="AU163" s="163"/>
      <c r="AV163" s="321"/>
    </row>
    <row r="164" spans="1:48" ht="12.75" x14ac:dyDescent="0.2">
      <c r="A164" s="243" t="e">
        <f t="shared" ref="A164:C164" si="83">#REF!</f>
        <v>#REF!</v>
      </c>
      <c r="B164" s="243" t="e">
        <f t="shared" si="83"/>
        <v>#REF!</v>
      </c>
      <c r="C164" s="1024" t="e">
        <f t="shared" si="83"/>
        <v>#REF!</v>
      </c>
      <c r="D164" s="1024"/>
      <c r="E164" s="1025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  <c r="AH164" s="243"/>
      <c r="AI164" s="243"/>
      <c r="AJ164" s="243"/>
      <c r="AK164" s="243"/>
      <c r="AL164" s="243"/>
      <c r="AM164" s="243"/>
      <c r="AN164" s="243"/>
      <c r="AO164" s="243"/>
      <c r="AP164" s="243"/>
      <c r="AQ164" s="1024"/>
      <c r="AR164" s="357"/>
      <c r="AS164" s="163"/>
      <c r="AT164" s="163"/>
      <c r="AU164" s="163"/>
      <c r="AV164" s="321"/>
    </row>
    <row r="165" spans="1:48" ht="12.75" x14ac:dyDescent="0.2">
      <c r="A165" s="243" t="e">
        <f t="shared" ref="A165:C165" si="84">#REF!</f>
        <v>#REF!</v>
      </c>
      <c r="B165" s="243" t="e">
        <f t="shared" si="84"/>
        <v>#REF!</v>
      </c>
      <c r="C165" s="1024" t="e">
        <f t="shared" si="84"/>
        <v>#REF!</v>
      </c>
      <c r="D165" s="1024"/>
      <c r="E165" s="1025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3"/>
      <c r="AI165" s="243"/>
      <c r="AJ165" s="243"/>
      <c r="AK165" s="243"/>
      <c r="AL165" s="243"/>
      <c r="AM165" s="243"/>
      <c r="AN165" s="243"/>
      <c r="AO165" s="243"/>
      <c r="AP165" s="243"/>
      <c r="AQ165" s="1024"/>
      <c r="AR165" s="357"/>
      <c r="AS165" s="163"/>
      <c r="AT165" s="163"/>
      <c r="AU165" s="163"/>
      <c r="AV165" s="321"/>
    </row>
    <row r="166" spans="1:48" ht="12.75" x14ac:dyDescent="0.2">
      <c r="A166" s="243" t="e">
        <f t="shared" ref="A166:C166" si="85">#REF!</f>
        <v>#REF!</v>
      </c>
      <c r="B166" s="243" t="e">
        <f t="shared" si="85"/>
        <v>#REF!</v>
      </c>
      <c r="C166" s="1024" t="e">
        <f t="shared" si="85"/>
        <v>#REF!</v>
      </c>
      <c r="D166" s="1024"/>
      <c r="E166" s="1025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  <c r="AH166" s="243"/>
      <c r="AI166" s="243"/>
      <c r="AJ166" s="243"/>
      <c r="AK166" s="243"/>
      <c r="AL166" s="243"/>
      <c r="AM166" s="243"/>
      <c r="AN166" s="243"/>
      <c r="AO166" s="243"/>
      <c r="AP166" s="243"/>
      <c r="AQ166" s="1024"/>
      <c r="AR166" s="357"/>
      <c r="AS166" s="163"/>
      <c r="AT166" s="163"/>
      <c r="AU166" s="163"/>
      <c r="AV166" s="321"/>
    </row>
    <row r="167" spans="1:48" ht="12.75" x14ac:dyDescent="0.2">
      <c r="A167" s="243" t="e">
        <f t="shared" ref="A167:C167" si="86">#REF!</f>
        <v>#REF!</v>
      </c>
      <c r="B167" s="243" t="e">
        <f t="shared" si="86"/>
        <v>#REF!</v>
      </c>
      <c r="C167" s="1024" t="e">
        <f t="shared" si="86"/>
        <v>#REF!</v>
      </c>
      <c r="D167" s="1024"/>
      <c r="E167" s="1025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  <c r="AH167" s="243"/>
      <c r="AI167" s="243"/>
      <c r="AJ167" s="243"/>
      <c r="AK167" s="243"/>
      <c r="AL167" s="243"/>
      <c r="AM167" s="243"/>
      <c r="AN167" s="243"/>
      <c r="AO167" s="243"/>
      <c r="AP167" s="243"/>
      <c r="AQ167" s="1024"/>
      <c r="AR167" s="357"/>
      <c r="AS167" s="163"/>
      <c r="AT167" s="163"/>
      <c r="AU167" s="163"/>
      <c r="AV167" s="321"/>
    </row>
    <row r="168" spans="1:48" ht="12.75" x14ac:dyDescent="0.2">
      <c r="A168" s="243" t="e">
        <f t="shared" ref="A168:C168" si="87">#REF!</f>
        <v>#REF!</v>
      </c>
      <c r="B168" s="243" t="e">
        <f t="shared" si="87"/>
        <v>#REF!</v>
      </c>
      <c r="C168" s="1024" t="e">
        <f t="shared" si="87"/>
        <v>#REF!</v>
      </c>
      <c r="D168" s="1024"/>
      <c r="E168" s="1025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3"/>
      <c r="AI168" s="243"/>
      <c r="AJ168" s="243"/>
      <c r="AK168" s="243"/>
      <c r="AL168" s="243"/>
      <c r="AM168" s="243"/>
      <c r="AN168" s="243"/>
      <c r="AO168" s="243"/>
      <c r="AP168" s="243"/>
      <c r="AQ168" s="1024"/>
      <c r="AR168" s="357"/>
      <c r="AS168" s="163"/>
      <c r="AT168" s="163"/>
      <c r="AU168" s="163"/>
      <c r="AV168" s="321"/>
    </row>
    <row r="169" spans="1:48" ht="12.75" x14ac:dyDescent="0.2">
      <c r="A169" s="243" t="e">
        <f t="shared" ref="A169:C169" si="88">#REF!</f>
        <v>#REF!</v>
      </c>
      <c r="B169" s="243" t="e">
        <f t="shared" si="88"/>
        <v>#REF!</v>
      </c>
      <c r="C169" s="1024" t="e">
        <f t="shared" si="88"/>
        <v>#REF!</v>
      </c>
      <c r="D169" s="1024"/>
      <c r="E169" s="1025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3"/>
      <c r="AI169" s="243"/>
      <c r="AJ169" s="243"/>
      <c r="AK169" s="243"/>
      <c r="AL169" s="243"/>
      <c r="AM169" s="243"/>
      <c r="AN169" s="243"/>
      <c r="AO169" s="243"/>
      <c r="AP169" s="243"/>
      <c r="AQ169" s="1024"/>
      <c r="AR169" s="357"/>
      <c r="AS169" s="163"/>
      <c r="AT169" s="163"/>
      <c r="AU169" s="163"/>
      <c r="AV169" s="321"/>
    </row>
    <row r="170" spans="1:48" ht="12.75" x14ac:dyDescent="0.2">
      <c r="A170" s="243" t="e">
        <f t="shared" ref="A170:C170" si="89">#REF!</f>
        <v>#REF!</v>
      </c>
      <c r="B170" s="243" t="e">
        <f t="shared" si="89"/>
        <v>#REF!</v>
      </c>
      <c r="C170" s="1024" t="e">
        <f t="shared" si="89"/>
        <v>#REF!</v>
      </c>
      <c r="D170" s="1024"/>
      <c r="E170" s="1025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1024"/>
      <c r="AR170" s="357"/>
      <c r="AS170" s="163"/>
      <c r="AT170" s="163"/>
      <c r="AU170" s="163"/>
      <c r="AV170" s="321"/>
    </row>
    <row r="171" spans="1:48" ht="12.75" x14ac:dyDescent="0.2">
      <c r="A171" s="243" t="e">
        <f t="shared" ref="A171:C171" si="90">#REF!</f>
        <v>#REF!</v>
      </c>
      <c r="B171" s="243" t="e">
        <f t="shared" si="90"/>
        <v>#REF!</v>
      </c>
      <c r="C171" s="1024" t="e">
        <f t="shared" si="90"/>
        <v>#REF!</v>
      </c>
      <c r="D171" s="1024"/>
      <c r="E171" s="1025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3"/>
      <c r="AI171" s="243"/>
      <c r="AJ171" s="243"/>
      <c r="AK171" s="243"/>
      <c r="AL171" s="243"/>
      <c r="AM171" s="243"/>
      <c r="AN171" s="243"/>
      <c r="AO171" s="243"/>
      <c r="AP171" s="243"/>
      <c r="AQ171" s="1024"/>
      <c r="AR171" s="357"/>
      <c r="AS171" s="163"/>
      <c r="AT171" s="163"/>
      <c r="AU171" s="163"/>
      <c r="AV171" s="321"/>
    </row>
    <row r="172" spans="1:48" ht="12.75" x14ac:dyDescent="0.2">
      <c r="A172" s="243" t="e">
        <f t="shared" ref="A172:C172" si="91">#REF!</f>
        <v>#REF!</v>
      </c>
      <c r="B172" s="243" t="e">
        <f t="shared" si="91"/>
        <v>#REF!</v>
      </c>
      <c r="C172" s="1024" t="e">
        <f t="shared" si="91"/>
        <v>#REF!</v>
      </c>
      <c r="D172" s="1024"/>
      <c r="E172" s="1025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  <c r="AH172" s="243"/>
      <c r="AI172" s="243"/>
      <c r="AJ172" s="243"/>
      <c r="AK172" s="243"/>
      <c r="AL172" s="243"/>
      <c r="AM172" s="243"/>
      <c r="AN172" s="243"/>
      <c r="AO172" s="243"/>
      <c r="AP172" s="243"/>
      <c r="AQ172" s="1024"/>
      <c r="AR172" s="357"/>
      <c r="AS172" s="163"/>
      <c r="AT172" s="163"/>
      <c r="AU172" s="163"/>
      <c r="AV172" s="321"/>
    </row>
    <row r="173" spans="1:48" ht="12.75" x14ac:dyDescent="0.2">
      <c r="A173" s="243" t="e">
        <f t="shared" ref="A173:C173" si="92">#REF!</f>
        <v>#REF!</v>
      </c>
      <c r="B173" s="243" t="e">
        <f t="shared" si="92"/>
        <v>#REF!</v>
      </c>
      <c r="C173" s="1024" t="e">
        <f t="shared" si="92"/>
        <v>#REF!</v>
      </c>
      <c r="D173" s="1024"/>
      <c r="E173" s="1025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  <c r="AH173" s="243"/>
      <c r="AI173" s="243"/>
      <c r="AJ173" s="243"/>
      <c r="AK173" s="243"/>
      <c r="AL173" s="243"/>
      <c r="AM173" s="243"/>
      <c r="AN173" s="243"/>
      <c r="AO173" s="243"/>
      <c r="AP173" s="243"/>
      <c r="AQ173" s="1024"/>
      <c r="AR173" s="357"/>
      <c r="AS173" s="163"/>
      <c r="AT173" s="163"/>
      <c r="AU173" s="163"/>
      <c r="AV173" s="321"/>
    </row>
    <row r="174" spans="1:48" ht="12.75" x14ac:dyDescent="0.2">
      <c r="A174" s="243" t="e">
        <f t="shared" ref="A174:C174" si="93">#REF!</f>
        <v>#REF!</v>
      </c>
      <c r="B174" s="243" t="e">
        <f t="shared" si="93"/>
        <v>#REF!</v>
      </c>
      <c r="C174" s="1024" t="e">
        <f t="shared" si="93"/>
        <v>#REF!</v>
      </c>
      <c r="D174" s="1024"/>
      <c r="E174" s="1025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3"/>
      <c r="AI174" s="243"/>
      <c r="AJ174" s="243"/>
      <c r="AK174" s="243"/>
      <c r="AL174" s="243"/>
      <c r="AM174" s="243"/>
      <c r="AN174" s="243"/>
      <c r="AO174" s="243"/>
      <c r="AP174" s="243"/>
      <c r="AQ174" s="1024"/>
      <c r="AR174" s="357"/>
      <c r="AS174" s="163"/>
      <c r="AT174" s="163"/>
      <c r="AU174" s="163"/>
      <c r="AV174" s="321"/>
    </row>
    <row r="175" spans="1:48" ht="12.75" x14ac:dyDescent="0.2">
      <c r="A175" s="243" t="e">
        <f t="shared" ref="A175:C175" si="94">#REF!</f>
        <v>#REF!</v>
      </c>
      <c r="B175" s="243" t="e">
        <f t="shared" si="94"/>
        <v>#REF!</v>
      </c>
      <c r="C175" s="1024" t="e">
        <f t="shared" si="94"/>
        <v>#REF!</v>
      </c>
      <c r="D175" s="1024"/>
      <c r="E175" s="1025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  <c r="AH175" s="243"/>
      <c r="AI175" s="243"/>
      <c r="AJ175" s="243"/>
      <c r="AK175" s="243"/>
      <c r="AL175" s="243"/>
      <c r="AM175" s="243"/>
      <c r="AN175" s="243"/>
      <c r="AO175" s="243"/>
      <c r="AP175" s="243"/>
      <c r="AQ175" s="1024"/>
      <c r="AR175" s="357"/>
      <c r="AS175" s="163"/>
      <c r="AT175" s="163"/>
      <c r="AU175" s="163"/>
      <c r="AV175" s="321"/>
    </row>
    <row r="176" spans="1:48" ht="12.75" x14ac:dyDescent="0.2">
      <c r="A176" s="243" t="e">
        <f t="shared" ref="A176:C176" si="95">#REF!</f>
        <v>#REF!</v>
      </c>
      <c r="B176" s="243" t="e">
        <f t="shared" si="95"/>
        <v>#REF!</v>
      </c>
      <c r="C176" s="1024" t="e">
        <f t="shared" si="95"/>
        <v>#REF!</v>
      </c>
      <c r="D176" s="1024"/>
      <c r="E176" s="1025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  <c r="AH176" s="243"/>
      <c r="AI176" s="243"/>
      <c r="AJ176" s="243"/>
      <c r="AK176" s="243"/>
      <c r="AL176" s="243"/>
      <c r="AM176" s="243"/>
      <c r="AN176" s="243"/>
      <c r="AO176" s="243"/>
      <c r="AP176" s="243"/>
      <c r="AQ176" s="1024"/>
      <c r="AR176" s="357"/>
      <c r="AS176" s="163"/>
      <c r="AT176" s="163"/>
      <c r="AU176" s="163"/>
      <c r="AV176" s="321"/>
    </row>
    <row r="177" spans="1:48" ht="12.75" x14ac:dyDescent="0.2">
      <c r="A177" s="243" t="e">
        <f t="shared" ref="A177:C177" si="96">#REF!</f>
        <v>#REF!</v>
      </c>
      <c r="B177" s="243" t="e">
        <f t="shared" si="96"/>
        <v>#REF!</v>
      </c>
      <c r="C177" s="1024" t="e">
        <f t="shared" si="96"/>
        <v>#REF!</v>
      </c>
      <c r="D177" s="1024"/>
      <c r="E177" s="1025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  <c r="AH177" s="243"/>
      <c r="AI177" s="243"/>
      <c r="AJ177" s="243"/>
      <c r="AK177" s="243"/>
      <c r="AL177" s="243"/>
      <c r="AM177" s="243"/>
      <c r="AN177" s="243"/>
      <c r="AO177" s="243"/>
      <c r="AP177" s="243"/>
      <c r="AQ177" s="1024"/>
      <c r="AR177" s="357"/>
      <c r="AS177" s="163"/>
      <c r="AT177" s="163"/>
      <c r="AU177" s="163"/>
      <c r="AV177" s="321"/>
    </row>
    <row r="178" spans="1:48" ht="12.75" x14ac:dyDescent="0.2">
      <c r="A178" s="243" t="e">
        <f t="shared" ref="A178:C178" si="97">#REF!</f>
        <v>#REF!</v>
      </c>
      <c r="B178" s="243" t="e">
        <f t="shared" si="97"/>
        <v>#REF!</v>
      </c>
      <c r="C178" s="1024" t="e">
        <f t="shared" si="97"/>
        <v>#REF!</v>
      </c>
      <c r="D178" s="1024"/>
      <c r="E178" s="1025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3"/>
      <c r="AI178" s="243"/>
      <c r="AJ178" s="243"/>
      <c r="AK178" s="243"/>
      <c r="AL178" s="243"/>
      <c r="AM178" s="243"/>
      <c r="AN178" s="243"/>
      <c r="AO178" s="243"/>
      <c r="AP178" s="243"/>
      <c r="AQ178" s="1024"/>
      <c r="AR178" s="357"/>
      <c r="AS178" s="163"/>
      <c r="AT178" s="163"/>
      <c r="AU178" s="163"/>
      <c r="AV178" s="321"/>
    </row>
    <row r="179" spans="1:48" ht="12.75" x14ac:dyDescent="0.2">
      <c r="A179" s="243" t="e">
        <f t="shared" ref="A179:C179" si="98">#REF!</f>
        <v>#REF!</v>
      </c>
      <c r="B179" s="243" t="e">
        <f t="shared" si="98"/>
        <v>#REF!</v>
      </c>
      <c r="C179" s="1024" t="e">
        <f t="shared" si="98"/>
        <v>#REF!</v>
      </c>
      <c r="D179" s="1024"/>
      <c r="E179" s="1025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1024"/>
      <c r="AR179" s="357"/>
      <c r="AS179" s="163"/>
      <c r="AT179" s="163"/>
      <c r="AU179" s="163"/>
      <c r="AV179" s="321"/>
    </row>
    <row r="180" spans="1:48" ht="12.75" x14ac:dyDescent="0.2">
      <c r="A180" s="243" t="e">
        <f t="shared" ref="A180:C180" si="99">#REF!</f>
        <v>#REF!</v>
      </c>
      <c r="B180" s="243" t="e">
        <f t="shared" si="99"/>
        <v>#REF!</v>
      </c>
      <c r="C180" s="1024" t="e">
        <f t="shared" si="99"/>
        <v>#REF!</v>
      </c>
      <c r="D180" s="1024"/>
      <c r="E180" s="1025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  <c r="AH180" s="243"/>
      <c r="AI180" s="243"/>
      <c r="AJ180" s="243"/>
      <c r="AK180" s="243"/>
      <c r="AL180" s="243"/>
      <c r="AM180" s="243"/>
      <c r="AN180" s="243"/>
      <c r="AO180" s="243"/>
      <c r="AP180" s="243"/>
      <c r="AQ180" s="1024"/>
      <c r="AR180" s="357"/>
      <c r="AS180" s="163"/>
      <c r="AT180" s="163"/>
      <c r="AU180" s="163"/>
      <c r="AV180" s="321"/>
    </row>
    <row r="181" spans="1:48" ht="12.75" x14ac:dyDescent="0.2">
      <c r="A181" s="243" t="e">
        <f t="shared" ref="A181:C181" si="100">#REF!</f>
        <v>#REF!</v>
      </c>
      <c r="B181" s="243" t="e">
        <f t="shared" si="100"/>
        <v>#REF!</v>
      </c>
      <c r="C181" s="1024" t="e">
        <f t="shared" si="100"/>
        <v>#REF!</v>
      </c>
      <c r="D181" s="1024"/>
      <c r="E181" s="1025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3"/>
      <c r="AI181" s="243"/>
      <c r="AJ181" s="243"/>
      <c r="AK181" s="243"/>
      <c r="AL181" s="243"/>
      <c r="AM181" s="243"/>
      <c r="AN181" s="243"/>
      <c r="AO181" s="243"/>
      <c r="AP181" s="243"/>
      <c r="AQ181" s="1024"/>
      <c r="AR181" s="357"/>
      <c r="AS181" s="163"/>
      <c r="AT181" s="163"/>
      <c r="AU181" s="163"/>
      <c r="AV181" s="321"/>
    </row>
    <row r="182" spans="1:48" ht="12.75" x14ac:dyDescent="0.2">
      <c r="A182" s="243" t="e">
        <f t="shared" ref="A182:C182" si="101">#REF!</f>
        <v>#REF!</v>
      </c>
      <c r="B182" s="243" t="e">
        <f t="shared" si="101"/>
        <v>#REF!</v>
      </c>
      <c r="C182" s="1024" t="e">
        <f t="shared" si="101"/>
        <v>#REF!</v>
      </c>
      <c r="D182" s="1024"/>
      <c r="E182" s="1025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1024"/>
      <c r="AR182" s="357"/>
      <c r="AS182" s="163"/>
      <c r="AT182" s="163"/>
      <c r="AU182" s="163"/>
      <c r="AV182" s="321"/>
    </row>
    <row r="183" spans="1:48" ht="12.75" x14ac:dyDescent="0.2">
      <c r="A183" s="243" t="e">
        <f t="shared" ref="A183:C183" si="102">#REF!</f>
        <v>#REF!</v>
      </c>
      <c r="B183" s="243" t="e">
        <f t="shared" si="102"/>
        <v>#REF!</v>
      </c>
      <c r="C183" s="1024" t="e">
        <f t="shared" si="102"/>
        <v>#REF!</v>
      </c>
      <c r="D183" s="1024"/>
      <c r="E183" s="1025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  <c r="AC183" s="243"/>
      <c r="AD183" s="243"/>
      <c r="AE183" s="243"/>
      <c r="AF183" s="243"/>
      <c r="AG183" s="243"/>
      <c r="AH183" s="243"/>
      <c r="AI183" s="243"/>
      <c r="AJ183" s="243"/>
      <c r="AK183" s="243"/>
      <c r="AL183" s="243"/>
      <c r="AM183" s="243"/>
      <c r="AN183" s="243"/>
      <c r="AO183" s="243"/>
      <c r="AP183" s="243"/>
      <c r="AQ183" s="1024"/>
      <c r="AR183" s="357"/>
      <c r="AS183" s="163"/>
      <c r="AT183" s="163"/>
      <c r="AU183" s="163"/>
      <c r="AV183" s="321"/>
    </row>
    <row r="184" spans="1:48" ht="12.75" x14ac:dyDescent="0.2">
      <c r="A184" s="243" t="e">
        <f t="shared" ref="A184:C184" si="103">#REF!</f>
        <v>#REF!</v>
      </c>
      <c r="B184" s="243" t="e">
        <f t="shared" si="103"/>
        <v>#REF!</v>
      </c>
      <c r="C184" s="1024" t="e">
        <f t="shared" si="103"/>
        <v>#REF!</v>
      </c>
      <c r="D184" s="1024"/>
      <c r="E184" s="1025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  <c r="AC184" s="243"/>
      <c r="AD184" s="243"/>
      <c r="AE184" s="243"/>
      <c r="AF184" s="243"/>
      <c r="AG184" s="243"/>
      <c r="AH184" s="243"/>
      <c r="AI184" s="243"/>
      <c r="AJ184" s="243"/>
      <c r="AK184" s="243"/>
      <c r="AL184" s="243"/>
      <c r="AM184" s="243"/>
      <c r="AN184" s="243"/>
      <c r="AO184" s="243"/>
      <c r="AP184" s="243"/>
      <c r="AQ184" s="1024"/>
      <c r="AR184" s="357"/>
      <c r="AS184" s="163"/>
      <c r="AT184" s="163"/>
      <c r="AU184" s="163"/>
      <c r="AV184" s="321"/>
    </row>
    <row r="185" spans="1:48" ht="12.75" x14ac:dyDescent="0.2">
      <c r="A185" s="243" t="e">
        <f t="shared" ref="A185:C185" si="104">#REF!</f>
        <v>#REF!</v>
      </c>
      <c r="B185" s="243" t="e">
        <f t="shared" si="104"/>
        <v>#REF!</v>
      </c>
      <c r="C185" s="1024" t="e">
        <f t="shared" si="104"/>
        <v>#REF!</v>
      </c>
      <c r="D185" s="1024"/>
      <c r="E185" s="1025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3"/>
      <c r="AI185" s="243"/>
      <c r="AJ185" s="243"/>
      <c r="AK185" s="243"/>
      <c r="AL185" s="243"/>
      <c r="AM185" s="243"/>
      <c r="AN185" s="243"/>
      <c r="AO185" s="243"/>
      <c r="AP185" s="243"/>
      <c r="AQ185" s="1024"/>
      <c r="AR185" s="357"/>
      <c r="AS185" s="163"/>
      <c r="AT185" s="163"/>
      <c r="AU185" s="163"/>
      <c r="AV185" s="321"/>
    </row>
    <row r="186" spans="1:48" ht="12.75" x14ac:dyDescent="0.2">
      <c r="A186" s="243" t="e">
        <f t="shared" ref="A186:C186" si="105">#REF!</f>
        <v>#REF!</v>
      </c>
      <c r="B186" s="243" t="e">
        <f t="shared" si="105"/>
        <v>#REF!</v>
      </c>
      <c r="C186" s="1024" t="e">
        <f t="shared" si="105"/>
        <v>#REF!</v>
      </c>
      <c r="D186" s="1024"/>
      <c r="E186" s="1025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43"/>
      <c r="AN186" s="243"/>
      <c r="AO186" s="243"/>
      <c r="AP186" s="243"/>
      <c r="AQ186" s="1024"/>
      <c r="AR186" s="357"/>
      <c r="AS186" s="163"/>
      <c r="AT186" s="163"/>
      <c r="AU186" s="163"/>
      <c r="AV186" s="321"/>
    </row>
    <row r="187" spans="1:48" ht="12.75" x14ac:dyDescent="0.2">
      <c r="A187" s="243" t="e">
        <f t="shared" ref="A187:C187" si="106">#REF!</f>
        <v>#REF!</v>
      </c>
      <c r="B187" s="243" t="e">
        <f t="shared" si="106"/>
        <v>#REF!</v>
      </c>
      <c r="C187" s="1024" t="e">
        <f t="shared" si="106"/>
        <v>#REF!</v>
      </c>
      <c r="D187" s="1024"/>
      <c r="E187" s="1025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1024"/>
      <c r="AR187" s="357"/>
      <c r="AS187" s="163"/>
      <c r="AT187" s="163"/>
      <c r="AU187" s="163"/>
      <c r="AV187" s="321"/>
    </row>
    <row r="188" spans="1:48" ht="12.75" x14ac:dyDescent="0.2">
      <c r="A188" s="243" t="e">
        <f t="shared" ref="A188:C188" si="107">#REF!</f>
        <v>#REF!</v>
      </c>
      <c r="B188" s="243" t="e">
        <f t="shared" si="107"/>
        <v>#REF!</v>
      </c>
      <c r="C188" s="1024" t="e">
        <f t="shared" si="107"/>
        <v>#REF!</v>
      </c>
      <c r="D188" s="1024"/>
      <c r="E188" s="1025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  <c r="AH188" s="243"/>
      <c r="AI188" s="243"/>
      <c r="AJ188" s="243"/>
      <c r="AK188" s="243"/>
      <c r="AL188" s="243"/>
      <c r="AM188" s="243"/>
      <c r="AN188" s="243"/>
      <c r="AO188" s="243"/>
      <c r="AP188" s="243"/>
      <c r="AQ188" s="1024"/>
      <c r="AR188" s="357"/>
      <c r="AS188" s="163"/>
      <c r="AT188" s="163"/>
      <c r="AU188" s="163"/>
      <c r="AV188" s="321"/>
    </row>
    <row r="189" spans="1:48" ht="12.75" x14ac:dyDescent="0.2">
      <c r="A189" s="243" t="e">
        <f t="shared" ref="A189:C189" si="108">#REF!</f>
        <v>#REF!</v>
      </c>
      <c r="B189" s="243" t="e">
        <f t="shared" si="108"/>
        <v>#REF!</v>
      </c>
      <c r="C189" s="1024" t="e">
        <f t="shared" si="108"/>
        <v>#REF!</v>
      </c>
      <c r="D189" s="1024"/>
      <c r="E189" s="1025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3"/>
      <c r="AI189" s="243"/>
      <c r="AJ189" s="243"/>
      <c r="AK189" s="243"/>
      <c r="AL189" s="243"/>
      <c r="AM189" s="243"/>
      <c r="AN189" s="243"/>
      <c r="AO189" s="243"/>
      <c r="AP189" s="243"/>
      <c r="AQ189" s="1024"/>
      <c r="AR189" s="357"/>
      <c r="AS189" s="163"/>
      <c r="AT189" s="163"/>
      <c r="AU189" s="163"/>
      <c r="AV189" s="321"/>
    </row>
    <row r="190" spans="1:48" ht="12.75" x14ac:dyDescent="0.2">
      <c r="A190" s="243" t="e">
        <f t="shared" ref="A190:C190" si="109">#REF!</f>
        <v>#REF!</v>
      </c>
      <c r="B190" s="243" t="e">
        <f t="shared" si="109"/>
        <v>#REF!</v>
      </c>
      <c r="C190" s="1024" t="e">
        <f t="shared" si="109"/>
        <v>#REF!</v>
      </c>
      <c r="D190" s="1024"/>
      <c r="E190" s="1025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  <c r="AC190" s="243"/>
      <c r="AD190" s="243"/>
      <c r="AE190" s="243"/>
      <c r="AF190" s="243"/>
      <c r="AG190" s="243"/>
      <c r="AH190" s="243"/>
      <c r="AI190" s="243"/>
      <c r="AJ190" s="243"/>
      <c r="AK190" s="243"/>
      <c r="AL190" s="243"/>
      <c r="AM190" s="243"/>
      <c r="AN190" s="243"/>
      <c r="AO190" s="243"/>
      <c r="AP190" s="243"/>
      <c r="AQ190" s="1024"/>
      <c r="AR190" s="357"/>
      <c r="AS190" s="163"/>
      <c r="AT190" s="163"/>
      <c r="AU190" s="163"/>
      <c r="AV190" s="321"/>
    </row>
    <row r="191" spans="1:48" ht="12.75" x14ac:dyDescent="0.2">
      <c r="A191" s="243" t="e">
        <f t="shared" ref="A191:C191" si="110">#REF!</f>
        <v>#REF!</v>
      </c>
      <c r="B191" s="243" t="e">
        <f t="shared" si="110"/>
        <v>#REF!</v>
      </c>
      <c r="C191" s="1024" t="e">
        <f t="shared" si="110"/>
        <v>#REF!</v>
      </c>
      <c r="D191" s="1024"/>
      <c r="E191" s="1025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  <c r="AD191" s="243"/>
      <c r="AE191" s="243"/>
      <c r="AF191" s="243"/>
      <c r="AG191" s="243"/>
      <c r="AH191" s="243"/>
      <c r="AI191" s="243"/>
      <c r="AJ191" s="243"/>
      <c r="AK191" s="243"/>
      <c r="AL191" s="243"/>
      <c r="AM191" s="243"/>
      <c r="AN191" s="243"/>
      <c r="AO191" s="243"/>
      <c r="AP191" s="243"/>
      <c r="AQ191" s="1024"/>
      <c r="AR191" s="357"/>
      <c r="AS191" s="163"/>
      <c r="AT191" s="163"/>
      <c r="AU191" s="163"/>
      <c r="AV191" s="321"/>
    </row>
    <row r="192" spans="1:48" ht="12.75" x14ac:dyDescent="0.2">
      <c r="A192" s="243" t="e">
        <f t="shared" ref="A192:C192" si="111">#REF!</f>
        <v>#REF!</v>
      </c>
      <c r="B192" s="243" t="e">
        <f t="shared" si="111"/>
        <v>#REF!</v>
      </c>
      <c r="C192" s="1024" t="e">
        <f t="shared" si="111"/>
        <v>#REF!</v>
      </c>
      <c r="D192" s="1024"/>
      <c r="E192" s="1025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  <c r="AH192" s="243"/>
      <c r="AI192" s="243"/>
      <c r="AJ192" s="243"/>
      <c r="AK192" s="243"/>
      <c r="AL192" s="243"/>
      <c r="AM192" s="243"/>
      <c r="AN192" s="243"/>
      <c r="AO192" s="243"/>
      <c r="AP192" s="243"/>
      <c r="AQ192" s="1024"/>
      <c r="AR192" s="357"/>
      <c r="AS192" s="163"/>
      <c r="AT192" s="163"/>
      <c r="AU192" s="163"/>
      <c r="AV192" s="321"/>
    </row>
    <row r="193" spans="1:48" ht="12.75" x14ac:dyDescent="0.2">
      <c r="A193" s="243" t="e">
        <f t="shared" ref="A193:C193" si="112">#REF!</f>
        <v>#REF!</v>
      </c>
      <c r="B193" s="243" t="e">
        <f t="shared" si="112"/>
        <v>#REF!</v>
      </c>
      <c r="C193" s="1024" t="e">
        <f t="shared" si="112"/>
        <v>#REF!</v>
      </c>
      <c r="D193" s="1024"/>
      <c r="E193" s="1025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  <c r="AH193" s="243"/>
      <c r="AI193" s="243"/>
      <c r="AJ193" s="243"/>
      <c r="AK193" s="243"/>
      <c r="AL193" s="243"/>
      <c r="AM193" s="243"/>
      <c r="AN193" s="243"/>
      <c r="AO193" s="243"/>
      <c r="AP193" s="243"/>
      <c r="AQ193" s="1024"/>
      <c r="AR193" s="357"/>
      <c r="AS193" s="163"/>
      <c r="AT193" s="163"/>
      <c r="AU193" s="163"/>
      <c r="AV193" s="321"/>
    </row>
    <row r="194" spans="1:48" ht="12.75" x14ac:dyDescent="0.2">
      <c r="A194" s="243" t="e">
        <f t="shared" ref="A194:C194" si="113">#REF!</f>
        <v>#REF!</v>
      </c>
      <c r="B194" s="243" t="e">
        <f t="shared" si="113"/>
        <v>#REF!</v>
      </c>
      <c r="C194" s="1024" t="e">
        <f t="shared" si="113"/>
        <v>#REF!</v>
      </c>
      <c r="D194" s="1024"/>
      <c r="E194" s="1025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  <c r="AH194" s="243"/>
      <c r="AI194" s="243"/>
      <c r="AJ194" s="243"/>
      <c r="AK194" s="243"/>
      <c r="AL194" s="243"/>
      <c r="AM194" s="243"/>
      <c r="AN194" s="243"/>
      <c r="AO194" s="243"/>
      <c r="AP194" s="243"/>
      <c r="AQ194" s="1024"/>
      <c r="AR194" s="357"/>
      <c r="AS194" s="163"/>
      <c r="AT194" s="163"/>
      <c r="AU194" s="163"/>
      <c r="AV194" s="321"/>
    </row>
    <row r="195" spans="1:48" ht="12.75" x14ac:dyDescent="0.2">
      <c r="A195" s="243" t="e">
        <f t="shared" ref="A195:C195" si="114">#REF!</f>
        <v>#REF!</v>
      </c>
      <c r="B195" s="243" t="e">
        <f t="shared" si="114"/>
        <v>#REF!</v>
      </c>
      <c r="C195" s="1024" t="e">
        <f t="shared" si="114"/>
        <v>#REF!</v>
      </c>
      <c r="D195" s="1024"/>
      <c r="E195" s="1025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  <c r="AH195" s="243"/>
      <c r="AI195" s="243"/>
      <c r="AJ195" s="243"/>
      <c r="AK195" s="243"/>
      <c r="AL195" s="243"/>
      <c r="AM195" s="243"/>
      <c r="AN195" s="243"/>
      <c r="AO195" s="243"/>
      <c r="AP195" s="243"/>
      <c r="AQ195" s="1024"/>
      <c r="AR195" s="357"/>
      <c r="AS195" s="163"/>
      <c r="AT195" s="163"/>
      <c r="AU195" s="163"/>
      <c r="AV195" s="321"/>
    </row>
    <row r="196" spans="1:48" ht="12.75" x14ac:dyDescent="0.2">
      <c r="A196" s="243" t="e">
        <f t="shared" ref="A196:C196" si="115">#REF!</f>
        <v>#REF!</v>
      </c>
      <c r="B196" s="243" t="e">
        <f t="shared" si="115"/>
        <v>#REF!</v>
      </c>
      <c r="C196" s="1024" t="e">
        <f t="shared" si="115"/>
        <v>#REF!</v>
      </c>
      <c r="D196" s="1024"/>
      <c r="E196" s="1025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  <c r="AH196" s="243"/>
      <c r="AI196" s="243"/>
      <c r="AJ196" s="243"/>
      <c r="AK196" s="243"/>
      <c r="AL196" s="243"/>
      <c r="AM196" s="243"/>
      <c r="AN196" s="243"/>
      <c r="AO196" s="243"/>
      <c r="AP196" s="243"/>
      <c r="AQ196" s="1024"/>
      <c r="AR196" s="357"/>
      <c r="AS196" s="163"/>
      <c r="AT196" s="163"/>
      <c r="AU196" s="163"/>
      <c r="AV196" s="321"/>
    </row>
    <row r="197" spans="1:48" ht="12.75" x14ac:dyDescent="0.2">
      <c r="A197" s="243" t="e">
        <f t="shared" ref="A197:C197" si="116">#REF!</f>
        <v>#REF!</v>
      </c>
      <c r="B197" s="243" t="e">
        <f t="shared" si="116"/>
        <v>#REF!</v>
      </c>
      <c r="C197" s="1024" t="e">
        <f t="shared" si="116"/>
        <v>#REF!</v>
      </c>
      <c r="D197" s="1024"/>
      <c r="E197" s="1025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  <c r="AH197" s="243"/>
      <c r="AI197" s="243"/>
      <c r="AJ197" s="243"/>
      <c r="AK197" s="243"/>
      <c r="AL197" s="243"/>
      <c r="AM197" s="243"/>
      <c r="AN197" s="243"/>
      <c r="AO197" s="243"/>
      <c r="AP197" s="243"/>
      <c r="AQ197" s="1024"/>
      <c r="AR197" s="357"/>
      <c r="AS197" s="163"/>
      <c r="AT197" s="163"/>
      <c r="AU197" s="163"/>
      <c r="AV197" s="321"/>
    </row>
    <row r="198" spans="1:48" ht="12.75" x14ac:dyDescent="0.2">
      <c r="A198" s="243" t="e">
        <f t="shared" ref="A198:C198" si="117">#REF!</f>
        <v>#REF!</v>
      </c>
      <c r="B198" s="243" t="e">
        <f t="shared" si="117"/>
        <v>#REF!</v>
      </c>
      <c r="C198" s="1024" t="e">
        <f t="shared" si="117"/>
        <v>#REF!</v>
      </c>
      <c r="D198" s="1024"/>
      <c r="E198" s="1025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3"/>
      <c r="AI198" s="243"/>
      <c r="AJ198" s="243"/>
      <c r="AK198" s="243"/>
      <c r="AL198" s="243"/>
      <c r="AM198" s="243"/>
      <c r="AN198" s="243"/>
      <c r="AO198" s="243"/>
      <c r="AP198" s="243"/>
      <c r="AQ198" s="1024"/>
      <c r="AR198" s="357"/>
      <c r="AS198" s="163"/>
      <c r="AT198" s="163"/>
      <c r="AU198" s="163"/>
      <c r="AV198" s="321"/>
    </row>
    <row r="199" spans="1:48" ht="12.75" x14ac:dyDescent="0.2">
      <c r="A199" s="243" t="e">
        <f t="shared" ref="A199:C199" si="118">#REF!</f>
        <v>#REF!</v>
      </c>
      <c r="B199" s="243" t="e">
        <f t="shared" si="118"/>
        <v>#REF!</v>
      </c>
      <c r="C199" s="1024" t="e">
        <f t="shared" si="118"/>
        <v>#REF!</v>
      </c>
      <c r="D199" s="1024"/>
      <c r="E199" s="1025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1024"/>
      <c r="AR199" s="357"/>
      <c r="AS199" s="163"/>
      <c r="AT199" s="163"/>
      <c r="AU199" s="163"/>
      <c r="AV199" s="321"/>
    </row>
    <row r="200" spans="1:48" ht="12.75" x14ac:dyDescent="0.2">
      <c r="A200" s="243" t="e">
        <f t="shared" ref="A200:C200" si="119">#REF!</f>
        <v>#REF!</v>
      </c>
      <c r="B200" s="243" t="e">
        <f t="shared" si="119"/>
        <v>#REF!</v>
      </c>
      <c r="C200" s="1024" t="e">
        <f t="shared" si="119"/>
        <v>#REF!</v>
      </c>
      <c r="D200" s="1024"/>
      <c r="E200" s="1025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1024"/>
      <c r="AR200" s="357"/>
      <c r="AS200" s="163"/>
      <c r="AT200" s="163"/>
      <c r="AU200" s="163"/>
      <c r="AV200" s="321"/>
    </row>
    <row r="201" spans="1:48" ht="12.75" x14ac:dyDescent="0.2">
      <c r="A201" s="243" t="e">
        <f t="shared" ref="A201:C201" si="120">#REF!</f>
        <v>#REF!</v>
      </c>
      <c r="B201" s="243" t="e">
        <f t="shared" si="120"/>
        <v>#REF!</v>
      </c>
      <c r="C201" s="1024" t="e">
        <f t="shared" si="120"/>
        <v>#REF!</v>
      </c>
      <c r="D201" s="1024"/>
      <c r="E201" s="1025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1024"/>
      <c r="AR201" s="357"/>
      <c r="AS201" s="163"/>
      <c r="AT201" s="163"/>
      <c r="AU201" s="163"/>
      <c r="AV201" s="321"/>
    </row>
    <row r="202" spans="1:48" ht="12.75" x14ac:dyDescent="0.2">
      <c r="A202" s="243" t="e">
        <f t="shared" ref="A202:C202" si="121">#REF!</f>
        <v>#REF!</v>
      </c>
      <c r="B202" s="243" t="e">
        <f t="shared" si="121"/>
        <v>#REF!</v>
      </c>
      <c r="C202" s="1024" t="e">
        <f t="shared" si="121"/>
        <v>#REF!</v>
      </c>
      <c r="D202" s="1024"/>
      <c r="E202" s="1025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3"/>
      <c r="AI202" s="243"/>
      <c r="AJ202" s="243"/>
      <c r="AK202" s="243"/>
      <c r="AL202" s="243"/>
      <c r="AM202" s="243"/>
      <c r="AN202" s="243"/>
      <c r="AO202" s="243"/>
      <c r="AP202" s="243"/>
      <c r="AQ202" s="1024"/>
      <c r="AR202" s="357"/>
      <c r="AS202" s="163"/>
      <c r="AT202" s="163"/>
      <c r="AU202" s="163"/>
      <c r="AV202" s="321"/>
    </row>
    <row r="203" spans="1:48" ht="12.75" x14ac:dyDescent="0.2">
      <c r="A203" s="243" t="e">
        <f t="shared" ref="A203:C203" si="122">#REF!</f>
        <v>#REF!</v>
      </c>
      <c r="B203" s="243" t="e">
        <f t="shared" si="122"/>
        <v>#REF!</v>
      </c>
      <c r="C203" s="1024" t="e">
        <f t="shared" si="122"/>
        <v>#REF!</v>
      </c>
      <c r="D203" s="1024"/>
      <c r="E203" s="1025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3"/>
      <c r="AI203" s="243"/>
      <c r="AJ203" s="243"/>
      <c r="AK203" s="243"/>
      <c r="AL203" s="243"/>
      <c r="AM203" s="243"/>
      <c r="AN203" s="243"/>
      <c r="AO203" s="243"/>
      <c r="AP203" s="243"/>
      <c r="AQ203" s="1024"/>
      <c r="AR203" s="357"/>
      <c r="AS203" s="163"/>
      <c r="AT203" s="163"/>
      <c r="AU203" s="163"/>
      <c r="AV203" s="321"/>
    </row>
    <row r="204" spans="1:48" ht="12.75" x14ac:dyDescent="0.2">
      <c r="A204" s="243" t="e">
        <f t="shared" ref="A204:C204" si="123">#REF!</f>
        <v>#REF!</v>
      </c>
      <c r="B204" s="243" t="e">
        <f t="shared" si="123"/>
        <v>#REF!</v>
      </c>
      <c r="C204" s="1024" t="e">
        <f t="shared" si="123"/>
        <v>#REF!</v>
      </c>
      <c r="D204" s="1024"/>
      <c r="E204" s="1025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3"/>
      <c r="AI204" s="243"/>
      <c r="AJ204" s="243"/>
      <c r="AK204" s="243"/>
      <c r="AL204" s="243"/>
      <c r="AM204" s="243"/>
      <c r="AN204" s="243"/>
      <c r="AO204" s="243"/>
      <c r="AP204" s="243"/>
      <c r="AQ204" s="1024"/>
      <c r="AR204" s="357"/>
      <c r="AS204" s="163"/>
      <c r="AT204" s="163"/>
      <c r="AU204" s="163"/>
      <c r="AV204" s="321"/>
    </row>
    <row r="205" spans="1:48" ht="12.75" x14ac:dyDescent="0.2">
      <c r="A205" s="243" t="e">
        <f t="shared" ref="A205:C205" si="124">#REF!</f>
        <v>#REF!</v>
      </c>
      <c r="B205" s="243" t="e">
        <f t="shared" si="124"/>
        <v>#REF!</v>
      </c>
      <c r="C205" s="1024" t="e">
        <f t="shared" si="124"/>
        <v>#REF!</v>
      </c>
      <c r="D205" s="1024"/>
      <c r="E205" s="1025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  <c r="AH205" s="243"/>
      <c r="AI205" s="243"/>
      <c r="AJ205" s="243"/>
      <c r="AK205" s="243"/>
      <c r="AL205" s="243"/>
      <c r="AM205" s="243"/>
      <c r="AN205" s="243"/>
      <c r="AO205" s="243"/>
      <c r="AP205" s="243"/>
      <c r="AQ205" s="1024"/>
      <c r="AR205" s="357"/>
      <c r="AS205" s="163"/>
      <c r="AT205" s="163"/>
      <c r="AU205" s="163"/>
      <c r="AV205" s="321"/>
    </row>
    <row r="206" spans="1:48" ht="12.75" x14ac:dyDescent="0.2">
      <c r="A206" s="243" t="e">
        <f t="shared" ref="A206:C206" si="125">#REF!</f>
        <v>#REF!</v>
      </c>
      <c r="B206" s="243" t="e">
        <f t="shared" si="125"/>
        <v>#REF!</v>
      </c>
      <c r="C206" s="1024" t="e">
        <f t="shared" si="125"/>
        <v>#REF!</v>
      </c>
      <c r="D206" s="1024"/>
      <c r="E206" s="1025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1024"/>
      <c r="AR206" s="357"/>
      <c r="AS206" s="163"/>
      <c r="AT206" s="163"/>
      <c r="AU206" s="163"/>
      <c r="AV206" s="321"/>
    </row>
    <row r="207" spans="1:48" ht="12.75" x14ac:dyDescent="0.2">
      <c r="A207" s="243" t="e">
        <f t="shared" ref="A207:C207" si="126">#REF!</f>
        <v>#REF!</v>
      </c>
      <c r="B207" s="243" t="e">
        <f t="shared" si="126"/>
        <v>#REF!</v>
      </c>
      <c r="C207" s="1024" t="e">
        <f t="shared" si="126"/>
        <v>#REF!</v>
      </c>
      <c r="D207" s="1024"/>
      <c r="E207" s="1025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1024"/>
      <c r="AR207" s="357"/>
      <c r="AS207" s="163"/>
      <c r="AT207" s="163"/>
      <c r="AU207" s="163"/>
      <c r="AV207" s="321"/>
    </row>
    <row r="208" spans="1:48" ht="12.75" x14ac:dyDescent="0.2">
      <c r="A208" s="243" t="e">
        <f t="shared" ref="A208:C208" si="127">#REF!</f>
        <v>#REF!</v>
      </c>
      <c r="B208" s="243" t="e">
        <f t="shared" si="127"/>
        <v>#REF!</v>
      </c>
      <c r="C208" s="1024" t="e">
        <f t="shared" si="127"/>
        <v>#REF!</v>
      </c>
      <c r="D208" s="1024"/>
      <c r="E208" s="1025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1024"/>
      <c r="AR208" s="357"/>
      <c r="AS208" s="163"/>
      <c r="AT208" s="163"/>
      <c r="AU208" s="163"/>
      <c r="AV208" s="321"/>
    </row>
    <row r="209" spans="1:48" ht="12.75" x14ac:dyDescent="0.2">
      <c r="A209" s="243" t="e">
        <f t="shared" ref="A209:C209" si="128">#REF!</f>
        <v>#REF!</v>
      </c>
      <c r="B209" s="243" t="e">
        <f t="shared" si="128"/>
        <v>#REF!</v>
      </c>
      <c r="C209" s="1024" t="e">
        <f t="shared" si="128"/>
        <v>#REF!</v>
      </c>
      <c r="D209" s="1024"/>
      <c r="E209" s="1025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1024"/>
      <c r="AR209" s="357"/>
      <c r="AS209" s="163"/>
      <c r="AT209" s="163"/>
      <c r="AU209" s="163"/>
      <c r="AV209" s="321"/>
    </row>
    <row r="210" spans="1:48" ht="12.75" x14ac:dyDescent="0.2">
      <c r="A210" s="243" t="e">
        <f t="shared" ref="A210:C210" si="129">#REF!</f>
        <v>#REF!</v>
      </c>
      <c r="B210" s="243" t="e">
        <f t="shared" si="129"/>
        <v>#REF!</v>
      </c>
      <c r="C210" s="1024" t="e">
        <f t="shared" si="129"/>
        <v>#REF!</v>
      </c>
      <c r="D210" s="1024"/>
      <c r="E210" s="1025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1024"/>
      <c r="AR210" s="357"/>
      <c r="AS210" s="163"/>
      <c r="AT210" s="163"/>
      <c r="AU210" s="163"/>
      <c r="AV210" s="321"/>
    </row>
    <row r="211" spans="1:48" ht="12.75" x14ac:dyDescent="0.2">
      <c r="A211" s="243" t="e">
        <f t="shared" ref="A211:C211" si="130">#REF!</f>
        <v>#REF!</v>
      </c>
      <c r="B211" s="243" t="e">
        <f t="shared" si="130"/>
        <v>#REF!</v>
      </c>
      <c r="C211" s="1024" t="e">
        <f t="shared" si="130"/>
        <v>#REF!</v>
      </c>
      <c r="D211" s="1024"/>
      <c r="E211" s="1025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3"/>
      <c r="AI211" s="243"/>
      <c r="AJ211" s="243"/>
      <c r="AK211" s="243"/>
      <c r="AL211" s="243"/>
      <c r="AM211" s="243"/>
      <c r="AN211" s="243"/>
      <c r="AO211" s="243"/>
      <c r="AP211" s="243"/>
      <c r="AQ211" s="1024"/>
      <c r="AR211" s="357"/>
      <c r="AS211" s="163"/>
      <c r="AT211" s="163"/>
      <c r="AU211" s="163"/>
      <c r="AV211" s="321"/>
    </row>
    <row r="212" spans="1:48" ht="12.75" x14ac:dyDescent="0.2">
      <c r="A212" s="243" t="e">
        <f t="shared" ref="A212:C212" si="131">#REF!</f>
        <v>#REF!</v>
      </c>
      <c r="B212" s="243" t="e">
        <f t="shared" si="131"/>
        <v>#REF!</v>
      </c>
      <c r="C212" s="1024" t="e">
        <f t="shared" si="131"/>
        <v>#REF!</v>
      </c>
      <c r="D212" s="1024"/>
      <c r="E212" s="1025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3"/>
      <c r="AI212" s="243"/>
      <c r="AJ212" s="243"/>
      <c r="AK212" s="243"/>
      <c r="AL212" s="243"/>
      <c r="AM212" s="243"/>
      <c r="AN212" s="243"/>
      <c r="AO212" s="243"/>
      <c r="AP212" s="243"/>
      <c r="AQ212" s="1024"/>
      <c r="AR212" s="357"/>
      <c r="AS212" s="163"/>
      <c r="AT212" s="163"/>
      <c r="AU212" s="163"/>
      <c r="AV212" s="321"/>
    </row>
    <row r="213" spans="1:48" ht="12.75" x14ac:dyDescent="0.2">
      <c r="A213" s="243" t="e">
        <f t="shared" ref="A213:C213" si="132">#REF!</f>
        <v>#REF!</v>
      </c>
      <c r="B213" s="243" t="e">
        <f t="shared" si="132"/>
        <v>#REF!</v>
      </c>
      <c r="C213" s="1024" t="e">
        <f t="shared" si="132"/>
        <v>#REF!</v>
      </c>
      <c r="D213" s="1024"/>
      <c r="E213" s="1025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1024"/>
      <c r="AR213" s="357"/>
      <c r="AS213" s="163"/>
      <c r="AT213" s="163"/>
      <c r="AU213" s="163"/>
      <c r="AV213" s="321"/>
    </row>
    <row r="214" spans="1:48" ht="12.75" x14ac:dyDescent="0.2">
      <c r="A214" s="243" t="e">
        <f t="shared" ref="A214:C214" si="133">#REF!</f>
        <v>#REF!</v>
      </c>
      <c r="B214" s="243" t="e">
        <f t="shared" si="133"/>
        <v>#REF!</v>
      </c>
      <c r="C214" s="1024" t="e">
        <f t="shared" si="133"/>
        <v>#REF!</v>
      </c>
      <c r="D214" s="1024"/>
      <c r="E214" s="1025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  <c r="AH214" s="243"/>
      <c r="AI214" s="243"/>
      <c r="AJ214" s="243"/>
      <c r="AK214" s="243"/>
      <c r="AL214" s="243"/>
      <c r="AM214" s="243"/>
      <c r="AN214" s="243"/>
      <c r="AO214" s="243"/>
      <c r="AP214" s="243"/>
      <c r="AQ214" s="1024"/>
      <c r="AR214" s="357"/>
      <c r="AS214" s="163"/>
      <c r="AT214" s="163"/>
      <c r="AU214" s="163"/>
      <c r="AV214" s="321"/>
    </row>
    <row r="215" spans="1:48" ht="12.75" x14ac:dyDescent="0.2">
      <c r="A215" s="243" t="e">
        <f t="shared" ref="A215:C215" si="134">#REF!</f>
        <v>#REF!</v>
      </c>
      <c r="B215" s="243" t="e">
        <f t="shared" si="134"/>
        <v>#REF!</v>
      </c>
      <c r="C215" s="1024" t="e">
        <f t="shared" si="134"/>
        <v>#REF!</v>
      </c>
      <c r="D215" s="1024"/>
      <c r="E215" s="1025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  <c r="AH215" s="243"/>
      <c r="AI215" s="243"/>
      <c r="AJ215" s="243"/>
      <c r="AK215" s="243"/>
      <c r="AL215" s="243"/>
      <c r="AM215" s="243"/>
      <c r="AN215" s="243"/>
      <c r="AO215" s="243"/>
      <c r="AP215" s="243"/>
      <c r="AQ215" s="1024"/>
      <c r="AR215" s="357"/>
      <c r="AS215" s="163"/>
      <c r="AT215" s="163"/>
      <c r="AU215" s="163"/>
      <c r="AV215" s="321"/>
    </row>
    <row r="216" spans="1:48" ht="12.75" x14ac:dyDescent="0.2">
      <c r="A216" s="243" t="e">
        <f t="shared" ref="A216:C216" si="135">#REF!</f>
        <v>#REF!</v>
      </c>
      <c r="B216" s="243" t="e">
        <f t="shared" si="135"/>
        <v>#REF!</v>
      </c>
      <c r="C216" s="1024" t="e">
        <f t="shared" si="135"/>
        <v>#REF!</v>
      </c>
      <c r="D216" s="1024"/>
      <c r="E216" s="1025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1024"/>
      <c r="AR216" s="357"/>
      <c r="AS216" s="163"/>
      <c r="AT216" s="163"/>
      <c r="AU216" s="163"/>
      <c r="AV216" s="321"/>
    </row>
    <row r="217" spans="1:48" ht="12.75" x14ac:dyDescent="0.2">
      <c r="A217" s="243" t="e">
        <f t="shared" ref="A217:C217" si="136">#REF!</f>
        <v>#REF!</v>
      </c>
      <c r="B217" s="243" t="e">
        <f t="shared" si="136"/>
        <v>#REF!</v>
      </c>
      <c r="C217" s="1024" t="e">
        <f t="shared" si="136"/>
        <v>#REF!</v>
      </c>
      <c r="D217" s="1024"/>
      <c r="E217" s="1025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1024"/>
      <c r="AR217" s="357"/>
      <c r="AS217" s="163"/>
      <c r="AT217" s="163"/>
      <c r="AU217" s="163"/>
      <c r="AV217" s="321"/>
    </row>
    <row r="218" spans="1:48" ht="12.75" x14ac:dyDescent="0.2">
      <c r="A218" s="243" t="e">
        <f t="shared" ref="A218:C218" si="137">#REF!</f>
        <v>#REF!</v>
      </c>
      <c r="B218" s="243" t="e">
        <f t="shared" si="137"/>
        <v>#REF!</v>
      </c>
      <c r="C218" s="1024" t="e">
        <f t="shared" si="137"/>
        <v>#REF!</v>
      </c>
      <c r="D218" s="1024"/>
      <c r="E218" s="1025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1024"/>
      <c r="AR218" s="357"/>
      <c r="AS218" s="163"/>
      <c r="AT218" s="163"/>
      <c r="AU218" s="163"/>
      <c r="AV218" s="321"/>
    </row>
    <row r="219" spans="1:48" ht="12.75" x14ac:dyDescent="0.2">
      <c r="A219" s="243" t="e">
        <f t="shared" ref="A219:C219" si="138">#REF!</f>
        <v>#REF!</v>
      </c>
      <c r="B219" s="243" t="e">
        <f t="shared" si="138"/>
        <v>#REF!</v>
      </c>
      <c r="C219" s="1024" t="e">
        <f t="shared" si="138"/>
        <v>#REF!</v>
      </c>
      <c r="D219" s="1024"/>
      <c r="E219" s="1025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3"/>
      <c r="AL219" s="243"/>
      <c r="AM219" s="243"/>
      <c r="AN219" s="243"/>
      <c r="AO219" s="243"/>
      <c r="AP219" s="243"/>
      <c r="AQ219" s="1024"/>
      <c r="AR219" s="357"/>
      <c r="AS219" s="163"/>
      <c r="AT219" s="163"/>
      <c r="AU219" s="163"/>
      <c r="AV219" s="321"/>
    </row>
    <row r="220" spans="1:48" ht="12.75" x14ac:dyDescent="0.2">
      <c r="A220" s="243" t="e">
        <f t="shared" ref="A220:C220" si="139">#REF!</f>
        <v>#REF!</v>
      </c>
      <c r="B220" s="243" t="e">
        <f t="shared" si="139"/>
        <v>#REF!</v>
      </c>
      <c r="C220" s="1024" t="e">
        <f t="shared" si="139"/>
        <v>#REF!</v>
      </c>
      <c r="D220" s="1024"/>
      <c r="E220" s="1025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3"/>
      <c r="AI220" s="243"/>
      <c r="AJ220" s="243"/>
      <c r="AK220" s="243"/>
      <c r="AL220" s="243"/>
      <c r="AM220" s="243"/>
      <c r="AN220" s="243"/>
      <c r="AO220" s="243"/>
      <c r="AP220" s="243"/>
      <c r="AQ220" s="1024"/>
      <c r="AR220" s="357"/>
      <c r="AS220" s="163"/>
      <c r="AT220" s="163"/>
      <c r="AU220" s="163"/>
      <c r="AV220" s="321"/>
    </row>
    <row r="221" spans="1:48" ht="12.75" x14ac:dyDescent="0.2">
      <c r="A221" s="243" t="e">
        <f t="shared" ref="A221:C221" si="140">#REF!</f>
        <v>#REF!</v>
      </c>
      <c r="B221" s="243" t="e">
        <f t="shared" si="140"/>
        <v>#REF!</v>
      </c>
      <c r="C221" s="1024" t="e">
        <f t="shared" si="140"/>
        <v>#REF!</v>
      </c>
      <c r="D221" s="1024"/>
      <c r="E221" s="1025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3"/>
      <c r="AI221" s="243"/>
      <c r="AJ221" s="243"/>
      <c r="AK221" s="243"/>
      <c r="AL221" s="243"/>
      <c r="AM221" s="243"/>
      <c r="AN221" s="243"/>
      <c r="AO221" s="243"/>
      <c r="AP221" s="243"/>
      <c r="AQ221" s="1024"/>
      <c r="AR221" s="357"/>
      <c r="AS221" s="163"/>
      <c r="AT221" s="163"/>
      <c r="AU221" s="163"/>
      <c r="AV221" s="321"/>
    </row>
    <row r="222" spans="1:48" ht="12.75" x14ac:dyDescent="0.2">
      <c r="A222" s="243" t="e">
        <f t="shared" ref="A222:C222" si="141">#REF!</f>
        <v>#REF!</v>
      </c>
      <c r="B222" s="243" t="e">
        <f t="shared" si="141"/>
        <v>#REF!</v>
      </c>
      <c r="C222" s="1024" t="e">
        <f t="shared" si="141"/>
        <v>#REF!</v>
      </c>
      <c r="D222" s="1024"/>
      <c r="E222" s="1025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3"/>
      <c r="AI222" s="243"/>
      <c r="AJ222" s="243"/>
      <c r="AK222" s="243"/>
      <c r="AL222" s="243"/>
      <c r="AM222" s="243"/>
      <c r="AN222" s="243"/>
      <c r="AO222" s="243"/>
      <c r="AP222" s="243"/>
      <c r="AQ222" s="1024"/>
      <c r="AR222" s="357"/>
      <c r="AS222" s="163"/>
      <c r="AT222" s="163"/>
      <c r="AU222" s="163"/>
      <c r="AV222" s="321"/>
    </row>
    <row r="223" spans="1:48" ht="12.75" x14ac:dyDescent="0.2">
      <c r="A223" s="243" t="e">
        <f t="shared" ref="A223:C223" si="142">#REF!</f>
        <v>#REF!</v>
      </c>
      <c r="B223" s="243" t="e">
        <f t="shared" si="142"/>
        <v>#REF!</v>
      </c>
      <c r="C223" s="1024" t="e">
        <f t="shared" si="142"/>
        <v>#REF!</v>
      </c>
      <c r="D223" s="1024"/>
      <c r="E223" s="1025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3"/>
      <c r="AI223" s="243"/>
      <c r="AJ223" s="243"/>
      <c r="AK223" s="243"/>
      <c r="AL223" s="243"/>
      <c r="AM223" s="243"/>
      <c r="AN223" s="243"/>
      <c r="AO223" s="243"/>
      <c r="AP223" s="243"/>
      <c r="AQ223" s="1024"/>
      <c r="AR223" s="357"/>
      <c r="AS223" s="163"/>
      <c r="AT223" s="163"/>
      <c r="AU223" s="163"/>
      <c r="AV223" s="321"/>
    </row>
    <row r="224" spans="1:48" ht="12.75" x14ac:dyDescent="0.2">
      <c r="A224" s="243" t="e">
        <f t="shared" ref="A224:C224" si="143">#REF!</f>
        <v>#REF!</v>
      </c>
      <c r="B224" s="243" t="e">
        <f t="shared" si="143"/>
        <v>#REF!</v>
      </c>
      <c r="C224" s="1024" t="e">
        <f t="shared" si="143"/>
        <v>#REF!</v>
      </c>
      <c r="D224" s="1024"/>
      <c r="E224" s="1025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1024"/>
      <c r="AR224" s="357"/>
      <c r="AS224" s="163"/>
      <c r="AT224" s="163"/>
      <c r="AU224" s="163"/>
      <c r="AV224" s="321"/>
    </row>
    <row r="225" spans="1:48" ht="12.75" x14ac:dyDescent="0.2">
      <c r="A225" s="243" t="e">
        <f t="shared" ref="A225:C225" si="144">#REF!</f>
        <v>#REF!</v>
      </c>
      <c r="B225" s="243" t="e">
        <f t="shared" si="144"/>
        <v>#REF!</v>
      </c>
      <c r="C225" s="1024" t="e">
        <f t="shared" si="144"/>
        <v>#REF!</v>
      </c>
      <c r="D225" s="1024"/>
      <c r="E225" s="1025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3"/>
      <c r="AI225" s="243"/>
      <c r="AJ225" s="243"/>
      <c r="AK225" s="243"/>
      <c r="AL225" s="243"/>
      <c r="AM225" s="243"/>
      <c r="AN225" s="243"/>
      <c r="AO225" s="243"/>
      <c r="AP225" s="243"/>
      <c r="AQ225" s="1024"/>
      <c r="AR225" s="357"/>
      <c r="AS225" s="163"/>
      <c r="AT225" s="163"/>
      <c r="AU225" s="163"/>
      <c r="AV225" s="321"/>
    </row>
    <row r="226" spans="1:48" ht="12.75" x14ac:dyDescent="0.2">
      <c r="A226" s="243" t="e">
        <f t="shared" ref="A226:C226" si="145">#REF!</f>
        <v>#REF!</v>
      </c>
      <c r="B226" s="243" t="e">
        <f t="shared" si="145"/>
        <v>#REF!</v>
      </c>
      <c r="C226" s="1024" t="e">
        <f t="shared" si="145"/>
        <v>#REF!</v>
      </c>
      <c r="D226" s="1024"/>
      <c r="E226" s="1025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  <c r="AH226" s="243"/>
      <c r="AI226" s="243"/>
      <c r="AJ226" s="243"/>
      <c r="AK226" s="243"/>
      <c r="AL226" s="243"/>
      <c r="AM226" s="243"/>
      <c r="AN226" s="243"/>
      <c r="AO226" s="243"/>
      <c r="AP226" s="243"/>
      <c r="AQ226" s="1024"/>
      <c r="AR226" s="357"/>
      <c r="AS226" s="163"/>
      <c r="AT226" s="163"/>
      <c r="AU226" s="163"/>
      <c r="AV226" s="321"/>
    </row>
    <row r="227" spans="1:48" ht="12.75" x14ac:dyDescent="0.2">
      <c r="A227" s="243" t="e">
        <f t="shared" ref="A227:C227" si="146">#REF!</f>
        <v>#REF!</v>
      </c>
      <c r="B227" s="243" t="e">
        <f t="shared" si="146"/>
        <v>#REF!</v>
      </c>
      <c r="C227" s="1024" t="e">
        <f t="shared" si="146"/>
        <v>#REF!</v>
      </c>
      <c r="D227" s="1024"/>
      <c r="E227" s="1025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  <c r="AH227" s="243"/>
      <c r="AI227" s="243"/>
      <c r="AJ227" s="243"/>
      <c r="AK227" s="243"/>
      <c r="AL227" s="243"/>
      <c r="AM227" s="243"/>
      <c r="AN227" s="243"/>
      <c r="AO227" s="243"/>
      <c r="AP227" s="243"/>
      <c r="AQ227" s="1024"/>
      <c r="AR227" s="357"/>
      <c r="AS227" s="163"/>
      <c r="AT227" s="163"/>
      <c r="AU227" s="163"/>
      <c r="AV227" s="321"/>
    </row>
    <row r="228" spans="1:48" ht="12.75" x14ac:dyDescent="0.2">
      <c r="A228" s="243" t="e">
        <f t="shared" ref="A228:C228" si="147">#REF!</f>
        <v>#REF!</v>
      </c>
      <c r="B228" s="243" t="e">
        <f t="shared" si="147"/>
        <v>#REF!</v>
      </c>
      <c r="C228" s="1024" t="e">
        <f t="shared" si="147"/>
        <v>#REF!</v>
      </c>
      <c r="D228" s="1024"/>
      <c r="E228" s="1025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  <c r="AH228" s="243"/>
      <c r="AI228" s="243"/>
      <c r="AJ228" s="243"/>
      <c r="AK228" s="243"/>
      <c r="AL228" s="243"/>
      <c r="AM228" s="243"/>
      <c r="AN228" s="243"/>
      <c r="AO228" s="243"/>
      <c r="AP228" s="243"/>
      <c r="AQ228" s="1024"/>
      <c r="AR228" s="357"/>
      <c r="AS228" s="163"/>
      <c r="AT228" s="163"/>
      <c r="AU228" s="163"/>
      <c r="AV228" s="321"/>
    </row>
    <row r="229" spans="1:48" ht="12.75" x14ac:dyDescent="0.2">
      <c r="A229" s="243" t="e">
        <f t="shared" ref="A229:C229" si="148">#REF!</f>
        <v>#REF!</v>
      </c>
      <c r="B229" s="243" t="e">
        <f t="shared" si="148"/>
        <v>#REF!</v>
      </c>
      <c r="C229" s="1024" t="e">
        <f t="shared" si="148"/>
        <v>#REF!</v>
      </c>
      <c r="D229" s="1024"/>
      <c r="E229" s="1025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  <c r="AH229" s="243"/>
      <c r="AI229" s="243"/>
      <c r="AJ229" s="243"/>
      <c r="AK229" s="243"/>
      <c r="AL229" s="243"/>
      <c r="AM229" s="243"/>
      <c r="AN229" s="243"/>
      <c r="AO229" s="243"/>
      <c r="AP229" s="243"/>
      <c r="AQ229" s="1024"/>
      <c r="AR229" s="357"/>
      <c r="AS229" s="163"/>
      <c r="AT229" s="163"/>
      <c r="AU229" s="163"/>
      <c r="AV229" s="321"/>
    </row>
    <row r="230" spans="1:48" ht="12.75" x14ac:dyDescent="0.2">
      <c r="A230" s="243" t="e">
        <f t="shared" ref="A230:C230" si="149">#REF!</f>
        <v>#REF!</v>
      </c>
      <c r="B230" s="243" t="e">
        <f t="shared" si="149"/>
        <v>#REF!</v>
      </c>
      <c r="C230" s="1024" t="e">
        <f t="shared" si="149"/>
        <v>#REF!</v>
      </c>
      <c r="D230" s="1024"/>
      <c r="E230" s="1025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  <c r="AH230" s="243"/>
      <c r="AI230" s="243"/>
      <c r="AJ230" s="243"/>
      <c r="AK230" s="243"/>
      <c r="AL230" s="243"/>
      <c r="AM230" s="243"/>
      <c r="AN230" s="243"/>
      <c r="AO230" s="243"/>
      <c r="AP230" s="243"/>
      <c r="AQ230" s="1024"/>
      <c r="AR230" s="357"/>
      <c r="AS230" s="163"/>
      <c r="AT230" s="163"/>
      <c r="AU230" s="163"/>
      <c r="AV230" s="321"/>
    </row>
    <row r="231" spans="1:48" ht="12.75" x14ac:dyDescent="0.2">
      <c r="A231" s="243" t="e">
        <f t="shared" ref="A231:C231" si="150">#REF!</f>
        <v>#REF!</v>
      </c>
      <c r="B231" s="243" t="e">
        <f t="shared" si="150"/>
        <v>#REF!</v>
      </c>
      <c r="C231" s="1024" t="e">
        <f t="shared" si="150"/>
        <v>#REF!</v>
      </c>
      <c r="D231" s="1024"/>
      <c r="E231" s="1025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3"/>
      <c r="AI231" s="243"/>
      <c r="AJ231" s="243"/>
      <c r="AK231" s="243"/>
      <c r="AL231" s="243"/>
      <c r="AM231" s="243"/>
      <c r="AN231" s="243"/>
      <c r="AO231" s="243"/>
      <c r="AP231" s="243"/>
      <c r="AQ231" s="1024"/>
      <c r="AR231" s="357"/>
      <c r="AS231" s="163"/>
      <c r="AT231" s="163"/>
      <c r="AU231" s="163"/>
      <c r="AV231" s="321"/>
    </row>
    <row r="232" spans="1:48" ht="12.75" x14ac:dyDescent="0.2">
      <c r="A232" s="243" t="e">
        <f t="shared" ref="A232:C232" si="151">#REF!</f>
        <v>#REF!</v>
      </c>
      <c r="B232" s="243" t="e">
        <f t="shared" si="151"/>
        <v>#REF!</v>
      </c>
      <c r="C232" s="1024" t="e">
        <f t="shared" si="151"/>
        <v>#REF!</v>
      </c>
      <c r="D232" s="1024"/>
      <c r="E232" s="1025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243"/>
      <c r="AQ232" s="1024"/>
      <c r="AR232" s="357"/>
      <c r="AS232" s="163"/>
      <c r="AT232" s="163"/>
      <c r="AU232" s="163"/>
      <c r="AV232" s="321"/>
    </row>
    <row r="233" spans="1:48" ht="12.75" x14ac:dyDescent="0.2">
      <c r="A233" s="243" t="e">
        <f t="shared" ref="A233:C233" si="152">#REF!</f>
        <v>#REF!</v>
      </c>
      <c r="B233" s="243" t="e">
        <f t="shared" si="152"/>
        <v>#REF!</v>
      </c>
      <c r="C233" s="1024" t="e">
        <f t="shared" si="152"/>
        <v>#REF!</v>
      </c>
      <c r="D233" s="1024"/>
      <c r="E233" s="1025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  <c r="AH233" s="243"/>
      <c r="AI233" s="243"/>
      <c r="AJ233" s="243"/>
      <c r="AK233" s="243"/>
      <c r="AL233" s="243"/>
      <c r="AM233" s="243"/>
      <c r="AN233" s="243"/>
      <c r="AO233" s="243"/>
      <c r="AP233" s="243"/>
      <c r="AQ233" s="1024"/>
      <c r="AR233" s="357"/>
      <c r="AS233" s="163"/>
      <c r="AT233" s="163"/>
      <c r="AU233" s="163"/>
      <c r="AV233" s="321"/>
    </row>
    <row r="234" spans="1:48" ht="12.75" x14ac:dyDescent="0.2">
      <c r="A234" s="243" t="e">
        <f t="shared" ref="A234:C234" si="153">#REF!</f>
        <v>#REF!</v>
      </c>
      <c r="B234" s="243" t="e">
        <f t="shared" si="153"/>
        <v>#REF!</v>
      </c>
      <c r="C234" s="1024" t="e">
        <f t="shared" si="153"/>
        <v>#REF!</v>
      </c>
      <c r="D234" s="1024"/>
      <c r="E234" s="1025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  <c r="AH234" s="243"/>
      <c r="AI234" s="243"/>
      <c r="AJ234" s="243"/>
      <c r="AK234" s="243"/>
      <c r="AL234" s="243"/>
      <c r="AM234" s="243"/>
      <c r="AN234" s="243"/>
      <c r="AO234" s="243"/>
      <c r="AP234" s="243"/>
      <c r="AQ234" s="1024"/>
      <c r="AR234" s="357"/>
      <c r="AS234" s="163"/>
      <c r="AT234" s="163"/>
      <c r="AU234" s="163"/>
      <c r="AV234" s="321"/>
    </row>
    <row r="235" spans="1:48" ht="12.75" x14ac:dyDescent="0.2">
      <c r="A235" s="243" t="e">
        <f t="shared" ref="A235:C235" si="154">#REF!</f>
        <v>#REF!</v>
      </c>
      <c r="B235" s="243" t="e">
        <f t="shared" si="154"/>
        <v>#REF!</v>
      </c>
      <c r="C235" s="1024" t="e">
        <f t="shared" si="154"/>
        <v>#REF!</v>
      </c>
      <c r="D235" s="1024"/>
      <c r="E235" s="1025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  <c r="AH235" s="243"/>
      <c r="AI235" s="243"/>
      <c r="AJ235" s="243"/>
      <c r="AK235" s="243"/>
      <c r="AL235" s="243"/>
      <c r="AM235" s="243"/>
      <c r="AN235" s="243"/>
      <c r="AO235" s="243"/>
      <c r="AP235" s="243"/>
      <c r="AQ235" s="1024"/>
      <c r="AR235" s="357"/>
      <c r="AS235" s="163"/>
      <c r="AT235" s="163"/>
      <c r="AU235" s="163"/>
      <c r="AV235" s="321"/>
    </row>
    <row r="236" spans="1:48" ht="12.75" x14ac:dyDescent="0.2">
      <c r="A236" s="243" t="e">
        <f t="shared" ref="A236:C236" si="155">#REF!</f>
        <v>#REF!</v>
      </c>
      <c r="B236" s="243" t="e">
        <f t="shared" si="155"/>
        <v>#REF!</v>
      </c>
      <c r="C236" s="1024" t="e">
        <f t="shared" si="155"/>
        <v>#REF!</v>
      </c>
      <c r="D236" s="1024"/>
      <c r="E236" s="1025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  <c r="AH236" s="243"/>
      <c r="AI236" s="243"/>
      <c r="AJ236" s="243"/>
      <c r="AK236" s="243"/>
      <c r="AL236" s="243"/>
      <c r="AM236" s="243"/>
      <c r="AN236" s="243"/>
      <c r="AO236" s="243"/>
      <c r="AP236" s="243"/>
      <c r="AQ236" s="1024"/>
      <c r="AR236" s="357"/>
      <c r="AS236" s="163"/>
      <c r="AT236" s="163"/>
      <c r="AU236" s="163"/>
      <c r="AV236" s="321"/>
    </row>
    <row r="237" spans="1:48" ht="12.75" x14ac:dyDescent="0.2">
      <c r="A237" s="243" t="e">
        <f t="shared" ref="A237:C237" si="156">#REF!</f>
        <v>#REF!</v>
      </c>
      <c r="B237" s="243" t="e">
        <f t="shared" si="156"/>
        <v>#REF!</v>
      </c>
      <c r="C237" s="1024" t="e">
        <f t="shared" si="156"/>
        <v>#REF!</v>
      </c>
      <c r="D237" s="1024"/>
      <c r="E237" s="1025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  <c r="AH237" s="243"/>
      <c r="AI237" s="243"/>
      <c r="AJ237" s="243"/>
      <c r="AK237" s="243"/>
      <c r="AL237" s="243"/>
      <c r="AM237" s="243"/>
      <c r="AN237" s="243"/>
      <c r="AO237" s="243"/>
      <c r="AP237" s="243"/>
      <c r="AQ237" s="1024"/>
      <c r="AR237" s="357"/>
      <c r="AS237" s="163"/>
      <c r="AT237" s="163"/>
      <c r="AU237" s="163"/>
      <c r="AV237" s="321"/>
    </row>
    <row r="238" spans="1:48" ht="12.75" x14ac:dyDescent="0.2">
      <c r="A238" s="243" t="e">
        <f t="shared" ref="A238:C238" si="157">#REF!</f>
        <v>#REF!</v>
      </c>
      <c r="B238" s="243" t="e">
        <f t="shared" si="157"/>
        <v>#REF!</v>
      </c>
      <c r="C238" s="1024" t="e">
        <f t="shared" si="157"/>
        <v>#REF!</v>
      </c>
      <c r="D238" s="1024"/>
      <c r="E238" s="1025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  <c r="AH238" s="243"/>
      <c r="AI238" s="243"/>
      <c r="AJ238" s="243"/>
      <c r="AK238" s="243"/>
      <c r="AL238" s="243"/>
      <c r="AM238" s="243"/>
      <c r="AN238" s="243"/>
      <c r="AO238" s="243"/>
      <c r="AP238" s="243"/>
      <c r="AQ238" s="1024"/>
      <c r="AR238" s="357"/>
      <c r="AS238" s="163"/>
      <c r="AT238" s="163"/>
      <c r="AU238" s="163"/>
      <c r="AV238" s="321"/>
    </row>
    <row r="239" spans="1:48" ht="12.75" x14ac:dyDescent="0.2">
      <c r="A239" s="243" t="e">
        <f t="shared" ref="A239:C239" si="158">#REF!</f>
        <v>#REF!</v>
      </c>
      <c r="B239" s="243" t="e">
        <f t="shared" si="158"/>
        <v>#REF!</v>
      </c>
      <c r="C239" s="1024" t="e">
        <f t="shared" si="158"/>
        <v>#REF!</v>
      </c>
      <c r="D239" s="1024"/>
      <c r="E239" s="1025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  <c r="AH239" s="243"/>
      <c r="AI239" s="243"/>
      <c r="AJ239" s="243"/>
      <c r="AK239" s="243"/>
      <c r="AL239" s="243"/>
      <c r="AM239" s="243"/>
      <c r="AN239" s="243"/>
      <c r="AO239" s="243"/>
      <c r="AP239" s="243"/>
      <c r="AQ239" s="1024"/>
      <c r="AR239" s="357"/>
      <c r="AS239" s="163"/>
      <c r="AT239" s="163"/>
      <c r="AU239" s="163"/>
      <c r="AV239" s="321"/>
    </row>
    <row r="240" spans="1:48" ht="12.75" x14ac:dyDescent="0.2">
      <c r="A240" s="243" t="e">
        <f t="shared" ref="A240:C240" si="159">#REF!</f>
        <v>#REF!</v>
      </c>
      <c r="B240" s="243" t="e">
        <f t="shared" si="159"/>
        <v>#REF!</v>
      </c>
      <c r="C240" s="1024" t="e">
        <f t="shared" si="159"/>
        <v>#REF!</v>
      </c>
      <c r="D240" s="1024"/>
      <c r="E240" s="1025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3"/>
      <c r="AI240" s="243"/>
      <c r="AJ240" s="243"/>
      <c r="AK240" s="243"/>
      <c r="AL240" s="243"/>
      <c r="AM240" s="243"/>
      <c r="AN240" s="243"/>
      <c r="AO240" s="243"/>
      <c r="AP240" s="243"/>
      <c r="AQ240" s="1024"/>
      <c r="AR240" s="357"/>
      <c r="AS240" s="163"/>
      <c r="AT240" s="163"/>
      <c r="AU240" s="163"/>
      <c r="AV240" s="321"/>
    </row>
    <row r="241" spans="1:48" ht="12.75" x14ac:dyDescent="0.2">
      <c r="A241" s="243" t="e">
        <f t="shared" ref="A241:C241" si="160">#REF!</f>
        <v>#REF!</v>
      </c>
      <c r="B241" s="243" t="e">
        <f t="shared" si="160"/>
        <v>#REF!</v>
      </c>
      <c r="C241" s="1024" t="e">
        <f t="shared" si="160"/>
        <v>#REF!</v>
      </c>
      <c r="D241" s="1024"/>
      <c r="E241" s="1025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3"/>
      <c r="AI241" s="243"/>
      <c r="AJ241" s="243"/>
      <c r="AK241" s="243"/>
      <c r="AL241" s="243"/>
      <c r="AM241" s="243"/>
      <c r="AN241" s="243"/>
      <c r="AO241" s="243"/>
      <c r="AP241" s="243"/>
      <c r="AQ241" s="1024"/>
      <c r="AR241" s="357"/>
      <c r="AS241" s="163"/>
      <c r="AT241" s="163"/>
      <c r="AU241" s="163"/>
      <c r="AV241" s="321"/>
    </row>
    <row r="242" spans="1:48" ht="12.75" x14ac:dyDescent="0.2">
      <c r="A242" s="243" t="e">
        <f t="shared" ref="A242:C242" si="161">#REF!</f>
        <v>#REF!</v>
      </c>
      <c r="B242" s="243" t="e">
        <f t="shared" si="161"/>
        <v>#REF!</v>
      </c>
      <c r="C242" s="1024" t="e">
        <f t="shared" si="161"/>
        <v>#REF!</v>
      </c>
      <c r="D242" s="1024"/>
      <c r="E242" s="1025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3"/>
      <c r="AI242" s="243"/>
      <c r="AJ242" s="243"/>
      <c r="AK242" s="243"/>
      <c r="AL242" s="243"/>
      <c r="AM242" s="243"/>
      <c r="AN242" s="243"/>
      <c r="AO242" s="243"/>
      <c r="AP242" s="243"/>
      <c r="AQ242" s="1024"/>
      <c r="AR242" s="357"/>
      <c r="AS242" s="163"/>
      <c r="AT242" s="163"/>
      <c r="AU242" s="163"/>
      <c r="AV242" s="321"/>
    </row>
    <row r="243" spans="1:48" ht="12.75" x14ac:dyDescent="0.2">
      <c r="A243" s="243" t="e">
        <f t="shared" ref="A243:C243" si="162">#REF!</f>
        <v>#REF!</v>
      </c>
      <c r="B243" s="243" t="e">
        <f t="shared" si="162"/>
        <v>#REF!</v>
      </c>
      <c r="C243" s="1024" t="e">
        <f t="shared" si="162"/>
        <v>#REF!</v>
      </c>
      <c r="D243" s="1024"/>
      <c r="E243" s="1025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  <c r="AH243" s="243"/>
      <c r="AI243" s="243"/>
      <c r="AJ243" s="243"/>
      <c r="AK243" s="243"/>
      <c r="AL243" s="243"/>
      <c r="AM243" s="243"/>
      <c r="AN243" s="243"/>
      <c r="AO243" s="243"/>
      <c r="AP243" s="243"/>
      <c r="AQ243" s="1024"/>
      <c r="AR243" s="357"/>
      <c r="AS243" s="163"/>
      <c r="AT243" s="163"/>
      <c r="AU243" s="163"/>
      <c r="AV243" s="321"/>
    </row>
    <row r="244" spans="1:48" ht="12.75" x14ac:dyDescent="0.2">
      <c r="A244" s="243" t="e">
        <f t="shared" ref="A244:C244" si="163">#REF!</f>
        <v>#REF!</v>
      </c>
      <c r="B244" s="243" t="e">
        <f t="shared" si="163"/>
        <v>#REF!</v>
      </c>
      <c r="C244" s="1024" t="e">
        <f t="shared" si="163"/>
        <v>#REF!</v>
      </c>
      <c r="D244" s="1024"/>
      <c r="E244" s="1025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  <c r="AH244" s="243"/>
      <c r="AI244" s="243"/>
      <c r="AJ244" s="243"/>
      <c r="AK244" s="243"/>
      <c r="AL244" s="243"/>
      <c r="AM244" s="243"/>
      <c r="AN244" s="243"/>
      <c r="AO244" s="243"/>
      <c r="AP244" s="243"/>
      <c r="AQ244" s="1024"/>
      <c r="AR244" s="357"/>
      <c r="AS244" s="163"/>
      <c r="AT244" s="163"/>
      <c r="AU244" s="163"/>
      <c r="AV244" s="321"/>
    </row>
    <row r="245" spans="1:48" ht="12.75" x14ac:dyDescent="0.2">
      <c r="A245" s="243" t="e">
        <f t="shared" ref="A245:C245" si="164">#REF!</f>
        <v>#REF!</v>
      </c>
      <c r="B245" s="243" t="e">
        <f t="shared" si="164"/>
        <v>#REF!</v>
      </c>
      <c r="C245" s="1024" t="e">
        <f t="shared" si="164"/>
        <v>#REF!</v>
      </c>
      <c r="D245" s="1024"/>
      <c r="E245" s="1025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  <c r="AH245" s="243"/>
      <c r="AI245" s="243"/>
      <c r="AJ245" s="243"/>
      <c r="AK245" s="243"/>
      <c r="AL245" s="243"/>
      <c r="AM245" s="243"/>
      <c r="AN245" s="243"/>
      <c r="AO245" s="243"/>
      <c r="AP245" s="243"/>
      <c r="AQ245" s="1024"/>
      <c r="AR245" s="357"/>
      <c r="AS245" s="163"/>
      <c r="AT245" s="163"/>
      <c r="AU245" s="163"/>
      <c r="AV245" s="321"/>
    </row>
    <row r="246" spans="1:48" ht="12.75" x14ac:dyDescent="0.2">
      <c r="A246" s="243" t="e">
        <f t="shared" ref="A246:C246" si="165">#REF!</f>
        <v>#REF!</v>
      </c>
      <c r="B246" s="243" t="e">
        <f t="shared" si="165"/>
        <v>#REF!</v>
      </c>
      <c r="C246" s="1024" t="e">
        <f t="shared" si="165"/>
        <v>#REF!</v>
      </c>
      <c r="D246" s="1024"/>
      <c r="E246" s="1025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1024"/>
      <c r="AR246" s="357"/>
      <c r="AS246" s="163"/>
      <c r="AT246" s="163"/>
      <c r="AU246" s="163"/>
      <c r="AV246" s="321"/>
    </row>
    <row r="247" spans="1:48" ht="12.75" x14ac:dyDescent="0.2">
      <c r="A247" s="243" t="e">
        <f t="shared" ref="A247:C247" si="166">#REF!</f>
        <v>#REF!</v>
      </c>
      <c r="B247" s="243" t="e">
        <f t="shared" si="166"/>
        <v>#REF!</v>
      </c>
      <c r="C247" s="1024" t="e">
        <f t="shared" si="166"/>
        <v>#REF!</v>
      </c>
      <c r="D247" s="1024"/>
      <c r="E247" s="1025"/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1024"/>
      <c r="AR247" s="357"/>
      <c r="AS247" s="163"/>
      <c r="AT247" s="163"/>
      <c r="AU247" s="163"/>
      <c r="AV247" s="321"/>
    </row>
    <row r="248" spans="1:48" ht="12.75" x14ac:dyDescent="0.2">
      <c r="A248" s="243" t="e">
        <f t="shared" ref="A248:C248" si="167">#REF!</f>
        <v>#REF!</v>
      </c>
      <c r="B248" s="243" t="e">
        <f t="shared" si="167"/>
        <v>#REF!</v>
      </c>
      <c r="C248" s="1024" t="e">
        <f t="shared" si="167"/>
        <v>#REF!</v>
      </c>
      <c r="D248" s="1024"/>
      <c r="E248" s="1025"/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3"/>
      <c r="AI248" s="243"/>
      <c r="AJ248" s="243"/>
      <c r="AK248" s="243"/>
      <c r="AL248" s="243"/>
      <c r="AM248" s="243"/>
      <c r="AN248" s="243"/>
      <c r="AO248" s="243"/>
      <c r="AP248" s="243"/>
      <c r="AQ248" s="1024"/>
      <c r="AR248" s="357"/>
      <c r="AS248" s="163"/>
      <c r="AT248" s="163"/>
      <c r="AU248" s="163"/>
      <c r="AV248" s="321"/>
    </row>
    <row r="249" spans="1:48" ht="12.75" x14ac:dyDescent="0.2">
      <c r="A249" s="243" t="e">
        <f t="shared" ref="A249:C249" si="168">#REF!</f>
        <v>#REF!</v>
      </c>
      <c r="B249" s="243" t="e">
        <f t="shared" si="168"/>
        <v>#REF!</v>
      </c>
      <c r="C249" s="1024" t="e">
        <f t="shared" si="168"/>
        <v>#REF!</v>
      </c>
      <c r="D249" s="1024"/>
      <c r="E249" s="1025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3"/>
      <c r="AI249" s="243"/>
      <c r="AJ249" s="243"/>
      <c r="AK249" s="243"/>
      <c r="AL249" s="243"/>
      <c r="AM249" s="243"/>
      <c r="AN249" s="243"/>
      <c r="AO249" s="243"/>
      <c r="AP249" s="243"/>
      <c r="AQ249" s="1024"/>
      <c r="AR249" s="357"/>
      <c r="AS249" s="163"/>
      <c r="AT249" s="163"/>
      <c r="AU249" s="163"/>
      <c r="AV249" s="321"/>
    </row>
    <row r="250" spans="1:48" ht="12.75" x14ac:dyDescent="0.2">
      <c r="A250" s="243" t="e">
        <f t="shared" ref="A250:C250" si="169">#REF!</f>
        <v>#REF!</v>
      </c>
      <c r="B250" s="243" t="e">
        <f t="shared" si="169"/>
        <v>#REF!</v>
      </c>
      <c r="C250" s="1024" t="e">
        <f t="shared" si="169"/>
        <v>#REF!</v>
      </c>
      <c r="D250" s="1024"/>
      <c r="E250" s="1025"/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  <c r="AH250" s="243"/>
      <c r="AI250" s="243"/>
      <c r="AJ250" s="243"/>
      <c r="AK250" s="243"/>
      <c r="AL250" s="243"/>
      <c r="AM250" s="243"/>
      <c r="AN250" s="243"/>
      <c r="AO250" s="243"/>
      <c r="AP250" s="243"/>
      <c r="AQ250" s="1024"/>
      <c r="AR250" s="357"/>
      <c r="AS250" s="163"/>
      <c r="AT250" s="163"/>
      <c r="AU250" s="163"/>
      <c r="AV250" s="321"/>
    </row>
    <row r="251" spans="1:48" ht="12.75" x14ac:dyDescent="0.2">
      <c r="A251" s="243" t="e">
        <f t="shared" ref="A251:C251" si="170">#REF!</f>
        <v>#REF!</v>
      </c>
      <c r="B251" s="243" t="e">
        <f t="shared" si="170"/>
        <v>#REF!</v>
      </c>
      <c r="C251" s="1024" t="e">
        <f t="shared" si="170"/>
        <v>#REF!</v>
      </c>
      <c r="D251" s="1024"/>
      <c r="E251" s="1025"/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  <c r="AH251" s="243"/>
      <c r="AI251" s="243"/>
      <c r="AJ251" s="243"/>
      <c r="AK251" s="243"/>
      <c r="AL251" s="243"/>
      <c r="AM251" s="243"/>
      <c r="AN251" s="243"/>
      <c r="AO251" s="243"/>
      <c r="AP251" s="243"/>
      <c r="AQ251" s="1024"/>
      <c r="AR251" s="357"/>
      <c r="AS251" s="163"/>
      <c r="AT251" s="163"/>
      <c r="AU251" s="163"/>
      <c r="AV251" s="321"/>
    </row>
    <row r="252" spans="1:48" ht="12.75" x14ac:dyDescent="0.2">
      <c r="A252" s="243" t="e">
        <f t="shared" ref="A252:C252" si="171">#REF!</f>
        <v>#REF!</v>
      </c>
      <c r="B252" s="243" t="e">
        <f t="shared" si="171"/>
        <v>#REF!</v>
      </c>
      <c r="C252" s="1024" t="e">
        <f t="shared" si="171"/>
        <v>#REF!</v>
      </c>
      <c r="D252" s="1024"/>
      <c r="E252" s="1025"/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  <c r="AH252" s="243"/>
      <c r="AI252" s="243"/>
      <c r="AJ252" s="243"/>
      <c r="AK252" s="243"/>
      <c r="AL252" s="243"/>
      <c r="AM252" s="243"/>
      <c r="AN252" s="243"/>
      <c r="AO252" s="243"/>
      <c r="AP252" s="243"/>
      <c r="AQ252" s="1024"/>
      <c r="AR252" s="357"/>
      <c r="AS252" s="163"/>
      <c r="AT252" s="163"/>
      <c r="AU252" s="163"/>
      <c r="AV252" s="321"/>
    </row>
    <row r="253" spans="1:48" ht="12.75" x14ac:dyDescent="0.2">
      <c r="A253" s="243" t="e">
        <f t="shared" ref="A253:C253" si="172">#REF!</f>
        <v>#REF!</v>
      </c>
      <c r="B253" s="243" t="e">
        <f t="shared" si="172"/>
        <v>#REF!</v>
      </c>
      <c r="C253" s="1024" t="e">
        <f t="shared" si="172"/>
        <v>#REF!</v>
      </c>
      <c r="D253" s="1024"/>
      <c r="E253" s="1025"/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  <c r="AH253" s="243"/>
      <c r="AI253" s="243"/>
      <c r="AJ253" s="243"/>
      <c r="AK253" s="243"/>
      <c r="AL253" s="243"/>
      <c r="AM253" s="243"/>
      <c r="AN253" s="243"/>
      <c r="AO253" s="243"/>
      <c r="AP253" s="243"/>
      <c r="AQ253" s="1024"/>
      <c r="AR253" s="357"/>
      <c r="AS253" s="163"/>
      <c r="AT253" s="163"/>
      <c r="AU253" s="163"/>
      <c r="AV253" s="321"/>
    </row>
    <row r="254" spans="1:48" ht="12.75" x14ac:dyDescent="0.2">
      <c r="A254" s="243" t="e">
        <f t="shared" ref="A254:C254" si="173">#REF!</f>
        <v>#REF!</v>
      </c>
      <c r="B254" s="243" t="e">
        <f t="shared" si="173"/>
        <v>#REF!</v>
      </c>
      <c r="C254" s="1024" t="e">
        <f t="shared" si="173"/>
        <v>#REF!</v>
      </c>
      <c r="D254" s="1024"/>
      <c r="E254" s="1025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3"/>
      <c r="AI254" s="243"/>
      <c r="AJ254" s="243"/>
      <c r="AK254" s="243"/>
      <c r="AL254" s="243"/>
      <c r="AM254" s="243"/>
      <c r="AN254" s="243"/>
      <c r="AO254" s="243"/>
      <c r="AP254" s="243"/>
      <c r="AQ254" s="1024"/>
      <c r="AR254" s="357"/>
      <c r="AS254" s="163"/>
      <c r="AT254" s="163"/>
      <c r="AU254" s="163"/>
      <c r="AV254" s="321"/>
    </row>
    <row r="255" spans="1:48" ht="12.75" x14ac:dyDescent="0.2">
      <c r="A255" s="243" t="e">
        <f t="shared" ref="A255:C255" si="174">#REF!</f>
        <v>#REF!</v>
      </c>
      <c r="B255" s="243" t="e">
        <f t="shared" si="174"/>
        <v>#REF!</v>
      </c>
      <c r="C255" s="1024" t="e">
        <f t="shared" si="174"/>
        <v>#REF!</v>
      </c>
      <c r="D255" s="1024"/>
      <c r="E255" s="1025"/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  <c r="AH255" s="243"/>
      <c r="AI255" s="243"/>
      <c r="AJ255" s="243"/>
      <c r="AK255" s="243"/>
      <c r="AL255" s="243"/>
      <c r="AM255" s="243"/>
      <c r="AN255" s="243"/>
      <c r="AO255" s="243"/>
      <c r="AP255" s="243"/>
      <c r="AQ255" s="1024"/>
      <c r="AR255" s="357"/>
      <c r="AS255" s="163"/>
      <c r="AT255" s="163"/>
      <c r="AU255" s="163"/>
      <c r="AV255" s="321"/>
    </row>
    <row r="256" spans="1:48" ht="12.75" x14ac:dyDescent="0.2">
      <c r="A256" s="243" t="e">
        <f t="shared" ref="A256:C256" si="175">#REF!</f>
        <v>#REF!</v>
      </c>
      <c r="B256" s="243" t="e">
        <f t="shared" si="175"/>
        <v>#REF!</v>
      </c>
      <c r="C256" s="1024" t="e">
        <f t="shared" si="175"/>
        <v>#REF!</v>
      </c>
      <c r="D256" s="1024"/>
      <c r="E256" s="1025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  <c r="AH256" s="243"/>
      <c r="AI256" s="243"/>
      <c r="AJ256" s="243"/>
      <c r="AK256" s="243"/>
      <c r="AL256" s="243"/>
      <c r="AM256" s="243"/>
      <c r="AN256" s="243"/>
      <c r="AO256" s="243"/>
      <c r="AP256" s="243"/>
      <c r="AQ256" s="1024"/>
      <c r="AR256" s="357"/>
      <c r="AS256" s="163"/>
      <c r="AT256" s="163"/>
      <c r="AU256" s="163"/>
      <c r="AV256" s="321"/>
    </row>
    <row r="257" spans="1:48" ht="12.75" x14ac:dyDescent="0.2">
      <c r="A257" s="243" t="e">
        <f t="shared" ref="A257:C257" si="176">#REF!</f>
        <v>#REF!</v>
      </c>
      <c r="B257" s="243" t="e">
        <f t="shared" si="176"/>
        <v>#REF!</v>
      </c>
      <c r="C257" s="1024" t="e">
        <f t="shared" si="176"/>
        <v>#REF!</v>
      </c>
      <c r="D257" s="1024"/>
      <c r="E257" s="1025"/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  <c r="AH257" s="243"/>
      <c r="AI257" s="243"/>
      <c r="AJ257" s="243"/>
      <c r="AK257" s="243"/>
      <c r="AL257" s="243"/>
      <c r="AM257" s="243"/>
      <c r="AN257" s="243"/>
      <c r="AO257" s="243"/>
      <c r="AP257" s="243"/>
      <c r="AQ257" s="1024"/>
      <c r="AR257" s="357"/>
      <c r="AS257" s="163"/>
      <c r="AT257" s="163"/>
      <c r="AU257" s="163"/>
      <c r="AV257" s="321"/>
    </row>
    <row r="258" spans="1:48" ht="12.75" x14ac:dyDescent="0.2">
      <c r="A258" s="243" t="e">
        <f t="shared" ref="A258:C258" si="177">#REF!</f>
        <v>#REF!</v>
      </c>
      <c r="B258" s="243" t="e">
        <f t="shared" si="177"/>
        <v>#REF!</v>
      </c>
      <c r="C258" s="1024" t="e">
        <f t="shared" si="177"/>
        <v>#REF!</v>
      </c>
      <c r="D258" s="1024"/>
      <c r="E258" s="1025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3"/>
      <c r="AI258" s="243"/>
      <c r="AJ258" s="243"/>
      <c r="AK258" s="243"/>
      <c r="AL258" s="243"/>
      <c r="AM258" s="243"/>
      <c r="AN258" s="243"/>
      <c r="AO258" s="243"/>
      <c r="AP258" s="243"/>
      <c r="AQ258" s="1024"/>
      <c r="AR258" s="357"/>
      <c r="AS258" s="163"/>
      <c r="AT258" s="163"/>
      <c r="AU258" s="163"/>
      <c r="AV258" s="321"/>
    </row>
    <row r="259" spans="1:48" ht="12.75" x14ac:dyDescent="0.2">
      <c r="A259" s="243" t="e">
        <f t="shared" ref="A259:C259" si="178">#REF!</f>
        <v>#REF!</v>
      </c>
      <c r="B259" s="243" t="e">
        <f t="shared" si="178"/>
        <v>#REF!</v>
      </c>
      <c r="C259" s="1024" t="e">
        <f t="shared" si="178"/>
        <v>#REF!</v>
      </c>
      <c r="D259" s="1024"/>
      <c r="E259" s="1025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3"/>
      <c r="AI259" s="243"/>
      <c r="AJ259" s="243"/>
      <c r="AK259" s="243"/>
      <c r="AL259" s="243"/>
      <c r="AM259" s="243"/>
      <c r="AN259" s="243"/>
      <c r="AO259" s="243"/>
      <c r="AP259" s="243"/>
      <c r="AQ259" s="1024"/>
      <c r="AR259" s="357"/>
      <c r="AS259" s="163"/>
      <c r="AT259" s="163"/>
      <c r="AU259" s="163"/>
      <c r="AV259" s="321"/>
    </row>
    <row r="260" spans="1:48" ht="12.75" x14ac:dyDescent="0.2">
      <c r="A260" s="243" t="e">
        <f t="shared" ref="A260:C260" si="179">#REF!</f>
        <v>#REF!</v>
      </c>
      <c r="B260" s="243" t="e">
        <f t="shared" si="179"/>
        <v>#REF!</v>
      </c>
      <c r="C260" s="1024" t="e">
        <f t="shared" si="179"/>
        <v>#REF!</v>
      </c>
      <c r="D260" s="1024"/>
      <c r="E260" s="1025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  <c r="AH260" s="243"/>
      <c r="AI260" s="243"/>
      <c r="AJ260" s="243"/>
      <c r="AK260" s="243"/>
      <c r="AL260" s="243"/>
      <c r="AM260" s="243"/>
      <c r="AN260" s="243"/>
      <c r="AO260" s="243"/>
      <c r="AP260" s="243"/>
      <c r="AQ260" s="1024"/>
      <c r="AR260" s="357"/>
      <c r="AS260" s="163"/>
      <c r="AT260" s="163"/>
      <c r="AU260" s="163"/>
      <c r="AV260" s="321"/>
    </row>
    <row r="261" spans="1:48" ht="12.75" x14ac:dyDescent="0.2">
      <c r="A261" s="243" t="e">
        <f t="shared" ref="A261:C261" si="180">#REF!</f>
        <v>#REF!</v>
      </c>
      <c r="B261" s="243" t="e">
        <f t="shared" si="180"/>
        <v>#REF!</v>
      </c>
      <c r="C261" s="1024" t="e">
        <f t="shared" si="180"/>
        <v>#REF!</v>
      </c>
      <c r="D261" s="1024"/>
      <c r="E261" s="1025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3"/>
      <c r="AI261" s="243"/>
      <c r="AJ261" s="243"/>
      <c r="AK261" s="243"/>
      <c r="AL261" s="243"/>
      <c r="AM261" s="243"/>
      <c r="AN261" s="243"/>
      <c r="AO261" s="243"/>
      <c r="AP261" s="243"/>
      <c r="AQ261" s="1024"/>
      <c r="AR261" s="357"/>
      <c r="AS261" s="163"/>
      <c r="AT261" s="163"/>
      <c r="AU261" s="163"/>
      <c r="AV261" s="321"/>
    </row>
    <row r="262" spans="1:48" ht="12.75" x14ac:dyDescent="0.2">
      <c r="A262" s="243" t="e">
        <f t="shared" ref="A262:C262" si="181">#REF!</f>
        <v>#REF!</v>
      </c>
      <c r="B262" s="243" t="e">
        <f t="shared" si="181"/>
        <v>#REF!</v>
      </c>
      <c r="C262" s="1024" t="e">
        <f t="shared" si="181"/>
        <v>#REF!</v>
      </c>
      <c r="D262" s="1024"/>
      <c r="E262" s="1025"/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3"/>
      <c r="AI262" s="243"/>
      <c r="AJ262" s="243"/>
      <c r="AK262" s="243"/>
      <c r="AL262" s="243"/>
      <c r="AM262" s="243"/>
      <c r="AN262" s="243"/>
      <c r="AO262" s="243"/>
      <c r="AP262" s="243"/>
      <c r="AQ262" s="1024"/>
      <c r="AR262" s="357"/>
      <c r="AS262" s="163"/>
      <c r="AT262" s="163"/>
      <c r="AU262" s="163"/>
      <c r="AV262" s="321"/>
    </row>
    <row r="263" spans="1:48" ht="12.75" x14ac:dyDescent="0.2">
      <c r="A263" s="243" t="e">
        <f t="shared" ref="A263:C263" si="182">#REF!</f>
        <v>#REF!</v>
      </c>
      <c r="B263" s="243" t="e">
        <f t="shared" si="182"/>
        <v>#REF!</v>
      </c>
      <c r="C263" s="1024" t="e">
        <f t="shared" si="182"/>
        <v>#REF!</v>
      </c>
      <c r="D263" s="1024"/>
      <c r="E263" s="1025"/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  <c r="AH263" s="243"/>
      <c r="AI263" s="243"/>
      <c r="AJ263" s="243"/>
      <c r="AK263" s="243"/>
      <c r="AL263" s="243"/>
      <c r="AM263" s="243"/>
      <c r="AN263" s="243"/>
      <c r="AO263" s="243"/>
      <c r="AP263" s="243"/>
      <c r="AQ263" s="1024"/>
      <c r="AR263" s="357"/>
      <c r="AS263" s="163"/>
      <c r="AT263" s="163"/>
      <c r="AU263" s="163"/>
      <c r="AV263" s="321"/>
    </row>
    <row r="264" spans="1:48" ht="12.75" x14ac:dyDescent="0.2">
      <c r="A264" s="243" t="e">
        <f t="shared" ref="A264:C264" si="183">#REF!</f>
        <v>#REF!</v>
      </c>
      <c r="B264" s="243" t="e">
        <f t="shared" si="183"/>
        <v>#REF!</v>
      </c>
      <c r="C264" s="1024" t="e">
        <f t="shared" si="183"/>
        <v>#REF!</v>
      </c>
      <c r="D264" s="1024"/>
      <c r="E264" s="1025"/>
      <c r="F264" s="243"/>
      <c r="G264" s="243"/>
      <c r="H264" s="243"/>
      <c r="I264" s="243"/>
      <c r="J264" s="243"/>
      <c r="K264" s="243"/>
      <c r="L264" s="243"/>
      <c r="M264" s="243"/>
      <c r="N264" s="243"/>
      <c r="O264" s="243"/>
      <c r="P264" s="243"/>
      <c r="Q264" s="243"/>
      <c r="R264" s="243"/>
      <c r="S264" s="243"/>
      <c r="T264" s="243"/>
      <c r="U264" s="243"/>
      <c r="V264" s="243"/>
      <c r="W264" s="243"/>
      <c r="X264" s="243"/>
      <c r="Y264" s="243"/>
      <c r="Z264" s="243"/>
      <c r="AA264" s="243"/>
      <c r="AB264" s="243"/>
      <c r="AC264" s="243"/>
      <c r="AD264" s="243"/>
      <c r="AE264" s="243"/>
      <c r="AF264" s="243"/>
      <c r="AG264" s="243"/>
      <c r="AH264" s="243"/>
      <c r="AI264" s="243"/>
      <c r="AJ264" s="243"/>
      <c r="AK264" s="243"/>
      <c r="AL264" s="243"/>
      <c r="AM264" s="243"/>
      <c r="AN264" s="243"/>
      <c r="AO264" s="243"/>
      <c r="AP264" s="243"/>
      <c r="AQ264" s="1024"/>
      <c r="AR264" s="357"/>
      <c r="AS264" s="163"/>
      <c r="AT264" s="163"/>
      <c r="AU264" s="163"/>
      <c r="AV264" s="321"/>
    </row>
    <row r="265" spans="1:48" ht="12.75" x14ac:dyDescent="0.2">
      <c r="A265" s="243" t="e">
        <f t="shared" ref="A265:C265" si="184">#REF!</f>
        <v>#REF!</v>
      </c>
      <c r="B265" s="243" t="e">
        <f t="shared" si="184"/>
        <v>#REF!</v>
      </c>
      <c r="C265" s="1024" t="e">
        <f t="shared" si="184"/>
        <v>#REF!</v>
      </c>
      <c r="D265" s="1024"/>
      <c r="E265" s="1025"/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  <c r="AH265" s="243"/>
      <c r="AI265" s="243"/>
      <c r="AJ265" s="243"/>
      <c r="AK265" s="243"/>
      <c r="AL265" s="243"/>
      <c r="AM265" s="243"/>
      <c r="AN265" s="243"/>
      <c r="AO265" s="243"/>
      <c r="AP265" s="243"/>
      <c r="AQ265" s="1024"/>
      <c r="AR265" s="357"/>
      <c r="AS265" s="163"/>
      <c r="AT265" s="163"/>
      <c r="AU265" s="163"/>
      <c r="AV265" s="321"/>
    </row>
    <row r="266" spans="1:48" ht="12.75" x14ac:dyDescent="0.2">
      <c r="A266" s="243" t="e">
        <f t="shared" ref="A266:C266" si="185">#REF!</f>
        <v>#REF!</v>
      </c>
      <c r="B266" s="243" t="e">
        <f t="shared" si="185"/>
        <v>#REF!</v>
      </c>
      <c r="C266" s="1024" t="e">
        <f t="shared" si="185"/>
        <v>#REF!</v>
      </c>
      <c r="D266" s="1024"/>
      <c r="E266" s="1025"/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  <c r="AH266" s="243"/>
      <c r="AI266" s="243"/>
      <c r="AJ266" s="243"/>
      <c r="AK266" s="243"/>
      <c r="AL266" s="243"/>
      <c r="AM266" s="243"/>
      <c r="AN266" s="243"/>
      <c r="AO266" s="243"/>
      <c r="AP266" s="243"/>
      <c r="AQ266" s="1024"/>
      <c r="AR266" s="357"/>
      <c r="AS266" s="163"/>
      <c r="AT266" s="163"/>
      <c r="AU266" s="163"/>
      <c r="AV266" s="321"/>
    </row>
    <row r="267" spans="1:48" ht="12.75" x14ac:dyDescent="0.2">
      <c r="A267" s="243" t="e">
        <f t="shared" ref="A267:C267" si="186">#REF!</f>
        <v>#REF!</v>
      </c>
      <c r="B267" s="243" t="e">
        <f t="shared" si="186"/>
        <v>#REF!</v>
      </c>
      <c r="C267" s="1024" t="e">
        <f t="shared" si="186"/>
        <v>#REF!</v>
      </c>
      <c r="D267" s="1024"/>
      <c r="E267" s="1025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  <c r="AH267" s="243"/>
      <c r="AI267" s="243"/>
      <c r="AJ267" s="243"/>
      <c r="AK267" s="243"/>
      <c r="AL267" s="243"/>
      <c r="AM267" s="243"/>
      <c r="AN267" s="243"/>
      <c r="AO267" s="243"/>
      <c r="AP267" s="243"/>
      <c r="AQ267" s="1024"/>
      <c r="AR267" s="357"/>
      <c r="AS267" s="163"/>
      <c r="AT267" s="163"/>
      <c r="AU267" s="163"/>
      <c r="AV267" s="321"/>
    </row>
    <row r="268" spans="1:48" ht="12.75" x14ac:dyDescent="0.2">
      <c r="A268" s="243" t="e">
        <f t="shared" ref="A268:C268" si="187">#REF!</f>
        <v>#REF!</v>
      </c>
      <c r="B268" s="243" t="e">
        <f t="shared" si="187"/>
        <v>#REF!</v>
      </c>
      <c r="C268" s="1024" t="e">
        <f t="shared" si="187"/>
        <v>#REF!</v>
      </c>
      <c r="D268" s="1024"/>
      <c r="E268" s="1025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  <c r="AH268" s="243"/>
      <c r="AI268" s="243"/>
      <c r="AJ268" s="243"/>
      <c r="AK268" s="243"/>
      <c r="AL268" s="243"/>
      <c r="AM268" s="243"/>
      <c r="AN268" s="243"/>
      <c r="AO268" s="243"/>
      <c r="AP268" s="243"/>
      <c r="AQ268" s="1024"/>
      <c r="AR268" s="357"/>
      <c r="AS268" s="163"/>
      <c r="AT268" s="163"/>
      <c r="AU268" s="163"/>
      <c r="AV268" s="321"/>
    </row>
    <row r="269" spans="1:48" ht="12.75" x14ac:dyDescent="0.2">
      <c r="A269" s="243" t="e">
        <f t="shared" ref="A269:C269" si="188">#REF!</f>
        <v>#REF!</v>
      </c>
      <c r="B269" s="243" t="e">
        <f t="shared" si="188"/>
        <v>#REF!</v>
      </c>
      <c r="C269" s="1024" t="e">
        <f t="shared" si="188"/>
        <v>#REF!</v>
      </c>
      <c r="D269" s="1024"/>
      <c r="E269" s="1025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  <c r="AH269" s="243"/>
      <c r="AI269" s="243"/>
      <c r="AJ269" s="243"/>
      <c r="AK269" s="243"/>
      <c r="AL269" s="243"/>
      <c r="AM269" s="243"/>
      <c r="AN269" s="243"/>
      <c r="AO269" s="243"/>
      <c r="AP269" s="243"/>
      <c r="AQ269" s="1024"/>
      <c r="AR269" s="357"/>
      <c r="AS269" s="163"/>
      <c r="AT269" s="163"/>
      <c r="AU269" s="163"/>
      <c r="AV269" s="321"/>
    </row>
    <row r="270" spans="1:48" ht="12.75" x14ac:dyDescent="0.2">
      <c r="A270" s="243" t="e">
        <f t="shared" ref="A270:C270" si="189">#REF!</f>
        <v>#REF!</v>
      </c>
      <c r="B270" s="243" t="e">
        <f t="shared" si="189"/>
        <v>#REF!</v>
      </c>
      <c r="C270" s="1024" t="e">
        <f t="shared" si="189"/>
        <v>#REF!</v>
      </c>
      <c r="D270" s="1024"/>
      <c r="E270" s="1025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  <c r="AH270" s="243"/>
      <c r="AI270" s="243"/>
      <c r="AJ270" s="243"/>
      <c r="AK270" s="243"/>
      <c r="AL270" s="243"/>
      <c r="AM270" s="243"/>
      <c r="AN270" s="243"/>
      <c r="AO270" s="243"/>
      <c r="AP270" s="243"/>
      <c r="AQ270" s="1024"/>
      <c r="AR270" s="357"/>
      <c r="AS270" s="163"/>
      <c r="AT270" s="163"/>
      <c r="AU270" s="163"/>
      <c r="AV270" s="321"/>
    </row>
    <row r="271" spans="1:48" ht="12.75" x14ac:dyDescent="0.2">
      <c r="A271" s="243" t="e">
        <f t="shared" ref="A271:C271" si="190">#REF!</f>
        <v>#REF!</v>
      </c>
      <c r="B271" s="243" t="e">
        <f t="shared" si="190"/>
        <v>#REF!</v>
      </c>
      <c r="C271" s="1024" t="e">
        <f t="shared" si="190"/>
        <v>#REF!</v>
      </c>
      <c r="D271" s="1024"/>
      <c r="E271" s="1025"/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  <c r="AA271" s="243"/>
      <c r="AB271" s="243"/>
      <c r="AC271" s="243"/>
      <c r="AD271" s="243"/>
      <c r="AE271" s="243"/>
      <c r="AF271" s="243"/>
      <c r="AG271" s="243"/>
      <c r="AH271" s="243"/>
      <c r="AI271" s="243"/>
      <c r="AJ271" s="243"/>
      <c r="AK271" s="243"/>
      <c r="AL271" s="243"/>
      <c r="AM271" s="243"/>
      <c r="AN271" s="243"/>
      <c r="AO271" s="243"/>
      <c r="AP271" s="243"/>
      <c r="AQ271" s="1024"/>
      <c r="AR271" s="357"/>
      <c r="AS271" s="163"/>
      <c r="AT271" s="163"/>
      <c r="AU271" s="163"/>
      <c r="AV271" s="321"/>
    </row>
    <row r="272" spans="1:48" ht="12.75" x14ac:dyDescent="0.2">
      <c r="A272" s="243" t="e">
        <f t="shared" ref="A272:C272" si="191">#REF!</f>
        <v>#REF!</v>
      </c>
      <c r="B272" s="243" t="e">
        <f t="shared" si="191"/>
        <v>#REF!</v>
      </c>
      <c r="C272" s="1024" t="e">
        <f t="shared" si="191"/>
        <v>#REF!</v>
      </c>
      <c r="D272" s="1024"/>
      <c r="E272" s="1025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  <c r="AH272" s="243"/>
      <c r="AI272" s="243"/>
      <c r="AJ272" s="243"/>
      <c r="AK272" s="243"/>
      <c r="AL272" s="243"/>
      <c r="AM272" s="243"/>
      <c r="AN272" s="243"/>
      <c r="AO272" s="243"/>
      <c r="AP272" s="243"/>
      <c r="AQ272" s="1024"/>
      <c r="AR272" s="357"/>
      <c r="AS272" s="163"/>
      <c r="AT272" s="163"/>
      <c r="AU272" s="163"/>
      <c r="AV272" s="321"/>
    </row>
    <row r="273" spans="1:48" ht="12.75" x14ac:dyDescent="0.2">
      <c r="A273" s="243" t="e">
        <f t="shared" ref="A273:C273" si="192">#REF!</f>
        <v>#REF!</v>
      </c>
      <c r="B273" s="243" t="e">
        <f t="shared" si="192"/>
        <v>#REF!</v>
      </c>
      <c r="C273" s="1024" t="e">
        <f t="shared" si="192"/>
        <v>#REF!</v>
      </c>
      <c r="D273" s="1024"/>
      <c r="E273" s="1025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3"/>
      <c r="AI273" s="243"/>
      <c r="AJ273" s="243"/>
      <c r="AK273" s="243"/>
      <c r="AL273" s="243"/>
      <c r="AM273" s="243"/>
      <c r="AN273" s="243"/>
      <c r="AO273" s="243"/>
      <c r="AP273" s="243"/>
      <c r="AQ273" s="1024"/>
      <c r="AR273" s="357"/>
      <c r="AS273" s="163"/>
      <c r="AT273" s="163"/>
      <c r="AU273" s="163"/>
      <c r="AV273" s="321"/>
    </row>
    <row r="274" spans="1:48" ht="12.75" x14ac:dyDescent="0.2">
      <c r="A274" s="243" t="e">
        <f t="shared" ref="A274:C274" si="193">#REF!</f>
        <v>#REF!</v>
      </c>
      <c r="B274" s="243" t="e">
        <f t="shared" si="193"/>
        <v>#REF!</v>
      </c>
      <c r="C274" s="1024" t="e">
        <f t="shared" si="193"/>
        <v>#REF!</v>
      </c>
      <c r="D274" s="1024"/>
      <c r="E274" s="1025"/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  <c r="AH274" s="243"/>
      <c r="AI274" s="243"/>
      <c r="AJ274" s="243"/>
      <c r="AK274" s="243"/>
      <c r="AL274" s="243"/>
      <c r="AM274" s="243"/>
      <c r="AN274" s="243"/>
      <c r="AO274" s="243"/>
      <c r="AP274" s="243"/>
      <c r="AQ274" s="1024"/>
      <c r="AR274" s="357"/>
      <c r="AS274" s="163"/>
      <c r="AT274" s="163"/>
      <c r="AU274" s="163"/>
      <c r="AV274" s="321"/>
    </row>
    <row r="275" spans="1:48" ht="12.75" x14ac:dyDescent="0.2">
      <c r="A275" s="243" t="e">
        <f t="shared" ref="A275:C275" si="194">#REF!</f>
        <v>#REF!</v>
      </c>
      <c r="B275" s="243" t="e">
        <f t="shared" si="194"/>
        <v>#REF!</v>
      </c>
      <c r="C275" s="1024" t="e">
        <f t="shared" si="194"/>
        <v>#REF!</v>
      </c>
      <c r="D275" s="1024"/>
      <c r="E275" s="1025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3"/>
      <c r="AI275" s="243"/>
      <c r="AJ275" s="243"/>
      <c r="AK275" s="243"/>
      <c r="AL275" s="243"/>
      <c r="AM275" s="243"/>
      <c r="AN275" s="243"/>
      <c r="AO275" s="243"/>
      <c r="AP275" s="243"/>
      <c r="AQ275" s="1024"/>
      <c r="AR275" s="357"/>
      <c r="AS275" s="163"/>
      <c r="AT275" s="163"/>
      <c r="AU275" s="163"/>
      <c r="AV275" s="321"/>
    </row>
    <row r="276" spans="1:48" ht="12.75" x14ac:dyDescent="0.2">
      <c r="A276" s="243" t="e">
        <f t="shared" ref="A276:C276" si="195">#REF!</f>
        <v>#REF!</v>
      </c>
      <c r="B276" s="243" t="e">
        <f t="shared" si="195"/>
        <v>#REF!</v>
      </c>
      <c r="C276" s="1024" t="e">
        <f t="shared" si="195"/>
        <v>#REF!</v>
      </c>
      <c r="D276" s="1024"/>
      <c r="E276" s="1025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  <c r="AH276" s="243"/>
      <c r="AI276" s="243"/>
      <c r="AJ276" s="243"/>
      <c r="AK276" s="243"/>
      <c r="AL276" s="243"/>
      <c r="AM276" s="243"/>
      <c r="AN276" s="243"/>
      <c r="AO276" s="243"/>
      <c r="AP276" s="243"/>
      <c r="AQ276" s="1024"/>
      <c r="AR276" s="357"/>
      <c r="AS276" s="163"/>
      <c r="AT276" s="163"/>
      <c r="AU276" s="163"/>
      <c r="AV276" s="321"/>
    </row>
    <row r="277" spans="1:48" ht="12.75" x14ac:dyDescent="0.2">
      <c r="A277" s="243" t="e">
        <f t="shared" ref="A277:C277" si="196">#REF!</f>
        <v>#REF!</v>
      </c>
      <c r="B277" s="243" t="e">
        <f t="shared" si="196"/>
        <v>#REF!</v>
      </c>
      <c r="C277" s="1024" t="e">
        <f t="shared" si="196"/>
        <v>#REF!</v>
      </c>
      <c r="D277" s="1024"/>
      <c r="E277" s="1025"/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  <c r="AH277" s="243"/>
      <c r="AI277" s="243"/>
      <c r="AJ277" s="243"/>
      <c r="AK277" s="243"/>
      <c r="AL277" s="243"/>
      <c r="AM277" s="243"/>
      <c r="AN277" s="243"/>
      <c r="AO277" s="243"/>
      <c r="AP277" s="243"/>
      <c r="AQ277" s="1024"/>
      <c r="AR277" s="357"/>
      <c r="AS277" s="163"/>
      <c r="AT277" s="163"/>
      <c r="AU277" s="163"/>
      <c r="AV277" s="321"/>
    </row>
    <row r="278" spans="1:48" ht="12.75" x14ac:dyDescent="0.2">
      <c r="A278" s="243" t="e">
        <f t="shared" ref="A278:C278" si="197">#REF!</f>
        <v>#REF!</v>
      </c>
      <c r="B278" s="243" t="e">
        <f t="shared" si="197"/>
        <v>#REF!</v>
      </c>
      <c r="C278" s="1024" t="e">
        <f t="shared" si="197"/>
        <v>#REF!</v>
      </c>
      <c r="D278" s="1024"/>
      <c r="E278" s="1025"/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  <c r="AH278" s="243"/>
      <c r="AI278" s="243"/>
      <c r="AJ278" s="243"/>
      <c r="AK278" s="243"/>
      <c r="AL278" s="243"/>
      <c r="AM278" s="243"/>
      <c r="AN278" s="243"/>
      <c r="AO278" s="243"/>
      <c r="AP278" s="243"/>
      <c r="AQ278" s="1024"/>
      <c r="AR278" s="357"/>
      <c r="AS278" s="163"/>
      <c r="AT278" s="163"/>
      <c r="AU278" s="163"/>
      <c r="AV278" s="321"/>
    </row>
    <row r="279" spans="1:48" ht="12.75" x14ac:dyDescent="0.2">
      <c r="A279" s="243" t="e">
        <f t="shared" ref="A279:C279" si="198">#REF!</f>
        <v>#REF!</v>
      </c>
      <c r="B279" s="243" t="e">
        <f t="shared" si="198"/>
        <v>#REF!</v>
      </c>
      <c r="C279" s="1024" t="e">
        <f t="shared" si="198"/>
        <v>#REF!</v>
      </c>
      <c r="D279" s="1024"/>
      <c r="E279" s="1025"/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  <c r="AH279" s="243"/>
      <c r="AI279" s="243"/>
      <c r="AJ279" s="243"/>
      <c r="AK279" s="243"/>
      <c r="AL279" s="243"/>
      <c r="AM279" s="243"/>
      <c r="AN279" s="243"/>
      <c r="AO279" s="243"/>
      <c r="AP279" s="243"/>
      <c r="AQ279" s="1024"/>
      <c r="AR279" s="357"/>
      <c r="AS279" s="163"/>
      <c r="AT279" s="163"/>
      <c r="AU279" s="163"/>
      <c r="AV279" s="321"/>
    </row>
    <row r="280" spans="1:48" ht="12.75" x14ac:dyDescent="0.2">
      <c r="A280" s="243" t="e">
        <f t="shared" ref="A280:C280" si="199">#REF!</f>
        <v>#REF!</v>
      </c>
      <c r="B280" s="243" t="e">
        <f t="shared" si="199"/>
        <v>#REF!</v>
      </c>
      <c r="C280" s="1024" t="e">
        <f t="shared" si="199"/>
        <v>#REF!</v>
      </c>
      <c r="D280" s="1024"/>
      <c r="E280" s="1025"/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1024"/>
      <c r="AR280" s="357"/>
      <c r="AS280" s="163"/>
      <c r="AT280" s="163"/>
      <c r="AU280" s="163"/>
      <c r="AV280" s="321"/>
    </row>
    <row r="281" spans="1:48" ht="12.75" x14ac:dyDescent="0.2">
      <c r="A281" s="243" t="e">
        <f t="shared" ref="A281:C281" si="200">#REF!</f>
        <v>#REF!</v>
      </c>
      <c r="B281" s="243" t="e">
        <f t="shared" si="200"/>
        <v>#REF!</v>
      </c>
      <c r="C281" s="1024" t="e">
        <f t="shared" si="200"/>
        <v>#REF!</v>
      </c>
      <c r="D281" s="1024"/>
      <c r="E281" s="1025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1024"/>
      <c r="AR281" s="357"/>
      <c r="AS281" s="163"/>
      <c r="AT281" s="163"/>
      <c r="AU281" s="163"/>
      <c r="AV281" s="321"/>
    </row>
    <row r="282" spans="1:48" ht="12.75" x14ac:dyDescent="0.2">
      <c r="A282" s="243" t="e">
        <f t="shared" ref="A282:C282" si="201">#REF!</f>
        <v>#REF!</v>
      </c>
      <c r="B282" s="243" t="e">
        <f t="shared" si="201"/>
        <v>#REF!</v>
      </c>
      <c r="C282" s="1024" t="e">
        <f t="shared" si="201"/>
        <v>#REF!</v>
      </c>
      <c r="D282" s="1024"/>
      <c r="E282" s="1025"/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1024"/>
      <c r="AR282" s="357"/>
      <c r="AS282" s="163"/>
      <c r="AT282" s="163"/>
      <c r="AU282" s="163"/>
      <c r="AV282" s="321"/>
    </row>
    <row r="283" spans="1:48" ht="12.75" x14ac:dyDescent="0.2">
      <c r="A283" s="243" t="e">
        <f t="shared" ref="A283:C283" si="202">#REF!</f>
        <v>#REF!</v>
      </c>
      <c r="B283" s="243" t="e">
        <f t="shared" si="202"/>
        <v>#REF!</v>
      </c>
      <c r="C283" s="1024" t="e">
        <f t="shared" si="202"/>
        <v>#REF!</v>
      </c>
      <c r="D283" s="1024"/>
      <c r="E283" s="1025"/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3"/>
      <c r="AI283" s="243"/>
      <c r="AJ283" s="243"/>
      <c r="AK283" s="243"/>
      <c r="AL283" s="243"/>
      <c r="AM283" s="243"/>
      <c r="AN283" s="243"/>
      <c r="AO283" s="243"/>
      <c r="AP283" s="243"/>
      <c r="AQ283" s="1024"/>
      <c r="AR283" s="357"/>
      <c r="AS283" s="163"/>
      <c r="AT283" s="163"/>
      <c r="AU283" s="163"/>
      <c r="AV283" s="321"/>
    </row>
    <row r="284" spans="1:48" ht="12.75" x14ac:dyDescent="0.2">
      <c r="A284" s="243" t="e">
        <f t="shared" ref="A284:C284" si="203">#REF!</f>
        <v>#REF!</v>
      </c>
      <c r="B284" s="243" t="e">
        <f t="shared" si="203"/>
        <v>#REF!</v>
      </c>
      <c r="C284" s="1024" t="e">
        <f t="shared" si="203"/>
        <v>#REF!</v>
      </c>
      <c r="D284" s="1024"/>
      <c r="E284" s="1025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  <c r="AH284" s="243"/>
      <c r="AI284" s="243"/>
      <c r="AJ284" s="243"/>
      <c r="AK284" s="243"/>
      <c r="AL284" s="243"/>
      <c r="AM284" s="243"/>
      <c r="AN284" s="243"/>
      <c r="AO284" s="243"/>
      <c r="AP284" s="243"/>
      <c r="AQ284" s="1024"/>
      <c r="AR284" s="357"/>
      <c r="AS284" s="163"/>
      <c r="AT284" s="163"/>
      <c r="AU284" s="163"/>
      <c r="AV284" s="321"/>
    </row>
    <row r="285" spans="1:48" ht="12.75" x14ac:dyDescent="0.2">
      <c r="A285" s="243" t="e">
        <f t="shared" ref="A285:C285" si="204">#REF!</f>
        <v>#REF!</v>
      </c>
      <c r="B285" s="243" t="e">
        <f t="shared" si="204"/>
        <v>#REF!</v>
      </c>
      <c r="C285" s="1024" t="e">
        <f t="shared" si="204"/>
        <v>#REF!</v>
      </c>
      <c r="D285" s="1024"/>
      <c r="E285" s="1025"/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  <c r="AH285" s="243"/>
      <c r="AI285" s="243"/>
      <c r="AJ285" s="243"/>
      <c r="AK285" s="243"/>
      <c r="AL285" s="243"/>
      <c r="AM285" s="243"/>
      <c r="AN285" s="243"/>
      <c r="AO285" s="243"/>
      <c r="AP285" s="243"/>
      <c r="AQ285" s="1024"/>
      <c r="AR285" s="357"/>
      <c r="AS285" s="163"/>
      <c r="AT285" s="163"/>
      <c r="AU285" s="163"/>
      <c r="AV285" s="321"/>
    </row>
    <row r="286" spans="1:48" ht="12.75" x14ac:dyDescent="0.2">
      <c r="A286" s="243" t="e">
        <f t="shared" ref="A286:C286" si="205">#REF!</f>
        <v>#REF!</v>
      </c>
      <c r="B286" s="243" t="e">
        <f t="shared" si="205"/>
        <v>#REF!</v>
      </c>
      <c r="C286" s="1024" t="e">
        <f t="shared" si="205"/>
        <v>#REF!</v>
      </c>
      <c r="D286" s="1024"/>
      <c r="E286" s="1025"/>
      <c r="F286" s="243"/>
      <c r="G286" s="243"/>
      <c r="H286" s="243"/>
      <c r="I286" s="243"/>
      <c r="J286" s="243"/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3"/>
      <c r="Y286" s="243"/>
      <c r="Z286" s="243"/>
      <c r="AA286" s="243"/>
      <c r="AB286" s="243"/>
      <c r="AC286" s="243"/>
      <c r="AD286" s="243"/>
      <c r="AE286" s="243"/>
      <c r="AF286" s="243"/>
      <c r="AG286" s="243"/>
      <c r="AH286" s="243"/>
      <c r="AI286" s="243"/>
      <c r="AJ286" s="243"/>
      <c r="AK286" s="243"/>
      <c r="AL286" s="243"/>
      <c r="AM286" s="243"/>
      <c r="AN286" s="243"/>
      <c r="AO286" s="243"/>
      <c r="AP286" s="243"/>
      <c r="AQ286" s="1024"/>
      <c r="AR286" s="357"/>
      <c r="AS286" s="163"/>
      <c r="AT286" s="163"/>
      <c r="AU286" s="163"/>
      <c r="AV286" s="321"/>
    </row>
    <row r="287" spans="1:48" ht="12.75" x14ac:dyDescent="0.2">
      <c r="A287" s="243" t="e">
        <f t="shared" ref="A287:C287" si="206">#REF!</f>
        <v>#REF!</v>
      </c>
      <c r="B287" s="243" t="e">
        <f t="shared" si="206"/>
        <v>#REF!</v>
      </c>
      <c r="C287" s="1024" t="e">
        <f t="shared" si="206"/>
        <v>#REF!</v>
      </c>
      <c r="D287" s="1024"/>
      <c r="E287" s="1025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3"/>
      <c r="AI287" s="243"/>
      <c r="AJ287" s="243"/>
      <c r="AK287" s="243"/>
      <c r="AL287" s="243"/>
      <c r="AM287" s="243"/>
      <c r="AN287" s="243"/>
      <c r="AO287" s="243"/>
      <c r="AP287" s="243"/>
      <c r="AQ287" s="1024"/>
      <c r="AR287" s="357"/>
      <c r="AS287" s="163"/>
      <c r="AT287" s="163"/>
      <c r="AU287" s="163"/>
      <c r="AV287" s="321"/>
    </row>
    <row r="288" spans="1:48" ht="12.75" x14ac:dyDescent="0.2">
      <c r="A288" s="243" t="e">
        <f t="shared" ref="A288:C288" si="207">#REF!</f>
        <v>#REF!</v>
      </c>
      <c r="B288" s="243" t="e">
        <f t="shared" si="207"/>
        <v>#REF!</v>
      </c>
      <c r="C288" s="1024" t="e">
        <f t="shared" si="207"/>
        <v>#REF!</v>
      </c>
      <c r="D288" s="1024"/>
      <c r="E288" s="1025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3"/>
      <c r="AI288" s="243"/>
      <c r="AJ288" s="243"/>
      <c r="AK288" s="243"/>
      <c r="AL288" s="243"/>
      <c r="AM288" s="243"/>
      <c r="AN288" s="243"/>
      <c r="AO288" s="243"/>
      <c r="AP288" s="243"/>
      <c r="AQ288" s="1024"/>
      <c r="AR288" s="357"/>
      <c r="AS288" s="163"/>
      <c r="AT288" s="163"/>
      <c r="AU288" s="163"/>
      <c r="AV288" s="321"/>
    </row>
    <row r="289" spans="1:48" ht="12.75" x14ac:dyDescent="0.2">
      <c r="A289" s="243" t="e">
        <f t="shared" ref="A289:C289" si="208">#REF!</f>
        <v>#REF!</v>
      </c>
      <c r="B289" s="243" t="e">
        <f t="shared" si="208"/>
        <v>#REF!</v>
      </c>
      <c r="C289" s="1024" t="e">
        <f t="shared" si="208"/>
        <v>#REF!</v>
      </c>
      <c r="D289" s="1024"/>
      <c r="E289" s="1025"/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  <c r="AA289" s="243"/>
      <c r="AB289" s="243"/>
      <c r="AC289" s="243"/>
      <c r="AD289" s="243"/>
      <c r="AE289" s="243"/>
      <c r="AF289" s="243"/>
      <c r="AG289" s="243"/>
      <c r="AH289" s="243"/>
      <c r="AI289" s="243"/>
      <c r="AJ289" s="243"/>
      <c r="AK289" s="243"/>
      <c r="AL289" s="243"/>
      <c r="AM289" s="243"/>
      <c r="AN289" s="243"/>
      <c r="AO289" s="243"/>
      <c r="AP289" s="243"/>
      <c r="AQ289" s="1024"/>
      <c r="AR289" s="357"/>
      <c r="AS289" s="163"/>
      <c r="AT289" s="163"/>
      <c r="AU289" s="163"/>
      <c r="AV289" s="321"/>
    </row>
    <row r="290" spans="1:48" ht="12.75" x14ac:dyDescent="0.2">
      <c r="A290" s="243" t="e">
        <f t="shared" ref="A290:C290" si="209">#REF!</f>
        <v>#REF!</v>
      </c>
      <c r="B290" s="243" t="e">
        <f t="shared" si="209"/>
        <v>#REF!</v>
      </c>
      <c r="C290" s="1024" t="e">
        <f t="shared" si="209"/>
        <v>#REF!</v>
      </c>
      <c r="D290" s="1024"/>
      <c r="E290" s="1025"/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  <c r="AA290" s="243"/>
      <c r="AB290" s="243"/>
      <c r="AC290" s="243"/>
      <c r="AD290" s="243"/>
      <c r="AE290" s="243"/>
      <c r="AF290" s="243"/>
      <c r="AG290" s="243"/>
      <c r="AH290" s="243"/>
      <c r="AI290" s="243"/>
      <c r="AJ290" s="243"/>
      <c r="AK290" s="243"/>
      <c r="AL290" s="243"/>
      <c r="AM290" s="243"/>
      <c r="AN290" s="243"/>
      <c r="AO290" s="243"/>
      <c r="AP290" s="243"/>
      <c r="AQ290" s="1024"/>
      <c r="AR290" s="357"/>
      <c r="AS290" s="163"/>
      <c r="AT290" s="163"/>
      <c r="AU290" s="163"/>
      <c r="AV290" s="321"/>
    </row>
    <row r="291" spans="1:48" ht="12.75" x14ac:dyDescent="0.2">
      <c r="A291" s="243" t="e">
        <f t="shared" ref="A291:C291" si="210">#REF!</f>
        <v>#REF!</v>
      </c>
      <c r="B291" s="243" t="e">
        <f t="shared" si="210"/>
        <v>#REF!</v>
      </c>
      <c r="C291" s="1024" t="e">
        <f t="shared" si="210"/>
        <v>#REF!</v>
      </c>
      <c r="D291" s="1024"/>
      <c r="E291" s="1025"/>
      <c r="F291" s="243"/>
      <c r="G291" s="243"/>
      <c r="H291" s="243"/>
      <c r="I291" s="243"/>
      <c r="J291" s="243"/>
      <c r="K291" s="243"/>
      <c r="L291" s="243"/>
      <c r="M291" s="243"/>
      <c r="N291" s="243"/>
      <c r="O291" s="243"/>
      <c r="P291" s="243"/>
      <c r="Q291" s="243"/>
      <c r="R291" s="243"/>
      <c r="S291" s="243"/>
      <c r="T291" s="243"/>
      <c r="U291" s="243"/>
      <c r="V291" s="243"/>
      <c r="W291" s="243"/>
      <c r="X291" s="243"/>
      <c r="Y291" s="243"/>
      <c r="Z291" s="243"/>
      <c r="AA291" s="243"/>
      <c r="AB291" s="243"/>
      <c r="AC291" s="243"/>
      <c r="AD291" s="243"/>
      <c r="AE291" s="243"/>
      <c r="AF291" s="243"/>
      <c r="AG291" s="243"/>
      <c r="AH291" s="243"/>
      <c r="AI291" s="243"/>
      <c r="AJ291" s="243"/>
      <c r="AK291" s="243"/>
      <c r="AL291" s="243"/>
      <c r="AM291" s="243"/>
      <c r="AN291" s="243"/>
      <c r="AO291" s="243"/>
      <c r="AP291" s="243"/>
      <c r="AQ291" s="1024"/>
      <c r="AR291" s="357"/>
      <c r="AS291" s="163"/>
      <c r="AT291" s="163"/>
      <c r="AU291" s="163"/>
      <c r="AV291" s="321"/>
    </row>
    <row r="292" spans="1:48" ht="12.75" x14ac:dyDescent="0.2">
      <c r="A292" s="243" t="e">
        <f t="shared" ref="A292:C292" si="211">#REF!</f>
        <v>#REF!</v>
      </c>
      <c r="B292" s="243" t="e">
        <f t="shared" si="211"/>
        <v>#REF!</v>
      </c>
      <c r="C292" s="1024" t="e">
        <f t="shared" si="211"/>
        <v>#REF!</v>
      </c>
      <c r="D292" s="1024"/>
      <c r="E292" s="1025"/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  <c r="AH292" s="243"/>
      <c r="AI292" s="243"/>
      <c r="AJ292" s="243"/>
      <c r="AK292" s="243"/>
      <c r="AL292" s="243"/>
      <c r="AM292" s="243"/>
      <c r="AN292" s="243"/>
      <c r="AO292" s="243"/>
      <c r="AP292" s="243"/>
      <c r="AQ292" s="1024"/>
      <c r="AR292" s="357"/>
      <c r="AS292" s="163"/>
      <c r="AT292" s="163"/>
      <c r="AU292" s="163"/>
      <c r="AV292" s="321"/>
    </row>
    <row r="293" spans="1:48" ht="12.75" x14ac:dyDescent="0.2">
      <c r="A293" s="243" t="e">
        <f t="shared" ref="A293:C293" si="212">#REF!</f>
        <v>#REF!</v>
      </c>
      <c r="B293" s="243" t="e">
        <f t="shared" si="212"/>
        <v>#REF!</v>
      </c>
      <c r="C293" s="1024" t="e">
        <f t="shared" si="212"/>
        <v>#REF!</v>
      </c>
      <c r="D293" s="1024"/>
      <c r="E293" s="1025"/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3"/>
      <c r="AI293" s="243"/>
      <c r="AJ293" s="243"/>
      <c r="AK293" s="243"/>
      <c r="AL293" s="243"/>
      <c r="AM293" s="243"/>
      <c r="AN293" s="243"/>
      <c r="AO293" s="243"/>
      <c r="AP293" s="243"/>
      <c r="AQ293" s="1024"/>
      <c r="AR293" s="357"/>
      <c r="AS293" s="163"/>
      <c r="AT293" s="163"/>
      <c r="AU293" s="163"/>
      <c r="AV293" s="321"/>
    </row>
    <row r="294" spans="1:48" ht="12.75" x14ac:dyDescent="0.2">
      <c r="A294" s="243" t="e">
        <f t="shared" ref="A294:C294" si="213">#REF!</f>
        <v>#REF!</v>
      </c>
      <c r="B294" s="243" t="e">
        <f t="shared" si="213"/>
        <v>#REF!</v>
      </c>
      <c r="C294" s="1024" t="e">
        <f t="shared" si="213"/>
        <v>#REF!</v>
      </c>
      <c r="D294" s="1024"/>
      <c r="E294" s="1025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  <c r="AH294" s="243"/>
      <c r="AI294" s="243"/>
      <c r="AJ294" s="243"/>
      <c r="AK294" s="243"/>
      <c r="AL294" s="243"/>
      <c r="AM294" s="243"/>
      <c r="AN294" s="243"/>
      <c r="AO294" s="243"/>
      <c r="AP294" s="243"/>
      <c r="AQ294" s="1024"/>
      <c r="AR294" s="357"/>
      <c r="AS294" s="163"/>
      <c r="AT294" s="163"/>
      <c r="AU294" s="163"/>
      <c r="AV294" s="321"/>
    </row>
    <row r="295" spans="1:48" ht="12.75" x14ac:dyDescent="0.2">
      <c r="A295" s="243" t="e">
        <f t="shared" ref="A295:C295" si="214">#REF!</f>
        <v>#REF!</v>
      </c>
      <c r="B295" s="243" t="e">
        <f t="shared" si="214"/>
        <v>#REF!</v>
      </c>
      <c r="C295" s="1024" t="e">
        <f t="shared" si="214"/>
        <v>#REF!</v>
      </c>
      <c r="D295" s="1024"/>
      <c r="E295" s="1025"/>
      <c r="F295" s="243"/>
      <c r="G295" s="243"/>
      <c r="H295" s="243"/>
      <c r="I295" s="243"/>
      <c r="J295" s="243"/>
      <c r="K295" s="243"/>
      <c r="L295" s="243"/>
      <c r="M295" s="243"/>
      <c r="N295" s="243"/>
      <c r="O295" s="243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  <c r="AH295" s="243"/>
      <c r="AI295" s="243"/>
      <c r="AJ295" s="243"/>
      <c r="AK295" s="243"/>
      <c r="AL295" s="243"/>
      <c r="AM295" s="243"/>
      <c r="AN295" s="243"/>
      <c r="AO295" s="243"/>
      <c r="AP295" s="243"/>
      <c r="AQ295" s="1024"/>
      <c r="AR295" s="357"/>
      <c r="AS295" s="163"/>
      <c r="AT295" s="163"/>
      <c r="AU295" s="163"/>
      <c r="AV295" s="321"/>
    </row>
    <row r="296" spans="1:48" ht="12.75" x14ac:dyDescent="0.2">
      <c r="A296" s="243" t="e">
        <f t="shared" ref="A296:C296" si="215">#REF!</f>
        <v>#REF!</v>
      </c>
      <c r="B296" s="243" t="e">
        <f t="shared" si="215"/>
        <v>#REF!</v>
      </c>
      <c r="C296" s="1024" t="e">
        <f t="shared" si="215"/>
        <v>#REF!</v>
      </c>
      <c r="D296" s="1024"/>
      <c r="E296" s="1025"/>
      <c r="F296" s="243"/>
      <c r="G296" s="243"/>
      <c r="H296" s="243"/>
      <c r="I296" s="243"/>
      <c r="J296" s="243"/>
      <c r="K296" s="243"/>
      <c r="L296" s="243"/>
      <c r="M296" s="243"/>
      <c r="N296" s="243"/>
      <c r="O296" s="243"/>
      <c r="P296" s="243"/>
      <c r="Q296" s="243"/>
      <c r="R296" s="243"/>
      <c r="S296" s="243"/>
      <c r="T296" s="243"/>
      <c r="U296" s="243"/>
      <c r="V296" s="243"/>
      <c r="W296" s="243"/>
      <c r="X296" s="243"/>
      <c r="Y296" s="243"/>
      <c r="Z296" s="243"/>
      <c r="AA296" s="243"/>
      <c r="AB296" s="243"/>
      <c r="AC296" s="243"/>
      <c r="AD296" s="243"/>
      <c r="AE296" s="243"/>
      <c r="AF296" s="243"/>
      <c r="AG296" s="243"/>
      <c r="AH296" s="243"/>
      <c r="AI296" s="243"/>
      <c r="AJ296" s="243"/>
      <c r="AK296" s="243"/>
      <c r="AL296" s="243"/>
      <c r="AM296" s="243"/>
      <c r="AN296" s="243"/>
      <c r="AO296" s="243"/>
      <c r="AP296" s="243"/>
      <c r="AQ296" s="1024"/>
      <c r="AR296" s="357"/>
      <c r="AS296" s="163"/>
      <c r="AT296" s="163"/>
      <c r="AU296" s="163"/>
      <c r="AV296" s="321"/>
    </row>
    <row r="297" spans="1:48" ht="12.75" x14ac:dyDescent="0.2">
      <c r="A297" s="243" t="e">
        <f t="shared" ref="A297:C297" si="216">#REF!</f>
        <v>#REF!</v>
      </c>
      <c r="B297" s="243" t="e">
        <f t="shared" si="216"/>
        <v>#REF!</v>
      </c>
      <c r="C297" s="1024" t="e">
        <f t="shared" si="216"/>
        <v>#REF!</v>
      </c>
      <c r="D297" s="1024"/>
      <c r="E297" s="1025"/>
      <c r="F297" s="243"/>
      <c r="G297" s="243"/>
      <c r="H297" s="243"/>
      <c r="I297" s="243"/>
      <c r="J297" s="243"/>
      <c r="K297" s="243"/>
      <c r="L297" s="243"/>
      <c r="M297" s="243"/>
      <c r="N297" s="243"/>
      <c r="O297" s="243"/>
      <c r="P297" s="243"/>
      <c r="Q297" s="243"/>
      <c r="R297" s="243"/>
      <c r="S297" s="243"/>
      <c r="T297" s="243"/>
      <c r="U297" s="243"/>
      <c r="V297" s="243"/>
      <c r="W297" s="243"/>
      <c r="X297" s="243"/>
      <c r="Y297" s="243"/>
      <c r="Z297" s="243"/>
      <c r="AA297" s="243"/>
      <c r="AB297" s="243"/>
      <c r="AC297" s="243"/>
      <c r="AD297" s="243"/>
      <c r="AE297" s="243"/>
      <c r="AF297" s="243"/>
      <c r="AG297" s="243"/>
      <c r="AH297" s="243"/>
      <c r="AI297" s="243"/>
      <c r="AJ297" s="243"/>
      <c r="AK297" s="243"/>
      <c r="AL297" s="243"/>
      <c r="AM297" s="243"/>
      <c r="AN297" s="243"/>
      <c r="AO297" s="243"/>
      <c r="AP297" s="243"/>
      <c r="AQ297" s="1024"/>
      <c r="AR297" s="357"/>
      <c r="AS297" s="163"/>
      <c r="AT297" s="163"/>
      <c r="AU297" s="163"/>
      <c r="AV297" s="321"/>
    </row>
    <row r="298" spans="1:48" ht="12.75" x14ac:dyDescent="0.2">
      <c r="A298" s="243" t="e">
        <f t="shared" ref="A298:C298" si="217">#REF!</f>
        <v>#REF!</v>
      </c>
      <c r="B298" s="243" t="e">
        <f t="shared" si="217"/>
        <v>#REF!</v>
      </c>
      <c r="C298" s="1024" t="e">
        <f t="shared" si="217"/>
        <v>#REF!</v>
      </c>
      <c r="D298" s="1024"/>
      <c r="E298" s="1025"/>
      <c r="F298" s="243"/>
      <c r="G298" s="243"/>
      <c r="H298" s="243"/>
      <c r="I298" s="243"/>
      <c r="J298" s="243"/>
      <c r="K298" s="243"/>
      <c r="L298" s="243"/>
      <c r="M298" s="243"/>
      <c r="N298" s="243"/>
      <c r="O298" s="243"/>
      <c r="P298" s="243"/>
      <c r="Q298" s="243"/>
      <c r="R298" s="243"/>
      <c r="S298" s="243"/>
      <c r="T298" s="243"/>
      <c r="U298" s="243"/>
      <c r="V298" s="243"/>
      <c r="W298" s="243"/>
      <c r="X298" s="243"/>
      <c r="Y298" s="243"/>
      <c r="Z298" s="243"/>
      <c r="AA298" s="243"/>
      <c r="AB298" s="243"/>
      <c r="AC298" s="243"/>
      <c r="AD298" s="243"/>
      <c r="AE298" s="243"/>
      <c r="AF298" s="243"/>
      <c r="AG298" s="243"/>
      <c r="AH298" s="243"/>
      <c r="AI298" s="243"/>
      <c r="AJ298" s="243"/>
      <c r="AK298" s="243"/>
      <c r="AL298" s="243"/>
      <c r="AM298" s="243"/>
      <c r="AN298" s="243"/>
      <c r="AO298" s="243"/>
      <c r="AP298" s="243"/>
      <c r="AQ298" s="1024"/>
      <c r="AR298" s="357"/>
      <c r="AS298" s="163"/>
      <c r="AT298" s="163"/>
      <c r="AU298" s="163"/>
      <c r="AV298" s="321"/>
    </row>
    <row r="299" spans="1:48" ht="12.75" x14ac:dyDescent="0.2">
      <c r="A299" s="243" t="e">
        <f t="shared" ref="A299:C299" si="218">#REF!</f>
        <v>#REF!</v>
      </c>
      <c r="B299" s="243" t="e">
        <f t="shared" si="218"/>
        <v>#REF!</v>
      </c>
      <c r="C299" s="1024" t="e">
        <f t="shared" si="218"/>
        <v>#REF!</v>
      </c>
      <c r="D299" s="1024"/>
      <c r="E299" s="1025"/>
      <c r="F299" s="243"/>
      <c r="G299" s="243"/>
      <c r="H299" s="243"/>
      <c r="I299" s="243"/>
      <c r="J299" s="243"/>
      <c r="K299" s="243"/>
      <c r="L299" s="243"/>
      <c r="M299" s="243"/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3"/>
      <c r="AA299" s="243"/>
      <c r="AB299" s="243"/>
      <c r="AC299" s="243"/>
      <c r="AD299" s="243"/>
      <c r="AE299" s="243"/>
      <c r="AF299" s="243"/>
      <c r="AG299" s="243"/>
      <c r="AH299" s="243"/>
      <c r="AI299" s="243"/>
      <c r="AJ299" s="243"/>
      <c r="AK299" s="243"/>
      <c r="AL299" s="243"/>
      <c r="AM299" s="243"/>
      <c r="AN299" s="243"/>
      <c r="AO299" s="243"/>
      <c r="AP299" s="243"/>
      <c r="AQ299" s="1024"/>
      <c r="AR299" s="357"/>
      <c r="AS299" s="163"/>
      <c r="AT299" s="163"/>
      <c r="AU299" s="163"/>
      <c r="AV299" s="321"/>
    </row>
    <row r="300" spans="1:48" ht="12.75" x14ac:dyDescent="0.2">
      <c r="A300" s="243" t="e">
        <f t="shared" ref="A300:C300" si="219">#REF!</f>
        <v>#REF!</v>
      </c>
      <c r="B300" s="243" t="e">
        <f t="shared" si="219"/>
        <v>#REF!</v>
      </c>
      <c r="C300" s="1024" t="e">
        <f t="shared" si="219"/>
        <v>#REF!</v>
      </c>
      <c r="D300" s="1024"/>
      <c r="E300" s="1025"/>
      <c r="F300" s="243"/>
      <c r="G300" s="243"/>
      <c r="H300" s="243"/>
      <c r="I300" s="243"/>
      <c r="J300" s="243"/>
      <c r="K300" s="243"/>
      <c r="L300" s="243"/>
      <c r="M300" s="243"/>
      <c r="N300" s="243"/>
      <c r="O300" s="243"/>
      <c r="P300" s="243"/>
      <c r="Q300" s="243"/>
      <c r="R300" s="243"/>
      <c r="S300" s="243"/>
      <c r="T300" s="243"/>
      <c r="U300" s="243"/>
      <c r="V300" s="243"/>
      <c r="W300" s="243"/>
      <c r="X300" s="243"/>
      <c r="Y300" s="243"/>
      <c r="Z300" s="243"/>
      <c r="AA300" s="243"/>
      <c r="AB300" s="243"/>
      <c r="AC300" s="243"/>
      <c r="AD300" s="243"/>
      <c r="AE300" s="243"/>
      <c r="AF300" s="243"/>
      <c r="AG300" s="243"/>
      <c r="AH300" s="243"/>
      <c r="AI300" s="243"/>
      <c r="AJ300" s="243"/>
      <c r="AK300" s="243"/>
      <c r="AL300" s="243"/>
      <c r="AM300" s="243"/>
      <c r="AN300" s="243"/>
      <c r="AO300" s="243"/>
      <c r="AP300" s="243"/>
      <c r="AQ300" s="1024"/>
      <c r="AR300" s="357"/>
      <c r="AS300" s="163"/>
      <c r="AT300" s="163"/>
      <c r="AU300" s="163"/>
      <c r="AV300" s="321"/>
    </row>
    <row r="301" spans="1:48" ht="12.75" x14ac:dyDescent="0.2">
      <c r="A301" s="243" t="e">
        <f t="shared" ref="A301:C301" si="220">#REF!</f>
        <v>#REF!</v>
      </c>
      <c r="B301" s="243" t="e">
        <f t="shared" si="220"/>
        <v>#REF!</v>
      </c>
      <c r="C301" s="1024" t="e">
        <f t="shared" si="220"/>
        <v>#REF!</v>
      </c>
      <c r="D301" s="1024"/>
      <c r="E301" s="1025"/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  <c r="AA301" s="243"/>
      <c r="AB301" s="243"/>
      <c r="AC301" s="243"/>
      <c r="AD301" s="243"/>
      <c r="AE301" s="243"/>
      <c r="AF301" s="243"/>
      <c r="AG301" s="243"/>
      <c r="AH301" s="243"/>
      <c r="AI301" s="243"/>
      <c r="AJ301" s="243"/>
      <c r="AK301" s="243"/>
      <c r="AL301" s="243"/>
      <c r="AM301" s="243"/>
      <c r="AN301" s="243"/>
      <c r="AO301" s="243"/>
      <c r="AP301" s="243"/>
      <c r="AQ301" s="1024"/>
      <c r="AR301" s="357"/>
      <c r="AS301" s="163"/>
      <c r="AT301" s="163"/>
      <c r="AU301" s="163"/>
      <c r="AV301" s="321"/>
    </row>
    <row r="302" spans="1:48" ht="12.75" x14ac:dyDescent="0.2">
      <c r="A302" s="243" t="e">
        <f t="shared" ref="A302:C302" si="221">#REF!</f>
        <v>#REF!</v>
      </c>
      <c r="B302" s="243" t="e">
        <f t="shared" si="221"/>
        <v>#REF!</v>
      </c>
      <c r="C302" s="1024" t="e">
        <f t="shared" si="221"/>
        <v>#REF!</v>
      </c>
      <c r="D302" s="1024"/>
      <c r="E302" s="1025"/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  <c r="AA302" s="243"/>
      <c r="AB302" s="243"/>
      <c r="AC302" s="243"/>
      <c r="AD302" s="243"/>
      <c r="AE302" s="243"/>
      <c r="AF302" s="243"/>
      <c r="AG302" s="243"/>
      <c r="AH302" s="243"/>
      <c r="AI302" s="243"/>
      <c r="AJ302" s="243"/>
      <c r="AK302" s="243"/>
      <c r="AL302" s="243"/>
      <c r="AM302" s="243"/>
      <c r="AN302" s="243"/>
      <c r="AO302" s="243"/>
      <c r="AP302" s="243"/>
      <c r="AQ302" s="1024"/>
      <c r="AR302" s="357"/>
      <c r="AS302" s="163"/>
      <c r="AT302" s="163"/>
      <c r="AU302" s="163"/>
      <c r="AV302" s="321"/>
    </row>
    <row r="303" spans="1:48" ht="12.75" x14ac:dyDescent="0.2">
      <c r="A303" s="243" t="e">
        <f t="shared" ref="A303:C303" si="222">#REF!</f>
        <v>#REF!</v>
      </c>
      <c r="B303" s="243" t="e">
        <f t="shared" si="222"/>
        <v>#REF!</v>
      </c>
      <c r="C303" s="1024" t="e">
        <f t="shared" si="222"/>
        <v>#REF!</v>
      </c>
      <c r="D303" s="1024"/>
      <c r="E303" s="1025"/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  <c r="AA303" s="243"/>
      <c r="AB303" s="243"/>
      <c r="AC303" s="243"/>
      <c r="AD303" s="243"/>
      <c r="AE303" s="243"/>
      <c r="AF303" s="243"/>
      <c r="AG303" s="243"/>
      <c r="AH303" s="243"/>
      <c r="AI303" s="243"/>
      <c r="AJ303" s="243"/>
      <c r="AK303" s="243"/>
      <c r="AL303" s="243"/>
      <c r="AM303" s="243"/>
      <c r="AN303" s="243"/>
      <c r="AO303" s="243"/>
      <c r="AP303" s="243"/>
      <c r="AQ303" s="1024"/>
      <c r="AR303" s="357"/>
      <c r="AS303" s="163"/>
      <c r="AT303" s="163"/>
      <c r="AU303" s="163"/>
      <c r="AV303" s="321"/>
    </row>
    <row r="304" spans="1:48" ht="12.75" x14ac:dyDescent="0.2">
      <c r="A304" s="243" t="e">
        <f t="shared" ref="A304:C304" si="223">#REF!</f>
        <v>#REF!</v>
      </c>
      <c r="B304" s="243" t="e">
        <f t="shared" si="223"/>
        <v>#REF!</v>
      </c>
      <c r="C304" s="1024" t="e">
        <f t="shared" si="223"/>
        <v>#REF!</v>
      </c>
      <c r="D304" s="1024"/>
      <c r="E304" s="1025"/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  <c r="AH304" s="243"/>
      <c r="AI304" s="243"/>
      <c r="AJ304" s="243"/>
      <c r="AK304" s="243"/>
      <c r="AL304" s="243"/>
      <c r="AM304" s="243"/>
      <c r="AN304" s="243"/>
      <c r="AO304" s="243"/>
      <c r="AP304" s="243"/>
      <c r="AQ304" s="1024"/>
      <c r="AR304" s="357"/>
      <c r="AS304" s="163"/>
      <c r="AT304" s="163"/>
      <c r="AU304" s="163"/>
      <c r="AV304" s="321"/>
    </row>
    <row r="305" spans="1:48" ht="12.75" x14ac:dyDescent="0.2">
      <c r="A305" s="243" t="e">
        <f t="shared" ref="A305:C305" si="224">#REF!</f>
        <v>#REF!</v>
      </c>
      <c r="B305" s="243" t="e">
        <f t="shared" si="224"/>
        <v>#REF!</v>
      </c>
      <c r="C305" s="1024" t="e">
        <f t="shared" si="224"/>
        <v>#REF!</v>
      </c>
      <c r="D305" s="1024"/>
      <c r="E305" s="1025"/>
      <c r="F305" s="243"/>
      <c r="G305" s="243"/>
      <c r="H305" s="243"/>
      <c r="I305" s="243"/>
      <c r="J305" s="243"/>
      <c r="K305" s="243"/>
      <c r="L305" s="243"/>
      <c r="M305" s="243"/>
      <c r="N305" s="243"/>
      <c r="O305" s="243"/>
      <c r="P305" s="243"/>
      <c r="Q305" s="243"/>
      <c r="R305" s="243"/>
      <c r="S305" s="243"/>
      <c r="T305" s="243"/>
      <c r="U305" s="243"/>
      <c r="V305" s="243"/>
      <c r="W305" s="243"/>
      <c r="X305" s="243"/>
      <c r="Y305" s="243"/>
      <c r="Z305" s="243"/>
      <c r="AA305" s="243"/>
      <c r="AB305" s="243"/>
      <c r="AC305" s="243"/>
      <c r="AD305" s="243"/>
      <c r="AE305" s="243"/>
      <c r="AF305" s="243"/>
      <c r="AG305" s="243"/>
      <c r="AH305" s="243"/>
      <c r="AI305" s="243"/>
      <c r="AJ305" s="243"/>
      <c r="AK305" s="243"/>
      <c r="AL305" s="243"/>
      <c r="AM305" s="243"/>
      <c r="AN305" s="243"/>
      <c r="AO305" s="243"/>
      <c r="AP305" s="243"/>
      <c r="AQ305" s="1024"/>
      <c r="AR305" s="357"/>
      <c r="AS305" s="163"/>
      <c r="AT305" s="163"/>
      <c r="AU305" s="163"/>
      <c r="AV305" s="321"/>
    </row>
    <row r="306" spans="1:48" ht="12.75" x14ac:dyDescent="0.2">
      <c r="A306" s="243" t="e">
        <f t="shared" ref="A306:C306" si="225">#REF!</f>
        <v>#REF!</v>
      </c>
      <c r="B306" s="243" t="e">
        <f t="shared" si="225"/>
        <v>#REF!</v>
      </c>
      <c r="C306" s="1024" t="e">
        <f t="shared" si="225"/>
        <v>#REF!</v>
      </c>
      <c r="D306" s="1024"/>
      <c r="E306" s="1025"/>
      <c r="F306" s="243"/>
      <c r="G306" s="243"/>
      <c r="H306" s="243"/>
      <c r="I306" s="243"/>
      <c r="J306" s="243"/>
      <c r="K306" s="243"/>
      <c r="L306" s="243"/>
      <c r="M306" s="243"/>
      <c r="N306" s="243"/>
      <c r="O306" s="243"/>
      <c r="P306" s="243"/>
      <c r="Q306" s="243"/>
      <c r="R306" s="243"/>
      <c r="S306" s="243"/>
      <c r="T306" s="243"/>
      <c r="U306" s="243"/>
      <c r="V306" s="243"/>
      <c r="W306" s="243"/>
      <c r="X306" s="243"/>
      <c r="Y306" s="243"/>
      <c r="Z306" s="243"/>
      <c r="AA306" s="243"/>
      <c r="AB306" s="243"/>
      <c r="AC306" s="243"/>
      <c r="AD306" s="243"/>
      <c r="AE306" s="243"/>
      <c r="AF306" s="243"/>
      <c r="AG306" s="243"/>
      <c r="AH306" s="243"/>
      <c r="AI306" s="243"/>
      <c r="AJ306" s="243"/>
      <c r="AK306" s="243"/>
      <c r="AL306" s="243"/>
      <c r="AM306" s="243"/>
      <c r="AN306" s="243"/>
      <c r="AO306" s="243"/>
      <c r="AP306" s="243"/>
      <c r="AQ306" s="1024"/>
      <c r="AR306" s="357"/>
      <c r="AS306" s="163"/>
      <c r="AT306" s="163"/>
      <c r="AU306" s="163"/>
      <c r="AV306" s="321"/>
    </row>
    <row r="307" spans="1:48" ht="12.75" x14ac:dyDescent="0.2">
      <c r="A307" s="243" t="e">
        <f t="shared" ref="A307:C307" si="226">#REF!</f>
        <v>#REF!</v>
      </c>
      <c r="B307" s="243" t="e">
        <f t="shared" si="226"/>
        <v>#REF!</v>
      </c>
      <c r="C307" s="1024" t="e">
        <f t="shared" si="226"/>
        <v>#REF!</v>
      </c>
      <c r="D307" s="1024"/>
      <c r="E307" s="1025"/>
      <c r="F307" s="243"/>
      <c r="G307" s="243"/>
      <c r="H307" s="243"/>
      <c r="I307" s="243"/>
      <c r="J307" s="243"/>
      <c r="K307" s="243"/>
      <c r="L307" s="243"/>
      <c r="M307" s="243"/>
      <c r="N307" s="243"/>
      <c r="O307" s="243"/>
      <c r="P307" s="243"/>
      <c r="Q307" s="243"/>
      <c r="R307" s="243"/>
      <c r="S307" s="243"/>
      <c r="T307" s="243"/>
      <c r="U307" s="243"/>
      <c r="V307" s="243"/>
      <c r="W307" s="243"/>
      <c r="X307" s="243"/>
      <c r="Y307" s="243"/>
      <c r="Z307" s="243"/>
      <c r="AA307" s="243"/>
      <c r="AB307" s="243"/>
      <c r="AC307" s="243"/>
      <c r="AD307" s="243"/>
      <c r="AE307" s="243"/>
      <c r="AF307" s="243"/>
      <c r="AG307" s="243"/>
      <c r="AH307" s="243"/>
      <c r="AI307" s="243"/>
      <c r="AJ307" s="243"/>
      <c r="AK307" s="243"/>
      <c r="AL307" s="243"/>
      <c r="AM307" s="243"/>
      <c r="AN307" s="243"/>
      <c r="AO307" s="243"/>
      <c r="AP307" s="243"/>
      <c r="AQ307" s="1024"/>
      <c r="AR307" s="357"/>
      <c r="AS307" s="163"/>
      <c r="AT307" s="163"/>
      <c r="AU307" s="163"/>
      <c r="AV307" s="321"/>
    </row>
    <row r="308" spans="1:48" ht="12.75" x14ac:dyDescent="0.2">
      <c r="A308" s="243" t="e">
        <f t="shared" ref="A308:C308" si="227">#REF!</f>
        <v>#REF!</v>
      </c>
      <c r="B308" s="243" t="e">
        <f t="shared" si="227"/>
        <v>#REF!</v>
      </c>
      <c r="C308" s="1024" t="e">
        <f t="shared" si="227"/>
        <v>#REF!</v>
      </c>
      <c r="D308" s="1024"/>
      <c r="E308" s="1025"/>
      <c r="F308" s="243"/>
      <c r="G308" s="243"/>
      <c r="H308" s="243"/>
      <c r="I308" s="243"/>
      <c r="J308" s="243"/>
      <c r="K308" s="243"/>
      <c r="L308" s="243"/>
      <c r="M308" s="243"/>
      <c r="N308" s="243"/>
      <c r="O308" s="243"/>
      <c r="P308" s="243"/>
      <c r="Q308" s="243"/>
      <c r="R308" s="243"/>
      <c r="S308" s="243"/>
      <c r="T308" s="243"/>
      <c r="U308" s="243"/>
      <c r="V308" s="243"/>
      <c r="W308" s="243"/>
      <c r="X308" s="243"/>
      <c r="Y308" s="243"/>
      <c r="Z308" s="243"/>
      <c r="AA308" s="243"/>
      <c r="AB308" s="243"/>
      <c r="AC308" s="243"/>
      <c r="AD308" s="243"/>
      <c r="AE308" s="243"/>
      <c r="AF308" s="243"/>
      <c r="AG308" s="243"/>
      <c r="AH308" s="243"/>
      <c r="AI308" s="243"/>
      <c r="AJ308" s="243"/>
      <c r="AK308" s="243"/>
      <c r="AL308" s="243"/>
      <c r="AM308" s="243"/>
      <c r="AN308" s="243"/>
      <c r="AO308" s="243"/>
      <c r="AP308" s="243"/>
      <c r="AQ308" s="1024"/>
      <c r="AR308" s="357"/>
      <c r="AS308" s="163"/>
      <c r="AT308" s="163"/>
      <c r="AU308" s="163"/>
      <c r="AV308" s="321"/>
    </row>
    <row r="309" spans="1:48" ht="12.75" x14ac:dyDescent="0.2">
      <c r="A309" s="243" t="e">
        <f t="shared" ref="A309:C309" si="228">#REF!</f>
        <v>#REF!</v>
      </c>
      <c r="B309" s="243" t="e">
        <f t="shared" si="228"/>
        <v>#REF!</v>
      </c>
      <c r="C309" s="1024" t="e">
        <f t="shared" si="228"/>
        <v>#REF!</v>
      </c>
      <c r="D309" s="1024"/>
      <c r="E309" s="1025"/>
      <c r="F309" s="243"/>
      <c r="G309" s="243"/>
      <c r="H309" s="243"/>
      <c r="I309" s="243"/>
      <c r="J309" s="243"/>
      <c r="K309" s="243"/>
      <c r="L309" s="243"/>
      <c r="M309" s="243"/>
      <c r="N309" s="243"/>
      <c r="O309" s="243"/>
      <c r="P309" s="243"/>
      <c r="Q309" s="243"/>
      <c r="R309" s="243"/>
      <c r="S309" s="243"/>
      <c r="T309" s="243"/>
      <c r="U309" s="243"/>
      <c r="V309" s="243"/>
      <c r="W309" s="243"/>
      <c r="X309" s="243"/>
      <c r="Y309" s="243"/>
      <c r="Z309" s="243"/>
      <c r="AA309" s="243"/>
      <c r="AB309" s="243"/>
      <c r="AC309" s="243"/>
      <c r="AD309" s="243"/>
      <c r="AE309" s="243"/>
      <c r="AF309" s="243"/>
      <c r="AG309" s="243"/>
      <c r="AH309" s="243"/>
      <c r="AI309" s="243"/>
      <c r="AJ309" s="243"/>
      <c r="AK309" s="243"/>
      <c r="AL309" s="243"/>
      <c r="AM309" s="243"/>
      <c r="AN309" s="243"/>
      <c r="AO309" s="243"/>
      <c r="AP309" s="243"/>
      <c r="AQ309" s="1024"/>
      <c r="AR309" s="357"/>
      <c r="AS309" s="163"/>
      <c r="AT309" s="163"/>
      <c r="AU309" s="163"/>
      <c r="AV309" s="321"/>
    </row>
    <row r="310" spans="1:48" ht="12.75" x14ac:dyDescent="0.2">
      <c r="A310" s="243" t="e">
        <f t="shared" ref="A310:C310" si="229">#REF!</f>
        <v>#REF!</v>
      </c>
      <c r="B310" s="243" t="e">
        <f t="shared" si="229"/>
        <v>#REF!</v>
      </c>
      <c r="C310" s="1024" t="e">
        <f t="shared" si="229"/>
        <v>#REF!</v>
      </c>
      <c r="D310" s="1024"/>
      <c r="E310" s="1025"/>
      <c r="F310" s="243"/>
      <c r="G310" s="243"/>
      <c r="H310" s="243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43"/>
      <c r="T310" s="243"/>
      <c r="U310" s="243"/>
      <c r="V310" s="243"/>
      <c r="W310" s="243"/>
      <c r="X310" s="243"/>
      <c r="Y310" s="243"/>
      <c r="Z310" s="243"/>
      <c r="AA310" s="243"/>
      <c r="AB310" s="243"/>
      <c r="AC310" s="243"/>
      <c r="AD310" s="243"/>
      <c r="AE310" s="243"/>
      <c r="AF310" s="243"/>
      <c r="AG310" s="243"/>
      <c r="AH310" s="243"/>
      <c r="AI310" s="243"/>
      <c r="AJ310" s="243"/>
      <c r="AK310" s="243"/>
      <c r="AL310" s="243"/>
      <c r="AM310" s="243"/>
      <c r="AN310" s="243"/>
      <c r="AO310" s="243"/>
      <c r="AP310" s="243"/>
      <c r="AQ310" s="1024"/>
      <c r="AR310" s="357"/>
      <c r="AS310" s="163"/>
      <c r="AT310" s="163"/>
      <c r="AU310" s="163"/>
      <c r="AV310" s="321"/>
    </row>
    <row r="311" spans="1:48" ht="12.75" x14ac:dyDescent="0.2">
      <c r="A311" s="243" t="e">
        <f t="shared" ref="A311:C311" si="230">#REF!</f>
        <v>#REF!</v>
      </c>
      <c r="B311" s="243" t="e">
        <f t="shared" si="230"/>
        <v>#REF!</v>
      </c>
      <c r="C311" s="1024" t="e">
        <f t="shared" si="230"/>
        <v>#REF!</v>
      </c>
      <c r="D311" s="1024"/>
      <c r="E311" s="1025"/>
      <c r="F311" s="243"/>
      <c r="G311" s="243"/>
      <c r="H311" s="243"/>
      <c r="I311" s="243"/>
      <c r="J311" s="243"/>
      <c r="K311" s="243"/>
      <c r="L311" s="243"/>
      <c r="M311" s="243"/>
      <c r="N311" s="243"/>
      <c r="O311" s="243"/>
      <c r="P311" s="243"/>
      <c r="Q311" s="243"/>
      <c r="R311" s="243"/>
      <c r="S311" s="243"/>
      <c r="T311" s="243"/>
      <c r="U311" s="243"/>
      <c r="V311" s="243"/>
      <c r="W311" s="243"/>
      <c r="X311" s="243"/>
      <c r="Y311" s="243"/>
      <c r="Z311" s="243"/>
      <c r="AA311" s="243"/>
      <c r="AB311" s="243"/>
      <c r="AC311" s="243"/>
      <c r="AD311" s="243"/>
      <c r="AE311" s="243"/>
      <c r="AF311" s="243"/>
      <c r="AG311" s="243"/>
      <c r="AH311" s="243"/>
      <c r="AI311" s="243"/>
      <c r="AJ311" s="243"/>
      <c r="AK311" s="243"/>
      <c r="AL311" s="243"/>
      <c r="AM311" s="243"/>
      <c r="AN311" s="243"/>
      <c r="AO311" s="243"/>
      <c r="AP311" s="243"/>
      <c r="AQ311" s="1024"/>
      <c r="AR311" s="357"/>
      <c r="AS311" s="163"/>
      <c r="AT311" s="163"/>
      <c r="AU311" s="163"/>
      <c r="AV311" s="321"/>
    </row>
    <row r="312" spans="1:48" ht="12.75" x14ac:dyDescent="0.2">
      <c r="A312" s="243" t="e">
        <f t="shared" ref="A312:C312" si="231">#REF!</f>
        <v>#REF!</v>
      </c>
      <c r="B312" s="243" t="e">
        <f t="shared" si="231"/>
        <v>#REF!</v>
      </c>
      <c r="C312" s="1024" t="e">
        <f t="shared" si="231"/>
        <v>#REF!</v>
      </c>
      <c r="D312" s="1024"/>
      <c r="E312" s="1025"/>
      <c r="F312" s="243"/>
      <c r="G312" s="243"/>
      <c r="H312" s="243"/>
      <c r="I312" s="243"/>
      <c r="J312" s="243"/>
      <c r="K312" s="243"/>
      <c r="L312" s="243"/>
      <c r="M312" s="243"/>
      <c r="N312" s="243"/>
      <c r="O312" s="243"/>
      <c r="P312" s="243"/>
      <c r="Q312" s="243"/>
      <c r="R312" s="243"/>
      <c r="S312" s="243"/>
      <c r="T312" s="243"/>
      <c r="U312" s="243"/>
      <c r="V312" s="243"/>
      <c r="W312" s="243"/>
      <c r="X312" s="243"/>
      <c r="Y312" s="243"/>
      <c r="Z312" s="243"/>
      <c r="AA312" s="243"/>
      <c r="AB312" s="243"/>
      <c r="AC312" s="243"/>
      <c r="AD312" s="243"/>
      <c r="AE312" s="243"/>
      <c r="AF312" s="243"/>
      <c r="AG312" s="243"/>
      <c r="AH312" s="243"/>
      <c r="AI312" s="243"/>
      <c r="AJ312" s="243"/>
      <c r="AK312" s="243"/>
      <c r="AL312" s="243"/>
      <c r="AM312" s="243"/>
      <c r="AN312" s="243"/>
      <c r="AO312" s="243"/>
      <c r="AP312" s="243"/>
      <c r="AQ312" s="1024"/>
      <c r="AR312" s="357"/>
      <c r="AS312" s="163"/>
      <c r="AT312" s="163"/>
      <c r="AU312" s="163"/>
      <c r="AV312" s="321"/>
    </row>
    <row r="313" spans="1:48" ht="12.75" x14ac:dyDescent="0.2">
      <c r="A313" s="243" t="e">
        <f t="shared" ref="A313:C313" si="232">#REF!</f>
        <v>#REF!</v>
      </c>
      <c r="B313" s="243" t="e">
        <f t="shared" si="232"/>
        <v>#REF!</v>
      </c>
      <c r="C313" s="1024" t="e">
        <f t="shared" si="232"/>
        <v>#REF!</v>
      </c>
      <c r="D313" s="1024"/>
      <c r="E313" s="1025"/>
      <c r="F313" s="243"/>
      <c r="G313" s="243"/>
      <c r="H313" s="243"/>
      <c r="I313" s="243"/>
      <c r="J313" s="243"/>
      <c r="K313" s="243"/>
      <c r="L313" s="243"/>
      <c r="M313" s="243"/>
      <c r="N313" s="243"/>
      <c r="O313" s="243"/>
      <c r="P313" s="243"/>
      <c r="Q313" s="243"/>
      <c r="R313" s="243"/>
      <c r="S313" s="243"/>
      <c r="T313" s="243"/>
      <c r="U313" s="243"/>
      <c r="V313" s="243"/>
      <c r="W313" s="243"/>
      <c r="X313" s="243"/>
      <c r="Y313" s="243"/>
      <c r="Z313" s="243"/>
      <c r="AA313" s="243"/>
      <c r="AB313" s="243"/>
      <c r="AC313" s="243"/>
      <c r="AD313" s="243"/>
      <c r="AE313" s="243"/>
      <c r="AF313" s="243"/>
      <c r="AG313" s="243"/>
      <c r="AH313" s="243"/>
      <c r="AI313" s="243"/>
      <c r="AJ313" s="243"/>
      <c r="AK313" s="243"/>
      <c r="AL313" s="243"/>
      <c r="AM313" s="243"/>
      <c r="AN313" s="243"/>
      <c r="AO313" s="243"/>
      <c r="AP313" s="243"/>
      <c r="AQ313" s="1024"/>
      <c r="AR313" s="357"/>
      <c r="AS313" s="163"/>
      <c r="AT313" s="163"/>
      <c r="AU313" s="163"/>
      <c r="AV313" s="321"/>
    </row>
    <row r="314" spans="1:48" ht="12.75" x14ac:dyDescent="0.2">
      <c r="A314" s="243" t="e">
        <f t="shared" ref="A314:C314" si="233">#REF!</f>
        <v>#REF!</v>
      </c>
      <c r="B314" s="243" t="e">
        <f t="shared" si="233"/>
        <v>#REF!</v>
      </c>
      <c r="C314" s="1024" t="e">
        <f t="shared" si="233"/>
        <v>#REF!</v>
      </c>
      <c r="D314" s="1024"/>
      <c r="E314" s="1025"/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  <c r="AH314" s="243"/>
      <c r="AI314" s="243"/>
      <c r="AJ314" s="243"/>
      <c r="AK314" s="243"/>
      <c r="AL314" s="243"/>
      <c r="AM314" s="243"/>
      <c r="AN314" s="243"/>
      <c r="AO314" s="243"/>
      <c r="AP314" s="243"/>
      <c r="AQ314" s="1024"/>
      <c r="AR314" s="357"/>
      <c r="AS314" s="163"/>
      <c r="AT314" s="163"/>
      <c r="AU314" s="163"/>
      <c r="AV314" s="321"/>
    </row>
    <row r="315" spans="1:48" ht="12.75" x14ac:dyDescent="0.2">
      <c r="A315" s="243" t="e">
        <f t="shared" ref="A315:C315" si="234">#REF!</f>
        <v>#REF!</v>
      </c>
      <c r="B315" s="243" t="e">
        <f t="shared" si="234"/>
        <v>#REF!</v>
      </c>
      <c r="C315" s="1024" t="e">
        <f t="shared" si="234"/>
        <v>#REF!</v>
      </c>
      <c r="D315" s="1024"/>
      <c r="E315" s="1025"/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  <c r="AH315" s="243"/>
      <c r="AI315" s="243"/>
      <c r="AJ315" s="243"/>
      <c r="AK315" s="243"/>
      <c r="AL315" s="243"/>
      <c r="AM315" s="243"/>
      <c r="AN315" s="243"/>
      <c r="AO315" s="243"/>
      <c r="AP315" s="243"/>
      <c r="AQ315" s="1024"/>
      <c r="AR315" s="357"/>
      <c r="AS315" s="163"/>
      <c r="AT315" s="163"/>
      <c r="AU315" s="163"/>
      <c r="AV315" s="321"/>
    </row>
    <row r="316" spans="1:48" ht="12.75" x14ac:dyDescent="0.2">
      <c r="A316" s="243" t="e">
        <f t="shared" ref="A316:C316" si="235">#REF!</f>
        <v>#REF!</v>
      </c>
      <c r="B316" s="243" t="e">
        <f t="shared" si="235"/>
        <v>#REF!</v>
      </c>
      <c r="C316" s="1024" t="e">
        <f t="shared" si="235"/>
        <v>#REF!</v>
      </c>
      <c r="D316" s="1024"/>
      <c r="E316" s="1025"/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  <c r="AH316" s="243"/>
      <c r="AI316" s="243"/>
      <c r="AJ316" s="243"/>
      <c r="AK316" s="243"/>
      <c r="AL316" s="243"/>
      <c r="AM316" s="243"/>
      <c r="AN316" s="243"/>
      <c r="AO316" s="243"/>
      <c r="AP316" s="243"/>
      <c r="AQ316" s="1024"/>
      <c r="AR316" s="357"/>
      <c r="AS316" s="163"/>
      <c r="AT316" s="163"/>
      <c r="AU316" s="163"/>
      <c r="AV316" s="321"/>
    </row>
    <row r="317" spans="1:48" ht="12.75" x14ac:dyDescent="0.2">
      <c r="A317" s="243" t="e">
        <f t="shared" ref="A317:C317" si="236">#REF!</f>
        <v>#REF!</v>
      </c>
      <c r="B317" s="243" t="e">
        <f t="shared" si="236"/>
        <v>#REF!</v>
      </c>
      <c r="C317" s="1024" t="e">
        <f t="shared" si="236"/>
        <v>#REF!</v>
      </c>
      <c r="D317" s="1024"/>
      <c r="E317" s="1025"/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3"/>
      <c r="AI317" s="243"/>
      <c r="AJ317" s="243"/>
      <c r="AK317" s="243"/>
      <c r="AL317" s="243"/>
      <c r="AM317" s="243"/>
      <c r="AN317" s="243"/>
      <c r="AO317" s="243"/>
      <c r="AP317" s="243"/>
      <c r="AQ317" s="1024"/>
      <c r="AR317" s="357"/>
      <c r="AS317" s="163"/>
      <c r="AT317" s="163"/>
      <c r="AU317" s="163"/>
      <c r="AV317" s="321"/>
    </row>
    <row r="318" spans="1:48" ht="12.75" x14ac:dyDescent="0.2">
      <c r="A318" s="243" t="e">
        <f t="shared" ref="A318:C318" si="237">#REF!</f>
        <v>#REF!</v>
      </c>
      <c r="B318" s="243" t="e">
        <f t="shared" si="237"/>
        <v>#REF!</v>
      </c>
      <c r="C318" s="1024" t="e">
        <f t="shared" si="237"/>
        <v>#REF!</v>
      </c>
      <c r="D318" s="1024"/>
      <c r="E318" s="1025"/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243"/>
      <c r="AM318" s="243"/>
      <c r="AN318" s="243"/>
      <c r="AO318" s="243"/>
      <c r="AP318" s="243"/>
      <c r="AQ318" s="1024"/>
      <c r="AR318" s="357"/>
      <c r="AS318" s="163"/>
      <c r="AT318" s="163"/>
      <c r="AU318" s="163"/>
      <c r="AV318" s="321"/>
    </row>
    <row r="319" spans="1:48" ht="12.75" x14ac:dyDescent="0.2">
      <c r="A319" s="243" t="e">
        <f t="shared" ref="A319:C319" si="238">#REF!</f>
        <v>#REF!</v>
      </c>
      <c r="B319" s="243" t="e">
        <f t="shared" si="238"/>
        <v>#REF!</v>
      </c>
      <c r="C319" s="1024" t="e">
        <f t="shared" si="238"/>
        <v>#REF!</v>
      </c>
      <c r="D319" s="1024"/>
      <c r="E319" s="1025"/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  <c r="AA319" s="243"/>
      <c r="AB319" s="243"/>
      <c r="AC319" s="243"/>
      <c r="AD319" s="243"/>
      <c r="AE319" s="243"/>
      <c r="AF319" s="243"/>
      <c r="AG319" s="243"/>
      <c r="AH319" s="243"/>
      <c r="AI319" s="243"/>
      <c r="AJ319" s="243"/>
      <c r="AK319" s="243"/>
      <c r="AL319" s="243"/>
      <c r="AM319" s="243"/>
      <c r="AN319" s="243"/>
      <c r="AO319" s="243"/>
      <c r="AP319" s="243"/>
      <c r="AQ319" s="1024"/>
      <c r="AR319" s="357"/>
      <c r="AS319" s="163"/>
      <c r="AT319" s="163"/>
      <c r="AU319" s="163"/>
      <c r="AV319" s="321"/>
    </row>
    <row r="320" spans="1:48" ht="12.75" x14ac:dyDescent="0.2">
      <c r="A320" s="243" t="e">
        <f t="shared" ref="A320:C320" si="239">#REF!</f>
        <v>#REF!</v>
      </c>
      <c r="B320" s="243" t="e">
        <f t="shared" si="239"/>
        <v>#REF!</v>
      </c>
      <c r="C320" s="1024" t="e">
        <f t="shared" si="239"/>
        <v>#REF!</v>
      </c>
      <c r="D320" s="1024"/>
      <c r="E320" s="1025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  <c r="AH320" s="243"/>
      <c r="AI320" s="243"/>
      <c r="AJ320" s="243"/>
      <c r="AK320" s="243"/>
      <c r="AL320" s="243"/>
      <c r="AM320" s="243"/>
      <c r="AN320" s="243"/>
      <c r="AO320" s="243"/>
      <c r="AP320" s="243"/>
      <c r="AQ320" s="1024"/>
      <c r="AR320" s="357"/>
      <c r="AS320" s="163"/>
      <c r="AT320" s="163"/>
      <c r="AU320" s="163"/>
      <c r="AV320" s="321"/>
    </row>
    <row r="321" spans="1:48" ht="12.75" x14ac:dyDescent="0.2">
      <c r="A321" s="243" t="e">
        <f t="shared" ref="A321:C321" si="240">#REF!</f>
        <v>#REF!</v>
      </c>
      <c r="B321" s="243" t="e">
        <f t="shared" si="240"/>
        <v>#REF!</v>
      </c>
      <c r="C321" s="1024" t="e">
        <f t="shared" si="240"/>
        <v>#REF!</v>
      </c>
      <c r="D321" s="1024"/>
      <c r="E321" s="1025"/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3"/>
      <c r="AI321" s="243"/>
      <c r="AJ321" s="243"/>
      <c r="AK321" s="243"/>
      <c r="AL321" s="243"/>
      <c r="AM321" s="243"/>
      <c r="AN321" s="243"/>
      <c r="AO321" s="243"/>
      <c r="AP321" s="243"/>
      <c r="AQ321" s="1024"/>
      <c r="AR321" s="357"/>
      <c r="AS321" s="163"/>
      <c r="AT321" s="163"/>
      <c r="AU321" s="163"/>
      <c r="AV321" s="321"/>
    </row>
    <row r="322" spans="1:48" ht="12.75" x14ac:dyDescent="0.2">
      <c r="A322" s="243" t="e">
        <f t="shared" ref="A322:C322" si="241">#REF!</f>
        <v>#REF!</v>
      </c>
      <c r="B322" s="243" t="e">
        <f t="shared" si="241"/>
        <v>#REF!</v>
      </c>
      <c r="C322" s="1024" t="e">
        <f t="shared" si="241"/>
        <v>#REF!</v>
      </c>
      <c r="D322" s="1024"/>
      <c r="E322" s="1025"/>
      <c r="F322" s="243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43"/>
      <c r="S322" s="243"/>
      <c r="T322" s="243"/>
      <c r="U322" s="243"/>
      <c r="V322" s="243"/>
      <c r="W322" s="243"/>
      <c r="X322" s="243"/>
      <c r="Y322" s="243"/>
      <c r="Z322" s="243"/>
      <c r="AA322" s="243"/>
      <c r="AB322" s="243"/>
      <c r="AC322" s="243"/>
      <c r="AD322" s="243"/>
      <c r="AE322" s="243"/>
      <c r="AF322" s="243"/>
      <c r="AG322" s="243"/>
      <c r="AH322" s="243"/>
      <c r="AI322" s="243"/>
      <c r="AJ322" s="243"/>
      <c r="AK322" s="243"/>
      <c r="AL322" s="243"/>
      <c r="AM322" s="243"/>
      <c r="AN322" s="243"/>
      <c r="AO322" s="243"/>
      <c r="AP322" s="243"/>
      <c r="AQ322" s="1024"/>
      <c r="AR322" s="357"/>
      <c r="AS322" s="163"/>
      <c r="AT322" s="163"/>
      <c r="AU322" s="163"/>
      <c r="AV322" s="321"/>
    </row>
    <row r="323" spans="1:48" ht="12.75" x14ac:dyDescent="0.2">
      <c r="A323" s="243" t="e">
        <f t="shared" ref="A323:C323" si="242">#REF!</f>
        <v>#REF!</v>
      </c>
      <c r="B323" s="243" t="e">
        <f t="shared" si="242"/>
        <v>#REF!</v>
      </c>
      <c r="C323" s="1024" t="e">
        <f t="shared" si="242"/>
        <v>#REF!</v>
      </c>
      <c r="D323" s="1024"/>
      <c r="E323" s="1025"/>
      <c r="F323" s="243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43"/>
      <c r="S323" s="243"/>
      <c r="T323" s="243"/>
      <c r="U323" s="243"/>
      <c r="V323" s="243"/>
      <c r="W323" s="243"/>
      <c r="X323" s="243"/>
      <c r="Y323" s="243"/>
      <c r="Z323" s="243"/>
      <c r="AA323" s="243"/>
      <c r="AB323" s="243"/>
      <c r="AC323" s="243"/>
      <c r="AD323" s="243"/>
      <c r="AE323" s="243"/>
      <c r="AF323" s="243"/>
      <c r="AG323" s="243"/>
      <c r="AH323" s="243"/>
      <c r="AI323" s="243"/>
      <c r="AJ323" s="243"/>
      <c r="AK323" s="243"/>
      <c r="AL323" s="243"/>
      <c r="AM323" s="243"/>
      <c r="AN323" s="243"/>
      <c r="AO323" s="243"/>
      <c r="AP323" s="243"/>
      <c r="AQ323" s="1024"/>
      <c r="AR323" s="357"/>
      <c r="AS323" s="163"/>
      <c r="AT323" s="163"/>
      <c r="AU323" s="163"/>
      <c r="AV323" s="321"/>
    </row>
    <row r="324" spans="1:48" ht="12.75" x14ac:dyDescent="0.2">
      <c r="A324" s="243" t="e">
        <f t="shared" ref="A324:C324" si="243">#REF!</f>
        <v>#REF!</v>
      </c>
      <c r="B324" s="243" t="e">
        <f t="shared" si="243"/>
        <v>#REF!</v>
      </c>
      <c r="C324" s="1024" t="e">
        <f t="shared" si="243"/>
        <v>#REF!</v>
      </c>
      <c r="D324" s="1024"/>
      <c r="E324" s="1025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  <c r="AA324" s="243"/>
      <c r="AB324" s="243"/>
      <c r="AC324" s="243"/>
      <c r="AD324" s="243"/>
      <c r="AE324" s="243"/>
      <c r="AF324" s="243"/>
      <c r="AG324" s="243"/>
      <c r="AH324" s="243"/>
      <c r="AI324" s="243"/>
      <c r="AJ324" s="243"/>
      <c r="AK324" s="243"/>
      <c r="AL324" s="243"/>
      <c r="AM324" s="243"/>
      <c r="AN324" s="243"/>
      <c r="AO324" s="243"/>
      <c r="AP324" s="243"/>
      <c r="AQ324" s="1024"/>
      <c r="AR324" s="357"/>
      <c r="AS324" s="163"/>
      <c r="AT324" s="163"/>
      <c r="AU324" s="163"/>
      <c r="AV324" s="321"/>
    </row>
    <row r="325" spans="1:48" ht="12.75" x14ac:dyDescent="0.2">
      <c r="A325" s="243" t="e">
        <f t="shared" ref="A325:C325" si="244">#REF!</f>
        <v>#REF!</v>
      </c>
      <c r="B325" s="243" t="e">
        <f t="shared" si="244"/>
        <v>#REF!</v>
      </c>
      <c r="C325" s="1024" t="e">
        <f t="shared" si="244"/>
        <v>#REF!</v>
      </c>
      <c r="D325" s="1024"/>
      <c r="E325" s="1025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  <c r="AA325" s="243"/>
      <c r="AB325" s="243"/>
      <c r="AC325" s="243"/>
      <c r="AD325" s="243"/>
      <c r="AE325" s="243"/>
      <c r="AF325" s="243"/>
      <c r="AG325" s="243"/>
      <c r="AH325" s="243"/>
      <c r="AI325" s="243"/>
      <c r="AJ325" s="243"/>
      <c r="AK325" s="243"/>
      <c r="AL325" s="243"/>
      <c r="AM325" s="243"/>
      <c r="AN325" s="243"/>
      <c r="AO325" s="243"/>
      <c r="AP325" s="243"/>
      <c r="AQ325" s="1024"/>
      <c r="AR325" s="357"/>
      <c r="AS325" s="163"/>
      <c r="AT325" s="163"/>
      <c r="AU325" s="163"/>
      <c r="AV325" s="321"/>
    </row>
    <row r="326" spans="1:48" ht="12.75" x14ac:dyDescent="0.2">
      <c r="A326" s="243" t="e">
        <f t="shared" ref="A326:C326" si="245">#REF!</f>
        <v>#REF!</v>
      </c>
      <c r="B326" s="243" t="e">
        <f t="shared" si="245"/>
        <v>#REF!</v>
      </c>
      <c r="C326" s="1024" t="e">
        <f t="shared" si="245"/>
        <v>#REF!</v>
      </c>
      <c r="D326" s="1024"/>
      <c r="E326" s="1025"/>
      <c r="F326" s="243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3"/>
      <c r="Z326" s="243"/>
      <c r="AA326" s="243"/>
      <c r="AB326" s="243"/>
      <c r="AC326" s="243"/>
      <c r="AD326" s="243"/>
      <c r="AE326" s="243"/>
      <c r="AF326" s="243"/>
      <c r="AG326" s="243"/>
      <c r="AH326" s="243"/>
      <c r="AI326" s="243"/>
      <c r="AJ326" s="243"/>
      <c r="AK326" s="243"/>
      <c r="AL326" s="243"/>
      <c r="AM326" s="243"/>
      <c r="AN326" s="243"/>
      <c r="AO326" s="243"/>
      <c r="AP326" s="243"/>
      <c r="AQ326" s="1024"/>
      <c r="AR326" s="357"/>
      <c r="AS326" s="163"/>
      <c r="AT326" s="163"/>
      <c r="AU326" s="163"/>
      <c r="AV326" s="321"/>
    </row>
    <row r="327" spans="1:48" ht="12.75" x14ac:dyDescent="0.2">
      <c r="A327" s="243" t="e">
        <f t="shared" ref="A327:C327" si="246">#REF!</f>
        <v>#REF!</v>
      </c>
      <c r="B327" s="243" t="e">
        <f t="shared" si="246"/>
        <v>#REF!</v>
      </c>
      <c r="C327" s="1024" t="e">
        <f t="shared" si="246"/>
        <v>#REF!</v>
      </c>
      <c r="D327" s="1024"/>
      <c r="E327" s="1025"/>
      <c r="F327" s="243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3"/>
      <c r="Z327" s="243"/>
      <c r="AA327" s="243"/>
      <c r="AB327" s="243"/>
      <c r="AC327" s="243"/>
      <c r="AD327" s="243"/>
      <c r="AE327" s="243"/>
      <c r="AF327" s="243"/>
      <c r="AG327" s="243"/>
      <c r="AH327" s="243"/>
      <c r="AI327" s="243"/>
      <c r="AJ327" s="243"/>
      <c r="AK327" s="243"/>
      <c r="AL327" s="243"/>
      <c r="AM327" s="243"/>
      <c r="AN327" s="243"/>
      <c r="AO327" s="243"/>
      <c r="AP327" s="243"/>
      <c r="AQ327" s="1024"/>
      <c r="AR327" s="357"/>
      <c r="AS327" s="163"/>
      <c r="AT327" s="163"/>
      <c r="AU327" s="163"/>
      <c r="AV327" s="321"/>
    </row>
    <row r="328" spans="1:48" ht="12.75" x14ac:dyDescent="0.2">
      <c r="A328" s="243" t="e">
        <f t="shared" ref="A328:C328" si="247">#REF!</f>
        <v>#REF!</v>
      </c>
      <c r="B328" s="243" t="e">
        <f t="shared" si="247"/>
        <v>#REF!</v>
      </c>
      <c r="C328" s="1024" t="e">
        <f t="shared" si="247"/>
        <v>#REF!</v>
      </c>
      <c r="D328" s="1024"/>
      <c r="E328" s="1025"/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  <c r="AH328" s="243"/>
      <c r="AI328" s="243"/>
      <c r="AJ328" s="243"/>
      <c r="AK328" s="243"/>
      <c r="AL328" s="243"/>
      <c r="AM328" s="243"/>
      <c r="AN328" s="243"/>
      <c r="AO328" s="243"/>
      <c r="AP328" s="243"/>
      <c r="AQ328" s="1024"/>
      <c r="AR328" s="357"/>
      <c r="AS328" s="163"/>
      <c r="AT328" s="163"/>
      <c r="AU328" s="163"/>
      <c r="AV328" s="321"/>
    </row>
    <row r="329" spans="1:48" ht="12.75" x14ac:dyDescent="0.2">
      <c r="A329" s="243" t="e">
        <f t="shared" ref="A329:C329" si="248">#REF!</f>
        <v>#REF!</v>
      </c>
      <c r="B329" s="243" t="e">
        <f t="shared" si="248"/>
        <v>#REF!</v>
      </c>
      <c r="C329" s="1024" t="e">
        <f t="shared" si="248"/>
        <v>#REF!</v>
      </c>
      <c r="D329" s="1024"/>
      <c r="E329" s="1025"/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  <c r="AH329" s="243"/>
      <c r="AI329" s="243"/>
      <c r="AJ329" s="243"/>
      <c r="AK329" s="243"/>
      <c r="AL329" s="243"/>
      <c r="AM329" s="243"/>
      <c r="AN329" s="243"/>
      <c r="AO329" s="243"/>
      <c r="AP329" s="243"/>
      <c r="AQ329" s="1024"/>
      <c r="AR329" s="357"/>
      <c r="AS329" s="163"/>
      <c r="AT329" s="163"/>
      <c r="AU329" s="163"/>
      <c r="AV329" s="321"/>
    </row>
    <row r="330" spans="1:48" ht="12.75" x14ac:dyDescent="0.2">
      <c r="A330" s="243" t="e">
        <f t="shared" ref="A330:C330" si="249">#REF!</f>
        <v>#REF!</v>
      </c>
      <c r="B330" s="243" t="e">
        <f t="shared" si="249"/>
        <v>#REF!</v>
      </c>
      <c r="C330" s="1024" t="e">
        <f t="shared" si="249"/>
        <v>#REF!</v>
      </c>
      <c r="D330" s="1024"/>
      <c r="E330" s="1025"/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  <c r="AH330" s="243"/>
      <c r="AI330" s="243"/>
      <c r="AJ330" s="243"/>
      <c r="AK330" s="243"/>
      <c r="AL330" s="243"/>
      <c r="AM330" s="243"/>
      <c r="AN330" s="243"/>
      <c r="AO330" s="243"/>
      <c r="AP330" s="243"/>
      <c r="AQ330" s="1024"/>
      <c r="AR330" s="357"/>
      <c r="AS330" s="163"/>
      <c r="AT330" s="163"/>
      <c r="AU330" s="163"/>
      <c r="AV330" s="321"/>
    </row>
    <row r="331" spans="1:48" ht="12.75" x14ac:dyDescent="0.2">
      <c r="A331" s="243" t="e">
        <f t="shared" ref="A331:C331" si="250">#REF!</f>
        <v>#REF!</v>
      </c>
      <c r="B331" s="243" t="e">
        <f t="shared" si="250"/>
        <v>#REF!</v>
      </c>
      <c r="C331" s="1024" t="e">
        <f t="shared" si="250"/>
        <v>#REF!</v>
      </c>
      <c r="D331" s="1024"/>
      <c r="E331" s="1025"/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  <c r="AH331" s="243"/>
      <c r="AI331" s="243"/>
      <c r="AJ331" s="243"/>
      <c r="AK331" s="243"/>
      <c r="AL331" s="243"/>
      <c r="AM331" s="243"/>
      <c r="AN331" s="243"/>
      <c r="AO331" s="243"/>
      <c r="AP331" s="243"/>
      <c r="AQ331" s="1024"/>
      <c r="AR331" s="357"/>
      <c r="AS331" s="163"/>
      <c r="AT331" s="163"/>
      <c r="AU331" s="163"/>
      <c r="AV331" s="321"/>
    </row>
    <row r="332" spans="1:48" ht="12.75" x14ac:dyDescent="0.2">
      <c r="A332" s="243" t="e">
        <f t="shared" ref="A332:C332" si="251">#REF!</f>
        <v>#REF!</v>
      </c>
      <c r="B332" s="243" t="e">
        <f t="shared" si="251"/>
        <v>#REF!</v>
      </c>
      <c r="C332" s="1024" t="e">
        <f t="shared" si="251"/>
        <v>#REF!</v>
      </c>
      <c r="D332" s="1024"/>
      <c r="E332" s="1025"/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  <c r="AH332" s="243"/>
      <c r="AI332" s="243"/>
      <c r="AJ332" s="243"/>
      <c r="AK332" s="243"/>
      <c r="AL332" s="243"/>
      <c r="AM332" s="243"/>
      <c r="AN332" s="243"/>
      <c r="AO332" s="243"/>
      <c r="AP332" s="243"/>
      <c r="AQ332" s="1024"/>
      <c r="AR332" s="357"/>
      <c r="AS332" s="163"/>
      <c r="AT332" s="163"/>
      <c r="AU332" s="163"/>
      <c r="AV332" s="321"/>
    </row>
    <row r="333" spans="1:48" ht="12.75" x14ac:dyDescent="0.2">
      <c r="A333" s="243" t="e">
        <f t="shared" ref="A333:C333" si="252">#REF!</f>
        <v>#REF!</v>
      </c>
      <c r="B333" s="243" t="e">
        <f t="shared" si="252"/>
        <v>#REF!</v>
      </c>
      <c r="C333" s="1024" t="e">
        <f t="shared" si="252"/>
        <v>#REF!</v>
      </c>
      <c r="D333" s="1024"/>
      <c r="E333" s="1025"/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  <c r="AA333" s="243"/>
      <c r="AB333" s="243"/>
      <c r="AC333" s="243"/>
      <c r="AD333" s="243"/>
      <c r="AE333" s="243"/>
      <c r="AF333" s="243"/>
      <c r="AG333" s="243"/>
      <c r="AH333" s="243"/>
      <c r="AI333" s="243"/>
      <c r="AJ333" s="243"/>
      <c r="AK333" s="243"/>
      <c r="AL333" s="243"/>
      <c r="AM333" s="243"/>
      <c r="AN333" s="243"/>
      <c r="AO333" s="243"/>
      <c r="AP333" s="243"/>
      <c r="AQ333" s="1024"/>
      <c r="AR333" s="357"/>
      <c r="AS333" s="163"/>
      <c r="AT333" s="163"/>
      <c r="AU333" s="163"/>
      <c r="AV333" s="321"/>
    </row>
    <row r="334" spans="1:48" ht="12.75" x14ac:dyDescent="0.2">
      <c r="A334" s="243" t="e">
        <f t="shared" ref="A334:C334" si="253">#REF!</f>
        <v>#REF!</v>
      </c>
      <c r="B334" s="243" t="e">
        <f t="shared" si="253"/>
        <v>#REF!</v>
      </c>
      <c r="C334" s="1024" t="e">
        <f t="shared" si="253"/>
        <v>#REF!</v>
      </c>
      <c r="D334" s="1024"/>
      <c r="E334" s="1025"/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  <c r="AA334" s="243"/>
      <c r="AB334" s="243"/>
      <c r="AC334" s="243"/>
      <c r="AD334" s="243"/>
      <c r="AE334" s="243"/>
      <c r="AF334" s="243"/>
      <c r="AG334" s="243"/>
      <c r="AH334" s="243"/>
      <c r="AI334" s="243"/>
      <c r="AJ334" s="243"/>
      <c r="AK334" s="243"/>
      <c r="AL334" s="243"/>
      <c r="AM334" s="243"/>
      <c r="AN334" s="243"/>
      <c r="AO334" s="243"/>
      <c r="AP334" s="243"/>
      <c r="AQ334" s="1024"/>
      <c r="AR334" s="357"/>
      <c r="AS334" s="163"/>
      <c r="AT334" s="163"/>
      <c r="AU334" s="163"/>
      <c r="AV334" s="321"/>
    </row>
    <row r="335" spans="1:48" ht="12.75" x14ac:dyDescent="0.2">
      <c r="A335" s="243" t="e">
        <f t="shared" ref="A335:C335" si="254">#REF!</f>
        <v>#REF!</v>
      </c>
      <c r="B335" s="243" t="e">
        <f t="shared" si="254"/>
        <v>#REF!</v>
      </c>
      <c r="C335" s="1024" t="e">
        <f t="shared" si="254"/>
        <v>#REF!</v>
      </c>
      <c r="D335" s="1024"/>
      <c r="E335" s="1025"/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  <c r="AA335" s="243"/>
      <c r="AB335" s="243"/>
      <c r="AC335" s="243"/>
      <c r="AD335" s="243"/>
      <c r="AE335" s="243"/>
      <c r="AF335" s="243"/>
      <c r="AG335" s="243"/>
      <c r="AH335" s="243"/>
      <c r="AI335" s="243"/>
      <c r="AJ335" s="243"/>
      <c r="AK335" s="243"/>
      <c r="AL335" s="243"/>
      <c r="AM335" s="243"/>
      <c r="AN335" s="243"/>
      <c r="AO335" s="243"/>
      <c r="AP335" s="243"/>
      <c r="AQ335" s="1024"/>
      <c r="AR335" s="357"/>
      <c r="AS335" s="163"/>
      <c r="AT335" s="163"/>
      <c r="AU335" s="163"/>
      <c r="AV335" s="321"/>
    </row>
    <row r="336" spans="1:48" ht="12.75" x14ac:dyDescent="0.2">
      <c r="A336" s="243" t="e">
        <f t="shared" ref="A336:C336" si="255">#REF!</f>
        <v>#REF!</v>
      </c>
      <c r="B336" s="243" t="e">
        <f t="shared" si="255"/>
        <v>#REF!</v>
      </c>
      <c r="C336" s="1024" t="e">
        <f t="shared" si="255"/>
        <v>#REF!</v>
      </c>
      <c r="D336" s="1024"/>
      <c r="E336" s="1025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1024"/>
      <c r="AR336" s="357"/>
      <c r="AS336" s="163"/>
      <c r="AT336" s="163"/>
      <c r="AU336" s="163"/>
      <c r="AV336" s="321"/>
    </row>
    <row r="337" spans="1:48" ht="12.75" x14ac:dyDescent="0.2">
      <c r="A337" s="243" t="e">
        <f t="shared" ref="A337:C337" si="256">#REF!</f>
        <v>#REF!</v>
      </c>
      <c r="B337" s="243" t="e">
        <f t="shared" si="256"/>
        <v>#REF!</v>
      </c>
      <c r="C337" s="1024" t="e">
        <f t="shared" si="256"/>
        <v>#REF!</v>
      </c>
      <c r="D337" s="1024"/>
      <c r="E337" s="1025"/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  <c r="AH337" s="243"/>
      <c r="AI337" s="243"/>
      <c r="AJ337" s="243"/>
      <c r="AK337" s="243"/>
      <c r="AL337" s="243"/>
      <c r="AM337" s="243"/>
      <c r="AN337" s="243"/>
      <c r="AO337" s="243"/>
      <c r="AP337" s="243"/>
      <c r="AQ337" s="1024"/>
      <c r="AR337" s="357"/>
      <c r="AS337" s="163"/>
      <c r="AT337" s="163"/>
      <c r="AU337" s="163"/>
      <c r="AV337" s="321"/>
    </row>
    <row r="338" spans="1:48" ht="12.75" x14ac:dyDescent="0.2">
      <c r="A338" s="243" t="e">
        <f t="shared" ref="A338:C338" si="257">#REF!</f>
        <v>#REF!</v>
      </c>
      <c r="B338" s="243" t="e">
        <f t="shared" si="257"/>
        <v>#REF!</v>
      </c>
      <c r="C338" s="1024" t="e">
        <f t="shared" si="257"/>
        <v>#REF!</v>
      </c>
      <c r="D338" s="1024"/>
      <c r="E338" s="1025"/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  <c r="AH338" s="243"/>
      <c r="AI338" s="243"/>
      <c r="AJ338" s="243"/>
      <c r="AK338" s="243"/>
      <c r="AL338" s="243"/>
      <c r="AM338" s="243"/>
      <c r="AN338" s="243"/>
      <c r="AO338" s="243"/>
      <c r="AP338" s="243"/>
      <c r="AQ338" s="1024"/>
      <c r="AR338" s="357"/>
      <c r="AS338" s="163"/>
      <c r="AT338" s="163"/>
      <c r="AU338" s="163"/>
      <c r="AV338" s="321"/>
    </row>
    <row r="339" spans="1:48" ht="12.75" x14ac:dyDescent="0.2">
      <c r="A339" s="243" t="e">
        <f t="shared" ref="A339:C339" si="258">#REF!</f>
        <v>#REF!</v>
      </c>
      <c r="B339" s="243" t="e">
        <f t="shared" si="258"/>
        <v>#REF!</v>
      </c>
      <c r="C339" s="1024" t="e">
        <f t="shared" si="258"/>
        <v>#REF!</v>
      </c>
      <c r="D339" s="1024"/>
      <c r="E339" s="1025"/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  <c r="AH339" s="243"/>
      <c r="AI339" s="243"/>
      <c r="AJ339" s="243"/>
      <c r="AK339" s="243"/>
      <c r="AL339" s="243"/>
      <c r="AM339" s="243"/>
      <c r="AN339" s="243"/>
      <c r="AO339" s="243"/>
      <c r="AP339" s="243"/>
      <c r="AQ339" s="1024"/>
      <c r="AR339" s="357"/>
      <c r="AS339" s="163"/>
      <c r="AT339" s="163"/>
      <c r="AU339" s="163"/>
      <c r="AV339" s="321"/>
    </row>
    <row r="340" spans="1:48" ht="12.75" x14ac:dyDescent="0.2">
      <c r="A340" s="243" t="e">
        <f t="shared" ref="A340:C340" si="259">#REF!</f>
        <v>#REF!</v>
      </c>
      <c r="B340" s="243" t="e">
        <f t="shared" si="259"/>
        <v>#REF!</v>
      </c>
      <c r="C340" s="1024" t="e">
        <f t="shared" si="259"/>
        <v>#REF!</v>
      </c>
      <c r="D340" s="1024"/>
      <c r="E340" s="1025"/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  <c r="AH340" s="243"/>
      <c r="AI340" s="243"/>
      <c r="AJ340" s="243"/>
      <c r="AK340" s="243"/>
      <c r="AL340" s="243"/>
      <c r="AM340" s="243"/>
      <c r="AN340" s="243"/>
      <c r="AO340" s="243"/>
      <c r="AP340" s="243"/>
      <c r="AQ340" s="1024"/>
      <c r="AR340" s="357"/>
      <c r="AS340" s="163"/>
      <c r="AT340" s="163"/>
      <c r="AU340" s="163"/>
      <c r="AV340" s="321"/>
    </row>
    <row r="341" spans="1:48" ht="12.75" x14ac:dyDescent="0.2">
      <c r="A341" s="243" t="e">
        <f t="shared" ref="A341:C341" si="260">#REF!</f>
        <v>#REF!</v>
      </c>
      <c r="B341" s="243" t="e">
        <f t="shared" si="260"/>
        <v>#REF!</v>
      </c>
      <c r="C341" s="1024" t="e">
        <f t="shared" si="260"/>
        <v>#REF!</v>
      </c>
      <c r="D341" s="1024"/>
      <c r="E341" s="1025"/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  <c r="AH341" s="243"/>
      <c r="AI341" s="243"/>
      <c r="AJ341" s="243"/>
      <c r="AK341" s="243"/>
      <c r="AL341" s="243"/>
      <c r="AM341" s="243"/>
      <c r="AN341" s="243"/>
      <c r="AO341" s="243"/>
      <c r="AP341" s="243"/>
      <c r="AQ341" s="1024"/>
      <c r="AR341" s="357"/>
      <c r="AS341" s="163"/>
      <c r="AT341" s="163"/>
      <c r="AU341" s="163"/>
      <c r="AV341" s="321"/>
    </row>
    <row r="342" spans="1:48" ht="12.75" x14ac:dyDescent="0.2">
      <c r="A342" s="243" t="e">
        <f t="shared" ref="A342:C342" si="261">#REF!</f>
        <v>#REF!</v>
      </c>
      <c r="B342" s="243" t="e">
        <f t="shared" si="261"/>
        <v>#REF!</v>
      </c>
      <c r="C342" s="1024" t="e">
        <f t="shared" si="261"/>
        <v>#REF!</v>
      </c>
      <c r="D342" s="1024"/>
      <c r="E342" s="1025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1024"/>
      <c r="AR342" s="357"/>
      <c r="AS342" s="163"/>
      <c r="AT342" s="163"/>
      <c r="AU342" s="163"/>
      <c r="AV342" s="321"/>
    </row>
    <row r="343" spans="1:48" ht="12.75" x14ac:dyDescent="0.2">
      <c r="A343" s="243" t="e">
        <f t="shared" ref="A343:C343" si="262">#REF!</f>
        <v>#REF!</v>
      </c>
      <c r="B343" s="243" t="e">
        <f t="shared" si="262"/>
        <v>#REF!</v>
      </c>
      <c r="C343" s="1024" t="e">
        <f t="shared" si="262"/>
        <v>#REF!</v>
      </c>
      <c r="D343" s="1024"/>
      <c r="E343" s="1025"/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  <c r="AH343" s="243"/>
      <c r="AI343" s="243"/>
      <c r="AJ343" s="243"/>
      <c r="AK343" s="243"/>
      <c r="AL343" s="243"/>
      <c r="AM343" s="243"/>
      <c r="AN343" s="243"/>
      <c r="AO343" s="243"/>
      <c r="AP343" s="243"/>
      <c r="AQ343" s="1024"/>
      <c r="AR343" s="357"/>
      <c r="AS343" s="163"/>
      <c r="AT343" s="163"/>
      <c r="AU343" s="163"/>
      <c r="AV343" s="321"/>
    </row>
    <row r="344" spans="1:48" ht="12.75" x14ac:dyDescent="0.2">
      <c r="A344" s="243" t="e">
        <f t="shared" ref="A344:C344" si="263">#REF!</f>
        <v>#REF!</v>
      </c>
      <c r="B344" s="243" t="e">
        <f t="shared" si="263"/>
        <v>#REF!</v>
      </c>
      <c r="C344" s="1024" t="e">
        <f t="shared" si="263"/>
        <v>#REF!</v>
      </c>
      <c r="D344" s="1024"/>
      <c r="E344" s="1025"/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  <c r="AH344" s="243"/>
      <c r="AI344" s="243"/>
      <c r="AJ344" s="243"/>
      <c r="AK344" s="243"/>
      <c r="AL344" s="243"/>
      <c r="AM344" s="243"/>
      <c r="AN344" s="243"/>
      <c r="AO344" s="243"/>
      <c r="AP344" s="243"/>
      <c r="AQ344" s="1024"/>
      <c r="AR344" s="357"/>
      <c r="AS344" s="163"/>
      <c r="AT344" s="163"/>
      <c r="AU344" s="163"/>
      <c r="AV344" s="321"/>
    </row>
    <row r="345" spans="1:48" ht="12.75" x14ac:dyDescent="0.2">
      <c r="A345" s="243" t="e">
        <f t="shared" ref="A345:C345" si="264">#REF!</f>
        <v>#REF!</v>
      </c>
      <c r="B345" s="243" t="e">
        <f t="shared" si="264"/>
        <v>#REF!</v>
      </c>
      <c r="C345" s="1024" t="e">
        <f t="shared" si="264"/>
        <v>#REF!</v>
      </c>
      <c r="D345" s="1024"/>
      <c r="E345" s="1025"/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  <c r="AH345" s="243"/>
      <c r="AI345" s="243"/>
      <c r="AJ345" s="243"/>
      <c r="AK345" s="243"/>
      <c r="AL345" s="243"/>
      <c r="AM345" s="243"/>
      <c r="AN345" s="243"/>
      <c r="AO345" s="243"/>
      <c r="AP345" s="243"/>
      <c r="AQ345" s="1024"/>
      <c r="AR345" s="357"/>
      <c r="AS345" s="163"/>
      <c r="AT345" s="163"/>
      <c r="AU345" s="163"/>
      <c r="AV345" s="321"/>
    </row>
    <row r="346" spans="1:48" ht="12.75" x14ac:dyDescent="0.2">
      <c r="A346" s="243" t="e">
        <f t="shared" ref="A346:C346" si="265">#REF!</f>
        <v>#REF!</v>
      </c>
      <c r="B346" s="243" t="e">
        <f t="shared" si="265"/>
        <v>#REF!</v>
      </c>
      <c r="C346" s="1024" t="e">
        <f t="shared" si="265"/>
        <v>#REF!</v>
      </c>
      <c r="D346" s="1024"/>
      <c r="E346" s="1025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243"/>
      <c r="AC346" s="243"/>
      <c r="AD346" s="243"/>
      <c r="AE346" s="243"/>
      <c r="AF346" s="243"/>
      <c r="AG346" s="243"/>
      <c r="AH346" s="243"/>
      <c r="AI346" s="243"/>
      <c r="AJ346" s="243"/>
      <c r="AK346" s="243"/>
      <c r="AL346" s="243"/>
      <c r="AM346" s="243"/>
      <c r="AN346" s="243"/>
      <c r="AO346" s="243"/>
      <c r="AP346" s="243"/>
      <c r="AQ346" s="1024"/>
      <c r="AR346" s="357"/>
      <c r="AS346" s="163"/>
      <c r="AT346" s="163"/>
      <c r="AU346" s="163"/>
      <c r="AV346" s="321"/>
    </row>
    <row r="347" spans="1:48" ht="12.75" x14ac:dyDescent="0.2">
      <c r="A347" s="243" t="e">
        <f t="shared" ref="A347:C347" si="266">#REF!</f>
        <v>#REF!</v>
      </c>
      <c r="B347" s="243" t="e">
        <f t="shared" si="266"/>
        <v>#REF!</v>
      </c>
      <c r="C347" s="1024" t="e">
        <f t="shared" si="266"/>
        <v>#REF!</v>
      </c>
      <c r="D347" s="1024"/>
      <c r="E347" s="1025"/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  <c r="AB347" s="243"/>
      <c r="AC347" s="243"/>
      <c r="AD347" s="243"/>
      <c r="AE347" s="243"/>
      <c r="AF347" s="243"/>
      <c r="AG347" s="243"/>
      <c r="AH347" s="243"/>
      <c r="AI347" s="243"/>
      <c r="AJ347" s="243"/>
      <c r="AK347" s="243"/>
      <c r="AL347" s="243"/>
      <c r="AM347" s="243"/>
      <c r="AN347" s="243"/>
      <c r="AO347" s="243"/>
      <c r="AP347" s="243"/>
      <c r="AQ347" s="1024"/>
      <c r="AR347" s="357"/>
      <c r="AS347" s="163"/>
      <c r="AT347" s="163"/>
      <c r="AU347" s="163"/>
      <c r="AV347" s="321"/>
    </row>
    <row r="348" spans="1:48" ht="12.75" x14ac:dyDescent="0.2">
      <c r="A348" s="243" t="e">
        <f t="shared" ref="A348:C348" si="267">#REF!</f>
        <v>#REF!</v>
      </c>
      <c r="B348" s="243" t="e">
        <f t="shared" si="267"/>
        <v>#REF!</v>
      </c>
      <c r="C348" s="1024" t="e">
        <f t="shared" si="267"/>
        <v>#REF!</v>
      </c>
      <c r="D348" s="1024"/>
      <c r="E348" s="1025"/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  <c r="AH348" s="243"/>
      <c r="AI348" s="243"/>
      <c r="AJ348" s="243"/>
      <c r="AK348" s="243"/>
      <c r="AL348" s="243"/>
      <c r="AM348" s="243"/>
      <c r="AN348" s="243"/>
      <c r="AO348" s="243"/>
      <c r="AP348" s="243"/>
      <c r="AQ348" s="1024"/>
      <c r="AR348" s="357"/>
      <c r="AS348" s="163"/>
      <c r="AT348" s="163"/>
      <c r="AU348" s="163"/>
      <c r="AV348" s="321"/>
    </row>
    <row r="349" spans="1:48" ht="12.75" x14ac:dyDescent="0.2">
      <c r="A349" s="243"/>
      <c r="B349" s="243"/>
      <c r="C349" s="1024"/>
      <c r="D349" s="1024"/>
      <c r="E349" s="1025"/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  <c r="AH349" s="243"/>
      <c r="AI349" s="243"/>
      <c r="AJ349" s="243"/>
      <c r="AK349" s="243"/>
      <c r="AL349" s="243"/>
      <c r="AM349" s="243"/>
      <c r="AN349" s="243"/>
      <c r="AO349" s="243"/>
      <c r="AP349" s="243"/>
      <c r="AQ349" s="1024"/>
      <c r="AR349" s="357"/>
      <c r="AS349" s="163"/>
      <c r="AT349" s="163"/>
      <c r="AU349" s="163"/>
      <c r="AV349" s="321"/>
    </row>
    <row r="350" spans="1:48" ht="12.75" x14ac:dyDescent="0.2">
      <c r="A350" s="243"/>
      <c r="B350" s="243"/>
      <c r="C350" s="1024"/>
      <c r="D350" s="1024"/>
      <c r="E350" s="1025"/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  <c r="AA350" s="243"/>
      <c r="AB350" s="243"/>
      <c r="AC350" s="243"/>
      <c r="AD350" s="243"/>
      <c r="AE350" s="243"/>
      <c r="AF350" s="243"/>
      <c r="AG350" s="243"/>
      <c r="AH350" s="243"/>
      <c r="AI350" s="243"/>
      <c r="AJ350" s="243"/>
      <c r="AK350" s="243"/>
      <c r="AL350" s="243"/>
      <c r="AM350" s="243"/>
      <c r="AN350" s="243"/>
      <c r="AO350" s="243"/>
      <c r="AP350" s="243"/>
      <c r="AQ350" s="1024"/>
      <c r="AR350" s="357"/>
      <c r="AS350" s="163"/>
      <c r="AT350" s="163"/>
      <c r="AU350" s="163"/>
      <c r="AV350" s="321"/>
    </row>
    <row r="351" spans="1:48" ht="12.75" x14ac:dyDescent="0.2">
      <c r="A351" s="243"/>
      <c r="B351" s="243"/>
      <c r="C351" s="1024"/>
      <c r="D351" s="1024"/>
      <c r="E351" s="1025"/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  <c r="AA351" s="243"/>
      <c r="AB351" s="243"/>
      <c r="AC351" s="243"/>
      <c r="AD351" s="243"/>
      <c r="AE351" s="243"/>
      <c r="AF351" s="243"/>
      <c r="AG351" s="243"/>
      <c r="AH351" s="243"/>
      <c r="AI351" s="243"/>
      <c r="AJ351" s="243"/>
      <c r="AK351" s="243"/>
      <c r="AL351" s="243"/>
      <c r="AM351" s="243"/>
      <c r="AN351" s="243"/>
      <c r="AO351" s="243"/>
      <c r="AP351" s="243"/>
      <c r="AQ351" s="1024"/>
      <c r="AR351" s="357"/>
      <c r="AS351" s="163"/>
      <c r="AT351" s="163"/>
      <c r="AU351" s="163"/>
      <c r="AV351" s="321"/>
    </row>
    <row r="352" spans="1:48" ht="12.75" x14ac:dyDescent="0.2">
      <c r="A352" s="243"/>
      <c r="B352" s="243"/>
      <c r="C352" s="1024"/>
      <c r="D352" s="1024"/>
      <c r="E352" s="1025"/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  <c r="AH352" s="243"/>
      <c r="AI352" s="243"/>
      <c r="AJ352" s="243"/>
      <c r="AK352" s="243"/>
      <c r="AL352" s="243"/>
      <c r="AM352" s="243"/>
      <c r="AN352" s="243"/>
      <c r="AO352" s="243"/>
      <c r="AP352" s="243"/>
      <c r="AQ352" s="1024"/>
      <c r="AR352" s="357"/>
      <c r="AS352" s="163"/>
      <c r="AT352" s="163"/>
      <c r="AU352" s="163"/>
      <c r="AV352" s="321"/>
    </row>
    <row r="353" spans="1:48" ht="12.75" x14ac:dyDescent="0.2">
      <c r="A353" s="243"/>
      <c r="B353" s="243"/>
      <c r="C353" s="1024"/>
      <c r="D353" s="1024"/>
      <c r="E353" s="1025"/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  <c r="AH353" s="243"/>
      <c r="AI353" s="243"/>
      <c r="AJ353" s="243"/>
      <c r="AK353" s="243"/>
      <c r="AL353" s="243"/>
      <c r="AM353" s="243"/>
      <c r="AN353" s="243"/>
      <c r="AO353" s="243"/>
      <c r="AP353" s="243"/>
      <c r="AQ353" s="1024"/>
      <c r="AR353" s="357"/>
      <c r="AS353" s="163"/>
      <c r="AT353" s="163"/>
      <c r="AU353" s="163"/>
      <c r="AV353" s="321"/>
    </row>
    <row r="354" spans="1:48" ht="12.75" x14ac:dyDescent="0.2">
      <c r="A354" s="243"/>
      <c r="B354" s="243"/>
      <c r="C354" s="1024"/>
      <c r="D354" s="1024"/>
      <c r="E354" s="1025"/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3"/>
      <c r="AI354" s="243"/>
      <c r="AJ354" s="243"/>
      <c r="AK354" s="243"/>
      <c r="AL354" s="243"/>
      <c r="AM354" s="243"/>
      <c r="AN354" s="243"/>
      <c r="AO354" s="243"/>
      <c r="AP354" s="243"/>
      <c r="AQ354" s="1024"/>
      <c r="AR354" s="357"/>
      <c r="AS354" s="163"/>
      <c r="AT354" s="163"/>
      <c r="AU354" s="163"/>
      <c r="AV354" s="321"/>
    </row>
    <row r="355" spans="1:48" ht="12.75" x14ac:dyDescent="0.2">
      <c r="A355" s="243"/>
      <c r="B355" s="243"/>
      <c r="C355" s="1024"/>
      <c r="D355" s="1024"/>
      <c r="E355" s="1025"/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3"/>
      <c r="AI355" s="243"/>
      <c r="AJ355" s="243"/>
      <c r="AK355" s="243"/>
      <c r="AL355" s="243"/>
      <c r="AM355" s="243"/>
      <c r="AN355" s="243"/>
      <c r="AO355" s="243"/>
      <c r="AP355" s="243"/>
      <c r="AQ355" s="1024"/>
      <c r="AR355" s="357"/>
      <c r="AS355" s="163"/>
      <c r="AT355" s="163"/>
      <c r="AU355" s="163"/>
      <c r="AV355" s="321"/>
    </row>
    <row r="356" spans="1:48" ht="12.75" x14ac:dyDescent="0.2">
      <c r="A356" s="243"/>
      <c r="B356" s="243"/>
      <c r="C356" s="1024"/>
      <c r="D356" s="1024"/>
      <c r="E356" s="1025"/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1024"/>
      <c r="AR356" s="357"/>
      <c r="AS356" s="163"/>
      <c r="AT356" s="163"/>
      <c r="AU356" s="163"/>
      <c r="AV356" s="321"/>
    </row>
    <row r="357" spans="1:48" ht="12.75" x14ac:dyDescent="0.2">
      <c r="A357" s="243"/>
      <c r="B357" s="243"/>
      <c r="C357" s="1024"/>
      <c r="D357" s="1024"/>
      <c r="E357" s="1025"/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1024"/>
      <c r="AR357" s="357"/>
      <c r="AS357" s="163"/>
      <c r="AT357" s="163"/>
      <c r="AU357" s="163"/>
      <c r="AV357" s="321"/>
    </row>
    <row r="358" spans="1:48" ht="12.75" x14ac:dyDescent="0.2">
      <c r="A358" s="243"/>
      <c r="B358" s="243"/>
      <c r="C358" s="1024"/>
      <c r="D358" s="1024"/>
      <c r="E358" s="1025"/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3"/>
      <c r="AI358" s="243"/>
      <c r="AJ358" s="243"/>
      <c r="AK358" s="243"/>
      <c r="AL358" s="243"/>
      <c r="AM358" s="243"/>
      <c r="AN358" s="243"/>
      <c r="AO358" s="243"/>
      <c r="AP358" s="243"/>
      <c r="AQ358" s="1024"/>
      <c r="AR358" s="357"/>
      <c r="AS358" s="163"/>
      <c r="AT358" s="163"/>
      <c r="AU358" s="163"/>
      <c r="AV358" s="321"/>
    </row>
    <row r="359" spans="1:48" ht="12.75" x14ac:dyDescent="0.2">
      <c r="A359" s="243"/>
      <c r="B359" s="243"/>
      <c r="C359" s="1024"/>
      <c r="D359" s="1024"/>
      <c r="E359" s="1025"/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  <c r="AH359" s="243"/>
      <c r="AI359" s="243"/>
      <c r="AJ359" s="243"/>
      <c r="AK359" s="243"/>
      <c r="AL359" s="243"/>
      <c r="AM359" s="243"/>
      <c r="AN359" s="243"/>
      <c r="AO359" s="243"/>
      <c r="AP359" s="243"/>
      <c r="AQ359" s="1024"/>
      <c r="AR359" s="357"/>
      <c r="AS359" s="163"/>
      <c r="AT359" s="163"/>
      <c r="AU359" s="163"/>
      <c r="AV359" s="321"/>
    </row>
    <row r="360" spans="1:48" ht="12.75" x14ac:dyDescent="0.2">
      <c r="A360" s="243"/>
      <c r="B360" s="243"/>
      <c r="C360" s="1024"/>
      <c r="D360" s="1024"/>
      <c r="E360" s="1025"/>
      <c r="F360" s="243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  <c r="AH360" s="243"/>
      <c r="AI360" s="243"/>
      <c r="AJ360" s="243"/>
      <c r="AK360" s="243"/>
      <c r="AL360" s="243"/>
      <c r="AM360" s="243"/>
      <c r="AN360" s="243"/>
      <c r="AO360" s="243"/>
      <c r="AP360" s="243"/>
      <c r="AQ360" s="1024"/>
      <c r="AR360" s="357"/>
      <c r="AS360" s="163"/>
      <c r="AT360" s="163"/>
      <c r="AU360" s="163"/>
      <c r="AV360" s="321"/>
    </row>
    <row r="361" spans="1:48" ht="12.75" x14ac:dyDescent="0.2">
      <c r="A361" s="243"/>
      <c r="B361" s="243"/>
      <c r="C361" s="1024"/>
      <c r="D361" s="1024"/>
      <c r="E361" s="1025"/>
      <c r="F361" s="243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  <c r="AH361" s="243"/>
      <c r="AI361" s="243"/>
      <c r="AJ361" s="243"/>
      <c r="AK361" s="243"/>
      <c r="AL361" s="243"/>
      <c r="AM361" s="243"/>
      <c r="AN361" s="243"/>
      <c r="AO361" s="243"/>
      <c r="AP361" s="243"/>
      <c r="AQ361" s="1024"/>
      <c r="AR361" s="357"/>
      <c r="AS361" s="163"/>
      <c r="AT361" s="163"/>
      <c r="AU361" s="163"/>
      <c r="AV361" s="321"/>
    </row>
    <row r="362" spans="1:48" ht="12.75" x14ac:dyDescent="0.2">
      <c r="A362" s="243"/>
      <c r="B362" s="243"/>
      <c r="C362" s="1024"/>
      <c r="D362" s="1024"/>
      <c r="E362" s="1025"/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  <c r="AH362" s="243"/>
      <c r="AI362" s="243"/>
      <c r="AJ362" s="243"/>
      <c r="AK362" s="243"/>
      <c r="AL362" s="243"/>
      <c r="AM362" s="243"/>
      <c r="AN362" s="243"/>
      <c r="AO362" s="243"/>
      <c r="AP362" s="243"/>
      <c r="AQ362" s="1024"/>
      <c r="AR362" s="357"/>
      <c r="AS362" s="163"/>
      <c r="AT362" s="163"/>
      <c r="AU362" s="163"/>
      <c r="AV362" s="321"/>
    </row>
    <row r="363" spans="1:48" ht="12.75" x14ac:dyDescent="0.2">
      <c r="A363" s="243"/>
      <c r="B363" s="243"/>
      <c r="C363" s="1024"/>
      <c r="D363" s="1024"/>
      <c r="E363" s="1025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  <c r="AH363" s="243"/>
      <c r="AI363" s="243"/>
      <c r="AJ363" s="243"/>
      <c r="AK363" s="243"/>
      <c r="AL363" s="243"/>
      <c r="AM363" s="243"/>
      <c r="AN363" s="243"/>
      <c r="AO363" s="243"/>
      <c r="AP363" s="243"/>
      <c r="AQ363" s="1024"/>
      <c r="AR363" s="357"/>
      <c r="AS363" s="163"/>
      <c r="AT363" s="163"/>
      <c r="AU363" s="163"/>
      <c r="AV363" s="321"/>
    </row>
    <row r="364" spans="1:48" ht="12.75" x14ac:dyDescent="0.2">
      <c r="A364" s="243"/>
      <c r="B364" s="243"/>
      <c r="C364" s="1024"/>
      <c r="D364" s="1024"/>
      <c r="E364" s="1025"/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  <c r="AH364" s="243"/>
      <c r="AI364" s="243"/>
      <c r="AJ364" s="243"/>
      <c r="AK364" s="243"/>
      <c r="AL364" s="243"/>
      <c r="AM364" s="243"/>
      <c r="AN364" s="243"/>
      <c r="AO364" s="243"/>
      <c r="AP364" s="243"/>
      <c r="AQ364" s="1024"/>
      <c r="AR364" s="357"/>
      <c r="AS364" s="163"/>
      <c r="AT364" s="163"/>
      <c r="AU364" s="163"/>
      <c r="AV364" s="321"/>
    </row>
    <row r="365" spans="1:48" ht="12.75" x14ac:dyDescent="0.2">
      <c r="A365" s="243"/>
      <c r="B365" s="243"/>
      <c r="C365" s="1024"/>
      <c r="D365" s="1024"/>
      <c r="E365" s="1025"/>
      <c r="F365" s="243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3"/>
      <c r="Z365" s="243"/>
      <c r="AA365" s="243"/>
      <c r="AB365" s="243"/>
      <c r="AC365" s="243"/>
      <c r="AD365" s="243"/>
      <c r="AE365" s="243"/>
      <c r="AF365" s="243"/>
      <c r="AG365" s="243"/>
      <c r="AH365" s="243"/>
      <c r="AI365" s="243"/>
      <c r="AJ365" s="243"/>
      <c r="AK365" s="243"/>
      <c r="AL365" s="243"/>
      <c r="AM365" s="243"/>
      <c r="AN365" s="243"/>
      <c r="AO365" s="243"/>
      <c r="AP365" s="243"/>
      <c r="AQ365" s="1024"/>
      <c r="AR365" s="357"/>
      <c r="AS365" s="163"/>
      <c r="AT365" s="163"/>
      <c r="AU365" s="163"/>
      <c r="AV365" s="321"/>
    </row>
    <row r="366" spans="1:48" ht="12.75" x14ac:dyDescent="0.2">
      <c r="A366" s="243"/>
      <c r="B366" s="243"/>
      <c r="C366" s="1024"/>
      <c r="D366" s="1024"/>
      <c r="E366" s="1025"/>
      <c r="F366" s="243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3"/>
      <c r="AG366" s="243"/>
      <c r="AH366" s="243"/>
      <c r="AI366" s="243"/>
      <c r="AJ366" s="243"/>
      <c r="AK366" s="243"/>
      <c r="AL366" s="243"/>
      <c r="AM366" s="243"/>
      <c r="AN366" s="243"/>
      <c r="AO366" s="243"/>
      <c r="AP366" s="243"/>
      <c r="AQ366" s="1024"/>
      <c r="AR366" s="357"/>
      <c r="AS366" s="163"/>
      <c r="AT366" s="163"/>
      <c r="AU366" s="163"/>
      <c r="AV366" s="321"/>
    </row>
    <row r="367" spans="1:48" ht="12.75" x14ac:dyDescent="0.2">
      <c r="A367" s="243"/>
      <c r="B367" s="243"/>
      <c r="C367" s="1024"/>
      <c r="D367" s="1024"/>
      <c r="E367" s="1025"/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3"/>
      <c r="AG367" s="243"/>
      <c r="AH367" s="243"/>
      <c r="AI367" s="243"/>
      <c r="AJ367" s="243"/>
      <c r="AK367" s="243"/>
      <c r="AL367" s="243"/>
      <c r="AM367" s="243"/>
      <c r="AN367" s="243"/>
      <c r="AO367" s="243"/>
      <c r="AP367" s="243"/>
      <c r="AQ367" s="1024"/>
      <c r="AR367" s="357"/>
      <c r="AS367" s="163"/>
      <c r="AT367" s="163"/>
      <c r="AU367" s="163"/>
      <c r="AV367" s="321"/>
    </row>
    <row r="368" spans="1:48" ht="12.75" x14ac:dyDescent="0.2">
      <c r="A368" s="243"/>
      <c r="B368" s="243"/>
      <c r="C368" s="1024"/>
      <c r="D368" s="1024"/>
      <c r="E368" s="1025"/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  <c r="AA368" s="243"/>
      <c r="AB368" s="243"/>
      <c r="AC368" s="243"/>
      <c r="AD368" s="243"/>
      <c r="AE368" s="243"/>
      <c r="AF368" s="243"/>
      <c r="AG368" s="243"/>
      <c r="AH368" s="243"/>
      <c r="AI368" s="243"/>
      <c r="AJ368" s="243"/>
      <c r="AK368" s="243"/>
      <c r="AL368" s="243"/>
      <c r="AM368" s="243"/>
      <c r="AN368" s="243"/>
      <c r="AO368" s="243"/>
      <c r="AP368" s="243"/>
      <c r="AQ368" s="1024"/>
      <c r="AR368" s="357"/>
      <c r="AS368" s="163"/>
      <c r="AT368" s="163"/>
      <c r="AU368" s="163"/>
      <c r="AV368" s="321"/>
    </row>
    <row r="369" spans="1:48" ht="12.75" x14ac:dyDescent="0.2">
      <c r="A369" s="243"/>
      <c r="B369" s="243"/>
      <c r="C369" s="1024"/>
      <c r="D369" s="1024"/>
      <c r="E369" s="1025"/>
      <c r="F369" s="243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  <c r="AA369" s="243"/>
      <c r="AB369" s="243"/>
      <c r="AC369" s="243"/>
      <c r="AD369" s="243"/>
      <c r="AE369" s="243"/>
      <c r="AF369" s="243"/>
      <c r="AG369" s="243"/>
      <c r="AH369" s="243"/>
      <c r="AI369" s="243"/>
      <c r="AJ369" s="243"/>
      <c r="AK369" s="243"/>
      <c r="AL369" s="243"/>
      <c r="AM369" s="243"/>
      <c r="AN369" s="243"/>
      <c r="AO369" s="243"/>
      <c r="AP369" s="243"/>
      <c r="AQ369" s="1024"/>
      <c r="AR369" s="357"/>
      <c r="AS369" s="163"/>
      <c r="AT369" s="163"/>
      <c r="AU369" s="163"/>
      <c r="AV369" s="321"/>
    </row>
    <row r="370" spans="1:48" ht="12.75" x14ac:dyDescent="0.2">
      <c r="A370" s="243"/>
      <c r="B370" s="243"/>
      <c r="C370" s="1024"/>
      <c r="D370" s="1024"/>
      <c r="E370" s="1025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  <c r="AA370" s="243"/>
      <c r="AB370" s="243"/>
      <c r="AC370" s="243"/>
      <c r="AD370" s="243"/>
      <c r="AE370" s="243"/>
      <c r="AF370" s="243"/>
      <c r="AG370" s="243"/>
      <c r="AH370" s="243"/>
      <c r="AI370" s="243"/>
      <c r="AJ370" s="243"/>
      <c r="AK370" s="243"/>
      <c r="AL370" s="243"/>
      <c r="AM370" s="243"/>
      <c r="AN370" s="243"/>
      <c r="AO370" s="243"/>
      <c r="AP370" s="243"/>
      <c r="AQ370" s="1024"/>
      <c r="AR370" s="357"/>
      <c r="AS370" s="163"/>
      <c r="AT370" s="163"/>
      <c r="AU370" s="163"/>
      <c r="AV370" s="321"/>
    </row>
    <row r="371" spans="1:48" ht="12.75" x14ac:dyDescent="0.2">
      <c r="A371" s="243"/>
      <c r="B371" s="243"/>
      <c r="C371" s="1024"/>
      <c r="D371" s="1024"/>
      <c r="E371" s="1025"/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  <c r="AA371" s="243"/>
      <c r="AB371" s="243"/>
      <c r="AC371" s="243"/>
      <c r="AD371" s="243"/>
      <c r="AE371" s="243"/>
      <c r="AF371" s="243"/>
      <c r="AG371" s="243"/>
      <c r="AH371" s="243"/>
      <c r="AI371" s="243"/>
      <c r="AJ371" s="243"/>
      <c r="AK371" s="243"/>
      <c r="AL371" s="243"/>
      <c r="AM371" s="243"/>
      <c r="AN371" s="243"/>
      <c r="AO371" s="243"/>
      <c r="AP371" s="243"/>
      <c r="AQ371" s="1024"/>
      <c r="AR371" s="357"/>
      <c r="AS371" s="163"/>
      <c r="AT371" s="163"/>
      <c r="AU371" s="163"/>
      <c r="AV371" s="321"/>
    </row>
    <row r="372" spans="1:48" ht="12.75" x14ac:dyDescent="0.2">
      <c r="A372" s="243"/>
      <c r="B372" s="243"/>
      <c r="C372" s="1024"/>
      <c r="D372" s="1024"/>
      <c r="E372" s="1025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  <c r="AA372" s="243"/>
      <c r="AB372" s="243"/>
      <c r="AC372" s="243"/>
      <c r="AD372" s="243"/>
      <c r="AE372" s="243"/>
      <c r="AF372" s="243"/>
      <c r="AG372" s="243"/>
      <c r="AH372" s="243"/>
      <c r="AI372" s="243"/>
      <c r="AJ372" s="243"/>
      <c r="AK372" s="243"/>
      <c r="AL372" s="243"/>
      <c r="AM372" s="243"/>
      <c r="AN372" s="243"/>
      <c r="AO372" s="243"/>
      <c r="AP372" s="243"/>
      <c r="AQ372" s="1024"/>
      <c r="AR372" s="357"/>
      <c r="AS372" s="163"/>
      <c r="AT372" s="163"/>
      <c r="AU372" s="163"/>
      <c r="AV372" s="321"/>
    </row>
    <row r="373" spans="1:48" ht="12.75" x14ac:dyDescent="0.2">
      <c r="A373" s="243"/>
      <c r="B373" s="243"/>
      <c r="C373" s="1024"/>
      <c r="D373" s="1024"/>
      <c r="E373" s="1025"/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  <c r="AA373" s="243"/>
      <c r="AB373" s="243"/>
      <c r="AC373" s="243"/>
      <c r="AD373" s="243"/>
      <c r="AE373" s="243"/>
      <c r="AF373" s="243"/>
      <c r="AG373" s="243"/>
      <c r="AH373" s="243"/>
      <c r="AI373" s="243"/>
      <c r="AJ373" s="243"/>
      <c r="AK373" s="243"/>
      <c r="AL373" s="243"/>
      <c r="AM373" s="243"/>
      <c r="AN373" s="243"/>
      <c r="AO373" s="243"/>
      <c r="AP373" s="243"/>
      <c r="AQ373" s="1024"/>
      <c r="AR373" s="357"/>
      <c r="AS373" s="163"/>
      <c r="AT373" s="163"/>
      <c r="AU373" s="163"/>
      <c r="AV373" s="321"/>
    </row>
    <row r="374" spans="1:48" ht="12.75" x14ac:dyDescent="0.2">
      <c r="A374" s="243"/>
      <c r="B374" s="243"/>
      <c r="C374" s="1024"/>
      <c r="D374" s="1024"/>
      <c r="E374" s="1025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  <c r="AA374" s="243"/>
      <c r="AB374" s="243"/>
      <c r="AC374" s="243"/>
      <c r="AD374" s="243"/>
      <c r="AE374" s="243"/>
      <c r="AF374" s="243"/>
      <c r="AG374" s="243"/>
      <c r="AH374" s="243"/>
      <c r="AI374" s="243"/>
      <c r="AJ374" s="243"/>
      <c r="AK374" s="243"/>
      <c r="AL374" s="243"/>
      <c r="AM374" s="243"/>
      <c r="AN374" s="243"/>
      <c r="AO374" s="243"/>
      <c r="AP374" s="243"/>
      <c r="AQ374" s="1024"/>
      <c r="AR374" s="357"/>
      <c r="AS374" s="163"/>
      <c r="AT374" s="163"/>
      <c r="AU374" s="163"/>
      <c r="AV374" s="321"/>
    </row>
    <row r="375" spans="1:48" ht="12.75" x14ac:dyDescent="0.2">
      <c r="A375" s="243"/>
      <c r="B375" s="243"/>
      <c r="C375" s="1024"/>
      <c r="D375" s="1024"/>
      <c r="E375" s="1025"/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  <c r="AH375" s="243"/>
      <c r="AI375" s="243"/>
      <c r="AJ375" s="243"/>
      <c r="AK375" s="243"/>
      <c r="AL375" s="243"/>
      <c r="AM375" s="243"/>
      <c r="AN375" s="243"/>
      <c r="AO375" s="243"/>
      <c r="AP375" s="243"/>
      <c r="AQ375" s="1024"/>
      <c r="AR375" s="357"/>
      <c r="AS375" s="163"/>
      <c r="AT375" s="163"/>
      <c r="AU375" s="163"/>
      <c r="AV375" s="321"/>
    </row>
    <row r="376" spans="1:48" ht="12.75" x14ac:dyDescent="0.2">
      <c r="A376" s="243"/>
      <c r="B376" s="243"/>
      <c r="C376" s="1024"/>
      <c r="D376" s="1024"/>
      <c r="E376" s="1025"/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  <c r="AA376" s="243"/>
      <c r="AB376" s="243"/>
      <c r="AC376" s="243"/>
      <c r="AD376" s="243"/>
      <c r="AE376" s="243"/>
      <c r="AF376" s="243"/>
      <c r="AG376" s="243"/>
      <c r="AH376" s="243"/>
      <c r="AI376" s="243"/>
      <c r="AJ376" s="243"/>
      <c r="AK376" s="243"/>
      <c r="AL376" s="243"/>
      <c r="AM376" s="243"/>
      <c r="AN376" s="243"/>
      <c r="AO376" s="243"/>
      <c r="AP376" s="243"/>
      <c r="AQ376" s="1024"/>
      <c r="AR376" s="357"/>
      <c r="AS376" s="163"/>
      <c r="AT376" s="163"/>
      <c r="AU376" s="163"/>
      <c r="AV376" s="321"/>
    </row>
    <row r="377" spans="1:48" ht="12.75" x14ac:dyDescent="0.2">
      <c r="A377" s="243"/>
      <c r="B377" s="243"/>
      <c r="C377" s="1024"/>
      <c r="D377" s="1024"/>
      <c r="E377" s="1025"/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  <c r="AA377" s="243"/>
      <c r="AB377" s="243"/>
      <c r="AC377" s="243"/>
      <c r="AD377" s="243"/>
      <c r="AE377" s="243"/>
      <c r="AF377" s="243"/>
      <c r="AG377" s="243"/>
      <c r="AH377" s="243"/>
      <c r="AI377" s="243"/>
      <c r="AJ377" s="243"/>
      <c r="AK377" s="243"/>
      <c r="AL377" s="243"/>
      <c r="AM377" s="243"/>
      <c r="AN377" s="243"/>
      <c r="AO377" s="243"/>
      <c r="AP377" s="243"/>
      <c r="AQ377" s="1024"/>
      <c r="AR377" s="357"/>
      <c r="AS377" s="163"/>
      <c r="AT377" s="163"/>
      <c r="AU377" s="163"/>
      <c r="AV377" s="321"/>
    </row>
    <row r="378" spans="1:48" ht="12.75" x14ac:dyDescent="0.2">
      <c r="A378" s="243"/>
      <c r="B378" s="243"/>
      <c r="C378" s="1024"/>
      <c r="D378" s="1024"/>
      <c r="E378" s="1025"/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  <c r="AA378" s="243"/>
      <c r="AB378" s="243"/>
      <c r="AC378" s="243"/>
      <c r="AD378" s="243"/>
      <c r="AE378" s="243"/>
      <c r="AF378" s="243"/>
      <c r="AG378" s="243"/>
      <c r="AH378" s="243"/>
      <c r="AI378" s="243"/>
      <c r="AJ378" s="243"/>
      <c r="AK378" s="243"/>
      <c r="AL378" s="243"/>
      <c r="AM378" s="243"/>
      <c r="AN378" s="243"/>
      <c r="AO378" s="243"/>
      <c r="AP378" s="243"/>
      <c r="AQ378" s="1024"/>
      <c r="AR378" s="357"/>
      <c r="AS378" s="163"/>
      <c r="AT378" s="163"/>
      <c r="AU378" s="163"/>
      <c r="AV378" s="321"/>
    </row>
    <row r="379" spans="1:48" ht="12.75" x14ac:dyDescent="0.2">
      <c r="A379" s="243"/>
      <c r="B379" s="243"/>
      <c r="C379" s="1024"/>
      <c r="D379" s="1024"/>
      <c r="E379" s="1025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  <c r="AH379" s="243"/>
      <c r="AI379" s="243"/>
      <c r="AJ379" s="243"/>
      <c r="AK379" s="243"/>
      <c r="AL379" s="243"/>
      <c r="AM379" s="243"/>
      <c r="AN379" s="243"/>
      <c r="AO379" s="243"/>
      <c r="AP379" s="243"/>
      <c r="AQ379" s="1024"/>
      <c r="AR379" s="357"/>
      <c r="AS379" s="163"/>
      <c r="AT379" s="163"/>
      <c r="AU379" s="163"/>
      <c r="AV379" s="321"/>
    </row>
    <row r="380" spans="1:48" ht="12.75" x14ac:dyDescent="0.2">
      <c r="A380" s="243"/>
      <c r="B380" s="243"/>
      <c r="C380" s="1024"/>
      <c r="D380" s="1024"/>
      <c r="E380" s="1025"/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  <c r="AH380" s="243"/>
      <c r="AI380" s="243"/>
      <c r="AJ380" s="243"/>
      <c r="AK380" s="243"/>
      <c r="AL380" s="243"/>
      <c r="AM380" s="243"/>
      <c r="AN380" s="243"/>
      <c r="AO380" s="243"/>
      <c r="AP380" s="243"/>
      <c r="AQ380" s="1024"/>
      <c r="AR380" s="357"/>
      <c r="AS380" s="163"/>
      <c r="AT380" s="163"/>
      <c r="AU380" s="163"/>
      <c r="AV380" s="321"/>
    </row>
    <row r="381" spans="1:48" ht="12.75" x14ac:dyDescent="0.2">
      <c r="A381" s="243"/>
      <c r="B381" s="243"/>
      <c r="C381" s="1024"/>
      <c r="D381" s="1024"/>
      <c r="E381" s="1025"/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  <c r="AA381" s="243"/>
      <c r="AB381" s="243"/>
      <c r="AC381" s="243"/>
      <c r="AD381" s="243"/>
      <c r="AE381" s="243"/>
      <c r="AF381" s="243"/>
      <c r="AG381" s="243"/>
      <c r="AH381" s="243"/>
      <c r="AI381" s="243"/>
      <c r="AJ381" s="243"/>
      <c r="AK381" s="243"/>
      <c r="AL381" s="243"/>
      <c r="AM381" s="243"/>
      <c r="AN381" s="243"/>
      <c r="AO381" s="243"/>
      <c r="AP381" s="243"/>
      <c r="AQ381" s="1024"/>
      <c r="AR381" s="357"/>
      <c r="AS381" s="163"/>
      <c r="AT381" s="163"/>
      <c r="AU381" s="163"/>
      <c r="AV381" s="321"/>
    </row>
    <row r="382" spans="1:48" ht="12.75" x14ac:dyDescent="0.2">
      <c r="A382" s="243"/>
      <c r="B382" s="243"/>
      <c r="C382" s="1024"/>
      <c r="D382" s="1024"/>
      <c r="E382" s="1025"/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  <c r="AA382" s="243"/>
      <c r="AB382" s="243"/>
      <c r="AC382" s="243"/>
      <c r="AD382" s="243"/>
      <c r="AE382" s="243"/>
      <c r="AF382" s="243"/>
      <c r="AG382" s="243"/>
      <c r="AH382" s="243"/>
      <c r="AI382" s="243"/>
      <c r="AJ382" s="243"/>
      <c r="AK382" s="243"/>
      <c r="AL382" s="243"/>
      <c r="AM382" s="243"/>
      <c r="AN382" s="243"/>
      <c r="AO382" s="243"/>
      <c r="AP382" s="243"/>
      <c r="AQ382" s="1024"/>
      <c r="AR382" s="357"/>
      <c r="AS382" s="163"/>
      <c r="AT382" s="163"/>
      <c r="AU382" s="163"/>
      <c r="AV382" s="321"/>
    </row>
    <row r="383" spans="1:48" ht="12.75" x14ac:dyDescent="0.2">
      <c r="A383" s="243"/>
      <c r="B383" s="243"/>
      <c r="C383" s="1024"/>
      <c r="D383" s="1024"/>
      <c r="E383" s="1025"/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  <c r="AA383" s="243"/>
      <c r="AB383" s="243"/>
      <c r="AC383" s="243"/>
      <c r="AD383" s="243"/>
      <c r="AE383" s="243"/>
      <c r="AF383" s="243"/>
      <c r="AG383" s="243"/>
      <c r="AH383" s="243"/>
      <c r="AI383" s="243"/>
      <c r="AJ383" s="243"/>
      <c r="AK383" s="243"/>
      <c r="AL383" s="243"/>
      <c r="AM383" s="243"/>
      <c r="AN383" s="243"/>
      <c r="AO383" s="243"/>
      <c r="AP383" s="243"/>
      <c r="AQ383" s="1024"/>
      <c r="AR383" s="357"/>
      <c r="AS383" s="163"/>
      <c r="AT383" s="163"/>
      <c r="AU383" s="163"/>
      <c r="AV383" s="321"/>
    </row>
    <row r="384" spans="1:48" ht="12.75" x14ac:dyDescent="0.2">
      <c r="A384" s="243"/>
      <c r="B384" s="243"/>
      <c r="C384" s="1024"/>
      <c r="D384" s="1024"/>
      <c r="E384" s="1025"/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  <c r="AA384" s="243"/>
      <c r="AB384" s="243"/>
      <c r="AC384" s="243"/>
      <c r="AD384" s="243"/>
      <c r="AE384" s="243"/>
      <c r="AF384" s="243"/>
      <c r="AG384" s="243"/>
      <c r="AH384" s="243"/>
      <c r="AI384" s="243"/>
      <c r="AJ384" s="243"/>
      <c r="AK384" s="243"/>
      <c r="AL384" s="243"/>
      <c r="AM384" s="243"/>
      <c r="AN384" s="243"/>
      <c r="AO384" s="243"/>
      <c r="AP384" s="243"/>
      <c r="AQ384" s="1024"/>
      <c r="AR384" s="357"/>
      <c r="AS384" s="163"/>
      <c r="AT384" s="163"/>
      <c r="AU384" s="163"/>
      <c r="AV384" s="321"/>
    </row>
    <row r="385" spans="1:48" ht="12.75" x14ac:dyDescent="0.2">
      <c r="A385" s="243"/>
      <c r="B385" s="243"/>
      <c r="C385" s="1024"/>
      <c r="D385" s="1024"/>
      <c r="E385" s="1025"/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  <c r="AA385" s="243"/>
      <c r="AB385" s="243"/>
      <c r="AC385" s="243"/>
      <c r="AD385" s="243"/>
      <c r="AE385" s="243"/>
      <c r="AF385" s="243"/>
      <c r="AG385" s="243"/>
      <c r="AH385" s="243"/>
      <c r="AI385" s="243"/>
      <c r="AJ385" s="243"/>
      <c r="AK385" s="243"/>
      <c r="AL385" s="243"/>
      <c r="AM385" s="243"/>
      <c r="AN385" s="243"/>
      <c r="AO385" s="243"/>
      <c r="AP385" s="243"/>
      <c r="AQ385" s="1024"/>
      <c r="AR385" s="357"/>
      <c r="AS385" s="163"/>
      <c r="AT385" s="163"/>
      <c r="AU385" s="163"/>
      <c r="AV385" s="321"/>
    </row>
    <row r="386" spans="1:48" ht="12.75" x14ac:dyDescent="0.2">
      <c r="A386" s="243"/>
      <c r="B386" s="243"/>
      <c r="C386" s="1024"/>
      <c r="D386" s="1024"/>
      <c r="E386" s="1025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  <c r="AA386" s="243"/>
      <c r="AB386" s="243"/>
      <c r="AC386" s="243"/>
      <c r="AD386" s="243"/>
      <c r="AE386" s="243"/>
      <c r="AF386" s="243"/>
      <c r="AG386" s="243"/>
      <c r="AH386" s="243"/>
      <c r="AI386" s="243"/>
      <c r="AJ386" s="243"/>
      <c r="AK386" s="243"/>
      <c r="AL386" s="243"/>
      <c r="AM386" s="243"/>
      <c r="AN386" s="243"/>
      <c r="AO386" s="243"/>
      <c r="AP386" s="243"/>
      <c r="AQ386" s="1024"/>
      <c r="AR386" s="357"/>
      <c r="AS386" s="163"/>
      <c r="AT386" s="163"/>
      <c r="AU386" s="163"/>
      <c r="AV386" s="321"/>
    </row>
    <row r="387" spans="1:48" ht="12.75" x14ac:dyDescent="0.2">
      <c r="A387" s="243"/>
      <c r="B387" s="243"/>
      <c r="C387" s="1024"/>
      <c r="D387" s="1024"/>
      <c r="E387" s="1025"/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  <c r="AA387" s="243"/>
      <c r="AB387" s="243"/>
      <c r="AC387" s="243"/>
      <c r="AD387" s="243"/>
      <c r="AE387" s="243"/>
      <c r="AF387" s="243"/>
      <c r="AG387" s="243"/>
      <c r="AH387" s="243"/>
      <c r="AI387" s="243"/>
      <c r="AJ387" s="243"/>
      <c r="AK387" s="243"/>
      <c r="AL387" s="243"/>
      <c r="AM387" s="243"/>
      <c r="AN387" s="243"/>
      <c r="AO387" s="243"/>
      <c r="AP387" s="243"/>
      <c r="AQ387" s="1024"/>
      <c r="AR387" s="357"/>
      <c r="AS387" s="163"/>
      <c r="AT387" s="163"/>
      <c r="AU387" s="163"/>
      <c r="AV387" s="321"/>
    </row>
    <row r="388" spans="1:48" ht="12.75" x14ac:dyDescent="0.2">
      <c r="A388" s="243"/>
      <c r="B388" s="243"/>
      <c r="C388" s="1024"/>
      <c r="D388" s="1024"/>
      <c r="E388" s="1025"/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  <c r="AA388" s="243"/>
      <c r="AB388" s="243"/>
      <c r="AC388" s="243"/>
      <c r="AD388" s="243"/>
      <c r="AE388" s="243"/>
      <c r="AF388" s="243"/>
      <c r="AG388" s="243"/>
      <c r="AH388" s="243"/>
      <c r="AI388" s="243"/>
      <c r="AJ388" s="243"/>
      <c r="AK388" s="243"/>
      <c r="AL388" s="243"/>
      <c r="AM388" s="243"/>
      <c r="AN388" s="243"/>
      <c r="AO388" s="243"/>
      <c r="AP388" s="243"/>
      <c r="AQ388" s="1024"/>
      <c r="AR388" s="357"/>
      <c r="AS388" s="163"/>
      <c r="AT388" s="163"/>
      <c r="AU388" s="163"/>
      <c r="AV388" s="321"/>
    </row>
    <row r="389" spans="1:48" ht="12.75" x14ac:dyDescent="0.2">
      <c r="A389" s="243"/>
      <c r="B389" s="243"/>
      <c r="C389" s="1024"/>
      <c r="D389" s="1024"/>
      <c r="E389" s="1025"/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  <c r="AA389" s="243"/>
      <c r="AB389" s="243"/>
      <c r="AC389" s="243"/>
      <c r="AD389" s="243"/>
      <c r="AE389" s="243"/>
      <c r="AF389" s="243"/>
      <c r="AG389" s="243"/>
      <c r="AH389" s="243"/>
      <c r="AI389" s="243"/>
      <c r="AJ389" s="243"/>
      <c r="AK389" s="243"/>
      <c r="AL389" s="243"/>
      <c r="AM389" s="243"/>
      <c r="AN389" s="243"/>
      <c r="AO389" s="243"/>
      <c r="AP389" s="243"/>
      <c r="AQ389" s="1024"/>
      <c r="AR389" s="357"/>
      <c r="AS389" s="163"/>
      <c r="AT389" s="163"/>
      <c r="AU389" s="163"/>
      <c r="AV389" s="321"/>
    </row>
    <row r="390" spans="1:48" ht="12.75" x14ac:dyDescent="0.2">
      <c r="A390" s="243"/>
      <c r="B390" s="243"/>
      <c r="C390" s="1024"/>
      <c r="D390" s="1024"/>
      <c r="E390" s="1025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  <c r="AH390" s="243"/>
      <c r="AI390" s="243"/>
      <c r="AJ390" s="243"/>
      <c r="AK390" s="243"/>
      <c r="AL390" s="243"/>
      <c r="AM390" s="243"/>
      <c r="AN390" s="243"/>
      <c r="AO390" s="243"/>
      <c r="AP390" s="243"/>
      <c r="AQ390" s="1024"/>
      <c r="AR390" s="357"/>
      <c r="AS390" s="163"/>
      <c r="AT390" s="163"/>
      <c r="AU390" s="163"/>
      <c r="AV390" s="321"/>
    </row>
    <row r="391" spans="1:48" ht="12.75" x14ac:dyDescent="0.2">
      <c r="A391" s="243"/>
      <c r="B391" s="243"/>
      <c r="C391" s="1024"/>
      <c r="D391" s="1024"/>
      <c r="E391" s="1025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  <c r="AH391" s="243"/>
      <c r="AI391" s="243"/>
      <c r="AJ391" s="243"/>
      <c r="AK391" s="243"/>
      <c r="AL391" s="243"/>
      <c r="AM391" s="243"/>
      <c r="AN391" s="243"/>
      <c r="AO391" s="243"/>
      <c r="AP391" s="243"/>
      <c r="AQ391" s="1024"/>
      <c r="AR391" s="357"/>
      <c r="AS391" s="163"/>
      <c r="AT391" s="163"/>
      <c r="AU391" s="163"/>
      <c r="AV391" s="321"/>
    </row>
    <row r="392" spans="1:48" ht="12.75" x14ac:dyDescent="0.2">
      <c r="A392" s="243"/>
      <c r="B392" s="243"/>
      <c r="C392" s="1024"/>
      <c r="D392" s="1024"/>
      <c r="E392" s="1025"/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  <c r="AA392" s="243"/>
      <c r="AB392" s="243"/>
      <c r="AC392" s="243"/>
      <c r="AD392" s="243"/>
      <c r="AE392" s="243"/>
      <c r="AF392" s="243"/>
      <c r="AG392" s="243"/>
      <c r="AH392" s="243"/>
      <c r="AI392" s="243"/>
      <c r="AJ392" s="243"/>
      <c r="AK392" s="243"/>
      <c r="AL392" s="243"/>
      <c r="AM392" s="243"/>
      <c r="AN392" s="243"/>
      <c r="AO392" s="243"/>
      <c r="AP392" s="243"/>
      <c r="AQ392" s="1024"/>
      <c r="AR392" s="357"/>
      <c r="AS392" s="163"/>
      <c r="AT392" s="163"/>
      <c r="AU392" s="163"/>
      <c r="AV392" s="321"/>
    </row>
    <row r="393" spans="1:48" ht="12.75" x14ac:dyDescent="0.2">
      <c r="A393" s="243"/>
      <c r="B393" s="243"/>
      <c r="C393" s="1024"/>
      <c r="D393" s="1024"/>
      <c r="E393" s="1025"/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  <c r="AA393" s="243"/>
      <c r="AB393" s="243"/>
      <c r="AC393" s="243"/>
      <c r="AD393" s="243"/>
      <c r="AE393" s="243"/>
      <c r="AF393" s="243"/>
      <c r="AG393" s="243"/>
      <c r="AH393" s="243"/>
      <c r="AI393" s="243"/>
      <c r="AJ393" s="243"/>
      <c r="AK393" s="243"/>
      <c r="AL393" s="243"/>
      <c r="AM393" s="243"/>
      <c r="AN393" s="243"/>
      <c r="AO393" s="243"/>
      <c r="AP393" s="243"/>
      <c r="AQ393" s="1024"/>
      <c r="AR393" s="357"/>
      <c r="AS393" s="163"/>
      <c r="AT393" s="163"/>
      <c r="AU393" s="163"/>
      <c r="AV393" s="321"/>
    </row>
    <row r="394" spans="1:48" ht="12.75" x14ac:dyDescent="0.2">
      <c r="A394" s="243"/>
      <c r="B394" s="243"/>
      <c r="C394" s="1024"/>
      <c r="D394" s="1024"/>
      <c r="E394" s="1025"/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  <c r="AA394" s="243"/>
      <c r="AB394" s="243"/>
      <c r="AC394" s="243"/>
      <c r="AD394" s="243"/>
      <c r="AE394" s="243"/>
      <c r="AF394" s="243"/>
      <c r="AG394" s="243"/>
      <c r="AH394" s="243"/>
      <c r="AI394" s="243"/>
      <c r="AJ394" s="243"/>
      <c r="AK394" s="243"/>
      <c r="AL394" s="243"/>
      <c r="AM394" s="243"/>
      <c r="AN394" s="243"/>
      <c r="AO394" s="243"/>
      <c r="AP394" s="243"/>
      <c r="AQ394" s="1024"/>
      <c r="AR394" s="357"/>
      <c r="AS394" s="163"/>
      <c r="AT394" s="163"/>
      <c r="AU394" s="163"/>
      <c r="AV394" s="321"/>
    </row>
    <row r="395" spans="1:48" ht="12.75" x14ac:dyDescent="0.2">
      <c r="A395" s="243"/>
      <c r="B395" s="243"/>
      <c r="C395" s="1024"/>
      <c r="D395" s="1024"/>
      <c r="E395" s="1025"/>
      <c r="F395" s="243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3"/>
      <c r="Z395" s="243"/>
      <c r="AA395" s="243"/>
      <c r="AB395" s="243"/>
      <c r="AC395" s="243"/>
      <c r="AD395" s="243"/>
      <c r="AE395" s="243"/>
      <c r="AF395" s="243"/>
      <c r="AG395" s="243"/>
      <c r="AH395" s="243"/>
      <c r="AI395" s="243"/>
      <c r="AJ395" s="243"/>
      <c r="AK395" s="243"/>
      <c r="AL395" s="243"/>
      <c r="AM395" s="243"/>
      <c r="AN395" s="243"/>
      <c r="AO395" s="243"/>
      <c r="AP395" s="243"/>
      <c r="AQ395" s="1024"/>
      <c r="AR395" s="357"/>
      <c r="AS395" s="163"/>
      <c r="AT395" s="163"/>
      <c r="AU395" s="163"/>
      <c r="AV395" s="321"/>
    </row>
    <row r="396" spans="1:48" ht="12.75" x14ac:dyDescent="0.2">
      <c r="A396" s="243"/>
      <c r="B396" s="243"/>
      <c r="C396" s="1024"/>
      <c r="D396" s="1024"/>
      <c r="E396" s="1025"/>
      <c r="F396" s="243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3"/>
      <c r="Z396" s="243"/>
      <c r="AA396" s="243"/>
      <c r="AB396" s="243"/>
      <c r="AC396" s="243"/>
      <c r="AD396" s="243"/>
      <c r="AE396" s="243"/>
      <c r="AF396" s="243"/>
      <c r="AG396" s="243"/>
      <c r="AH396" s="243"/>
      <c r="AI396" s="243"/>
      <c r="AJ396" s="243"/>
      <c r="AK396" s="243"/>
      <c r="AL396" s="243"/>
      <c r="AM396" s="243"/>
      <c r="AN396" s="243"/>
      <c r="AO396" s="243"/>
      <c r="AP396" s="243"/>
      <c r="AQ396" s="1024"/>
      <c r="AR396" s="357"/>
      <c r="AS396" s="163"/>
      <c r="AT396" s="163"/>
      <c r="AU396" s="163"/>
      <c r="AV396" s="321"/>
    </row>
    <row r="397" spans="1:48" ht="12.75" x14ac:dyDescent="0.2">
      <c r="A397" s="243"/>
      <c r="B397" s="243"/>
      <c r="C397" s="1024"/>
      <c r="D397" s="1024"/>
      <c r="E397" s="1025"/>
      <c r="F397" s="243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3"/>
      <c r="Z397" s="243"/>
      <c r="AA397" s="243"/>
      <c r="AB397" s="243"/>
      <c r="AC397" s="243"/>
      <c r="AD397" s="243"/>
      <c r="AE397" s="243"/>
      <c r="AF397" s="243"/>
      <c r="AG397" s="243"/>
      <c r="AH397" s="243"/>
      <c r="AI397" s="243"/>
      <c r="AJ397" s="243"/>
      <c r="AK397" s="243"/>
      <c r="AL397" s="243"/>
      <c r="AM397" s="243"/>
      <c r="AN397" s="243"/>
      <c r="AO397" s="243"/>
      <c r="AP397" s="243"/>
      <c r="AQ397" s="1024"/>
      <c r="AR397" s="357"/>
      <c r="AS397" s="163"/>
      <c r="AT397" s="163"/>
      <c r="AU397" s="163"/>
      <c r="AV397" s="321"/>
    </row>
    <row r="398" spans="1:48" ht="12.75" x14ac:dyDescent="0.2">
      <c r="A398" s="243"/>
      <c r="B398" s="243"/>
      <c r="C398" s="1024"/>
      <c r="D398" s="1024"/>
      <c r="E398" s="1025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1024"/>
      <c r="AR398" s="357"/>
      <c r="AS398" s="163"/>
      <c r="AT398" s="163"/>
      <c r="AU398" s="163"/>
      <c r="AV398" s="321"/>
    </row>
    <row r="399" spans="1:48" ht="12.75" x14ac:dyDescent="0.2">
      <c r="A399" s="243"/>
      <c r="B399" s="243"/>
      <c r="C399" s="1024"/>
      <c r="D399" s="1024"/>
      <c r="E399" s="1025"/>
      <c r="F399" s="243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3"/>
      <c r="Z399" s="243"/>
      <c r="AA399" s="243"/>
      <c r="AB399" s="243"/>
      <c r="AC399" s="243"/>
      <c r="AD399" s="243"/>
      <c r="AE399" s="243"/>
      <c r="AF399" s="243"/>
      <c r="AG399" s="243"/>
      <c r="AH399" s="243"/>
      <c r="AI399" s="243"/>
      <c r="AJ399" s="243"/>
      <c r="AK399" s="243"/>
      <c r="AL399" s="243"/>
      <c r="AM399" s="243"/>
      <c r="AN399" s="243"/>
      <c r="AO399" s="243"/>
      <c r="AP399" s="243"/>
      <c r="AQ399" s="1024"/>
      <c r="AR399" s="357"/>
      <c r="AS399" s="163"/>
      <c r="AT399" s="163"/>
      <c r="AU399" s="163"/>
      <c r="AV399" s="321"/>
    </row>
    <row r="400" spans="1:48" ht="12.75" x14ac:dyDescent="0.2">
      <c r="A400" s="243"/>
      <c r="B400" s="243"/>
      <c r="C400" s="1024"/>
      <c r="D400" s="1024"/>
      <c r="E400" s="1025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  <c r="AA400" s="243"/>
      <c r="AB400" s="243"/>
      <c r="AC400" s="243"/>
      <c r="AD400" s="243"/>
      <c r="AE400" s="243"/>
      <c r="AF400" s="243"/>
      <c r="AG400" s="243"/>
      <c r="AH400" s="243"/>
      <c r="AI400" s="243"/>
      <c r="AJ400" s="243"/>
      <c r="AK400" s="243"/>
      <c r="AL400" s="243"/>
      <c r="AM400" s="243"/>
      <c r="AN400" s="243"/>
      <c r="AO400" s="243"/>
      <c r="AP400" s="243"/>
      <c r="AQ400" s="1024"/>
      <c r="AR400" s="357"/>
      <c r="AS400" s="163"/>
      <c r="AT400" s="163"/>
      <c r="AU400" s="163"/>
      <c r="AV400" s="321"/>
    </row>
    <row r="401" spans="1:48" ht="12.75" x14ac:dyDescent="0.2">
      <c r="A401" s="243"/>
      <c r="B401" s="243"/>
      <c r="C401" s="1024"/>
      <c r="D401" s="1024"/>
      <c r="E401" s="1025"/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  <c r="AA401" s="243"/>
      <c r="AB401" s="243"/>
      <c r="AC401" s="243"/>
      <c r="AD401" s="243"/>
      <c r="AE401" s="243"/>
      <c r="AF401" s="243"/>
      <c r="AG401" s="243"/>
      <c r="AH401" s="243"/>
      <c r="AI401" s="243"/>
      <c r="AJ401" s="243"/>
      <c r="AK401" s="243"/>
      <c r="AL401" s="243"/>
      <c r="AM401" s="243"/>
      <c r="AN401" s="243"/>
      <c r="AO401" s="243"/>
      <c r="AP401" s="243"/>
      <c r="AQ401" s="1024"/>
      <c r="AR401" s="357"/>
      <c r="AS401" s="163"/>
      <c r="AT401" s="163"/>
      <c r="AU401" s="163"/>
      <c r="AV401" s="321"/>
    </row>
    <row r="402" spans="1:48" ht="12.75" x14ac:dyDescent="0.2">
      <c r="A402" s="243"/>
      <c r="B402" s="243"/>
      <c r="C402" s="1024"/>
      <c r="D402" s="1024"/>
      <c r="E402" s="1025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  <c r="AA402" s="243"/>
      <c r="AB402" s="243"/>
      <c r="AC402" s="243"/>
      <c r="AD402" s="243"/>
      <c r="AE402" s="243"/>
      <c r="AF402" s="243"/>
      <c r="AG402" s="243"/>
      <c r="AH402" s="243"/>
      <c r="AI402" s="243"/>
      <c r="AJ402" s="243"/>
      <c r="AK402" s="243"/>
      <c r="AL402" s="243"/>
      <c r="AM402" s="243"/>
      <c r="AN402" s="243"/>
      <c r="AO402" s="243"/>
      <c r="AP402" s="243"/>
      <c r="AQ402" s="1024"/>
      <c r="AR402" s="357"/>
      <c r="AS402" s="163"/>
      <c r="AT402" s="163"/>
      <c r="AU402" s="163"/>
      <c r="AV402" s="321"/>
    </row>
    <row r="403" spans="1:48" ht="12.75" x14ac:dyDescent="0.2">
      <c r="A403" s="243"/>
      <c r="B403" s="243"/>
      <c r="C403" s="1024"/>
      <c r="D403" s="1024"/>
      <c r="E403" s="1025"/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  <c r="AA403" s="243"/>
      <c r="AB403" s="243"/>
      <c r="AC403" s="243"/>
      <c r="AD403" s="243"/>
      <c r="AE403" s="243"/>
      <c r="AF403" s="243"/>
      <c r="AG403" s="243"/>
      <c r="AH403" s="243"/>
      <c r="AI403" s="243"/>
      <c r="AJ403" s="243"/>
      <c r="AK403" s="243"/>
      <c r="AL403" s="243"/>
      <c r="AM403" s="243"/>
      <c r="AN403" s="243"/>
      <c r="AO403" s="243"/>
      <c r="AP403" s="243"/>
      <c r="AQ403" s="1024"/>
      <c r="AR403" s="357"/>
      <c r="AS403" s="163"/>
      <c r="AT403" s="163"/>
      <c r="AU403" s="163"/>
      <c r="AV403" s="321"/>
    </row>
    <row r="404" spans="1:48" ht="12.75" x14ac:dyDescent="0.2">
      <c r="A404" s="243"/>
      <c r="B404" s="243"/>
      <c r="C404" s="1024"/>
      <c r="D404" s="1024"/>
      <c r="E404" s="1025"/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  <c r="AA404" s="243"/>
      <c r="AB404" s="243"/>
      <c r="AC404" s="243"/>
      <c r="AD404" s="243"/>
      <c r="AE404" s="243"/>
      <c r="AF404" s="243"/>
      <c r="AG404" s="243"/>
      <c r="AH404" s="243"/>
      <c r="AI404" s="243"/>
      <c r="AJ404" s="243"/>
      <c r="AK404" s="243"/>
      <c r="AL404" s="243"/>
      <c r="AM404" s="243"/>
      <c r="AN404" s="243"/>
      <c r="AO404" s="243"/>
      <c r="AP404" s="243"/>
      <c r="AQ404" s="1024"/>
      <c r="AR404" s="357"/>
      <c r="AS404" s="163"/>
      <c r="AT404" s="163"/>
      <c r="AU404" s="163"/>
      <c r="AV404" s="321"/>
    </row>
    <row r="405" spans="1:48" ht="12.75" x14ac:dyDescent="0.2">
      <c r="A405" s="243"/>
      <c r="B405" s="243"/>
      <c r="C405" s="1024"/>
      <c r="D405" s="1024"/>
      <c r="E405" s="1025"/>
      <c r="F405" s="243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3"/>
      <c r="Z405" s="243"/>
      <c r="AA405" s="243"/>
      <c r="AB405" s="243"/>
      <c r="AC405" s="243"/>
      <c r="AD405" s="243"/>
      <c r="AE405" s="243"/>
      <c r="AF405" s="243"/>
      <c r="AG405" s="243"/>
      <c r="AH405" s="243"/>
      <c r="AI405" s="243"/>
      <c r="AJ405" s="243"/>
      <c r="AK405" s="243"/>
      <c r="AL405" s="243"/>
      <c r="AM405" s="243"/>
      <c r="AN405" s="243"/>
      <c r="AO405" s="243"/>
      <c r="AP405" s="243"/>
      <c r="AQ405" s="1024"/>
      <c r="AR405" s="357"/>
      <c r="AS405" s="163"/>
      <c r="AT405" s="163"/>
      <c r="AU405" s="163"/>
      <c r="AV405" s="321"/>
    </row>
    <row r="406" spans="1:48" ht="12.75" x14ac:dyDescent="0.2">
      <c r="A406" s="243"/>
      <c r="B406" s="243"/>
      <c r="C406" s="1024"/>
      <c r="D406" s="1024"/>
      <c r="E406" s="1025"/>
      <c r="F406" s="243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3"/>
      <c r="Z406" s="243"/>
      <c r="AA406" s="243"/>
      <c r="AB406" s="243"/>
      <c r="AC406" s="243"/>
      <c r="AD406" s="243"/>
      <c r="AE406" s="243"/>
      <c r="AF406" s="243"/>
      <c r="AG406" s="243"/>
      <c r="AH406" s="243"/>
      <c r="AI406" s="243"/>
      <c r="AJ406" s="243"/>
      <c r="AK406" s="243"/>
      <c r="AL406" s="243"/>
      <c r="AM406" s="243"/>
      <c r="AN406" s="243"/>
      <c r="AO406" s="243"/>
      <c r="AP406" s="243"/>
      <c r="AQ406" s="1024"/>
      <c r="AR406" s="357"/>
      <c r="AS406" s="163"/>
      <c r="AT406" s="163"/>
      <c r="AU406" s="163"/>
      <c r="AV406" s="321"/>
    </row>
    <row r="407" spans="1:48" ht="12.75" x14ac:dyDescent="0.2">
      <c r="A407" s="243"/>
      <c r="B407" s="243"/>
      <c r="C407" s="1024"/>
      <c r="D407" s="1024"/>
      <c r="E407" s="1025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  <c r="AA407" s="243"/>
      <c r="AB407" s="243"/>
      <c r="AC407" s="243"/>
      <c r="AD407" s="243"/>
      <c r="AE407" s="243"/>
      <c r="AF407" s="243"/>
      <c r="AG407" s="243"/>
      <c r="AH407" s="243"/>
      <c r="AI407" s="243"/>
      <c r="AJ407" s="243"/>
      <c r="AK407" s="243"/>
      <c r="AL407" s="243"/>
      <c r="AM407" s="243"/>
      <c r="AN407" s="243"/>
      <c r="AO407" s="243"/>
      <c r="AP407" s="243"/>
      <c r="AQ407" s="1024"/>
      <c r="AR407" s="357"/>
      <c r="AS407" s="163"/>
      <c r="AT407" s="163"/>
      <c r="AU407" s="163"/>
      <c r="AV407" s="321"/>
    </row>
    <row r="408" spans="1:48" ht="12.75" x14ac:dyDescent="0.2">
      <c r="A408" s="243"/>
      <c r="B408" s="243"/>
      <c r="C408" s="1024"/>
      <c r="D408" s="1024"/>
      <c r="E408" s="1025"/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  <c r="AA408" s="243"/>
      <c r="AB408" s="243"/>
      <c r="AC408" s="243"/>
      <c r="AD408" s="243"/>
      <c r="AE408" s="243"/>
      <c r="AF408" s="243"/>
      <c r="AG408" s="243"/>
      <c r="AH408" s="243"/>
      <c r="AI408" s="243"/>
      <c r="AJ408" s="243"/>
      <c r="AK408" s="243"/>
      <c r="AL408" s="243"/>
      <c r="AM408" s="243"/>
      <c r="AN408" s="243"/>
      <c r="AO408" s="243"/>
      <c r="AP408" s="243"/>
      <c r="AQ408" s="1024"/>
      <c r="AR408" s="357"/>
      <c r="AS408" s="163"/>
      <c r="AT408" s="163"/>
      <c r="AU408" s="163"/>
      <c r="AV408" s="321"/>
    </row>
    <row r="409" spans="1:48" ht="12.75" x14ac:dyDescent="0.2">
      <c r="A409" s="243"/>
      <c r="B409" s="243"/>
      <c r="C409" s="1024"/>
      <c r="D409" s="1024"/>
      <c r="E409" s="1025"/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  <c r="AA409" s="243"/>
      <c r="AB409" s="243"/>
      <c r="AC409" s="243"/>
      <c r="AD409" s="243"/>
      <c r="AE409" s="243"/>
      <c r="AF409" s="243"/>
      <c r="AG409" s="243"/>
      <c r="AH409" s="243"/>
      <c r="AI409" s="243"/>
      <c r="AJ409" s="243"/>
      <c r="AK409" s="243"/>
      <c r="AL409" s="243"/>
      <c r="AM409" s="243"/>
      <c r="AN409" s="243"/>
      <c r="AO409" s="243"/>
      <c r="AP409" s="243"/>
      <c r="AQ409" s="1024"/>
      <c r="AR409" s="357"/>
      <c r="AS409" s="163"/>
      <c r="AT409" s="163"/>
      <c r="AU409" s="163"/>
      <c r="AV409" s="321"/>
    </row>
    <row r="410" spans="1:48" ht="12.75" x14ac:dyDescent="0.2">
      <c r="A410" s="243"/>
      <c r="B410" s="243"/>
      <c r="C410" s="1024"/>
      <c r="D410" s="1024"/>
      <c r="E410" s="1025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  <c r="AA410" s="243"/>
      <c r="AB410" s="243"/>
      <c r="AC410" s="243"/>
      <c r="AD410" s="243"/>
      <c r="AE410" s="243"/>
      <c r="AF410" s="243"/>
      <c r="AG410" s="243"/>
      <c r="AH410" s="243"/>
      <c r="AI410" s="243"/>
      <c r="AJ410" s="243"/>
      <c r="AK410" s="243"/>
      <c r="AL410" s="243"/>
      <c r="AM410" s="243"/>
      <c r="AN410" s="243"/>
      <c r="AO410" s="243"/>
      <c r="AP410" s="243"/>
      <c r="AQ410" s="1024"/>
      <c r="AR410" s="357"/>
      <c r="AS410" s="163"/>
      <c r="AT410" s="163"/>
      <c r="AU410" s="163"/>
      <c r="AV410" s="321"/>
    </row>
    <row r="411" spans="1:48" ht="12.75" x14ac:dyDescent="0.2">
      <c r="A411" s="243"/>
      <c r="B411" s="243"/>
      <c r="C411" s="1024"/>
      <c r="D411" s="1024"/>
      <c r="E411" s="1025"/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  <c r="AA411" s="243"/>
      <c r="AB411" s="243"/>
      <c r="AC411" s="243"/>
      <c r="AD411" s="243"/>
      <c r="AE411" s="243"/>
      <c r="AF411" s="243"/>
      <c r="AG411" s="243"/>
      <c r="AH411" s="243"/>
      <c r="AI411" s="243"/>
      <c r="AJ411" s="243"/>
      <c r="AK411" s="243"/>
      <c r="AL411" s="243"/>
      <c r="AM411" s="243"/>
      <c r="AN411" s="243"/>
      <c r="AO411" s="243"/>
      <c r="AP411" s="243"/>
      <c r="AQ411" s="1024"/>
      <c r="AR411" s="357"/>
      <c r="AS411" s="163"/>
      <c r="AT411" s="163"/>
      <c r="AU411" s="163"/>
      <c r="AV411" s="321"/>
    </row>
    <row r="412" spans="1:48" ht="12.75" x14ac:dyDescent="0.2">
      <c r="A412" s="243"/>
      <c r="B412" s="243"/>
      <c r="C412" s="1024"/>
      <c r="D412" s="1024"/>
      <c r="E412" s="1025"/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  <c r="AA412" s="243"/>
      <c r="AB412" s="243"/>
      <c r="AC412" s="243"/>
      <c r="AD412" s="243"/>
      <c r="AE412" s="243"/>
      <c r="AF412" s="243"/>
      <c r="AG412" s="243"/>
      <c r="AH412" s="243"/>
      <c r="AI412" s="243"/>
      <c r="AJ412" s="243"/>
      <c r="AK412" s="243"/>
      <c r="AL412" s="243"/>
      <c r="AM412" s="243"/>
      <c r="AN412" s="243"/>
      <c r="AO412" s="243"/>
      <c r="AP412" s="243"/>
      <c r="AQ412" s="1024"/>
      <c r="AR412" s="357"/>
      <c r="AS412" s="163"/>
      <c r="AT412" s="163"/>
      <c r="AU412" s="163"/>
      <c r="AV412" s="321"/>
    </row>
    <row r="413" spans="1:48" ht="12.75" x14ac:dyDescent="0.2">
      <c r="A413" s="243"/>
      <c r="B413" s="243"/>
      <c r="C413" s="1024"/>
      <c r="D413" s="1024"/>
      <c r="E413" s="1025"/>
      <c r="F413" s="243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3"/>
      <c r="Z413" s="243"/>
      <c r="AA413" s="243"/>
      <c r="AB413" s="243"/>
      <c r="AC413" s="243"/>
      <c r="AD413" s="243"/>
      <c r="AE413" s="243"/>
      <c r="AF413" s="243"/>
      <c r="AG413" s="243"/>
      <c r="AH413" s="243"/>
      <c r="AI413" s="243"/>
      <c r="AJ413" s="243"/>
      <c r="AK413" s="243"/>
      <c r="AL413" s="243"/>
      <c r="AM413" s="243"/>
      <c r="AN413" s="243"/>
      <c r="AO413" s="243"/>
      <c r="AP413" s="243"/>
      <c r="AQ413" s="1024"/>
      <c r="AR413" s="357"/>
      <c r="AS413" s="163"/>
      <c r="AT413" s="163"/>
      <c r="AU413" s="163"/>
      <c r="AV413" s="321"/>
    </row>
    <row r="414" spans="1:48" ht="12.75" x14ac:dyDescent="0.2">
      <c r="A414" s="243"/>
      <c r="B414" s="243"/>
      <c r="C414" s="1024"/>
      <c r="D414" s="1024"/>
      <c r="E414" s="1025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  <c r="AA414" s="243"/>
      <c r="AB414" s="243"/>
      <c r="AC414" s="243"/>
      <c r="AD414" s="243"/>
      <c r="AE414" s="243"/>
      <c r="AF414" s="243"/>
      <c r="AG414" s="243"/>
      <c r="AH414" s="243"/>
      <c r="AI414" s="243"/>
      <c r="AJ414" s="243"/>
      <c r="AK414" s="243"/>
      <c r="AL414" s="243"/>
      <c r="AM414" s="243"/>
      <c r="AN414" s="243"/>
      <c r="AO414" s="243"/>
      <c r="AP414" s="243"/>
      <c r="AQ414" s="1024"/>
      <c r="AR414" s="357"/>
      <c r="AS414" s="163"/>
      <c r="AT414" s="163"/>
      <c r="AU414" s="163"/>
      <c r="AV414" s="321"/>
    </row>
    <row r="415" spans="1:48" ht="12.75" x14ac:dyDescent="0.2">
      <c r="A415" s="243"/>
      <c r="B415" s="243"/>
      <c r="C415" s="1024"/>
      <c r="D415" s="1024"/>
      <c r="E415" s="1025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  <c r="AH415" s="243"/>
      <c r="AI415" s="243"/>
      <c r="AJ415" s="243"/>
      <c r="AK415" s="243"/>
      <c r="AL415" s="243"/>
      <c r="AM415" s="243"/>
      <c r="AN415" s="243"/>
      <c r="AO415" s="243"/>
      <c r="AP415" s="243"/>
      <c r="AQ415" s="1024"/>
      <c r="AR415" s="357"/>
      <c r="AS415" s="163"/>
      <c r="AT415" s="163"/>
      <c r="AU415" s="163"/>
      <c r="AV415" s="321"/>
    </row>
    <row r="416" spans="1:48" ht="12.75" x14ac:dyDescent="0.2">
      <c r="A416" s="243"/>
      <c r="B416" s="243"/>
      <c r="C416" s="1024"/>
      <c r="D416" s="1024"/>
      <c r="E416" s="1025"/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  <c r="AA416" s="243"/>
      <c r="AB416" s="243"/>
      <c r="AC416" s="243"/>
      <c r="AD416" s="243"/>
      <c r="AE416" s="243"/>
      <c r="AF416" s="243"/>
      <c r="AG416" s="243"/>
      <c r="AH416" s="243"/>
      <c r="AI416" s="243"/>
      <c r="AJ416" s="243"/>
      <c r="AK416" s="243"/>
      <c r="AL416" s="243"/>
      <c r="AM416" s="243"/>
      <c r="AN416" s="243"/>
      <c r="AO416" s="243"/>
      <c r="AP416" s="243"/>
      <c r="AQ416" s="1024"/>
      <c r="AR416" s="357"/>
      <c r="AS416" s="163"/>
      <c r="AT416" s="163"/>
      <c r="AU416" s="163"/>
      <c r="AV416" s="321"/>
    </row>
    <row r="417" spans="1:48" ht="12.75" x14ac:dyDescent="0.2">
      <c r="A417" s="243"/>
      <c r="B417" s="243"/>
      <c r="C417" s="1024"/>
      <c r="D417" s="1024"/>
      <c r="E417" s="1025"/>
      <c r="F417" s="243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3"/>
      <c r="Z417" s="243"/>
      <c r="AA417" s="243"/>
      <c r="AB417" s="243"/>
      <c r="AC417" s="243"/>
      <c r="AD417" s="243"/>
      <c r="AE417" s="243"/>
      <c r="AF417" s="243"/>
      <c r="AG417" s="243"/>
      <c r="AH417" s="243"/>
      <c r="AI417" s="243"/>
      <c r="AJ417" s="243"/>
      <c r="AK417" s="243"/>
      <c r="AL417" s="243"/>
      <c r="AM417" s="243"/>
      <c r="AN417" s="243"/>
      <c r="AO417" s="243"/>
      <c r="AP417" s="243"/>
      <c r="AQ417" s="1024"/>
      <c r="AR417" s="357"/>
      <c r="AS417" s="163"/>
      <c r="AT417" s="163"/>
      <c r="AU417" s="163"/>
      <c r="AV417" s="321"/>
    </row>
    <row r="418" spans="1:48" ht="12.75" x14ac:dyDescent="0.2">
      <c r="A418" s="243"/>
      <c r="B418" s="243"/>
      <c r="C418" s="1024"/>
      <c r="D418" s="1024"/>
      <c r="E418" s="1025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  <c r="AH418" s="243"/>
      <c r="AI418" s="243"/>
      <c r="AJ418" s="243"/>
      <c r="AK418" s="243"/>
      <c r="AL418" s="243"/>
      <c r="AM418" s="243"/>
      <c r="AN418" s="243"/>
      <c r="AO418" s="243"/>
      <c r="AP418" s="243"/>
      <c r="AQ418" s="1024"/>
      <c r="AR418" s="357"/>
      <c r="AS418" s="163"/>
      <c r="AT418" s="163"/>
      <c r="AU418" s="163"/>
      <c r="AV418" s="321"/>
    </row>
    <row r="419" spans="1:48" ht="12.75" x14ac:dyDescent="0.2">
      <c r="A419" s="243"/>
      <c r="B419" s="243"/>
      <c r="C419" s="1024"/>
      <c r="D419" s="1024"/>
      <c r="E419" s="1025"/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  <c r="AH419" s="243"/>
      <c r="AI419" s="243"/>
      <c r="AJ419" s="243"/>
      <c r="AK419" s="243"/>
      <c r="AL419" s="243"/>
      <c r="AM419" s="243"/>
      <c r="AN419" s="243"/>
      <c r="AO419" s="243"/>
      <c r="AP419" s="243"/>
      <c r="AQ419" s="1024"/>
      <c r="AR419" s="357"/>
      <c r="AS419" s="163"/>
      <c r="AT419" s="163"/>
      <c r="AU419" s="163"/>
      <c r="AV419" s="321"/>
    </row>
    <row r="420" spans="1:48" ht="12.75" x14ac:dyDescent="0.2">
      <c r="A420" s="243"/>
      <c r="B420" s="243"/>
      <c r="C420" s="1024"/>
      <c r="D420" s="1024"/>
      <c r="E420" s="1025"/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  <c r="AH420" s="243"/>
      <c r="AI420" s="243"/>
      <c r="AJ420" s="243"/>
      <c r="AK420" s="243"/>
      <c r="AL420" s="243"/>
      <c r="AM420" s="243"/>
      <c r="AN420" s="243"/>
      <c r="AO420" s="243"/>
      <c r="AP420" s="243"/>
      <c r="AQ420" s="1024"/>
      <c r="AR420" s="357"/>
      <c r="AS420" s="163"/>
      <c r="AT420" s="163"/>
      <c r="AU420" s="163"/>
      <c r="AV420" s="321"/>
    </row>
    <row r="421" spans="1:48" ht="12.75" x14ac:dyDescent="0.2">
      <c r="A421" s="243"/>
      <c r="B421" s="243"/>
      <c r="C421" s="1024"/>
      <c r="D421" s="1024"/>
      <c r="E421" s="1025"/>
      <c r="F421" s="243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3"/>
      <c r="Z421" s="243"/>
      <c r="AA421" s="243"/>
      <c r="AB421" s="243"/>
      <c r="AC421" s="243"/>
      <c r="AD421" s="243"/>
      <c r="AE421" s="243"/>
      <c r="AF421" s="243"/>
      <c r="AG421" s="243"/>
      <c r="AH421" s="243"/>
      <c r="AI421" s="243"/>
      <c r="AJ421" s="243"/>
      <c r="AK421" s="243"/>
      <c r="AL421" s="243"/>
      <c r="AM421" s="243"/>
      <c r="AN421" s="243"/>
      <c r="AO421" s="243"/>
      <c r="AP421" s="243"/>
      <c r="AQ421" s="1024"/>
      <c r="AR421" s="357"/>
      <c r="AS421" s="163"/>
      <c r="AT421" s="163"/>
      <c r="AU421" s="163"/>
      <c r="AV421" s="321"/>
    </row>
    <row r="422" spans="1:48" ht="12.75" x14ac:dyDescent="0.2">
      <c r="A422" s="243"/>
      <c r="B422" s="243"/>
      <c r="C422" s="1024"/>
      <c r="D422" s="1024"/>
      <c r="E422" s="1025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  <c r="AA422" s="243"/>
      <c r="AB422" s="243"/>
      <c r="AC422" s="243"/>
      <c r="AD422" s="243"/>
      <c r="AE422" s="243"/>
      <c r="AF422" s="243"/>
      <c r="AG422" s="243"/>
      <c r="AH422" s="243"/>
      <c r="AI422" s="243"/>
      <c r="AJ422" s="243"/>
      <c r="AK422" s="243"/>
      <c r="AL422" s="243"/>
      <c r="AM422" s="243"/>
      <c r="AN422" s="243"/>
      <c r="AO422" s="243"/>
      <c r="AP422" s="243"/>
      <c r="AQ422" s="1024"/>
      <c r="AR422" s="357"/>
      <c r="AS422" s="163"/>
      <c r="AT422" s="163"/>
      <c r="AU422" s="163"/>
      <c r="AV422" s="321"/>
    </row>
    <row r="423" spans="1:48" ht="12.75" x14ac:dyDescent="0.2">
      <c r="A423" s="243"/>
      <c r="B423" s="243"/>
      <c r="C423" s="1024"/>
      <c r="D423" s="1024"/>
      <c r="E423" s="1025"/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  <c r="AH423" s="243"/>
      <c r="AI423" s="243"/>
      <c r="AJ423" s="243"/>
      <c r="AK423" s="243"/>
      <c r="AL423" s="243"/>
      <c r="AM423" s="243"/>
      <c r="AN423" s="243"/>
      <c r="AO423" s="243"/>
      <c r="AP423" s="243"/>
      <c r="AQ423" s="1024"/>
      <c r="AR423" s="357"/>
      <c r="AS423" s="163"/>
      <c r="AT423" s="163"/>
      <c r="AU423" s="163"/>
      <c r="AV423" s="321"/>
    </row>
    <row r="424" spans="1:48" ht="12.75" x14ac:dyDescent="0.2">
      <c r="A424" s="243"/>
      <c r="B424" s="243"/>
      <c r="C424" s="1024"/>
      <c r="D424" s="1024"/>
      <c r="E424" s="1025"/>
      <c r="F424" s="243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3"/>
      <c r="Z424" s="243"/>
      <c r="AA424" s="243"/>
      <c r="AB424" s="243"/>
      <c r="AC424" s="243"/>
      <c r="AD424" s="243"/>
      <c r="AE424" s="243"/>
      <c r="AF424" s="243"/>
      <c r="AG424" s="243"/>
      <c r="AH424" s="243"/>
      <c r="AI424" s="243"/>
      <c r="AJ424" s="243"/>
      <c r="AK424" s="243"/>
      <c r="AL424" s="243"/>
      <c r="AM424" s="243"/>
      <c r="AN424" s="243"/>
      <c r="AO424" s="243"/>
      <c r="AP424" s="243"/>
      <c r="AQ424" s="1024"/>
      <c r="AR424" s="357"/>
      <c r="AS424" s="163"/>
      <c r="AT424" s="163"/>
      <c r="AU424" s="163"/>
      <c r="AV424" s="321"/>
    </row>
    <row r="425" spans="1:48" ht="12.75" x14ac:dyDescent="0.2">
      <c r="A425" s="243"/>
      <c r="B425" s="243"/>
      <c r="C425" s="1024"/>
      <c r="D425" s="1024"/>
      <c r="E425" s="1025"/>
      <c r="F425" s="243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3"/>
      <c r="Z425" s="243"/>
      <c r="AA425" s="243"/>
      <c r="AB425" s="243"/>
      <c r="AC425" s="243"/>
      <c r="AD425" s="243"/>
      <c r="AE425" s="243"/>
      <c r="AF425" s="243"/>
      <c r="AG425" s="243"/>
      <c r="AH425" s="243"/>
      <c r="AI425" s="243"/>
      <c r="AJ425" s="243"/>
      <c r="AK425" s="243"/>
      <c r="AL425" s="243"/>
      <c r="AM425" s="243"/>
      <c r="AN425" s="243"/>
      <c r="AO425" s="243"/>
      <c r="AP425" s="243"/>
      <c r="AQ425" s="1024"/>
      <c r="AR425" s="357"/>
      <c r="AS425" s="163"/>
      <c r="AT425" s="163"/>
      <c r="AU425" s="163"/>
      <c r="AV425" s="321"/>
    </row>
    <row r="426" spans="1:48" ht="12.75" x14ac:dyDescent="0.2">
      <c r="A426" s="243"/>
      <c r="B426" s="243"/>
      <c r="C426" s="1024"/>
      <c r="D426" s="1024"/>
      <c r="E426" s="1025"/>
      <c r="F426" s="243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3"/>
      <c r="Z426" s="243"/>
      <c r="AA426" s="243"/>
      <c r="AB426" s="243"/>
      <c r="AC426" s="243"/>
      <c r="AD426" s="243"/>
      <c r="AE426" s="243"/>
      <c r="AF426" s="243"/>
      <c r="AG426" s="243"/>
      <c r="AH426" s="243"/>
      <c r="AI426" s="243"/>
      <c r="AJ426" s="243"/>
      <c r="AK426" s="243"/>
      <c r="AL426" s="243"/>
      <c r="AM426" s="243"/>
      <c r="AN426" s="243"/>
      <c r="AO426" s="243"/>
      <c r="AP426" s="243"/>
      <c r="AQ426" s="1024"/>
      <c r="AR426" s="357"/>
      <c r="AS426" s="163"/>
      <c r="AT426" s="163"/>
      <c r="AU426" s="163"/>
      <c r="AV426" s="321"/>
    </row>
    <row r="427" spans="1:48" ht="12.75" x14ac:dyDescent="0.2">
      <c r="A427" s="243"/>
      <c r="B427" s="243"/>
      <c r="C427" s="1024"/>
      <c r="D427" s="1024"/>
      <c r="E427" s="1025"/>
      <c r="F427" s="243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3"/>
      <c r="Z427" s="243"/>
      <c r="AA427" s="243"/>
      <c r="AB427" s="243"/>
      <c r="AC427" s="243"/>
      <c r="AD427" s="243"/>
      <c r="AE427" s="243"/>
      <c r="AF427" s="243"/>
      <c r="AG427" s="243"/>
      <c r="AH427" s="243"/>
      <c r="AI427" s="243"/>
      <c r="AJ427" s="243"/>
      <c r="AK427" s="243"/>
      <c r="AL427" s="243"/>
      <c r="AM427" s="243"/>
      <c r="AN427" s="243"/>
      <c r="AO427" s="243"/>
      <c r="AP427" s="243"/>
      <c r="AQ427" s="1024"/>
      <c r="AR427" s="357"/>
      <c r="AS427" s="163"/>
      <c r="AT427" s="163"/>
      <c r="AU427" s="163"/>
      <c r="AV427" s="321"/>
    </row>
    <row r="428" spans="1:48" ht="12.75" x14ac:dyDescent="0.2">
      <c r="A428" s="243"/>
      <c r="B428" s="243"/>
      <c r="C428" s="1024"/>
      <c r="D428" s="1024"/>
      <c r="E428" s="1025"/>
      <c r="F428" s="243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3"/>
      <c r="Z428" s="243"/>
      <c r="AA428" s="243"/>
      <c r="AB428" s="243"/>
      <c r="AC428" s="243"/>
      <c r="AD428" s="243"/>
      <c r="AE428" s="243"/>
      <c r="AF428" s="243"/>
      <c r="AG428" s="243"/>
      <c r="AH428" s="243"/>
      <c r="AI428" s="243"/>
      <c r="AJ428" s="243"/>
      <c r="AK428" s="243"/>
      <c r="AL428" s="243"/>
      <c r="AM428" s="243"/>
      <c r="AN428" s="243"/>
      <c r="AO428" s="243"/>
      <c r="AP428" s="243"/>
      <c r="AQ428" s="1024"/>
      <c r="AR428" s="357"/>
      <c r="AS428" s="163"/>
      <c r="AT428" s="163"/>
      <c r="AU428" s="163"/>
      <c r="AV428" s="321"/>
    </row>
    <row r="429" spans="1:48" ht="12.75" x14ac:dyDescent="0.2">
      <c r="A429" s="243"/>
      <c r="B429" s="243"/>
      <c r="C429" s="1024"/>
      <c r="D429" s="1024"/>
      <c r="E429" s="1025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  <c r="AH429" s="243"/>
      <c r="AI429" s="243"/>
      <c r="AJ429" s="243"/>
      <c r="AK429" s="243"/>
      <c r="AL429" s="243"/>
      <c r="AM429" s="243"/>
      <c r="AN429" s="243"/>
      <c r="AO429" s="243"/>
      <c r="AP429" s="243"/>
      <c r="AQ429" s="1024"/>
      <c r="AR429" s="357"/>
      <c r="AS429" s="163"/>
      <c r="AT429" s="163"/>
      <c r="AU429" s="163"/>
      <c r="AV429" s="321"/>
    </row>
    <row r="430" spans="1:48" ht="12.75" x14ac:dyDescent="0.2">
      <c r="A430" s="243"/>
      <c r="B430" s="243"/>
      <c r="C430" s="1024"/>
      <c r="D430" s="1024"/>
      <c r="E430" s="1025"/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  <c r="AH430" s="243"/>
      <c r="AI430" s="243"/>
      <c r="AJ430" s="243"/>
      <c r="AK430" s="243"/>
      <c r="AL430" s="243"/>
      <c r="AM430" s="243"/>
      <c r="AN430" s="243"/>
      <c r="AO430" s="243"/>
      <c r="AP430" s="243"/>
      <c r="AQ430" s="1024"/>
      <c r="AR430" s="357"/>
      <c r="AS430" s="163"/>
      <c r="AT430" s="163"/>
      <c r="AU430" s="163"/>
      <c r="AV430" s="321"/>
    </row>
    <row r="431" spans="1:48" ht="12.75" x14ac:dyDescent="0.2">
      <c r="A431" s="243"/>
      <c r="B431" s="243"/>
      <c r="C431" s="1024"/>
      <c r="D431" s="1024"/>
      <c r="E431" s="1025"/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3"/>
      <c r="AI431" s="243"/>
      <c r="AJ431" s="243"/>
      <c r="AK431" s="243"/>
      <c r="AL431" s="243"/>
      <c r="AM431" s="243"/>
      <c r="AN431" s="243"/>
      <c r="AO431" s="243"/>
      <c r="AP431" s="243"/>
      <c r="AQ431" s="1024"/>
      <c r="AR431" s="357"/>
      <c r="AS431" s="163"/>
      <c r="AT431" s="163"/>
      <c r="AU431" s="163"/>
      <c r="AV431" s="321"/>
    </row>
    <row r="432" spans="1:48" ht="12.75" x14ac:dyDescent="0.2">
      <c r="A432" s="243"/>
      <c r="B432" s="243"/>
      <c r="C432" s="1024"/>
      <c r="D432" s="1024"/>
      <c r="E432" s="1025"/>
      <c r="F432" s="243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3"/>
      <c r="Z432" s="243"/>
      <c r="AA432" s="243"/>
      <c r="AB432" s="243"/>
      <c r="AC432" s="243"/>
      <c r="AD432" s="243"/>
      <c r="AE432" s="243"/>
      <c r="AF432" s="243"/>
      <c r="AG432" s="243"/>
      <c r="AH432" s="243"/>
      <c r="AI432" s="243"/>
      <c r="AJ432" s="243"/>
      <c r="AK432" s="243"/>
      <c r="AL432" s="243"/>
      <c r="AM432" s="243"/>
      <c r="AN432" s="243"/>
      <c r="AO432" s="243"/>
      <c r="AP432" s="243"/>
      <c r="AQ432" s="1024"/>
      <c r="AR432" s="357"/>
      <c r="AS432" s="163"/>
      <c r="AT432" s="163"/>
      <c r="AU432" s="163"/>
      <c r="AV432" s="321"/>
    </row>
    <row r="433" spans="1:48" ht="12.75" x14ac:dyDescent="0.2">
      <c r="A433" s="243"/>
      <c r="B433" s="243"/>
      <c r="C433" s="1024"/>
      <c r="D433" s="1024"/>
      <c r="E433" s="1025"/>
      <c r="F433" s="243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3"/>
      <c r="Z433" s="243"/>
      <c r="AA433" s="243"/>
      <c r="AB433" s="243"/>
      <c r="AC433" s="243"/>
      <c r="AD433" s="243"/>
      <c r="AE433" s="243"/>
      <c r="AF433" s="243"/>
      <c r="AG433" s="243"/>
      <c r="AH433" s="243"/>
      <c r="AI433" s="243"/>
      <c r="AJ433" s="243"/>
      <c r="AK433" s="243"/>
      <c r="AL433" s="243"/>
      <c r="AM433" s="243"/>
      <c r="AN433" s="243"/>
      <c r="AO433" s="243"/>
      <c r="AP433" s="243"/>
      <c r="AQ433" s="1024"/>
      <c r="AR433" s="357"/>
      <c r="AS433" s="163"/>
      <c r="AT433" s="163"/>
      <c r="AU433" s="163"/>
      <c r="AV433" s="321"/>
    </row>
    <row r="434" spans="1:48" ht="12.75" x14ac:dyDescent="0.2">
      <c r="A434" s="243"/>
      <c r="B434" s="243"/>
      <c r="C434" s="1024"/>
      <c r="D434" s="1024"/>
      <c r="E434" s="1025"/>
      <c r="F434" s="243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3"/>
      <c r="Z434" s="243"/>
      <c r="AA434" s="243"/>
      <c r="AB434" s="243"/>
      <c r="AC434" s="243"/>
      <c r="AD434" s="243"/>
      <c r="AE434" s="243"/>
      <c r="AF434" s="243"/>
      <c r="AG434" s="243"/>
      <c r="AH434" s="243"/>
      <c r="AI434" s="243"/>
      <c r="AJ434" s="243"/>
      <c r="AK434" s="243"/>
      <c r="AL434" s="243"/>
      <c r="AM434" s="243"/>
      <c r="AN434" s="243"/>
      <c r="AO434" s="243"/>
      <c r="AP434" s="243"/>
      <c r="AQ434" s="1024"/>
      <c r="AR434" s="357"/>
      <c r="AS434" s="163"/>
      <c r="AT434" s="163"/>
      <c r="AU434" s="163"/>
      <c r="AV434" s="321"/>
    </row>
    <row r="435" spans="1:48" ht="12.75" x14ac:dyDescent="0.2">
      <c r="A435" s="243"/>
      <c r="B435" s="243"/>
      <c r="C435" s="1024"/>
      <c r="D435" s="1024"/>
      <c r="E435" s="1025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  <c r="AA435" s="243"/>
      <c r="AB435" s="243"/>
      <c r="AC435" s="243"/>
      <c r="AD435" s="243"/>
      <c r="AE435" s="243"/>
      <c r="AF435" s="243"/>
      <c r="AG435" s="243"/>
      <c r="AH435" s="243"/>
      <c r="AI435" s="243"/>
      <c r="AJ435" s="243"/>
      <c r="AK435" s="243"/>
      <c r="AL435" s="243"/>
      <c r="AM435" s="243"/>
      <c r="AN435" s="243"/>
      <c r="AO435" s="243"/>
      <c r="AP435" s="243"/>
      <c r="AQ435" s="1024"/>
      <c r="AR435" s="357"/>
      <c r="AS435" s="163"/>
      <c r="AT435" s="163"/>
      <c r="AU435" s="163"/>
      <c r="AV435" s="321"/>
    </row>
    <row r="436" spans="1:48" ht="12.75" x14ac:dyDescent="0.2">
      <c r="A436" s="243"/>
      <c r="B436" s="243"/>
      <c r="C436" s="1024"/>
      <c r="D436" s="1024"/>
      <c r="E436" s="1025"/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  <c r="AA436" s="243"/>
      <c r="AB436" s="243"/>
      <c r="AC436" s="243"/>
      <c r="AD436" s="243"/>
      <c r="AE436" s="243"/>
      <c r="AF436" s="243"/>
      <c r="AG436" s="243"/>
      <c r="AH436" s="243"/>
      <c r="AI436" s="243"/>
      <c r="AJ436" s="243"/>
      <c r="AK436" s="243"/>
      <c r="AL436" s="243"/>
      <c r="AM436" s="243"/>
      <c r="AN436" s="243"/>
      <c r="AO436" s="243"/>
      <c r="AP436" s="243"/>
      <c r="AQ436" s="1024"/>
      <c r="AR436" s="357"/>
      <c r="AS436" s="163"/>
      <c r="AT436" s="163"/>
      <c r="AU436" s="163"/>
      <c r="AV436" s="321"/>
    </row>
    <row r="437" spans="1:48" ht="12.75" x14ac:dyDescent="0.2">
      <c r="A437" s="243"/>
      <c r="B437" s="243"/>
      <c r="C437" s="1024"/>
      <c r="D437" s="1024"/>
      <c r="E437" s="1025"/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  <c r="AA437" s="243"/>
      <c r="AB437" s="243"/>
      <c r="AC437" s="243"/>
      <c r="AD437" s="243"/>
      <c r="AE437" s="243"/>
      <c r="AF437" s="243"/>
      <c r="AG437" s="243"/>
      <c r="AH437" s="243"/>
      <c r="AI437" s="243"/>
      <c r="AJ437" s="243"/>
      <c r="AK437" s="243"/>
      <c r="AL437" s="243"/>
      <c r="AM437" s="243"/>
      <c r="AN437" s="243"/>
      <c r="AO437" s="243"/>
      <c r="AP437" s="243"/>
      <c r="AQ437" s="1024"/>
      <c r="AR437" s="357"/>
      <c r="AS437" s="163"/>
      <c r="AT437" s="163"/>
      <c r="AU437" s="163"/>
      <c r="AV437" s="321"/>
    </row>
    <row r="438" spans="1:48" ht="12.75" x14ac:dyDescent="0.2">
      <c r="A438" s="243"/>
      <c r="B438" s="243"/>
      <c r="C438" s="1024"/>
      <c r="D438" s="1024"/>
      <c r="E438" s="1025"/>
      <c r="F438" s="243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3"/>
      <c r="Z438" s="243"/>
      <c r="AA438" s="243"/>
      <c r="AB438" s="243"/>
      <c r="AC438" s="243"/>
      <c r="AD438" s="243"/>
      <c r="AE438" s="243"/>
      <c r="AF438" s="243"/>
      <c r="AG438" s="243"/>
      <c r="AH438" s="243"/>
      <c r="AI438" s="243"/>
      <c r="AJ438" s="243"/>
      <c r="AK438" s="243"/>
      <c r="AL438" s="243"/>
      <c r="AM438" s="243"/>
      <c r="AN438" s="243"/>
      <c r="AO438" s="243"/>
      <c r="AP438" s="243"/>
      <c r="AQ438" s="1024"/>
      <c r="AR438" s="357"/>
      <c r="AS438" s="163"/>
      <c r="AT438" s="163"/>
      <c r="AU438" s="163"/>
      <c r="AV438" s="321"/>
    </row>
    <row r="439" spans="1:48" ht="12.75" x14ac:dyDescent="0.2">
      <c r="A439" s="243"/>
      <c r="B439" s="243"/>
      <c r="C439" s="1024"/>
      <c r="D439" s="1024"/>
      <c r="E439" s="1025"/>
      <c r="F439" s="243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3"/>
      <c r="Z439" s="243"/>
      <c r="AA439" s="243"/>
      <c r="AB439" s="243"/>
      <c r="AC439" s="243"/>
      <c r="AD439" s="243"/>
      <c r="AE439" s="243"/>
      <c r="AF439" s="243"/>
      <c r="AG439" s="243"/>
      <c r="AH439" s="243"/>
      <c r="AI439" s="243"/>
      <c r="AJ439" s="243"/>
      <c r="AK439" s="243"/>
      <c r="AL439" s="243"/>
      <c r="AM439" s="243"/>
      <c r="AN439" s="243"/>
      <c r="AO439" s="243"/>
      <c r="AP439" s="243"/>
      <c r="AQ439" s="1024"/>
      <c r="AR439" s="357"/>
      <c r="AS439" s="163"/>
      <c r="AT439" s="163"/>
      <c r="AU439" s="163"/>
      <c r="AV439" s="321"/>
    </row>
    <row r="440" spans="1:48" ht="12.75" x14ac:dyDescent="0.2">
      <c r="A440" s="243"/>
      <c r="B440" s="243"/>
      <c r="C440" s="1024"/>
      <c r="D440" s="1024"/>
      <c r="E440" s="1025"/>
      <c r="F440" s="243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3"/>
      <c r="Z440" s="243"/>
      <c r="AA440" s="243"/>
      <c r="AB440" s="243"/>
      <c r="AC440" s="243"/>
      <c r="AD440" s="243"/>
      <c r="AE440" s="243"/>
      <c r="AF440" s="243"/>
      <c r="AG440" s="243"/>
      <c r="AH440" s="243"/>
      <c r="AI440" s="243"/>
      <c r="AJ440" s="243"/>
      <c r="AK440" s="243"/>
      <c r="AL440" s="243"/>
      <c r="AM440" s="243"/>
      <c r="AN440" s="243"/>
      <c r="AO440" s="243"/>
      <c r="AP440" s="243"/>
      <c r="AQ440" s="1024"/>
      <c r="AR440" s="357"/>
      <c r="AS440" s="163"/>
      <c r="AT440" s="163"/>
      <c r="AU440" s="163"/>
      <c r="AV440" s="321"/>
    </row>
    <row r="441" spans="1:48" ht="12.75" x14ac:dyDescent="0.2">
      <c r="A441" s="243"/>
      <c r="B441" s="243"/>
      <c r="C441" s="1024"/>
      <c r="D441" s="1024"/>
      <c r="E441" s="1025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  <c r="AA441" s="243"/>
      <c r="AB441" s="243"/>
      <c r="AC441" s="243"/>
      <c r="AD441" s="243"/>
      <c r="AE441" s="243"/>
      <c r="AF441" s="243"/>
      <c r="AG441" s="243"/>
      <c r="AH441" s="243"/>
      <c r="AI441" s="243"/>
      <c r="AJ441" s="243"/>
      <c r="AK441" s="243"/>
      <c r="AL441" s="243"/>
      <c r="AM441" s="243"/>
      <c r="AN441" s="243"/>
      <c r="AO441" s="243"/>
      <c r="AP441" s="243"/>
      <c r="AQ441" s="1024"/>
      <c r="AR441" s="357"/>
      <c r="AS441" s="163"/>
      <c r="AT441" s="163"/>
      <c r="AU441" s="163"/>
      <c r="AV441" s="321"/>
    </row>
    <row r="442" spans="1:48" ht="12.75" x14ac:dyDescent="0.2">
      <c r="A442" s="243"/>
      <c r="B442" s="243"/>
      <c r="C442" s="1024"/>
      <c r="D442" s="1024"/>
      <c r="E442" s="1025"/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  <c r="AA442" s="243"/>
      <c r="AB442" s="243"/>
      <c r="AC442" s="243"/>
      <c r="AD442" s="243"/>
      <c r="AE442" s="243"/>
      <c r="AF442" s="243"/>
      <c r="AG442" s="243"/>
      <c r="AH442" s="243"/>
      <c r="AI442" s="243"/>
      <c r="AJ442" s="243"/>
      <c r="AK442" s="243"/>
      <c r="AL442" s="243"/>
      <c r="AM442" s="243"/>
      <c r="AN442" s="243"/>
      <c r="AO442" s="243"/>
      <c r="AP442" s="243"/>
      <c r="AQ442" s="1024"/>
      <c r="AR442" s="357"/>
      <c r="AS442" s="163"/>
      <c r="AT442" s="163"/>
      <c r="AU442" s="163"/>
      <c r="AV442" s="321"/>
    </row>
    <row r="443" spans="1:48" ht="12.75" x14ac:dyDescent="0.2">
      <c r="A443" s="243"/>
      <c r="B443" s="243"/>
      <c r="C443" s="1024"/>
      <c r="D443" s="1024"/>
      <c r="E443" s="1025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  <c r="AA443" s="243"/>
      <c r="AB443" s="243"/>
      <c r="AC443" s="243"/>
      <c r="AD443" s="243"/>
      <c r="AE443" s="243"/>
      <c r="AF443" s="243"/>
      <c r="AG443" s="243"/>
      <c r="AH443" s="243"/>
      <c r="AI443" s="243"/>
      <c r="AJ443" s="243"/>
      <c r="AK443" s="243"/>
      <c r="AL443" s="243"/>
      <c r="AM443" s="243"/>
      <c r="AN443" s="243"/>
      <c r="AO443" s="243"/>
      <c r="AP443" s="243"/>
      <c r="AQ443" s="1024"/>
      <c r="AR443" s="357"/>
      <c r="AS443" s="163"/>
      <c r="AT443" s="163"/>
      <c r="AU443" s="163"/>
      <c r="AV443" s="321"/>
    </row>
    <row r="444" spans="1:48" ht="12.75" x14ac:dyDescent="0.2">
      <c r="A444" s="243"/>
      <c r="B444" s="243"/>
      <c r="C444" s="1024"/>
      <c r="D444" s="1024"/>
      <c r="E444" s="1025"/>
      <c r="F444" s="243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3"/>
      <c r="Z444" s="243"/>
      <c r="AA444" s="243"/>
      <c r="AB444" s="243"/>
      <c r="AC444" s="243"/>
      <c r="AD444" s="243"/>
      <c r="AE444" s="243"/>
      <c r="AF444" s="243"/>
      <c r="AG444" s="243"/>
      <c r="AH444" s="243"/>
      <c r="AI444" s="243"/>
      <c r="AJ444" s="243"/>
      <c r="AK444" s="243"/>
      <c r="AL444" s="243"/>
      <c r="AM444" s="243"/>
      <c r="AN444" s="243"/>
      <c r="AO444" s="243"/>
      <c r="AP444" s="243"/>
      <c r="AQ444" s="1024"/>
      <c r="AR444" s="357"/>
      <c r="AS444" s="163"/>
      <c r="AT444" s="163"/>
      <c r="AU444" s="163"/>
      <c r="AV444" s="321"/>
    </row>
    <row r="445" spans="1:48" ht="12.75" x14ac:dyDescent="0.2">
      <c r="A445" s="243"/>
      <c r="B445" s="243"/>
      <c r="C445" s="1024"/>
      <c r="D445" s="1024"/>
      <c r="E445" s="1025"/>
      <c r="F445" s="243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3"/>
      <c r="Z445" s="243"/>
      <c r="AA445" s="243"/>
      <c r="AB445" s="243"/>
      <c r="AC445" s="243"/>
      <c r="AD445" s="243"/>
      <c r="AE445" s="243"/>
      <c r="AF445" s="243"/>
      <c r="AG445" s="243"/>
      <c r="AH445" s="243"/>
      <c r="AI445" s="243"/>
      <c r="AJ445" s="243"/>
      <c r="AK445" s="243"/>
      <c r="AL445" s="243"/>
      <c r="AM445" s="243"/>
      <c r="AN445" s="243"/>
      <c r="AO445" s="243"/>
      <c r="AP445" s="243"/>
      <c r="AQ445" s="1024"/>
      <c r="AR445" s="357"/>
      <c r="AS445" s="163"/>
      <c r="AT445" s="163"/>
      <c r="AU445" s="163"/>
      <c r="AV445" s="321"/>
    </row>
    <row r="446" spans="1:48" ht="12.75" x14ac:dyDescent="0.2">
      <c r="A446" s="243"/>
      <c r="B446" s="243"/>
      <c r="C446" s="1024"/>
      <c r="D446" s="1024"/>
      <c r="E446" s="1025"/>
      <c r="F446" s="243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3"/>
      <c r="Z446" s="243"/>
      <c r="AA446" s="243"/>
      <c r="AB446" s="243"/>
      <c r="AC446" s="243"/>
      <c r="AD446" s="243"/>
      <c r="AE446" s="243"/>
      <c r="AF446" s="243"/>
      <c r="AG446" s="243"/>
      <c r="AH446" s="243"/>
      <c r="AI446" s="243"/>
      <c r="AJ446" s="243"/>
      <c r="AK446" s="243"/>
      <c r="AL446" s="243"/>
      <c r="AM446" s="243"/>
      <c r="AN446" s="243"/>
      <c r="AO446" s="243"/>
      <c r="AP446" s="243"/>
      <c r="AQ446" s="1024"/>
      <c r="AR446" s="357"/>
      <c r="AS446" s="163"/>
      <c r="AT446" s="163"/>
      <c r="AU446" s="163"/>
      <c r="AV446" s="321"/>
    </row>
    <row r="447" spans="1:48" ht="12.75" x14ac:dyDescent="0.2">
      <c r="A447" s="243"/>
      <c r="B447" s="243"/>
      <c r="C447" s="1024"/>
      <c r="D447" s="1024"/>
      <c r="E447" s="1025"/>
      <c r="F447" s="243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3"/>
      <c r="Z447" s="243"/>
      <c r="AA447" s="243"/>
      <c r="AB447" s="243"/>
      <c r="AC447" s="243"/>
      <c r="AD447" s="243"/>
      <c r="AE447" s="243"/>
      <c r="AF447" s="243"/>
      <c r="AG447" s="243"/>
      <c r="AH447" s="243"/>
      <c r="AI447" s="243"/>
      <c r="AJ447" s="243"/>
      <c r="AK447" s="243"/>
      <c r="AL447" s="243"/>
      <c r="AM447" s="243"/>
      <c r="AN447" s="243"/>
      <c r="AO447" s="243"/>
      <c r="AP447" s="243"/>
      <c r="AQ447" s="1024"/>
      <c r="AR447" s="357"/>
      <c r="AS447" s="163"/>
      <c r="AT447" s="163"/>
      <c r="AU447" s="163"/>
      <c r="AV447" s="321"/>
    </row>
    <row r="448" spans="1:48" ht="12.75" x14ac:dyDescent="0.2">
      <c r="A448" s="243"/>
      <c r="B448" s="243"/>
      <c r="C448" s="1024"/>
      <c r="D448" s="1024"/>
      <c r="E448" s="1025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  <c r="AH448" s="243"/>
      <c r="AI448" s="243"/>
      <c r="AJ448" s="243"/>
      <c r="AK448" s="243"/>
      <c r="AL448" s="243"/>
      <c r="AM448" s="243"/>
      <c r="AN448" s="243"/>
      <c r="AO448" s="243"/>
      <c r="AP448" s="243"/>
      <c r="AQ448" s="1024"/>
      <c r="AR448" s="357"/>
      <c r="AS448" s="163"/>
      <c r="AT448" s="163"/>
      <c r="AU448" s="163"/>
      <c r="AV448" s="321"/>
    </row>
    <row r="449" spans="1:48" ht="12.75" x14ac:dyDescent="0.2">
      <c r="A449" s="243"/>
      <c r="B449" s="243"/>
      <c r="C449" s="1024"/>
      <c r="D449" s="1024"/>
      <c r="E449" s="1025"/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  <c r="AH449" s="243"/>
      <c r="AI449" s="243"/>
      <c r="AJ449" s="243"/>
      <c r="AK449" s="243"/>
      <c r="AL449" s="243"/>
      <c r="AM449" s="243"/>
      <c r="AN449" s="243"/>
      <c r="AO449" s="243"/>
      <c r="AP449" s="243"/>
      <c r="AQ449" s="1024"/>
      <c r="AR449" s="357"/>
      <c r="AS449" s="163"/>
      <c r="AT449" s="163"/>
      <c r="AU449" s="163"/>
      <c r="AV449" s="321"/>
    </row>
    <row r="450" spans="1:48" ht="12.75" x14ac:dyDescent="0.2">
      <c r="A450" s="243"/>
      <c r="B450" s="243"/>
      <c r="C450" s="1024"/>
      <c r="D450" s="1024"/>
      <c r="E450" s="1025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1024"/>
      <c r="AR450" s="357"/>
      <c r="AS450" s="163"/>
      <c r="AT450" s="163"/>
      <c r="AU450" s="163"/>
      <c r="AV450" s="321"/>
    </row>
    <row r="451" spans="1:48" ht="12.75" x14ac:dyDescent="0.2">
      <c r="A451" s="243"/>
      <c r="B451" s="243"/>
      <c r="C451" s="1024"/>
      <c r="D451" s="1024"/>
      <c r="E451" s="1025"/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  <c r="AA451" s="243"/>
      <c r="AB451" s="243"/>
      <c r="AC451" s="243"/>
      <c r="AD451" s="243"/>
      <c r="AE451" s="243"/>
      <c r="AF451" s="243"/>
      <c r="AG451" s="243"/>
      <c r="AH451" s="243"/>
      <c r="AI451" s="243"/>
      <c r="AJ451" s="243"/>
      <c r="AK451" s="243"/>
      <c r="AL451" s="243"/>
      <c r="AM451" s="243"/>
      <c r="AN451" s="243"/>
      <c r="AO451" s="243"/>
      <c r="AP451" s="243"/>
      <c r="AQ451" s="1024"/>
      <c r="AR451" s="357"/>
      <c r="AS451" s="163"/>
      <c r="AT451" s="163"/>
      <c r="AU451" s="163"/>
      <c r="AV451" s="321"/>
    </row>
    <row r="452" spans="1:48" ht="12.75" x14ac:dyDescent="0.2">
      <c r="A452" s="243"/>
      <c r="B452" s="243"/>
      <c r="C452" s="1024"/>
      <c r="D452" s="1024"/>
      <c r="E452" s="1025"/>
      <c r="F452" s="243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3"/>
      <c r="Z452" s="243"/>
      <c r="AA452" s="243"/>
      <c r="AB452" s="243"/>
      <c r="AC452" s="243"/>
      <c r="AD452" s="243"/>
      <c r="AE452" s="243"/>
      <c r="AF452" s="243"/>
      <c r="AG452" s="243"/>
      <c r="AH452" s="243"/>
      <c r="AI452" s="243"/>
      <c r="AJ452" s="243"/>
      <c r="AK452" s="243"/>
      <c r="AL452" s="243"/>
      <c r="AM452" s="243"/>
      <c r="AN452" s="243"/>
      <c r="AO452" s="243"/>
      <c r="AP452" s="243"/>
      <c r="AQ452" s="1024"/>
      <c r="AR452" s="357"/>
      <c r="AS452" s="163"/>
      <c r="AT452" s="163"/>
      <c r="AU452" s="163"/>
      <c r="AV452" s="321"/>
    </row>
    <row r="453" spans="1:48" ht="12.75" x14ac:dyDescent="0.2">
      <c r="A453" s="243"/>
      <c r="B453" s="243"/>
      <c r="C453" s="1024"/>
      <c r="D453" s="1024"/>
      <c r="E453" s="1025"/>
      <c r="F453" s="243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3"/>
      <c r="Z453" s="243"/>
      <c r="AA453" s="243"/>
      <c r="AB453" s="243"/>
      <c r="AC453" s="243"/>
      <c r="AD453" s="243"/>
      <c r="AE453" s="243"/>
      <c r="AF453" s="243"/>
      <c r="AG453" s="243"/>
      <c r="AH453" s="243"/>
      <c r="AI453" s="243"/>
      <c r="AJ453" s="243"/>
      <c r="AK453" s="243"/>
      <c r="AL453" s="243"/>
      <c r="AM453" s="243"/>
      <c r="AN453" s="243"/>
      <c r="AO453" s="243"/>
      <c r="AP453" s="243"/>
      <c r="AQ453" s="1024"/>
      <c r="AR453" s="357"/>
      <c r="AS453" s="163"/>
      <c r="AT453" s="163"/>
      <c r="AU453" s="163"/>
      <c r="AV453" s="321"/>
    </row>
    <row r="454" spans="1:48" ht="12.75" x14ac:dyDescent="0.2">
      <c r="A454" s="243"/>
      <c r="B454" s="243"/>
      <c r="C454" s="1024"/>
      <c r="D454" s="1024"/>
      <c r="E454" s="1025"/>
      <c r="F454" s="243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3"/>
      <c r="Z454" s="243"/>
      <c r="AA454" s="243"/>
      <c r="AB454" s="243"/>
      <c r="AC454" s="243"/>
      <c r="AD454" s="243"/>
      <c r="AE454" s="243"/>
      <c r="AF454" s="243"/>
      <c r="AG454" s="243"/>
      <c r="AH454" s="243"/>
      <c r="AI454" s="243"/>
      <c r="AJ454" s="243"/>
      <c r="AK454" s="243"/>
      <c r="AL454" s="243"/>
      <c r="AM454" s="243"/>
      <c r="AN454" s="243"/>
      <c r="AO454" s="243"/>
      <c r="AP454" s="243"/>
      <c r="AQ454" s="1024"/>
      <c r="AR454" s="357"/>
      <c r="AS454" s="163"/>
      <c r="AT454" s="163"/>
      <c r="AU454" s="163"/>
      <c r="AV454" s="321"/>
    </row>
    <row r="455" spans="1:48" ht="12.75" x14ac:dyDescent="0.2">
      <c r="A455" s="243"/>
      <c r="B455" s="243"/>
      <c r="C455" s="1024"/>
      <c r="D455" s="1024"/>
      <c r="E455" s="1025"/>
      <c r="F455" s="243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3"/>
      <c r="Z455" s="243"/>
      <c r="AA455" s="243"/>
      <c r="AB455" s="243"/>
      <c r="AC455" s="243"/>
      <c r="AD455" s="243"/>
      <c r="AE455" s="243"/>
      <c r="AF455" s="243"/>
      <c r="AG455" s="243"/>
      <c r="AH455" s="243"/>
      <c r="AI455" s="243"/>
      <c r="AJ455" s="243"/>
      <c r="AK455" s="243"/>
      <c r="AL455" s="243"/>
      <c r="AM455" s="243"/>
      <c r="AN455" s="243"/>
      <c r="AO455" s="243"/>
      <c r="AP455" s="243"/>
      <c r="AQ455" s="1024"/>
      <c r="AR455" s="357"/>
      <c r="AS455" s="163"/>
      <c r="AT455" s="163"/>
      <c r="AU455" s="163"/>
      <c r="AV455" s="321"/>
    </row>
    <row r="456" spans="1:48" ht="12.75" x14ac:dyDescent="0.2">
      <c r="A456" s="243"/>
      <c r="B456" s="243"/>
      <c r="C456" s="1024"/>
      <c r="D456" s="1024"/>
      <c r="E456" s="1025"/>
      <c r="F456" s="243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3"/>
      <c r="Z456" s="243"/>
      <c r="AA456" s="243"/>
      <c r="AB456" s="243"/>
      <c r="AC456" s="243"/>
      <c r="AD456" s="243"/>
      <c r="AE456" s="243"/>
      <c r="AF456" s="243"/>
      <c r="AG456" s="243"/>
      <c r="AH456" s="243"/>
      <c r="AI456" s="243"/>
      <c r="AJ456" s="243"/>
      <c r="AK456" s="243"/>
      <c r="AL456" s="243"/>
      <c r="AM456" s="243"/>
      <c r="AN456" s="243"/>
      <c r="AO456" s="243"/>
      <c r="AP456" s="243"/>
      <c r="AQ456" s="1024"/>
      <c r="AR456" s="357"/>
      <c r="AS456" s="163"/>
      <c r="AT456" s="163"/>
      <c r="AU456" s="163"/>
      <c r="AV456" s="321"/>
    </row>
    <row r="457" spans="1:48" ht="12.75" x14ac:dyDescent="0.2">
      <c r="A457" s="243"/>
      <c r="B457" s="243"/>
      <c r="C457" s="1024"/>
      <c r="D457" s="1024"/>
      <c r="E457" s="1025"/>
      <c r="F457" s="243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3"/>
      <c r="Z457" s="243"/>
      <c r="AA457" s="243"/>
      <c r="AB457" s="243"/>
      <c r="AC457" s="243"/>
      <c r="AD457" s="243"/>
      <c r="AE457" s="243"/>
      <c r="AF457" s="243"/>
      <c r="AG457" s="243"/>
      <c r="AH457" s="243"/>
      <c r="AI457" s="243"/>
      <c r="AJ457" s="243"/>
      <c r="AK457" s="243"/>
      <c r="AL457" s="243"/>
      <c r="AM457" s="243"/>
      <c r="AN457" s="243"/>
      <c r="AO457" s="243"/>
      <c r="AP457" s="243"/>
      <c r="AQ457" s="1024"/>
      <c r="AR457" s="357"/>
      <c r="AS457" s="163"/>
      <c r="AT457" s="163"/>
      <c r="AU457" s="163"/>
      <c r="AV457" s="321"/>
    </row>
    <row r="458" spans="1:48" ht="12.75" x14ac:dyDescent="0.2">
      <c r="A458" s="243"/>
      <c r="B458" s="243"/>
      <c r="C458" s="1024"/>
      <c r="D458" s="1024"/>
      <c r="E458" s="1025"/>
      <c r="F458" s="243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3"/>
      <c r="Z458" s="243"/>
      <c r="AA458" s="243"/>
      <c r="AB458" s="243"/>
      <c r="AC458" s="243"/>
      <c r="AD458" s="243"/>
      <c r="AE458" s="243"/>
      <c r="AF458" s="243"/>
      <c r="AG458" s="243"/>
      <c r="AH458" s="243"/>
      <c r="AI458" s="243"/>
      <c r="AJ458" s="243"/>
      <c r="AK458" s="243"/>
      <c r="AL458" s="243"/>
      <c r="AM458" s="243"/>
      <c r="AN458" s="243"/>
      <c r="AO458" s="243"/>
      <c r="AP458" s="243"/>
      <c r="AQ458" s="1024"/>
      <c r="AR458" s="357"/>
      <c r="AS458" s="163"/>
      <c r="AT458" s="163"/>
      <c r="AU458" s="163"/>
      <c r="AV458" s="321"/>
    </row>
    <row r="459" spans="1:48" ht="12.75" x14ac:dyDescent="0.2">
      <c r="A459" s="243"/>
      <c r="B459" s="243"/>
      <c r="C459" s="1024"/>
      <c r="D459" s="1024"/>
      <c r="E459" s="1025"/>
      <c r="F459" s="243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3"/>
      <c r="Z459" s="243"/>
      <c r="AA459" s="243"/>
      <c r="AB459" s="243"/>
      <c r="AC459" s="243"/>
      <c r="AD459" s="243"/>
      <c r="AE459" s="243"/>
      <c r="AF459" s="243"/>
      <c r="AG459" s="243"/>
      <c r="AH459" s="243"/>
      <c r="AI459" s="243"/>
      <c r="AJ459" s="243"/>
      <c r="AK459" s="243"/>
      <c r="AL459" s="243"/>
      <c r="AM459" s="243"/>
      <c r="AN459" s="243"/>
      <c r="AO459" s="243"/>
      <c r="AP459" s="243"/>
      <c r="AQ459" s="1024"/>
      <c r="AR459" s="357"/>
      <c r="AS459" s="163"/>
      <c r="AT459" s="163"/>
      <c r="AU459" s="163"/>
      <c r="AV459" s="321"/>
    </row>
    <row r="460" spans="1:48" ht="12.75" x14ac:dyDescent="0.2">
      <c r="A460" s="243"/>
      <c r="B460" s="243"/>
      <c r="C460" s="1024"/>
      <c r="D460" s="1024"/>
      <c r="E460" s="1025"/>
      <c r="F460" s="243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3"/>
      <c r="Z460" s="243"/>
      <c r="AA460" s="243"/>
      <c r="AB460" s="243"/>
      <c r="AC460" s="243"/>
      <c r="AD460" s="243"/>
      <c r="AE460" s="243"/>
      <c r="AF460" s="243"/>
      <c r="AG460" s="243"/>
      <c r="AH460" s="243"/>
      <c r="AI460" s="243"/>
      <c r="AJ460" s="243"/>
      <c r="AK460" s="243"/>
      <c r="AL460" s="243"/>
      <c r="AM460" s="243"/>
      <c r="AN460" s="243"/>
      <c r="AO460" s="243"/>
      <c r="AP460" s="243"/>
      <c r="AQ460" s="1024"/>
      <c r="AR460" s="357"/>
      <c r="AS460" s="163"/>
      <c r="AT460" s="163"/>
      <c r="AU460" s="163"/>
      <c r="AV460" s="321"/>
    </row>
    <row r="461" spans="1:48" ht="12.75" x14ac:dyDescent="0.2">
      <c r="A461" s="243"/>
      <c r="B461" s="243"/>
      <c r="C461" s="1024"/>
      <c r="D461" s="1024"/>
      <c r="E461" s="1025"/>
      <c r="F461" s="243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3"/>
      <c r="Z461" s="243"/>
      <c r="AA461" s="243"/>
      <c r="AB461" s="243"/>
      <c r="AC461" s="243"/>
      <c r="AD461" s="243"/>
      <c r="AE461" s="243"/>
      <c r="AF461" s="243"/>
      <c r="AG461" s="243"/>
      <c r="AH461" s="243"/>
      <c r="AI461" s="243"/>
      <c r="AJ461" s="243"/>
      <c r="AK461" s="243"/>
      <c r="AL461" s="243"/>
      <c r="AM461" s="243"/>
      <c r="AN461" s="243"/>
      <c r="AO461" s="243"/>
      <c r="AP461" s="243"/>
      <c r="AQ461" s="1024"/>
      <c r="AR461" s="357"/>
      <c r="AS461" s="163"/>
      <c r="AT461" s="163"/>
      <c r="AU461" s="163"/>
      <c r="AV461" s="321"/>
    </row>
    <row r="462" spans="1:48" ht="12.75" x14ac:dyDescent="0.2">
      <c r="A462" s="243"/>
      <c r="B462" s="243"/>
      <c r="C462" s="1024"/>
      <c r="D462" s="1024"/>
      <c r="E462" s="1025"/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  <c r="AA462" s="243"/>
      <c r="AB462" s="243"/>
      <c r="AC462" s="243"/>
      <c r="AD462" s="243"/>
      <c r="AE462" s="243"/>
      <c r="AF462" s="243"/>
      <c r="AG462" s="243"/>
      <c r="AH462" s="243"/>
      <c r="AI462" s="243"/>
      <c r="AJ462" s="243"/>
      <c r="AK462" s="243"/>
      <c r="AL462" s="243"/>
      <c r="AM462" s="243"/>
      <c r="AN462" s="243"/>
      <c r="AO462" s="243"/>
      <c r="AP462" s="243"/>
      <c r="AQ462" s="1024"/>
      <c r="AR462" s="357"/>
      <c r="AS462" s="163"/>
      <c r="AT462" s="163"/>
      <c r="AU462" s="163"/>
      <c r="AV462" s="321"/>
    </row>
    <row r="463" spans="1:48" ht="12.75" x14ac:dyDescent="0.2">
      <c r="A463" s="243"/>
      <c r="B463" s="243"/>
      <c r="C463" s="1024"/>
      <c r="D463" s="1024"/>
      <c r="E463" s="1025"/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  <c r="AA463" s="243"/>
      <c r="AB463" s="243"/>
      <c r="AC463" s="243"/>
      <c r="AD463" s="243"/>
      <c r="AE463" s="243"/>
      <c r="AF463" s="243"/>
      <c r="AG463" s="243"/>
      <c r="AH463" s="243"/>
      <c r="AI463" s="243"/>
      <c r="AJ463" s="243"/>
      <c r="AK463" s="243"/>
      <c r="AL463" s="243"/>
      <c r="AM463" s="243"/>
      <c r="AN463" s="243"/>
      <c r="AO463" s="243"/>
      <c r="AP463" s="243"/>
      <c r="AQ463" s="1024"/>
      <c r="AR463" s="357"/>
      <c r="AS463" s="163"/>
      <c r="AT463" s="163"/>
      <c r="AU463" s="163"/>
      <c r="AV463" s="321"/>
    </row>
    <row r="464" spans="1:48" ht="12.75" x14ac:dyDescent="0.2">
      <c r="A464" s="243"/>
      <c r="B464" s="243"/>
      <c r="C464" s="1024"/>
      <c r="D464" s="1024"/>
      <c r="E464" s="1025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  <c r="AA464" s="243"/>
      <c r="AB464" s="243"/>
      <c r="AC464" s="243"/>
      <c r="AD464" s="243"/>
      <c r="AE464" s="243"/>
      <c r="AF464" s="243"/>
      <c r="AG464" s="243"/>
      <c r="AH464" s="243"/>
      <c r="AI464" s="243"/>
      <c r="AJ464" s="243"/>
      <c r="AK464" s="243"/>
      <c r="AL464" s="243"/>
      <c r="AM464" s="243"/>
      <c r="AN464" s="243"/>
      <c r="AO464" s="243"/>
      <c r="AP464" s="243"/>
      <c r="AQ464" s="1024"/>
      <c r="AR464" s="357"/>
      <c r="AS464" s="163"/>
      <c r="AT464" s="163"/>
      <c r="AU464" s="163"/>
      <c r="AV464" s="321"/>
    </row>
    <row r="465" spans="1:48" ht="12.75" x14ac:dyDescent="0.2">
      <c r="A465" s="243"/>
      <c r="B465" s="243"/>
      <c r="C465" s="1024"/>
      <c r="D465" s="1024"/>
      <c r="E465" s="1025"/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  <c r="AA465" s="243"/>
      <c r="AB465" s="243"/>
      <c r="AC465" s="243"/>
      <c r="AD465" s="243"/>
      <c r="AE465" s="243"/>
      <c r="AF465" s="243"/>
      <c r="AG465" s="243"/>
      <c r="AH465" s="243"/>
      <c r="AI465" s="243"/>
      <c r="AJ465" s="243"/>
      <c r="AK465" s="243"/>
      <c r="AL465" s="243"/>
      <c r="AM465" s="243"/>
      <c r="AN465" s="243"/>
      <c r="AO465" s="243"/>
      <c r="AP465" s="243"/>
      <c r="AQ465" s="1024"/>
      <c r="AR465" s="357"/>
      <c r="AS465" s="163"/>
      <c r="AT465" s="163"/>
      <c r="AU465" s="163"/>
      <c r="AV465" s="321"/>
    </row>
    <row r="466" spans="1:48" ht="12.75" x14ac:dyDescent="0.2">
      <c r="A466" s="243"/>
      <c r="B466" s="243"/>
      <c r="C466" s="1024"/>
      <c r="D466" s="1024"/>
      <c r="E466" s="1025"/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  <c r="AA466" s="243"/>
      <c r="AB466" s="243"/>
      <c r="AC466" s="243"/>
      <c r="AD466" s="243"/>
      <c r="AE466" s="243"/>
      <c r="AF466" s="243"/>
      <c r="AG466" s="243"/>
      <c r="AH466" s="243"/>
      <c r="AI466" s="243"/>
      <c r="AJ466" s="243"/>
      <c r="AK466" s="243"/>
      <c r="AL466" s="243"/>
      <c r="AM466" s="243"/>
      <c r="AN466" s="243"/>
      <c r="AO466" s="243"/>
      <c r="AP466" s="243"/>
      <c r="AQ466" s="1024"/>
      <c r="AR466" s="357"/>
      <c r="AS466" s="163"/>
      <c r="AT466" s="163"/>
      <c r="AU466" s="163"/>
      <c r="AV466" s="321"/>
    </row>
    <row r="467" spans="1:48" ht="12.75" x14ac:dyDescent="0.2">
      <c r="A467" s="243"/>
      <c r="B467" s="243"/>
      <c r="C467" s="1024"/>
      <c r="D467" s="1024"/>
      <c r="E467" s="1025"/>
      <c r="F467" s="243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3"/>
      <c r="Z467" s="243"/>
      <c r="AA467" s="243"/>
      <c r="AB467" s="243"/>
      <c r="AC467" s="243"/>
      <c r="AD467" s="243"/>
      <c r="AE467" s="243"/>
      <c r="AF467" s="243"/>
      <c r="AG467" s="243"/>
      <c r="AH467" s="243"/>
      <c r="AI467" s="243"/>
      <c r="AJ467" s="243"/>
      <c r="AK467" s="243"/>
      <c r="AL467" s="243"/>
      <c r="AM467" s="243"/>
      <c r="AN467" s="243"/>
      <c r="AO467" s="243"/>
      <c r="AP467" s="243"/>
      <c r="AQ467" s="1024"/>
      <c r="AR467" s="357"/>
      <c r="AS467" s="163"/>
      <c r="AT467" s="163"/>
      <c r="AU467" s="163"/>
      <c r="AV467" s="321"/>
    </row>
    <row r="468" spans="1:48" ht="12.75" x14ac:dyDescent="0.2">
      <c r="A468" s="243"/>
      <c r="B468" s="243"/>
      <c r="C468" s="1024"/>
      <c r="D468" s="1024"/>
      <c r="E468" s="1025"/>
      <c r="F468" s="243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3"/>
      <c r="Z468" s="243"/>
      <c r="AA468" s="243"/>
      <c r="AB468" s="243"/>
      <c r="AC468" s="243"/>
      <c r="AD468" s="243"/>
      <c r="AE468" s="243"/>
      <c r="AF468" s="243"/>
      <c r="AG468" s="243"/>
      <c r="AH468" s="243"/>
      <c r="AI468" s="243"/>
      <c r="AJ468" s="243"/>
      <c r="AK468" s="243"/>
      <c r="AL468" s="243"/>
      <c r="AM468" s="243"/>
      <c r="AN468" s="243"/>
      <c r="AO468" s="243"/>
      <c r="AP468" s="243"/>
      <c r="AQ468" s="1024"/>
      <c r="AR468" s="357"/>
      <c r="AS468" s="163"/>
      <c r="AT468" s="163"/>
      <c r="AU468" s="163"/>
      <c r="AV468" s="321"/>
    </row>
    <row r="469" spans="1:48" ht="12.75" x14ac:dyDescent="0.2">
      <c r="A469" s="243"/>
      <c r="B469" s="243"/>
      <c r="C469" s="1024"/>
      <c r="D469" s="1024"/>
      <c r="E469" s="1025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  <c r="AA469" s="243"/>
      <c r="AB469" s="243"/>
      <c r="AC469" s="243"/>
      <c r="AD469" s="243"/>
      <c r="AE469" s="243"/>
      <c r="AF469" s="243"/>
      <c r="AG469" s="243"/>
      <c r="AH469" s="243"/>
      <c r="AI469" s="243"/>
      <c r="AJ469" s="243"/>
      <c r="AK469" s="243"/>
      <c r="AL469" s="243"/>
      <c r="AM469" s="243"/>
      <c r="AN469" s="243"/>
      <c r="AO469" s="243"/>
      <c r="AP469" s="243"/>
      <c r="AQ469" s="1024"/>
      <c r="AR469" s="357"/>
      <c r="AS469" s="163"/>
      <c r="AT469" s="163"/>
      <c r="AU469" s="163"/>
      <c r="AV469" s="321"/>
    </row>
    <row r="470" spans="1:48" ht="12.75" x14ac:dyDescent="0.2">
      <c r="A470" s="243"/>
      <c r="B470" s="243"/>
      <c r="C470" s="1024"/>
      <c r="D470" s="1024"/>
      <c r="E470" s="1025"/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3"/>
      <c r="AG470" s="243"/>
      <c r="AH470" s="243"/>
      <c r="AI470" s="243"/>
      <c r="AJ470" s="243"/>
      <c r="AK470" s="243"/>
      <c r="AL470" s="243"/>
      <c r="AM470" s="243"/>
      <c r="AN470" s="243"/>
      <c r="AO470" s="243"/>
      <c r="AP470" s="243"/>
      <c r="AQ470" s="1024"/>
      <c r="AR470" s="357"/>
      <c r="AS470" s="163"/>
      <c r="AT470" s="163"/>
      <c r="AU470" s="163"/>
      <c r="AV470" s="321"/>
    </row>
    <row r="471" spans="1:48" ht="12.75" x14ac:dyDescent="0.2">
      <c r="A471" s="243"/>
      <c r="B471" s="243"/>
      <c r="C471" s="1024"/>
      <c r="D471" s="1024"/>
      <c r="E471" s="1025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  <c r="AH471" s="243"/>
      <c r="AI471" s="243"/>
      <c r="AJ471" s="243"/>
      <c r="AK471" s="243"/>
      <c r="AL471" s="243"/>
      <c r="AM471" s="243"/>
      <c r="AN471" s="243"/>
      <c r="AO471" s="243"/>
      <c r="AP471" s="243"/>
      <c r="AQ471" s="1024"/>
      <c r="AR471" s="357"/>
      <c r="AS471" s="163"/>
      <c r="AT471" s="163"/>
      <c r="AU471" s="163"/>
      <c r="AV471" s="321"/>
    </row>
    <row r="472" spans="1:48" ht="12.75" x14ac:dyDescent="0.2">
      <c r="A472" s="243"/>
      <c r="B472" s="243"/>
      <c r="C472" s="1024"/>
      <c r="D472" s="1024"/>
      <c r="E472" s="1025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  <c r="AH472" s="243"/>
      <c r="AI472" s="243"/>
      <c r="AJ472" s="243"/>
      <c r="AK472" s="243"/>
      <c r="AL472" s="243"/>
      <c r="AM472" s="243"/>
      <c r="AN472" s="243"/>
      <c r="AO472" s="243"/>
      <c r="AP472" s="243"/>
      <c r="AQ472" s="1024"/>
      <c r="AR472" s="357"/>
      <c r="AS472" s="163"/>
      <c r="AT472" s="163"/>
      <c r="AU472" s="163"/>
      <c r="AV472" s="321"/>
    </row>
    <row r="473" spans="1:48" ht="12.75" x14ac:dyDescent="0.2">
      <c r="A473" s="243"/>
      <c r="B473" s="243"/>
      <c r="C473" s="1024"/>
      <c r="D473" s="1024"/>
      <c r="E473" s="1025"/>
      <c r="F473" s="243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3"/>
      <c r="Z473" s="243"/>
      <c r="AA473" s="243"/>
      <c r="AB473" s="243"/>
      <c r="AC473" s="243"/>
      <c r="AD473" s="243"/>
      <c r="AE473" s="243"/>
      <c r="AF473" s="243"/>
      <c r="AG473" s="243"/>
      <c r="AH473" s="243"/>
      <c r="AI473" s="243"/>
      <c r="AJ473" s="243"/>
      <c r="AK473" s="243"/>
      <c r="AL473" s="243"/>
      <c r="AM473" s="243"/>
      <c r="AN473" s="243"/>
      <c r="AO473" s="243"/>
      <c r="AP473" s="243"/>
      <c r="AQ473" s="1024"/>
      <c r="AR473" s="357"/>
      <c r="AS473" s="163"/>
      <c r="AT473" s="163"/>
      <c r="AU473" s="163"/>
      <c r="AV473" s="321"/>
    </row>
    <row r="474" spans="1:48" ht="12.75" x14ac:dyDescent="0.2">
      <c r="A474" s="243"/>
      <c r="B474" s="243"/>
      <c r="C474" s="1024"/>
      <c r="D474" s="1024"/>
      <c r="E474" s="1025"/>
      <c r="F474" s="243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3"/>
      <c r="Z474" s="243"/>
      <c r="AA474" s="243"/>
      <c r="AB474" s="243"/>
      <c r="AC474" s="243"/>
      <c r="AD474" s="243"/>
      <c r="AE474" s="243"/>
      <c r="AF474" s="243"/>
      <c r="AG474" s="243"/>
      <c r="AH474" s="243"/>
      <c r="AI474" s="243"/>
      <c r="AJ474" s="243"/>
      <c r="AK474" s="243"/>
      <c r="AL474" s="243"/>
      <c r="AM474" s="243"/>
      <c r="AN474" s="243"/>
      <c r="AO474" s="243"/>
      <c r="AP474" s="243"/>
      <c r="AQ474" s="1024"/>
      <c r="AR474" s="357"/>
      <c r="AS474" s="163"/>
      <c r="AT474" s="163"/>
      <c r="AU474" s="163"/>
      <c r="AV474" s="321"/>
    </row>
    <row r="475" spans="1:48" ht="12.75" x14ac:dyDescent="0.2">
      <c r="A475" s="243"/>
      <c r="B475" s="243"/>
      <c r="C475" s="1024"/>
      <c r="D475" s="1024"/>
      <c r="E475" s="1025"/>
      <c r="F475" s="243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3"/>
      <c r="Z475" s="243"/>
      <c r="AA475" s="243"/>
      <c r="AB475" s="243"/>
      <c r="AC475" s="243"/>
      <c r="AD475" s="243"/>
      <c r="AE475" s="243"/>
      <c r="AF475" s="243"/>
      <c r="AG475" s="243"/>
      <c r="AH475" s="243"/>
      <c r="AI475" s="243"/>
      <c r="AJ475" s="243"/>
      <c r="AK475" s="243"/>
      <c r="AL475" s="243"/>
      <c r="AM475" s="243"/>
      <c r="AN475" s="243"/>
      <c r="AO475" s="243"/>
      <c r="AP475" s="243"/>
      <c r="AQ475" s="1024"/>
      <c r="AR475" s="357"/>
      <c r="AS475" s="163"/>
      <c r="AT475" s="163"/>
      <c r="AU475" s="163"/>
      <c r="AV475" s="321"/>
    </row>
    <row r="476" spans="1:48" ht="12.75" x14ac:dyDescent="0.2">
      <c r="A476" s="243"/>
      <c r="B476" s="243"/>
      <c r="C476" s="1024"/>
      <c r="D476" s="1024"/>
      <c r="E476" s="1025"/>
      <c r="F476" s="243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3"/>
      <c r="Z476" s="243"/>
      <c r="AA476" s="243"/>
      <c r="AB476" s="243"/>
      <c r="AC476" s="243"/>
      <c r="AD476" s="243"/>
      <c r="AE476" s="243"/>
      <c r="AF476" s="243"/>
      <c r="AG476" s="243"/>
      <c r="AH476" s="243"/>
      <c r="AI476" s="243"/>
      <c r="AJ476" s="243"/>
      <c r="AK476" s="243"/>
      <c r="AL476" s="243"/>
      <c r="AM476" s="243"/>
      <c r="AN476" s="243"/>
      <c r="AO476" s="243"/>
      <c r="AP476" s="243"/>
      <c r="AQ476" s="1024"/>
      <c r="AR476" s="357"/>
      <c r="AS476" s="163"/>
      <c r="AT476" s="163"/>
      <c r="AU476" s="163"/>
      <c r="AV476" s="321"/>
    </row>
    <row r="477" spans="1:48" ht="12.75" x14ac:dyDescent="0.2">
      <c r="A477" s="243"/>
      <c r="B477" s="243"/>
      <c r="C477" s="1024"/>
      <c r="D477" s="1024"/>
      <c r="E477" s="1025"/>
      <c r="F477" s="243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3"/>
      <c r="Z477" s="243"/>
      <c r="AA477" s="243"/>
      <c r="AB477" s="243"/>
      <c r="AC477" s="243"/>
      <c r="AD477" s="243"/>
      <c r="AE477" s="243"/>
      <c r="AF477" s="243"/>
      <c r="AG477" s="243"/>
      <c r="AH477" s="243"/>
      <c r="AI477" s="243"/>
      <c r="AJ477" s="243"/>
      <c r="AK477" s="243"/>
      <c r="AL477" s="243"/>
      <c r="AM477" s="243"/>
      <c r="AN477" s="243"/>
      <c r="AO477" s="243"/>
      <c r="AP477" s="243"/>
      <c r="AQ477" s="1024"/>
      <c r="AR477" s="357"/>
      <c r="AS477" s="163"/>
      <c r="AT477" s="163"/>
      <c r="AU477" s="163"/>
      <c r="AV477" s="321"/>
    </row>
    <row r="478" spans="1:48" ht="12.75" x14ac:dyDescent="0.2">
      <c r="A478" s="243"/>
      <c r="B478" s="243"/>
      <c r="C478" s="1024"/>
      <c r="D478" s="1024"/>
      <c r="E478" s="1025"/>
      <c r="F478" s="243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3"/>
      <c r="Z478" s="243"/>
      <c r="AA478" s="243"/>
      <c r="AB478" s="243"/>
      <c r="AC478" s="243"/>
      <c r="AD478" s="243"/>
      <c r="AE478" s="243"/>
      <c r="AF478" s="243"/>
      <c r="AG478" s="243"/>
      <c r="AH478" s="243"/>
      <c r="AI478" s="243"/>
      <c r="AJ478" s="243"/>
      <c r="AK478" s="243"/>
      <c r="AL478" s="243"/>
      <c r="AM478" s="243"/>
      <c r="AN478" s="243"/>
      <c r="AO478" s="243"/>
      <c r="AP478" s="243"/>
      <c r="AQ478" s="1024"/>
      <c r="AR478" s="357"/>
      <c r="AS478" s="163"/>
      <c r="AT478" s="163"/>
      <c r="AU478" s="163"/>
      <c r="AV478" s="321"/>
    </row>
    <row r="479" spans="1:48" ht="12.75" x14ac:dyDescent="0.2">
      <c r="A479" s="243"/>
      <c r="B479" s="243"/>
      <c r="C479" s="1024"/>
      <c r="D479" s="1024"/>
      <c r="E479" s="1025"/>
      <c r="F479" s="243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3"/>
      <c r="Z479" s="243"/>
      <c r="AA479" s="243"/>
      <c r="AB479" s="243"/>
      <c r="AC479" s="243"/>
      <c r="AD479" s="243"/>
      <c r="AE479" s="243"/>
      <c r="AF479" s="243"/>
      <c r="AG479" s="243"/>
      <c r="AH479" s="243"/>
      <c r="AI479" s="243"/>
      <c r="AJ479" s="243"/>
      <c r="AK479" s="243"/>
      <c r="AL479" s="243"/>
      <c r="AM479" s="243"/>
      <c r="AN479" s="243"/>
      <c r="AO479" s="243"/>
      <c r="AP479" s="243"/>
      <c r="AQ479" s="1024"/>
      <c r="AR479" s="357"/>
      <c r="AS479" s="163"/>
      <c r="AT479" s="163"/>
      <c r="AU479" s="163"/>
      <c r="AV479" s="321"/>
    </row>
    <row r="480" spans="1:48" ht="12.75" x14ac:dyDescent="0.2">
      <c r="A480" s="243"/>
      <c r="B480" s="243"/>
      <c r="C480" s="1024"/>
      <c r="D480" s="1024"/>
      <c r="E480" s="1025"/>
      <c r="F480" s="243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3"/>
      <c r="Z480" s="243"/>
      <c r="AA480" s="243"/>
      <c r="AB480" s="243"/>
      <c r="AC480" s="243"/>
      <c r="AD480" s="243"/>
      <c r="AE480" s="243"/>
      <c r="AF480" s="243"/>
      <c r="AG480" s="243"/>
      <c r="AH480" s="243"/>
      <c r="AI480" s="243"/>
      <c r="AJ480" s="243"/>
      <c r="AK480" s="243"/>
      <c r="AL480" s="243"/>
      <c r="AM480" s="243"/>
      <c r="AN480" s="243"/>
      <c r="AO480" s="243"/>
      <c r="AP480" s="243"/>
      <c r="AQ480" s="1024"/>
      <c r="AR480" s="357"/>
      <c r="AS480" s="163"/>
      <c r="AT480" s="163"/>
      <c r="AU480" s="163"/>
      <c r="AV480" s="321"/>
    </row>
    <row r="481" spans="1:48" ht="12.75" x14ac:dyDescent="0.2">
      <c r="A481" s="243"/>
      <c r="B481" s="243"/>
      <c r="C481" s="1024"/>
      <c r="D481" s="1024"/>
      <c r="E481" s="1025"/>
      <c r="F481" s="243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3"/>
      <c r="Z481" s="243"/>
      <c r="AA481" s="243"/>
      <c r="AB481" s="243"/>
      <c r="AC481" s="243"/>
      <c r="AD481" s="243"/>
      <c r="AE481" s="243"/>
      <c r="AF481" s="243"/>
      <c r="AG481" s="243"/>
      <c r="AH481" s="243"/>
      <c r="AI481" s="243"/>
      <c r="AJ481" s="243"/>
      <c r="AK481" s="243"/>
      <c r="AL481" s="243"/>
      <c r="AM481" s="243"/>
      <c r="AN481" s="243"/>
      <c r="AO481" s="243"/>
      <c r="AP481" s="243"/>
      <c r="AQ481" s="1024"/>
      <c r="AR481" s="357"/>
      <c r="AS481" s="163"/>
      <c r="AT481" s="163"/>
      <c r="AU481" s="163"/>
      <c r="AV481" s="321"/>
    </row>
    <row r="482" spans="1:48" ht="12.75" x14ac:dyDescent="0.2">
      <c r="A482" s="243"/>
      <c r="B482" s="243"/>
      <c r="C482" s="1024"/>
      <c r="D482" s="1024"/>
      <c r="E482" s="1025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  <c r="AH482" s="243"/>
      <c r="AI482" s="243"/>
      <c r="AJ482" s="243"/>
      <c r="AK482" s="243"/>
      <c r="AL482" s="243"/>
      <c r="AM482" s="243"/>
      <c r="AN482" s="243"/>
      <c r="AO482" s="243"/>
      <c r="AP482" s="243"/>
      <c r="AQ482" s="1024"/>
      <c r="AR482" s="357"/>
      <c r="AS482" s="163"/>
      <c r="AT482" s="163"/>
      <c r="AU482" s="163"/>
      <c r="AV482" s="321"/>
    </row>
    <row r="483" spans="1:48" ht="12.75" x14ac:dyDescent="0.2">
      <c r="A483" s="243"/>
      <c r="B483" s="243"/>
      <c r="C483" s="1024"/>
      <c r="D483" s="1024"/>
      <c r="E483" s="1025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  <c r="AH483" s="243"/>
      <c r="AI483" s="243"/>
      <c r="AJ483" s="243"/>
      <c r="AK483" s="243"/>
      <c r="AL483" s="243"/>
      <c r="AM483" s="243"/>
      <c r="AN483" s="243"/>
      <c r="AO483" s="243"/>
      <c r="AP483" s="243"/>
      <c r="AQ483" s="1024"/>
      <c r="AR483" s="357"/>
      <c r="AS483" s="163"/>
      <c r="AT483" s="163"/>
      <c r="AU483" s="163"/>
      <c r="AV483" s="321"/>
    </row>
    <row r="484" spans="1:48" ht="12.75" x14ac:dyDescent="0.2">
      <c r="A484" s="243"/>
      <c r="B484" s="243"/>
      <c r="C484" s="1024"/>
      <c r="D484" s="1024"/>
      <c r="E484" s="1025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3"/>
      <c r="Z484" s="243"/>
      <c r="AA484" s="243"/>
      <c r="AB484" s="243"/>
      <c r="AC484" s="243"/>
      <c r="AD484" s="243"/>
      <c r="AE484" s="243"/>
      <c r="AF484" s="243"/>
      <c r="AG484" s="243"/>
      <c r="AH484" s="243"/>
      <c r="AI484" s="243"/>
      <c r="AJ484" s="243"/>
      <c r="AK484" s="243"/>
      <c r="AL484" s="243"/>
      <c r="AM484" s="243"/>
      <c r="AN484" s="243"/>
      <c r="AO484" s="243"/>
      <c r="AP484" s="243"/>
      <c r="AQ484" s="1024"/>
      <c r="AR484" s="357"/>
      <c r="AS484" s="163"/>
      <c r="AT484" s="163"/>
      <c r="AU484" s="163"/>
      <c r="AV484" s="321"/>
    </row>
    <row r="485" spans="1:48" ht="12.75" x14ac:dyDescent="0.2">
      <c r="A485" s="243"/>
      <c r="B485" s="243"/>
      <c r="C485" s="1024"/>
      <c r="D485" s="1024"/>
      <c r="E485" s="1025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3"/>
      <c r="Z485" s="243"/>
      <c r="AA485" s="243"/>
      <c r="AB485" s="243"/>
      <c r="AC485" s="243"/>
      <c r="AD485" s="243"/>
      <c r="AE485" s="243"/>
      <c r="AF485" s="243"/>
      <c r="AG485" s="243"/>
      <c r="AH485" s="243"/>
      <c r="AI485" s="243"/>
      <c r="AJ485" s="243"/>
      <c r="AK485" s="243"/>
      <c r="AL485" s="243"/>
      <c r="AM485" s="243"/>
      <c r="AN485" s="243"/>
      <c r="AO485" s="243"/>
      <c r="AP485" s="243"/>
      <c r="AQ485" s="1024"/>
      <c r="AR485" s="357"/>
      <c r="AS485" s="163"/>
      <c r="AT485" s="163"/>
      <c r="AU485" s="163"/>
      <c r="AV485" s="321"/>
    </row>
    <row r="486" spans="1:48" ht="12.75" x14ac:dyDescent="0.2">
      <c r="A486" s="243"/>
      <c r="B486" s="243"/>
      <c r="C486" s="1024"/>
      <c r="D486" s="1024"/>
      <c r="E486" s="1025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3"/>
      <c r="Z486" s="243"/>
      <c r="AA486" s="243"/>
      <c r="AB486" s="243"/>
      <c r="AC486" s="243"/>
      <c r="AD486" s="243"/>
      <c r="AE486" s="243"/>
      <c r="AF486" s="243"/>
      <c r="AG486" s="243"/>
      <c r="AH486" s="243"/>
      <c r="AI486" s="243"/>
      <c r="AJ486" s="243"/>
      <c r="AK486" s="243"/>
      <c r="AL486" s="243"/>
      <c r="AM486" s="243"/>
      <c r="AN486" s="243"/>
      <c r="AO486" s="243"/>
      <c r="AP486" s="243"/>
      <c r="AQ486" s="1024"/>
      <c r="AR486" s="357"/>
      <c r="AS486" s="163"/>
      <c r="AT486" s="163"/>
      <c r="AU486" s="163"/>
      <c r="AV486" s="321"/>
    </row>
    <row r="487" spans="1:48" ht="12.75" x14ac:dyDescent="0.2">
      <c r="A487" s="243"/>
      <c r="B487" s="243"/>
      <c r="C487" s="1024"/>
      <c r="D487" s="1024"/>
      <c r="E487" s="1025"/>
      <c r="F487" s="243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3"/>
      <c r="Z487" s="243"/>
      <c r="AA487" s="243"/>
      <c r="AB487" s="243"/>
      <c r="AC487" s="243"/>
      <c r="AD487" s="243"/>
      <c r="AE487" s="243"/>
      <c r="AF487" s="243"/>
      <c r="AG487" s="243"/>
      <c r="AH487" s="243"/>
      <c r="AI487" s="243"/>
      <c r="AJ487" s="243"/>
      <c r="AK487" s="243"/>
      <c r="AL487" s="243"/>
      <c r="AM487" s="243"/>
      <c r="AN487" s="243"/>
      <c r="AO487" s="243"/>
      <c r="AP487" s="243"/>
      <c r="AQ487" s="1024"/>
      <c r="AR487" s="357"/>
      <c r="AS487" s="163"/>
      <c r="AT487" s="163"/>
      <c r="AU487" s="163"/>
      <c r="AV487" s="321"/>
    </row>
    <row r="488" spans="1:48" ht="12.75" x14ac:dyDescent="0.2">
      <c r="A488" s="243"/>
      <c r="B488" s="243"/>
      <c r="C488" s="1024"/>
      <c r="D488" s="1024"/>
      <c r="E488" s="1025"/>
      <c r="F488" s="243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3"/>
      <c r="Z488" s="243"/>
      <c r="AA488" s="243"/>
      <c r="AB488" s="243"/>
      <c r="AC488" s="243"/>
      <c r="AD488" s="243"/>
      <c r="AE488" s="243"/>
      <c r="AF488" s="243"/>
      <c r="AG488" s="243"/>
      <c r="AH488" s="243"/>
      <c r="AI488" s="243"/>
      <c r="AJ488" s="243"/>
      <c r="AK488" s="243"/>
      <c r="AL488" s="243"/>
      <c r="AM488" s="243"/>
      <c r="AN488" s="243"/>
      <c r="AO488" s="243"/>
      <c r="AP488" s="243"/>
      <c r="AQ488" s="1024"/>
      <c r="AR488" s="357"/>
      <c r="AS488" s="163"/>
      <c r="AT488" s="163"/>
      <c r="AU488" s="163"/>
      <c r="AV488" s="321"/>
    </row>
    <row r="489" spans="1:48" ht="12.75" x14ac:dyDescent="0.2">
      <c r="A489" s="243"/>
      <c r="B489" s="243"/>
      <c r="C489" s="1024"/>
      <c r="D489" s="1024"/>
      <c r="E489" s="1025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  <c r="AA489" s="243"/>
      <c r="AB489" s="243"/>
      <c r="AC489" s="243"/>
      <c r="AD489" s="243"/>
      <c r="AE489" s="243"/>
      <c r="AF489" s="243"/>
      <c r="AG489" s="243"/>
      <c r="AH489" s="243"/>
      <c r="AI489" s="243"/>
      <c r="AJ489" s="243"/>
      <c r="AK489" s="243"/>
      <c r="AL489" s="243"/>
      <c r="AM489" s="243"/>
      <c r="AN489" s="243"/>
      <c r="AO489" s="243"/>
      <c r="AP489" s="243"/>
      <c r="AQ489" s="1024"/>
      <c r="AR489" s="357"/>
      <c r="AS489" s="163"/>
      <c r="AT489" s="163"/>
      <c r="AU489" s="163"/>
      <c r="AV489" s="321"/>
    </row>
    <row r="490" spans="1:48" ht="12.75" x14ac:dyDescent="0.2">
      <c r="A490" s="243"/>
      <c r="B490" s="243"/>
      <c r="C490" s="1024"/>
      <c r="D490" s="1024"/>
      <c r="E490" s="1025"/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  <c r="AA490" s="243"/>
      <c r="AB490" s="243"/>
      <c r="AC490" s="243"/>
      <c r="AD490" s="243"/>
      <c r="AE490" s="243"/>
      <c r="AF490" s="243"/>
      <c r="AG490" s="243"/>
      <c r="AH490" s="243"/>
      <c r="AI490" s="243"/>
      <c r="AJ490" s="243"/>
      <c r="AK490" s="243"/>
      <c r="AL490" s="243"/>
      <c r="AM490" s="243"/>
      <c r="AN490" s="243"/>
      <c r="AO490" s="243"/>
      <c r="AP490" s="243"/>
      <c r="AQ490" s="1024"/>
      <c r="AR490" s="357"/>
      <c r="AS490" s="163"/>
      <c r="AT490" s="163"/>
      <c r="AU490" s="163"/>
      <c r="AV490" s="321"/>
    </row>
    <row r="491" spans="1:48" ht="12.75" x14ac:dyDescent="0.2">
      <c r="A491" s="243"/>
      <c r="B491" s="243"/>
      <c r="C491" s="1024"/>
      <c r="D491" s="1024"/>
      <c r="E491" s="1025"/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  <c r="AA491" s="243"/>
      <c r="AB491" s="243"/>
      <c r="AC491" s="243"/>
      <c r="AD491" s="243"/>
      <c r="AE491" s="243"/>
      <c r="AF491" s="243"/>
      <c r="AG491" s="243"/>
      <c r="AH491" s="243"/>
      <c r="AI491" s="243"/>
      <c r="AJ491" s="243"/>
      <c r="AK491" s="243"/>
      <c r="AL491" s="243"/>
      <c r="AM491" s="243"/>
      <c r="AN491" s="243"/>
      <c r="AO491" s="243"/>
      <c r="AP491" s="243"/>
      <c r="AQ491" s="1024"/>
      <c r="AR491" s="357"/>
      <c r="AS491" s="163"/>
      <c r="AT491" s="163"/>
      <c r="AU491" s="163"/>
      <c r="AV491" s="321"/>
    </row>
    <row r="492" spans="1:48" ht="12.75" x14ac:dyDescent="0.2">
      <c r="A492" s="243"/>
      <c r="B492" s="243"/>
      <c r="C492" s="1024"/>
      <c r="D492" s="1024"/>
      <c r="E492" s="1025"/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  <c r="AA492" s="243"/>
      <c r="AB492" s="243"/>
      <c r="AC492" s="243"/>
      <c r="AD492" s="243"/>
      <c r="AE492" s="243"/>
      <c r="AF492" s="243"/>
      <c r="AG492" s="243"/>
      <c r="AH492" s="243"/>
      <c r="AI492" s="243"/>
      <c r="AJ492" s="243"/>
      <c r="AK492" s="243"/>
      <c r="AL492" s="243"/>
      <c r="AM492" s="243"/>
      <c r="AN492" s="243"/>
      <c r="AO492" s="243"/>
      <c r="AP492" s="243"/>
      <c r="AQ492" s="1024"/>
      <c r="AR492" s="357"/>
      <c r="AS492" s="163"/>
      <c r="AT492" s="163"/>
      <c r="AU492" s="163"/>
      <c r="AV492" s="321"/>
    </row>
    <row r="493" spans="1:48" ht="12.75" x14ac:dyDescent="0.2">
      <c r="A493" s="243"/>
      <c r="B493" s="243"/>
      <c r="C493" s="1024"/>
      <c r="D493" s="1024"/>
      <c r="E493" s="1025"/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  <c r="AA493" s="243"/>
      <c r="AB493" s="243"/>
      <c r="AC493" s="243"/>
      <c r="AD493" s="243"/>
      <c r="AE493" s="243"/>
      <c r="AF493" s="243"/>
      <c r="AG493" s="243"/>
      <c r="AH493" s="243"/>
      <c r="AI493" s="243"/>
      <c r="AJ493" s="243"/>
      <c r="AK493" s="243"/>
      <c r="AL493" s="243"/>
      <c r="AM493" s="243"/>
      <c r="AN493" s="243"/>
      <c r="AO493" s="243"/>
      <c r="AP493" s="243"/>
      <c r="AQ493" s="1024"/>
      <c r="AR493" s="357"/>
      <c r="AS493" s="163"/>
      <c r="AT493" s="163"/>
      <c r="AU493" s="163"/>
      <c r="AV493" s="321"/>
    </row>
    <row r="494" spans="1:48" ht="12.75" x14ac:dyDescent="0.2">
      <c r="A494" s="243"/>
      <c r="B494" s="243"/>
      <c r="C494" s="1024"/>
      <c r="D494" s="1024"/>
      <c r="E494" s="1025"/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  <c r="AA494" s="243"/>
      <c r="AB494" s="243"/>
      <c r="AC494" s="243"/>
      <c r="AD494" s="243"/>
      <c r="AE494" s="243"/>
      <c r="AF494" s="243"/>
      <c r="AG494" s="243"/>
      <c r="AH494" s="243"/>
      <c r="AI494" s="243"/>
      <c r="AJ494" s="243"/>
      <c r="AK494" s="243"/>
      <c r="AL494" s="243"/>
      <c r="AM494" s="243"/>
      <c r="AN494" s="243"/>
      <c r="AO494" s="243"/>
      <c r="AP494" s="243"/>
      <c r="AQ494" s="1024"/>
      <c r="AR494" s="357"/>
      <c r="AS494" s="163"/>
      <c r="AT494" s="163"/>
      <c r="AU494" s="163"/>
      <c r="AV494" s="321"/>
    </row>
    <row r="495" spans="1:48" ht="12.75" x14ac:dyDescent="0.2">
      <c r="A495" s="243"/>
      <c r="B495" s="243"/>
      <c r="C495" s="1024"/>
      <c r="D495" s="1024"/>
      <c r="E495" s="1025"/>
      <c r="F495" s="243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3"/>
      <c r="Z495" s="243"/>
      <c r="AA495" s="243"/>
      <c r="AB495" s="243"/>
      <c r="AC495" s="243"/>
      <c r="AD495" s="243"/>
      <c r="AE495" s="243"/>
      <c r="AF495" s="243"/>
      <c r="AG495" s="243"/>
      <c r="AH495" s="243"/>
      <c r="AI495" s="243"/>
      <c r="AJ495" s="243"/>
      <c r="AK495" s="243"/>
      <c r="AL495" s="243"/>
      <c r="AM495" s="243"/>
      <c r="AN495" s="243"/>
      <c r="AO495" s="243"/>
      <c r="AP495" s="243"/>
      <c r="AQ495" s="1024"/>
      <c r="AR495" s="357"/>
      <c r="AS495" s="163"/>
      <c r="AT495" s="163"/>
      <c r="AU495" s="163"/>
      <c r="AV495" s="321"/>
    </row>
    <row r="496" spans="1:48" ht="12.75" x14ac:dyDescent="0.2">
      <c r="A496" s="243"/>
      <c r="B496" s="243"/>
      <c r="C496" s="1024"/>
      <c r="D496" s="1024"/>
      <c r="E496" s="1025"/>
      <c r="F496" s="243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3"/>
      <c r="Z496" s="243"/>
      <c r="AA496" s="243"/>
      <c r="AB496" s="243"/>
      <c r="AC496" s="243"/>
      <c r="AD496" s="243"/>
      <c r="AE496" s="243"/>
      <c r="AF496" s="243"/>
      <c r="AG496" s="243"/>
      <c r="AH496" s="243"/>
      <c r="AI496" s="243"/>
      <c r="AJ496" s="243"/>
      <c r="AK496" s="243"/>
      <c r="AL496" s="243"/>
      <c r="AM496" s="243"/>
      <c r="AN496" s="243"/>
      <c r="AO496" s="243"/>
      <c r="AP496" s="243"/>
      <c r="AQ496" s="1024"/>
      <c r="AR496" s="357"/>
      <c r="AS496" s="163"/>
      <c r="AT496" s="163"/>
      <c r="AU496" s="163"/>
      <c r="AV496" s="321"/>
    </row>
    <row r="497" spans="1:48" ht="12.75" x14ac:dyDescent="0.2">
      <c r="A497" s="243"/>
      <c r="B497" s="243"/>
      <c r="C497" s="1024"/>
      <c r="D497" s="1024"/>
      <c r="E497" s="1025"/>
      <c r="F497" s="243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3"/>
      <c r="Z497" s="243"/>
      <c r="AA497" s="243"/>
      <c r="AB497" s="243"/>
      <c r="AC497" s="243"/>
      <c r="AD497" s="243"/>
      <c r="AE497" s="243"/>
      <c r="AF497" s="243"/>
      <c r="AG497" s="243"/>
      <c r="AH497" s="243"/>
      <c r="AI497" s="243"/>
      <c r="AJ497" s="243"/>
      <c r="AK497" s="243"/>
      <c r="AL497" s="243"/>
      <c r="AM497" s="243"/>
      <c r="AN497" s="243"/>
      <c r="AO497" s="243"/>
      <c r="AP497" s="243"/>
      <c r="AQ497" s="1024"/>
      <c r="AR497" s="357"/>
      <c r="AS497" s="163"/>
      <c r="AT497" s="163"/>
      <c r="AU497" s="163"/>
      <c r="AV497" s="321"/>
    </row>
    <row r="498" spans="1:48" ht="12.75" x14ac:dyDescent="0.2">
      <c r="A498" s="243"/>
      <c r="B498" s="243"/>
      <c r="C498" s="1024"/>
      <c r="D498" s="1024"/>
      <c r="E498" s="1025"/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  <c r="AA498" s="243"/>
      <c r="AB498" s="243"/>
      <c r="AC498" s="243"/>
      <c r="AD498" s="243"/>
      <c r="AE498" s="243"/>
      <c r="AF498" s="243"/>
      <c r="AG498" s="243"/>
      <c r="AH498" s="243"/>
      <c r="AI498" s="243"/>
      <c r="AJ498" s="243"/>
      <c r="AK498" s="243"/>
      <c r="AL498" s="243"/>
      <c r="AM498" s="243"/>
      <c r="AN498" s="243"/>
      <c r="AO498" s="243"/>
      <c r="AP498" s="243"/>
      <c r="AQ498" s="1024"/>
      <c r="AR498" s="357"/>
      <c r="AS498" s="163"/>
      <c r="AT498" s="163"/>
      <c r="AU498" s="163"/>
      <c r="AV498" s="321"/>
    </row>
    <row r="499" spans="1:48" ht="12.75" x14ac:dyDescent="0.2">
      <c r="A499" s="243"/>
      <c r="B499" s="243"/>
      <c r="C499" s="1024"/>
      <c r="D499" s="1024"/>
      <c r="E499" s="1025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  <c r="AH499" s="243"/>
      <c r="AI499" s="243"/>
      <c r="AJ499" s="243"/>
      <c r="AK499" s="243"/>
      <c r="AL499" s="243"/>
      <c r="AM499" s="243"/>
      <c r="AN499" s="243"/>
      <c r="AO499" s="243"/>
      <c r="AP499" s="243"/>
      <c r="AQ499" s="1024"/>
      <c r="AR499" s="357"/>
      <c r="AS499" s="163"/>
      <c r="AT499" s="163"/>
      <c r="AU499" s="163"/>
      <c r="AV499" s="321"/>
    </row>
    <row r="500" spans="1:48" ht="12.75" x14ac:dyDescent="0.2">
      <c r="A500" s="243"/>
      <c r="B500" s="243"/>
      <c r="C500" s="1024"/>
      <c r="D500" s="1024"/>
      <c r="E500" s="1025"/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  <c r="AH500" s="243"/>
      <c r="AI500" s="243"/>
      <c r="AJ500" s="243"/>
      <c r="AK500" s="243"/>
      <c r="AL500" s="243"/>
      <c r="AM500" s="243"/>
      <c r="AN500" s="243"/>
      <c r="AO500" s="243"/>
      <c r="AP500" s="243"/>
      <c r="AQ500" s="1024"/>
      <c r="AR500" s="357"/>
      <c r="AS500" s="163"/>
      <c r="AT500" s="163"/>
      <c r="AU500" s="163"/>
      <c r="AV500" s="321"/>
    </row>
    <row r="501" spans="1:48" ht="12.75" x14ac:dyDescent="0.2">
      <c r="A501" s="243"/>
      <c r="B501" s="243"/>
      <c r="C501" s="1024"/>
      <c r="D501" s="1024"/>
      <c r="E501" s="1025"/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  <c r="AH501" s="243"/>
      <c r="AI501" s="243"/>
      <c r="AJ501" s="243"/>
      <c r="AK501" s="243"/>
      <c r="AL501" s="243"/>
      <c r="AM501" s="243"/>
      <c r="AN501" s="243"/>
      <c r="AO501" s="243"/>
      <c r="AP501" s="243"/>
      <c r="AQ501" s="1024"/>
      <c r="AR501" s="357"/>
      <c r="AS501" s="163"/>
      <c r="AT501" s="163"/>
      <c r="AU501" s="163"/>
      <c r="AV501" s="321"/>
    </row>
    <row r="502" spans="1:48" ht="12.75" x14ac:dyDescent="0.2">
      <c r="A502" s="243"/>
      <c r="B502" s="243"/>
      <c r="C502" s="1024"/>
      <c r="D502" s="1024"/>
      <c r="E502" s="1025"/>
      <c r="F502" s="243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3"/>
      <c r="Z502" s="243"/>
      <c r="AA502" s="243"/>
      <c r="AB502" s="243"/>
      <c r="AC502" s="243"/>
      <c r="AD502" s="243"/>
      <c r="AE502" s="243"/>
      <c r="AF502" s="243"/>
      <c r="AG502" s="243"/>
      <c r="AH502" s="243"/>
      <c r="AI502" s="243"/>
      <c r="AJ502" s="243"/>
      <c r="AK502" s="243"/>
      <c r="AL502" s="243"/>
      <c r="AM502" s="243"/>
      <c r="AN502" s="243"/>
      <c r="AO502" s="243"/>
      <c r="AP502" s="243"/>
      <c r="AQ502" s="1024"/>
      <c r="AR502" s="357"/>
      <c r="AS502" s="163"/>
      <c r="AT502" s="163"/>
      <c r="AU502" s="163"/>
      <c r="AV502" s="321"/>
    </row>
    <row r="503" spans="1:48" ht="12.75" x14ac:dyDescent="0.2">
      <c r="A503" s="243"/>
      <c r="B503" s="243"/>
      <c r="C503" s="1024"/>
      <c r="D503" s="1024"/>
      <c r="E503" s="1025"/>
      <c r="F503" s="243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3"/>
      <c r="Z503" s="243"/>
      <c r="AA503" s="243"/>
      <c r="AB503" s="243"/>
      <c r="AC503" s="243"/>
      <c r="AD503" s="243"/>
      <c r="AE503" s="243"/>
      <c r="AF503" s="243"/>
      <c r="AG503" s="243"/>
      <c r="AH503" s="243"/>
      <c r="AI503" s="243"/>
      <c r="AJ503" s="243"/>
      <c r="AK503" s="243"/>
      <c r="AL503" s="243"/>
      <c r="AM503" s="243"/>
      <c r="AN503" s="243"/>
      <c r="AO503" s="243"/>
      <c r="AP503" s="243"/>
      <c r="AQ503" s="1024"/>
      <c r="AR503" s="357"/>
      <c r="AS503" s="163"/>
      <c r="AT503" s="163"/>
      <c r="AU503" s="163"/>
      <c r="AV503" s="321"/>
    </row>
    <row r="504" spans="1:48" ht="12.75" x14ac:dyDescent="0.2">
      <c r="A504" s="243"/>
      <c r="B504" s="243"/>
      <c r="C504" s="1024"/>
      <c r="D504" s="1024"/>
      <c r="E504" s="1025"/>
      <c r="F504" s="243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3"/>
      <c r="Z504" s="243"/>
      <c r="AA504" s="243"/>
      <c r="AB504" s="243"/>
      <c r="AC504" s="243"/>
      <c r="AD504" s="243"/>
      <c r="AE504" s="243"/>
      <c r="AF504" s="243"/>
      <c r="AG504" s="243"/>
      <c r="AH504" s="243"/>
      <c r="AI504" s="243"/>
      <c r="AJ504" s="243"/>
      <c r="AK504" s="243"/>
      <c r="AL504" s="243"/>
      <c r="AM504" s="243"/>
      <c r="AN504" s="243"/>
      <c r="AO504" s="243"/>
      <c r="AP504" s="243"/>
      <c r="AQ504" s="1024"/>
      <c r="AR504" s="357"/>
      <c r="AS504" s="163"/>
      <c r="AT504" s="163"/>
      <c r="AU504" s="163"/>
      <c r="AV504" s="321"/>
    </row>
    <row r="505" spans="1:48" ht="12.75" x14ac:dyDescent="0.2">
      <c r="A505" s="243"/>
      <c r="B505" s="243"/>
      <c r="C505" s="1024"/>
      <c r="D505" s="1024"/>
      <c r="E505" s="1025"/>
      <c r="F505" s="243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3"/>
      <c r="Z505" s="243"/>
      <c r="AA505" s="243"/>
      <c r="AB505" s="243"/>
      <c r="AC505" s="243"/>
      <c r="AD505" s="243"/>
      <c r="AE505" s="243"/>
      <c r="AF505" s="243"/>
      <c r="AG505" s="243"/>
      <c r="AH505" s="243"/>
      <c r="AI505" s="243"/>
      <c r="AJ505" s="243"/>
      <c r="AK505" s="243"/>
      <c r="AL505" s="243"/>
      <c r="AM505" s="243"/>
      <c r="AN505" s="243"/>
      <c r="AO505" s="243"/>
      <c r="AP505" s="243"/>
      <c r="AQ505" s="1024"/>
      <c r="AR505" s="357"/>
      <c r="AS505" s="163"/>
      <c r="AT505" s="163"/>
      <c r="AU505" s="163"/>
      <c r="AV505" s="321"/>
    </row>
    <row r="506" spans="1:48" ht="12.75" x14ac:dyDescent="0.2">
      <c r="A506" s="243"/>
      <c r="B506" s="243"/>
      <c r="C506" s="1024"/>
      <c r="D506" s="1024"/>
      <c r="E506" s="1025"/>
      <c r="F506" s="243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3"/>
      <c r="Z506" s="243"/>
      <c r="AA506" s="243"/>
      <c r="AB506" s="243"/>
      <c r="AC506" s="243"/>
      <c r="AD506" s="243"/>
      <c r="AE506" s="243"/>
      <c r="AF506" s="243"/>
      <c r="AG506" s="243"/>
      <c r="AH506" s="243"/>
      <c r="AI506" s="243"/>
      <c r="AJ506" s="243"/>
      <c r="AK506" s="243"/>
      <c r="AL506" s="243"/>
      <c r="AM506" s="243"/>
      <c r="AN506" s="243"/>
      <c r="AO506" s="243"/>
      <c r="AP506" s="243"/>
      <c r="AQ506" s="1024"/>
      <c r="AR506" s="357"/>
      <c r="AS506" s="163"/>
      <c r="AT506" s="163"/>
      <c r="AU506" s="163"/>
      <c r="AV506" s="321"/>
    </row>
    <row r="507" spans="1:48" ht="12.75" x14ac:dyDescent="0.2">
      <c r="A507" s="243"/>
      <c r="B507" s="243"/>
      <c r="C507" s="1024"/>
      <c r="D507" s="1024"/>
      <c r="E507" s="1025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  <c r="AA507" s="243"/>
      <c r="AB507" s="243"/>
      <c r="AC507" s="243"/>
      <c r="AD507" s="243"/>
      <c r="AE507" s="243"/>
      <c r="AF507" s="243"/>
      <c r="AG507" s="243"/>
      <c r="AH507" s="243"/>
      <c r="AI507" s="243"/>
      <c r="AJ507" s="243"/>
      <c r="AK507" s="243"/>
      <c r="AL507" s="243"/>
      <c r="AM507" s="243"/>
      <c r="AN507" s="243"/>
      <c r="AO507" s="243"/>
      <c r="AP507" s="243"/>
      <c r="AQ507" s="1024"/>
      <c r="AR507" s="357"/>
      <c r="AS507" s="163"/>
      <c r="AT507" s="163"/>
      <c r="AU507" s="163"/>
      <c r="AV507" s="321"/>
    </row>
    <row r="508" spans="1:48" ht="12.75" x14ac:dyDescent="0.2">
      <c r="A508" s="243"/>
      <c r="B508" s="243"/>
      <c r="C508" s="1024"/>
      <c r="D508" s="1024"/>
      <c r="E508" s="1025"/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  <c r="AA508" s="243"/>
      <c r="AB508" s="243"/>
      <c r="AC508" s="243"/>
      <c r="AD508" s="243"/>
      <c r="AE508" s="243"/>
      <c r="AF508" s="243"/>
      <c r="AG508" s="243"/>
      <c r="AH508" s="243"/>
      <c r="AI508" s="243"/>
      <c r="AJ508" s="243"/>
      <c r="AK508" s="243"/>
      <c r="AL508" s="243"/>
      <c r="AM508" s="243"/>
      <c r="AN508" s="243"/>
      <c r="AO508" s="243"/>
      <c r="AP508" s="243"/>
      <c r="AQ508" s="1024"/>
      <c r="AR508" s="357"/>
      <c r="AS508" s="163"/>
      <c r="AT508" s="163"/>
      <c r="AU508" s="163"/>
      <c r="AV508" s="321"/>
    </row>
    <row r="509" spans="1:48" ht="12.75" x14ac:dyDescent="0.2">
      <c r="A509" s="243"/>
      <c r="B509" s="243"/>
      <c r="C509" s="1024"/>
      <c r="D509" s="1024"/>
      <c r="E509" s="1025"/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  <c r="AA509" s="243"/>
      <c r="AB509" s="243"/>
      <c r="AC509" s="243"/>
      <c r="AD509" s="243"/>
      <c r="AE509" s="243"/>
      <c r="AF509" s="243"/>
      <c r="AG509" s="243"/>
      <c r="AH509" s="243"/>
      <c r="AI509" s="243"/>
      <c r="AJ509" s="243"/>
      <c r="AK509" s="243"/>
      <c r="AL509" s="243"/>
      <c r="AM509" s="243"/>
      <c r="AN509" s="243"/>
      <c r="AO509" s="243"/>
      <c r="AP509" s="243"/>
      <c r="AQ509" s="1024"/>
      <c r="AR509" s="357"/>
      <c r="AS509" s="163"/>
      <c r="AT509" s="163"/>
      <c r="AU509" s="163"/>
      <c r="AV509" s="321"/>
    </row>
    <row r="510" spans="1:48" ht="12.75" x14ac:dyDescent="0.2">
      <c r="A510" s="243"/>
      <c r="B510" s="243"/>
      <c r="C510" s="1024"/>
      <c r="D510" s="1024"/>
      <c r="E510" s="1025"/>
      <c r="F510" s="243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3"/>
      <c r="Z510" s="243"/>
      <c r="AA510" s="243"/>
      <c r="AB510" s="243"/>
      <c r="AC510" s="243"/>
      <c r="AD510" s="243"/>
      <c r="AE510" s="243"/>
      <c r="AF510" s="243"/>
      <c r="AG510" s="243"/>
      <c r="AH510" s="243"/>
      <c r="AI510" s="243"/>
      <c r="AJ510" s="243"/>
      <c r="AK510" s="243"/>
      <c r="AL510" s="243"/>
      <c r="AM510" s="243"/>
      <c r="AN510" s="243"/>
      <c r="AO510" s="243"/>
      <c r="AP510" s="243"/>
      <c r="AQ510" s="1024"/>
      <c r="AR510" s="357"/>
      <c r="AS510" s="163"/>
      <c r="AT510" s="163"/>
      <c r="AU510" s="163"/>
      <c r="AV510" s="321"/>
    </row>
    <row r="511" spans="1:48" ht="12.75" x14ac:dyDescent="0.2">
      <c r="A511" s="243"/>
      <c r="B511" s="243"/>
      <c r="C511" s="1024"/>
      <c r="D511" s="1024"/>
      <c r="E511" s="1025"/>
      <c r="F511" s="243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3"/>
      <c r="Z511" s="243"/>
      <c r="AA511" s="243"/>
      <c r="AB511" s="243"/>
      <c r="AC511" s="243"/>
      <c r="AD511" s="243"/>
      <c r="AE511" s="243"/>
      <c r="AF511" s="243"/>
      <c r="AG511" s="243"/>
      <c r="AH511" s="243"/>
      <c r="AI511" s="243"/>
      <c r="AJ511" s="243"/>
      <c r="AK511" s="243"/>
      <c r="AL511" s="243"/>
      <c r="AM511" s="243"/>
      <c r="AN511" s="243"/>
      <c r="AO511" s="243"/>
      <c r="AP511" s="243"/>
      <c r="AQ511" s="1024"/>
      <c r="AR511" s="357"/>
      <c r="AS511" s="163"/>
      <c r="AT511" s="163"/>
      <c r="AU511" s="163"/>
      <c r="AV511" s="321"/>
    </row>
    <row r="512" spans="1:48" ht="12.75" x14ac:dyDescent="0.2">
      <c r="A512" s="243"/>
      <c r="B512" s="243"/>
      <c r="C512" s="1024"/>
      <c r="D512" s="1024"/>
      <c r="E512" s="1025"/>
      <c r="F512" s="243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3"/>
      <c r="Z512" s="243"/>
      <c r="AA512" s="243"/>
      <c r="AB512" s="243"/>
      <c r="AC512" s="243"/>
      <c r="AD512" s="243"/>
      <c r="AE512" s="243"/>
      <c r="AF512" s="243"/>
      <c r="AG512" s="243"/>
      <c r="AH512" s="243"/>
      <c r="AI512" s="243"/>
      <c r="AJ512" s="243"/>
      <c r="AK512" s="243"/>
      <c r="AL512" s="243"/>
      <c r="AM512" s="243"/>
      <c r="AN512" s="243"/>
      <c r="AO512" s="243"/>
      <c r="AP512" s="243"/>
      <c r="AQ512" s="1024"/>
      <c r="AR512" s="357"/>
      <c r="AS512" s="163"/>
      <c r="AT512" s="163"/>
      <c r="AU512" s="163"/>
      <c r="AV512" s="321"/>
    </row>
    <row r="513" spans="1:48" ht="12.75" x14ac:dyDescent="0.2">
      <c r="A513" s="243"/>
      <c r="B513" s="243"/>
      <c r="C513" s="1024"/>
      <c r="D513" s="1024"/>
      <c r="E513" s="1025"/>
      <c r="F513" s="243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3"/>
      <c r="Z513" s="243"/>
      <c r="AA513" s="243"/>
      <c r="AB513" s="243"/>
      <c r="AC513" s="243"/>
      <c r="AD513" s="243"/>
      <c r="AE513" s="243"/>
      <c r="AF513" s="243"/>
      <c r="AG513" s="243"/>
      <c r="AH513" s="243"/>
      <c r="AI513" s="243"/>
      <c r="AJ513" s="243"/>
      <c r="AK513" s="243"/>
      <c r="AL513" s="243"/>
      <c r="AM513" s="243"/>
      <c r="AN513" s="243"/>
      <c r="AO513" s="243"/>
      <c r="AP513" s="243"/>
      <c r="AQ513" s="1024"/>
      <c r="AR513" s="357"/>
      <c r="AS513" s="163"/>
      <c r="AT513" s="163"/>
      <c r="AU513" s="163"/>
      <c r="AV513" s="321"/>
    </row>
    <row r="514" spans="1:48" ht="12.75" x14ac:dyDescent="0.2">
      <c r="A514" s="243"/>
      <c r="B514" s="243"/>
      <c r="C514" s="1024"/>
      <c r="D514" s="1024"/>
      <c r="E514" s="1025"/>
      <c r="F514" s="243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3"/>
      <c r="Z514" s="243"/>
      <c r="AA514" s="243"/>
      <c r="AB514" s="243"/>
      <c r="AC514" s="243"/>
      <c r="AD514" s="243"/>
      <c r="AE514" s="243"/>
      <c r="AF514" s="243"/>
      <c r="AG514" s="243"/>
      <c r="AH514" s="243"/>
      <c r="AI514" s="243"/>
      <c r="AJ514" s="243"/>
      <c r="AK514" s="243"/>
      <c r="AL514" s="243"/>
      <c r="AM514" s="243"/>
      <c r="AN514" s="243"/>
      <c r="AO514" s="243"/>
      <c r="AP514" s="243"/>
      <c r="AQ514" s="1024"/>
      <c r="AR514" s="357"/>
      <c r="AS514" s="163"/>
      <c r="AT514" s="163"/>
      <c r="AU514" s="163"/>
      <c r="AV514" s="321"/>
    </row>
    <row r="515" spans="1:48" ht="12.75" x14ac:dyDescent="0.2">
      <c r="A515" s="243"/>
      <c r="B515" s="243"/>
      <c r="C515" s="1024"/>
      <c r="D515" s="1024"/>
      <c r="E515" s="1025"/>
      <c r="F515" s="243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3"/>
      <c r="Z515" s="243"/>
      <c r="AA515" s="243"/>
      <c r="AB515" s="243"/>
      <c r="AC515" s="243"/>
      <c r="AD515" s="243"/>
      <c r="AE515" s="243"/>
      <c r="AF515" s="243"/>
      <c r="AG515" s="243"/>
      <c r="AH515" s="243"/>
      <c r="AI515" s="243"/>
      <c r="AJ515" s="243"/>
      <c r="AK515" s="243"/>
      <c r="AL515" s="243"/>
      <c r="AM515" s="243"/>
      <c r="AN515" s="243"/>
      <c r="AO515" s="243"/>
      <c r="AP515" s="243"/>
      <c r="AQ515" s="1024"/>
      <c r="AR515" s="357"/>
      <c r="AS515" s="163"/>
      <c r="AT515" s="163"/>
      <c r="AU515" s="163"/>
      <c r="AV515" s="321"/>
    </row>
    <row r="516" spans="1:48" ht="12.75" x14ac:dyDescent="0.2">
      <c r="A516" s="243"/>
      <c r="B516" s="243"/>
      <c r="C516" s="1024"/>
      <c r="D516" s="1024"/>
      <c r="E516" s="1025"/>
      <c r="F516" s="243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3"/>
      <c r="Z516" s="243"/>
      <c r="AA516" s="243"/>
      <c r="AB516" s="243"/>
      <c r="AC516" s="243"/>
      <c r="AD516" s="243"/>
      <c r="AE516" s="243"/>
      <c r="AF516" s="243"/>
      <c r="AG516" s="243"/>
      <c r="AH516" s="243"/>
      <c r="AI516" s="243"/>
      <c r="AJ516" s="243"/>
      <c r="AK516" s="243"/>
      <c r="AL516" s="243"/>
      <c r="AM516" s="243"/>
      <c r="AN516" s="243"/>
      <c r="AO516" s="243"/>
      <c r="AP516" s="243"/>
      <c r="AQ516" s="1024"/>
      <c r="AR516" s="357"/>
      <c r="AS516" s="163"/>
      <c r="AT516" s="163"/>
      <c r="AU516" s="163"/>
      <c r="AV516" s="321"/>
    </row>
    <row r="517" spans="1:48" ht="12.75" x14ac:dyDescent="0.2">
      <c r="A517" s="243"/>
      <c r="B517" s="243"/>
      <c r="C517" s="1024"/>
      <c r="D517" s="1024"/>
      <c r="E517" s="1025"/>
      <c r="F517" s="243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3"/>
      <c r="Z517" s="243"/>
      <c r="AA517" s="243"/>
      <c r="AB517" s="243"/>
      <c r="AC517" s="243"/>
      <c r="AD517" s="243"/>
      <c r="AE517" s="243"/>
      <c r="AF517" s="243"/>
      <c r="AG517" s="243"/>
      <c r="AH517" s="243"/>
      <c r="AI517" s="243"/>
      <c r="AJ517" s="243"/>
      <c r="AK517" s="243"/>
      <c r="AL517" s="243"/>
      <c r="AM517" s="243"/>
      <c r="AN517" s="243"/>
      <c r="AO517" s="243"/>
      <c r="AP517" s="243"/>
      <c r="AQ517" s="1024"/>
      <c r="AR517" s="357"/>
      <c r="AS517" s="163"/>
      <c r="AT517" s="163"/>
      <c r="AU517" s="163"/>
      <c r="AV517" s="321"/>
    </row>
    <row r="518" spans="1:48" ht="12.75" x14ac:dyDescent="0.2">
      <c r="A518" s="243"/>
      <c r="B518" s="243"/>
      <c r="C518" s="1024"/>
      <c r="D518" s="1024"/>
      <c r="E518" s="1025"/>
      <c r="F518" s="243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3"/>
      <c r="Z518" s="243"/>
      <c r="AA518" s="243"/>
      <c r="AB518" s="243"/>
      <c r="AC518" s="243"/>
      <c r="AD518" s="243"/>
      <c r="AE518" s="243"/>
      <c r="AF518" s="243"/>
      <c r="AG518" s="243"/>
      <c r="AH518" s="243"/>
      <c r="AI518" s="243"/>
      <c r="AJ518" s="243"/>
      <c r="AK518" s="243"/>
      <c r="AL518" s="243"/>
      <c r="AM518" s="243"/>
      <c r="AN518" s="243"/>
      <c r="AO518" s="243"/>
      <c r="AP518" s="243"/>
      <c r="AQ518" s="1024"/>
      <c r="AR518" s="357"/>
      <c r="AS518" s="163"/>
      <c r="AT518" s="163"/>
      <c r="AU518" s="163"/>
      <c r="AV518" s="321"/>
    </row>
    <row r="519" spans="1:48" ht="12.75" x14ac:dyDescent="0.2">
      <c r="A519" s="243"/>
      <c r="B519" s="243"/>
      <c r="C519" s="1024"/>
      <c r="D519" s="1024"/>
      <c r="E519" s="1025"/>
      <c r="F519" s="243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3"/>
      <c r="Z519" s="243"/>
      <c r="AA519" s="243"/>
      <c r="AB519" s="243"/>
      <c r="AC519" s="243"/>
      <c r="AD519" s="243"/>
      <c r="AE519" s="243"/>
      <c r="AF519" s="243"/>
      <c r="AG519" s="243"/>
      <c r="AH519" s="243"/>
      <c r="AI519" s="243"/>
      <c r="AJ519" s="243"/>
      <c r="AK519" s="243"/>
      <c r="AL519" s="243"/>
      <c r="AM519" s="243"/>
      <c r="AN519" s="243"/>
      <c r="AO519" s="243"/>
      <c r="AP519" s="243"/>
      <c r="AQ519" s="1024"/>
      <c r="AR519" s="357"/>
      <c r="AS519" s="163"/>
      <c r="AT519" s="163"/>
      <c r="AU519" s="163"/>
      <c r="AV519" s="321"/>
    </row>
    <row r="520" spans="1:48" ht="12.75" x14ac:dyDescent="0.2">
      <c r="A520" s="243"/>
      <c r="B520" s="243"/>
      <c r="C520" s="1024"/>
      <c r="D520" s="1024"/>
      <c r="E520" s="1025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  <c r="AA520" s="243"/>
      <c r="AB520" s="243"/>
      <c r="AC520" s="243"/>
      <c r="AD520" s="243"/>
      <c r="AE520" s="243"/>
      <c r="AF520" s="243"/>
      <c r="AG520" s="243"/>
      <c r="AH520" s="243"/>
      <c r="AI520" s="243"/>
      <c r="AJ520" s="243"/>
      <c r="AK520" s="243"/>
      <c r="AL520" s="243"/>
      <c r="AM520" s="243"/>
      <c r="AN520" s="243"/>
      <c r="AO520" s="243"/>
      <c r="AP520" s="243"/>
      <c r="AQ520" s="1024"/>
      <c r="AR520" s="357"/>
      <c r="AS520" s="163"/>
      <c r="AT520" s="163"/>
      <c r="AU520" s="163"/>
      <c r="AV520" s="321"/>
    </row>
    <row r="521" spans="1:48" ht="12.75" x14ac:dyDescent="0.2">
      <c r="A521" s="243"/>
      <c r="B521" s="243"/>
      <c r="C521" s="1024"/>
      <c r="D521" s="1024"/>
      <c r="E521" s="1025"/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  <c r="AA521" s="243"/>
      <c r="AB521" s="243"/>
      <c r="AC521" s="243"/>
      <c r="AD521" s="243"/>
      <c r="AE521" s="243"/>
      <c r="AF521" s="243"/>
      <c r="AG521" s="243"/>
      <c r="AH521" s="243"/>
      <c r="AI521" s="243"/>
      <c r="AJ521" s="243"/>
      <c r="AK521" s="243"/>
      <c r="AL521" s="243"/>
      <c r="AM521" s="243"/>
      <c r="AN521" s="243"/>
      <c r="AO521" s="243"/>
      <c r="AP521" s="243"/>
      <c r="AQ521" s="1024"/>
      <c r="AR521" s="357"/>
      <c r="AS521" s="163"/>
      <c r="AT521" s="163"/>
      <c r="AU521" s="163"/>
      <c r="AV521" s="321"/>
    </row>
    <row r="522" spans="1:48" ht="12.75" x14ac:dyDescent="0.2">
      <c r="A522" s="243"/>
      <c r="B522" s="243"/>
      <c r="C522" s="1024"/>
      <c r="D522" s="1024"/>
      <c r="E522" s="1025"/>
      <c r="F522" s="243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3"/>
      <c r="AG522" s="243"/>
      <c r="AH522" s="243"/>
      <c r="AI522" s="243"/>
      <c r="AJ522" s="243"/>
      <c r="AK522" s="243"/>
      <c r="AL522" s="243"/>
      <c r="AM522" s="243"/>
      <c r="AN522" s="243"/>
      <c r="AO522" s="243"/>
      <c r="AP522" s="243"/>
      <c r="AQ522" s="1024"/>
      <c r="AR522" s="357"/>
      <c r="AS522" s="163"/>
      <c r="AT522" s="163"/>
      <c r="AU522" s="163"/>
      <c r="AV522" s="321"/>
    </row>
    <row r="523" spans="1:48" ht="12.75" x14ac:dyDescent="0.2">
      <c r="A523" s="243"/>
      <c r="B523" s="243"/>
      <c r="C523" s="1024"/>
      <c r="D523" s="1024"/>
      <c r="E523" s="1025"/>
      <c r="F523" s="243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3"/>
      <c r="AG523" s="243"/>
      <c r="AH523" s="243"/>
      <c r="AI523" s="243"/>
      <c r="AJ523" s="243"/>
      <c r="AK523" s="243"/>
      <c r="AL523" s="243"/>
      <c r="AM523" s="243"/>
      <c r="AN523" s="243"/>
      <c r="AO523" s="243"/>
      <c r="AP523" s="243"/>
      <c r="AQ523" s="1024"/>
      <c r="AR523" s="357"/>
      <c r="AS523" s="163"/>
      <c r="AT523" s="163"/>
      <c r="AU523" s="163"/>
      <c r="AV523" s="321"/>
    </row>
    <row r="524" spans="1:48" ht="12.75" x14ac:dyDescent="0.2">
      <c r="A524" s="243"/>
      <c r="B524" s="243"/>
      <c r="C524" s="1024"/>
      <c r="D524" s="1024"/>
      <c r="E524" s="1025"/>
      <c r="F524" s="243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3"/>
      <c r="Z524" s="243"/>
      <c r="AA524" s="243"/>
      <c r="AB524" s="243"/>
      <c r="AC524" s="243"/>
      <c r="AD524" s="243"/>
      <c r="AE524" s="243"/>
      <c r="AF524" s="243"/>
      <c r="AG524" s="243"/>
      <c r="AH524" s="243"/>
      <c r="AI524" s="243"/>
      <c r="AJ524" s="243"/>
      <c r="AK524" s="243"/>
      <c r="AL524" s="243"/>
      <c r="AM524" s="243"/>
      <c r="AN524" s="243"/>
      <c r="AO524" s="243"/>
      <c r="AP524" s="243"/>
      <c r="AQ524" s="1024"/>
      <c r="AR524" s="357"/>
      <c r="AS524" s="163"/>
      <c r="AT524" s="163"/>
      <c r="AU524" s="163"/>
      <c r="AV524" s="321"/>
    </row>
    <row r="525" spans="1:48" ht="12.75" x14ac:dyDescent="0.2">
      <c r="A525" s="243"/>
      <c r="B525" s="243"/>
      <c r="C525" s="1024"/>
      <c r="D525" s="1024"/>
      <c r="E525" s="1025"/>
      <c r="F525" s="243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3"/>
      <c r="Z525" s="243"/>
      <c r="AA525" s="243"/>
      <c r="AB525" s="243"/>
      <c r="AC525" s="243"/>
      <c r="AD525" s="243"/>
      <c r="AE525" s="243"/>
      <c r="AF525" s="243"/>
      <c r="AG525" s="243"/>
      <c r="AH525" s="243"/>
      <c r="AI525" s="243"/>
      <c r="AJ525" s="243"/>
      <c r="AK525" s="243"/>
      <c r="AL525" s="243"/>
      <c r="AM525" s="243"/>
      <c r="AN525" s="243"/>
      <c r="AO525" s="243"/>
      <c r="AP525" s="243"/>
      <c r="AQ525" s="1024"/>
      <c r="AR525" s="357"/>
      <c r="AS525" s="163"/>
      <c r="AT525" s="163"/>
      <c r="AU525" s="163"/>
      <c r="AV525" s="321"/>
    </row>
    <row r="526" spans="1:48" ht="12.75" x14ac:dyDescent="0.2">
      <c r="A526" s="243"/>
      <c r="B526" s="243"/>
      <c r="C526" s="1024"/>
      <c r="D526" s="1024"/>
      <c r="E526" s="1025"/>
      <c r="F526" s="243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3"/>
      <c r="Z526" s="243"/>
      <c r="AA526" s="243"/>
      <c r="AB526" s="243"/>
      <c r="AC526" s="243"/>
      <c r="AD526" s="243"/>
      <c r="AE526" s="243"/>
      <c r="AF526" s="243"/>
      <c r="AG526" s="243"/>
      <c r="AH526" s="243"/>
      <c r="AI526" s="243"/>
      <c r="AJ526" s="243"/>
      <c r="AK526" s="243"/>
      <c r="AL526" s="243"/>
      <c r="AM526" s="243"/>
      <c r="AN526" s="243"/>
      <c r="AO526" s="243"/>
      <c r="AP526" s="243"/>
      <c r="AQ526" s="1024"/>
      <c r="AR526" s="357"/>
      <c r="AS526" s="163"/>
      <c r="AT526" s="163"/>
      <c r="AU526" s="163"/>
      <c r="AV526" s="321"/>
    </row>
    <row r="527" spans="1:48" ht="12.75" x14ac:dyDescent="0.2">
      <c r="A527" s="243"/>
      <c r="B527" s="243"/>
      <c r="C527" s="1024"/>
      <c r="D527" s="1024"/>
      <c r="E527" s="1025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  <c r="AH527" s="243"/>
      <c r="AI527" s="243"/>
      <c r="AJ527" s="243"/>
      <c r="AK527" s="243"/>
      <c r="AL527" s="243"/>
      <c r="AM527" s="243"/>
      <c r="AN527" s="243"/>
      <c r="AO527" s="243"/>
      <c r="AP527" s="243"/>
      <c r="AQ527" s="1024"/>
      <c r="AR527" s="357"/>
      <c r="AS527" s="163"/>
      <c r="AT527" s="163"/>
      <c r="AU527" s="163"/>
      <c r="AV527" s="321"/>
    </row>
    <row r="528" spans="1:48" ht="12.75" x14ac:dyDescent="0.2">
      <c r="A528" s="243"/>
      <c r="B528" s="243"/>
      <c r="C528" s="1024"/>
      <c r="D528" s="1024"/>
      <c r="E528" s="1025"/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  <c r="AA528" s="243"/>
      <c r="AB528" s="243"/>
      <c r="AC528" s="243"/>
      <c r="AD528" s="243"/>
      <c r="AE528" s="243"/>
      <c r="AF528" s="243"/>
      <c r="AG528" s="243"/>
      <c r="AH528" s="243"/>
      <c r="AI528" s="243"/>
      <c r="AJ528" s="243"/>
      <c r="AK528" s="243"/>
      <c r="AL528" s="243"/>
      <c r="AM528" s="243"/>
      <c r="AN528" s="243"/>
      <c r="AO528" s="243"/>
      <c r="AP528" s="243"/>
      <c r="AQ528" s="1024"/>
      <c r="AR528" s="357"/>
      <c r="AS528" s="163"/>
      <c r="AT528" s="163"/>
      <c r="AU528" s="163"/>
      <c r="AV528" s="321"/>
    </row>
    <row r="529" spans="1:48" ht="12.75" x14ac:dyDescent="0.2">
      <c r="A529" s="243"/>
      <c r="B529" s="243"/>
      <c r="C529" s="1024"/>
      <c r="D529" s="1024"/>
      <c r="E529" s="1025"/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  <c r="AA529" s="243"/>
      <c r="AB529" s="243"/>
      <c r="AC529" s="243"/>
      <c r="AD529" s="243"/>
      <c r="AE529" s="243"/>
      <c r="AF529" s="243"/>
      <c r="AG529" s="243"/>
      <c r="AH529" s="243"/>
      <c r="AI529" s="243"/>
      <c r="AJ529" s="243"/>
      <c r="AK529" s="243"/>
      <c r="AL529" s="243"/>
      <c r="AM529" s="243"/>
      <c r="AN529" s="243"/>
      <c r="AO529" s="243"/>
      <c r="AP529" s="243"/>
      <c r="AQ529" s="1024"/>
      <c r="AR529" s="357"/>
      <c r="AS529" s="163"/>
      <c r="AT529" s="163"/>
      <c r="AU529" s="163"/>
      <c r="AV529" s="321"/>
    </row>
    <row r="530" spans="1:48" ht="12.75" x14ac:dyDescent="0.2">
      <c r="A530" s="243"/>
      <c r="B530" s="243"/>
      <c r="C530" s="1024"/>
      <c r="D530" s="1024"/>
      <c r="E530" s="1025"/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  <c r="AA530" s="243"/>
      <c r="AB530" s="243"/>
      <c r="AC530" s="243"/>
      <c r="AD530" s="243"/>
      <c r="AE530" s="243"/>
      <c r="AF530" s="243"/>
      <c r="AG530" s="243"/>
      <c r="AH530" s="243"/>
      <c r="AI530" s="243"/>
      <c r="AJ530" s="243"/>
      <c r="AK530" s="243"/>
      <c r="AL530" s="243"/>
      <c r="AM530" s="243"/>
      <c r="AN530" s="243"/>
      <c r="AO530" s="243"/>
      <c r="AP530" s="243"/>
      <c r="AQ530" s="1024"/>
      <c r="AR530" s="357"/>
      <c r="AS530" s="163"/>
      <c r="AT530" s="163"/>
      <c r="AU530" s="163"/>
      <c r="AV530" s="321"/>
    </row>
    <row r="531" spans="1:48" ht="12.75" x14ac:dyDescent="0.2">
      <c r="A531" s="243"/>
      <c r="B531" s="243"/>
      <c r="C531" s="1024"/>
      <c r="D531" s="1024"/>
      <c r="E531" s="1025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  <c r="AA531" s="243"/>
      <c r="AB531" s="243"/>
      <c r="AC531" s="243"/>
      <c r="AD531" s="243"/>
      <c r="AE531" s="243"/>
      <c r="AF531" s="243"/>
      <c r="AG531" s="243"/>
      <c r="AH531" s="243"/>
      <c r="AI531" s="243"/>
      <c r="AJ531" s="243"/>
      <c r="AK531" s="243"/>
      <c r="AL531" s="243"/>
      <c r="AM531" s="243"/>
      <c r="AN531" s="243"/>
      <c r="AO531" s="243"/>
      <c r="AP531" s="243"/>
      <c r="AQ531" s="1024"/>
      <c r="AR531" s="357"/>
      <c r="AS531" s="163"/>
      <c r="AT531" s="163"/>
      <c r="AU531" s="163"/>
      <c r="AV531" s="321"/>
    </row>
    <row r="532" spans="1:48" ht="12.75" x14ac:dyDescent="0.2">
      <c r="A532" s="243"/>
      <c r="B532" s="243"/>
      <c r="C532" s="1024"/>
      <c r="D532" s="1024"/>
      <c r="E532" s="1025"/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243"/>
      <c r="AB532" s="243"/>
      <c r="AC532" s="243"/>
      <c r="AD532" s="243"/>
      <c r="AE532" s="243"/>
      <c r="AF532" s="243"/>
      <c r="AG532" s="243"/>
      <c r="AH532" s="243"/>
      <c r="AI532" s="243"/>
      <c r="AJ532" s="243"/>
      <c r="AK532" s="243"/>
      <c r="AL532" s="243"/>
      <c r="AM532" s="243"/>
      <c r="AN532" s="243"/>
      <c r="AO532" s="243"/>
      <c r="AP532" s="243"/>
      <c r="AQ532" s="1024"/>
      <c r="AR532" s="357"/>
      <c r="AS532" s="163"/>
      <c r="AT532" s="163"/>
      <c r="AU532" s="163"/>
      <c r="AV532" s="321"/>
    </row>
    <row r="533" spans="1:48" ht="12.75" x14ac:dyDescent="0.2">
      <c r="A533" s="243"/>
      <c r="B533" s="243"/>
      <c r="C533" s="1024"/>
      <c r="D533" s="1024"/>
      <c r="E533" s="1025"/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  <c r="AH533" s="243"/>
      <c r="AI533" s="243"/>
      <c r="AJ533" s="243"/>
      <c r="AK533" s="243"/>
      <c r="AL533" s="243"/>
      <c r="AM533" s="243"/>
      <c r="AN533" s="243"/>
      <c r="AO533" s="243"/>
      <c r="AP533" s="243"/>
      <c r="AQ533" s="1024"/>
      <c r="AR533" s="357"/>
      <c r="AS533" s="163"/>
      <c r="AT533" s="163"/>
      <c r="AU533" s="163"/>
      <c r="AV533" s="321"/>
    </row>
    <row r="534" spans="1:48" ht="12.75" x14ac:dyDescent="0.2">
      <c r="A534" s="243"/>
      <c r="B534" s="243"/>
      <c r="C534" s="1024"/>
      <c r="D534" s="1024"/>
      <c r="E534" s="1025"/>
      <c r="F534" s="243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3"/>
      <c r="Z534" s="243"/>
      <c r="AA534" s="243"/>
      <c r="AB534" s="243"/>
      <c r="AC534" s="243"/>
      <c r="AD534" s="243"/>
      <c r="AE534" s="243"/>
      <c r="AF534" s="243"/>
      <c r="AG534" s="243"/>
      <c r="AH534" s="243"/>
      <c r="AI534" s="243"/>
      <c r="AJ534" s="243"/>
      <c r="AK534" s="243"/>
      <c r="AL534" s="243"/>
      <c r="AM534" s="243"/>
      <c r="AN534" s="243"/>
      <c r="AO534" s="243"/>
      <c r="AP534" s="243"/>
      <c r="AQ534" s="1024"/>
      <c r="AR534" s="357"/>
      <c r="AS534" s="163"/>
      <c r="AT534" s="163"/>
      <c r="AU534" s="163"/>
      <c r="AV534" s="321"/>
    </row>
    <row r="535" spans="1:48" ht="12.75" x14ac:dyDescent="0.2">
      <c r="A535" s="243"/>
      <c r="B535" s="243"/>
      <c r="C535" s="1024"/>
      <c r="D535" s="1024"/>
      <c r="E535" s="1025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  <c r="AA535" s="243"/>
      <c r="AB535" s="243"/>
      <c r="AC535" s="243"/>
      <c r="AD535" s="243"/>
      <c r="AE535" s="243"/>
      <c r="AF535" s="243"/>
      <c r="AG535" s="243"/>
      <c r="AH535" s="243"/>
      <c r="AI535" s="243"/>
      <c r="AJ535" s="243"/>
      <c r="AK535" s="243"/>
      <c r="AL535" s="243"/>
      <c r="AM535" s="243"/>
      <c r="AN535" s="243"/>
      <c r="AO535" s="243"/>
      <c r="AP535" s="243"/>
      <c r="AQ535" s="1024"/>
      <c r="AR535" s="357"/>
      <c r="AS535" s="163"/>
      <c r="AT535" s="163"/>
      <c r="AU535" s="163"/>
      <c r="AV535" s="321"/>
    </row>
    <row r="536" spans="1:48" ht="12.75" x14ac:dyDescent="0.2">
      <c r="A536" s="243"/>
      <c r="B536" s="243"/>
      <c r="C536" s="1024"/>
      <c r="D536" s="1024"/>
      <c r="E536" s="1025"/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  <c r="AA536" s="243"/>
      <c r="AB536" s="243"/>
      <c r="AC536" s="243"/>
      <c r="AD536" s="243"/>
      <c r="AE536" s="243"/>
      <c r="AF536" s="243"/>
      <c r="AG536" s="243"/>
      <c r="AH536" s="243"/>
      <c r="AI536" s="243"/>
      <c r="AJ536" s="243"/>
      <c r="AK536" s="243"/>
      <c r="AL536" s="243"/>
      <c r="AM536" s="243"/>
      <c r="AN536" s="243"/>
      <c r="AO536" s="243"/>
      <c r="AP536" s="243"/>
      <c r="AQ536" s="1024"/>
      <c r="AR536" s="357"/>
      <c r="AS536" s="163"/>
      <c r="AT536" s="163"/>
      <c r="AU536" s="163"/>
      <c r="AV536" s="321"/>
    </row>
    <row r="537" spans="1:48" ht="12.75" x14ac:dyDescent="0.2">
      <c r="A537" s="243"/>
      <c r="B537" s="243"/>
      <c r="C537" s="1024"/>
      <c r="D537" s="1024"/>
      <c r="E537" s="1025"/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  <c r="AA537" s="243"/>
      <c r="AB537" s="243"/>
      <c r="AC537" s="243"/>
      <c r="AD537" s="243"/>
      <c r="AE537" s="243"/>
      <c r="AF537" s="243"/>
      <c r="AG537" s="243"/>
      <c r="AH537" s="243"/>
      <c r="AI537" s="243"/>
      <c r="AJ537" s="243"/>
      <c r="AK537" s="243"/>
      <c r="AL537" s="243"/>
      <c r="AM537" s="243"/>
      <c r="AN537" s="243"/>
      <c r="AO537" s="243"/>
      <c r="AP537" s="243"/>
      <c r="AQ537" s="1024"/>
      <c r="AR537" s="357"/>
      <c r="AS537" s="163"/>
      <c r="AT537" s="163"/>
      <c r="AU537" s="163"/>
      <c r="AV537" s="321"/>
    </row>
    <row r="538" spans="1:48" ht="12.75" x14ac:dyDescent="0.2">
      <c r="A538" s="243"/>
      <c r="B538" s="243"/>
      <c r="C538" s="1024"/>
      <c r="D538" s="1024"/>
      <c r="E538" s="1025"/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  <c r="AA538" s="243"/>
      <c r="AB538" s="243"/>
      <c r="AC538" s="243"/>
      <c r="AD538" s="243"/>
      <c r="AE538" s="243"/>
      <c r="AF538" s="243"/>
      <c r="AG538" s="243"/>
      <c r="AH538" s="243"/>
      <c r="AI538" s="243"/>
      <c r="AJ538" s="243"/>
      <c r="AK538" s="243"/>
      <c r="AL538" s="243"/>
      <c r="AM538" s="243"/>
      <c r="AN538" s="243"/>
      <c r="AO538" s="243"/>
      <c r="AP538" s="243"/>
      <c r="AQ538" s="1024"/>
      <c r="AR538" s="357"/>
      <c r="AS538" s="163"/>
      <c r="AT538" s="163"/>
      <c r="AU538" s="163"/>
      <c r="AV538" s="321"/>
    </row>
    <row r="539" spans="1:48" ht="12.75" x14ac:dyDescent="0.2">
      <c r="A539" s="243"/>
      <c r="B539" s="243"/>
      <c r="C539" s="1024"/>
      <c r="D539" s="1024"/>
      <c r="E539" s="1025"/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  <c r="AA539" s="243"/>
      <c r="AB539" s="243"/>
      <c r="AC539" s="243"/>
      <c r="AD539" s="243"/>
      <c r="AE539" s="243"/>
      <c r="AF539" s="243"/>
      <c r="AG539" s="243"/>
      <c r="AH539" s="243"/>
      <c r="AI539" s="243"/>
      <c r="AJ539" s="243"/>
      <c r="AK539" s="243"/>
      <c r="AL539" s="243"/>
      <c r="AM539" s="243"/>
      <c r="AN539" s="243"/>
      <c r="AO539" s="243"/>
      <c r="AP539" s="243"/>
      <c r="AQ539" s="1024"/>
      <c r="AR539" s="357"/>
      <c r="AS539" s="163"/>
      <c r="AT539" s="163"/>
      <c r="AU539" s="163"/>
      <c r="AV539" s="321"/>
    </row>
    <row r="540" spans="1:48" ht="12.75" x14ac:dyDescent="0.2">
      <c r="A540" s="243"/>
      <c r="B540" s="243"/>
      <c r="C540" s="1024"/>
      <c r="D540" s="1024"/>
      <c r="E540" s="1025"/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  <c r="AA540" s="243"/>
      <c r="AB540" s="243"/>
      <c r="AC540" s="243"/>
      <c r="AD540" s="243"/>
      <c r="AE540" s="243"/>
      <c r="AF540" s="243"/>
      <c r="AG540" s="243"/>
      <c r="AH540" s="243"/>
      <c r="AI540" s="243"/>
      <c r="AJ540" s="243"/>
      <c r="AK540" s="243"/>
      <c r="AL540" s="243"/>
      <c r="AM540" s="243"/>
      <c r="AN540" s="243"/>
      <c r="AO540" s="243"/>
      <c r="AP540" s="243"/>
      <c r="AQ540" s="1024"/>
      <c r="AR540" s="357"/>
      <c r="AS540" s="163"/>
      <c r="AT540" s="163"/>
      <c r="AU540" s="163"/>
      <c r="AV540" s="321"/>
    </row>
    <row r="541" spans="1:48" ht="12.75" x14ac:dyDescent="0.2">
      <c r="A541" s="243"/>
      <c r="B541" s="243"/>
      <c r="C541" s="1024"/>
      <c r="D541" s="1024"/>
      <c r="E541" s="1025"/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  <c r="AH541" s="243"/>
      <c r="AI541" s="243"/>
      <c r="AJ541" s="243"/>
      <c r="AK541" s="243"/>
      <c r="AL541" s="243"/>
      <c r="AM541" s="243"/>
      <c r="AN541" s="243"/>
      <c r="AO541" s="243"/>
      <c r="AP541" s="243"/>
      <c r="AQ541" s="1024"/>
      <c r="AR541" s="357"/>
      <c r="AS541" s="163"/>
      <c r="AT541" s="163"/>
      <c r="AU541" s="163"/>
      <c r="AV541" s="321"/>
    </row>
    <row r="542" spans="1:48" ht="12.75" x14ac:dyDescent="0.2">
      <c r="A542" s="243"/>
      <c r="B542" s="243"/>
      <c r="C542" s="1024"/>
      <c r="D542" s="1024"/>
      <c r="E542" s="1025"/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  <c r="AH542" s="243"/>
      <c r="AI542" s="243"/>
      <c r="AJ542" s="243"/>
      <c r="AK542" s="243"/>
      <c r="AL542" s="243"/>
      <c r="AM542" s="243"/>
      <c r="AN542" s="243"/>
      <c r="AO542" s="243"/>
      <c r="AP542" s="243"/>
      <c r="AQ542" s="1024"/>
      <c r="AR542" s="357"/>
      <c r="AS542" s="163"/>
      <c r="AT542" s="163"/>
      <c r="AU542" s="163"/>
      <c r="AV542" s="321"/>
    </row>
    <row r="543" spans="1:48" ht="12.75" x14ac:dyDescent="0.2">
      <c r="A543" s="243"/>
      <c r="B543" s="243"/>
      <c r="C543" s="1024"/>
      <c r="D543" s="1024"/>
      <c r="E543" s="1025"/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  <c r="AH543" s="243"/>
      <c r="AI543" s="243"/>
      <c r="AJ543" s="243"/>
      <c r="AK543" s="243"/>
      <c r="AL543" s="243"/>
      <c r="AM543" s="243"/>
      <c r="AN543" s="243"/>
      <c r="AO543" s="243"/>
      <c r="AP543" s="243"/>
      <c r="AQ543" s="1024"/>
      <c r="AR543" s="357"/>
      <c r="AS543" s="163"/>
      <c r="AT543" s="163"/>
      <c r="AU543" s="163"/>
      <c r="AV543" s="321"/>
    </row>
    <row r="544" spans="1:48" ht="12.75" x14ac:dyDescent="0.2">
      <c r="A544" s="243"/>
      <c r="B544" s="243"/>
      <c r="C544" s="1024"/>
      <c r="D544" s="1024"/>
      <c r="E544" s="1025"/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  <c r="AH544" s="243"/>
      <c r="AI544" s="243"/>
      <c r="AJ544" s="243"/>
      <c r="AK544" s="243"/>
      <c r="AL544" s="243"/>
      <c r="AM544" s="243"/>
      <c r="AN544" s="243"/>
      <c r="AO544" s="243"/>
      <c r="AP544" s="243"/>
      <c r="AQ544" s="1024"/>
      <c r="AR544" s="357"/>
      <c r="AS544" s="163"/>
      <c r="AT544" s="163"/>
      <c r="AU544" s="163"/>
      <c r="AV544" s="321"/>
    </row>
    <row r="545" spans="1:48" ht="12.75" x14ac:dyDescent="0.2">
      <c r="A545" s="243"/>
      <c r="B545" s="243"/>
      <c r="C545" s="1024"/>
      <c r="D545" s="1024"/>
      <c r="E545" s="1025"/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  <c r="AA545" s="243"/>
      <c r="AB545" s="243"/>
      <c r="AC545" s="243"/>
      <c r="AD545" s="243"/>
      <c r="AE545" s="243"/>
      <c r="AF545" s="243"/>
      <c r="AG545" s="243"/>
      <c r="AH545" s="243"/>
      <c r="AI545" s="243"/>
      <c r="AJ545" s="243"/>
      <c r="AK545" s="243"/>
      <c r="AL545" s="243"/>
      <c r="AM545" s="243"/>
      <c r="AN545" s="243"/>
      <c r="AO545" s="243"/>
      <c r="AP545" s="243"/>
      <c r="AQ545" s="1024"/>
      <c r="AR545" s="357"/>
      <c r="AS545" s="163"/>
      <c r="AT545" s="163"/>
      <c r="AU545" s="163"/>
      <c r="AV545" s="321"/>
    </row>
    <row r="546" spans="1:48" ht="12.75" x14ac:dyDescent="0.2">
      <c r="A546" s="243"/>
      <c r="B546" s="243"/>
      <c r="C546" s="1024"/>
      <c r="D546" s="1024"/>
      <c r="E546" s="1025"/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  <c r="AH546" s="243"/>
      <c r="AI546" s="243"/>
      <c r="AJ546" s="243"/>
      <c r="AK546" s="243"/>
      <c r="AL546" s="243"/>
      <c r="AM546" s="243"/>
      <c r="AN546" s="243"/>
      <c r="AO546" s="243"/>
      <c r="AP546" s="243"/>
      <c r="AQ546" s="1024"/>
      <c r="AR546" s="357"/>
      <c r="AS546" s="163"/>
      <c r="AT546" s="163"/>
      <c r="AU546" s="163"/>
      <c r="AV546" s="321"/>
    </row>
    <row r="547" spans="1:48" ht="12.75" x14ac:dyDescent="0.2">
      <c r="A547" s="243"/>
      <c r="B547" s="243"/>
      <c r="C547" s="1024"/>
      <c r="D547" s="1024"/>
      <c r="E547" s="1025"/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  <c r="AA547" s="243"/>
      <c r="AB547" s="243"/>
      <c r="AC547" s="243"/>
      <c r="AD547" s="243"/>
      <c r="AE547" s="243"/>
      <c r="AF547" s="243"/>
      <c r="AG547" s="243"/>
      <c r="AH547" s="243"/>
      <c r="AI547" s="243"/>
      <c r="AJ547" s="243"/>
      <c r="AK547" s="243"/>
      <c r="AL547" s="243"/>
      <c r="AM547" s="243"/>
      <c r="AN547" s="243"/>
      <c r="AO547" s="243"/>
      <c r="AP547" s="243"/>
      <c r="AQ547" s="1024"/>
      <c r="AR547" s="357"/>
      <c r="AS547" s="163"/>
      <c r="AT547" s="163"/>
      <c r="AU547" s="163"/>
      <c r="AV547" s="321"/>
    </row>
    <row r="548" spans="1:48" ht="12.75" x14ac:dyDescent="0.2">
      <c r="A548" s="243"/>
      <c r="B548" s="243"/>
      <c r="C548" s="1024"/>
      <c r="D548" s="1024"/>
      <c r="E548" s="1025"/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  <c r="AA548" s="243"/>
      <c r="AB548" s="243"/>
      <c r="AC548" s="243"/>
      <c r="AD548" s="243"/>
      <c r="AE548" s="243"/>
      <c r="AF548" s="243"/>
      <c r="AG548" s="243"/>
      <c r="AH548" s="243"/>
      <c r="AI548" s="243"/>
      <c r="AJ548" s="243"/>
      <c r="AK548" s="243"/>
      <c r="AL548" s="243"/>
      <c r="AM548" s="243"/>
      <c r="AN548" s="243"/>
      <c r="AO548" s="243"/>
      <c r="AP548" s="243"/>
      <c r="AQ548" s="1024"/>
      <c r="AR548" s="357"/>
      <c r="AS548" s="163"/>
      <c r="AT548" s="163"/>
      <c r="AU548" s="163"/>
      <c r="AV548" s="321"/>
    </row>
    <row r="549" spans="1:48" ht="12.75" x14ac:dyDescent="0.2">
      <c r="A549" s="243"/>
      <c r="B549" s="243"/>
      <c r="C549" s="1024"/>
      <c r="D549" s="1024"/>
      <c r="E549" s="1025"/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  <c r="AA549" s="243"/>
      <c r="AB549" s="243"/>
      <c r="AC549" s="243"/>
      <c r="AD549" s="243"/>
      <c r="AE549" s="243"/>
      <c r="AF549" s="243"/>
      <c r="AG549" s="243"/>
      <c r="AH549" s="243"/>
      <c r="AI549" s="243"/>
      <c r="AJ549" s="243"/>
      <c r="AK549" s="243"/>
      <c r="AL549" s="243"/>
      <c r="AM549" s="243"/>
      <c r="AN549" s="243"/>
      <c r="AO549" s="243"/>
      <c r="AP549" s="243"/>
      <c r="AQ549" s="1024"/>
      <c r="AR549" s="357"/>
      <c r="AS549" s="163"/>
      <c r="AT549" s="163"/>
      <c r="AU549" s="163"/>
      <c r="AV549" s="321"/>
    </row>
    <row r="550" spans="1:48" ht="12.75" x14ac:dyDescent="0.2">
      <c r="A550" s="243"/>
      <c r="B550" s="243"/>
      <c r="C550" s="1024"/>
      <c r="D550" s="1024"/>
      <c r="E550" s="1025"/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  <c r="AA550" s="243"/>
      <c r="AB550" s="243"/>
      <c r="AC550" s="243"/>
      <c r="AD550" s="243"/>
      <c r="AE550" s="243"/>
      <c r="AF550" s="243"/>
      <c r="AG550" s="243"/>
      <c r="AH550" s="243"/>
      <c r="AI550" s="243"/>
      <c r="AJ550" s="243"/>
      <c r="AK550" s="243"/>
      <c r="AL550" s="243"/>
      <c r="AM550" s="243"/>
      <c r="AN550" s="243"/>
      <c r="AO550" s="243"/>
      <c r="AP550" s="243"/>
      <c r="AQ550" s="1024"/>
      <c r="AR550" s="357"/>
      <c r="AS550" s="163"/>
      <c r="AT550" s="163"/>
      <c r="AU550" s="163"/>
      <c r="AV550" s="321"/>
    </row>
    <row r="551" spans="1:48" ht="12.75" x14ac:dyDescent="0.2">
      <c r="A551" s="243"/>
      <c r="B551" s="243"/>
      <c r="C551" s="1024"/>
      <c r="D551" s="1024"/>
      <c r="E551" s="1025"/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  <c r="AA551" s="243"/>
      <c r="AB551" s="243"/>
      <c r="AC551" s="243"/>
      <c r="AD551" s="243"/>
      <c r="AE551" s="243"/>
      <c r="AF551" s="243"/>
      <c r="AG551" s="243"/>
      <c r="AH551" s="243"/>
      <c r="AI551" s="243"/>
      <c r="AJ551" s="243"/>
      <c r="AK551" s="243"/>
      <c r="AL551" s="243"/>
      <c r="AM551" s="243"/>
      <c r="AN551" s="243"/>
      <c r="AO551" s="243"/>
      <c r="AP551" s="243"/>
      <c r="AQ551" s="1024"/>
      <c r="AR551" s="357"/>
      <c r="AS551" s="163"/>
      <c r="AT551" s="163"/>
      <c r="AU551" s="163"/>
      <c r="AV551" s="321"/>
    </row>
    <row r="552" spans="1:48" ht="12.75" x14ac:dyDescent="0.2">
      <c r="A552" s="243"/>
      <c r="B552" s="243"/>
      <c r="C552" s="1024"/>
      <c r="D552" s="1024"/>
      <c r="E552" s="1025"/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  <c r="AA552" s="243"/>
      <c r="AB552" s="243"/>
      <c r="AC552" s="243"/>
      <c r="AD552" s="243"/>
      <c r="AE552" s="243"/>
      <c r="AF552" s="243"/>
      <c r="AG552" s="243"/>
      <c r="AH552" s="243"/>
      <c r="AI552" s="243"/>
      <c r="AJ552" s="243"/>
      <c r="AK552" s="243"/>
      <c r="AL552" s="243"/>
      <c r="AM552" s="243"/>
      <c r="AN552" s="243"/>
      <c r="AO552" s="243"/>
      <c r="AP552" s="243"/>
      <c r="AQ552" s="1024"/>
      <c r="AR552" s="357"/>
      <c r="AS552" s="163"/>
      <c r="AT552" s="163"/>
      <c r="AU552" s="163"/>
      <c r="AV552" s="321"/>
    </row>
    <row r="553" spans="1:48" ht="12.75" x14ac:dyDescent="0.2">
      <c r="A553" s="243"/>
      <c r="B553" s="243"/>
      <c r="C553" s="1024"/>
      <c r="D553" s="1024"/>
      <c r="E553" s="1025"/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  <c r="AH553" s="243"/>
      <c r="AI553" s="243"/>
      <c r="AJ553" s="243"/>
      <c r="AK553" s="243"/>
      <c r="AL553" s="243"/>
      <c r="AM553" s="243"/>
      <c r="AN553" s="243"/>
      <c r="AO553" s="243"/>
      <c r="AP553" s="243"/>
      <c r="AQ553" s="1024"/>
      <c r="AR553" s="357"/>
      <c r="AS553" s="163"/>
      <c r="AT553" s="163"/>
      <c r="AU553" s="163"/>
      <c r="AV553" s="321"/>
    </row>
    <row r="554" spans="1:48" ht="12.75" x14ac:dyDescent="0.2">
      <c r="A554" s="243"/>
      <c r="B554" s="243"/>
      <c r="C554" s="1024"/>
      <c r="D554" s="1024"/>
      <c r="E554" s="1025"/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  <c r="AA554" s="243"/>
      <c r="AB554" s="243"/>
      <c r="AC554" s="243"/>
      <c r="AD554" s="243"/>
      <c r="AE554" s="243"/>
      <c r="AF554" s="243"/>
      <c r="AG554" s="243"/>
      <c r="AH554" s="243"/>
      <c r="AI554" s="243"/>
      <c r="AJ554" s="243"/>
      <c r="AK554" s="243"/>
      <c r="AL554" s="243"/>
      <c r="AM554" s="243"/>
      <c r="AN554" s="243"/>
      <c r="AO554" s="243"/>
      <c r="AP554" s="243"/>
      <c r="AQ554" s="1024"/>
      <c r="AR554" s="357"/>
      <c r="AS554" s="163"/>
      <c r="AT554" s="163"/>
      <c r="AU554" s="163"/>
      <c r="AV554" s="321"/>
    </row>
    <row r="555" spans="1:48" ht="12.75" x14ac:dyDescent="0.2">
      <c r="A555" s="243"/>
      <c r="B555" s="243"/>
      <c r="C555" s="1024"/>
      <c r="D555" s="1024"/>
      <c r="E555" s="1025"/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1024"/>
      <c r="AR555" s="357"/>
      <c r="AS555" s="163"/>
      <c r="AT555" s="163"/>
      <c r="AU555" s="163"/>
      <c r="AV555" s="321"/>
    </row>
    <row r="556" spans="1:48" ht="12.75" x14ac:dyDescent="0.2">
      <c r="A556" s="243"/>
      <c r="B556" s="243"/>
      <c r="C556" s="1024"/>
      <c r="D556" s="1024"/>
      <c r="E556" s="1025"/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  <c r="AH556" s="243"/>
      <c r="AI556" s="243"/>
      <c r="AJ556" s="243"/>
      <c r="AK556" s="243"/>
      <c r="AL556" s="243"/>
      <c r="AM556" s="243"/>
      <c r="AN556" s="243"/>
      <c r="AO556" s="243"/>
      <c r="AP556" s="243"/>
      <c r="AQ556" s="1024"/>
      <c r="AR556" s="357"/>
      <c r="AS556" s="163"/>
      <c r="AT556" s="163"/>
      <c r="AU556" s="163"/>
      <c r="AV556" s="321"/>
    </row>
    <row r="557" spans="1:48" ht="12.75" x14ac:dyDescent="0.2">
      <c r="A557" s="243"/>
      <c r="B557" s="243"/>
      <c r="C557" s="1024"/>
      <c r="D557" s="1024"/>
      <c r="E557" s="1025"/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  <c r="AH557" s="243"/>
      <c r="AI557" s="243"/>
      <c r="AJ557" s="243"/>
      <c r="AK557" s="243"/>
      <c r="AL557" s="243"/>
      <c r="AM557" s="243"/>
      <c r="AN557" s="243"/>
      <c r="AO557" s="243"/>
      <c r="AP557" s="243"/>
      <c r="AQ557" s="1024"/>
      <c r="AR557" s="357"/>
      <c r="AS557" s="163"/>
      <c r="AT557" s="163"/>
      <c r="AU557" s="163"/>
      <c r="AV557" s="321"/>
    </row>
    <row r="558" spans="1:48" ht="12.75" x14ac:dyDescent="0.2">
      <c r="A558" s="243"/>
      <c r="B558" s="243"/>
      <c r="C558" s="1024"/>
      <c r="D558" s="1024"/>
      <c r="E558" s="1025"/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  <c r="AH558" s="243"/>
      <c r="AI558" s="243"/>
      <c r="AJ558" s="243"/>
      <c r="AK558" s="243"/>
      <c r="AL558" s="243"/>
      <c r="AM558" s="243"/>
      <c r="AN558" s="243"/>
      <c r="AO558" s="243"/>
      <c r="AP558" s="243"/>
      <c r="AQ558" s="1024"/>
      <c r="AR558" s="357"/>
      <c r="AS558" s="163"/>
      <c r="AT558" s="163"/>
      <c r="AU558" s="163"/>
      <c r="AV558" s="321"/>
    </row>
    <row r="559" spans="1:48" ht="12.75" x14ac:dyDescent="0.2">
      <c r="A559" s="243"/>
      <c r="B559" s="243"/>
      <c r="C559" s="1024"/>
      <c r="D559" s="1024"/>
      <c r="E559" s="1025"/>
      <c r="F559" s="243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  <c r="AA559" s="243"/>
      <c r="AB559" s="243"/>
      <c r="AC559" s="243"/>
      <c r="AD559" s="243"/>
      <c r="AE559" s="243"/>
      <c r="AF559" s="243"/>
      <c r="AG559" s="243"/>
      <c r="AH559" s="243"/>
      <c r="AI559" s="243"/>
      <c r="AJ559" s="243"/>
      <c r="AK559" s="243"/>
      <c r="AL559" s="243"/>
      <c r="AM559" s="243"/>
      <c r="AN559" s="243"/>
      <c r="AO559" s="243"/>
      <c r="AP559" s="243"/>
      <c r="AQ559" s="1024"/>
      <c r="AR559" s="357"/>
      <c r="AS559" s="163"/>
      <c r="AT559" s="163"/>
      <c r="AU559" s="163"/>
      <c r="AV559" s="321"/>
    </row>
    <row r="560" spans="1:48" ht="12.75" x14ac:dyDescent="0.2">
      <c r="A560" s="243"/>
      <c r="B560" s="243"/>
      <c r="C560" s="1024"/>
      <c r="D560" s="1024"/>
      <c r="E560" s="1025"/>
      <c r="F560" s="243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  <c r="AA560" s="243"/>
      <c r="AB560" s="243"/>
      <c r="AC560" s="243"/>
      <c r="AD560" s="243"/>
      <c r="AE560" s="243"/>
      <c r="AF560" s="243"/>
      <c r="AG560" s="243"/>
      <c r="AH560" s="243"/>
      <c r="AI560" s="243"/>
      <c r="AJ560" s="243"/>
      <c r="AK560" s="243"/>
      <c r="AL560" s="243"/>
      <c r="AM560" s="243"/>
      <c r="AN560" s="243"/>
      <c r="AO560" s="243"/>
      <c r="AP560" s="243"/>
      <c r="AQ560" s="1024"/>
      <c r="AR560" s="357"/>
      <c r="AS560" s="163"/>
      <c r="AT560" s="163"/>
      <c r="AU560" s="163"/>
      <c r="AV560" s="321"/>
    </row>
    <row r="561" spans="1:48" ht="12.75" x14ac:dyDescent="0.2">
      <c r="A561" s="243"/>
      <c r="B561" s="243"/>
      <c r="C561" s="1024"/>
      <c r="D561" s="1024"/>
      <c r="E561" s="1025"/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  <c r="AH561" s="243"/>
      <c r="AI561" s="243"/>
      <c r="AJ561" s="243"/>
      <c r="AK561" s="243"/>
      <c r="AL561" s="243"/>
      <c r="AM561" s="243"/>
      <c r="AN561" s="243"/>
      <c r="AO561" s="243"/>
      <c r="AP561" s="243"/>
      <c r="AQ561" s="1024"/>
      <c r="AR561" s="357"/>
      <c r="AS561" s="163"/>
      <c r="AT561" s="163"/>
      <c r="AU561" s="163"/>
      <c r="AV561" s="321"/>
    </row>
    <row r="562" spans="1:48" ht="12.75" x14ac:dyDescent="0.2">
      <c r="A562" s="243"/>
      <c r="B562" s="243"/>
      <c r="C562" s="1024"/>
      <c r="D562" s="1024"/>
      <c r="E562" s="1025"/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  <c r="AH562" s="243"/>
      <c r="AI562" s="243"/>
      <c r="AJ562" s="243"/>
      <c r="AK562" s="243"/>
      <c r="AL562" s="243"/>
      <c r="AM562" s="243"/>
      <c r="AN562" s="243"/>
      <c r="AO562" s="243"/>
      <c r="AP562" s="243"/>
      <c r="AQ562" s="1024"/>
      <c r="AR562" s="357"/>
      <c r="AS562" s="163"/>
      <c r="AT562" s="163"/>
      <c r="AU562" s="163"/>
      <c r="AV562" s="321"/>
    </row>
    <row r="563" spans="1:48" ht="12.75" x14ac:dyDescent="0.2">
      <c r="A563" s="243"/>
      <c r="B563" s="243"/>
      <c r="C563" s="1024"/>
      <c r="D563" s="1024"/>
      <c r="E563" s="1025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1024"/>
      <c r="AR563" s="357"/>
      <c r="AS563" s="163"/>
      <c r="AT563" s="163"/>
      <c r="AU563" s="163"/>
      <c r="AV563" s="321"/>
    </row>
    <row r="564" spans="1:48" ht="12.75" x14ac:dyDescent="0.2">
      <c r="A564" s="243"/>
      <c r="B564" s="243"/>
      <c r="C564" s="1024"/>
      <c r="D564" s="1024"/>
      <c r="E564" s="1025"/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1024"/>
      <c r="AR564" s="357"/>
      <c r="AS564" s="163"/>
      <c r="AT564" s="163"/>
      <c r="AU564" s="163"/>
      <c r="AV564" s="321"/>
    </row>
    <row r="565" spans="1:48" ht="12.75" x14ac:dyDescent="0.2">
      <c r="A565" s="243"/>
      <c r="B565" s="243"/>
      <c r="C565" s="1024"/>
      <c r="D565" s="1024"/>
      <c r="E565" s="1025"/>
      <c r="F565" s="243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  <c r="AA565" s="243"/>
      <c r="AB565" s="243"/>
      <c r="AC565" s="243"/>
      <c r="AD565" s="243"/>
      <c r="AE565" s="243"/>
      <c r="AF565" s="243"/>
      <c r="AG565" s="243"/>
      <c r="AH565" s="243"/>
      <c r="AI565" s="243"/>
      <c r="AJ565" s="243"/>
      <c r="AK565" s="243"/>
      <c r="AL565" s="243"/>
      <c r="AM565" s="243"/>
      <c r="AN565" s="243"/>
      <c r="AO565" s="243"/>
      <c r="AP565" s="243"/>
      <c r="AQ565" s="1024"/>
      <c r="AR565" s="357"/>
      <c r="AS565" s="163"/>
      <c r="AT565" s="163"/>
      <c r="AU565" s="163"/>
      <c r="AV565" s="321"/>
    </row>
    <row r="566" spans="1:48" ht="12.75" x14ac:dyDescent="0.2">
      <c r="A566" s="243"/>
      <c r="B566" s="243"/>
      <c r="C566" s="1024"/>
      <c r="D566" s="1024"/>
      <c r="E566" s="1025"/>
      <c r="F566" s="243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  <c r="AA566" s="243"/>
      <c r="AB566" s="243"/>
      <c r="AC566" s="243"/>
      <c r="AD566" s="243"/>
      <c r="AE566" s="243"/>
      <c r="AF566" s="243"/>
      <c r="AG566" s="243"/>
      <c r="AH566" s="243"/>
      <c r="AI566" s="243"/>
      <c r="AJ566" s="243"/>
      <c r="AK566" s="243"/>
      <c r="AL566" s="243"/>
      <c r="AM566" s="243"/>
      <c r="AN566" s="243"/>
      <c r="AO566" s="243"/>
      <c r="AP566" s="243"/>
      <c r="AQ566" s="1024"/>
      <c r="AR566" s="357"/>
      <c r="AS566" s="163"/>
      <c r="AT566" s="163"/>
      <c r="AU566" s="163"/>
      <c r="AV566" s="321"/>
    </row>
    <row r="567" spans="1:48" ht="12.75" x14ac:dyDescent="0.2">
      <c r="A567" s="243"/>
      <c r="B567" s="243"/>
      <c r="C567" s="1024"/>
      <c r="D567" s="1024"/>
      <c r="E567" s="1025"/>
      <c r="F567" s="243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  <c r="AA567" s="243"/>
      <c r="AB567" s="243"/>
      <c r="AC567" s="243"/>
      <c r="AD567" s="243"/>
      <c r="AE567" s="243"/>
      <c r="AF567" s="243"/>
      <c r="AG567" s="243"/>
      <c r="AH567" s="243"/>
      <c r="AI567" s="243"/>
      <c r="AJ567" s="243"/>
      <c r="AK567" s="243"/>
      <c r="AL567" s="243"/>
      <c r="AM567" s="243"/>
      <c r="AN567" s="243"/>
      <c r="AO567" s="243"/>
      <c r="AP567" s="243"/>
      <c r="AQ567" s="1024"/>
      <c r="AR567" s="357"/>
      <c r="AS567" s="163"/>
      <c r="AT567" s="163"/>
      <c r="AU567" s="163"/>
      <c r="AV567" s="321"/>
    </row>
    <row r="568" spans="1:48" ht="12.75" x14ac:dyDescent="0.2">
      <c r="A568" s="243"/>
      <c r="B568" s="243"/>
      <c r="C568" s="1024"/>
      <c r="D568" s="1024"/>
      <c r="E568" s="1025"/>
      <c r="F568" s="243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  <c r="AA568" s="243"/>
      <c r="AB568" s="243"/>
      <c r="AC568" s="243"/>
      <c r="AD568" s="243"/>
      <c r="AE568" s="243"/>
      <c r="AF568" s="243"/>
      <c r="AG568" s="243"/>
      <c r="AH568" s="243"/>
      <c r="AI568" s="243"/>
      <c r="AJ568" s="243"/>
      <c r="AK568" s="243"/>
      <c r="AL568" s="243"/>
      <c r="AM568" s="243"/>
      <c r="AN568" s="243"/>
      <c r="AO568" s="243"/>
      <c r="AP568" s="243"/>
      <c r="AQ568" s="1024"/>
      <c r="AR568" s="357"/>
      <c r="AS568" s="163"/>
      <c r="AT568" s="163"/>
      <c r="AU568" s="163"/>
      <c r="AV568" s="321"/>
    </row>
    <row r="569" spans="1:48" ht="12.75" x14ac:dyDescent="0.2">
      <c r="A569" s="243"/>
      <c r="B569" s="243"/>
      <c r="C569" s="1024"/>
      <c r="D569" s="1024"/>
      <c r="E569" s="1025"/>
      <c r="F569" s="243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3"/>
      <c r="Z569" s="243"/>
      <c r="AA569" s="243"/>
      <c r="AB569" s="243"/>
      <c r="AC569" s="243"/>
      <c r="AD569" s="243"/>
      <c r="AE569" s="243"/>
      <c r="AF569" s="243"/>
      <c r="AG569" s="243"/>
      <c r="AH569" s="243"/>
      <c r="AI569" s="243"/>
      <c r="AJ569" s="243"/>
      <c r="AK569" s="243"/>
      <c r="AL569" s="243"/>
      <c r="AM569" s="243"/>
      <c r="AN569" s="243"/>
      <c r="AO569" s="243"/>
      <c r="AP569" s="243"/>
      <c r="AQ569" s="1024"/>
      <c r="AR569" s="357"/>
      <c r="AS569" s="163"/>
      <c r="AT569" s="163"/>
      <c r="AU569" s="163"/>
      <c r="AV569" s="321"/>
    </row>
    <row r="570" spans="1:48" ht="12.75" x14ac:dyDescent="0.2">
      <c r="A570" s="243"/>
      <c r="B570" s="243"/>
      <c r="C570" s="1024"/>
      <c r="D570" s="1024"/>
      <c r="E570" s="1025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  <c r="AA570" s="243"/>
      <c r="AB570" s="243"/>
      <c r="AC570" s="243"/>
      <c r="AD570" s="243"/>
      <c r="AE570" s="243"/>
      <c r="AF570" s="243"/>
      <c r="AG570" s="243"/>
      <c r="AH570" s="243"/>
      <c r="AI570" s="243"/>
      <c r="AJ570" s="243"/>
      <c r="AK570" s="243"/>
      <c r="AL570" s="243"/>
      <c r="AM570" s="243"/>
      <c r="AN570" s="243"/>
      <c r="AO570" s="243"/>
      <c r="AP570" s="243"/>
      <c r="AQ570" s="1024"/>
      <c r="AR570" s="357"/>
      <c r="AS570" s="163"/>
      <c r="AT570" s="163"/>
      <c r="AU570" s="163"/>
      <c r="AV570" s="321"/>
    </row>
    <row r="571" spans="1:48" ht="12.75" x14ac:dyDescent="0.2">
      <c r="A571" s="243"/>
      <c r="B571" s="243"/>
      <c r="C571" s="1024"/>
      <c r="D571" s="1024"/>
      <c r="E571" s="1025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243"/>
      <c r="AC571" s="243"/>
      <c r="AD571" s="243"/>
      <c r="AE571" s="243"/>
      <c r="AF571" s="243"/>
      <c r="AG571" s="243"/>
      <c r="AH571" s="243"/>
      <c r="AI571" s="243"/>
      <c r="AJ571" s="243"/>
      <c r="AK571" s="243"/>
      <c r="AL571" s="243"/>
      <c r="AM571" s="243"/>
      <c r="AN571" s="243"/>
      <c r="AO571" s="243"/>
      <c r="AP571" s="243"/>
      <c r="AQ571" s="1024"/>
      <c r="AR571" s="357"/>
      <c r="AS571" s="163"/>
      <c r="AT571" s="163"/>
      <c r="AU571" s="163"/>
      <c r="AV571" s="321"/>
    </row>
    <row r="572" spans="1:48" ht="12.75" x14ac:dyDescent="0.2">
      <c r="A572" s="243"/>
      <c r="B572" s="243"/>
      <c r="C572" s="1024"/>
      <c r="D572" s="1024"/>
      <c r="E572" s="1025"/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  <c r="AA572" s="243"/>
      <c r="AB572" s="243"/>
      <c r="AC572" s="243"/>
      <c r="AD572" s="243"/>
      <c r="AE572" s="243"/>
      <c r="AF572" s="243"/>
      <c r="AG572" s="243"/>
      <c r="AH572" s="243"/>
      <c r="AI572" s="243"/>
      <c r="AJ572" s="243"/>
      <c r="AK572" s="243"/>
      <c r="AL572" s="243"/>
      <c r="AM572" s="243"/>
      <c r="AN572" s="243"/>
      <c r="AO572" s="243"/>
      <c r="AP572" s="243"/>
      <c r="AQ572" s="1024"/>
      <c r="AR572" s="357"/>
      <c r="AS572" s="163"/>
      <c r="AT572" s="163"/>
      <c r="AU572" s="163"/>
      <c r="AV572" s="321"/>
    </row>
    <row r="573" spans="1:48" ht="12.75" x14ac:dyDescent="0.2">
      <c r="A573" s="243"/>
      <c r="B573" s="243"/>
      <c r="C573" s="1024"/>
      <c r="D573" s="1024"/>
      <c r="E573" s="1025"/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  <c r="AA573" s="243"/>
      <c r="AB573" s="243"/>
      <c r="AC573" s="243"/>
      <c r="AD573" s="243"/>
      <c r="AE573" s="243"/>
      <c r="AF573" s="243"/>
      <c r="AG573" s="243"/>
      <c r="AH573" s="243"/>
      <c r="AI573" s="243"/>
      <c r="AJ573" s="243"/>
      <c r="AK573" s="243"/>
      <c r="AL573" s="243"/>
      <c r="AM573" s="243"/>
      <c r="AN573" s="243"/>
      <c r="AO573" s="243"/>
      <c r="AP573" s="243"/>
      <c r="AQ573" s="1024"/>
      <c r="AR573" s="357"/>
      <c r="AS573" s="163"/>
      <c r="AT573" s="163"/>
      <c r="AU573" s="163"/>
      <c r="AV573" s="321"/>
    </row>
    <row r="574" spans="1:48" ht="12.75" x14ac:dyDescent="0.2">
      <c r="A574" s="243"/>
      <c r="B574" s="243"/>
      <c r="C574" s="1024"/>
      <c r="D574" s="1024"/>
      <c r="E574" s="1025"/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3"/>
      <c r="AG574" s="243"/>
      <c r="AH574" s="243"/>
      <c r="AI574" s="243"/>
      <c r="AJ574" s="243"/>
      <c r="AK574" s="243"/>
      <c r="AL574" s="243"/>
      <c r="AM574" s="243"/>
      <c r="AN574" s="243"/>
      <c r="AO574" s="243"/>
      <c r="AP574" s="243"/>
      <c r="AQ574" s="1024"/>
      <c r="AR574" s="357"/>
      <c r="AS574" s="163"/>
      <c r="AT574" s="163"/>
      <c r="AU574" s="163"/>
      <c r="AV574" s="321"/>
    </row>
    <row r="575" spans="1:48" ht="12.75" x14ac:dyDescent="0.2">
      <c r="A575" s="243"/>
      <c r="B575" s="243"/>
      <c r="C575" s="1024"/>
      <c r="D575" s="1024"/>
      <c r="E575" s="1025"/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  <c r="AH575" s="243"/>
      <c r="AI575" s="243"/>
      <c r="AJ575" s="243"/>
      <c r="AK575" s="243"/>
      <c r="AL575" s="243"/>
      <c r="AM575" s="243"/>
      <c r="AN575" s="243"/>
      <c r="AO575" s="243"/>
      <c r="AP575" s="243"/>
      <c r="AQ575" s="1024"/>
      <c r="AR575" s="357"/>
      <c r="AS575" s="163"/>
      <c r="AT575" s="163"/>
      <c r="AU575" s="163"/>
      <c r="AV575" s="321"/>
    </row>
    <row r="576" spans="1:48" ht="12.75" x14ac:dyDescent="0.2">
      <c r="A576" s="243"/>
      <c r="B576" s="243"/>
      <c r="C576" s="1024"/>
      <c r="D576" s="1024"/>
      <c r="E576" s="1025"/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  <c r="AH576" s="243"/>
      <c r="AI576" s="243"/>
      <c r="AJ576" s="243"/>
      <c r="AK576" s="243"/>
      <c r="AL576" s="243"/>
      <c r="AM576" s="243"/>
      <c r="AN576" s="243"/>
      <c r="AO576" s="243"/>
      <c r="AP576" s="243"/>
      <c r="AQ576" s="1024"/>
      <c r="AR576" s="357"/>
      <c r="AS576" s="163"/>
      <c r="AT576" s="163"/>
      <c r="AU576" s="163"/>
      <c r="AV576" s="321"/>
    </row>
    <row r="577" spans="1:48" ht="12.75" x14ac:dyDescent="0.2">
      <c r="A577" s="243"/>
      <c r="B577" s="243"/>
      <c r="C577" s="1024"/>
      <c r="D577" s="1024"/>
      <c r="E577" s="1025"/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  <c r="AA577" s="243"/>
      <c r="AB577" s="243"/>
      <c r="AC577" s="243"/>
      <c r="AD577" s="243"/>
      <c r="AE577" s="243"/>
      <c r="AF577" s="243"/>
      <c r="AG577" s="243"/>
      <c r="AH577" s="243"/>
      <c r="AI577" s="243"/>
      <c r="AJ577" s="243"/>
      <c r="AK577" s="243"/>
      <c r="AL577" s="243"/>
      <c r="AM577" s="243"/>
      <c r="AN577" s="243"/>
      <c r="AO577" s="243"/>
      <c r="AP577" s="243"/>
      <c r="AQ577" s="1024"/>
      <c r="AR577" s="357"/>
      <c r="AS577" s="163"/>
      <c r="AT577" s="163"/>
      <c r="AU577" s="163"/>
      <c r="AV577" s="321"/>
    </row>
    <row r="578" spans="1:48" ht="12.75" x14ac:dyDescent="0.2">
      <c r="A578" s="243"/>
      <c r="B578" s="243"/>
      <c r="C578" s="1024"/>
      <c r="D578" s="1024"/>
      <c r="E578" s="1025"/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  <c r="AA578" s="243"/>
      <c r="AB578" s="243"/>
      <c r="AC578" s="243"/>
      <c r="AD578" s="243"/>
      <c r="AE578" s="243"/>
      <c r="AF578" s="243"/>
      <c r="AG578" s="243"/>
      <c r="AH578" s="243"/>
      <c r="AI578" s="243"/>
      <c r="AJ578" s="243"/>
      <c r="AK578" s="243"/>
      <c r="AL578" s="243"/>
      <c r="AM578" s="243"/>
      <c r="AN578" s="243"/>
      <c r="AO578" s="243"/>
      <c r="AP578" s="243"/>
      <c r="AQ578" s="1024"/>
      <c r="AR578" s="357"/>
      <c r="AS578" s="163"/>
      <c r="AT578" s="163"/>
      <c r="AU578" s="163"/>
      <c r="AV578" s="321"/>
    </row>
    <row r="579" spans="1:48" ht="12.75" x14ac:dyDescent="0.2">
      <c r="A579" s="243"/>
      <c r="B579" s="243"/>
      <c r="C579" s="1024"/>
      <c r="D579" s="1024"/>
      <c r="E579" s="1025"/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  <c r="AA579" s="243"/>
      <c r="AB579" s="243"/>
      <c r="AC579" s="243"/>
      <c r="AD579" s="243"/>
      <c r="AE579" s="243"/>
      <c r="AF579" s="243"/>
      <c r="AG579" s="243"/>
      <c r="AH579" s="243"/>
      <c r="AI579" s="243"/>
      <c r="AJ579" s="243"/>
      <c r="AK579" s="243"/>
      <c r="AL579" s="243"/>
      <c r="AM579" s="243"/>
      <c r="AN579" s="243"/>
      <c r="AO579" s="243"/>
      <c r="AP579" s="243"/>
      <c r="AQ579" s="1024"/>
      <c r="AR579" s="357"/>
      <c r="AS579" s="163"/>
      <c r="AT579" s="163"/>
      <c r="AU579" s="163"/>
      <c r="AV579" s="321"/>
    </row>
    <row r="580" spans="1:48" ht="12.75" x14ac:dyDescent="0.2">
      <c r="A580" s="243"/>
      <c r="B580" s="243"/>
      <c r="C580" s="1024"/>
      <c r="D580" s="1024"/>
      <c r="E580" s="1025"/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  <c r="AA580" s="243"/>
      <c r="AB580" s="243"/>
      <c r="AC580" s="243"/>
      <c r="AD580" s="243"/>
      <c r="AE580" s="243"/>
      <c r="AF580" s="243"/>
      <c r="AG580" s="243"/>
      <c r="AH580" s="243"/>
      <c r="AI580" s="243"/>
      <c r="AJ580" s="243"/>
      <c r="AK580" s="243"/>
      <c r="AL580" s="243"/>
      <c r="AM580" s="243"/>
      <c r="AN580" s="243"/>
      <c r="AO580" s="243"/>
      <c r="AP580" s="243"/>
      <c r="AQ580" s="1024"/>
      <c r="AR580" s="357"/>
      <c r="AS580" s="163"/>
      <c r="AT580" s="163"/>
      <c r="AU580" s="163"/>
      <c r="AV580" s="321"/>
    </row>
    <row r="581" spans="1:48" ht="12.75" x14ac:dyDescent="0.2">
      <c r="A581" s="243"/>
      <c r="B581" s="243"/>
      <c r="C581" s="1024"/>
      <c r="D581" s="1024"/>
      <c r="E581" s="1025"/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  <c r="AA581" s="243"/>
      <c r="AB581" s="243"/>
      <c r="AC581" s="243"/>
      <c r="AD581" s="243"/>
      <c r="AE581" s="243"/>
      <c r="AF581" s="243"/>
      <c r="AG581" s="243"/>
      <c r="AH581" s="243"/>
      <c r="AI581" s="243"/>
      <c r="AJ581" s="243"/>
      <c r="AK581" s="243"/>
      <c r="AL581" s="243"/>
      <c r="AM581" s="243"/>
      <c r="AN581" s="243"/>
      <c r="AO581" s="243"/>
      <c r="AP581" s="243"/>
      <c r="AQ581" s="1024"/>
      <c r="AR581" s="357"/>
      <c r="AS581" s="163"/>
      <c r="AT581" s="163"/>
      <c r="AU581" s="163"/>
      <c r="AV581" s="321"/>
    </row>
    <row r="582" spans="1:48" ht="12.75" x14ac:dyDescent="0.2">
      <c r="A582" s="243"/>
      <c r="B582" s="243"/>
      <c r="C582" s="1024"/>
      <c r="D582" s="1024"/>
      <c r="E582" s="1025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  <c r="AA582" s="243"/>
      <c r="AB582" s="243"/>
      <c r="AC582" s="243"/>
      <c r="AD582" s="243"/>
      <c r="AE582" s="243"/>
      <c r="AF582" s="243"/>
      <c r="AG582" s="243"/>
      <c r="AH582" s="243"/>
      <c r="AI582" s="243"/>
      <c r="AJ582" s="243"/>
      <c r="AK582" s="243"/>
      <c r="AL582" s="243"/>
      <c r="AM582" s="243"/>
      <c r="AN582" s="243"/>
      <c r="AO582" s="243"/>
      <c r="AP582" s="243"/>
      <c r="AQ582" s="1024"/>
      <c r="AR582" s="357"/>
      <c r="AS582" s="163"/>
      <c r="AT582" s="163"/>
      <c r="AU582" s="163"/>
      <c r="AV582" s="321"/>
    </row>
    <row r="583" spans="1:48" ht="12.75" x14ac:dyDescent="0.2">
      <c r="A583" s="243"/>
      <c r="B583" s="243"/>
      <c r="C583" s="1024"/>
      <c r="D583" s="1024"/>
      <c r="E583" s="1025"/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  <c r="AA583" s="243"/>
      <c r="AB583" s="243"/>
      <c r="AC583" s="243"/>
      <c r="AD583" s="243"/>
      <c r="AE583" s="243"/>
      <c r="AF583" s="243"/>
      <c r="AG583" s="243"/>
      <c r="AH583" s="243"/>
      <c r="AI583" s="243"/>
      <c r="AJ583" s="243"/>
      <c r="AK583" s="243"/>
      <c r="AL583" s="243"/>
      <c r="AM583" s="243"/>
      <c r="AN583" s="243"/>
      <c r="AO583" s="243"/>
      <c r="AP583" s="243"/>
      <c r="AQ583" s="1024"/>
      <c r="AR583" s="357"/>
      <c r="AS583" s="163"/>
      <c r="AT583" s="163"/>
      <c r="AU583" s="163"/>
      <c r="AV583" s="321"/>
    </row>
    <row r="584" spans="1:48" ht="12.75" x14ac:dyDescent="0.2">
      <c r="A584" s="243"/>
      <c r="B584" s="243"/>
      <c r="C584" s="1024"/>
      <c r="D584" s="1024"/>
      <c r="E584" s="1025"/>
      <c r="F584" s="243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3"/>
      <c r="Z584" s="243"/>
      <c r="AA584" s="243"/>
      <c r="AB584" s="243"/>
      <c r="AC584" s="243"/>
      <c r="AD584" s="243"/>
      <c r="AE584" s="243"/>
      <c r="AF584" s="243"/>
      <c r="AG584" s="243"/>
      <c r="AH584" s="243"/>
      <c r="AI584" s="243"/>
      <c r="AJ584" s="243"/>
      <c r="AK584" s="243"/>
      <c r="AL584" s="243"/>
      <c r="AM584" s="243"/>
      <c r="AN584" s="243"/>
      <c r="AO584" s="243"/>
      <c r="AP584" s="243"/>
      <c r="AQ584" s="1024"/>
      <c r="AR584" s="357"/>
      <c r="AS584" s="163"/>
      <c r="AT584" s="163"/>
      <c r="AU584" s="163"/>
      <c r="AV584" s="321"/>
    </row>
    <row r="585" spans="1:48" ht="12.75" x14ac:dyDescent="0.2">
      <c r="A585" s="243"/>
      <c r="B585" s="243"/>
      <c r="C585" s="1024"/>
      <c r="D585" s="1024"/>
      <c r="E585" s="1025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3"/>
      <c r="Z585" s="243"/>
      <c r="AA585" s="243"/>
      <c r="AB585" s="243"/>
      <c r="AC585" s="243"/>
      <c r="AD585" s="243"/>
      <c r="AE585" s="243"/>
      <c r="AF585" s="243"/>
      <c r="AG585" s="243"/>
      <c r="AH585" s="243"/>
      <c r="AI585" s="243"/>
      <c r="AJ585" s="243"/>
      <c r="AK585" s="243"/>
      <c r="AL585" s="243"/>
      <c r="AM585" s="243"/>
      <c r="AN585" s="243"/>
      <c r="AO585" s="243"/>
      <c r="AP585" s="243"/>
      <c r="AQ585" s="1024"/>
      <c r="AR585" s="357"/>
      <c r="AS585" s="163"/>
      <c r="AT585" s="163"/>
      <c r="AU585" s="163"/>
      <c r="AV585" s="321"/>
    </row>
    <row r="586" spans="1:48" ht="12.75" x14ac:dyDescent="0.2">
      <c r="A586" s="243"/>
      <c r="B586" s="243"/>
      <c r="C586" s="1024"/>
      <c r="D586" s="1024"/>
      <c r="E586" s="1025"/>
      <c r="F586" s="243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3"/>
      <c r="Z586" s="243"/>
      <c r="AA586" s="243"/>
      <c r="AB586" s="243"/>
      <c r="AC586" s="243"/>
      <c r="AD586" s="243"/>
      <c r="AE586" s="243"/>
      <c r="AF586" s="243"/>
      <c r="AG586" s="243"/>
      <c r="AH586" s="243"/>
      <c r="AI586" s="243"/>
      <c r="AJ586" s="243"/>
      <c r="AK586" s="243"/>
      <c r="AL586" s="243"/>
      <c r="AM586" s="243"/>
      <c r="AN586" s="243"/>
      <c r="AO586" s="243"/>
      <c r="AP586" s="243"/>
      <c r="AQ586" s="1024"/>
      <c r="AR586" s="357"/>
      <c r="AS586" s="163"/>
      <c r="AT586" s="163"/>
      <c r="AU586" s="163"/>
      <c r="AV586" s="321"/>
    </row>
    <row r="587" spans="1:48" ht="12.75" x14ac:dyDescent="0.2">
      <c r="A587" s="243"/>
      <c r="B587" s="243"/>
      <c r="C587" s="1024"/>
      <c r="D587" s="1024"/>
      <c r="E587" s="1025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  <c r="AA587" s="243"/>
      <c r="AB587" s="243"/>
      <c r="AC587" s="243"/>
      <c r="AD587" s="243"/>
      <c r="AE587" s="243"/>
      <c r="AF587" s="243"/>
      <c r="AG587" s="243"/>
      <c r="AH587" s="243"/>
      <c r="AI587" s="243"/>
      <c r="AJ587" s="243"/>
      <c r="AK587" s="243"/>
      <c r="AL587" s="243"/>
      <c r="AM587" s="243"/>
      <c r="AN587" s="243"/>
      <c r="AO587" s="243"/>
      <c r="AP587" s="243"/>
      <c r="AQ587" s="1024"/>
      <c r="AR587" s="357"/>
      <c r="AS587" s="163"/>
      <c r="AT587" s="163"/>
      <c r="AU587" s="163"/>
      <c r="AV587" s="321"/>
    </row>
    <row r="588" spans="1:48" ht="12.75" x14ac:dyDescent="0.2">
      <c r="A588" s="243"/>
      <c r="B588" s="243"/>
      <c r="C588" s="1024"/>
      <c r="D588" s="1024"/>
      <c r="E588" s="1025"/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  <c r="AH588" s="243"/>
      <c r="AI588" s="243"/>
      <c r="AJ588" s="243"/>
      <c r="AK588" s="243"/>
      <c r="AL588" s="243"/>
      <c r="AM588" s="243"/>
      <c r="AN588" s="243"/>
      <c r="AO588" s="243"/>
      <c r="AP588" s="243"/>
      <c r="AQ588" s="1024"/>
      <c r="AR588" s="357"/>
      <c r="AS588" s="163"/>
      <c r="AT588" s="163"/>
      <c r="AU588" s="163"/>
      <c r="AV588" s="321"/>
    </row>
    <row r="589" spans="1:48" ht="12.75" x14ac:dyDescent="0.2">
      <c r="A589" s="243"/>
      <c r="B589" s="243"/>
      <c r="C589" s="1024"/>
      <c r="D589" s="1024"/>
      <c r="E589" s="1025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  <c r="AH589" s="243"/>
      <c r="AI589" s="243"/>
      <c r="AJ589" s="243"/>
      <c r="AK589" s="243"/>
      <c r="AL589" s="243"/>
      <c r="AM589" s="243"/>
      <c r="AN589" s="243"/>
      <c r="AO589" s="243"/>
      <c r="AP589" s="243"/>
      <c r="AQ589" s="1024"/>
      <c r="AR589" s="357"/>
      <c r="AS589" s="163"/>
      <c r="AT589" s="163"/>
      <c r="AU589" s="163"/>
      <c r="AV589" s="321"/>
    </row>
    <row r="590" spans="1:48" ht="12.75" x14ac:dyDescent="0.2">
      <c r="A590" s="243"/>
      <c r="B590" s="243"/>
      <c r="C590" s="1024"/>
      <c r="D590" s="1024"/>
      <c r="E590" s="1025"/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  <c r="AH590" s="243"/>
      <c r="AI590" s="243"/>
      <c r="AJ590" s="243"/>
      <c r="AK590" s="243"/>
      <c r="AL590" s="243"/>
      <c r="AM590" s="243"/>
      <c r="AN590" s="243"/>
      <c r="AO590" s="243"/>
      <c r="AP590" s="243"/>
      <c r="AQ590" s="1024"/>
      <c r="AR590" s="357"/>
      <c r="AS590" s="163"/>
      <c r="AT590" s="163"/>
      <c r="AU590" s="163"/>
      <c r="AV590" s="321"/>
    </row>
    <row r="591" spans="1:48" ht="12.75" x14ac:dyDescent="0.2">
      <c r="A591" s="243"/>
      <c r="B591" s="243"/>
      <c r="C591" s="1024"/>
      <c r="D591" s="1024"/>
      <c r="E591" s="1025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  <c r="AH591" s="243"/>
      <c r="AI591" s="243"/>
      <c r="AJ591" s="243"/>
      <c r="AK591" s="243"/>
      <c r="AL591" s="243"/>
      <c r="AM591" s="243"/>
      <c r="AN591" s="243"/>
      <c r="AO591" s="243"/>
      <c r="AP591" s="243"/>
      <c r="AQ591" s="1024"/>
      <c r="AR591" s="357"/>
      <c r="AS591" s="163"/>
      <c r="AT591" s="163"/>
      <c r="AU591" s="163"/>
      <c r="AV591" s="321"/>
    </row>
    <row r="592" spans="1:48" ht="12.75" x14ac:dyDescent="0.2">
      <c r="A592" s="243"/>
      <c r="B592" s="243"/>
      <c r="C592" s="1024"/>
      <c r="D592" s="1024"/>
      <c r="E592" s="1025"/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  <c r="AH592" s="243"/>
      <c r="AI592" s="243"/>
      <c r="AJ592" s="243"/>
      <c r="AK592" s="243"/>
      <c r="AL592" s="243"/>
      <c r="AM592" s="243"/>
      <c r="AN592" s="243"/>
      <c r="AO592" s="243"/>
      <c r="AP592" s="243"/>
      <c r="AQ592" s="1024"/>
      <c r="AR592" s="357"/>
      <c r="AS592" s="163"/>
      <c r="AT592" s="163"/>
      <c r="AU592" s="163"/>
      <c r="AV592" s="321"/>
    </row>
    <row r="593" spans="1:48" ht="12.75" x14ac:dyDescent="0.2">
      <c r="A593" s="243"/>
      <c r="B593" s="243"/>
      <c r="C593" s="1024"/>
      <c r="D593" s="1024"/>
      <c r="E593" s="1025"/>
      <c r="F593" s="243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3"/>
      <c r="Z593" s="243"/>
      <c r="AA593" s="243"/>
      <c r="AB593" s="243"/>
      <c r="AC593" s="243"/>
      <c r="AD593" s="243"/>
      <c r="AE593" s="243"/>
      <c r="AF593" s="243"/>
      <c r="AG593" s="243"/>
      <c r="AH593" s="243"/>
      <c r="AI593" s="243"/>
      <c r="AJ593" s="243"/>
      <c r="AK593" s="243"/>
      <c r="AL593" s="243"/>
      <c r="AM593" s="243"/>
      <c r="AN593" s="243"/>
      <c r="AO593" s="243"/>
      <c r="AP593" s="243"/>
      <c r="AQ593" s="1024"/>
      <c r="AR593" s="357"/>
      <c r="AS593" s="163"/>
      <c r="AT593" s="163"/>
      <c r="AU593" s="163"/>
      <c r="AV593" s="321"/>
    </row>
    <row r="594" spans="1:48" ht="12.75" x14ac:dyDescent="0.2">
      <c r="A594" s="243"/>
      <c r="B594" s="243"/>
      <c r="C594" s="1024"/>
      <c r="D594" s="1024"/>
      <c r="E594" s="1025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  <c r="AA594" s="243"/>
      <c r="AB594" s="243"/>
      <c r="AC594" s="243"/>
      <c r="AD594" s="243"/>
      <c r="AE594" s="243"/>
      <c r="AF594" s="243"/>
      <c r="AG594" s="243"/>
      <c r="AH594" s="243"/>
      <c r="AI594" s="243"/>
      <c r="AJ594" s="243"/>
      <c r="AK594" s="243"/>
      <c r="AL594" s="243"/>
      <c r="AM594" s="243"/>
      <c r="AN594" s="243"/>
      <c r="AO594" s="243"/>
      <c r="AP594" s="243"/>
      <c r="AQ594" s="1024"/>
      <c r="AR594" s="357"/>
      <c r="AS594" s="163"/>
      <c r="AT594" s="163"/>
      <c r="AU594" s="163"/>
      <c r="AV594" s="321"/>
    </row>
    <row r="595" spans="1:48" ht="12.75" x14ac:dyDescent="0.2">
      <c r="A595" s="243"/>
      <c r="B595" s="243"/>
      <c r="C595" s="1024"/>
      <c r="D595" s="1024"/>
      <c r="E595" s="1025"/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  <c r="AH595" s="243"/>
      <c r="AI595" s="243"/>
      <c r="AJ595" s="243"/>
      <c r="AK595" s="243"/>
      <c r="AL595" s="243"/>
      <c r="AM595" s="243"/>
      <c r="AN595" s="243"/>
      <c r="AO595" s="243"/>
      <c r="AP595" s="243"/>
      <c r="AQ595" s="1024"/>
      <c r="AR595" s="357"/>
      <c r="AS595" s="163"/>
      <c r="AT595" s="163"/>
      <c r="AU595" s="163"/>
      <c r="AV595" s="321"/>
    </row>
    <row r="596" spans="1:48" ht="12.75" x14ac:dyDescent="0.2">
      <c r="A596" s="243"/>
      <c r="B596" s="243"/>
      <c r="C596" s="1024"/>
      <c r="D596" s="1024"/>
      <c r="E596" s="1025"/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  <c r="AA596" s="243"/>
      <c r="AB596" s="243"/>
      <c r="AC596" s="243"/>
      <c r="AD596" s="243"/>
      <c r="AE596" s="243"/>
      <c r="AF596" s="243"/>
      <c r="AG596" s="243"/>
      <c r="AH596" s="243"/>
      <c r="AI596" s="243"/>
      <c r="AJ596" s="243"/>
      <c r="AK596" s="243"/>
      <c r="AL596" s="243"/>
      <c r="AM596" s="243"/>
      <c r="AN596" s="243"/>
      <c r="AO596" s="243"/>
      <c r="AP596" s="243"/>
      <c r="AQ596" s="1024"/>
      <c r="AR596" s="357"/>
      <c r="AS596" s="163"/>
      <c r="AT596" s="163"/>
      <c r="AU596" s="163"/>
      <c r="AV596" s="321"/>
    </row>
    <row r="597" spans="1:48" ht="12.75" x14ac:dyDescent="0.2">
      <c r="A597" s="243"/>
      <c r="B597" s="243"/>
      <c r="C597" s="1024"/>
      <c r="D597" s="1024"/>
      <c r="E597" s="1025"/>
      <c r="F597" s="243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3"/>
      <c r="Z597" s="243"/>
      <c r="AA597" s="243"/>
      <c r="AB597" s="243"/>
      <c r="AC597" s="243"/>
      <c r="AD597" s="243"/>
      <c r="AE597" s="243"/>
      <c r="AF597" s="243"/>
      <c r="AG597" s="243"/>
      <c r="AH597" s="243"/>
      <c r="AI597" s="243"/>
      <c r="AJ597" s="243"/>
      <c r="AK597" s="243"/>
      <c r="AL597" s="243"/>
      <c r="AM597" s="243"/>
      <c r="AN597" s="243"/>
      <c r="AO597" s="243"/>
      <c r="AP597" s="243"/>
      <c r="AQ597" s="1024"/>
      <c r="AR597" s="357"/>
      <c r="AS597" s="163"/>
      <c r="AT597" s="163"/>
      <c r="AU597" s="163"/>
      <c r="AV597" s="321"/>
    </row>
    <row r="598" spans="1:48" ht="12.75" x14ac:dyDescent="0.2">
      <c r="A598" s="243"/>
      <c r="B598" s="243"/>
      <c r="C598" s="1024"/>
      <c r="D598" s="1024"/>
      <c r="E598" s="1025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  <c r="AA598" s="243"/>
      <c r="AB598" s="243"/>
      <c r="AC598" s="243"/>
      <c r="AD598" s="243"/>
      <c r="AE598" s="243"/>
      <c r="AF598" s="243"/>
      <c r="AG598" s="243"/>
      <c r="AH598" s="243"/>
      <c r="AI598" s="243"/>
      <c r="AJ598" s="243"/>
      <c r="AK598" s="243"/>
      <c r="AL598" s="243"/>
      <c r="AM598" s="243"/>
      <c r="AN598" s="243"/>
      <c r="AO598" s="243"/>
      <c r="AP598" s="243"/>
      <c r="AQ598" s="1024"/>
      <c r="AR598" s="357"/>
      <c r="AS598" s="163"/>
      <c r="AT598" s="163"/>
      <c r="AU598" s="163"/>
      <c r="AV598" s="321"/>
    </row>
    <row r="599" spans="1:48" ht="12.75" x14ac:dyDescent="0.2">
      <c r="A599" s="243"/>
      <c r="B599" s="243"/>
      <c r="C599" s="1024"/>
      <c r="D599" s="1024"/>
      <c r="E599" s="1025"/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  <c r="AA599" s="243"/>
      <c r="AB599" s="243"/>
      <c r="AC599" s="243"/>
      <c r="AD599" s="243"/>
      <c r="AE599" s="243"/>
      <c r="AF599" s="243"/>
      <c r="AG599" s="243"/>
      <c r="AH599" s="243"/>
      <c r="AI599" s="243"/>
      <c r="AJ599" s="243"/>
      <c r="AK599" s="243"/>
      <c r="AL599" s="243"/>
      <c r="AM599" s="243"/>
      <c r="AN599" s="243"/>
      <c r="AO599" s="243"/>
      <c r="AP599" s="243"/>
      <c r="AQ599" s="1024"/>
      <c r="AR599" s="357"/>
      <c r="AS599" s="163"/>
      <c r="AT599" s="163"/>
      <c r="AU599" s="163"/>
      <c r="AV599" s="321"/>
    </row>
    <row r="600" spans="1:48" ht="12.75" x14ac:dyDescent="0.2">
      <c r="A600" s="243"/>
      <c r="B600" s="243"/>
      <c r="C600" s="1024"/>
      <c r="D600" s="1024"/>
      <c r="E600" s="1025"/>
      <c r="F600" s="243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3"/>
      <c r="Z600" s="243"/>
      <c r="AA600" s="243"/>
      <c r="AB600" s="243"/>
      <c r="AC600" s="243"/>
      <c r="AD600" s="243"/>
      <c r="AE600" s="243"/>
      <c r="AF600" s="243"/>
      <c r="AG600" s="243"/>
      <c r="AH600" s="243"/>
      <c r="AI600" s="243"/>
      <c r="AJ600" s="243"/>
      <c r="AK600" s="243"/>
      <c r="AL600" s="243"/>
      <c r="AM600" s="243"/>
      <c r="AN600" s="243"/>
      <c r="AO600" s="243"/>
      <c r="AP600" s="243"/>
      <c r="AQ600" s="1024"/>
      <c r="AR600" s="357"/>
      <c r="AS600" s="163"/>
      <c r="AT600" s="163"/>
      <c r="AU600" s="163"/>
      <c r="AV600" s="321"/>
    </row>
    <row r="601" spans="1:48" ht="12.75" x14ac:dyDescent="0.2">
      <c r="A601" s="243"/>
      <c r="B601" s="243"/>
      <c r="C601" s="1024"/>
      <c r="D601" s="1024"/>
      <c r="E601" s="1025"/>
      <c r="F601" s="243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3"/>
      <c r="Z601" s="243"/>
      <c r="AA601" s="243"/>
      <c r="AB601" s="243"/>
      <c r="AC601" s="243"/>
      <c r="AD601" s="243"/>
      <c r="AE601" s="243"/>
      <c r="AF601" s="243"/>
      <c r="AG601" s="243"/>
      <c r="AH601" s="243"/>
      <c r="AI601" s="243"/>
      <c r="AJ601" s="243"/>
      <c r="AK601" s="243"/>
      <c r="AL601" s="243"/>
      <c r="AM601" s="243"/>
      <c r="AN601" s="243"/>
      <c r="AO601" s="243"/>
      <c r="AP601" s="243"/>
      <c r="AQ601" s="1024"/>
      <c r="AR601" s="357"/>
      <c r="AS601" s="163"/>
      <c r="AT601" s="163"/>
      <c r="AU601" s="163"/>
      <c r="AV601" s="321"/>
    </row>
    <row r="602" spans="1:48" ht="12.75" x14ac:dyDescent="0.2">
      <c r="A602" s="243"/>
      <c r="B602" s="243"/>
      <c r="C602" s="1024"/>
      <c r="D602" s="1024"/>
      <c r="E602" s="1025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  <c r="AA602" s="243"/>
      <c r="AB602" s="243"/>
      <c r="AC602" s="243"/>
      <c r="AD602" s="243"/>
      <c r="AE602" s="243"/>
      <c r="AF602" s="243"/>
      <c r="AG602" s="243"/>
      <c r="AH602" s="243"/>
      <c r="AI602" s="243"/>
      <c r="AJ602" s="243"/>
      <c r="AK602" s="243"/>
      <c r="AL602" s="243"/>
      <c r="AM602" s="243"/>
      <c r="AN602" s="243"/>
      <c r="AO602" s="243"/>
      <c r="AP602" s="243"/>
      <c r="AQ602" s="1024"/>
      <c r="AR602" s="357"/>
      <c r="AS602" s="163"/>
      <c r="AT602" s="163"/>
      <c r="AU602" s="163"/>
      <c r="AV602" s="321"/>
    </row>
    <row r="603" spans="1:48" ht="12.75" x14ac:dyDescent="0.2">
      <c r="A603" s="243"/>
      <c r="B603" s="243"/>
      <c r="C603" s="1024"/>
      <c r="D603" s="1024"/>
      <c r="E603" s="1025"/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  <c r="AA603" s="243"/>
      <c r="AB603" s="243"/>
      <c r="AC603" s="243"/>
      <c r="AD603" s="243"/>
      <c r="AE603" s="243"/>
      <c r="AF603" s="243"/>
      <c r="AG603" s="243"/>
      <c r="AH603" s="243"/>
      <c r="AI603" s="243"/>
      <c r="AJ603" s="243"/>
      <c r="AK603" s="243"/>
      <c r="AL603" s="243"/>
      <c r="AM603" s="243"/>
      <c r="AN603" s="243"/>
      <c r="AO603" s="243"/>
      <c r="AP603" s="243"/>
      <c r="AQ603" s="1024"/>
      <c r="AR603" s="357"/>
      <c r="AS603" s="163"/>
      <c r="AT603" s="163"/>
      <c r="AU603" s="163"/>
      <c r="AV603" s="321"/>
    </row>
    <row r="604" spans="1:48" ht="12.75" x14ac:dyDescent="0.2">
      <c r="A604" s="243"/>
      <c r="B604" s="243"/>
      <c r="C604" s="1024"/>
      <c r="D604" s="1024"/>
      <c r="E604" s="1025"/>
      <c r="F604" s="243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3"/>
      <c r="Z604" s="243"/>
      <c r="AA604" s="243"/>
      <c r="AB604" s="243"/>
      <c r="AC604" s="243"/>
      <c r="AD604" s="243"/>
      <c r="AE604" s="243"/>
      <c r="AF604" s="243"/>
      <c r="AG604" s="243"/>
      <c r="AH604" s="243"/>
      <c r="AI604" s="243"/>
      <c r="AJ604" s="243"/>
      <c r="AK604" s="243"/>
      <c r="AL604" s="243"/>
      <c r="AM604" s="243"/>
      <c r="AN604" s="243"/>
      <c r="AO604" s="243"/>
      <c r="AP604" s="243"/>
      <c r="AQ604" s="1024"/>
      <c r="AR604" s="357"/>
      <c r="AS604" s="163"/>
      <c r="AT604" s="163"/>
      <c r="AU604" s="163"/>
      <c r="AV604" s="321"/>
    </row>
    <row r="605" spans="1:48" ht="12.75" x14ac:dyDescent="0.2">
      <c r="A605" s="243"/>
      <c r="B605" s="243"/>
      <c r="C605" s="1024"/>
      <c r="D605" s="1024"/>
      <c r="E605" s="1025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  <c r="AA605" s="243"/>
      <c r="AB605" s="243"/>
      <c r="AC605" s="243"/>
      <c r="AD605" s="243"/>
      <c r="AE605" s="243"/>
      <c r="AF605" s="243"/>
      <c r="AG605" s="243"/>
      <c r="AH605" s="243"/>
      <c r="AI605" s="243"/>
      <c r="AJ605" s="243"/>
      <c r="AK605" s="243"/>
      <c r="AL605" s="243"/>
      <c r="AM605" s="243"/>
      <c r="AN605" s="243"/>
      <c r="AO605" s="243"/>
      <c r="AP605" s="243"/>
      <c r="AQ605" s="1024"/>
      <c r="AR605" s="357"/>
      <c r="AS605" s="163"/>
      <c r="AT605" s="163"/>
      <c r="AU605" s="163"/>
      <c r="AV605" s="321"/>
    </row>
    <row r="606" spans="1:48" ht="12.75" x14ac:dyDescent="0.2">
      <c r="A606" s="243"/>
      <c r="B606" s="243"/>
      <c r="C606" s="1024"/>
      <c r="D606" s="1024"/>
      <c r="E606" s="1025"/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  <c r="AA606" s="243"/>
      <c r="AB606" s="243"/>
      <c r="AC606" s="243"/>
      <c r="AD606" s="243"/>
      <c r="AE606" s="243"/>
      <c r="AF606" s="243"/>
      <c r="AG606" s="243"/>
      <c r="AH606" s="243"/>
      <c r="AI606" s="243"/>
      <c r="AJ606" s="243"/>
      <c r="AK606" s="243"/>
      <c r="AL606" s="243"/>
      <c r="AM606" s="243"/>
      <c r="AN606" s="243"/>
      <c r="AO606" s="243"/>
      <c r="AP606" s="243"/>
      <c r="AQ606" s="1024"/>
      <c r="AR606" s="357"/>
      <c r="AS606" s="163"/>
      <c r="AT606" s="163"/>
      <c r="AU606" s="163"/>
      <c r="AV606" s="321"/>
    </row>
    <row r="607" spans="1:48" ht="12.75" x14ac:dyDescent="0.2">
      <c r="A607" s="243"/>
      <c r="B607" s="243"/>
      <c r="C607" s="1024"/>
      <c r="D607" s="1024"/>
      <c r="E607" s="1025"/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  <c r="AA607" s="243"/>
      <c r="AB607" s="243"/>
      <c r="AC607" s="243"/>
      <c r="AD607" s="243"/>
      <c r="AE607" s="243"/>
      <c r="AF607" s="243"/>
      <c r="AG607" s="243"/>
      <c r="AH607" s="243"/>
      <c r="AI607" s="243"/>
      <c r="AJ607" s="243"/>
      <c r="AK607" s="243"/>
      <c r="AL607" s="243"/>
      <c r="AM607" s="243"/>
      <c r="AN607" s="243"/>
      <c r="AO607" s="243"/>
      <c r="AP607" s="243"/>
      <c r="AQ607" s="1024"/>
      <c r="AR607" s="357"/>
      <c r="AS607" s="163"/>
      <c r="AT607" s="163"/>
      <c r="AU607" s="163"/>
      <c r="AV607" s="321"/>
    </row>
    <row r="608" spans="1:48" ht="12.75" x14ac:dyDescent="0.2">
      <c r="A608" s="243"/>
      <c r="B608" s="243"/>
      <c r="C608" s="1024"/>
      <c r="D608" s="1024"/>
      <c r="E608" s="1025"/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  <c r="AA608" s="243"/>
      <c r="AB608" s="243"/>
      <c r="AC608" s="243"/>
      <c r="AD608" s="243"/>
      <c r="AE608" s="243"/>
      <c r="AF608" s="243"/>
      <c r="AG608" s="243"/>
      <c r="AH608" s="243"/>
      <c r="AI608" s="243"/>
      <c r="AJ608" s="243"/>
      <c r="AK608" s="243"/>
      <c r="AL608" s="243"/>
      <c r="AM608" s="243"/>
      <c r="AN608" s="243"/>
      <c r="AO608" s="243"/>
      <c r="AP608" s="243"/>
      <c r="AQ608" s="1024"/>
      <c r="AR608" s="357"/>
      <c r="AS608" s="163"/>
      <c r="AT608" s="163"/>
      <c r="AU608" s="163"/>
      <c r="AV608" s="321"/>
    </row>
    <row r="609" spans="1:48" ht="12.75" x14ac:dyDescent="0.2">
      <c r="A609" s="243"/>
      <c r="B609" s="243"/>
      <c r="C609" s="1024"/>
      <c r="D609" s="1024"/>
      <c r="E609" s="1025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  <c r="AH609" s="243"/>
      <c r="AI609" s="243"/>
      <c r="AJ609" s="243"/>
      <c r="AK609" s="243"/>
      <c r="AL609" s="243"/>
      <c r="AM609" s="243"/>
      <c r="AN609" s="243"/>
      <c r="AO609" s="243"/>
      <c r="AP609" s="243"/>
      <c r="AQ609" s="1024"/>
      <c r="AR609" s="357"/>
      <c r="AS609" s="163"/>
      <c r="AT609" s="163"/>
      <c r="AU609" s="163"/>
      <c r="AV609" s="321"/>
    </row>
    <row r="610" spans="1:48" ht="12.75" x14ac:dyDescent="0.2">
      <c r="A610" s="243"/>
      <c r="B610" s="243"/>
      <c r="C610" s="1024"/>
      <c r="D610" s="1024"/>
      <c r="E610" s="1025"/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  <c r="AH610" s="243"/>
      <c r="AI610" s="243"/>
      <c r="AJ610" s="243"/>
      <c r="AK610" s="243"/>
      <c r="AL610" s="243"/>
      <c r="AM610" s="243"/>
      <c r="AN610" s="243"/>
      <c r="AO610" s="243"/>
      <c r="AP610" s="243"/>
      <c r="AQ610" s="1024"/>
      <c r="AR610" s="357"/>
      <c r="AS610" s="163"/>
      <c r="AT610" s="163"/>
      <c r="AU610" s="163"/>
      <c r="AV610" s="321"/>
    </row>
    <row r="611" spans="1:48" ht="12.75" x14ac:dyDescent="0.2">
      <c r="A611" s="243"/>
      <c r="B611" s="243"/>
      <c r="C611" s="1024"/>
      <c r="D611" s="1024"/>
      <c r="E611" s="1025"/>
      <c r="F611" s="243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3"/>
      <c r="Z611" s="243"/>
      <c r="AA611" s="243"/>
      <c r="AB611" s="243"/>
      <c r="AC611" s="243"/>
      <c r="AD611" s="243"/>
      <c r="AE611" s="243"/>
      <c r="AF611" s="243"/>
      <c r="AG611" s="243"/>
      <c r="AH611" s="243"/>
      <c r="AI611" s="243"/>
      <c r="AJ611" s="243"/>
      <c r="AK611" s="243"/>
      <c r="AL611" s="243"/>
      <c r="AM611" s="243"/>
      <c r="AN611" s="243"/>
      <c r="AO611" s="243"/>
      <c r="AP611" s="243"/>
      <c r="AQ611" s="1024"/>
      <c r="AR611" s="357"/>
      <c r="AS611" s="163"/>
      <c r="AT611" s="163"/>
      <c r="AU611" s="163"/>
      <c r="AV611" s="321"/>
    </row>
    <row r="612" spans="1:48" ht="12.75" x14ac:dyDescent="0.2">
      <c r="A612" s="243"/>
      <c r="B612" s="243"/>
      <c r="C612" s="1024"/>
      <c r="D612" s="1024"/>
      <c r="E612" s="1025"/>
      <c r="F612" s="243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3"/>
      <c r="Z612" s="243"/>
      <c r="AA612" s="243"/>
      <c r="AB612" s="243"/>
      <c r="AC612" s="243"/>
      <c r="AD612" s="243"/>
      <c r="AE612" s="243"/>
      <c r="AF612" s="243"/>
      <c r="AG612" s="243"/>
      <c r="AH612" s="243"/>
      <c r="AI612" s="243"/>
      <c r="AJ612" s="243"/>
      <c r="AK612" s="243"/>
      <c r="AL612" s="243"/>
      <c r="AM612" s="243"/>
      <c r="AN612" s="243"/>
      <c r="AO612" s="243"/>
      <c r="AP612" s="243"/>
      <c r="AQ612" s="1024"/>
      <c r="AR612" s="357"/>
      <c r="AS612" s="163"/>
      <c r="AT612" s="163"/>
      <c r="AU612" s="163"/>
      <c r="AV612" s="321"/>
    </row>
    <row r="613" spans="1:48" ht="12.75" x14ac:dyDescent="0.2">
      <c r="A613" s="243"/>
      <c r="B613" s="243"/>
      <c r="C613" s="1024"/>
      <c r="D613" s="1024"/>
      <c r="E613" s="1025"/>
      <c r="F613" s="243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  <c r="AA613" s="243"/>
      <c r="AB613" s="243"/>
      <c r="AC613" s="243"/>
      <c r="AD613" s="243"/>
      <c r="AE613" s="243"/>
      <c r="AF613" s="243"/>
      <c r="AG613" s="243"/>
      <c r="AH613" s="243"/>
      <c r="AI613" s="243"/>
      <c r="AJ613" s="243"/>
      <c r="AK613" s="243"/>
      <c r="AL613" s="243"/>
      <c r="AM613" s="243"/>
      <c r="AN613" s="243"/>
      <c r="AO613" s="243"/>
      <c r="AP613" s="243"/>
      <c r="AQ613" s="1024"/>
      <c r="AR613" s="357"/>
      <c r="AS613" s="163"/>
      <c r="AT613" s="163"/>
      <c r="AU613" s="163"/>
      <c r="AV613" s="321"/>
    </row>
    <row r="614" spans="1:48" ht="12.75" x14ac:dyDescent="0.2">
      <c r="A614" s="243"/>
      <c r="B614" s="243"/>
      <c r="C614" s="1024"/>
      <c r="D614" s="1024"/>
      <c r="E614" s="1025"/>
      <c r="F614" s="243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3"/>
      <c r="Z614" s="243"/>
      <c r="AA614" s="243"/>
      <c r="AB614" s="243"/>
      <c r="AC614" s="243"/>
      <c r="AD614" s="243"/>
      <c r="AE614" s="243"/>
      <c r="AF614" s="243"/>
      <c r="AG614" s="243"/>
      <c r="AH614" s="243"/>
      <c r="AI614" s="243"/>
      <c r="AJ614" s="243"/>
      <c r="AK614" s="243"/>
      <c r="AL614" s="243"/>
      <c r="AM614" s="243"/>
      <c r="AN614" s="243"/>
      <c r="AO614" s="243"/>
      <c r="AP614" s="243"/>
      <c r="AQ614" s="1024"/>
      <c r="AR614" s="357"/>
      <c r="AS614" s="163"/>
      <c r="AT614" s="163"/>
      <c r="AU614" s="163"/>
      <c r="AV614" s="321"/>
    </row>
    <row r="615" spans="1:48" ht="12.75" x14ac:dyDescent="0.2">
      <c r="A615" s="243"/>
      <c r="B615" s="243"/>
      <c r="C615" s="1024"/>
      <c r="D615" s="1024"/>
      <c r="E615" s="1025"/>
      <c r="F615" s="243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3"/>
      <c r="Z615" s="243"/>
      <c r="AA615" s="243"/>
      <c r="AB615" s="243"/>
      <c r="AC615" s="243"/>
      <c r="AD615" s="243"/>
      <c r="AE615" s="243"/>
      <c r="AF615" s="243"/>
      <c r="AG615" s="243"/>
      <c r="AH615" s="243"/>
      <c r="AI615" s="243"/>
      <c r="AJ615" s="243"/>
      <c r="AK615" s="243"/>
      <c r="AL615" s="243"/>
      <c r="AM615" s="243"/>
      <c r="AN615" s="243"/>
      <c r="AO615" s="243"/>
      <c r="AP615" s="243"/>
      <c r="AQ615" s="1024"/>
      <c r="AR615" s="357"/>
      <c r="AS615" s="163"/>
      <c r="AT615" s="163"/>
      <c r="AU615" s="163"/>
      <c r="AV615" s="321"/>
    </row>
    <row r="616" spans="1:48" ht="12.75" x14ac:dyDescent="0.2">
      <c r="A616" s="243"/>
      <c r="B616" s="243"/>
      <c r="C616" s="1024"/>
      <c r="D616" s="1024"/>
      <c r="E616" s="1025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  <c r="AA616" s="243"/>
      <c r="AB616" s="243"/>
      <c r="AC616" s="243"/>
      <c r="AD616" s="243"/>
      <c r="AE616" s="243"/>
      <c r="AF616" s="243"/>
      <c r="AG616" s="243"/>
      <c r="AH616" s="243"/>
      <c r="AI616" s="243"/>
      <c r="AJ616" s="243"/>
      <c r="AK616" s="243"/>
      <c r="AL616" s="243"/>
      <c r="AM616" s="243"/>
      <c r="AN616" s="243"/>
      <c r="AO616" s="243"/>
      <c r="AP616" s="243"/>
      <c r="AQ616" s="1024"/>
      <c r="AR616" s="357"/>
      <c r="AS616" s="163"/>
      <c r="AT616" s="163"/>
      <c r="AU616" s="163"/>
      <c r="AV616" s="321"/>
    </row>
    <row r="617" spans="1:48" ht="12.75" x14ac:dyDescent="0.2">
      <c r="A617" s="243"/>
      <c r="B617" s="243"/>
      <c r="C617" s="1024"/>
      <c r="D617" s="1024"/>
      <c r="E617" s="1025"/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  <c r="AA617" s="243"/>
      <c r="AB617" s="243"/>
      <c r="AC617" s="243"/>
      <c r="AD617" s="243"/>
      <c r="AE617" s="243"/>
      <c r="AF617" s="243"/>
      <c r="AG617" s="243"/>
      <c r="AH617" s="243"/>
      <c r="AI617" s="243"/>
      <c r="AJ617" s="243"/>
      <c r="AK617" s="243"/>
      <c r="AL617" s="243"/>
      <c r="AM617" s="243"/>
      <c r="AN617" s="243"/>
      <c r="AO617" s="243"/>
      <c r="AP617" s="243"/>
      <c r="AQ617" s="1024"/>
      <c r="AR617" s="357"/>
      <c r="AS617" s="163"/>
      <c r="AT617" s="163"/>
      <c r="AU617" s="163"/>
      <c r="AV617" s="321"/>
    </row>
    <row r="618" spans="1:48" ht="12.75" x14ac:dyDescent="0.2">
      <c r="A618" s="243"/>
      <c r="B618" s="243"/>
      <c r="C618" s="1024"/>
      <c r="D618" s="1024"/>
      <c r="E618" s="1025"/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  <c r="AA618" s="243"/>
      <c r="AB618" s="243"/>
      <c r="AC618" s="243"/>
      <c r="AD618" s="243"/>
      <c r="AE618" s="243"/>
      <c r="AF618" s="243"/>
      <c r="AG618" s="243"/>
      <c r="AH618" s="243"/>
      <c r="AI618" s="243"/>
      <c r="AJ618" s="243"/>
      <c r="AK618" s="243"/>
      <c r="AL618" s="243"/>
      <c r="AM618" s="243"/>
      <c r="AN618" s="243"/>
      <c r="AO618" s="243"/>
      <c r="AP618" s="243"/>
      <c r="AQ618" s="1024"/>
      <c r="AR618" s="357"/>
      <c r="AS618" s="163"/>
      <c r="AT618" s="163"/>
      <c r="AU618" s="163"/>
      <c r="AV618" s="321"/>
    </row>
    <row r="619" spans="1:48" ht="12.75" x14ac:dyDescent="0.2">
      <c r="A619" s="243"/>
      <c r="B619" s="243"/>
      <c r="C619" s="1024"/>
      <c r="D619" s="1024"/>
      <c r="E619" s="1025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  <c r="AA619" s="243"/>
      <c r="AB619" s="243"/>
      <c r="AC619" s="243"/>
      <c r="AD619" s="243"/>
      <c r="AE619" s="243"/>
      <c r="AF619" s="243"/>
      <c r="AG619" s="243"/>
      <c r="AH619" s="243"/>
      <c r="AI619" s="243"/>
      <c r="AJ619" s="243"/>
      <c r="AK619" s="243"/>
      <c r="AL619" s="243"/>
      <c r="AM619" s="243"/>
      <c r="AN619" s="243"/>
      <c r="AO619" s="243"/>
      <c r="AP619" s="243"/>
      <c r="AQ619" s="1024"/>
      <c r="AR619" s="357"/>
      <c r="AS619" s="163"/>
      <c r="AT619" s="163"/>
      <c r="AU619" s="163"/>
      <c r="AV619" s="321"/>
    </row>
    <row r="620" spans="1:48" ht="12.75" x14ac:dyDescent="0.2">
      <c r="A620" s="243"/>
      <c r="B620" s="243"/>
      <c r="C620" s="1024"/>
      <c r="D620" s="1024"/>
      <c r="E620" s="1025"/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  <c r="AA620" s="243"/>
      <c r="AB620" s="243"/>
      <c r="AC620" s="243"/>
      <c r="AD620" s="243"/>
      <c r="AE620" s="243"/>
      <c r="AF620" s="243"/>
      <c r="AG620" s="243"/>
      <c r="AH620" s="243"/>
      <c r="AI620" s="243"/>
      <c r="AJ620" s="243"/>
      <c r="AK620" s="243"/>
      <c r="AL620" s="243"/>
      <c r="AM620" s="243"/>
      <c r="AN620" s="243"/>
      <c r="AO620" s="243"/>
      <c r="AP620" s="243"/>
      <c r="AQ620" s="1024"/>
      <c r="AR620" s="357"/>
      <c r="AS620" s="163"/>
      <c r="AT620" s="163"/>
      <c r="AU620" s="163"/>
      <c r="AV620" s="321"/>
    </row>
    <row r="621" spans="1:48" ht="12.75" x14ac:dyDescent="0.2">
      <c r="A621" s="243"/>
      <c r="B621" s="243"/>
      <c r="C621" s="1024"/>
      <c r="D621" s="1024"/>
      <c r="E621" s="1025"/>
      <c r="F621" s="243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3"/>
      <c r="Z621" s="243"/>
      <c r="AA621" s="243"/>
      <c r="AB621" s="243"/>
      <c r="AC621" s="243"/>
      <c r="AD621" s="243"/>
      <c r="AE621" s="243"/>
      <c r="AF621" s="243"/>
      <c r="AG621" s="243"/>
      <c r="AH621" s="243"/>
      <c r="AI621" s="243"/>
      <c r="AJ621" s="243"/>
      <c r="AK621" s="243"/>
      <c r="AL621" s="243"/>
      <c r="AM621" s="243"/>
      <c r="AN621" s="243"/>
      <c r="AO621" s="243"/>
      <c r="AP621" s="243"/>
      <c r="AQ621" s="1024"/>
      <c r="AR621" s="357"/>
      <c r="AS621" s="163"/>
      <c r="AT621" s="163"/>
      <c r="AU621" s="163"/>
      <c r="AV621" s="321"/>
    </row>
    <row r="622" spans="1:48" ht="12.75" x14ac:dyDescent="0.2">
      <c r="A622" s="243"/>
      <c r="B622" s="243"/>
      <c r="C622" s="1024"/>
      <c r="D622" s="1024"/>
      <c r="E622" s="1025"/>
      <c r="F622" s="243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3"/>
      <c r="Z622" s="243"/>
      <c r="AA622" s="243"/>
      <c r="AB622" s="243"/>
      <c r="AC622" s="243"/>
      <c r="AD622" s="243"/>
      <c r="AE622" s="243"/>
      <c r="AF622" s="243"/>
      <c r="AG622" s="243"/>
      <c r="AH622" s="243"/>
      <c r="AI622" s="243"/>
      <c r="AJ622" s="243"/>
      <c r="AK622" s="243"/>
      <c r="AL622" s="243"/>
      <c r="AM622" s="243"/>
      <c r="AN622" s="243"/>
      <c r="AO622" s="243"/>
      <c r="AP622" s="243"/>
      <c r="AQ622" s="1024"/>
      <c r="AR622" s="357"/>
      <c r="AS622" s="163"/>
      <c r="AT622" s="163"/>
      <c r="AU622" s="163"/>
      <c r="AV622" s="321"/>
    </row>
    <row r="623" spans="1:48" ht="12.75" x14ac:dyDescent="0.2">
      <c r="A623" s="243"/>
      <c r="B623" s="243"/>
      <c r="C623" s="1024"/>
      <c r="D623" s="1024"/>
      <c r="E623" s="1025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  <c r="AA623" s="243"/>
      <c r="AB623" s="243"/>
      <c r="AC623" s="243"/>
      <c r="AD623" s="243"/>
      <c r="AE623" s="243"/>
      <c r="AF623" s="243"/>
      <c r="AG623" s="243"/>
      <c r="AH623" s="243"/>
      <c r="AI623" s="243"/>
      <c r="AJ623" s="243"/>
      <c r="AK623" s="243"/>
      <c r="AL623" s="243"/>
      <c r="AM623" s="243"/>
      <c r="AN623" s="243"/>
      <c r="AO623" s="243"/>
      <c r="AP623" s="243"/>
      <c r="AQ623" s="1024"/>
      <c r="AR623" s="357"/>
      <c r="AS623" s="163"/>
      <c r="AT623" s="163"/>
      <c r="AU623" s="163"/>
      <c r="AV623" s="321"/>
    </row>
    <row r="624" spans="1:48" ht="12.75" x14ac:dyDescent="0.2">
      <c r="A624" s="243"/>
      <c r="B624" s="243"/>
      <c r="C624" s="1024"/>
      <c r="D624" s="1024"/>
      <c r="E624" s="1025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  <c r="AA624" s="243"/>
      <c r="AB624" s="243"/>
      <c r="AC624" s="243"/>
      <c r="AD624" s="243"/>
      <c r="AE624" s="243"/>
      <c r="AF624" s="243"/>
      <c r="AG624" s="243"/>
      <c r="AH624" s="243"/>
      <c r="AI624" s="243"/>
      <c r="AJ624" s="243"/>
      <c r="AK624" s="243"/>
      <c r="AL624" s="243"/>
      <c r="AM624" s="243"/>
      <c r="AN624" s="243"/>
      <c r="AO624" s="243"/>
      <c r="AP624" s="243"/>
      <c r="AQ624" s="1024"/>
      <c r="AR624" s="357"/>
      <c r="AS624" s="163"/>
      <c r="AT624" s="163"/>
      <c r="AU624" s="163"/>
      <c r="AV624" s="321"/>
    </row>
    <row r="625" spans="1:48" ht="12.75" x14ac:dyDescent="0.2">
      <c r="A625" s="243"/>
      <c r="B625" s="243"/>
      <c r="C625" s="1024"/>
      <c r="D625" s="1024"/>
      <c r="E625" s="1025"/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  <c r="AA625" s="243"/>
      <c r="AB625" s="243"/>
      <c r="AC625" s="243"/>
      <c r="AD625" s="243"/>
      <c r="AE625" s="243"/>
      <c r="AF625" s="243"/>
      <c r="AG625" s="243"/>
      <c r="AH625" s="243"/>
      <c r="AI625" s="243"/>
      <c r="AJ625" s="243"/>
      <c r="AK625" s="243"/>
      <c r="AL625" s="243"/>
      <c r="AM625" s="243"/>
      <c r="AN625" s="243"/>
      <c r="AO625" s="243"/>
      <c r="AP625" s="243"/>
      <c r="AQ625" s="1024"/>
      <c r="AR625" s="357"/>
      <c r="AS625" s="163"/>
      <c r="AT625" s="163"/>
      <c r="AU625" s="163"/>
      <c r="AV625" s="321"/>
    </row>
    <row r="626" spans="1:48" ht="12.75" x14ac:dyDescent="0.2">
      <c r="A626" s="243"/>
      <c r="B626" s="243"/>
      <c r="C626" s="1024"/>
      <c r="D626" s="1024"/>
      <c r="E626" s="1025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  <c r="AH626" s="243"/>
      <c r="AI626" s="243"/>
      <c r="AJ626" s="243"/>
      <c r="AK626" s="243"/>
      <c r="AL626" s="243"/>
      <c r="AM626" s="243"/>
      <c r="AN626" s="243"/>
      <c r="AO626" s="243"/>
      <c r="AP626" s="243"/>
      <c r="AQ626" s="1024"/>
      <c r="AR626" s="357"/>
      <c r="AS626" s="163"/>
      <c r="AT626" s="163"/>
      <c r="AU626" s="163"/>
      <c r="AV626" s="321"/>
    </row>
    <row r="627" spans="1:48" ht="12.75" x14ac:dyDescent="0.2">
      <c r="A627" s="243"/>
      <c r="B627" s="243"/>
      <c r="C627" s="1024"/>
      <c r="D627" s="1024"/>
      <c r="E627" s="1025"/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  <c r="AH627" s="243"/>
      <c r="AI627" s="243"/>
      <c r="AJ627" s="243"/>
      <c r="AK627" s="243"/>
      <c r="AL627" s="243"/>
      <c r="AM627" s="243"/>
      <c r="AN627" s="243"/>
      <c r="AO627" s="243"/>
      <c r="AP627" s="243"/>
      <c r="AQ627" s="1024"/>
      <c r="AR627" s="357"/>
      <c r="AS627" s="163"/>
      <c r="AT627" s="163"/>
      <c r="AU627" s="163"/>
      <c r="AV627" s="321"/>
    </row>
    <row r="628" spans="1:48" ht="12.75" x14ac:dyDescent="0.2">
      <c r="A628" s="243"/>
      <c r="B628" s="243"/>
      <c r="C628" s="1024"/>
      <c r="D628" s="1024"/>
      <c r="E628" s="1025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  <c r="AH628" s="243"/>
      <c r="AI628" s="243"/>
      <c r="AJ628" s="243"/>
      <c r="AK628" s="243"/>
      <c r="AL628" s="243"/>
      <c r="AM628" s="243"/>
      <c r="AN628" s="243"/>
      <c r="AO628" s="243"/>
      <c r="AP628" s="243"/>
      <c r="AQ628" s="1024"/>
      <c r="AR628" s="357"/>
      <c r="AS628" s="163"/>
      <c r="AT628" s="163"/>
      <c r="AU628" s="163"/>
      <c r="AV628" s="321"/>
    </row>
    <row r="629" spans="1:48" ht="12.75" x14ac:dyDescent="0.2">
      <c r="A629" s="243"/>
      <c r="B629" s="243"/>
      <c r="C629" s="1024"/>
      <c r="D629" s="1024"/>
      <c r="E629" s="1025"/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  <c r="AH629" s="243"/>
      <c r="AI629" s="243"/>
      <c r="AJ629" s="243"/>
      <c r="AK629" s="243"/>
      <c r="AL629" s="243"/>
      <c r="AM629" s="243"/>
      <c r="AN629" s="243"/>
      <c r="AO629" s="243"/>
      <c r="AP629" s="243"/>
      <c r="AQ629" s="1024"/>
      <c r="AR629" s="357"/>
      <c r="AS629" s="163"/>
      <c r="AT629" s="163"/>
      <c r="AU629" s="163"/>
      <c r="AV629" s="321"/>
    </row>
    <row r="630" spans="1:48" ht="12.75" x14ac:dyDescent="0.2">
      <c r="A630" s="243"/>
      <c r="B630" s="243"/>
      <c r="C630" s="1024"/>
      <c r="D630" s="1024"/>
      <c r="E630" s="1025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1024"/>
      <c r="AR630" s="357"/>
      <c r="AS630" s="163"/>
      <c r="AT630" s="163"/>
      <c r="AU630" s="163"/>
      <c r="AV630" s="321"/>
    </row>
    <row r="631" spans="1:48" ht="12.75" x14ac:dyDescent="0.2">
      <c r="A631" s="243"/>
      <c r="B631" s="243"/>
      <c r="C631" s="1024"/>
      <c r="D631" s="1024"/>
      <c r="E631" s="1025"/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  <c r="AA631" s="243"/>
      <c r="AB631" s="243"/>
      <c r="AC631" s="243"/>
      <c r="AD631" s="243"/>
      <c r="AE631" s="243"/>
      <c r="AF631" s="243"/>
      <c r="AG631" s="243"/>
      <c r="AH631" s="243"/>
      <c r="AI631" s="243"/>
      <c r="AJ631" s="243"/>
      <c r="AK631" s="243"/>
      <c r="AL631" s="243"/>
      <c r="AM631" s="243"/>
      <c r="AN631" s="243"/>
      <c r="AO631" s="243"/>
      <c r="AP631" s="243"/>
      <c r="AQ631" s="1024"/>
      <c r="AR631" s="357"/>
      <c r="AS631" s="163"/>
      <c r="AT631" s="163"/>
      <c r="AU631" s="163"/>
      <c r="AV631" s="321"/>
    </row>
    <row r="632" spans="1:48" ht="12.75" x14ac:dyDescent="0.2">
      <c r="A632" s="243"/>
      <c r="B632" s="243"/>
      <c r="C632" s="1024"/>
      <c r="D632" s="1024"/>
      <c r="E632" s="1025"/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  <c r="AA632" s="243"/>
      <c r="AB632" s="243"/>
      <c r="AC632" s="243"/>
      <c r="AD632" s="243"/>
      <c r="AE632" s="243"/>
      <c r="AF632" s="243"/>
      <c r="AG632" s="243"/>
      <c r="AH632" s="243"/>
      <c r="AI632" s="243"/>
      <c r="AJ632" s="243"/>
      <c r="AK632" s="243"/>
      <c r="AL632" s="243"/>
      <c r="AM632" s="243"/>
      <c r="AN632" s="243"/>
      <c r="AO632" s="243"/>
      <c r="AP632" s="243"/>
      <c r="AQ632" s="1024"/>
      <c r="AR632" s="357"/>
      <c r="AS632" s="163"/>
      <c r="AT632" s="163"/>
      <c r="AU632" s="163"/>
      <c r="AV632" s="321"/>
    </row>
    <row r="633" spans="1:48" ht="12.75" x14ac:dyDescent="0.2">
      <c r="A633" s="243"/>
      <c r="B633" s="243"/>
      <c r="C633" s="1024"/>
      <c r="D633" s="1024"/>
      <c r="E633" s="1025"/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  <c r="AA633" s="243"/>
      <c r="AB633" s="243"/>
      <c r="AC633" s="243"/>
      <c r="AD633" s="243"/>
      <c r="AE633" s="243"/>
      <c r="AF633" s="243"/>
      <c r="AG633" s="243"/>
      <c r="AH633" s="243"/>
      <c r="AI633" s="243"/>
      <c r="AJ633" s="243"/>
      <c r="AK633" s="243"/>
      <c r="AL633" s="243"/>
      <c r="AM633" s="243"/>
      <c r="AN633" s="243"/>
      <c r="AO633" s="243"/>
      <c r="AP633" s="243"/>
      <c r="AQ633" s="1024"/>
      <c r="AR633" s="357"/>
      <c r="AS633" s="163"/>
      <c r="AT633" s="163"/>
      <c r="AU633" s="163"/>
      <c r="AV633" s="321"/>
    </row>
    <row r="634" spans="1:48" ht="12.75" x14ac:dyDescent="0.2">
      <c r="A634" s="243"/>
      <c r="B634" s="243"/>
      <c r="C634" s="1024"/>
      <c r="D634" s="1024"/>
      <c r="E634" s="1025"/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  <c r="AA634" s="243"/>
      <c r="AB634" s="243"/>
      <c r="AC634" s="243"/>
      <c r="AD634" s="243"/>
      <c r="AE634" s="243"/>
      <c r="AF634" s="243"/>
      <c r="AG634" s="243"/>
      <c r="AH634" s="243"/>
      <c r="AI634" s="243"/>
      <c r="AJ634" s="243"/>
      <c r="AK634" s="243"/>
      <c r="AL634" s="243"/>
      <c r="AM634" s="243"/>
      <c r="AN634" s="243"/>
      <c r="AO634" s="243"/>
      <c r="AP634" s="243"/>
      <c r="AQ634" s="1024"/>
      <c r="AR634" s="357"/>
      <c r="AS634" s="163"/>
      <c r="AT634" s="163"/>
      <c r="AU634" s="163"/>
      <c r="AV634" s="321"/>
    </row>
    <row r="635" spans="1:48" ht="12.75" x14ac:dyDescent="0.2">
      <c r="A635" s="243"/>
      <c r="B635" s="243"/>
      <c r="C635" s="1024"/>
      <c r="D635" s="1024"/>
      <c r="E635" s="1025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  <c r="AA635" s="243"/>
      <c r="AB635" s="243"/>
      <c r="AC635" s="243"/>
      <c r="AD635" s="243"/>
      <c r="AE635" s="243"/>
      <c r="AF635" s="243"/>
      <c r="AG635" s="243"/>
      <c r="AH635" s="243"/>
      <c r="AI635" s="243"/>
      <c r="AJ635" s="243"/>
      <c r="AK635" s="243"/>
      <c r="AL635" s="243"/>
      <c r="AM635" s="243"/>
      <c r="AN635" s="243"/>
      <c r="AO635" s="243"/>
      <c r="AP635" s="243"/>
      <c r="AQ635" s="1024"/>
      <c r="AR635" s="357"/>
      <c r="AS635" s="163"/>
      <c r="AT635" s="163"/>
      <c r="AU635" s="163"/>
      <c r="AV635" s="321"/>
    </row>
    <row r="636" spans="1:48" ht="12.75" x14ac:dyDescent="0.2">
      <c r="A636" s="243"/>
      <c r="B636" s="243"/>
      <c r="C636" s="1024"/>
      <c r="D636" s="1024"/>
      <c r="E636" s="1025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  <c r="AH636" s="243"/>
      <c r="AI636" s="243"/>
      <c r="AJ636" s="243"/>
      <c r="AK636" s="243"/>
      <c r="AL636" s="243"/>
      <c r="AM636" s="243"/>
      <c r="AN636" s="243"/>
      <c r="AO636" s="243"/>
      <c r="AP636" s="243"/>
      <c r="AQ636" s="1024"/>
      <c r="AR636" s="357"/>
      <c r="AS636" s="163"/>
      <c r="AT636" s="163"/>
      <c r="AU636" s="163"/>
      <c r="AV636" s="321"/>
    </row>
    <row r="637" spans="1:48" ht="12.75" x14ac:dyDescent="0.2">
      <c r="A637" s="243"/>
      <c r="B637" s="243"/>
      <c r="C637" s="1024"/>
      <c r="D637" s="1024"/>
      <c r="E637" s="1025"/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  <c r="AA637" s="243"/>
      <c r="AB637" s="243"/>
      <c r="AC637" s="243"/>
      <c r="AD637" s="243"/>
      <c r="AE637" s="243"/>
      <c r="AF637" s="243"/>
      <c r="AG637" s="243"/>
      <c r="AH637" s="243"/>
      <c r="AI637" s="243"/>
      <c r="AJ637" s="243"/>
      <c r="AK637" s="243"/>
      <c r="AL637" s="243"/>
      <c r="AM637" s="243"/>
      <c r="AN637" s="243"/>
      <c r="AO637" s="243"/>
      <c r="AP637" s="243"/>
      <c r="AQ637" s="1024"/>
      <c r="AR637" s="357"/>
      <c r="AS637" s="163"/>
      <c r="AT637" s="163"/>
      <c r="AU637" s="163"/>
      <c r="AV637" s="321"/>
    </row>
    <row r="638" spans="1:48" ht="12.75" x14ac:dyDescent="0.2">
      <c r="A638" s="243"/>
      <c r="B638" s="243"/>
      <c r="C638" s="1024"/>
      <c r="D638" s="1024"/>
      <c r="E638" s="1025"/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  <c r="AA638" s="243"/>
      <c r="AB638" s="243"/>
      <c r="AC638" s="243"/>
      <c r="AD638" s="243"/>
      <c r="AE638" s="243"/>
      <c r="AF638" s="243"/>
      <c r="AG638" s="243"/>
      <c r="AH638" s="243"/>
      <c r="AI638" s="243"/>
      <c r="AJ638" s="243"/>
      <c r="AK638" s="243"/>
      <c r="AL638" s="243"/>
      <c r="AM638" s="243"/>
      <c r="AN638" s="243"/>
      <c r="AO638" s="243"/>
      <c r="AP638" s="243"/>
      <c r="AQ638" s="1024"/>
      <c r="AR638" s="357"/>
      <c r="AS638" s="163"/>
      <c r="AT638" s="163"/>
      <c r="AU638" s="163"/>
      <c r="AV638" s="321"/>
    </row>
    <row r="639" spans="1:48" ht="12.75" x14ac:dyDescent="0.2">
      <c r="A639" s="243"/>
      <c r="B639" s="243"/>
      <c r="C639" s="1024"/>
      <c r="D639" s="1024"/>
      <c r="E639" s="1025"/>
      <c r="F639" s="243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3"/>
      <c r="Z639" s="243"/>
      <c r="AA639" s="243"/>
      <c r="AB639" s="243"/>
      <c r="AC639" s="243"/>
      <c r="AD639" s="243"/>
      <c r="AE639" s="243"/>
      <c r="AF639" s="243"/>
      <c r="AG639" s="243"/>
      <c r="AH639" s="243"/>
      <c r="AI639" s="243"/>
      <c r="AJ639" s="243"/>
      <c r="AK639" s="243"/>
      <c r="AL639" s="243"/>
      <c r="AM639" s="243"/>
      <c r="AN639" s="243"/>
      <c r="AO639" s="243"/>
      <c r="AP639" s="243"/>
      <c r="AQ639" s="1024"/>
      <c r="AR639" s="357"/>
      <c r="AS639" s="163"/>
      <c r="AT639" s="163"/>
      <c r="AU639" s="163"/>
      <c r="AV639" s="321"/>
    </row>
    <row r="640" spans="1:48" ht="12.75" x14ac:dyDescent="0.2">
      <c r="A640" s="243"/>
      <c r="B640" s="243"/>
      <c r="C640" s="1024"/>
      <c r="D640" s="1024"/>
      <c r="E640" s="1025"/>
      <c r="F640" s="243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3"/>
      <c r="Z640" s="243"/>
      <c r="AA640" s="243"/>
      <c r="AB640" s="243"/>
      <c r="AC640" s="243"/>
      <c r="AD640" s="243"/>
      <c r="AE640" s="243"/>
      <c r="AF640" s="243"/>
      <c r="AG640" s="243"/>
      <c r="AH640" s="243"/>
      <c r="AI640" s="243"/>
      <c r="AJ640" s="243"/>
      <c r="AK640" s="243"/>
      <c r="AL640" s="243"/>
      <c r="AM640" s="243"/>
      <c r="AN640" s="243"/>
      <c r="AO640" s="243"/>
      <c r="AP640" s="243"/>
      <c r="AQ640" s="1024"/>
      <c r="AR640" s="357"/>
      <c r="AS640" s="163"/>
      <c r="AT640" s="163"/>
      <c r="AU640" s="163"/>
      <c r="AV640" s="321"/>
    </row>
    <row r="641" spans="1:48" ht="12.75" x14ac:dyDescent="0.2">
      <c r="A641" s="243"/>
      <c r="B641" s="243"/>
      <c r="C641" s="1024"/>
      <c r="D641" s="1024"/>
      <c r="E641" s="1025"/>
      <c r="F641" s="243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3"/>
      <c r="Z641" s="243"/>
      <c r="AA641" s="243"/>
      <c r="AB641" s="243"/>
      <c r="AC641" s="243"/>
      <c r="AD641" s="243"/>
      <c r="AE641" s="243"/>
      <c r="AF641" s="243"/>
      <c r="AG641" s="243"/>
      <c r="AH641" s="243"/>
      <c r="AI641" s="243"/>
      <c r="AJ641" s="243"/>
      <c r="AK641" s="243"/>
      <c r="AL641" s="243"/>
      <c r="AM641" s="243"/>
      <c r="AN641" s="243"/>
      <c r="AO641" s="243"/>
      <c r="AP641" s="243"/>
      <c r="AQ641" s="1024"/>
      <c r="AR641" s="357"/>
      <c r="AS641" s="163"/>
      <c r="AT641" s="163"/>
      <c r="AU641" s="163"/>
      <c r="AV641" s="321"/>
    </row>
    <row r="642" spans="1:48" ht="12.75" x14ac:dyDescent="0.2">
      <c r="A642" s="243"/>
      <c r="B642" s="243"/>
      <c r="C642" s="1024"/>
      <c r="D642" s="1024"/>
      <c r="E642" s="1025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  <c r="AA642" s="243"/>
      <c r="AB642" s="243"/>
      <c r="AC642" s="243"/>
      <c r="AD642" s="243"/>
      <c r="AE642" s="243"/>
      <c r="AF642" s="243"/>
      <c r="AG642" s="243"/>
      <c r="AH642" s="243"/>
      <c r="AI642" s="243"/>
      <c r="AJ642" s="243"/>
      <c r="AK642" s="243"/>
      <c r="AL642" s="243"/>
      <c r="AM642" s="243"/>
      <c r="AN642" s="243"/>
      <c r="AO642" s="243"/>
      <c r="AP642" s="243"/>
      <c r="AQ642" s="1024"/>
      <c r="AR642" s="357"/>
      <c r="AS642" s="163"/>
      <c r="AT642" s="163"/>
      <c r="AU642" s="163"/>
      <c r="AV642" s="321"/>
    </row>
    <row r="643" spans="1:48" ht="12.75" x14ac:dyDescent="0.2">
      <c r="A643" s="243"/>
      <c r="B643" s="243"/>
      <c r="C643" s="1024"/>
      <c r="D643" s="1024"/>
      <c r="E643" s="1025"/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  <c r="AA643" s="243"/>
      <c r="AB643" s="243"/>
      <c r="AC643" s="243"/>
      <c r="AD643" s="243"/>
      <c r="AE643" s="243"/>
      <c r="AF643" s="243"/>
      <c r="AG643" s="243"/>
      <c r="AH643" s="243"/>
      <c r="AI643" s="243"/>
      <c r="AJ643" s="243"/>
      <c r="AK643" s="243"/>
      <c r="AL643" s="243"/>
      <c r="AM643" s="243"/>
      <c r="AN643" s="243"/>
      <c r="AO643" s="243"/>
      <c r="AP643" s="243"/>
      <c r="AQ643" s="1024"/>
      <c r="AR643" s="357"/>
      <c r="AS643" s="163"/>
      <c r="AT643" s="163"/>
      <c r="AU643" s="163"/>
      <c r="AV643" s="321"/>
    </row>
    <row r="644" spans="1:48" ht="12.75" x14ac:dyDescent="0.2">
      <c r="A644" s="243"/>
      <c r="B644" s="243"/>
      <c r="C644" s="1024"/>
      <c r="D644" s="1024"/>
      <c r="E644" s="1025"/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  <c r="AA644" s="243"/>
      <c r="AB644" s="243"/>
      <c r="AC644" s="243"/>
      <c r="AD644" s="243"/>
      <c r="AE644" s="243"/>
      <c r="AF644" s="243"/>
      <c r="AG644" s="243"/>
      <c r="AH644" s="243"/>
      <c r="AI644" s="243"/>
      <c r="AJ644" s="243"/>
      <c r="AK644" s="243"/>
      <c r="AL644" s="243"/>
      <c r="AM644" s="243"/>
      <c r="AN644" s="243"/>
      <c r="AO644" s="243"/>
      <c r="AP644" s="243"/>
      <c r="AQ644" s="1024"/>
      <c r="AR644" s="357"/>
      <c r="AS644" s="163"/>
      <c r="AT644" s="163"/>
      <c r="AU644" s="163"/>
      <c r="AV644" s="321"/>
    </row>
    <row r="645" spans="1:48" ht="12.75" x14ac:dyDescent="0.2">
      <c r="A645" s="243"/>
      <c r="B645" s="243"/>
      <c r="C645" s="1024"/>
      <c r="D645" s="1024"/>
      <c r="E645" s="1025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3"/>
      <c r="Z645" s="243"/>
      <c r="AA645" s="243"/>
      <c r="AB645" s="243"/>
      <c r="AC645" s="243"/>
      <c r="AD645" s="243"/>
      <c r="AE645" s="243"/>
      <c r="AF645" s="243"/>
      <c r="AG645" s="243"/>
      <c r="AH645" s="243"/>
      <c r="AI645" s="243"/>
      <c r="AJ645" s="243"/>
      <c r="AK645" s="243"/>
      <c r="AL645" s="243"/>
      <c r="AM645" s="243"/>
      <c r="AN645" s="243"/>
      <c r="AO645" s="243"/>
      <c r="AP645" s="243"/>
      <c r="AQ645" s="1024"/>
      <c r="AR645" s="357"/>
      <c r="AS645" s="163"/>
      <c r="AT645" s="163"/>
      <c r="AU645" s="163"/>
      <c r="AV645" s="321"/>
    </row>
    <row r="646" spans="1:48" ht="12.75" x14ac:dyDescent="0.2">
      <c r="A646" s="243"/>
      <c r="B646" s="243"/>
      <c r="C646" s="1024"/>
      <c r="D646" s="1024"/>
      <c r="E646" s="1025"/>
      <c r="F646" s="243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3"/>
      <c r="Z646" s="243"/>
      <c r="AA646" s="243"/>
      <c r="AB646" s="243"/>
      <c r="AC646" s="243"/>
      <c r="AD646" s="243"/>
      <c r="AE646" s="243"/>
      <c r="AF646" s="243"/>
      <c r="AG646" s="243"/>
      <c r="AH646" s="243"/>
      <c r="AI646" s="243"/>
      <c r="AJ646" s="243"/>
      <c r="AK646" s="243"/>
      <c r="AL646" s="243"/>
      <c r="AM646" s="243"/>
      <c r="AN646" s="243"/>
      <c r="AO646" s="243"/>
      <c r="AP646" s="243"/>
      <c r="AQ646" s="1024"/>
      <c r="AR646" s="357"/>
      <c r="AS646" s="163"/>
      <c r="AT646" s="163"/>
      <c r="AU646" s="163"/>
      <c r="AV646" s="321"/>
    </row>
    <row r="647" spans="1:48" ht="12.75" x14ac:dyDescent="0.2">
      <c r="A647" s="243"/>
      <c r="B647" s="243"/>
      <c r="C647" s="1024"/>
      <c r="D647" s="1024"/>
      <c r="E647" s="1025"/>
      <c r="F647" s="243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3"/>
      <c r="Z647" s="243"/>
      <c r="AA647" s="243"/>
      <c r="AB647" s="243"/>
      <c r="AC647" s="243"/>
      <c r="AD647" s="243"/>
      <c r="AE647" s="243"/>
      <c r="AF647" s="243"/>
      <c r="AG647" s="243"/>
      <c r="AH647" s="243"/>
      <c r="AI647" s="243"/>
      <c r="AJ647" s="243"/>
      <c r="AK647" s="243"/>
      <c r="AL647" s="243"/>
      <c r="AM647" s="243"/>
      <c r="AN647" s="243"/>
      <c r="AO647" s="243"/>
      <c r="AP647" s="243"/>
      <c r="AQ647" s="1024"/>
      <c r="AR647" s="357"/>
      <c r="AS647" s="163"/>
      <c r="AT647" s="163"/>
      <c r="AU647" s="163"/>
      <c r="AV647" s="321"/>
    </row>
    <row r="648" spans="1:48" ht="12.75" x14ac:dyDescent="0.2">
      <c r="A648" s="243"/>
      <c r="B648" s="243"/>
      <c r="C648" s="1024"/>
      <c r="D648" s="1024"/>
      <c r="E648" s="1025"/>
      <c r="F648" s="243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3"/>
      <c r="Z648" s="243"/>
      <c r="AA648" s="243"/>
      <c r="AB648" s="243"/>
      <c r="AC648" s="243"/>
      <c r="AD648" s="243"/>
      <c r="AE648" s="243"/>
      <c r="AF648" s="243"/>
      <c r="AG648" s="243"/>
      <c r="AH648" s="243"/>
      <c r="AI648" s="243"/>
      <c r="AJ648" s="243"/>
      <c r="AK648" s="243"/>
      <c r="AL648" s="243"/>
      <c r="AM648" s="243"/>
      <c r="AN648" s="243"/>
      <c r="AO648" s="243"/>
      <c r="AP648" s="243"/>
      <c r="AQ648" s="1024"/>
      <c r="AR648" s="357"/>
      <c r="AS648" s="163"/>
      <c r="AT648" s="163"/>
      <c r="AU648" s="163"/>
      <c r="AV648" s="321"/>
    </row>
    <row r="649" spans="1:48" ht="12.75" x14ac:dyDescent="0.2">
      <c r="A649" s="243"/>
      <c r="B649" s="243"/>
      <c r="C649" s="1024"/>
      <c r="D649" s="1024"/>
      <c r="E649" s="1025"/>
      <c r="F649" s="243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3"/>
      <c r="Z649" s="243"/>
      <c r="AA649" s="243"/>
      <c r="AB649" s="243"/>
      <c r="AC649" s="243"/>
      <c r="AD649" s="243"/>
      <c r="AE649" s="243"/>
      <c r="AF649" s="243"/>
      <c r="AG649" s="243"/>
      <c r="AH649" s="243"/>
      <c r="AI649" s="243"/>
      <c r="AJ649" s="243"/>
      <c r="AK649" s="243"/>
      <c r="AL649" s="243"/>
      <c r="AM649" s="243"/>
      <c r="AN649" s="243"/>
      <c r="AO649" s="243"/>
      <c r="AP649" s="243"/>
      <c r="AQ649" s="1024"/>
      <c r="AR649" s="357"/>
      <c r="AS649" s="163"/>
      <c r="AT649" s="163"/>
      <c r="AU649" s="163"/>
      <c r="AV649" s="321"/>
    </row>
    <row r="650" spans="1:48" ht="12.75" x14ac:dyDescent="0.2">
      <c r="A650" s="243"/>
      <c r="B650" s="243"/>
      <c r="C650" s="1024"/>
      <c r="D650" s="1024"/>
      <c r="E650" s="1025"/>
      <c r="F650" s="243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3"/>
      <c r="Z650" s="243"/>
      <c r="AA650" s="243"/>
      <c r="AB650" s="243"/>
      <c r="AC650" s="243"/>
      <c r="AD650" s="243"/>
      <c r="AE650" s="243"/>
      <c r="AF650" s="243"/>
      <c r="AG650" s="243"/>
      <c r="AH650" s="243"/>
      <c r="AI650" s="243"/>
      <c r="AJ650" s="243"/>
      <c r="AK650" s="243"/>
      <c r="AL650" s="243"/>
      <c r="AM650" s="243"/>
      <c r="AN650" s="243"/>
      <c r="AO650" s="243"/>
      <c r="AP650" s="243"/>
      <c r="AQ650" s="1024"/>
      <c r="AR650" s="357"/>
      <c r="AS650" s="163"/>
      <c r="AT650" s="163"/>
      <c r="AU650" s="163"/>
      <c r="AV650" s="321"/>
    </row>
    <row r="651" spans="1:48" ht="12.75" x14ac:dyDescent="0.2">
      <c r="A651" s="243"/>
      <c r="B651" s="243"/>
      <c r="C651" s="1024"/>
      <c r="D651" s="1024"/>
      <c r="E651" s="1025"/>
      <c r="F651" s="243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  <c r="AA651" s="243"/>
      <c r="AB651" s="243"/>
      <c r="AC651" s="243"/>
      <c r="AD651" s="243"/>
      <c r="AE651" s="243"/>
      <c r="AF651" s="243"/>
      <c r="AG651" s="243"/>
      <c r="AH651" s="243"/>
      <c r="AI651" s="243"/>
      <c r="AJ651" s="243"/>
      <c r="AK651" s="243"/>
      <c r="AL651" s="243"/>
      <c r="AM651" s="243"/>
      <c r="AN651" s="243"/>
      <c r="AO651" s="243"/>
      <c r="AP651" s="243"/>
      <c r="AQ651" s="1024"/>
      <c r="AR651" s="357"/>
      <c r="AS651" s="163"/>
      <c r="AT651" s="163"/>
      <c r="AU651" s="163"/>
      <c r="AV651" s="321"/>
    </row>
    <row r="652" spans="1:48" ht="12.75" x14ac:dyDescent="0.2">
      <c r="A652" s="243"/>
      <c r="B652" s="243"/>
      <c r="C652" s="1024"/>
      <c r="D652" s="1024"/>
      <c r="E652" s="1025"/>
      <c r="F652" s="243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3"/>
      <c r="Z652" s="243"/>
      <c r="AA652" s="243"/>
      <c r="AB652" s="243"/>
      <c r="AC652" s="243"/>
      <c r="AD652" s="243"/>
      <c r="AE652" s="243"/>
      <c r="AF652" s="243"/>
      <c r="AG652" s="243"/>
      <c r="AH652" s="243"/>
      <c r="AI652" s="243"/>
      <c r="AJ652" s="243"/>
      <c r="AK652" s="243"/>
      <c r="AL652" s="243"/>
      <c r="AM652" s="243"/>
      <c r="AN652" s="243"/>
      <c r="AO652" s="243"/>
      <c r="AP652" s="243"/>
      <c r="AQ652" s="1024"/>
      <c r="AR652" s="357"/>
      <c r="AS652" s="163"/>
      <c r="AT652" s="163"/>
      <c r="AU652" s="163"/>
      <c r="AV652" s="321"/>
    </row>
    <row r="653" spans="1:48" ht="12.75" x14ac:dyDescent="0.2">
      <c r="A653" s="243"/>
      <c r="B653" s="243"/>
      <c r="C653" s="1024"/>
      <c r="D653" s="1024"/>
      <c r="E653" s="1025"/>
      <c r="F653" s="243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3"/>
      <c r="Z653" s="243"/>
      <c r="AA653" s="243"/>
      <c r="AB653" s="243"/>
      <c r="AC653" s="243"/>
      <c r="AD653" s="243"/>
      <c r="AE653" s="243"/>
      <c r="AF653" s="243"/>
      <c r="AG653" s="243"/>
      <c r="AH653" s="243"/>
      <c r="AI653" s="243"/>
      <c r="AJ653" s="243"/>
      <c r="AK653" s="243"/>
      <c r="AL653" s="243"/>
      <c r="AM653" s="243"/>
      <c r="AN653" s="243"/>
      <c r="AO653" s="243"/>
      <c r="AP653" s="243"/>
      <c r="AQ653" s="1024"/>
      <c r="AR653" s="357"/>
      <c r="AS653" s="163"/>
      <c r="AT653" s="163"/>
      <c r="AU653" s="163"/>
      <c r="AV653" s="321"/>
    </row>
    <row r="654" spans="1:48" ht="12.75" x14ac:dyDescent="0.2">
      <c r="A654" s="243"/>
      <c r="B654" s="243"/>
      <c r="C654" s="1024"/>
      <c r="D654" s="1024"/>
      <c r="E654" s="1025"/>
      <c r="F654" s="243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3"/>
      <c r="Z654" s="243"/>
      <c r="AA654" s="243"/>
      <c r="AB654" s="243"/>
      <c r="AC654" s="243"/>
      <c r="AD654" s="243"/>
      <c r="AE654" s="243"/>
      <c r="AF654" s="243"/>
      <c r="AG654" s="243"/>
      <c r="AH654" s="243"/>
      <c r="AI654" s="243"/>
      <c r="AJ654" s="243"/>
      <c r="AK654" s="243"/>
      <c r="AL654" s="243"/>
      <c r="AM654" s="243"/>
      <c r="AN654" s="243"/>
      <c r="AO654" s="243"/>
      <c r="AP654" s="243"/>
      <c r="AQ654" s="1024"/>
      <c r="AR654" s="357"/>
      <c r="AS654" s="163"/>
      <c r="AT654" s="163"/>
      <c r="AU654" s="163"/>
      <c r="AV654" s="321"/>
    </row>
    <row r="655" spans="1:48" ht="12.75" x14ac:dyDescent="0.2">
      <c r="A655" s="243"/>
      <c r="B655" s="243"/>
      <c r="C655" s="1024"/>
      <c r="D655" s="1024"/>
      <c r="E655" s="1025"/>
      <c r="F655" s="243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3"/>
      <c r="Z655" s="243"/>
      <c r="AA655" s="243"/>
      <c r="AB655" s="243"/>
      <c r="AC655" s="243"/>
      <c r="AD655" s="243"/>
      <c r="AE655" s="243"/>
      <c r="AF655" s="243"/>
      <c r="AG655" s="243"/>
      <c r="AH655" s="243"/>
      <c r="AI655" s="243"/>
      <c r="AJ655" s="243"/>
      <c r="AK655" s="243"/>
      <c r="AL655" s="243"/>
      <c r="AM655" s="243"/>
      <c r="AN655" s="243"/>
      <c r="AO655" s="243"/>
      <c r="AP655" s="243"/>
      <c r="AQ655" s="1024"/>
      <c r="AR655" s="357"/>
      <c r="AS655" s="163"/>
      <c r="AT655" s="163"/>
      <c r="AU655" s="163"/>
      <c r="AV655" s="321"/>
    </row>
    <row r="656" spans="1:48" ht="12.75" x14ac:dyDescent="0.2">
      <c r="A656" s="243"/>
      <c r="B656" s="243"/>
      <c r="C656" s="1024"/>
      <c r="D656" s="1024"/>
      <c r="E656" s="1025"/>
      <c r="F656" s="243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3"/>
      <c r="Z656" s="243"/>
      <c r="AA656" s="243"/>
      <c r="AB656" s="243"/>
      <c r="AC656" s="243"/>
      <c r="AD656" s="243"/>
      <c r="AE656" s="243"/>
      <c r="AF656" s="243"/>
      <c r="AG656" s="243"/>
      <c r="AH656" s="243"/>
      <c r="AI656" s="243"/>
      <c r="AJ656" s="243"/>
      <c r="AK656" s="243"/>
      <c r="AL656" s="243"/>
      <c r="AM656" s="243"/>
      <c r="AN656" s="243"/>
      <c r="AO656" s="243"/>
      <c r="AP656" s="243"/>
      <c r="AQ656" s="1024"/>
      <c r="AR656" s="357"/>
      <c r="AS656" s="163"/>
      <c r="AT656" s="163"/>
      <c r="AU656" s="163"/>
      <c r="AV656" s="321"/>
    </row>
    <row r="657" spans="1:48" ht="12.75" x14ac:dyDescent="0.2">
      <c r="A657" s="243"/>
      <c r="B657" s="243"/>
      <c r="C657" s="1024"/>
      <c r="D657" s="1024"/>
      <c r="E657" s="1025"/>
      <c r="F657" s="243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3"/>
      <c r="Z657" s="243"/>
      <c r="AA657" s="243"/>
      <c r="AB657" s="243"/>
      <c r="AC657" s="243"/>
      <c r="AD657" s="243"/>
      <c r="AE657" s="243"/>
      <c r="AF657" s="243"/>
      <c r="AG657" s="243"/>
      <c r="AH657" s="243"/>
      <c r="AI657" s="243"/>
      <c r="AJ657" s="243"/>
      <c r="AK657" s="243"/>
      <c r="AL657" s="243"/>
      <c r="AM657" s="243"/>
      <c r="AN657" s="243"/>
      <c r="AO657" s="243"/>
      <c r="AP657" s="243"/>
      <c r="AQ657" s="1024"/>
      <c r="AR657" s="357"/>
      <c r="AS657" s="163"/>
      <c r="AT657" s="163"/>
      <c r="AU657" s="163"/>
      <c r="AV657" s="321"/>
    </row>
    <row r="658" spans="1:48" ht="12.75" x14ac:dyDescent="0.2">
      <c r="A658" s="243"/>
      <c r="B658" s="243"/>
      <c r="C658" s="1024"/>
      <c r="D658" s="1024"/>
      <c r="E658" s="1025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  <c r="AA658" s="243"/>
      <c r="AB658" s="243"/>
      <c r="AC658" s="243"/>
      <c r="AD658" s="243"/>
      <c r="AE658" s="243"/>
      <c r="AF658" s="243"/>
      <c r="AG658" s="243"/>
      <c r="AH658" s="243"/>
      <c r="AI658" s="243"/>
      <c r="AJ658" s="243"/>
      <c r="AK658" s="243"/>
      <c r="AL658" s="243"/>
      <c r="AM658" s="243"/>
      <c r="AN658" s="243"/>
      <c r="AO658" s="243"/>
      <c r="AP658" s="243"/>
      <c r="AQ658" s="1024"/>
      <c r="AR658" s="357"/>
      <c r="AS658" s="163"/>
      <c r="AT658" s="163"/>
      <c r="AU658" s="163"/>
      <c r="AV658" s="321"/>
    </row>
    <row r="659" spans="1:48" ht="12.75" x14ac:dyDescent="0.2">
      <c r="A659" s="243"/>
      <c r="B659" s="243"/>
      <c r="C659" s="1024"/>
      <c r="D659" s="1024"/>
      <c r="E659" s="1025"/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  <c r="AA659" s="243"/>
      <c r="AB659" s="243"/>
      <c r="AC659" s="243"/>
      <c r="AD659" s="243"/>
      <c r="AE659" s="243"/>
      <c r="AF659" s="243"/>
      <c r="AG659" s="243"/>
      <c r="AH659" s="243"/>
      <c r="AI659" s="243"/>
      <c r="AJ659" s="243"/>
      <c r="AK659" s="243"/>
      <c r="AL659" s="243"/>
      <c r="AM659" s="243"/>
      <c r="AN659" s="243"/>
      <c r="AO659" s="243"/>
      <c r="AP659" s="243"/>
      <c r="AQ659" s="1024"/>
      <c r="AR659" s="357"/>
      <c r="AS659" s="163"/>
      <c r="AT659" s="163"/>
      <c r="AU659" s="163"/>
      <c r="AV659" s="321"/>
    </row>
    <row r="660" spans="1:48" ht="12.75" x14ac:dyDescent="0.2">
      <c r="A660" s="243"/>
      <c r="B660" s="243"/>
      <c r="C660" s="1024"/>
      <c r="D660" s="1024"/>
      <c r="E660" s="1025"/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  <c r="AA660" s="243"/>
      <c r="AB660" s="243"/>
      <c r="AC660" s="243"/>
      <c r="AD660" s="243"/>
      <c r="AE660" s="243"/>
      <c r="AF660" s="243"/>
      <c r="AG660" s="243"/>
      <c r="AH660" s="243"/>
      <c r="AI660" s="243"/>
      <c r="AJ660" s="243"/>
      <c r="AK660" s="243"/>
      <c r="AL660" s="243"/>
      <c r="AM660" s="243"/>
      <c r="AN660" s="243"/>
      <c r="AO660" s="243"/>
      <c r="AP660" s="243"/>
      <c r="AQ660" s="1024"/>
      <c r="AR660" s="357"/>
      <c r="AS660" s="163"/>
      <c r="AT660" s="163"/>
      <c r="AU660" s="163"/>
      <c r="AV660" s="321"/>
    </row>
    <row r="661" spans="1:48" ht="12.75" x14ac:dyDescent="0.2">
      <c r="A661" s="243"/>
      <c r="B661" s="243"/>
      <c r="C661" s="1024"/>
      <c r="D661" s="1024"/>
      <c r="E661" s="1025"/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  <c r="AA661" s="243"/>
      <c r="AB661" s="243"/>
      <c r="AC661" s="243"/>
      <c r="AD661" s="243"/>
      <c r="AE661" s="243"/>
      <c r="AF661" s="243"/>
      <c r="AG661" s="243"/>
      <c r="AH661" s="243"/>
      <c r="AI661" s="243"/>
      <c r="AJ661" s="243"/>
      <c r="AK661" s="243"/>
      <c r="AL661" s="243"/>
      <c r="AM661" s="243"/>
      <c r="AN661" s="243"/>
      <c r="AO661" s="243"/>
      <c r="AP661" s="243"/>
      <c r="AQ661" s="1024"/>
      <c r="AR661" s="357"/>
      <c r="AS661" s="163"/>
      <c r="AT661" s="163"/>
      <c r="AU661" s="163"/>
      <c r="AV661" s="321"/>
    </row>
    <row r="662" spans="1:48" ht="12.75" x14ac:dyDescent="0.2">
      <c r="A662" s="243"/>
      <c r="B662" s="243"/>
      <c r="C662" s="1024"/>
      <c r="D662" s="1024"/>
      <c r="E662" s="1025"/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  <c r="AA662" s="243"/>
      <c r="AB662" s="243"/>
      <c r="AC662" s="243"/>
      <c r="AD662" s="243"/>
      <c r="AE662" s="243"/>
      <c r="AF662" s="243"/>
      <c r="AG662" s="243"/>
      <c r="AH662" s="243"/>
      <c r="AI662" s="243"/>
      <c r="AJ662" s="243"/>
      <c r="AK662" s="243"/>
      <c r="AL662" s="243"/>
      <c r="AM662" s="243"/>
      <c r="AN662" s="243"/>
      <c r="AO662" s="243"/>
      <c r="AP662" s="243"/>
      <c r="AQ662" s="1024"/>
      <c r="AR662" s="357"/>
      <c r="AS662" s="163"/>
      <c r="AT662" s="163"/>
      <c r="AU662" s="163"/>
      <c r="AV662" s="321"/>
    </row>
    <row r="663" spans="1:48" ht="12.75" x14ac:dyDescent="0.2">
      <c r="A663" s="243"/>
      <c r="B663" s="243"/>
      <c r="C663" s="1024"/>
      <c r="D663" s="1024"/>
      <c r="E663" s="1025"/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  <c r="AA663" s="243"/>
      <c r="AB663" s="243"/>
      <c r="AC663" s="243"/>
      <c r="AD663" s="243"/>
      <c r="AE663" s="243"/>
      <c r="AF663" s="243"/>
      <c r="AG663" s="243"/>
      <c r="AH663" s="243"/>
      <c r="AI663" s="243"/>
      <c r="AJ663" s="243"/>
      <c r="AK663" s="243"/>
      <c r="AL663" s="243"/>
      <c r="AM663" s="243"/>
      <c r="AN663" s="243"/>
      <c r="AO663" s="243"/>
      <c r="AP663" s="243"/>
      <c r="AQ663" s="1024"/>
      <c r="AR663" s="357"/>
      <c r="AS663" s="163"/>
      <c r="AT663" s="163"/>
      <c r="AU663" s="163"/>
      <c r="AV663" s="321"/>
    </row>
    <row r="664" spans="1:48" ht="12.75" x14ac:dyDescent="0.2">
      <c r="A664" s="243"/>
      <c r="B664" s="243"/>
      <c r="C664" s="1024"/>
      <c r="D664" s="1024"/>
      <c r="E664" s="1025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  <c r="AA664" s="243"/>
      <c r="AB664" s="243"/>
      <c r="AC664" s="243"/>
      <c r="AD664" s="243"/>
      <c r="AE664" s="243"/>
      <c r="AF664" s="243"/>
      <c r="AG664" s="243"/>
      <c r="AH664" s="243"/>
      <c r="AI664" s="243"/>
      <c r="AJ664" s="243"/>
      <c r="AK664" s="243"/>
      <c r="AL664" s="243"/>
      <c r="AM664" s="243"/>
      <c r="AN664" s="243"/>
      <c r="AO664" s="243"/>
      <c r="AP664" s="243"/>
      <c r="AQ664" s="1024"/>
      <c r="AR664" s="357"/>
      <c r="AS664" s="163"/>
      <c r="AT664" s="163"/>
      <c r="AU664" s="163"/>
      <c r="AV664" s="321"/>
    </row>
    <row r="665" spans="1:48" ht="12.75" x14ac:dyDescent="0.2">
      <c r="A665" s="243"/>
      <c r="B665" s="243"/>
      <c r="C665" s="1024"/>
      <c r="D665" s="1024"/>
      <c r="E665" s="1025"/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  <c r="AA665" s="243"/>
      <c r="AB665" s="243"/>
      <c r="AC665" s="243"/>
      <c r="AD665" s="243"/>
      <c r="AE665" s="243"/>
      <c r="AF665" s="243"/>
      <c r="AG665" s="243"/>
      <c r="AH665" s="243"/>
      <c r="AI665" s="243"/>
      <c r="AJ665" s="243"/>
      <c r="AK665" s="243"/>
      <c r="AL665" s="243"/>
      <c r="AM665" s="243"/>
      <c r="AN665" s="243"/>
      <c r="AO665" s="243"/>
      <c r="AP665" s="243"/>
      <c r="AQ665" s="1024"/>
      <c r="AR665" s="357"/>
      <c r="AS665" s="163"/>
      <c r="AT665" s="163"/>
      <c r="AU665" s="163"/>
      <c r="AV665" s="321"/>
    </row>
    <row r="666" spans="1:48" ht="12.75" x14ac:dyDescent="0.2">
      <c r="A666" s="243"/>
      <c r="B666" s="243"/>
      <c r="C666" s="1024"/>
      <c r="D666" s="1024"/>
      <c r="E666" s="1025"/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  <c r="AH666" s="243"/>
      <c r="AI666" s="243"/>
      <c r="AJ666" s="243"/>
      <c r="AK666" s="243"/>
      <c r="AL666" s="243"/>
      <c r="AM666" s="243"/>
      <c r="AN666" s="243"/>
      <c r="AO666" s="243"/>
      <c r="AP666" s="243"/>
      <c r="AQ666" s="1024"/>
      <c r="AR666" s="357"/>
      <c r="AS666" s="163"/>
      <c r="AT666" s="163"/>
      <c r="AU666" s="163"/>
      <c r="AV666" s="321"/>
    </row>
    <row r="667" spans="1:48" ht="12.75" x14ac:dyDescent="0.2">
      <c r="A667" s="243"/>
      <c r="B667" s="243"/>
      <c r="C667" s="1024"/>
      <c r="D667" s="1024"/>
      <c r="E667" s="1025"/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  <c r="AH667" s="243"/>
      <c r="AI667" s="243"/>
      <c r="AJ667" s="243"/>
      <c r="AK667" s="243"/>
      <c r="AL667" s="243"/>
      <c r="AM667" s="243"/>
      <c r="AN667" s="243"/>
      <c r="AO667" s="243"/>
      <c r="AP667" s="243"/>
      <c r="AQ667" s="1024"/>
      <c r="AR667" s="357"/>
      <c r="AS667" s="163"/>
      <c r="AT667" s="163"/>
      <c r="AU667" s="163"/>
      <c r="AV667" s="321"/>
    </row>
    <row r="668" spans="1:48" ht="12.75" x14ac:dyDescent="0.2">
      <c r="A668" s="243"/>
      <c r="B668" s="243"/>
      <c r="C668" s="1024"/>
      <c r="D668" s="1024"/>
      <c r="E668" s="1025"/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  <c r="AH668" s="243"/>
      <c r="AI668" s="243"/>
      <c r="AJ668" s="243"/>
      <c r="AK668" s="243"/>
      <c r="AL668" s="243"/>
      <c r="AM668" s="243"/>
      <c r="AN668" s="243"/>
      <c r="AO668" s="243"/>
      <c r="AP668" s="243"/>
      <c r="AQ668" s="1024"/>
      <c r="AR668" s="357"/>
      <c r="AS668" s="163"/>
      <c r="AT668" s="163"/>
      <c r="AU668" s="163"/>
      <c r="AV668" s="321"/>
    </row>
    <row r="669" spans="1:48" ht="12.75" x14ac:dyDescent="0.2">
      <c r="A669" s="243"/>
      <c r="B669" s="243"/>
      <c r="C669" s="1024"/>
      <c r="D669" s="1024"/>
      <c r="E669" s="1025"/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  <c r="AH669" s="243"/>
      <c r="AI669" s="243"/>
      <c r="AJ669" s="243"/>
      <c r="AK669" s="243"/>
      <c r="AL669" s="243"/>
      <c r="AM669" s="243"/>
      <c r="AN669" s="243"/>
      <c r="AO669" s="243"/>
      <c r="AP669" s="243"/>
      <c r="AQ669" s="1024"/>
      <c r="AR669" s="357"/>
      <c r="AS669" s="163"/>
      <c r="AT669" s="163"/>
      <c r="AU669" s="163"/>
      <c r="AV669" s="321"/>
    </row>
    <row r="670" spans="1:48" ht="12.75" x14ac:dyDescent="0.2">
      <c r="A670" s="243"/>
      <c r="B670" s="243"/>
      <c r="C670" s="1024"/>
      <c r="D670" s="1024"/>
      <c r="E670" s="1025"/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  <c r="AA670" s="243"/>
      <c r="AB670" s="243"/>
      <c r="AC670" s="243"/>
      <c r="AD670" s="243"/>
      <c r="AE670" s="243"/>
      <c r="AF670" s="243"/>
      <c r="AG670" s="243"/>
      <c r="AH670" s="243"/>
      <c r="AI670" s="243"/>
      <c r="AJ670" s="243"/>
      <c r="AK670" s="243"/>
      <c r="AL670" s="243"/>
      <c r="AM670" s="243"/>
      <c r="AN670" s="243"/>
      <c r="AO670" s="243"/>
      <c r="AP670" s="243"/>
      <c r="AQ670" s="1024"/>
      <c r="AR670" s="357"/>
      <c r="AS670" s="163"/>
      <c r="AT670" s="163"/>
      <c r="AU670" s="163"/>
      <c r="AV670" s="321"/>
    </row>
    <row r="671" spans="1:48" ht="12.75" x14ac:dyDescent="0.2">
      <c r="A671" s="243"/>
      <c r="B671" s="243"/>
      <c r="C671" s="1024"/>
      <c r="D671" s="1024"/>
      <c r="E671" s="1025"/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  <c r="AA671" s="243"/>
      <c r="AB671" s="243"/>
      <c r="AC671" s="243"/>
      <c r="AD671" s="243"/>
      <c r="AE671" s="243"/>
      <c r="AF671" s="243"/>
      <c r="AG671" s="243"/>
      <c r="AH671" s="243"/>
      <c r="AI671" s="243"/>
      <c r="AJ671" s="243"/>
      <c r="AK671" s="243"/>
      <c r="AL671" s="243"/>
      <c r="AM671" s="243"/>
      <c r="AN671" s="243"/>
      <c r="AO671" s="243"/>
      <c r="AP671" s="243"/>
      <c r="AQ671" s="1024"/>
      <c r="AR671" s="357"/>
      <c r="AS671" s="163"/>
      <c r="AT671" s="163"/>
      <c r="AU671" s="163"/>
      <c r="AV671" s="321"/>
    </row>
    <row r="672" spans="1:48" ht="12.75" x14ac:dyDescent="0.2">
      <c r="A672" s="243"/>
      <c r="B672" s="243"/>
      <c r="C672" s="1024"/>
      <c r="D672" s="1024"/>
      <c r="E672" s="1025"/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  <c r="AA672" s="243"/>
      <c r="AB672" s="243"/>
      <c r="AC672" s="243"/>
      <c r="AD672" s="243"/>
      <c r="AE672" s="243"/>
      <c r="AF672" s="243"/>
      <c r="AG672" s="243"/>
      <c r="AH672" s="243"/>
      <c r="AI672" s="243"/>
      <c r="AJ672" s="243"/>
      <c r="AK672" s="243"/>
      <c r="AL672" s="243"/>
      <c r="AM672" s="243"/>
      <c r="AN672" s="243"/>
      <c r="AO672" s="243"/>
      <c r="AP672" s="243"/>
      <c r="AQ672" s="1024"/>
      <c r="AR672" s="357"/>
      <c r="AS672" s="163"/>
      <c r="AT672" s="163"/>
      <c r="AU672" s="163"/>
      <c r="AV672" s="321"/>
    </row>
    <row r="673" spans="1:48" ht="12.75" x14ac:dyDescent="0.2">
      <c r="A673" s="243"/>
      <c r="B673" s="243"/>
      <c r="C673" s="1024"/>
      <c r="D673" s="1024"/>
      <c r="E673" s="1025"/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  <c r="AA673" s="243"/>
      <c r="AB673" s="243"/>
      <c r="AC673" s="243"/>
      <c r="AD673" s="243"/>
      <c r="AE673" s="243"/>
      <c r="AF673" s="243"/>
      <c r="AG673" s="243"/>
      <c r="AH673" s="243"/>
      <c r="AI673" s="243"/>
      <c r="AJ673" s="243"/>
      <c r="AK673" s="243"/>
      <c r="AL673" s="243"/>
      <c r="AM673" s="243"/>
      <c r="AN673" s="243"/>
      <c r="AO673" s="243"/>
      <c r="AP673" s="243"/>
      <c r="AQ673" s="1024"/>
      <c r="AR673" s="357"/>
      <c r="AS673" s="163"/>
      <c r="AT673" s="163"/>
      <c r="AU673" s="163"/>
      <c r="AV673" s="321"/>
    </row>
    <row r="674" spans="1:48" ht="12.75" x14ac:dyDescent="0.2">
      <c r="A674" s="243"/>
      <c r="B674" s="243"/>
      <c r="C674" s="1024"/>
      <c r="D674" s="1024"/>
      <c r="E674" s="1025"/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  <c r="AA674" s="243"/>
      <c r="AB674" s="243"/>
      <c r="AC674" s="243"/>
      <c r="AD674" s="243"/>
      <c r="AE674" s="243"/>
      <c r="AF674" s="243"/>
      <c r="AG674" s="243"/>
      <c r="AH674" s="243"/>
      <c r="AI674" s="243"/>
      <c r="AJ674" s="243"/>
      <c r="AK674" s="243"/>
      <c r="AL674" s="243"/>
      <c r="AM674" s="243"/>
      <c r="AN674" s="243"/>
      <c r="AO674" s="243"/>
      <c r="AP674" s="243"/>
      <c r="AQ674" s="1024"/>
      <c r="AR674" s="357"/>
      <c r="AS674" s="163"/>
      <c r="AT674" s="163"/>
      <c r="AU674" s="163"/>
      <c r="AV674" s="321"/>
    </row>
    <row r="675" spans="1:48" ht="12.75" x14ac:dyDescent="0.2">
      <c r="A675" s="243"/>
      <c r="B675" s="243"/>
      <c r="C675" s="1024"/>
      <c r="D675" s="1024"/>
      <c r="E675" s="1025"/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  <c r="AA675" s="243"/>
      <c r="AB675" s="243"/>
      <c r="AC675" s="243"/>
      <c r="AD675" s="243"/>
      <c r="AE675" s="243"/>
      <c r="AF675" s="243"/>
      <c r="AG675" s="243"/>
      <c r="AH675" s="243"/>
      <c r="AI675" s="243"/>
      <c r="AJ675" s="243"/>
      <c r="AK675" s="243"/>
      <c r="AL675" s="243"/>
      <c r="AM675" s="243"/>
      <c r="AN675" s="243"/>
      <c r="AO675" s="243"/>
      <c r="AP675" s="243"/>
      <c r="AQ675" s="1024"/>
      <c r="AR675" s="357"/>
      <c r="AS675" s="163"/>
      <c r="AT675" s="163"/>
      <c r="AU675" s="163"/>
      <c r="AV675" s="321"/>
    </row>
    <row r="676" spans="1:48" ht="12.75" x14ac:dyDescent="0.2">
      <c r="A676" s="243"/>
      <c r="B676" s="243"/>
      <c r="C676" s="1024"/>
      <c r="D676" s="1024"/>
      <c r="E676" s="1025"/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  <c r="AA676" s="243"/>
      <c r="AB676" s="243"/>
      <c r="AC676" s="243"/>
      <c r="AD676" s="243"/>
      <c r="AE676" s="243"/>
      <c r="AF676" s="243"/>
      <c r="AG676" s="243"/>
      <c r="AH676" s="243"/>
      <c r="AI676" s="243"/>
      <c r="AJ676" s="243"/>
      <c r="AK676" s="243"/>
      <c r="AL676" s="243"/>
      <c r="AM676" s="243"/>
      <c r="AN676" s="243"/>
      <c r="AO676" s="243"/>
      <c r="AP676" s="243"/>
      <c r="AQ676" s="1024"/>
      <c r="AR676" s="357"/>
      <c r="AS676" s="163"/>
      <c r="AT676" s="163"/>
      <c r="AU676" s="163"/>
      <c r="AV676" s="321"/>
    </row>
    <row r="677" spans="1:48" ht="12.75" x14ac:dyDescent="0.2">
      <c r="A677" s="243"/>
      <c r="B677" s="243"/>
      <c r="C677" s="1024"/>
      <c r="D677" s="1024"/>
      <c r="E677" s="1025"/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  <c r="AA677" s="243"/>
      <c r="AB677" s="243"/>
      <c r="AC677" s="243"/>
      <c r="AD677" s="243"/>
      <c r="AE677" s="243"/>
      <c r="AF677" s="243"/>
      <c r="AG677" s="243"/>
      <c r="AH677" s="243"/>
      <c r="AI677" s="243"/>
      <c r="AJ677" s="243"/>
      <c r="AK677" s="243"/>
      <c r="AL677" s="243"/>
      <c r="AM677" s="243"/>
      <c r="AN677" s="243"/>
      <c r="AO677" s="243"/>
      <c r="AP677" s="243"/>
      <c r="AQ677" s="1024"/>
      <c r="AR677" s="357"/>
      <c r="AS677" s="163"/>
      <c r="AT677" s="163"/>
      <c r="AU677" s="163"/>
      <c r="AV677" s="321"/>
    </row>
    <row r="678" spans="1:48" ht="12.75" x14ac:dyDescent="0.2">
      <c r="A678" s="243"/>
      <c r="B678" s="243"/>
      <c r="C678" s="1024"/>
      <c r="D678" s="1024"/>
      <c r="E678" s="1025"/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  <c r="AA678" s="243"/>
      <c r="AB678" s="243"/>
      <c r="AC678" s="243"/>
      <c r="AD678" s="243"/>
      <c r="AE678" s="243"/>
      <c r="AF678" s="243"/>
      <c r="AG678" s="243"/>
      <c r="AH678" s="243"/>
      <c r="AI678" s="243"/>
      <c r="AJ678" s="243"/>
      <c r="AK678" s="243"/>
      <c r="AL678" s="243"/>
      <c r="AM678" s="243"/>
      <c r="AN678" s="243"/>
      <c r="AO678" s="243"/>
      <c r="AP678" s="243"/>
      <c r="AQ678" s="1024"/>
      <c r="AR678" s="357"/>
      <c r="AS678" s="163"/>
      <c r="AT678" s="163"/>
      <c r="AU678" s="163"/>
      <c r="AV678" s="321"/>
    </row>
    <row r="679" spans="1:48" ht="12.75" x14ac:dyDescent="0.2">
      <c r="A679" s="243"/>
      <c r="B679" s="243"/>
      <c r="C679" s="1024"/>
      <c r="D679" s="1024"/>
      <c r="E679" s="1025"/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  <c r="AH679" s="243"/>
      <c r="AI679" s="243"/>
      <c r="AJ679" s="243"/>
      <c r="AK679" s="243"/>
      <c r="AL679" s="243"/>
      <c r="AM679" s="243"/>
      <c r="AN679" s="243"/>
      <c r="AO679" s="243"/>
      <c r="AP679" s="243"/>
      <c r="AQ679" s="1024"/>
      <c r="AR679" s="357"/>
      <c r="AS679" s="163"/>
      <c r="AT679" s="163"/>
      <c r="AU679" s="163"/>
      <c r="AV679" s="321"/>
    </row>
    <row r="680" spans="1:48" ht="12.75" x14ac:dyDescent="0.2">
      <c r="A680" s="243"/>
      <c r="B680" s="243"/>
      <c r="C680" s="1024"/>
      <c r="D680" s="1024"/>
      <c r="E680" s="1025"/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  <c r="AH680" s="243"/>
      <c r="AI680" s="243"/>
      <c r="AJ680" s="243"/>
      <c r="AK680" s="243"/>
      <c r="AL680" s="243"/>
      <c r="AM680" s="243"/>
      <c r="AN680" s="243"/>
      <c r="AO680" s="243"/>
      <c r="AP680" s="243"/>
      <c r="AQ680" s="1024"/>
      <c r="AR680" s="357"/>
      <c r="AS680" s="163"/>
      <c r="AT680" s="163"/>
      <c r="AU680" s="163"/>
      <c r="AV680" s="321"/>
    </row>
    <row r="681" spans="1:48" ht="12.75" x14ac:dyDescent="0.2">
      <c r="A681" s="243"/>
      <c r="B681" s="243"/>
      <c r="C681" s="1024"/>
      <c r="D681" s="1024"/>
      <c r="E681" s="1025"/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  <c r="AH681" s="243"/>
      <c r="AI681" s="243"/>
      <c r="AJ681" s="243"/>
      <c r="AK681" s="243"/>
      <c r="AL681" s="243"/>
      <c r="AM681" s="243"/>
      <c r="AN681" s="243"/>
      <c r="AO681" s="243"/>
      <c r="AP681" s="243"/>
      <c r="AQ681" s="1024"/>
      <c r="AR681" s="357"/>
      <c r="AS681" s="163"/>
      <c r="AT681" s="163"/>
      <c r="AU681" s="163"/>
      <c r="AV681" s="321"/>
    </row>
    <row r="682" spans="1:48" ht="12.75" x14ac:dyDescent="0.2">
      <c r="A682" s="243"/>
      <c r="B682" s="243"/>
      <c r="C682" s="1024"/>
      <c r="D682" s="1024"/>
      <c r="E682" s="1025"/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3"/>
      <c r="AI682" s="243"/>
      <c r="AJ682" s="243"/>
      <c r="AK682" s="243"/>
      <c r="AL682" s="243"/>
      <c r="AM682" s="243"/>
      <c r="AN682" s="243"/>
      <c r="AO682" s="243"/>
      <c r="AP682" s="243"/>
      <c r="AQ682" s="1024"/>
      <c r="AR682" s="357"/>
      <c r="AS682" s="163"/>
      <c r="AT682" s="163"/>
      <c r="AU682" s="163"/>
      <c r="AV682" s="321"/>
    </row>
    <row r="683" spans="1:48" ht="12.75" x14ac:dyDescent="0.2">
      <c r="A683" s="243"/>
      <c r="B683" s="243"/>
      <c r="C683" s="1024"/>
      <c r="D683" s="1024"/>
      <c r="E683" s="1025"/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3"/>
      <c r="AI683" s="243"/>
      <c r="AJ683" s="243"/>
      <c r="AK683" s="243"/>
      <c r="AL683" s="243"/>
      <c r="AM683" s="243"/>
      <c r="AN683" s="243"/>
      <c r="AO683" s="243"/>
      <c r="AP683" s="243"/>
      <c r="AQ683" s="1024"/>
      <c r="AR683" s="357"/>
      <c r="AS683" s="163"/>
      <c r="AT683" s="163"/>
      <c r="AU683" s="163"/>
      <c r="AV683" s="321"/>
    </row>
    <row r="684" spans="1:48" ht="12.75" x14ac:dyDescent="0.2">
      <c r="A684" s="243"/>
      <c r="B684" s="243"/>
      <c r="C684" s="1024"/>
      <c r="D684" s="1024"/>
      <c r="E684" s="1025"/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3"/>
      <c r="AI684" s="243"/>
      <c r="AJ684" s="243"/>
      <c r="AK684" s="243"/>
      <c r="AL684" s="243"/>
      <c r="AM684" s="243"/>
      <c r="AN684" s="243"/>
      <c r="AO684" s="243"/>
      <c r="AP684" s="243"/>
      <c r="AQ684" s="1024"/>
      <c r="AR684" s="357"/>
      <c r="AS684" s="163"/>
      <c r="AT684" s="163"/>
      <c r="AU684" s="163"/>
      <c r="AV684" s="321"/>
    </row>
    <row r="685" spans="1:48" ht="12.75" x14ac:dyDescent="0.2">
      <c r="A685" s="243"/>
      <c r="B685" s="243"/>
      <c r="C685" s="1024"/>
      <c r="D685" s="1024"/>
      <c r="E685" s="1025"/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3"/>
      <c r="AI685" s="243"/>
      <c r="AJ685" s="243"/>
      <c r="AK685" s="243"/>
      <c r="AL685" s="243"/>
      <c r="AM685" s="243"/>
      <c r="AN685" s="243"/>
      <c r="AO685" s="243"/>
      <c r="AP685" s="243"/>
      <c r="AQ685" s="1024"/>
      <c r="AR685" s="357"/>
      <c r="AS685" s="163"/>
      <c r="AT685" s="163"/>
      <c r="AU685" s="163"/>
      <c r="AV685" s="321"/>
    </row>
    <row r="686" spans="1:48" ht="12.75" x14ac:dyDescent="0.2">
      <c r="A686" s="243"/>
      <c r="B686" s="243"/>
      <c r="C686" s="1024"/>
      <c r="D686" s="1024"/>
      <c r="E686" s="1025"/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  <c r="AH686" s="243"/>
      <c r="AI686" s="243"/>
      <c r="AJ686" s="243"/>
      <c r="AK686" s="243"/>
      <c r="AL686" s="243"/>
      <c r="AM686" s="243"/>
      <c r="AN686" s="243"/>
      <c r="AO686" s="243"/>
      <c r="AP686" s="243"/>
      <c r="AQ686" s="1024"/>
      <c r="AR686" s="357"/>
      <c r="AS686" s="163"/>
      <c r="AT686" s="163"/>
      <c r="AU686" s="163"/>
      <c r="AV686" s="321"/>
    </row>
    <row r="687" spans="1:48" ht="12.75" x14ac:dyDescent="0.2">
      <c r="A687" s="243"/>
      <c r="B687" s="243"/>
      <c r="C687" s="1024"/>
      <c r="D687" s="1024"/>
      <c r="E687" s="1025"/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  <c r="AH687" s="243"/>
      <c r="AI687" s="243"/>
      <c r="AJ687" s="243"/>
      <c r="AK687" s="243"/>
      <c r="AL687" s="243"/>
      <c r="AM687" s="243"/>
      <c r="AN687" s="243"/>
      <c r="AO687" s="243"/>
      <c r="AP687" s="243"/>
      <c r="AQ687" s="1024"/>
      <c r="AR687" s="357"/>
      <c r="AS687" s="163"/>
      <c r="AT687" s="163"/>
      <c r="AU687" s="163"/>
      <c r="AV687" s="321"/>
    </row>
    <row r="688" spans="1:48" ht="12.75" x14ac:dyDescent="0.2">
      <c r="A688" s="243"/>
      <c r="B688" s="243"/>
      <c r="C688" s="1024"/>
      <c r="D688" s="1024"/>
      <c r="E688" s="1025"/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  <c r="AH688" s="243"/>
      <c r="AI688" s="243"/>
      <c r="AJ688" s="243"/>
      <c r="AK688" s="243"/>
      <c r="AL688" s="243"/>
      <c r="AM688" s="243"/>
      <c r="AN688" s="243"/>
      <c r="AO688" s="243"/>
      <c r="AP688" s="243"/>
      <c r="AQ688" s="1024"/>
      <c r="AR688" s="357"/>
      <c r="AS688" s="163"/>
      <c r="AT688" s="163"/>
      <c r="AU688" s="163"/>
      <c r="AV688" s="321"/>
    </row>
    <row r="689" spans="1:48" ht="12.75" x14ac:dyDescent="0.2">
      <c r="A689" s="243"/>
      <c r="B689" s="243"/>
      <c r="C689" s="1024"/>
      <c r="D689" s="1024"/>
      <c r="E689" s="1025"/>
      <c r="F689" s="243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  <c r="AA689" s="243"/>
      <c r="AB689" s="243"/>
      <c r="AC689" s="243"/>
      <c r="AD689" s="243"/>
      <c r="AE689" s="243"/>
      <c r="AF689" s="243"/>
      <c r="AG689" s="243"/>
      <c r="AH689" s="243"/>
      <c r="AI689" s="243"/>
      <c r="AJ689" s="243"/>
      <c r="AK689" s="243"/>
      <c r="AL689" s="243"/>
      <c r="AM689" s="243"/>
      <c r="AN689" s="243"/>
      <c r="AO689" s="243"/>
      <c r="AP689" s="243"/>
      <c r="AQ689" s="1024"/>
      <c r="AR689" s="357"/>
      <c r="AS689" s="163"/>
      <c r="AT689" s="163"/>
      <c r="AU689" s="163"/>
      <c r="AV689" s="321"/>
    </row>
    <row r="690" spans="1:48" ht="12.75" x14ac:dyDescent="0.2">
      <c r="A690" s="243"/>
      <c r="B690" s="243"/>
      <c r="C690" s="1024"/>
      <c r="D690" s="1024"/>
      <c r="E690" s="1025"/>
      <c r="F690" s="243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  <c r="AA690" s="243"/>
      <c r="AB690" s="243"/>
      <c r="AC690" s="243"/>
      <c r="AD690" s="243"/>
      <c r="AE690" s="243"/>
      <c r="AF690" s="243"/>
      <c r="AG690" s="243"/>
      <c r="AH690" s="243"/>
      <c r="AI690" s="243"/>
      <c r="AJ690" s="243"/>
      <c r="AK690" s="243"/>
      <c r="AL690" s="243"/>
      <c r="AM690" s="243"/>
      <c r="AN690" s="243"/>
      <c r="AO690" s="243"/>
      <c r="AP690" s="243"/>
      <c r="AQ690" s="1024"/>
      <c r="AR690" s="357"/>
      <c r="AS690" s="163"/>
      <c r="AT690" s="163"/>
      <c r="AU690" s="163"/>
      <c r="AV690" s="321"/>
    </row>
    <row r="691" spans="1:48" ht="12.75" x14ac:dyDescent="0.2">
      <c r="A691" s="243"/>
      <c r="B691" s="243"/>
      <c r="C691" s="1024"/>
      <c r="D691" s="1024"/>
      <c r="E691" s="1025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3"/>
      <c r="AI691" s="243"/>
      <c r="AJ691" s="243"/>
      <c r="AK691" s="243"/>
      <c r="AL691" s="243"/>
      <c r="AM691" s="243"/>
      <c r="AN691" s="243"/>
      <c r="AO691" s="243"/>
      <c r="AP691" s="243"/>
      <c r="AQ691" s="1024"/>
      <c r="AR691" s="357"/>
      <c r="AS691" s="163"/>
      <c r="AT691" s="163"/>
      <c r="AU691" s="163"/>
      <c r="AV691" s="321"/>
    </row>
    <row r="692" spans="1:48" ht="12.75" x14ac:dyDescent="0.2">
      <c r="A692" s="243"/>
      <c r="B692" s="243"/>
      <c r="C692" s="1024"/>
      <c r="D692" s="1024"/>
      <c r="E692" s="1025"/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3"/>
      <c r="AI692" s="243"/>
      <c r="AJ692" s="243"/>
      <c r="AK692" s="243"/>
      <c r="AL692" s="243"/>
      <c r="AM692" s="243"/>
      <c r="AN692" s="243"/>
      <c r="AO692" s="243"/>
      <c r="AP692" s="243"/>
      <c r="AQ692" s="1024"/>
      <c r="AR692" s="357"/>
      <c r="AS692" s="163"/>
      <c r="AT692" s="163"/>
      <c r="AU692" s="163"/>
      <c r="AV692" s="321"/>
    </row>
    <row r="693" spans="1:48" ht="12.75" x14ac:dyDescent="0.2">
      <c r="A693" s="243"/>
      <c r="B693" s="243"/>
      <c r="C693" s="1024"/>
      <c r="D693" s="1024"/>
      <c r="E693" s="1025"/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3"/>
      <c r="AI693" s="243"/>
      <c r="AJ693" s="243"/>
      <c r="AK693" s="243"/>
      <c r="AL693" s="243"/>
      <c r="AM693" s="243"/>
      <c r="AN693" s="243"/>
      <c r="AO693" s="243"/>
      <c r="AP693" s="243"/>
      <c r="AQ693" s="1024"/>
      <c r="AR693" s="357"/>
      <c r="AS693" s="163"/>
      <c r="AT693" s="163"/>
      <c r="AU693" s="163"/>
      <c r="AV693" s="321"/>
    </row>
    <row r="694" spans="1:48" ht="12.75" x14ac:dyDescent="0.2">
      <c r="A694" s="243"/>
      <c r="B694" s="243"/>
      <c r="C694" s="1024"/>
      <c r="D694" s="1024"/>
      <c r="E694" s="1025"/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  <c r="AH694" s="243"/>
      <c r="AI694" s="243"/>
      <c r="AJ694" s="243"/>
      <c r="AK694" s="243"/>
      <c r="AL694" s="243"/>
      <c r="AM694" s="243"/>
      <c r="AN694" s="243"/>
      <c r="AO694" s="243"/>
      <c r="AP694" s="243"/>
      <c r="AQ694" s="1024"/>
      <c r="AR694" s="357"/>
      <c r="AS694" s="163"/>
      <c r="AT694" s="163"/>
      <c r="AU694" s="163"/>
      <c r="AV694" s="321"/>
    </row>
    <row r="695" spans="1:48" ht="12.75" x14ac:dyDescent="0.2">
      <c r="A695" s="243"/>
      <c r="B695" s="243"/>
      <c r="C695" s="1024"/>
      <c r="D695" s="1024"/>
      <c r="E695" s="1025"/>
      <c r="F695" s="243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  <c r="AA695" s="243"/>
      <c r="AB695" s="243"/>
      <c r="AC695" s="243"/>
      <c r="AD695" s="243"/>
      <c r="AE695" s="243"/>
      <c r="AF695" s="243"/>
      <c r="AG695" s="243"/>
      <c r="AH695" s="243"/>
      <c r="AI695" s="243"/>
      <c r="AJ695" s="243"/>
      <c r="AK695" s="243"/>
      <c r="AL695" s="243"/>
      <c r="AM695" s="243"/>
      <c r="AN695" s="243"/>
      <c r="AO695" s="243"/>
      <c r="AP695" s="243"/>
      <c r="AQ695" s="1024"/>
      <c r="AR695" s="357"/>
      <c r="AS695" s="163"/>
      <c r="AT695" s="163"/>
      <c r="AU695" s="163"/>
      <c r="AV695" s="321"/>
    </row>
    <row r="696" spans="1:48" ht="12.75" x14ac:dyDescent="0.2">
      <c r="A696" s="243"/>
      <c r="B696" s="243"/>
      <c r="C696" s="1024"/>
      <c r="D696" s="1024"/>
      <c r="E696" s="1025"/>
      <c r="F696" s="243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  <c r="AA696" s="243"/>
      <c r="AB696" s="243"/>
      <c r="AC696" s="243"/>
      <c r="AD696" s="243"/>
      <c r="AE696" s="243"/>
      <c r="AF696" s="243"/>
      <c r="AG696" s="243"/>
      <c r="AH696" s="243"/>
      <c r="AI696" s="243"/>
      <c r="AJ696" s="243"/>
      <c r="AK696" s="243"/>
      <c r="AL696" s="243"/>
      <c r="AM696" s="243"/>
      <c r="AN696" s="243"/>
      <c r="AO696" s="243"/>
      <c r="AP696" s="243"/>
      <c r="AQ696" s="1024"/>
      <c r="AR696" s="357"/>
      <c r="AS696" s="163"/>
      <c r="AT696" s="163"/>
      <c r="AU696" s="163"/>
      <c r="AV696" s="321"/>
    </row>
    <row r="697" spans="1:48" ht="12.75" x14ac:dyDescent="0.2">
      <c r="A697" s="243"/>
      <c r="B697" s="243"/>
      <c r="C697" s="1024"/>
      <c r="D697" s="1024"/>
      <c r="E697" s="1025"/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  <c r="AH697" s="243"/>
      <c r="AI697" s="243"/>
      <c r="AJ697" s="243"/>
      <c r="AK697" s="243"/>
      <c r="AL697" s="243"/>
      <c r="AM697" s="243"/>
      <c r="AN697" s="243"/>
      <c r="AO697" s="243"/>
      <c r="AP697" s="243"/>
      <c r="AQ697" s="1024"/>
      <c r="AR697" s="357"/>
      <c r="AS697" s="163"/>
      <c r="AT697" s="163"/>
      <c r="AU697" s="163"/>
      <c r="AV697" s="321"/>
    </row>
    <row r="698" spans="1:48" ht="12.75" x14ac:dyDescent="0.2">
      <c r="A698" s="243"/>
      <c r="B698" s="243"/>
      <c r="C698" s="1024"/>
      <c r="D698" s="1024"/>
      <c r="E698" s="1025"/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  <c r="AH698" s="243"/>
      <c r="AI698" s="243"/>
      <c r="AJ698" s="243"/>
      <c r="AK698" s="243"/>
      <c r="AL698" s="243"/>
      <c r="AM698" s="243"/>
      <c r="AN698" s="243"/>
      <c r="AO698" s="243"/>
      <c r="AP698" s="243"/>
      <c r="AQ698" s="1024"/>
      <c r="AR698" s="357"/>
      <c r="AS698" s="163"/>
      <c r="AT698" s="163"/>
      <c r="AU698" s="163"/>
      <c r="AV698" s="321"/>
    </row>
    <row r="699" spans="1:48" ht="12.75" x14ac:dyDescent="0.2">
      <c r="A699" s="243"/>
      <c r="B699" s="243"/>
      <c r="C699" s="1024"/>
      <c r="D699" s="1024"/>
      <c r="E699" s="1025"/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  <c r="AH699" s="243"/>
      <c r="AI699" s="243"/>
      <c r="AJ699" s="243"/>
      <c r="AK699" s="243"/>
      <c r="AL699" s="243"/>
      <c r="AM699" s="243"/>
      <c r="AN699" s="243"/>
      <c r="AO699" s="243"/>
      <c r="AP699" s="243"/>
      <c r="AQ699" s="1024"/>
      <c r="AR699" s="357"/>
      <c r="AS699" s="163"/>
      <c r="AT699" s="163"/>
      <c r="AU699" s="163"/>
      <c r="AV699" s="321"/>
    </row>
    <row r="700" spans="1:48" ht="12.75" x14ac:dyDescent="0.2">
      <c r="A700" s="243"/>
      <c r="B700" s="243"/>
      <c r="C700" s="1024"/>
      <c r="D700" s="1024"/>
      <c r="E700" s="1025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3"/>
      <c r="AI700" s="243"/>
      <c r="AJ700" s="243"/>
      <c r="AK700" s="243"/>
      <c r="AL700" s="243"/>
      <c r="AM700" s="243"/>
      <c r="AN700" s="243"/>
      <c r="AO700" s="243"/>
      <c r="AP700" s="243"/>
      <c r="AQ700" s="1024"/>
      <c r="AR700" s="357"/>
      <c r="AS700" s="163"/>
      <c r="AT700" s="163"/>
      <c r="AU700" s="163"/>
      <c r="AV700" s="321"/>
    </row>
    <row r="701" spans="1:48" ht="12.75" x14ac:dyDescent="0.2">
      <c r="A701" s="243"/>
      <c r="B701" s="243"/>
      <c r="C701" s="1024"/>
      <c r="D701" s="1024"/>
      <c r="E701" s="1025"/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  <c r="AH701" s="243"/>
      <c r="AI701" s="243"/>
      <c r="AJ701" s="243"/>
      <c r="AK701" s="243"/>
      <c r="AL701" s="243"/>
      <c r="AM701" s="243"/>
      <c r="AN701" s="243"/>
      <c r="AO701" s="243"/>
      <c r="AP701" s="243"/>
      <c r="AQ701" s="1024"/>
      <c r="AR701" s="357"/>
      <c r="AS701" s="163"/>
      <c r="AT701" s="163"/>
      <c r="AU701" s="163"/>
      <c r="AV701" s="321"/>
    </row>
    <row r="702" spans="1:48" ht="12.75" x14ac:dyDescent="0.2">
      <c r="A702" s="243"/>
      <c r="B702" s="243"/>
      <c r="C702" s="1024"/>
      <c r="D702" s="1024"/>
      <c r="E702" s="1025"/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  <c r="AA702" s="243"/>
      <c r="AB702" s="243"/>
      <c r="AC702" s="243"/>
      <c r="AD702" s="243"/>
      <c r="AE702" s="243"/>
      <c r="AF702" s="243"/>
      <c r="AG702" s="243"/>
      <c r="AH702" s="243"/>
      <c r="AI702" s="243"/>
      <c r="AJ702" s="243"/>
      <c r="AK702" s="243"/>
      <c r="AL702" s="243"/>
      <c r="AM702" s="243"/>
      <c r="AN702" s="243"/>
      <c r="AO702" s="243"/>
      <c r="AP702" s="243"/>
      <c r="AQ702" s="1024"/>
      <c r="AR702" s="357"/>
      <c r="AS702" s="163"/>
      <c r="AT702" s="163"/>
      <c r="AU702" s="163"/>
      <c r="AV702" s="321"/>
    </row>
    <row r="703" spans="1:48" ht="12.75" x14ac:dyDescent="0.2">
      <c r="A703" s="243"/>
      <c r="B703" s="243"/>
      <c r="C703" s="1024"/>
      <c r="D703" s="1024"/>
      <c r="E703" s="1025"/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  <c r="AH703" s="243"/>
      <c r="AI703" s="243"/>
      <c r="AJ703" s="243"/>
      <c r="AK703" s="243"/>
      <c r="AL703" s="243"/>
      <c r="AM703" s="243"/>
      <c r="AN703" s="243"/>
      <c r="AO703" s="243"/>
      <c r="AP703" s="243"/>
      <c r="AQ703" s="1024"/>
      <c r="AR703" s="357"/>
      <c r="AS703" s="163"/>
      <c r="AT703" s="163"/>
      <c r="AU703" s="163"/>
      <c r="AV703" s="321"/>
    </row>
    <row r="704" spans="1:48" ht="12.75" x14ac:dyDescent="0.2">
      <c r="A704" s="243"/>
      <c r="B704" s="243"/>
      <c r="C704" s="1024"/>
      <c r="D704" s="1024"/>
      <c r="E704" s="1025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  <c r="AA704" s="243"/>
      <c r="AB704" s="243"/>
      <c r="AC704" s="243"/>
      <c r="AD704" s="243"/>
      <c r="AE704" s="243"/>
      <c r="AF704" s="243"/>
      <c r="AG704" s="243"/>
      <c r="AH704" s="243"/>
      <c r="AI704" s="243"/>
      <c r="AJ704" s="243"/>
      <c r="AK704" s="243"/>
      <c r="AL704" s="243"/>
      <c r="AM704" s="243"/>
      <c r="AN704" s="243"/>
      <c r="AO704" s="243"/>
      <c r="AP704" s="243"/>
      <c r="AQ704" s="1024"/>
      <c r="AR704" s="357"/>
      <c r="AS704" s="163"/>
      <c r="AT704" s="163"/>
      <c r="AU704" s="163"/>
      <c r="AV704" s="321"/>
    </row>
    <row r="705" spans="1:48" ht="12.75" x14ac:dyDescent="0.2">
      <c r="A705" s="243"/>
      <c r="B705" s="243"/>
      <c r="C705" s="1024"/>
      <c r="D705" s="1024"/>
      <c r="E705" s="1025"/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  <c r="AA705" s="243"/>
      <c r="AB705" s="243"/>
      <c r="AC705" s="243"/>
      <c r="AD705" s="243"/>
      <c r="AE705" s="243"/>
      <c r="AF705" s="243"/>
      <c r="AG705" s="243"/>
      <c r="AH705" s="243"/>
      <c r="AI705" s="243"/>
      <c r="AJ705" s="243"/>
      <c r="AK705" s="243"/>
      <c r="AL705" s="243"/>
      <c r="AM705" s="243"/>
      <c r="AN705" s="243"/>
      <c r="AO705" s="243"/>
      <c r="AP705" s="243"/>
      <c r="AQ705" s="1024"/>
      <c r="AR705" s="357"/>
      <c r="AS705" s="163"/>
      <c r="AT705" s="163"/>
      <c r="AU705" s="163"/>
      <c r="AV705" s="321"/>
    </row>
    <row r="706" spans="1:48" ht="12.75" x14ac:dyDescent="0.2">
      <c r="A706" s="243"/>
      <c r="B706" s="243"/>
      <c r="C706" s="1024"/>
      <c r="D706" s="1024"/>
      <c r="E706" s="1025"/>
      <c r="F706" s="243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  <c r="AA706" s="243"/>
      <c r="AB706" s="243"/>
      <c r="AC706" s="243"/>
      <c r="AD706" s="243"/>
      <c r="AE706" s="243"/>
      <c r="AF706" s="243"/>
      <c r="AG706" s="243"/>
      <c r="AH706" s="243"/>
      <c r="AI706" s="243"/>
      <c r="AJ706" s="243"/>
      <c r="AK706" s="243"/>
      <c r="AL706" s="243"/>
      <c r="AM706" s="243"/>
      <c r="AN706" s="243"/>
      <c r="AO706" s="243"/>
      <c r="AP706" s="243"/>
      <c r="AQ706" s="1024"/>
      <c r="AR706" s="357"/>
      <c r="AS706" s="163"/>
      <c r="AT706" s="163"/>
      <c r="AU706" s="163"/>
      <c r="AV706" s="321"/>
    </row>
    <row r="707" spans="1:48" ht="12.75" x14ac:dyDescent="0.2">
      <c r="A707" s="243"/>
      <c r="B707" s="243"/>
      <c r="C707" s="1024"/>
      <c r="D707" s="1024"/>
      <c r="E707" s="1025"/>
      <c r="F707" s="243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  <c r="AA707" s="243"/>
      <c r="AB707" s="243"/>
      <c r="AC707" s="243"/>
      <c r="AD707" s="243"/>
      <c r="AE707" s="243"/>
      <c r="AF707" s="243"/>
      <c r="AG707" s="243"/>
      <c r="AH707" s="243"/>
      <c r="AI707" s="243"/>
      <c r="AJ707" s="243"/>
      <c r="AK707" s="243"/>
      <c r="AL707" s="243"/>
      <c r="AM707" s="243"/>
      <c r="AN707" s="243"/>
      <c r="AO707" s="243"/>
      <c r="AP707" s="243"/>
      <c r="AQ707" s="1024"/>
      <c r="AR707" s="357"/>
      <c r="AS707" s="163"/>
      <c r="AT707" s="163"/>
      <c r="AU707" s="163"/>
      <c r="AV707" s="321"/>
    </row>
    <row r="708" spans="1:48" ht="12.75" x14ac:dyDescent="0.2">
      <c r="A708" s="243"/>
      <c r="B708" s="243"/>
      <c r="C708" s="1024"/>
      <c r="D708" s="1024"/>
      <c r="E708" s="1025"/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  <c r="AH708" s="243"/>
      <c r="AI708" s="243"/>
      <c r="AJ708" s="243"/>
      <c r="AK708" s="243"/>
      <c r="AL708" s="243"/>
      <c r="AM708" s="243"/>
      <c r="AN708" s="243"/>
      <c r="AO708" s="243"/>
      <c r="AP708" s="243"/>
      <c r="AQ708" s="1024"/>
      <c r="AR708" s="357"/>
      <c r="AS708" s="163"/>
      <c r="AT708" s="163"/>
      <c r="AU708" s="163"/>
      <c r="AV708" s="321"/>
    </row>
    <row r="709" spans="1:48" ht="12.75" x14ac:dyDescent="0.2">
      <c r="A709" s="243"/>
      <c r="B709" s="243"/>
      <c r="C709" s="1024"/>
      <c r="D709" s="1024"/>
      <c r="E709" s="1025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3"/>
      <c r="AI709" s="243"/>
      <c r="AJ709" s="243"/>
      <c r="AK709" s="243"/>
      <c r="AL709" s="243"/>
      <c r="AM709" s="243"/>
      <c r="AN709" s="243"/>
      <c r="AO709" s="243"/>
      <c r="AP709" s="243"/>
      <c r="AQ709" s="1024"/>
      <c r="AR709" s="357"/>
      <c r="AS709" s="163"/>
      <c r="AT709" s="163"/>
      <c r="AU709" s="163"/>
      <c r="AV709" s="321"/>
    </row>
    <row r="710" spans="1:48" ht="12.75" x14ac:dyDescent="0.2">
      <c r="A710" s="243"/>
      <c r="B710" s="243"/>
      <c r="C710" s="1024"/>
      <c r="D710" s="1024"/>
      <c r="E710" s="1025"/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3"/>
      <c r="AI710" s="243"/>
      <c r="AJ710" s="243"/>
      <c r="AK710" s="243"/>
      <c r="AL710" s="243"/>
      <c r="AM710" s="243"/>
      <c r="AN710" s="243"/>
      <c r="AO710" s="243"/>
      <c r="AP710" s="243"/>
      <c r="AQ710" s="1024"/>
      <c r="AR710" s="357"/>
      <c r="AS710" s="163"/>
      <c r="AT710" s="163"/>
      <c r="AU710" s="163"/>
      <c r="AV710" s="321"/>
    </row>
    <row r="711" spans="1:48" ht="12.75" x14ac:dyDescent="0.2">
      <c r="A711" s="243"/>
      <c r="B711" s="243"/>
      <c r="C711" s="1024"/>
      <c r="D711" s="1024"/>
      <c r="E711" s="1025"/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  <c r="AH711" s="243"/>
      <c r="AI711" s="243"/>
      <c r="AJ711" s="243"/>
      <c r="AK711" s="243"/>
      <c r="AL711" s="243"/>
      <c r="AM711" s="243"/>
      <c r="AN711" s="243"/>
      <c r="AO711" s="243"/>
      <c r="AP711" s="243"/>
      <c r="AQ711" s="1024"/>
      <c r="AR711" s="357"/>
      <c r="AS711" s="163"/>
      <c r="AT711" s="163"/>
      <c r="AU711" s="163"/>
      <c r="AV711" s="321"/>
    </row>
    <row r="712" spans="1:48" ht="12.75" x14ac:dyDescent="0.2">
      <c r="A712" s="243"/>
      <c r="B712" s="243"/>
      <c r="C712" s="1024"/>
      <c r="D712" s="1024"/>
      <c r="E712" s="1025"/>
      <c r="F712" s="243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  <c r="AA712" s="243"/>
      <c r="AB712" s="243"/>
      <c r="AC712" s="243"/>
      <c r="AD712" s="243"/>
      <c r="AE712" s="243"/>
      <c r="AF712" s="243"/>
      <c r="AG712" s="243"/>
      <c r="AH712" s="243"/>
      <c r="AI712" s="243"/>
      <c r="AJ712" s="243"/>
      <c r="AK712" s="243"/>
      <c r="AL712" s="243"/>
      <c r="AM712" s="243"/>
      <c r="AN712" s="243"/>
      <c r="AO712" s="243"/>
      <c r="AP712" s="243"/>
      <c r="AQ712" s="1024"/>
      <c r="AR712" s="357"/>
      <c r="AS712" s="163"/>
      <c r="AT712" s="163"/>
      <c r="AU712" s="163"/>
      <c r="AV712" s="321"/>
    </row>
    <row r="713" spans="1:48" ht="12.75" x14ac:dyDescent="0.2">
      <c r="A713" s="243"/>
      <c r="B713" s="243"/>
      <c r="C713" s="1024"/>
      <c r="D713" s="1024"/>
      <c r="E713" s="1025"/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  <c r="AH713" s="243"/>
      <c r="AI713" s="243"/>
      <c r="AJ713" s="243"/>
      <c r="AK713" s="243"/>
      <c r="AL713" s="243"/>
      <c r="AM713" s="243"/>
      <c r="AN713" s="243"/>
      <c r="AO713" s="243"/>
      <c r="AP713" s="243"/>
      <c r="AQ713" s="1024"/>
      <c r="AR713" s="357"/>
      <c r="AS713" s="163"/>
      <c r="AT713" s="163"/>
      <c r="AU713" s="163"/>
      <c r="AV713" s="321"/>
    </row>
    <row r="714" spans="1:48" ht="12.75" x14ac:dyDescent="0.2">
      <c r="A714" s="243"/>
      <c r="B714" s="243"/>
      <c r="C714" s="1024"/>
      <c r="D714" s="1024"/>
      <c r="E714" s="1025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  <c r="AH714" s="243"/>
      <c r="AI714" s="243"/>
      <c r="AJ714" s="243"/>
      <c r="AK714" s="243"/>
      <c r="AL714" s="243"/>
      <c r="AM714" s="243"/>
      <c r="AN714" s="243"/>
      <c r="AO714" s="243"/>
      <c r="AP714" s="243"/>
      <c r="AQ714" s="1024"/>
      <c r="AR714" s="357"/>
      <c r="AS714" s="163"/>
      <c r="AT714" s="163"/>
      <c r="AU714" s="163"/>
      <c r="AV714" s="321"/>
    </row>
    <row r="715" spans="1:48" ht="12.75" x14ac:dyDescent="0.2">
      <c r="A715" s="243"/>
      <c r="B715" s="243"/>
      <c r="C715" s="1024"/>
      <c r="D715" s="1024"/>
      <c r="E715" s="1025"/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  <c r="AH715" s="243"/>
      <c r="AI715" s="243"/>
      <c r="AJ715" s="243"/>
      <c r="AK715" s="243"/>
      <c r="AL715" s="243"/>
      <c r="AM715" s="243"/>
      <c r="AN715" s="243"/>
      <c r="AO715" s="243"/>
      <c r="AP715" s="243"/>
      <c r="AQ715" s="1024"/>
      <c r="AR715" s="357"/>
      <c r="AS715" s="163"/>
      <c r="AT715" s="163"/>
      <c r="AU715" s="163"/>
      <c r="AV715" s="321"/>
    </row>
    <row r="716" spans="1:48" ht="12.75" x14ac:dyDescent="0.2">
      <c r="A716" s="243"/>
      <c r="B716" s="243"/>
      <c r="C716" s="1024"/>
      <c r="D716" s="1024"/>
      <c r="E716" s="1025"/>
      <c r="F716" s="243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3"/>
      <c r="Z716" s="243"/>
      <c r="AA716" s="243"/>
      <c r="AB716" s="243"/>
      <c r="AC716" s="243"/>
      <c r="AD716" s="243"/>
      <c r="AE716" s="243"/>
      <c r="AF716" s="243"/>
      <c r="AG716" s="243"/>
      <c r="AH716" s="243"/>
      <c r="AI716" s="243"/>
      <c r="AJ716" s="243"/>
      <c r="AK716" s="243"/>
      <c r="AL716" s="243"/>
      <c r="AM716" s="243"/>
      <c r="AN716" s="243"/>
      <c r="AO716" s="243"/>
      <c r="AP716" s="243"/>
      <c r="AQ716" s="1024"/>
      <c r="AR716" s="357"/>
      <c r="AS716" s="163"/>
      <c r="AT716" s="163"/>
      <c r="AU716" s="163"/>
      <c r="AV716" s="321"/>
    </row>
    <row r="717" spans="1:48" ht="12.75" x14ac:dyDescent="0.2">
      <c r="A717" s="243"/>
      <c r="B717" s="243"/>
      <c r="C717" s="1024"/>
      <c r="D717" s="1024"/>
      <c r="E717" s="1025"/>
      <c r="F717" s="243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3"/>
      <c r="Z717" s="243"/>
      <c r="AA717" s="243"/>
      <c r="AB717" s="243"/>
      <c r="AC717" s="243"/>
      <c r="AD717" s="243"/>
      <c r="AE717" s="243"/>
      <c r="AF717" s="243"/>
      <c r="AG717" s="243"/>
      <c r="AH717" s="243"/>
      <c r="AI717" s="243"/>
      <c r="AJ717" s="243"/>
      <c r="AK717" s="243"/>
      <c r="AL717" s="243"/>
      <c r="AM717" s="243"/>
      <c r="AN717" s="243"/>
      <c r="AO717" s="243"/>
      <c r="AP717" s="243"/>
      <c r="AQ717" s="1024"/>
      <c r="AR717" s="357"/>
      <c r="AS717" s="163"/>
      <c r="AT717" s="163"/>
      <c r="AU717" s="163"/>
      <c r="AV717" s="321"/>
    </row>
    <row r="718" spans="1:48" ht="12.75" x14ac:dyDescent="0.2">
      <c r="A718" s="243"/>
      <c r="B718" s="243"/>
      <c r="C718" s="1024"/>
      <c r="D718" s="1024"/>
      <c r="E718" s="1025"/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  <c r="AA718" s="243"/>
      <c r="AB718" s="243"/>
      <c r="AC718" s="243"/>
      <c r="AD718" s="243"/>
      <c r="AE718" s="243"/>
      <c r="AF718" s="243"/>
      <c r="AG718" s="243"/>
      <c r="AH718" s="243"/>
      <c r="AI718" s="243"/>
      <c r="AJ718" s="243"/>
      <c r="AK718" s="243"/>
      <c r="AL718" s="243"/>
      <c r="AM718" s="243"/>
      <c r="AN718" s="243"/>
      <c r="AO718" s="243"/>
      <c r="AP718" s="243"/>
      <c r="AQ718" s="1024"/>
      <c r="AR718" s="357"/>
      <c r="AS718" s="163"/>
      <c r="AT718" s="163"/>
      <c r="AU718" s="163"/>
      <c r="AV718" s="321"/>
    </row>
    <row r="719" spans="1:48" ht="12.75" x14ac:dyDescent="0.2">
      <c r="A719" s="243"/>
      <c r="B719" s="243"/>
      <c r="C719" s="1024"/>
      <c r="D719" s="1024"/>
      <c r="E719" s="1025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  <c r="AH719" s="243"/>
      <c r="AI719" s="243"/>
      <c r="AJ719" s="243"/>
      <c r="AK719" s="243"/>
      <c r="AL719" s="243"/>
      <c r="AM719" s="243"/>
      <c r="AN719" s="243"/>
      <c r="AO719" s="243"/>
      <c r="AP719" s="243"/>
      <c r="AQ719" s="1024"/>
      <c r="AR719" s="357"/>
      <c r="AS719" s="163"/>
      <c r="AT719" s="163"/>
      <c r="AU719" s="163"/>
      <c r="AV719" s="321"/>
    </row>
    <row r="720" spans="1:48" ht="12.75" x14ac:dyDescent="0.2">
      <c r="A720" s="243"/>
      <c r="B720" s="243"/>
      <c r="C720" s="1024"/>
      <c r="D720" s="1024"/>
      <c r="E720" s="1025"/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  <c r="AH720" s="243"/>
      <c r="AI720" s="243"/>
      <c r="AJ720" s="243"/>
      <c r="AK720" s="243"/>
      <c r="AL720" s="243"/>
      <c r="AM720" s="243"/>
      <c r="AN720" s="243"/>
      <c r="AO720" s="243"/>
      <c r="AP720" s="243"/>
      <c r="AQ720" s="1024"/>
      <c r="AR720" s="357"/>
      <c r="AS720" s="163"/>
      <c r="AT720" s="163"/>
      <c r="AU720" s="163"/>
      <c r="AV720" s="321"/>
    </row>
    <row r="721" spans="1:48" ht="12.75" x14ac:dyDescent="0.2">
      <c r="A721" s="243"/>
      <c r="B721" s="243"/>
      <c r="C721" s="1024"/>
      <c r="D721" s="1024"/>
      <c r="E721" s="1025"/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  <c r="AA721" s="243"/>
      <c r="AB721" s="243"/>
      <c r="AC721" s="243"/>
      <c r="AD721" s="243"/>
      <c r="AE721" s="243"/>
      <c r="AF721" s="243"/>
      <c r="AG721" s="243"/>
      <c r="AH721" s="243"/>
      <c r="AI721" s="243"/>
      <c r="AJ721" s="243"/>
      <c r="AK721" s="243"/>
      <c r="AL721" s="243"/>
      <c r="AM721" s="243"/>
      <c r="AN721" s="243"/>
      <c r="AO721" s="243"/>
      <c r="AP721" s="243"/>
      <c r="AQ721" s="1024"/>
      <c r="AR721" s="357"/>
      <c r="AS721" s="163"/>
      <c r="AT721" s="163"/>
      <c r="AU721" s="163"/>
      <c r="AV721" s="321"/>
    </row>
    <row r="722" spans="1:48" ht="12.75" x14ac:dyDescent="0.2">
      <c r="A722" s="243"/>
      <c r="B722" s="243"/>
      <c r="C722" s="1024"/>
      <c r="D722" s="1024"/>
      <c r="E722" s="1025"/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  <c r="AA722" s="243"/>
      <c r="AB722" s="243"/>
      <c r="AC722" s="243"/>
      <c r="AD722" s="243"/>
      <c r="AE722" s="243"/>
      <c r="AF722" s="243"/>
      <c r="AG722" s="243"/>
      <c r="AH722" s="243"/>
      <c r="AI722" s="243"/>
      <c r="AJ722" s="243"/>
      <c r="AK722" s="243"/>
      <c r="AL722" s="243"/>
      <c r="AM722" s="243"/>
      <c r="AN722" s="243"/>
      <c r="AO722" s="243"/>
      <c r="AP722" s="243"/>
      <c r="AQ722" s="1024"/>
      <c r="AR722" s="357"/>
      <c r="AS722" s="163"/>
      <c r="AT722" s="163"/>
      <c r="AU722" s="163"/>
      <c r="AV722" s="321"/>
    </row>
    <row r="723" spans="1:48" ht="12.75" x14ac:dyDescent="0.2">
      <c r="A723" s="243"/>
      <c r="B723" s="243"/>
      <c r="C723" s="1024"/>
      <c r="D723" s="1024"/>
      <c r="E723" s="1025"/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  <c r="AH723" s="243"/>
      <c r="AI723" s="243"/>
      <c r="AJ723" s="243"/>
      <c r="AK723" s="243"/>
      <c r="AL723" s="243"/>
      <c r="AM723" s="243"/>
      <c r="AN723" s="243"/>
      <c r="AO723" s="243"/>
      <c r="AP723" s="243"/>
      <c r="AQ723" s="1024"/>
      <c r="AR723" s="357"/>
      <c r="AS723" s="163"/>
      <c r="AT723" s="163"/>
      <c r="AU723" s="163"/>
      <c r="AV723" s="321"/>
    </row>
    <row r="724" spans="1:48" ht="12.75" x14ac:dyDescent="0.2">
      <c r="A724" s="243"/>
      <c r="B724" s="243"/>
      <c r="C724" s="1024"/>
      <c r="D724" s="1024"/>
      <c r="E724" s="1025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  <c r="AH724" s="243"/>
      <c r="AI724" s="243"/>
      <c r="AJ724" s="243"/>
      <c r="AK724" s="243"/>
      <c r="AL724" s="243"/>
      <c r="AM724" s="243"/>
      <c r="AN724" s="243"/>
      <c r="AO724" s="243"/>
      <c r="AP724" s="243"/>
      <c r="AQ724" s="1024"/>
      <c r="AR724" s="357"/>
      <c r="AS724" s="163"/>
      <c r="AT724" s="163"/>
      <c r="AU724" s="163"/>
      <c r="AV724" s="321"/>
    </row>
    <row r="725" spans="1:48" ht="12.75" x14ac:dyDescent="0.2">
      <c r="A725" s="243"/>
      <c r="B725" s="243"/>
      <c r="C725" s="1024"/>
      <c r="D725" s="1024"/>
      <c r="E725" s="1025"/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  <c r="AH725" s="243"/>
      <c r="AI725" s="243"/>
      <c r="AJ725" s="243"/>
      <c r="AK725" s="243"/>
      <c r="AL725" s="243"/>
      <c r="AM725" s="243"/>
      <c r="AN725" s="243"/>
      <c r="AO725" s="243"/>
      <c r="AP725" s="243"/>
      <c r="AQ725" s="1024"/>
      <c r="AR725" s="357"/>
      <c r="AS725" s="163"/>
      <c r="AT725" s="163"/>
      <c r="AU725" s="163"/>
      <c r="AV725" s="321"/>
    </row>
    <row r="726" spans="1:48" ht="12.75" x14ac:dyDescent="0.2">
      <c r="A726" s="243"/>
      <c r="B726" s="243"/>
      <c r="C726" s="1024"/>
      <c r="D726" s="1024"/>
      <c r="E726" s="1025"/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  <c r="AA726" s="243"/>
      <c r="AB726" s="243"/>
      <c r="AC726" s="243"/>
      <c r="AD726" s="243"/>
      <c r="AE726" s="243"/>
      <c r="AF726" s="243"/>
      <c r="AG726" s="243"/>
      <c r="AH726" s="243"/>
      <c r="AI726" s="243"/>
      <c r="AJ726" s="243"/>
      <c r="AK726" s="243"/>
      <c r="AL726" s="243"/>
      <c r="AM726" s="243"/>
      <c r="AN726" s="243"/>
      <c r="AO726" s="243"/>
      <c r="AP726" s="243"/>
      <c r="AQ726" s="1024"/>
      <c r="AR726" s="357"/>
      <c r="AS726" s="163"/>
      <c r="AT726" s="163"/>
      <c r="AU726" s="163"/>
      <c r="AV726" s="321"/>
    </row>
    <row r="727" spans="1:48" ht="12.75" x14ac:dyDescent="0.2">
      <c r="A727" s="243"/>
      <c r="B727" s="243"/>
      <c r="C727" s="1024"/>
      <c r="D727" s="1024"/>
      <c r="E727" s="1025"/>
      <c r="F727" s="243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3"/>
      <c r="Z727" s="243"/>
      <c r="AA727" s="243"/>
      <c r="AB727" s="243"/>
      <c r="AC727" s="243"/>
      <c r="AD727" s="243"/>
      <c r="AE727" s="243"/>
      <c r="AF727" s="243"/>
      <c r="AG727" s="243"/>
      <c r="AH727" s="243"/>
      <c r="AI727" s="243"/>
      <c r="AJ727" s="243"/>
      <c r="AK727" s="243"/>
      <c r="AL727" s="243"/>
      <c r="AM727" s="243"/>
      <c r="AN727" s="243"/>
      <c r="AO727" s="243"/>
      <c r="AP727" s="243"/>
      <c r="AQ727" s="1024"/>
      <c r="AR727" s="357"/>
      <c r="AS727" s="163"/>
      <c r="AT727" s="163"/>
      <c r="AU727" s="163"/>
      <c r="AV727" s="321"/>
    </row>
    <row r="728" spans="1:48" ht="12.75" x14ac:dyDescent="0.2">
      <c r="A728" s="243"/>
      <c r="B728" s="243"/>
      <c r="C728" s="1024"/>
      <c r="D728" s="1024"/>
      <c r="E728" s="1025"/>
      <c r="F728" s="243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3"/>
      <c r="Z728" s="243"/>
      <c r="AA728" s="243"/>
      <c r="AB728" s="243"/>
      <c r="AC728" s="243"/>
      <c r="AD728" s="243"/>
      <c r="AE728" s="243"/>
      <c r="AF728" s="243"/>
      <c r="AG728" s="243"/>
      <c r="AH728" s="243"/>
      <c r="AI728" s="243"/>
      <c r="AJ728" s="243"/>
      <c r="AK728" s="243"/>
      <c r="AL728" s="243"/>
      <c r="AM728" s="243"/>
      <c r="AN728" s="243"/>
      <c r="AO728" s="243"/>
      <c r="AP728" s="243"/>
      <c r="AQ728" s="1024"/>
      <c r="AR728" s="357"/>
      <c r="AS728" s="163"/>
      <c r="AT728" s="163"/>
      <c r="AU728" s="163"/>
      <c r="AV728" s="321"/>
    </row>
    <row r="729" spans="1:48" ht="12.75" x14ac:dyDescent="0.2">
      <c r="A729" s="243"/>
      <c r="B729" s="243"/>
      <c r="C729" s="1024"/>
      <c r="D729" s="1024"/>
      <c r="E729" s="1025"/>
      <c r="F729" s="243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3"/>
      <c r="Z729" s="243"/>
      <c r="AA729" s="243"/>
      <c r="AB729" s="243"/>
      <c r="AC729" s="243"/>
      <c r="AD729" s="243"/>
      <c r="AE729" s="243"/>
      <c r="AF729" s="243"/>
      <c r="AG729" s="243"/>
      <c r="AH729" s="243"/>
      <c r="AI729" s="243"/>
      <c r="AJ729" s="243"/>
      <c r="AK729" s="243"/>
      <c r="AL729" s="243"/>
      <c r="AM729" s="243"/>
      <c r="AN729" s="243"/>
      <c r="AO729" s="243"/>
      <c r="AP729" s="243"/>
      <c r="AQ729" s="1024"/>
      <c r="AR729" s="357"/>
      <c r="AS729" s="163"/>
      <c r="AT729" s="163"/>
      <c r="AU729" s="163"/>
      <c r="AV729" s="321"/>
    </row>
    <row r="730" spans="1:48" ht="12.75" x14ac:dyDescent="0.2">
      <c r="A730" s="243"/>
      <c r="B730" s="243"/>
      <c r="C730" s="1024"/>
      <c r="D730" s="1024"/>
      <c r="E730" s="1025"/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  <c r="AA730" s="243"/>
      <c r="AB730" s="243"/>
      <c r="AC730" s="243"/>
      <c r="AD730" s="243"/>
      <c r="AE730" s="243"/>
      <c r="AF730" s="243"/>
      <c r="AG730" s="243"/>
      <c r="AH730" s="243"/>
      <c r="AI730" s="243"/>
      <c r="AJ730" s="243"/>
      <c r="AK730" s="243"/>
      <c r="AL730" s="243"/>
      <c r="AM730" s="243"/>
      <c r="AN730" s="243"/>
      <c r="AO730" s="243"/>
      <c r="AP730" s="243"/>
      <c r="AQ730" s="1024"/>
      <c r="AR730" s="357"/>
      <c r="AS730" s="163"/>
      <c r="AT730" s="163"/>
      <c r="AU730" s="163"/>
      <c r="AV730" s="321"/>
    </row>
    <row r="731" spans="1:48" ht="12.75" x14ac:dyDescent="0.2">
      <c r="A731" s="243"/>
      <c r="B731" s="243"/>
      <c r="C731" s="1024"/>
      <c r="D731" s="1024"/>
      <c r="E731" s="1025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  <c r="AH731" s="243"/>
      <c r="AI731" s="243"/>
      <c r="AJ731" s="243"/>
      <c r="AK731" s="243"/>
      <c r="AL731" s="243"/>
      <c r="AM731" s="243"/>
      <c r="AN731" s="243"/>
      <c r="AO731" s="243"/>
      <c r="AP731" s="243"/>
      <c r="AQ731" s="1024"/>
      <c r="AR731" s="357"/>
      <c r="AS731" s="163"/>
      <c r="AT731" s="163"/>
      <c r="AU731" s="163"/>
      <c r="AV731" s="321"/>
    </row>
    <row r="732" spans="1:48" ht="12.75" x14ac:dyDescent="0.2">
      <c r="A732" s="243"/>
      <c r="B732" s="243"/>
      <c r="C732" s="1024"/>
      <c r="D732" s="1024"/>
      <c r="E732" s="1025"/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  <c r="AH732" s="243"/>
      <c r="AI732" s="243"/>
      <c r="AJ732" s="243"/>
      <c r="AK732" s="243"/>
      <c r="AL732" s="243"/>
      <c r="AM732" s="243"/>
      <c r="AN732" s="243"/>
      <c r="AO732" s="243"/>
      <c r="AP732" s="243"/>
      <c r="AQ732" s="1024"/>
      <c r="AR732" s="357"/>
      <c r="AS732" s="163"/>
      <c r="AT732" s="163"/>
      <c r="AU732" s="163"/>
      <c r="AV732" s="321"/>
    </row>
    <row r="733" spans="1:48" ht="12.75" x14ac:dyDescent="0.2">
      <c r="A733" s="243"/>
      <c r="B733" s="243"/>
      <c r="C733" s="1024"/>
      <c r="D733" s="1024"/>
      <c r="E733" s="1025"/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  <c r="AH733" s="243"/>
      <c r="AI733" s="243"/>
      <c r="AJ733" s="243"/>
      <c r="AK733" s="243"/>
      <c r="AL733" s="243"/>
      <c r="AM733" s="243"/>
      <c r="AN733" s="243"/>
      <c r="AO733" s="243"/>
      <c r="AP733" s="243"/>
      <c r="AQ733" s="1024"/>
      <c r="AR733" s="357"/>
      <c r="AS733" s="163"/>
      <c r="AT733" s="163"/>
      <c r="AU733" s="163"/>
      <c r="AV733" s="321"/>
    </row>
    <row r="734" spans="1:48" ht="12.75" x14ac:dyDescent="0.2">
      <c r="A734" s="243"/>
      <c r="B734" s="243"/>
      <c r="C734" s="1024"/>
      <c r="D734" s="1024"/>
      <c r="E734" s="1025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  <c r="AH734" s="243"/>
      <c r="AI734" s="243"/>
      <c r="AJ734" s="243"/>
      <c r="AK734" s="243"/>
      <c r="AL734" s="243"/>
      <c r="AM734" s="243"/>
      <c r="AN734" s="243"/>
      <c r="AO734" s="243"/>
      <c r="AP734" s="243"/>
      <c r="AQ734" s="1024"/>
      <c r="AR734" s="357"/>
      <c r="AS734" s="163"/>
      <c r="AT734" s="163"/>
      <c r="AU734" s="163"/>
      <c r="AV734" s="321"/>
    </row>
    <row r="735" spans="1:48" ht="12.75" x14ac:dyDescent="0.2">
      <c r="A735" s="243"/>
      <c r="B735" s="243"/>
      <c r="C735" s="1024"/>
      <c r="D735" s="1024"/>
      <c r="E735" s="1025"/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  <c r="AH735" s="243"/>
      <c r="AI735" s="243"/>
      <c r="AJ735" s="243"/>
      <c r="AK735" s="243"/>
      <c r="AL735" s="243"/>
      <c r="AM735" s="243"/>
      <c r="AN735" s="243"/>
      <c r="AO735" s="243"/>
      <c r="AP735" s="243"/>
      <c r="AQ735" s="1024"/>
      <c r="AR735" s="357"/>
      <c r="AS735" s="163"/>
      <c r="AT735" s="163"/>
      <c r="AU735" s="163"/>
      <c r="AV735" s="321"/>
    </row>
    <row r="736" spans="1:48" ht="12.75" x14ac:dyDescent="0.2">
      <c r="A736" s="243"/>
      <c r="B736" s="243"/>
      <c r="C736" s="1024"/>
      <c r="D736" s="1024"/>
      <c r="E736" s="1025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  <c r="AH736" s="243"/>
      <c r="AI736" s="243"/>
      <c r="AJ736" s="243"/>
      <c r="AK736" s="243"/>
      <c r="AL736" s="243"/>
      <c r="AM736" s="243"/>
      <c r="AN736" s="243"/>
      <c r="AO736" s="243"/>
      <c r="AP736" s="243"/>
      <c r="AQ736" s="1024"/>
      <c r="AR736" s="357"/>
      <c r="AS736" s="163"/>
      <c r="AT736" s="163"/>
      <c r="AU736" s="163"/>
      <c r="AV736" s="321"/>
    </row>
    <row r="737" spans="1:48" ht="12.75" x14ac:dyDescent="0.2">
      <c r="A737" s="243"/>
      <c r="B737" s="243"/>
      <c r="C737" s="1024"/>
      <c r="D737" s="1024"/>
      <c r="E737" s="1025"/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  <c r="AA737" s="243"/>
      <c r="AB737" s="243"/>
      <c r="AC737" s="243"/>
      <c r="AD737" s="243"/>
      <c r="AE737" s="243"/>
      <c r="AF737" s="243"/>
      <c r="AG737" s="243"/>
      <c r="AH737" s="243"/>
      <c r="AI737" s="243"/>
      <c r="AJ737" s="243"/>
      <c r="AK737" s="243"/>
      <c r="AL737" s="243"/>
      <c r="AM737" s="243"/>
      <c r="AN737" s="243"/>
      <c r="AO737" s="243"/>
      <c r="AP737" s="243"/>
      <c r="AQ737" s="1024"/>
      <c r="AR737" s="357"/>
      <c r="AS737" s="163"/>
      <c r="AT737" s="163"/>
      <c r="AU737" s="163"/>
      <c r="AV737" s="321"/>
    </row>
    <row r="738" spans="1:48" ht="12.75" x14ac:dyDescent="0.2">
      <c r="A738" s="243"/>
      <c r="B738" s="243"/>
      <c r="C738" s="1024"/>
      <c r="D738" s="1024"/>
      <c r="E738" s="1025"/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  <c r="AA738" s="243"/>
      <c r="AB738" s="243"/>
      <c r="AC738" s="243"/>
      <c r="AD738" s="243"/>
      <c r="AE738" s="243"/>
      <c r="AF738" s="243"/>
      <c r="AG738" s="243"/>
      <c r="AH738" s="243"/>
      <c r="AI738" s="243"/>
      <c r="AJ738" s="243"/>
      <c r="AK738" s="243"/>
      <c r="AL738" s="243"/>
      <c r="AM738" s="243"/>
      <c r="AN738" s="243"/>
      <c r="AO738" s="243"/>
      <c r="AP738" s="243"/>
      <c r="AQ738" s="1024"/>
      <c r="AR738" s="357"/>
      <c r="AS738" s="163"/>
      <c r="AT738" s="163"/>
      <c r="AU738" s="163"/>
      <c r="AV738" s="321"/>
    </row>
    <row r="739" spans="1:48" ht="12.75" x14ac:dyDescent="0.2">
      <c r="A739" s="243"/>
      <c r="B739" s="243"/>
      <c r="C739" s="1024"/>
      <c r="D739" s="1024"/>
      <c r="E739" s="1025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  <c r="AH739" s="243"/>
      <c r="AI739" s="243"/>
      <c r="AJ739" s="243"/>
      <c r="AK739" s="243"/>
      <c r="AL739" s="243"/>
      <c r="AM739" s="243"/>
      <c r="AN739" s="243"/>
      <c r="AO739" s="243"/>
      <c r="AP739" s="243"/>
      <c r="AQ739" s="1024"/>
      <c r="AR739" s="357"/>
      <c r="AS739" s="163"/>
      <c r="AT739" s="163"/>
      <c r="AU739" s="163"/>
      <c r="AV739" s="321"/>
    </row>
    <row r="740" spans="1:48" ht="12.75" x14ac:dyDescent="0.2">
      <c r="A740" s="243"/>
      <c r="B740" s="243"/>
      <c r="C740" s="1024"/>
      <c r="D740" s="1024"/>
      <c r="E740" s="1025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  <c r="AA740" s="243"/>
      <c r="AB740" s="243"/>
      <c r="AC740" s="243"/>
      <c r="AD740" s="243"/>
      <c r="AE740" s="243"/>
      <c r="AF740" s="243"/>
      <c r="AG740" s="243"/>
      <c r="AH740" s="243"/>
      <c r="AI740" s="243"/>
      <c r="AJ740" s="243"/>
      <c r="AK740" s="243"/>
      <c r="AL740" s="243"/>
      <c r="AM740" s="243"/>
      <c r="AN740" s="243"/>
      <c r="AO740" s="243"/>
      <c r="AP740" s="243"/>
      <c r="AQ740" s="1024"/>
      <c r="AR740" s="357"/>
      <c r="AS740" s="163"/>
      <c r="AT740" s="163"/>
      <c r="AU740" s="163"/>
      <c r="AV740" s="321"/>
    </row>
    <row r="741" spans="1:48" ht="12.75" x14ac:dyDescent="0.2">
      <c r="A741" s="243"/>
      <c r="B741" s="243"/>
      <c r="C741" s="1024"/>
      <c r="D741" s="1024"/>
      <c r="E741" s="1025"/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  <c r="AA741" s="243"/>
      <c r="AB741" s="243"/>
      <c r="AC741" s="243"/>
      <c r="AD741" s="243"/>
      <c r="AE741" s="243"/>
      <c r="AF741" s="243"/>
      <c r="AG741" s="243"/>
      <c r="AH741" s="243"/>
      <c r="AI741" s="243"/>
      <c r="AJ741" s="243"/>
      <c r="AK741" s="243"/>
      <c r="AL741" s="243"/>
      <c r="AM741" s="243"/>
      <c r="AN741" s="243"/>
      <c r="AO741" s="243"/>
      <c r="AP741" s="243"/>
      <c r="AQ741" s="1024"/>
      <c r="AR741" s="357"/>
      <c r="AS741" s="163"/>
      <c r="AT741" s="163"/>
      <c r="AU741" s="163"/>
      <c r="AV741" s="321"/>
    </row>
    <row r="742" spans="1:48" ht="12.75" x14ac:dyDescent="0.2">
      <c r="A742" s="243"/>
      <c r="B742" s="243"/>
      <c r="C742" s="1024"/>
      <c r="D742" s="1024"/>
      <c r="E742" s="1025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  <c r="AH742" s="243"/>
      <c r="AI742" s="243"/>
      <c r="AJ742" s="243"/>
      <c r="AK742" s="243"/>
      <c r="AL742" s="243"/>
      <c r="AM742" s="243"/>
      <c r="AN742" s="243"/>
      <c r="AO742" s="243"/>
      <c r="AP742" s="243"/>
      <c r="AQ742" s="1024"/>
      <c r="AR742" s="357"/>
      <c r="AS742" s="163"/>
      <c r="AT742" s="163"/>
      <c r="AU742" s="163"/>
      <c r="AV742" s="321"/>
    </row>
    <row r="743" spans="1:48" ht="12.75" x14ac:dyDescent="0.2">
      <c r="A743" s="243"/>
      <c r="B743" s="243"/>
      <c r="C743" s="1024"/>
      <c r="D743" s="1024"/>
      <c r="E743" s="1025"/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  <c r="AA743" s="243"/>
      <c r="AB743" s="243"/>
      <c r="AC743" s="243"/>
      <c r="AD743" s="243"/>
      <c r="AE743" s="243"/>
      <c r="AF743" s="243"/>
      <c r="AG743" s="243"/>
      <c r="AH743" s="243"/>
      <c r="AI743" s="243"/>
      <c r="AJ743" s="243"/>
      <c r="AK743" s="243"/>
      <c r="AL743" s="243"/>
      <c r="AM743" s="243"/>
      <c r="AN743" s="243"/>
      <c r="AO743" s="243"/>
      <c r="AP743" s="243"/>
      <c r="AQ743" s="1024"/>
      <c r="AR743" s="357"/>
      <c r="AS743" s="163"/>
      <c r="AT743" s="163"/>
      <c r="AU743" s="163"/>
      <c r="AV743" s="321"/>
    </row>
    <row r="744" spans="1:48" ht="12.75" x14ac:dyDescent="0.2">
      <c r="A744" s="243"/>
      <c r="B744" s="243"/>
      <c r="C744" s="1024"/>
      <c r="D744" s="1024"/>
      <c r="E744" s="1025"/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  <c r="AA744" s="243"/>
      <c r="AB744" s="243"/>
      <c r="AC744" s="243"/>
      <c r="AD744" s="243"/>
      <c r="AE744" s="243"/>
      <c r="AF744" s="243"/>
      <c r="AG744" s="243"/>
      <c r="AH744" s="243"/>
      <c r="AI744" s="243"/>
      <c r="AJ744" s="243"/>
      <c r="AK744" s="243"/>
      <c r="AL744" s="243"/>
      <c r="AM744" s="243"/>
      <c r="AN744" s="243"/>
      <c r="AO744" s="243"/>
      <c r="AP744" s="243"/>
      <c r="AQ744" s="1024"/>
      <c r="AR744" s="357"/>
      <c r="AS744" s="163"/>
      <c r="AT744" s="163"/>
      <c r="AU744" s="163"/>
      <c r="AV744" s="321"/>
    </row>
    <row r="745" spans="1:48" ht="12.75" x14ac:dyDescent="0.2">
      <c r="A745" s="243"/>
      <c r="B745" s="243"/>
      <c r="C745" s="1024"/>
      <c r="D745" s="1024"/>
      <c r="E745" s="1025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  <c r="AH745" s="243"/>
      <c r="AI745" s="243"/>
      <c r="AJ745" s="243"/>
      <c r="AK745" s="243"/>
      <c r="AL745" s="243"/>
      <c r="AM745" s="243"/>
      <c r="AN745" s="243"/>
      <c r="AO745" s="243"/>
      <c r="AP745" s="243"/>
      <c r="AQ745" s="1024"/>
      <c r="AR745" s="357"/>
      <c r="AS745" s="163"/>
      <c r="AT745" s="163"/>
      <c r="AU745" s="163"/>
      <c r="AV745" s="321"/>
    </row>
    <row r="746" spans="1:48" ht="12.75" x14ac:dyDescent="0.2">
      <c r="A746" s="243"/>
      <c r="B746" s="243"/>
      <c r="C746" s="1024"/>
      <c r="D746" s="1024"/>
      <c r="E746" s="1025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  <c r="AH746" s="243"/>
      <c r="AI746" s="243"/>
      <c r="AJ746" s="243"/>
      <c r="AK746" s="243"/>
      <c r="AL746" s="243"/>
      <c r="AM746" s="243"/>
      <c r="AN746" s="243"/>
      <c r="AO746" s="243"/>
      <c r="AP746" s="243"/>
      <c r="AQ746" s="1024"/>
      <c r="AR746" s="357"/>
      <c r="AS746" s="163"/>
      <c r="AT746" s="163"/>
      <c r="AU746" s="163"/>
      <c r="AV746" s="321"/>
    </row>
    <row r="747" spans="1:48" ht="12.75" x14ac:dyDescent="0.2">
      <c r="A747" s="243"/>
      <c r="B747" s="243"/>
      <c r="C747" s="1024"/>
      <c r="D747" s="1024"/>
      <c r="E747" s="1025"/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  <c r="AH747" s="243"/>
      <c r="AI747" s="243"/>
      <c r="AJ747" s="243"/>
      <c r="AK747" s="243"/>
      <c r="AL747" s="243"/>
      <c r="AM747" s="243"/>
      <c r="AN747" s="243"/>
      <c r="AO747" s="243"/>
      <c r="AP747" s="243"/>
      <c r="AQ747" s="1024"/>
      <c r="AR747" s="357"/>
      <c r="AS747" s="163"/>
      <c r="AT747" s="163"/>
      <c r="AU747" s="163"/>
      <c r="AV747" s="321"/>
    </row>
    <row r="748" spans="1:48" ht="12.75" x14ac:dyDescent="0.2">
      <c r="A748" s="243"/>
      <c r="B748" s="243"/>
      <c r="C748" s="1024"/>
      <c r="D748" s="1024"/>
      <c r="E748" s="1025"/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  <c r="AA748" s="243"/>
      <c r="AB748" s="243"/>
      <c r="AC748" s="243"/>
      <c r="AD748" s="243"/>
      <c r="AE748" s="243"/>
      <c r="AF748" s="243"/>
      <c r="AG748" s="243"/>
      <c r="AH748" s="243"/>
      <c r="AI748" s="243"/>
      <c r="AJ748" s="243"/>
      <c r="AK748" s="243"/>
      <c r="AL748" s="243"/>
      <c r="AM748" s="243"/>
      <c r="AN748" s="243"/>
      <c r="AO748" s="243"/>
      <c r="AP748" s="243"/>
      <c r="AQ748" s="1024"/>
      <c r="AR748" s="357"/>
      <c r="AS748" s="163"/>
      <c r="AT748" s="163"/>
      <c r="AU748" s="163"/>
      <c r="AV748" s="321"/>
    </row>
    <row r="749" spans="1:48" ht="12.75" x14ac:dyDescent="0.2">
      <c r="A749" s="243"/>
      <c r="B749" s="243"/>
      <c r="C749" s="1024"/>
      <c r="D749" s="1024"/>
      <c r="E749" s="1025"/>
      <c r="F749" s="243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3"/>
      <c r="Z749" s="243"/>
      <c r="AA749" s="243"/>
      <c r="AB749" s="243"/>
      <c r="AC749" s="243"/>
      <c r="AD749" s="243"/>
      <c r="AE749" s="243"/>
      <c r="AF749" s="243"/>
      <c r="AG749" s="243"/>
      <c r="AH749" s="243"/>
      <c r="AI749" s="243"/>
      <c r="AJ749" s="243"/>
      <c r="AK749" s="243"/>
      <c r="AL749" s="243"/>
      <c r="AM749" s="243"/>
      <c r="AN749" s="243"/>
      <c r="AO749" s="243"/>
      <c r="AP749" s="243"/>
      <c r="AQ749" s="1024"/>
      <c r="AR749" s="357"/>
      <c r="AS749" s="163"/>
      <c r="AT749" s="163"/>
      <c r="AU749" s="163"/>
      <c r="AV749" s="321"/>
    </row>
    <row r="750" spans="1:48" ht="12.75" x14ac:dyDescent="0.2">
      <c r="A750" s="243"/>
      <c r="B750" s="243"/>
      <c r="C750" s="1024"/>
      <c r="D750" s="1024"/>
      <c r="E750" s="1025"/>
      <c r="F750" s="243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3"/>
      <c r="Z750" s="243"/>
      <c r="AA750" s="243"/>
      <c r="AB750" s="243"/>
      <c r="AC750" s="243"/>
      <c r="AD750" s="243"/>
      <c r="AE750" s="243"/>
      <c r="AF750" s="243"/>
      <c r="AG750" s="243"/>
      <c r="AH750" s="243"/>
      <c r="AI750" s="243"/>
      <c r="AJ750" s="243"/>
      <c r="AK750" s="243"/>
      <c r="AL750" s="243"/>
      <c r="AM750" s="243"/>
      <c r="AN750" s="243"/>
      <c r="AO750" s="243"/>
      <c r="AP750" s="243"/>
      <c r="AQ750" s="1024"/>
      <c r="AR750" s="357"/>
      <c r="AS750" s="163"/>
      <c r="AT750" s="163"/>
      <c r="AU750" s="163"/>
      <c r="AV750" s="321"/>
    </row>
    <row r="751" spans="1:48" ht="12.75" x14ac:dyDescent="0.2">
      <c r="A751" s="243"/>
      <c r="B751" s="243"/>
      <c r="C751" s="1024"/>
      <c r="D751" s="1024"/>
      <c r="E751" s="1025"/>
      <c r="F751" s="243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3"/>
      <c r="Z751" s="243"/>
      <c r="AA751" s="243"/>
      <c r="AB751" s="243"/>
      <c r="AC751" s="243"/>
      <c r="AD751" s="243"/>
      <c r="AE751" s="243"/>
      <c r="AF751" s="243"/>
      <c r="AG751" s="243"/>
      <c r="AH751" s="243"/>
      <c r="AI751" s="243"/>
      <c r="AJ751" s="243"/>
      <c r="AK751" s="243"/>
      <c r="AL751" s="243"/>
      <c r="AM751" s="243"/>
      <c r="AN751" s="243"/>
      <c r="AO751" s="243"/>
      <c r="AP751" s="243"/>
      <c r="AQ751" s="1024"/>
      <c r="AR751" s="357"/>
      <c r="AS751" s="163"/>
      <c r="AT751" s="163"/>
      <c r="AU751" s="163"/>
      <c r="AV751" s="321"/>
    </row>
    <row r="752" spans="1:48" ht="12.75" x14ac:dyDescent="0.2">
      <c r="A752" s="243"/>
      <c r="B752" s="243"/>
      <c r="C752" s="1024"/>
      <c r="D752" s="1024"/>
      <c r="E752" s="1025"/>
      <c r="F752" s="243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3"/>
      <c r="Z752" s="243"/>
      <c r="AA752" s="243"/>
      <c r="AB752" s="243"/>
      <c r="AC752" s="243"/>
      <c r="AD752" s="243"/>
      <c r="AE752" s="243"/>
      <c r="AF752" s="243"/>
      <c r="AG752" s="243"/>
      <c r="AH752" s="243"/>
      <c r="AI752" s="243"/>
      <c r="AJ752" s="243"/>
      <c r="AK752" s="243"/>
      <c r="AL752" s="243"/>
      <c r="AM752" s="243"/>
      <c r="AN752" s="243"/>
      <c r="AO752" s="243"/>
      <c r="AP752" s="243"/>
      <c r="AQ752" s="1024"/>
      <c r="AR752" s="357"/>
      <c r="AS752" s="163"/>
      <c r="AT752" s="163"/>
      <c r="AU752" s="163"/>
      <c r="AV752" s="321"/>
    </row>
    <row r="753" spans="1:48" ht="12.75" x14ac:dyDescent="0.2">
      <c r="A753" s="243"/>
      <c r="B753" s="243"/>
      <c r="C753" s="1024"/>
      <c r="D753" s="1024"/>
      <c r="E753" s="1025"/>
      <c r="F753" s="243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3"/>
      <c r="Z753" s="243"/>
      <c r="AA753" s="243"/>
      <c r="AB753" s="243"/>
      <c r="AC753" s="243"/>
      <c r="AD753" s="243"/>
      <c r="AE753" s="243"/>
      <c r="AF753" s="243"/>
      <c r="AG753" s="243"/>
      <c r="AH753" s="243"/>
      <c r="AI753" s="243"/>
      <c r="AJ753" s="243"/>
      <c r="AK753" s="243"/>
      <c r="AL753" s="243"/>
      <c r="AM753" s="243"/>
      <c r="AN753" s="243"/>
      <c r="AO753" s="243"/>
      <c r="AP753" s="243"/>
      <c r="AQ753" s="1024"/>
      <c r="AR753" s="357"/>
      <c r="AS753" s="163"/>
      <c r="AT753" s="163"/>
      <c r="AU753" s="163"/>
      <c r="AV753" s="321"/>
    </row>
    <row r="754" spans="1:48" ht="12.75" x14ac:dyDescent="0.2">
      <c r="A754" s="243"/>
      <c r="B754" s="243"/>
      <c r="C754" s="1024"/>
      <c r="D754" s="1024"/>
      <c r="E754" s="1025"/>
      <c r="F754" s="243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3"/>
      <c r="Z754" s="243"/>
      <c r="AA754" s="243"/>
      <c r="AB754" s="243"/>
      <c r="AC754" s="243"/>
      <c r="AD754" s="243"/>
      <c r="AE754" s="243"/>
      <c r="AF754" s="243"/>
      <c r="AG754" s="243"/>
      <c r="AH754" s="243"/>
      <c r="AI754" s="243"/>
      <c r="AJ754" s="243"/>
      <c r="AK754" s="243"/>
      <c r="AL754" s="243"/>
      <c r="AM754" s="243"/>
      <c r="AN754" s="243"/>
      <c r="AO754" s="243"/>
      <c r="AP754" s="243"/>
      <c r="AQ754" s="1024"/>
      <c r="AR754" s="357"/>
      <c r="AS754" s="163"/>
      <c r="AT754" s="163"/>
      <c r="AU754" s="163"/>
      <c r="AV754" s="321"/>
    </row>
    <row r="755" spans="1:48" ht="12.75" x14ac:dyDescent="0.2">
      <c r="A755" s="243"/>
      <c r="B755" s="243"/>
      <c r="C755" s="1024"/>
      <c r="D755" s="1024"/>
      <c r="E755" s="1025"/>
      <c r="F755" s="243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3"/>
      <c r="Z755" s="243"/>
      <c r="AA755" s="243"/>
      <c r="AB755" s="243"/>
      <c r="AC755" s="243"/>
      <c r="AD755" s="243"/>
      <c r="AE755" s="243"/>
      <c r="AF755" s="243"/>
      <c r="AG755" s="243"/>
      <c r="AH755" s="243"/>
      <c r="AI755" s="243"/>
      <c r="AJ755" s="243"/>
      <c r="AK755" s="243"/>
      <c r="AL755" s="243"/>
      <c r="AM755" s="243"/>
      <c r="AN755" s="243"/>
      <c r="AO755" s="243"/>
      <c r="AP755" s="243"/>
      <c r="AQ755" s="1024"/>
      <c r="AR755" s="357"/>
      <c r="AS755" s="163"/>
      <c r="AT755" s="163"/>
      <c r="AU755" s="163"/>
      <c r="AV755" s="321"/>
    </row>
    <row r="756" spans="1:48" ht="12.75" x14ac:dyDescent="0.2">
      <c r="A756" s="243"/>
      <c r="B756" s="243"/>
      <c r="C756" s="1024"/>
      <c r="D756" s="1024"/>
      <c r="E756" s="1025"/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  <c r="AA756" s="243"/>
      <c r="AB756" s="243"/>
      <c r="AC756" s="243"/>
      <c r="AD756" s="243"/>
      <c r="AE756" s="243"/>
      <c r="AF756" s="243"/>
      <c r="AG756" s="243"/>
      <c r="AH756" s="243"/>
      <c r="AI756" s="243"/>
      <c r="AJ756" s="243"/>
      <c r="AK756" s="243"/>
      <c r="AL756" s="243"/>
      <c r="AM756" s="243"/>
      <c r="AN756" s="243"/>
      <c r="AO756" s="243"/>
      <c r="AP756" s="243"/>
      <c r="AQ756" s="1024"/>
      <c r="AR756" s="357"/>
      <c r="AS756" s="163"/>
      <c r="AT756" s="163"/>
      <c r="AU756" s="163"/>
      <c r="AV756" s="321"/>
    </row>
    <row r="757" spans="1:48" ht="12.75" x14ac:dyDescent="0.2">
      <c r="A757" s="243"/>
      <c r="B757" s="243"/>
      <c r="C757" s="1024"/>
      <c r="D757" s="1024"/>
      <c r="E757" s="1025"/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  <c r="AH757" s="243"/>
      <c r="AI757" s="243"/>
      <c r="AJ757" s="243"/>
      <c r="AK757" s="243"/>
      <c r="AL757" s="243"/>
      <c r="AM757" s="243"/>
      <c r="AN757" s="243"/>
      <c r="AO757" s="243"/>
      <c r="AP757" s="243"/>
      <c r="AQ757" s="1024"/>
      <c r="AR757" s="357"/>
      <c r="AS757" s="163"/>
      <c r="AT757" s="163"/>
      <c r="AU757" s="163"/>
      <c r="AV757" s="321"/>
    </row>
    <row r="758" spans="1:48" ht="12.75" x14ac:dyDescent="0.2">
      <c r="A758" s="243"/>
      <c r="B758" s="243"/>
      <c r="C758" s="1024"/>
      <c r="D758" s="1024"/>
      <c r="E758" s="1025"/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  <c r="AA758" s="243"/>
      <c r="AB758" s="243"/>
      <c r="AC758" s="243"/>
      <c r="AD758" s="243"/>
      <c r="AE758" s="243"/>
      <c r="AF758" s="243"/>
      <c r="AG758" s="243"/>
      <c r="AH758" s="243"/>
      <c r="AI758" s="243"/>
      <c r="AJ758" s="243"/>
      <c r="AK758" s="243"/>
      <c r="AL758" s="243"/>
      <c r="AM758" s="243"/>
      <c r="AN758" s="243"/>
      <c r="AO758" s="243"/>
      <c r="AP758" s="243"/>
      <c r="AQ758" s="1024"/>
      <c r="AR758" s="357"/>
      <c r="AS758" s="163"/>
      <c r="AT758" s="163"/>
      <c r="AU758" s="163"/>
      <c r="AV758" s="321"/>
    </row>
    <row r="759" spans="1:48" ht="12.75" x14ac:dyDescent="0.2">
      <c r="A759" s="243"/>
      <c r="B759" s="243"/>
      <c r="C759" s="1024"/>
      <c r="D759" s="1024"/>
      <c r="E759" s="1025"/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  <c r="AA759" s="243"/>
      <c r="AB759" s="243"/>
      <c r="AC759" s="243"/>
      <c r="AD759" s="243"/>
      <c r="AE759" s="243"/>
      <c r="AF759" s="243"/>
      <c r="AG759" s="243"/>
      <c r="AH759" s="243"/>
      <c r="AI759" s="243"/>
      <c r="AJ759" s="243"/>
      <c r="AK759" s="243"/>
      <c r="AL759" s="243"/>
      <c r="AM759" s="243"/>
      <c r="AN759" s="243"/>
      <c r="AO759" s="243"/>
      <c r="AP759" s="243"/>
      <c r="AQ759" s="1024"/>
      <c r="AR759" s="357"/>
      <c r="AS759" s="163"/>
      <c r="AT759" s="163"/>
      <c r="AU759" s="163"/>
      <c r="AV759" s="321"/>
    </row>
    <row r="760" spans="1:48" ht="12.75" x14ac:dyDescent="0.2">
      <c r="A760" s="243"/>
      <c r="B760" s="243"/>
      <c r="C760" s="1024"/>
      <c r="D760" s="1024"/>
      <c r="E760" s="1025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  <c r="AA760" s="243"/>
      <c r="AB760" s="243"/>
      <c r="AC760" s="243"/>
      <c r="AD760" s="243"/>
      <c r="AE760" s="243"/>
      <c r="AF760" s="243"/>
      <c r="AG760" s="243"/>
      <c r="AH760" s="243"/>
      <c r="AI760" s="243"/>
      <c r="AJ760" s="243"/>
      <c r="AK760" s="243"/>
      <c r="AL760" s="243"/>
      <c r="AM760" s="243"/>
      <c r="AN760" s="243"/>
      <c r="AO760" s="243"/>
      <c r="AP760" s="243"/>
      <c r="AQ760" s="1024"/>
      <c r="AR760" s="357"/>
      <c r="AS760" s="163"/>
      <c r="AT760" s="163"/>
      <c r="AU760" s="163"/>
      <c r="AV760" s="321"/>
    </row>
    <row r="761" spans="1:48" ht="12.75" x14ac:dyDescent="0.2">
      <c r="A761" s="243"/>
      <c r="B761" s="243"/>
      <c r="C761" s="1024"/>
      <c r="D761" s="1024"/>
      <c r="E761" s="1025"/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  <c r="AA761" s="243"/>
      <c r="AB761" s="243"/>
      <c r="AC761" s="243"/>
      <c r="AD761" s="243"/>
      <c r="AE761" s="243"/>
      <c r="AF761" s="243"/>
      <c r="AG761" s="243"/>
      <c r="AH761" s="243"/>
      <c r="AI761" s="243"/>
      <c r="AJ761" s="243"/>
      <c r="AK761" s="243"/>
      <c r="AL761" s="243"/>
      <c r="AM761" s="243"/>
      <c r="AN761" s="243"/>
      <c r="AO761" s="243"/>
      <c r="AP761" s="243"/>
      <c r="AQ761" s="1024"/>
      <c r="AR761" s="357"/>
      <c r="AS761" s="163"/>
      <c r="AT761" s="163"/>
      <c r="AU761" s="163"/>
      <c r="AV761" s="321"/>
    </row>
    <row r="762" spans="1:48" ht="12.75" x14ac:dyDescent="0.2">
      <c r="A762" s="243"/>
      <c r="B762" s="243"/>
      <c r="C762" s="1024"/>
      <c r="D762" s="1024"/>
      <c r="E762" s="1025"/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  <c r="AA762" s="243"/>
      <c r="AB762" s="243"/>
      <c r="AC762" s="243"/>
      <c r="AD762" s="243"/>
      <c r="AE762" s="243"/>
      <c r="AF762" s="243"/>
      <c r="AG762" s="243"/>
      <c r="AH762" s="243"/>
      <c r="AI762" s="243"/>
      <c r="AJ762" s="243"/>
      <c r="AK762" s="243"/>
      <c r="AL762" s="243"/>
      <c r="AM762" s="243"/>
      <c r="AN762" s="243"/>
      <c r="AO762" s="243"/>
      <c r="AP762" s="243"/>
      <c r="AQ762" s="1024"/>
      <c r="AR762" s="357"/>
      <c r="AS762" s="163"/>
      <c r="AT762" s="163"/>
      <c r="AU762" s="163"/>
      <c r="AV762" s="321"/>
    </row>
    <row r="763" spans="1:48" ht="12.75" x14ac:dyDescent="0.2">
      <c r="A763" s="243"/>
      <c r="B763" s="243"/>
      <c r="C763" s="1024"/>
      <c r="D763" s="1024"/>
      <c r="E763" s="1025"/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  <c r="AA763" s="243"/>
      <c r="AB763" s="243"/>
      <c r="AC763" s="243"/>
      <c r="AD763" s="243"/>
      <c r="AE763" s="243"/>
      <c r="AF763" s="243"/>
      <c r="AG763" s="243"/>
      <c r="AH763" s="243"/>
      <c r="AI763" s="243"/>
      <c r="AJ763" s="243"/>
      <c r="AK763" s="243"/>
      <c r="AL763" s="243"/>
      <c r="AM763" s="243"/>
      <c r="AN763" s="243"/>
      <c r="AO763" s="243"/>
      <c r="AP763" s="243"/>
      <c r="AQ763" s="1024"/>
      <c r="AR763" s="357"/>
      <c r="AS763" s="163"/>
      <c r="AT763" s="163"/>
      <c r="AU763" s="163"/>
      <c r="AV763" s="321"/>
    </row>
    <row r="764" spans="1:48" ht="12.75" x14ac:dyDescent="0.2">
      <c r="A764" s="243"/>
      <c r="B764" s="243"/>
      <c r="C764" s="1024"/>
      <c r="D764" s="1024"/>
      <c r="E764" s="1025"/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3"/>
      <c r="AI764" s="243"/>
      <c r="AJ764" s="243"/>
      <c r="AK764" s="243"/>
      <c r="AL764" s="243"/>
      <c r="AM764" s="243"/>
      <c r="AN764" s="243"/>
      <c r="AO764" s="243"/>
      <c r="AP764" s="243"/>
      <c r="AQ764" s="1024"/>
      <c r="AR764" s="357"/>
      <c r="AS764" s="163"/>
      <c r="AT764" s="163"/>
      <c r="AU764" s="163"/>
      <c r="AV764" s="321"/>
    </row>
    <row r="765" spans="1:48" ht="12.75" x14ac:dyDescent="0.2">
      <c r="A765" s="243"/>
      <c r="B765" s="243"/>
      <c r="C765" s="1024"/>
      <c r="D765" s="1024"/>
      <c r="E765" s="1025"/>
      <c r="F765" s="243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3"/>
      <c r="Z765" s="243"/>
      <c r="AA765" s="243"/>
      <c r="AB765" s="243"/>
      <c r="AC765" s="243"/>
      <c r="AD765" s="243"/>
      <c r="AE765" s="243"/>
      <c r="AF765" s="243"/>
      <c r="AG765" s="243"/>
      <c r="AH765" s="243"/>
      <c r="AI765" s="243"/>
      <c r="AJ765" s="243"/>
      <c r="AK765" s="243"/>
      <c r="AL765" s="243"/>
      <c r="AM765" s="243"/>
      <c r="AN765" s="243"/>
      <c r="AO765" s="243"/>
      <c r="AP765" s="243"/>
      <c r="AQ765" s="1024"/>
      <c r="AR765" s="357"/>
      <c r="AS765" s="163"/>
      <c r="AT765" s="163"/>
      <c r="AU765" s="163"/>
      <c r="AV765" s="321"/>
    </row>
    <row r="766" spans="1:48" ht="12.75" x14ac:dyDescent="0.2">
      <c r="A766" s="243"/>
      <c r="B766" s="243"/>
      <c r="C766" s="1024"/>
      <c r="D766" s="1024"/>
      <c r="E766" s="1025"/>
      <c r="F766" s="243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3"/>
      <c r="Z766" s="243"/>
      <c r="AA766" s="243"/>
      <c r="AB766" s="243"/>
      <c r="AC766" s="243"/>
      <c r="AD766" s="243"/>
      <c r="AE766" s="243"/>
      <c r="AF766" s="243"/>
      <c r="AG766" s="243"/>
      <c r="AH766" s="243"/>
      <c r="AI766" s="243"/>
      <c r="AJ766" s="243"/>
      <c r="AK766" s="243"/>
      <c r="AL766" s="243"/>
      <c r="AM766" s="243"/>
      <c r="AN766" s="243"/>
      <c r="AO766" s="243"/>
      <c r="AP766" s="243"/>
      <c r="AQ766" s="1024"/>
      <c r="AR766" s="357"/>
      <c r="AS766" s="163"/>
      <c r="AT766" s="163"/>
      <c r="AU766" s="163"/>
      <c r="AV766" s="321"/>
    </row>
    <row r="767" spans="1:48" ht="12.75" x14ac:dyDescent="0.2">
      <c r="A767" s="243"/>
      <c r="B767" s="243"/>
      <c r="C767" s="1024"/>
      <c r="D767" s="1024"/>
      <c r="E767" s="1025"/>
      <c r="F767" s="243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3"/>
      <c r="Z767" s="243"/>
      <c r="AA767" s="243"/>
      <c r="AB767" s="243"/>
      <c r="AC767" s="243"/>
      <c r="AD767" s="243"/>
      <c r="AE767" s="243"/>
      <c r="AF767" s="243"/>
      <c r="AG767" s="243"/>
      <c r="AH767" s="243"/>
      <c r="AI767" s="243"/>
      <c r="AJ767" s="243"/>
      <c r="AK767" s="243"/>
      <c r="AL767" s="243"/>
      <c r="AM767" s="243"/>
      <c r="AN767" s="243"/>
      <c r="AO767" s="243"/>
      <c r="AP767" s="243"/>
      <c r="AQ767" s="1024"/>
      <c r="AR767" s="357"/>
      <c r="AS767" s="163"/>
      <c r="AT767" s="163"/>
      <c r="AU767" s="163"/>
      <c r="AV767" s="321"/>
    </row>
    <row r="768" spans="1:48" ht="12.75" x14ac:dyDescent="0.2">
      <c r="A768" s="243"/>
      <c r="B768" s="243"/>
      <c r="C768" s="1024"/>
      <c r="D768" s="1024"/>
      <c r="E768" s="1025"/>
      <c r="F768" s="243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3"/>
      <c r="Z768" s="243"/>
      <c r="AA768" s="243"/>
      <c r="AB768" s="243"/>
      <c r="AC768" s="243"/>
      <c r="AD768" s="243"/>
      <c r="AE768" s="243"/>
      <c r="AF768" s="243"/>
      <c r="AG768" s="243"/>
      <c r="AH768" s="243"/>
      <c r="AI768" s="243"/>
      <c r="AJ768" s="243"/>
      <c r="AK768" s="243"/>
      <c r="AL768" s="243"/>
      <c r="AM768" s="243"/>
      <c r="AN768" s="243"/>
      <c r="AO768" s="243"/>
      <c r="AP768" s="243"/>
      <c r="AQ768" s="1024"/>
      <c r="AR768" s="357"/>
      <c r="AS768" s="163"/>
      <c r="AT768" s="163"/>
      <c r="AU768" s="163"/>
      <c r="AV768" s="321"/>
    </row>
    <row r="769" spans="1:48" ht="12.75" x14ac:dyDescent="0.2">
      <c r="A769" s="243"/>
      <c r="B769" s="243"/>
      <c r="C769" s="1024"/>
      <c r="D769" s="1024"/>
      <c r="E769" s="1025"/>
      <c r="F769" s="243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3"/>
      <c r="Z769" s="243"/>
      <c r="AA769" s="243"/>
      <c r="AB769" s="243"/>
      <c r="AC769" s="243"/>
      <c r="AD769" s="243"/>
      <c r="AE769" s="243"/>
      <c r="AF769" s="243"/>
      <c r="AG769" s="243"/>
      <c r="AH769" s="243"/>
      <c r="AI769" s="243"/>
      <c r="AJ769" s="243"/>
      <c r="AK769" s="243"/>
      <c r="AL769" s="243"/>
      <c r="AM769" s="243"/>
      <c r="AN769" s="243"/>
      <c r="AO769" s="243"/>
      <c r="AP769" s="243"/>
      <c r="AQ769" s="1024"/>
      <c r="AR769" s="357"/>
      <c r="AS769" s="163"/>
      <c r="AT769" s="163"/>
      <c r="AU769" s="163"/>
      <c r="AV769" s="321"/>
    </row>
    <row r="770" spans="1:48" ht="12.75" x14ac:dyDescent="0.2">
      <c r="A770" s="243"/>
      <c r="B770" s="243"/>
      <c r="C770" s="1024"/>
      <c r="D770" s="1024"/>
      <c r="E770" s="1025"/>
      <c r="F770" s="243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3"/>
      <c r="Z770" s="243"/>
      <c r="AA770" s="243"/>
      <c r="AB770" s="243"/>
      <c r="AC770" s="243"/>
      <c r="AD770" s="243"/>
      <c r="AE770" s="243"/>
      <c r="AF770" s="243"/>
      <c r="AG770" s="243"/>
      <c r="AH770" s="243"/>
      <c r="AI770" s="243"/>
      <c r="AJ770" s="243"/>
      <c r="AK770" s="243"/>
      <c r="AL770" s="243"/>
      <c r="AM770" s="243"/>
      <c r="AN770" s="243"/>
      <c r="AO770" s="243"/>
      <c r="AP770" s="243"/>
      <c r="AQ770" s="1024"/>
      <c r="AR770" s="357"/>
      <c r="AS770" s="163"/>
      <c r="AT770" s="163"/>
      <c r="AU770" s="163"/>
      <c r="AV770" s="321"/>
    </row>
    <row r="771" spans="1:48" ht="12.75" x14ac:dyDescent="0.2">
      <c r="A771" s="243"/>
      <c r="B771" s="243"/>
      <c r="C771" s="1024"/>
      <c r="D771" s="1024"/>
      <c r="E771" s="1025"/>
      <c r="F771" s="243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3"/>
      <c r="Z771" s="243"/>
      <c r="AA771" s="243"/>
      <c r="AB771" s="243"/>
      <c r="AC771" s="243"/>
      <c r="AD771" s="243"/>
      <c r="AE771" s="243"/>
      <c r="AF771" s="243"/>
      <c r="AG771" s="243"/>
      <c r="AH771" s="243"/>
      <c r="AI771" s="243"/>
      <c r="AJ771" s="243"/>
      <c r="AK771" s="243"/>
      <c r="AL771" s="243"/>
      <c r="AM771" s="243"/>
      <c r="AN771" s="243"/>
      <c r="AO771" s="243"/>
      <c r="AP771" s="243"/>
      <c r="AQ771" s="1024"/>
      <c r="AR771" s="357"/>
      <c r="AS771" s="163"/>
      <c r="AT771" s="163"/>
      <c r="AU771" s="163"/>
      <c r="AV771" s="321"/>
    </row>
    <row r="772" spans="1:48" ht="12.75" x14ac:dyDescent="0.2">
      <c r="A772" s="243"/>
      <c r="B772" s="243"/>
      <c r="C772" s="1024"/>
      <c r="D772" s="1024"/>
      <c r="E772" s="1025"/>
      <c r="F772" s="243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3"/>
      <c r="Z772" s="243"/>
      <c r="AA772" s="243"/>
      <c r="AB772" s="243"/>
      <c r="AC772" s="243"/>
      <c r="AD772" s="243"/>
      <c r="AE772" s="243"/>
      <c r="AF772" s="243"/>
      <c r="AG772" s="243"/>
      <c r="AH772" s="243"/>
      <c r="AI772" s="243"/>
      <c r="AJ772" s="243"/>
      <c r="AK772" s="243"/>
      <c r="AL772" s="243"/>
      <c r="AM772" s="243"/>
      <c r="AN772" s="243"/>
      <c r="AO772" s="243"/>
      <c r="AP772" s="243"/>
      <c r="AQ772" s="1024"/>
      <c r="AR772" s="357"/>
      <c r="AS772" s="163"/>
      <c r="AT772" s="163"/>
      <c r="AU772" s="163"/>
      <c r="AV772" s="321"/>
    </row>
    <row r="773" spans="1:48" ht="12.75" x14ac:dyDescent="0.2">
      <c r="A773" s="243"/>
      <c r="B773" s="243"/>
      <c r="C773" s="1024"/>
      <c r="D773" s="1024"/>
      <c r="E773" s="1025"/>
      <c r="F773" s="243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3"/>
      <c r="Z773" s="243"/>
      <c r="AA773" s="243"/>
      <c r="AB773" s="243"/>
      <c r="AC773" s="243"/>
      <c r="AD773" s="243"/>
      <c r="AE773" s="243"/>
      <c r="AF773" s="243"/>
      <c r="AG773" s="243"/>
      <c r="AH773" s="243"/>
      <c r="AI773" s="243"/>
      <c r="AJ773" s="243"/>
      <c r="AK773" s="243"/>
      <c r="AL773" s="243"/>
      <c r="AM773" s="243"/>
      <c r="AN773" s="243"/>
      <c r="AO773" s="243"/>
      <c r="AP773" s="243"/>
      <c r="AQ773" s="1024"/>
      <c r="AR773" s="357"/>
      <c r="AS773" s="163"/>
      <c r="AT773" s="163"/>
      <c r="AU773" s="163"/>
      <c r="AV773" s="321"/>
    </row>
    <row r="774" spans="1:48" ht="12.75" x14ac:dyDescent="0.2">
      <c r="A774" s="243"/>
      <c r="B774" s="243"/>
      <c r="C774" s="1024"/>
      <c r="D774" s="1024"/>
      <c r="E774" s="1025"/>
      <c r="F774" s="243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3"/>
      <c r="Z774" s="243"/>
      <c r="AA774" s="243"/>
      <c r="AB774" s="243"/>
      <c r="AC774" s="243"/>
      <c r="AD774" s="243"/>
      <c r="AE774" s="243"/>
      <c r="AF774" s="243"/>
      <c r="AG774" s="243"/>
      <c r="AH774" s="243"/>
      <c r="AI774" s="243"/>
      <c r="AJ774" s="243"/>
      <c r="AK774" s="243"/>
      <c r="AL774" s="243"/>
      <c r="AM774" s="243"/>
      <c r="AN774" s="243"/>
      <c r="AO774" s="243"/>
      <c r="AP774" s="243"/>
      <c r="AQ774" s="1024"/>
      <c r="AR774" s="357"/>
      <c r="AS774" s="163"/>
      <c r="AT774" s="163"/>
      <c r="AU774" s="163"/>
      <c r="AV774" s="321"/>
    </row>
    <row r="775" spans="1:48" ht="12.75" x14ac:dyDescent="0.2">
      <c r="A775" s="243"/>
      <c r="B775" s="243"/>
      <c r="C775" s="1024"/>
      <c r="D775" s="1024"/>
      <c r="E775" s="1025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3"/>
      <c r="AI775" s="243"/>
      <c r="AJ775" s="243"/>
      <c r="AK775" s="243"/>
      <c r="AL775" s="243"/>
      <c r="AM775" s="243"/>
      <c r="AN775" s="243"/>
      <c r="AO775" s="243"/>
      <c r="AP775" s="243"/>
      <c r="AQ775" s="1024"/>
      <c r="AR775" s="357"/>
      <c r="AS775" s="163"/>
      <c r="AT775" s="163"/>
      <c r="AU775" s="163"/>
      <c r="AV775" s="321"/>
    </row>
    <row r="776" spans="1:48" ht="12.75" x14ac:dyDescent="0.2">
      <c r="A776" s="243"/>
      <c r="B776" s="243"/>
      <c r="C776" s="1024"/>
      <c r="D776" s="1024"/>
      <c r="E776" s="1025"/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3"/>
      <c r="AI776" s="243"/>
      <c r="AJ776" s="243"/>
      <c r="AK776" s="243"/>
      <c r="AL776" s="243"/>
      <c r="AM776" s="243"/>
      <c r="AN776" s="243"/>
      <c r="AO776" s="243"/>
      <c r="AP776" s="243"/>
      <c r="AQ776" s="1024"/>
      <c r="AR776" s="357"/>
      <c r="AS776" s="163"/>
      <c r="AT776" s="163"/>
      <c r="AU776" s="163"/>
      <c r="AV776" s="321"/>
    </row>
    <row r="777" spans="1:48" ht="12.75" x14ac:dyDescent="0.2">
      <c r="A777" s="243"/>
      <c r="B777" s="243"/>
      <c r="C777" s="1024"/>
      <c r="D777" s="1024"/>
      <c r="E777" s="1025"/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3"/>
      <c r="AI777" s="243"/>
      <c r="AJ777" s="243"/>
      <c r="AK777" s="243"/>
      <c r="AL777" s="243"/>
      <c r="AM777" s="243"/>
      <c r="AN777" s="243"/>
      <c r="AO777" s="243"/>
      <c r="AP777" s="243"/>
      <c r="AQ777" s="1024"/>
      <c r="AR777" s="357"/>
      <c r="AS777" s="163"/>
      <c r="AT777" s="163"/>
      <c r="AU777" s="163"/>
      <c r="AV777" s="321"/>
    </row>
    <row r="778" spans="1:48" ht="12.75" x14ac:dyDescent="0.2">
      <c r="A778" s="243"/>
      <c r="B778" s="243"/>
      <c r="C778" s="1024"/>
      <c r="D778" s="1024"/>
      <c r="E778" s="1025"/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  <c r="AH778" s="243"/>
      <c r="AI778" s="243"/>
      <c r="AJ778" s="243"/>
      <c r="AK778" s="243"/>
      <c r="AL778" s="243"/>
      <c r="AM778" s="243"/>
      <c r="AN778" s="243"/>
      <c r="AO778" s="243"/>
      <c r="AP778" s="243"/>
      <c r="AQ778" s="1024"/>
      <c r="AR778" s="357"/>
      <c r="AS778" s="163"/>
      <c r="AT778" s="163"/>
      <c r="AU778" s="163"/>
      <c r="AV778" s="321"/>
    </row>
    <row r="779" spans="1:48" ht="12.75" x14ac:dyDescent="0.2">
      <c r="A779" s="243"/>
      <c r="B779" s="243"/>
      <c r="C779" s="1024"/>
      <c r="D779" s="1024"/>
      <c r="E779" s="1025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3"/>
      <c r="Z779" s="243"/>
      <c r="AA779" s="243"/>
      <c r="AB779" s="243"/>
      <c r="AC779" s="243"/>
      <c r="AD779" s="243"/>
      <c r="AE779" s="243"/>
      <c r="AF779" s="243"/>
      <c r="AG779" s="243"/>
      <c r="AH779" s="243"/>
      <c r="AI779" s="243"/>
      <c r="AJ779" s="243"/>
      <c r="AK779" s="243"/>
      <c r="AL779" s="243"/>
      <c r="AM779" s="243"/>
      <c r="AN779" s="243"/>
      <c r="AO779" s="243"/>
      <c r="AP779" s="243"/>
      <c r="AQ779" s="1024"/>
      <c r="AR779" s="357"/>
      <c r="AS779" s="163"/>
      <c r="AT779" s="163"/>
      <c r="AU779" s="163"/>
      <c r="AV779" s="321"/>
    </row>
    <row r="780" spans="1:48" ht="12.75" x14ac:dyDescent="0.2">
      <c r="A780" s="243"/>
      <c r="B780" s="243"/>
      <c r="C780" s="1024"/>
      <c r="D780" s="1024"/>
      <c r="E780" s="1025"/>
      <c r="F780" s="243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3"/>
      <c r="Z780" s="243"/>
      <c r="AA780" s="243"/>
      <c r="AB780" s="243"/>
      <c r="AC780" s="243"/>
      <c r="AD780" s="243"/>
      <c r="AE780" s="243"/>
      <c r="AF780" s="243"/>
      <c r="AG780" s="243"/>
      <c r="AH780" s="243"/>
      <c r="AI780" s="243"/>
      <c r="AJ780" s="243"/>
      <c r="AK780" s="243"/>
      <c r="AL780" s="243"/>
      <c r="AM780" s="243"/>
      <c r="AN780" s="243"/>
      <c r="AO780" s="243"/>
      <c r="AP780" s="243"/>
      <c r="AQ780" s="1024"/>
      <c r="AR780" s="357"/>
      <c r="AS780" s="163"/>
      <c r="AT780" s="163"/>
      <c r="AU780" s="163"/>
      <c r="AV780" s="321"/>
    </row>
    <row r="781" spans="1:48" ht="12.75" x14ac:dyDescent="0.2">
      <c r="A781" s="243"/>
      <c r="B781" s="243"/>
      <c r="C781" s="1024"/>
      <c r="D781" s="1024"/>
      <c r="E781" s="1025"/>
      <c r="F781" s="243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3"/>
      <c r="Z781" s="243"/>
      <c r="AA781" s="243"/>
      <c r="AB781" s="243"/>
      <c r="AC781" s="243"/>
      <c r="AD781" s="243"/>
      <c r="AE781" s="243"/>
      <c r="AF781" s="243"/>
      <c r="AG781" s="243"/>
      <c r="AH781" s="243"/>
      <c r="AI781" s="243"/>
      <c r="AJ781" s="243"/>
      <c r="AK781" s="243"/>
      <c r="AL781" s="243"/>
      <c r="AM781" s="243"/>
      <c r="AN781" s="243"/>
      <c r="AO781" s="243"/>
      <c r="AP781" s="243"/>
      <c r="AQ781" s="1024"/>
      <c r="AR781" s="357"/>
      <c r="AS781" s="163"/>
      <c r="AT781" s="163"/>
      <c r="AU781" s="163"/>
      <c r="AV781" s="321"/>
    </row>
    <row r="782" spans="1:48" ht="12.75" x14ac:dyDescent="0.2">
      <c r="A782" s="243"/>
      <c r="B782" s="243"/>
      <c r="C782" s="1024"/>
      <c r="D782" s="1024"/>
      <c r="E782" s="1025"/>
      <c r="F782" s="243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3"/>
      <c r="Z782" s="243"/>
      <c r="AA782" s="243"/>
      <c r="AB782" s="243"/>
      <c r="AC782" s="243"/>
      <c r="AD782" s="243"/>
      <c r="AE782" s="243"/>
      <c r="AF782" s="243"/>
      <c r="AG782" s="243"/>
      <c r="AH782" s="243"/>
      <c r="AI782" s="243"/>
      <c r="AJ782" s="243"/>
      <c r="AK782" s="243"/>
      <c r="AL782" s="243"/>
      <c r="AM782" s="243"/>
      <c r="AN782" s="243"/>
      <c r="AO782" s="243"/>
      <c r="AP782" s="243"/>
      <c r="AQ782" s="1024"/>
      <c r="AR782" s="357"/>
      <c r="AS782" s="163"/>
      <c r="AT782" s="163"/>
      <c r="AU782" s="163"/>
      <c r="AV782" s="321"/>
    </row>
    <row r="783" spans="1:48" ht="12.75" x14ac:dyDescent="0.2">
      <c r="A783" s="243"/>
      <c r="B783" s="243"/>
      <c r="C783" s="1024"/>
      <c r="D783" s="1024"/>
      <c r="E783" s="1025"/>
      <c r="F783" s="243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3"/>
      <c r="Z783" s="243"/>
      <c r="AA783" s="243"/>
      <c r="AB783" s="243"/>
      <c r="AC783" s="243"/>
      <c r="AD783" s="243"/>
      <c r="AE783" s="243"/>
      <c r="AF783" s="243"/>
      <c r="AG783" s="243"/>
      <c r="AH783" s="243"/>
      <c r="AI783" s="243"/>
      <c r="AJ783" s="243"/>
      <c r="AK783" s="243"/>
      <c r="AL783" s="243"/>
      <c r="AM783" s="243"/>
      <c r="AN783" s="243"/>
      <c r="AO783" s="243"/>
      <c r="AP783" s="243"/>
      <c r="AQ783" s="1024"/>
      <c r="AR783" s="357"/>
      <c r="AS783" s="163"/>
      <c r="AT783" s="163"/>
      <c r="AU783" s="163"/>
      <c r="AV783" s="321"/>
    </row>
    <row r="784" spans="1:48" ht="12.75" x14ac:dyDescent="0.2">
      <c r="A784" s="243"/>
      <c r="B784" s="243"/>
      <c r="C784" s="1024"/>
      <c r="D784" s="1024"/>
      <c r="E784" s="1025"/>
      <c r="F784" s="243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3"/>
      <c r="Z784" s="243"/>
      <c r="AA784" s="243"/>
      <c r="AB784" s="243"/>
      <c r="AC784" s="243"/>
      <c r="AD784" s="243"/>
      <c r="AE784" s="243"/>
      <c r="AF784" s="243"/>
      <c r="AG784" s="243"/>
      <c r="AH784" s="243"/>
      <c r="AI784" s="243"/>
      <c r="AJ784" s="243"/>
      <c r="AK784" s="243"/>
      <c r="AL784" s="243"/>
      <c r="AM784" s="243"/>
      <c r="AN784" s="243"/>
      <c r="AO784" s="243"/>
      <c r="AP784" s="243"/>
      <c r="AQ784" s="1024"/>
      <c r="AR784" s="357"/>
      <c r="AS784" s="163"/>
      <c r="AT784" s="163"/>
      <c r="AU784" s="163"/>
      <c r="AV784" s="321"/>
    </row>
    <row r="785" spans="1:48" ht="12.75" x14ac:dyDescent="0.2">
      <c r="A785" s="243"/>
      <c r="B785" s="243"/>
      <c r="C785" s="1024"/>
      <c r="D785" s="1024"/>
      <c r="E785" s="1025"/>
      <c r="F785" s="243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3"/>
      <c r="Z785" s="243"/>
      <c r="AA785" s="243"/>
      <c r="AB785" s="243"/>
      <c r="AC785" s="243"/>
      <c r="AD785" s="243"/>
      <c r="AE785" s="243"/>
      <c r="AF785" s="243"/>
      <c r="AG785" s="243"/>
      <c r="AH785" s="243"/>
      <c r="AI785" s="243"/>
      <c r="AJ785" s="243"/>
      <c r="AK785" s="243"/>
      <c r="AL785" s="243"/>
      <c r="AM785" s="243"/>
      <c r="AN785" s="243"/>
      <c r="AO785" s="243"/>
      <c r="AP785" s="243"/>
      <c r="AQ785" s="1024"/>
      <c r="AR785" s="357"/>
      <c r="AS785" s="163"/>
      <c r="AT785" s="163"/>
      <c r="AU785" s="163"/>
      <c r="AV785" s="321"/>
    </row>
    <row r="786" spans="1:48" ht="12.75" x14ac:dyDescent="0.2">
      <c r="A786" s="243"/>
      <c r="B786" s="243"/>
      <c r="C786" s="1024"/>
      <c r="D786" s="1024"/>
      <c r="E786" s="1025"/>
      <c r="F786" s="243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3"/>
      <c r="Z786" s="243"/>
      <c r="AA786" s="243"/>
      <c r="AB786" s="243"/>
      <c r="AC786" s="243"/>
      <c r="AD786" s="243"/>
      <c r="AE786" s="243"/>
      <c r="AF786" s="243"/>
      <c r="AG786" s="243"/>
      <c r="AH786" s="243"/>
      <c r="AI786" s="243"/>
      <c r="AJ786" s="243"/>
      <c r="AK786" s="243"/>
      <c r="AL786" s="243"/>
      <c r="AM786" s="243"/>
      <c r="AN786" s="243"/>
      <c r="AO786" s="243"/>
      <c r="AP786" s="243"/>
      <c r="AQ786" s="1024"/>
      <c r="AR786" s="357"/>
      <c r="AS786" s="163"/>
      <c r="AT786" s="163"/>
      <c r="AU786" s="163"/>
      <c r="AV786" s="321"/>
    </row>
    <row r="787" spans="1:48" ht="12.75" x14ac:dyDescent="0.2">
      <c r="A787" s="243"/>
      <c r="B787" s="243"/>
      <c r="C787" s="1024"/>
      <c r="D787" s="1024"/>
      <c r="E787" s="1025"/>
      <c r="F787" s="243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3"/>
      <c r="Z787" s="243"/>
      <c r="AA787" s="243"/>
      <c r="AB787" s="243"/>
      <c r="AC787" s="243"/>
      <c r="AD787" s="243"/>
      <c r="AE787" s="243"/>
      <c r="AF787" s="243"/>
      <c r="AG787" s="243"/>
      <c r="AH787" s="243"/>
      <c r="AI787" s="243"/>
      <c r="AJ787" s="243"/>
      <c r="AK787" s="243"/>
      <c r="AL787" s="243"/>
      <c r="AM787" s="243"/>
      <c r="AN787" s="243"/>
      <c r="AO787" s="243"/>
      <c r="AP787" s="243"/>
      <c r="AQ787" s="1024"/>
      <c r="AR787" s="357"/>
      <c r="AS787" s="163"/>
      <c r="AT787" s="163"/>
      <c r="AU787" s="163"/>
      <c r="AV787" s="321"/>
    </row>
    <row r="788" spans="1:48" ht="12.75" x14ac:dyDescent="0.2">
      <c r="A788" s="243"/>
      <c r="B788" s="243"/>
      <c r="C788" s="1024"/>
      <c r="D788" s="1024"/>
      <c r="E788" s="1025"/>
      <c r="F788" s="243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3"/>
      <c r="Z788" s="243"/>
      <c r="AA788" s="243"/>
      <c r="AB788" s="243"/>
      <c r="AC788" s="243"/>
      <c r="AD788" s="243"/>
      <c r="AE788" s="243"/>
      <c r="AF788" s="243"/>
      <c r="AG788" s="243"/>
      <c r="AH788" s="243"/>
      <c r="AI788" s="243"/>
      <c r="AJ788" s="243"/>
      <c r="AK788" s="243"/>
      <c r="AL788" s="243"/>
      <c r="AM788" s="243"/>
      <c r="AN788" s="243"/>
      <c r="AO788" s="243"/>
      <c r="AP788" s="243"/>
      <c r="AQ788" s="1024"/>
      <c r="AR788" s="357"/>
      <c r="AS788" s="163"/>
      <c r="AT788" s="163"/>
      <c r="AU788" s="163"/>
      <c r="AV788" s="321"/>
    </row>
    <row r="789" spans="1:48" ht="12.75" x14ac:dyDescent="0.2">
      <c r="A789" s="243"/>
      <c r="B789" s="243"/>
      <c r="C789" s="1024"/>
      <c r="D789" s="1024"/>
      <c r="E789" s="1025"/>
      <c r="F789" s="243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3"/>
      <c r="Z789" s="243"/>
      <c r="AA789" s="243"/>
      <c r="AB789" s="243"/>
      <c r="AC789" s="243"/>
      <c r="AD789" s="243"/>
      <c r="AE789" s="243"/>
      <c r="AF789" s="243"/>
      <c r="AG789" s="243"/>
      <c r="AH789" s="243"/>
      <c r="AI789" s="243"/>
      <c r="AJ789" s="243"/>
      <c r="AK789" s="243"/>
      <c r="AL789" s="243"/>
      <c r="AM789" s="243"/>
      <c r="AN789" s="243"/>
      <c r="AO789" s="243"/>
      <c r="AP789" s="243"/>
      <c r="AQ789" s="1024"/>
      <c r="AR789" s="357"/>
      <c r="AS789" s="163"/>
      <c r="AT789" s="163"/>
      <c r="AU789" s="163"/>
      <c r="AV789" s="321"/>
    </row>
    <row r="790" spans="1:48" ht="12.75" x14ac:dyDescent="0.2">
      <c r="A790" s="243"/>
      <c r="B790" s="243"/>
      <c r="C790" s="1024"/>
      <c r="D790" s="1024"/>
      <c r="E790" s="1025"/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  <c r="AH790" s="243"/>
      <c r="AI790" s="243"/>
      <c r="AJ790" s="243"/>
      <c r="AK790" s="243"/>
      <c r="AL790" s="243"/>
      <c r="AM790" s="243"/>
      <c r="AN790" s="243"/>
      <c r="AO790" s="243"/>
      <c r="AP790" s="243"/>
      <c r="AQ790" s="1024"/>
      <c r="AR790" s="357"/>
      <c r="AS790" s="163"/>
      <c r="AT790" s="163"/>
      <c r="AU790" s="163"/>
      <c r="AV790" s="321"/>
    </row>
    <row r="791" spans="1:48" ht="12.75" x14ac:dyDescent="0.2">
      <c r="A791" s="243"/>
      <c r="B791" s="243"/>
      <c r="C791" s="1024"/>
      <c r="D791" s="1024"/>
      <c r="E791" s="1025"/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  <c r="AH791" s="243"/>
      <c r="AI791" s="243"/>
      <c r="AJ791" s="243"/>
      <c r="AK791" s="243"/>
      <c r="AL791" s="243"/>
      <c r="AM791" s="243"/>
      <c r="AN791" s="243"/>
      <c r="AO791" s="243"/>
      <c r="AP791" s="243"/>
      <c r="AQ791" s="1024"/>
      <c r="AR791" s="357"/>
      <c r="AS791" s="163"/>
      <c r="AT791" s="163"/>
      <c r="AU791" s="163"/>
      <c r="AV791" s="321"/>
    </row>
    <row r="792" spans="1:48" ht="12.75" x14ac:dyDescent="0.2">
      <c r="A792" s="243"/>
      <c r="B792" s="243"/>
      <c r="C792" s="1024"/>
      <c r="D792" s="1024"/>
      <c r="E792" s="1025"/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  <c r="AH792" s="243"/>
      <c r="AI792" s="243"/>
      <c r="AJ792" s="243"/>
      <c r="AK792" s="243"/>
      <c r="AL792" s="243"/>
      <c r="AM792" s="243"/>
      <c r="AN792" s="243"/>
      <c r="AO792" s="243"/>
      <c r="AP792" s="243"/>
      <c r="AQ792" s="1024"/>
      <c r="AR792" s="357"/>
      <c r="AS792" s="163"/>
      <c r="AT792" s="163"/>
      <c r="AU792" s="163"/>
      <c r="AV792" s="321"/>
    </row>
    <row r="793" spans="1:48" ht="12.75" x14ac:dyDescent="0.2">
      <c r="A793" s="243"/>
      <c r="B793" s="243"/>
      <c r="C793" s="1024"/>
      <c r="D793" s="1024"/>
      <c r="E793" s="1025"/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  <c r="AH793" s="243"/>
      <c r="AI793" s="243"/>
      <c r="AJ793" s="243"/>
      <c r="AK793" s="243"/>
      <c r="AL793" s="243"/>
      <c r="AM793" s="243"/>
      <c r="AN793" s="243"/>
      <c r="AO793" s="243"/>
      <c r="AP793" s="243"/>
      <c r="AQ793" s="1024"/>
      <c r="AR793" s="357"/>
      <c r="AS793" s="163"/>
      <c r="AT793" s="163"/>
      <c r="AU793" s="163"/>
      <c r="AV793" s="321"/>
    </row>
    <row r="794" spans="1:48" ht="12.75" x14ac:dyDescent="0.2">
      <c r="A794" s="243"/>
      <c r="B794" s="243"/>
      <c r="C794" s="1024"/>
      <c r="D794" s="1024"/>
      <c r="E794" s="1025"/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3"/>
      <c r="AI794" s="243"/>
      <c r="AJ794" s="243"/>
      <c r="AK794" s="243"/>
      <c r="AL794" s="243"/>
      <c r="AM794" s="243"/>
      <c r="AN794" s="243"/>
      <c r="AO794" s="243"/>
      <c r="AP794" s="243"/>
      <c r="AQ794" s="1024"/>
      <c r="AR794" s="357"/>
      <c r="AS794" s="163"/>
      <c r="AT794" s="163"/>
      <c r="AU794" s="163"/>
      <c r="AV794" s="321"/>
    </row>
    <row r="795" spans="1:48" ht="12.75" x14ac:dyDescent="0.2">
      <c r="A795" s="243"/>
      <c r="B795" s="243"/>
      <c r="C795" s="1024"/>
      <c r="D795" s="1024"/>
      <c r="E795" s="1025"/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3"/>
      <c r="AI795" s="243"/>
      <c r="AJ795" s="243"/>
      <c r="AK795" s="243"/>
      <c r="AL795" s="243"/>
      <c r="AM795" s="243"/>
      <c r="AN795" s="243"/>
      <c r="AO795" s="243"/>
      <c r="AP795" s="243"/>
      <c r="AQ795" s="1024"/>
      <c r="AR795" s="357"/>
      <c r="AS795" s="163"/>
      <c r="AT795" s="163"/>
      <c r="AU795" s="163"/>
      <c r="AV795" s="321"/>
    </row>
    <row r="796" spans="1:48" ht="12.75" x14ac:dyDescent="0.2">
      <c r="A796" s="243"/>
      <c r="B796" s="243"/>
      <c r="C796" s="1024"/>
      <c r="D796" s="1024"/>
      <c r="E796" s="1025"/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  <c r="AH796" s="243"/>
      <c r="AI796" s="243"/>
      <c r="AJ796" s="243"/>
      <c r="AK796" s="243"/>
      <c r="AL796" s="243"/>
      <c r="AM796" s="243"/>
      <c r="AN796" s="243"/>
      <c r="AO796" s="243"/>
      <c r="AP796" s="243"/>
      <c r="AQ796" s="1024"/>
      <c r="AR796" s="357"/>
      <c r="AS796" s="163"/>
      <c r="AT796" s="163"/>
      <c r="AU796" s="163"/>
      <c r="AV796" s="321"/>
    </row>
    <row r="797" spans="1:48" ht="12.75" x14ac:dyDescent="0.2">
      <c r="A797" s="243"/>
      <c r="B797" s="243"/>
      <c r="C797" s="1024"/>
      <c r="D797" s="1024"/>
      <c r="E797" s="1025"/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  <c r="AH797" s="243"/>
      <c r="AI797" s="243"/>
      <c r="AJ797" s="243"/>
      <c r="AK797" s="243"/>
      <c r="AL797" s="243"/>
      <c r="AM797" s="243"/>
      <c r="AN797" s="243"/>
      <c r="AO797" s="243"/>
      <c r="AP797" s="243"/>
      <c r="AQ797" s="1024"/>
      <c r="AR797" s="357"/>
      <c r="AS797" s="163"/>
      <c r="AT797" s="163"/>
      <c r="AU797" s="163"/>
      <c r="AV797" s="321"/>
    </row>
    <row r="798" spans="1:48" ht="12.75" x14ac:dyDescent="0.2">
      <c r="A798" s="243"/>
      <c r="B798" s="243"/>
      <c r="C798" s="1024"/>
      <c r="D798" s="1024"/>
      <c r="E798" s="1025"/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  <c r="AH798" s="243"/>
      <c r="AI798" s="243"/>
      <c r="AJ798" s="243"/>
      <c r="AK798" s="243"/>
      <c r="AL798" s="243"/>
      <c r="AM798" s="243"/>
      <c r="AN798" s="243"/>
      <c r="AO798" s="243"/>
      <c r="AP798" s="243"/>
      <c r="AQ798" s="1024"/>
      <c r="AR798" s="357"/>
      <c r="AS798" s="163"/>
      <c r="AT798" s="163"/>
      <c r="AU798" s="163"/>
      <c r="AV798" s="321"/>
    </row>
    <row r="799" spans="1:48" ht="12.75" x14ac:dyDescent="0.2">
      <c r="A799" s="243"/>
      <c r="B799" s="243"/>
      <c r="C799" s="1024"/>
      <c r="D799" s="1024"/>
      <c r="E799" s="1025"/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  <c r="AH799" s="243"/>
      <c r="AI799" s="243"/>
      <c r="AJ799" s="243"/>
      <c r="AK799" s="243"/>
      <c r="AL799" s="243"/>
      <c r="AM799" s="243"/>
      <c r="AN799" s="243"/>
      <c r="AO799" s="243"/>
      <c r="AP799" s="243"/>
      <c r="AQ799" s="1024"/>
      <c r="AR799" s="357"/>
      <c r="AS799" s="163"/>
      <c r="AT799" s="163"/>
      <c r="AU799" s="163"/>
      <c r="AV799" s="321"/>
    </row>
    <row r="800" spans="1:48" ht="12.75" x14ac:dyDescent="0.2">
      <c r="A800" s="243"/>
      <c r="B800" s="243"/>
      <c r="C800" s="1024"/>
      <c r="D800" s="1024"/>
      <c r="E800" s="1025"/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  <c r="AH800" s="243"/>
      <c r="AI800" s="243"/>
      <c r="AJ800" s="243"/>
      <c r="AK800" s="243"/>
      <c r="AL800" s="243"/>
      <c r="AM800" s="243"/>
      <c r="AN800" s="243"/>
      <c r="AO800" s="243"/>
      <c r="AP800" s="243"/>
      <c r="AQ800" s="1024"/>
      <c r="AR800" s="357"/>
      <c r="AS800" s="163"/>
      <c r="AT800" s="163"/>
      <c r="AU800" s="163"/>
      <c r="AV800" s="321"/>
    </row>
    <row r="801" spans="1:48" ht="12.75" x14ac:dyDescent="0.2">
      <c r="A801" s="243"/>
      <c r="B801" s="243"/>
      <c r="C801" s="1024"/>
      <c r="D801" s="1024"/>
      <c r="E801" s="1025"/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  <c r="AH801" s="243"/>
      <c r="AI801" s="243"/>
      <c r="AJ801" s="243"/>
      <c r="AK801" s="243"/>
      <c r="AL801" s="243"/>
      <c r="AM801" s="243"/>
      <c r="AN801" s="243"/>
      <c r="AO801" s="243"/>
      <c r="AP801" s="243"/>
      <c r="AQ801" s="1024"/>
      <c r="AR801" s="357"/>
      <c r="AS801" s="163"/>
      <c r="AT801" s="163"/>
      <c r="AU801" s="163"/>
      <c r="AV801" s="321"/>
    </row>
    <row r="802" spans="1:48" ht="12.75" x14ac:dyDescent="0.2">
      <c r="A802" s="243"/>
      <c r="B802" s="243"/>
      <c r="C802" s="1024"/>
      <c r="D802" s="1024"/>
      <c r="E802" s="1025"/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  <c r="AH802" s="243"/>
      <c r="AI802" s="243"/>
      <c r="AJ802" s="243"/>
      <c r="AK802" s="243"/>
      <c r="AL802" s="243"/>
      <c r="AM802" s="243"/>
      <c r="AN802" s="243"/>
      <c r="AO802" s="243"/>
      <c r="AP802" s="243"/>
      <c r="AQ802" s="1024"/>
      <c r="AR802" s="357"/>
      <c r="AS802" s="163"/>
      <c r="AT802" s="163"/>
      <c r="AU802" s="163"/>
      <c r="AV802" s="321"/>
    </row>
    <row r="803" spans="1:48" ht="12.75" x14ac:dyDescent="0.2">
      <c r="A803" s="243"/>
      <c r="B803" s="243"/>
      <c r="C803" s="1024"/>
      <c r="D803" s="1024"/>
      <c r="E803" s="1025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  <c r="AH803" s="243"/>
      <c r="AI803" s="243"/>
      <c r="AJ803" s="243"/>
      <c r="AK803" s="243"/>
      <c r="AL803" s="243"/>
      <c r="AM803" s="243"/>
      <c r="AN803" s="243"/>
      <c r="AO803" s="243"/>
      <c r="AP803" s="243"/>
      <c r="AQ803" s="1024"/>
      <c r="AR803" s="357"/>
      <c r="AS803" s="163"/>
      <c r="AT803" s="163"/>
      <c r="AU803" s="163"/>
      <c r="AV803" s="321"/>
    </row>
    <row r="804" spans="1:48" ht="12.75" x14ac:dyDescent="0.2">
      <c r="A804" s="243"/>
      <c r="B804" s="243"/>
      <c r="C804" s="1024"/>
      <c r="D804" s="1024"/>
      <c r="E804" s="1025"/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  <c r="AH804" s="243"/>
      <c r="AI804" s="243"/>
      <c r="AJ804" s="243"/>
      <c r="AK804" s="243"/>
      <c r="AL804" s="243"/>
      <c r="AM804" s="243"/>
      <c r="AN804" s="243"/>
      <c r="AO804" s="243"/>
      <c r="AP804" s="243"/>
      <c r="AQ804" s="1024"/>
      <c r="AR804" s="357"/>
      <c r="AS804" s="163"/>
      <c r="AT804" s="163"/>
      <c r="AU804" s="163"/>
      <c r="AV804" s="321"/>
    </row>
    <row r="805" spans="1:48" ht="12.75" x14ac:dyDescent="0.2">
      <c r="A805" s="243"/>
      <c r="B805" s="243"/>
      <c r="C805" s="1024"/>
      <c r="D805" s="1024"/>
      <c r="E805" s="1025"/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  <c r="AH805" s="243"/>
      <c r="AI805" s="243"/>
      <c r="AJ805" s="243"/>
      <c r="AK805" s="243"/>
      <c r="AL805" s="243"/>
      <c r="AM805" s="243"/>
      <c r="AN805" s="243"/>
      <c r="AO805" s="243"/>
      <c r="AP805" s="243"/>
      <c r="AQ805" s="1024"/>
      <c r="AR805" s="357"/>
      <c r="AS805" s="163"/>
      <c r="AT805" s="163"/>
      <c r="AU805" s="163"/>
      <c r="AV805" s="321"/>
    </row>
    <row r="806" spans="1:48" ht="12.75" x14ac:dyDescent="0.2">
      <c r="A806" s="243"/>
      <c r="B806" s="243"/>
      <c r="C806" s="1024"/>
      <c r="D806" s="1024"/>
      <c r="E806" s="1025"/>
      <c r="F806" s="243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3"/>
      <c r="Z806" s="243"/>
      <c r="AA806" s="243"/>
      <c r="AB806" s="243"/>
      <c r="AC806" s="243"/>
      <c r="AD806" s="243"/>
      <c r="AE806" s="243"/>
      <c r="AF806" s="243"/>
      <c r="AG806" s="243"/>
      <c r="AH806" s="243"/>
      <c r="AI806" s="243"/>
      <c r="AJ806" s="243"/>
      <c r="AK806" s="243"/>
      <c r="AL806" s="243"/>
      <c r="AM806" s="243"/>
      <c r="AN806" s="243"/>
      <c r="AO806" s="243"/>
      <c r="AP806" s="243"/>
      <c r="AQ806" s="1024"/>
      <c r="AR806" s="357"/>
      <c r="AS806" s="163"/>
      <c r="AT806" s="163"/>
      <c r="AU806" s="163"/>
      <c r="AV806" s="321"/>
    </row>
    <row r="807" spans="1:48" ht="12.75" x14ac:dyDescent="0.2">
      <c r="A807" s="243"/>
      <c r="B807" s="243"/>
      <c r="C807" s="1024"/>
      <c r="D807" s="1024"/>
      <c r="E807" s="1025"/>
      <c r="F807" s="243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3"/>
      <c r="Z807" s="243"/>
      <c r="AA807" s="243"/>
      <c r="AB807" s="243"/>
      <c r="AC807" s="243"/>
      <c r="AD807" s="243"/>
      <c r="AE807" s="243"/>
      <c r="AF807" s="243"/>
      <c r="AG807" s="243"/>
      <c r="AH807" s="243"/>
      <c r="AI807" s="243"/>
      <c r="AJ807" s="243"/>
      <c r="AK807" s="243"/>
      <c r="AL807" s="243"/>
      <c r="AM807" s="243"/>
      <c r="AN807" s="243"/>
      <c r="AO807" s="243"/>
      <c r="AP807" s="243"/>
      <c r="AQ807" s="1024"/>
      <c r="AR807" s="357"/>
      <c r="AS807" s="163"/>
      <c r="AT807" s="163"/>
      <c r="AU807" s="163"/>
      <c r="AV807" s="321"/>
    </row>
    <row r="808" spans="1:48" ht="12.75" x14ac:dyDescent="0.2">
      <c r="A808" s="243"/>
      <c r="B808" s="243"/>
      <c r="C808" s="1024"/>
      <c r="D808" s="1024"/>
      <c r="E808" s="1025"/>
      <c r="F808" s="243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3"/>
      <c r="Z808" s="243"/>
      <c r="AA808" s="243"/>
      <c r="AB808" s="243"/>
      <c r="AC808" s="243"/>
      <c r="AD808" s="243"/>
      <c r="AE808" s="243"/>
      <c r="AF808" s="243"/>
      <c r="AG808" s="243"/>
      <c r="AH808" s="243"/>
      <c r="AI808" s="243"/>
      <c r="AJ808" s="243"/>
      <c r="AK808" s="243"/>
      <c r="AL808" s="243"/>
      <c r="AM808" s="243"/>
      <c r="AN808" s="243"/>
      <c r="AO808" s="243"/>
      <c r="AP808" s="243"/>
      <c r="AQ808" s="1024"/>
      <c r="AR808" s="357"/>
      <c r="AS808" s="163"/>
      <c r="AT808" s="163"/>
      <c r="AU808" s="163"/>
      <c r="AV808" s="321"/>
    </row>
    <row r="809" spans="1:48" ht="12.75" x14ac:dyDescent="0.2">
      <c r="A809" s="243"/>
      <c r="B809" s="243"/>
      <c r="C809" s="1024"/>
      <c r="D809" s="1024"/>
      <c r="E809" s="1025"/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  <c r="AH809" s="243"/>
      <c r="AI809" s="243"/>
      <c r="AJ809" s="243"/>
      <c r="AK809" s="243"/>
      <c r="AL809" s="243"/>
      <c r="AM809" s="243"/>
      <c r="AN809" s="243"/>
      <c r="AO809" s="243"/>
      <c r="AP809" s="243"/>
      <c r="AQ809" s="1024"/>
      <c r="AR809" s="357"/>
      <c r="AS809" s="163"/>
      <c r="AT809" s="163"/>
      <c r="AU809" s="163"/>
      <c r="AV809" s="321"/>
    </row>
    <row r="810" spans="1:48" ht="12.75" x14ac:dyDescent="0.2">
      <c r="A810" s="243"/>
      <c r="B810" s="243"/>
      <c r="C810" s="1024"/>
      <c r="D810" s="1024"/>
      <c r="E810" s="1025"/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  <c r="AH810" s="243"/>
      <c r="AI810" s="243"/>
      <c r="AJ810" s="243"/>
      <c r="AK810" s="243"/>
      <c r="AL810" s="243"/>
      <c r="AM810" s="243"/>
      <c r="AN810" s="243"/>
      <c r="AO810" s="243"/>
      <c r="AP810" s="243"/>
      <c r="AQ810" s="1024"/>
      <c r="AR810" s="357"/>
      <c r="AS810" s="163"/>
      <c r="AT810" s="163"/>
      <c r="AU810" s="163"/>
      <c r="AV810" s="321"/>
    </row>
    <row r="811" spans="1:48" ht="12.75" x14ac:dyDescent="0.2">
      <c r="A811" s="243"/>
      <c r="B811" s="243"/>
      <c r="C811" s="1024"/>
      <c r="D811" s="1024"/>
      <c r="E811" s="1025"/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  <c r="AH811" s="243"/>
      <c r="AI811" s="243"/>
      <c r="AJ811" s="243"/>
      <c r="AK811" s="243"/>
      <c r="AL811" s="243"/>
      <c r="AM811" s="243"/>
      <c r="AN811" s="243"/>
      <c r="AO811" s="243"/>
      <c r="AP811" s="243"/>
      <c r="AQ811" s="1024"/>
      <c r="AR811" s="357"/>
      <c r="AS811" s="163"/>
      <c r="AT811" s="163"/>
      <c r="AU811" s="163"/>
      <c r="AV811" s="321"/>
    </row>
    <row r="812" spans="1:48" ht="12.75" x14ac:dyDescent="0.2">
      <c r="A812" s="243"/>
      <c r="B812" s="243"/>
      <c r="C812" s="1024"/>
      <c r="D812" s="1024"/>
      <c r="E812" s="1025"/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  <c r="AH812" s="243"/>
      <c r="AI812" s="243"/>
      <c r="AJ812" s="243"/>
      <c r="AK812" s="243"/>
      <c r="AL812" s="243"/>
      <c r="AM812" s="243"/>
      <c r="AN812" s="243"/>
      <c r="AO812" s="243"/>
      <c r="AP812" s="243"/>
      <c r="AQ812" s="1024"/>
      <c r="AR812" s="357"/>
      <c r="AS812" s="163"/>
      <c r="AT812" s="163"/>
      <c r="AU812" s="163"/>
      <c r="AV812" s="321"/>
    </row>
    <row r="813" spans="1:48" ht="12.75" x14ac:dyDescent="0.2">
      <c r="A813" s="243"/>
      <c r="B813" s="243"/>
      <c r="C813" s="1024"/>
      <c r="D813" s="1024"/>
      <c r="E813" s="1025"/>
      <c r="F813" s="243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3"/>
      <c r="Z813" s="243"/>
      <c r="AA813" s="243"/>
      <c r="AB813" s="243"/>
      <c r="AC813" s="243"/>
      <c r="AD813" s="243"/>
      <c r="AE813" s="243"/>
      <c r="AF813" s="243"/>
      <c r="AG813" s="243"/>
      <c r="AH813" s="243"/>
      <c r="AI813" s="243"/>
      <c r="AJ813" s="243"/>
      <c r="AK813" s="243"/>
      <c r="AL813" s="243"/>
      <c r="AM813" s="243"/>
      <c r="AN813" s="243"/>
      <c r="AO813" s="243"/>
      <c r="AP813" s="243"/>
      <c r="AQ813" s="1024"/>
      <c r="AR813" s="357"/>
      <c r="AS813" s="163"/>
      <c r="AT813" s="163"/>
      <c r="AU813" s="163"/>
      <c r="AV813" s="321"/>
    </row>
    <row r="814" spans="1:48" ht="12.75" x14ac:dyDescent="0.2">
      <c r="A814" s="243"/>
      <c r="B814" s="243"/>
      <c r="C814" s="1024"/>
      <c r="D814" s="1024"/>
      <c r="E814" s="1025"/>
      <c r="F814" s="243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3"/>
      <c r="Z814" s="243"/>
      <c r="AA814" s="243"/>
      <c r="AB814" s="243"/>
      <c r="AC814" s="243"/>
      <c r="AD814" s="243"/>
      <c r="AE814" s="243"/>
      <c r="AF814" s="243"/>
      <c r="AG814" s="243"/>
      <c r="AH814" s="243"/>
      <c r="AI814" s="243"/>
      <c r="AJ814" s="243"/>
      <c r="AK814" s="243"/>
      <c r="AL814" s="243"/>
      <c r="AM814" s="243"/>
      <c r="AN814" s="243"/>
      <c r="AO814" s="243"/>
      <c r="AP814" s="243"/>
      <c r="AQ814" s="1024"/>
      <c r="AR814" s="357"/>
      <c r="AS814" s="163"/>
      <c r="AT814" s="163"/>
      <c r="AU814" s="163"/>
      <c r="AV814" s="321"/>
    </row>
    <row r="815" spans="1:48" ht="12.75" x14ac:dyDescent="0.2">
      <c r="A815" s="243"/>
      <c r="B815" s="243"/>
      <c r="C815" s="1024"/>
      <c r="D815" s="1024"/>
      <c r="E815" s="1025"/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  <c r="AH815" s="243"/>
      <c r="AI815" s="243"/>
      <c r="AJ815" s="243"/>
      <c r="AK815" s="243"/>
      <c r="AL815" s="243"/>
      <c r="AM815" s="243"/>
      <c r="AN815" s="243"/>
      <c r="AO815" s="243"/>
      <c r="AP815" s="243"/>
      <c r="AQ815" s="1024"/>
      <c r="AR815" s="357"/>
      <c r="AS815" s="163"/>
      <c r="AT815" s="163"/>
      <c r="AU815" s="163"/>
      <c r="AV815" s="321"/>
    </row>
    <row r="816" spans="1:48" ht="12.75" x14ac:dyDescent="0.2">
      <c r="A816" s="243"/>
      <c r="B816" s="243"/>
      <c r="C816" s="1024"/>
      <c r="D816" s="1024"/>
      <c r="E816" s="1025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  <c r="AH816" s="243"/>
      <c r="AI816" s="243"/>
      <c r="AJ816" s="243"/>
      <c r="AK816" s="243"/>
      <c r="AL816" s="243"/>
      <c r="AM816" s="243"/>
      <c r="AN816" s="243"/>
      <c r="AO816" s="243"/>
      <c r="AP816" s="243"/>
      <c r="AQ816" s="1024"/>
      <c r="AR816" s="357"/>
      <c r="AS816" s="163"/>
      <c r="AT816" s="163"/>
      <c r="AU816" s="163"/>
      <c r="AV816" s="321"/>
    </row>
    <row r="817" spans="1:48" ht="12.75" x14ac:dyDescent="0.2">
      <c r="A817" s="243"/>
      <c r="B817" s="243"/>
      <c r="C817" s="1024"/>
      <c r="D817" s="1024"/>
      <c r="E817" s="1025"/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  <c r="AH817" s="243"/>
      <c r="AI817" s="243"/>
      <c r="AJ817" s="243"/>
      <c r="AK817" s="243"/>
      <c r="AL817" s="243"/>
      <c r="AM817" s="243"/>
      <c r="AN817" s="243"/>
      <c r="AO817" s="243"/>
      <c r="AP817" s="243"/>
      <c r="AQ817" s="1024"/>
      <c r="AR817" s="357"/>
      <c r="AS817" s="163"/>
      <c r="AT817" s="163"/>
      <c r="AU817" s="163"/>
      <c r="AV817" s="321"/>
    </row>
    <row r="818" spans="1:48" ht="12.75" x14ac:dyDescent="0.2">
      <c r="A818" s="243"/>
      <c r="B818" s="243"/>
      <c r="C818" s="1024"/>
      <c r="D818" s="1024"/>
      <c r="E818" s="1025"/>
      <c r="F818" s="243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3"/>
      <c r="Z818" s="243"/>
      <c r="AA818" s="243"/>
      <c r="AB818" s="243"/>
      <c r="AC818" s="243"/>
      <c r="AD818" s="243"/>
      <c r="AE818" s="243"/>
      <c r="AF818" s="243"/>
      <c r="AG818" s="243"/>
      <c r="AH818" s="243"/>
      <c r="AI818" s="243"/>
      <c r="AJ818" s="243"/>
      <c r="AK818" s="243"/>
      <c r="AL818" s="243"/>
      <c r="AM818" s="243"/>
      <c r="AN818" s="243"/>
      <c r="AO818" s="243"/>
      <c r="AP818" s="243"/>
      <c r="AQ818" s="1024"/>
      <c r="AR818" s="357"/>
      <c r="AS818" s="163"/>
      <c r="AT818" s="163"/>
      <c r="AU818" s="163"/>
      <c r="AV818" s="321"/>
    </row>
    <row r="819" spans="1:48" ht="12.75" x14ac:dyDescent="0.2">
      <c r="A819" s="243"/>
      <c r="B819" s="243"/>
      <c r="C819" s="1024"/>
      <c r="D819" s="1024"/>
      <c r="E819" s="1025"/>
      <c r="F819" s="243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3"/>
      <c r="Z819" s="243"/>
      <c r="AA819" s="243"/>
      <c r="AB819" s="243"/>
      <c r="AC819" s="243"/>
      <c r="AD819" s="243"/>
      <c r="AE819" s="243"/>
      <c r="AF819" s="243"/>
      <c r="AG819" s="243"/>
      <c r="AH819" s="243"/>
      <c r="AI819" s="243"/>
      <c r="AJ819" s="243"/>
      <c r="AK819" s="243"/>
      <c r="AL819" s="243"/>
      <c r="AM819" s="243"/>
      <c r="AN819" s="243"/>
      <c r="AO819" s="243"/>
      <c r="AP819" s="243"/>
      <c r="AQ819" s="1024"/>
      <c r="AR819" s="357"/>
      <c r="AS819" s="163"/>
      <c r="AT819" s="163"/>
      <c r="AU819" s="163"/>
      <c r="AV819" s="321"/>
    </row>
    <row r="820" spans="1:48" ht="12.75" x14ac:dyDescent="0.2">
      <c r="A820" s="243"/>
      <c r="B820" s="243"/>
      <c r="C820" s="1024"/>
      <c r="D820" s="1024"/>
      <c r="E820" s="1025"/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  <c r="AH820" s="243"/>
      <c r="AI820" s="243"/>
      <c r="AJ820" s="243"/>
      <c r="AK820" s="243"/>
      <c r="AL820" s="243"/>
      <c r="AM820" s="243"/>
      <c r="AN820" s="243"/>
      <c r="AO820" s="243"/>
      <c r="AP820" s="243"/>
      <c r="AQ820" s="1024"/>
      <c r="AR820" s="357"/>
      <c r="AS820" s="163"/>
      <c r="AT820" s="163"/>
      <c r="AU820" s="163"/>
      <c r="AV820" s="321"/>
    </row>
    <row r="821" spans="1:48" ht="12.75" x14ac:dyDescent="0.2">
      <c r="A821" s="243"/>
      <c r="B821" s="243"/>
      <c r="C821" s="1024"/>
      <c r="D821" s="1024"/>
      <c r="E821" s="1025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  <c r="AH821" s="243"/>
      <c r="AI821" s="243"/>
      <c r="AJ821" s="243"/>
      <c r="AK821" s="243"/>
      <c r="AL821" s="243"/>
      <c r="AM821" s="243"/>
      <c r="AN821" s="243"/>
      <c r="AO821" s="243"/>
      <c r="AP821" s="243"/>
      <c r="AQ821" s="1024"/>
      <c r="AR821" s="357"/>
      <c r="AS821" s="163"/>
      <c r="AT821" s="163"/>
      <c r="AU821" s="163"/>
      <c r="AV821" s="321"/>
    </row>
    <row r="822" spans="1:48" ht="12.75" x14ac:dyDescent="0.2">
      <c r="A822" s="243"/>
      <c r="B822" s="243"/>
      <c r="C822" s="1024"/>
      <c r="D822" s="1024"/>
      <c r="E822" s="1025"/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  <c r="AH822" s="243"/>
      <c r="AI822" s="243"/>
      <c r="AJ822" s="243"/>
      <c r="AK822" s="243"/>
      <c r="AL822" s="243"/>
      <c r="AM822" s="243"/>
      <c r="AN822" s="243"/>
      <c r="AO822" s="243"/>
      <c r="AP822" s="243"/>
      <c r="AQ822" s="1024"/>
      <c r="AR822" s="357"/>
      <c r="AS822" s="163"/>
      <c r="AT822" s="163"/>
      <c r="AU822" s="163"/>
      <c r="AV822" s="321"/>
    </row>
    <row r="823" spans="1:48" ht="12.75" x14ac:dyDescent="0.2">
      <c r="A823" s="243"/>
      <c r="B823" s="243"/>
      <c r="C823" s="1024"/>
      <c r="D823" s="1024"/>
      <c r="E823" s="1025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  <c r="AA823" s="243"/>
      <c r="AB823" s="243"/>
      <c r="AC823" s="243"/>
      <c r="AD823" s="243"/>
      <c r="AE823" s="243"/>
      <c r="AF823" s="243"/>
      <c r="AG823" s="243"/>
      <c r="AH823" s="243"/>
      <c r="AI823" s="243"/>
      <c r="AJ823" s="243"/>
      <c r="AK823" s="243"/>
      <c r="AL823" s="243"/>
      <c r="AM823" s="243"/>
      <c r="AN823" s="243"/>
      <c r="AO823" s="243"/>
      <c r="AP823" s="243"/>
      <c r="AQ823" s="1024"/>
      <c r="AR823" s="357"/>
      <c r="AS823" s="163"/>
      <c r="AT823" s="163"/>
      <c r="AU823" s="163"/>
      <c r="AV823" s="321"/>
    </row>
    <row r="824" spans="1:48" ht="12.75" x14ac:dyDescent="0.2">
      <c r="A824" s="243"/>
      <c r="B824" s="243"/>
      <c r="C824" s="1024"/>
      <c r="D824" s="1024"/>
      <c r="E824" s="1025"/>
      <c r="F824" s="243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3"/>
      <c r="Z824" s="243"/>
      <c r="AA824" s="243"/>
      <c r="AB824" s="243"/>
      <c r="AC824" s="243"/>
      <c r="AD824" s="243"/>
      <c r="AE824" s="243"/>
      <c r="AF824" s="243"/>
      <c r="AG824" s="243"/>
      <c r="AH824" s="243"/>
      <c r="AI824" s="243"/>
      <c r="AJ824" s="243"/>
      <c r="AK824" s="243"/>
      <c r="AL824" s="243"/>
      <c r="AM824" s="243"/>
      <c r="AN824" s="243"/>
      <c r="AO824" s="243"/>
      <c r="AP824" s="243"/>
      <c r="AQ824" s="1024"/>
      <c r="AR824" s="357"/>
      <c r="AS824" s="163"/>
      <c r="AT824" s="163"/>
      <c r="AU824" s="163"/>
      <c r="AV824" s="321"/>
    </row>
    <row r="825" spans="1:48" ht="12.75" x14ac:dyDescent="0.2">
      <c r="A825" s="243"/>
      <c r="B825" s="243"/>
      <c r="C825" s="1024"/>
      <c r="D825" s="1024"/>
      <c r="E825" s="1025"/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  <c r="AH825" s="243"/>
      <c r="AI825" s="243"/>
      <c r="AJ825" s="243"/>
      <c r="AK825" s="243"/>
      <c r="AL825" s="243"/>
      <c r="AM825" s="243"/>
      <c r="AN825" s="243"/>
      <c r="AO825" s="243"/>
      <c r="AP825" s="243"/>
      <c r="AQ825" s="1024"/>
      <c r="AR825" s="357"/>
      <c r="AS825" s="163"/>
      <c r="AT825" s="163"/>
      <c r="AU825" s="163"/>
      <c r="AV825" s="321"/>
    </row>
    <row r="826" spans="1:48" ht="12.75" x14ac:dyDescent="0.2">
      <c r="A826" s="243"/>
      <c r="B826" s="243"/>
      <c r="C826" s="1024"/>
      <c r="D826" s="1024"/>
      <c r="E826" s="1025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  <c r="AH826" s="243"/>
      <c r="AI826" s="243"/>
      <c r="AJ826" s="243"/>
      <c r="AK826" s="243"/>
      <c r="AL826" s="243"/>
      <c r="AM826" s="243"/>
      <c r="AN826" s="243"/>
      <c r="AO826" s="243"/>
      <c r="AP826" s="243"/>
      <c r="AQ826" s="1024"/>
      <c r="AR826" s="357"/>
      <c r="AS826" s="163"/>
      <c r="AT826" s="163"/>
      <c r="AU826" s="163"/>
      <c r="AV826" s="321"/>
    </row>
    <row r="827" spans="1:48" ht="12.75" x14ac:dyDescent="0.2">
      <c r="A827" s="243"/>
      <c r="B827" s="243"/>
      <c r="C827" s="1024"/>
      <c r="D827" s="1024"/>
      <c r="E827" s="1025"/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  <c r="AH827" s="243"/>
      <c r="AI827" s="243"/>
      <c r="AJ827" s="243"/>
      <c r="AK827" s="243"/>
      <c r="AL827" s="243"/>
      <c r="AM827" s="243"/>
      <c r="AN827" s="243"/>
      <c r="AO827" s="243"/>
      <c r="AP827" s="243"/>
      <c r="AQ827" s="1024"/>
      <c r="AR827" s="357"/>
      <c r="AS827" s="163"/>
      <c r="AT827" s="163"/>
      <c r="AU827" s="163"/>
      <c r="AV827" s="321"/>
    </row>
    <row r="828" spans="1:48" ht="12.75" x14ac:dyDescent="0.2">
      <c r="A828" s="243"/>
      <c r="B828" s="243"/>
      <c r="C828" s="1024"/>
      <c r="D828" s="1024"/>
      <c r="E828" s="1025"/>
      <c r="F828" s="243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3"/>
      <c r="Z828" s="243"/>
      <c r="AA828" s="243"/>
      <c r="AB828" s="243"/>
      <c r="AC828" s="243"/>
      <c r="AD828" s="243"/>
      <c r="AE828" s="243"/>
      <c r="AF828" s="243"/>
      <c r="AG828" s="243"/>
      <c r="AH828" s="243"/>
      <c r="AI828" s="243"/>
      <c r="AJ828" s="243"/>
      <c r="AK828" s="243"/>
      <c r="AL828" s="243"/>
      <c r="AM828" s="243"/>
      <c r="AN828" s="243"/>
      <c r="AO828" s="243"/>
      <c r="AP828" s="243"/>
      <c r="AQ828" s="1024"/>
      <c r="AR828" s="357"/>
      <c r="AS828" s="163"/>
      <c r="AT828" s="163"/>
      <c r="AU828" s="163"/>
      <c r="AV828" s="321"/>
    </row>
    <row r="829" spans="1:48" ht="12.75" x14ac:dyDescent="0.2">
      <c r="A829" s="243"/>
      <c r="B829" s="243"/>
      <c r="C829" s="1024"/>
      <c r="D829" s="1024"/>
      <c r="E829" s="1025"/>
      <c r="F829" s="243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3"/>
      <c r="Z829" s="243"/>
      <c r="AA829" s="243"/>
      <c r="AB829" s="243"/>
      <c r="AC829" s="243"/>
      <c r="AD829" s="243"/>
      <c r="AE829" s="243"/>
      <c r="AF829" s="243"/>
      <c r="AG829" s="243"/>
      <c r="AH829" s="243"/>
      <c r="AI829" s="243"/>
      <c r="AJ829" s="243"/>
      <c r="AK829" s="243"/>
      <c r="AL829" s="243"/>
      <c r="AM829" s="243"/>
      <c r="AN829" s="243"/>
      <c r="AO829" s="243"/>
      <c r="AP829" s="243"/>
      <c r="AQ829" s="1024"/>
      <c r="AR829" s="357"/>
      <c r="AS829" s="163"/>
      <c r="AT829" s="163"/>
      <c r="AU829" s="163"/>
      <c r="AV829" s="321"/>
    </row>
    <row r="830" spans="1:48" ht="12.75" x14ac:dyDescent="0.2">
      <c r="A830" s="243"/>
      <c r="B830" s="243"/>
      <c r="C830" s="1024"/>
      <c r="D830" s="1024"/>
      <c r="E830" s="1025"/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  <c r="AH830" s="243"/>
      <c r="AI830" s="243"/>
      <c r="AJ830" s="243"/>
      <c r="AK830" s="243"/>
      <c r="AL830" s="243"/>
      <c r="AM830" s="243"/>
      <c r="AN830" s="243"/>
      <c r="AO830" s="243"/>
      <c r="AP830" s="243"/>
      <c r="AQ830" s="1024"/>
      <c r="AR830" s="357"/>
      <c r="AS830" s="163"/>
      <c r="AT830" s="163"/>
      <c r="AU830" s="163"/>
      <c r="AV830" s="321"/>
    </row>
    <row r="831" spans="1:48" ht="12.75" x14ac:dyDescent="0.2">
      <c r="A831" s="243"/>
      <c r="B831" s="243"/>
      <c r="C831" s="1024"/>
      <c r="D831" s="1024"/>
      <c r="E831" s="1025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  <c r="AH831" s="243"/>
      <c r="AI831" s="243"/>
      <c r="AJ831" s="243"/>
      <c r="AK831" s="243"/>
      <c r="AL831" s="243"/>
      <c r="AM831" s="243"/>
      <c r="AN831" s="243"/>
      <c r="AO831" s="243"/>
      <c r="AP831" s="243"/>
      <c r="AQ831" s="1024"/>
      <c r="AR831" s="357"/>
      <c r="AS831" s="163"/>
      <c r="AT831" s="163"/>
      <c r="AU831" s="163"/>
      <c r="AV831" s="321"/>
    </row>
    <row r="832" spans="1:48" ht="12.75" x14ac:dyDescent="0.2">
      <c r="A832" s="243"/>
      <c r="B832" s="243"/>
      <c r="C832" s="1024"/>
      <c r="D832" s="1024"/>
      <c r="E832" s="1025"/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  <c r="AH832" s="243"/>
      <c r="AI832" s="243"/>
      <c r="AJ832" s="243"/>
      <c r="AK832" s="243"/>
      <c r="AL832" s="243"/>
      <c r="AM832" s="243"/>
      <c r="AN832" s="243"/>
      <c r="AO832" s="243"/>
      <c r="AP832" s="243"/>
      <c r="AQ832" s="1024"/>
      <c r="AR832" s="357"/>
      <c r="AS832" s="163"/>
      <c r="AT832" s="163"/>
      <c r="AU832" s="163"/>
      <c r="AV832" s="321"/>
    </row>
    <row r="833" spans="1:48" ht="12.75" x14ac:dyDescent="0.2">
      <c r="A833" s="243"/>
      <c r="B833" s="243"/>
      <c r="C833" s="1024"/>
      <c r="D833" s="1024"/>
      <c r="E833" s="1025"/>
      <c r="F833" s="243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3"/>
      <c r="Z833" s="243"/>
      <c r="AA833" s="243"/>
      <c r="AB833" s="243"/>
      <c r="AC833" s="243"/>
      <c r="AD833" s="243"/>
      <c r="AE833" s="243"/>
      <c r="AF833" s="243"/>
      <c r="AG833" s="243"/>
      <c r="AH833" s="243"/>
      <c r="AI833" s="243"/>
      <c r="AJ833" s="243"/>
      <c r="AK833" s="243"/>
      <c r="AL833" s="243"/>
      <c r="AM833" s="243"/>
      <c r="AN833" s="243"/>
      <c r="AO833" s="243"/>
      <c r="AP833" s="243"/>
      <c r="AQ833" s="1024"/>
      <c r="AR833" s="357"/>
      <c r="AS833" s="163"/>
      <c r="AT833" s="163"/>
      <c r="AU833" s="163"/>
      <c r="AV833" s="321"/>
    </row>
    <row r="834" spans="1:48" ht="12.75" x14ac:dyDescent="0.2">
      <c r="A834" s="243"/>
      <c r="B834" s="243"/>
      <c r="C834" s="1024"/>
      <c r="D834" s="1024"/>
      <c r="E834" s="1025"/>
      <c r="F834" s="243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3"/>
      <c r="Z834" s="243"/>
      <c r="AA834" s="243"/>
      <c r="AB834" s="243"/>
      <c r="AC834" s="243"/>
      <c r="AD834" s="243"/>
      <c r="AE834" s="243"/>
      <c r="AF834" s="243"/>
      <c r="AG834" s="243"/>
      <c r="AH834" s="243"/>
      <c r="AI834" s="243"/>
      <c r="AJ834" s="243"/>
      <c r="AK834" s="243"/>
      <c r="AL834" s="243"/>
      <c r="AM834" s="243"/>
      <c r="AN834" s="243"/>
      <c r="AO834" s="243"/>
      <c r="AP834" s="243"/>
      <c r="AQ834" s="1024"/>
      <c r="AR834" s="357"/>
      <c r="AS834" s="163"/>
      <c r="AT834" s="163"/>
      <c r="AU834" s="163"/>
      <c r="AV834" s="321"/>
    </row>
    <row r="835" spans="1:48" ht="12.75" x14ac:dyDescent="0.2">
      <c r="A835" s="243"/>
      <c r="B835" s="243"/>
      <c r="C835" s="1024"/>
      <c r="D835" s="1024"/>
      <c r="E835" s="1025"/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  <c r="AH835" s="243"/>
      <c r="AI835" s="243"/>
      <c r="AJ835" s="243"/>
      <c r="AK835" s="243"/>
      <c r="AL835" s="243"/>
      <c r="AM835" s="243"/>
      <c r="AN835" s="243"/>
      <c r="AO835" s="243"/>
      <c r="AP835" s="243"/>
      <c r="AQ835" s="1024"/>
      <c r="AR835" s="357"/>
      <c r="AS835" s="163"/>
      <c r="AT835" s="163"/>
      <c r="AU835" s="163"/>
      <c r="AV835" s="321"/>
    </row>
    <row r="836" spans="1:48" ht="12.75" x14ac:dyDescent="0.2">
      <c r="A836" s="243"/>
      <c r="B836" s="243"/>
      <c r="C836" s="1024"/>
      <c r="D836" s="1024"/>
      <c r="E836" s="1025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  <c r="AH836" s="243"/>
      <c r="AI836" s="243"/>
      <c r="AJ836" s="243"/>
      <c r="AK836" s="243"/>
      <c r="AL836" s="243"/>
      <c r="AM836" s="243"/>
      <c r="AN836" s="243"/>
      <c r="AO836" s="243"/>
      <c r="AP836" s="243"/>
      <c r="AQ836" s="1024"/>
      <c r="AR836" s="357"/>
      <c r="AS836" s="163"/>
      <c r="AT836" s="163"/>
      <c r="AU836" s="163"/>
      <c r="AV836" s="321"/>
    </row>
    <row r="837" spans="1:48" ht="12.75" x14ac:dyDescent="0.2">
      <c r="A837" s="243"/>
      <c r="B837" s="243"/>
      <c r="C837" s="1024"/>
      <c r="D837" s="1024"/>
      <c r="E837" s="1025"/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  <c r="AH837" s="243"/>
      <c r="AI837" s="243"/>
      <c r="AJ837" s="243"/>
      <c r="AK837" s="243"/>
      <c r="AL837" s="243"/>
      <c r="AM837" s="243"/>
      <c r="AN837" s="243"/>
      <c r="AO837" s="243"/>
      <c r="AP837" s="243"/>
      <c r="AQ837" s="1024"/>
      <c r="AR837" s="357"/>
      <c r="AS837" s="163"/>
      <c r="AT837" s="163"/>
      <c r="AU837" s="163"/>
      <c r="AV837" s="321"/>
    </row>
    <row r="838" spans="1:48" ht="12.75" x14ac:dyDescent="0.2">
      <c r="A838" s="243"/>
      <c r="B838" s="243"/>
      <c r="C838" s="1024"/>
      <c r="D838" s="1024"/>
      <c r="E838" s="1025"/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  <c r="AH838" s="243"/>
      <c r="AI838" s="243"/>
      <c r="AJ838" s="243"/>
      <c r="AK838" s="243"/>
      <c r="AL838" s="243"/>
      <c r="AM838" s="243"/>
      <c r="AN838" s="243"/>
      <c r="AO838" s="243"/>
      <c r="AP838" s="243"/>
      <c r="AQ838" s="1024"/>
      <c r="AR838" s="357"/>
      <c r="AS838" s="163"/>
      <c r="AT838" s="163"/>
      <c r="AU838" s="163"/>
      <c r="AV838" s="321"/>
    </row>
    <row r="839" spans="1:48" ht="12.75" x14ac:dyDescent="0.2">
      <c r="A839" s="243"/>
      <c r="B839" s="243"/>
      <c r="C839" s="1024"/>
      <c r="D839" s="1024"/>
      <c r="E839" s="1025"/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  <c r="AH839" s="243"/>
      <c r="AI839" s="243"/>
      <c r="AJ839" s="243"/>
      <c r="AK839" s="243"/>
      <c r="AL839" s="243"/>
      <c r="AM839" s="243"/>
      <c r="AN839" s="243"/>
      <c r="AO839" s="243"/>
      <c r="AP839" s="243"/>
      <c r="AQ839" s="1024"/>
      <c r="AR839" s="357"/>
      <c r="AS839" s="163"/>
      <c r="AT839" s="163"/>
      <c r="AU839" s="163"/>
      <c r="AV839" s="321"/>
    </row>
    <row r="840" spans="1:48" ht="12.75" x14ac:dyDescent="0.2">
      <c r="A840" s="243"/>
      <c r="B840" s="243"/>
      <c r="C840" s="1024"/>
      <c r="D840" s="1024"/>
      <c r="E840" s="1025"/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3"/>
      <c r="AI840" s="243"/>
      <c r="AJ840" s="243"/>
      <c r="AK840" s="243"/>
      <c r="AL840" s="243"/>
      <c r="AM840" s="243"/>
      <c r="AN840" s="243"/>
      <c r="AO840" s="243"/>
      <c r="AP840" s="243"/>
      <c r="AQ840" s="1024"/>
      <c r="AR840" s="357"/>
      <c r="AS840" s="163"/>
      <c r="AT840" s="163"/>
      <c r="AU840" s="163"/>
      <c r="AV840" s="321"/>
    </row>
    <row r="841" spans="1:48" ht="12.75" x14ac:dyDescent="0.2">
      <c r="A841" s="243"/>
      <c r="B841" s="243"/>
      <c r="C841" s="1024"/>
      <c r="D841" s="1024"/>
      <c r="E841" s="1025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3"/>
      <c r="AI841" s="243"/>
      <c r="AJ841" s="243"/>
      <c r="AK841" s="243"/>
      <c r="AL841" s="243"/>
      <c r="AM841" s="243"/>
      <c r="AN841" s="243"/>
      <c r="AO841" s="243"/>
      <c r="AP841" s="243"/>
      <c r="AQ841" s="1024"/>
      <c r="AR841" s="357"/>
      <c r="AS841" s="163"/>
      <c r="AT841" s="163"/>
      <c r="AU841" s="163"/>
      <c r="AV841" s="321"/>
    </row>
    <row r="842" spans="1:48" ht="12.75" x14ac:dyDescent="0.2">
      <c r="A842" s="243"/>
      <c r="B842" s="243"/>
      <c r="C842" s="1024"/>
      <c r="D842" s="1024"/>
      <c r="E842" s="1025"/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3"/>
      <c r="AI842" s="243"/>
      <c r="AJ842" s="243"/>
      <c r="AK842" s="243"/>
      <c r="AL842" s="243"/>
      <c r="AM842" s="243"/>
      <c r="AN842" s="243"/>
      <c r="AO842" s="243"/>
      <c r="AP842" s="243"/>
      <c r="AQ842" s="1024"/>
      <c r="AR842" s="357"/>
      <c r="AS842" s="163"/>
      <c r="AT842" s="163"/>
      <c r="AU842" s="163"/>
      <c r="AV842" s="321"/>
    </row>
    <row r="843" spans="1:48" ht="12.75" x14ac:dyDescent="0.2">
      <c r="A843" s="243"/>
      <c r="B843" s="243"/>
      <c r="C843" s="1024"/>
      <c r="D843" s="1024"/>
      <c r="E843" s="1025"/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  <c r="AH843" s="243"/>
      <c r="AI843" s="243"/>
      <c r="AJ843" s="243"/>
      <c r="AK843" s="243"/>
      <c r="AL843" s="243"/>
      <c r="AM843" s="243"/>
      <c r="AN843" s="243"/>
      <c r="AO843" s="243"/>
      <c r="AP843" s="243"/>
      <c r="AQ843" s="1024"/>
      <c r="AR843" s="357"/>
      <c r="AS843" s="163"/>
      <c r="AT843" s="163"/>
      <c r="AU843" s="163"/>
      <c r="AV843" s="321"/>
    </row>
    <row r="844" spans="1:48" ht="12.75" x14ac:dyDescent="0.2">
      <c r="A844" s="243"/>
      <c r="B844" s="243"/>
      <c r="C844" s="1024"/>
      <c r="D844" s="1024"/>
      <c r="E844" s="1025"/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  <c r="AH844" s="243"/>
      <c r="AI844" s="243"/>
      <c r="AJ844" s="243"/>
      <c r="AK844" s="243"/>
      <c r="AL844" s="243"/>
      <c r="AM844" s="243"/>
      <c r="AN844" s="243"/>
      <c r="AO844" s="243"/>
      <c r="AP844" s="243"/>
      <c r="AQ844" s="1024"/>
      <c r="AR844" s="357"/>
      <c r="AS844" s="163"/>
      <c r="AT844" s="163"/>
      <c r="AU844" s="163"/>
      <c r="AV844" s="321"/>
    </row>
    <row r="845" spans="1:48" ht="12.75" x14ac:dyDescent="0.2">
      <c r="A845" s="243"/>
      <c r="B845" s="243"/>
      <c r="C845" s="1024"/>
      <c r="D845" s="1024"/>
      <c r="E845" s="1025"/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3"/>
      <c r="AI845" s="243"/>
      <c r="AJ845" s="243"/>
      <c r="AK845" s="243"/>
      <c r="AL845" s="243"/>
      <c r="AM845" s="243"/>
      <c r="AN845" s="243"/>
      <c r="AO845" s="243"/>
      <c r="AP845" s="243"/>
      <c r="AQ845" s="1024"/>
      <c r="AR845" s="357"/>
      <c r="AS845" s="163"/>
      <c r="AT845" s="163"/>
      <c r="AU845" s="163"/>
      <c r="AV845" s="321"/>
    </row>
    <row r="846" spans="1:48" ht="12.75" x14ac:dyDescent="0.2">
      <c r="A846" s="243"/>
      <c r="B846" s="243"/>
      <c r="C846" s="1024"/>
      <c r="D846" s="1024"/>
      <c r="E846" s="1025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3"/>
      <c r="AI846" s="243"/>
      <c r="AJ846" s="243"/>
      <c r="AK846" s="243"/>
      <c r="AL846" s="243"/>
      <c r="AM846" s="243"/>
      <c r="AN846" s="243"/>
      <c r="AO846" s="243"/>
      <c r="AP846" s="243"/>
      <c r="AQ846" s="1024"/>
      <c r="AR846" s="357"/>
      <c r="AS846" s="163"/>
      <c r="AT846" s="163"/>
      <c r="AU846" s="163"/>
      <c r="AV846" s="321"/>
    </row>
    <row r="847" spans="1:48" ht="12.75" x14ac:dyDescent="0.2">
      <c r="A847" s="243"/>
      <c r="B847" s="243"/>
      <c r="C847" s="1024"/>
      <c r="D847" s="1024"/>
      <c r="E847" s="1025"/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3"/>
      <c r="AI847" s="243"/>
      <c r="AJ847" s="243"/>
      <c r="AK847" s="243"/>
      <c r="AL847" s="243"/>
      <c r="AM847" s="243"/>
      <c r="AN847" s="243"/>
      <c r="AO847" s="243"/>
      <c r="AP847" s="243"/>
      <c r="AQ847" s="1024"/>
      <c r="AR847" s="357"/>
      <c r="AS847" s="163"/>
      <c r="AT847" s="163"/>
      <c r="AU847" s="163"/>
      <c r="AV847" s="321"/>
    </row>
    <row r="848" spans="1:48" ht="12.75" x14ac:dyDescent="0.2">
      <c r="A848" s="243"/>
      <c r="B848" s="243"/>
      <c r="C848" s="1024"/>
      <c r="D848" s="1024"/>
      <c r="E848" s="1025"/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  <c r="AH848" s="243"/>
      <c r="AI848" s="243"/>
      <c r="AJ848" s="243"/>
      <c r="AK848" s="243"/>
      <c r="AL848" s="243"/>
      <c r="AM848" s="243"/>
      <c r="AN848" s="243"/>
      <c r="AO848" s="243"/>
      <c r="AP848" s="243"/>
      <c r="AQ848" s="1024"/>
      <c r="AR848" s="357"/>
      <c r="AS848" s="163"/>
      <c r="AT848" s="163"/>
      <c r="AU848" s="163"/>
      <c r="AV848" s="321"/>
    </row>
    <row r="849" spans="1:48" ht="12.75" x14ac:dyDescent="0.2">
      <c r="A849" s="243"/>
      <c r="B849" s="243"/>
      <c r="C849" s="1024"/>
      <c r="D849" s="1024"/>
      <c r="E849" s="1025"/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  <c r="AH849" s="243"/>
      <c r="AI849" s="243"/>
      <c r="AJ849" s="243"/>
      <c r="AK849" s="243"/>
      <c r="AL849" s="243"/>
      <c r="AM849" s="243"/>
      <c r="AN849" s="243"/>
      <c r="AO849" s="243"/>
      <c r="AP849" s="243"/>
      <c r="AQ849" s="1024"/>
      <c r="AR849" s="357"/>
      <c r="AS849" s="163"/>
      <c r="AT849" s="163"/>
      <c r="AU849" s="163"/>
      <c r="AV849" s="321"/>
    </row>
    <row r="850" spans="1:48" ht="12.75" x14ac:dyDescent="0.2">
      <c r="A850" s="243"/>
      <c r="B850" s="243"/>
      <c r="C850" s="1024"/>
      <c r="D850" s="1024"/>
      <c r="E850" s="1025"/>
      <c r="F850" s="243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3"/>
      <c r="Z850" s="243"/>
      <c r="AA850" s="243"/>
      <c r="AB850" s="243"/>
      <c r="AC850" s="243"/>
      <c r="AD850" s="243"/>
      <c r="AE850" s="243"/>
      <c r="AF850" s="243"/>
      <c r="AG850" s="243"/>
      <c r="AH850" s="243"/>
      <c r="AI850" s="243"/>
      <c r="AJ850" s="243"/>
      <c r="AK850" s="243"/>
      <c r="AL850" s="243"/>
      <c r="AM850" s="243"/>
      <c r="AN850" s="243"/>
      <c r="AO850" s="243"/>
      <c r="AP850" s="243"/>
      <c r="AQ850" s="1024"/>
      <c r="AR850" s="357"/>
      <c r="AS850" s="163"/>
      <c r="AT850" s="163"/>
      <c r="AU850" s="163"/>
      <c r="AV850" s="321"/>
    </row>
    <row r="851" spans="1:48" ht="12.75" x14ac:dyDescent="0.2">
      <c r="A851" s="243"/>
      <c r="B851" s="243"/>
      <c r="C851" s="1024"/>
      <c r="D851" s="1024"/>
      <c r="E851" s="1025"/>
      <c r="F851" s="243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3"/>
      <c r="Z851" s="243"/>
      <c r="AA851" s="243"/>
      <c r="AB851" s="243"/>
      <c r="AC851" s="243"/>
      <c r="AD851" s="243"/>
      <c r="AE851" s="243"/>
      <c r="AF851" s="243"/>
      <c r="AG851" s="243"/>
      <c r="AH851" s="243"/>
      <c r="AI851" s="243"/>
      <c r="AJ851" s="243"/>
      <c r="AK851" s="243"/>
      <c r="AL851" s="243"/>
      <c r="AM851" s="243"/>
      <c r="AN851" s="243"/>
      <c r="AO851" s="243"/>
      <c r="AP851" s="243"/>
      <c r="AQ851" s="1024"/>
      <c r="AR851" s="357"/>
      <c r="AS851" s="163"/>
      <c r="AT851" s="163"/>
      <c r="AU851" s="163"/>
      <c r="AV851" s="321"/>
    </row>
    <row r="852" spans="1:48" ht="12.75" x14ac:dyDescent="0.2">
      <c r="A852" s="243"/>
      <c r="B852" s="243"/>
      <c r="C852" s="1024"/>
      <c r="D852" s="1024"/>
      <c r="E852" s="1025"/>
      <c r="F852" s="243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3"/>
      <c r="Z852" s="243"/>
      <c r="AA852" s="243"/>
      <c r="AB852" s="243"/>
      <c r="AC852" s="243"/>
      <c r="AD852" s="243"/>
      <c r="AE852" s="243"/>
      <c r="AF852" s="243"/>
      <c r="AG852" s="243"/>
      <c r="AH852" s="243"/>
      <c r="AI852" s="243"/>
      <c r="AJ852" s="243"/>
      <c r="AK852" s="243"/>
      <c r="AL852" s="243"/>
      <c r="AM852" s="243"/>
      <c r="AN852" s="243"/>
      <c r="AO852" s="243"/>
      <c r="AP852" s="243"/>
      <c r="AQ852" s="1024"/>
      <c r="AR852" s="357"/>
      <c r="AS852" s="163"/>
      <c r="AT852" s="163"/>
      <c r="AU852" s="163"/>
      <c r="AV852" s="321"/>
    </row>
    <row r="853" spans="1:48" ht="12.75" x14ac:dyDescent="0.2">
      <c r="A853" s="243"/>
      <c r="B853" s="243"/>
      <c r="C853" s="1024"/>
      <c r="D853" s="1024"/>
      <c r="E853" s="1025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  <c r="AH853" s="243"/>
      <c r="AI853" s="243"/>
      <c r="AJ853" s="243"/>
      <c r="AK853" s="243"/>
      <c r="AL853" s="243"/>
      <c r="AM853" s="243"/>
      <c r="AN853" s="243"/>
      <c r="AO853" s="243"/>
      <c r="AP853" s="243"/>
      <c r="AQ853" s="1024"/>
      <c r="AR853" s="357"/>
      <c r="AS853" s="163"/>
      <c r="AT853" s="163"/>
      <c r="AU853" s="163"/>
      <c r="AV853" s="321"/>
    </row>
    <row r="854" spans="1:48" ht="12.75" x14ac:dyDescent="0.2">
      <c r="A854" s="243"/>
      <c r="B854" s="243"/>
      <c r="C854" s="1024"/>
      <c r="D854" s="1024"/>
      <c r="E854" s="1025"/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  <c r="AH854" s="243"/>
      <c r="AI854" s="243"/>
      <c r="AJ854" s="243"/>
      <c r="AK854" s="243"/>
      <c r="AL854" s="243"/>
      <c r="AM854" s="243"/>
      <c r="AN854" s="243"/>
      <c r="AO854" s="243"/>
      <c r="AP854" s="243"/>
      <c r="AQ854" s="1024"/>
      <c r="AR854" s="357"/>
      <c r="AS854" s="163"/>
      <c r="AT854" s="163"/>
      <c r="AU854" s="163"/>
      <c r="AV854" s="321"/>
    </row>
    <row r="855" spans="1:48" ht="12.75" x14ac:dyDescent="0.2">
      <c r="A855" s="243"/>
      <c r="B855" s="243"/>
      <c r="C855" s="1024"/>
      <c r="D855" s="1024"/>
      <c r="E855" s="1025"/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  <c r="AH855" s="243"/>
      <c r="AI855" s="243"/>
      <c r="AJ855" s="243"/>
      <c r="AK855" s="243"/>
      <c r="AL855" s="243"/>
      <c r="AM855" s="243"/>
      <c r="AN855" s="243"/>
      <c r="AO855" s="243"/>
      <c r="AP855" s="243"/>
      <c r="AQ855" s="1024"/>
      <c r="AR855" s="357"/>
      <c r="AS855" s="163"/>
      <c r="AT855" s="163"/>
      <c r="AU855" s="163"/>
      <c r="AV855" s="321"/>
    </row>
    <row r="856" spans="1:48" ht="12.75" x14ac:dyDescent="0.2">
      <c r="A856" s="243"/>
      <c r="B856" s="243"/>
      <c r="C856" s="1024"/>
      <c r="D856" s="1024"/>
      <c r="E856" s="1025"/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  <c r="AH856" s="243"/>
      <c r="AI856" s="243"/>
      <c r="AJ856" s="243"/>
      <c r="AK856" s="243"/>
      <c r="AL856" s="243"/>
      <c r="AM856" s="243"/>
      <c r="AN856" s="243"/>
      <c r="AO856" s="243"/>
      <c r="AP856" s="243"/>
      <c r="AQ856" s="1024"/>
      <c r="AR856" s="357"/>
      <c r="AS856" s="163"/>
      <c r="AT856" s="163"/>
      <c r="AU856" s="163"/>
      <c r="AV856" s="321"/>
    </row>
    <row r="857" spans="1:48" ht="12.75" x14ac:dyDescent="0.2">
      <c r="A857" s="243"/>
      <c r="B857" s="243"/>
      <c r="C857" s="1024"/>
      <c r="D857" s="1024"/>
      <c r="E857" s="1025"/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  <c r="AH857" s="243"/>
      <c r="AI857" s="243"/>
      <c r="AJ857" s="243"/>
      <c r="AK857" s="243"/>
      <c r="AL857" s="243"/>
      <c r="AM857" s="243"/>
      <c r="AN857" s="243"/>
      <c r="AO857" s="243"/>
      <c r="AP857" s="243"/>
      <c r="AQ857" s="1024"/>
      <c r="AR857" s="357"/>
      <c r="AS857" s="163"/>
      <c r="AT857" s="163"/>
      <c r="AU857" s="163"/>
      <c r="AV857" s="321"/>
    </row>
    <row r="858" spans="1:48" ht="12.75" x14ac:dyDescent="0.2">
      <c r="A858" s="243"/>
      <c r="B858" s="243"/>
      <c r="C858" s="1024"/>
      <c r="D858" s="1024"/>
      <c r="E858" s="1025"/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  <c r="AH858" s="243"/>
      <c r="AI858" s="243"/>
      <c r="AJ858" s="243"/>
      <c r="AK858" s="243"/>
      <c r="AL858" s="243"/>
      <c r="AM858" s="243"/>
      <c r="AN858" s="243"/>
      <c r="AO858" s="243"/>
      <c r="AP858" s="243"/>
      <c r="AQ858" s="1024"/>
      <c r="AR858" s="357"/>
      <c r="AS858" s="163"/>
      <c r="AT858" s="163"/>
      <c r="AU858" s="163"/>
      <c r="AV858" s="321"/>
    </row>
    <row r="859" spans="1:48" ht="12.75" x14ac:dyDescent="0.2">
      <c r="A859" s="243"/>
      <c r="B859" s="243"/>
      <c r="C859" s="1024"/>
      <c r="D859" s="1024"/>
      <c r="E859" s="1025"/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  <c r="AH859" s="243"/>
      <c r="AI859" s="243"/>
      <c r="AJ859" s="243"/>
      <c r="AK859" s="243"/>
      <c r="AL859" s="243"/>
      <c r="AM859" s="243"/>
      <c r="AN859" s="243"/>
      <c r="AO859" s="243"/>
      <c r="AP859" s="243"/>
      <c r="AQ859" s="1024"/>
      <c r="AR859" s="357"/>
      <c r="AS859" s="163"/>
      <c r="AT859" s="163"/>
      <c r="AU859" s="163"/>
      <c r="AV859" s="321"/>
    </row>
    <row r="860" spans="1:48" ht="12.75" x14ac:dyDescent="0.2">
      <c r="A860" s="243"/>
      <c r="B860" s="243"/>
      <c r="C860" s="1024"/>
      <c r="D860" s="1024"/>
      <c r="E860" s="1025"/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  <c r="AH860" s="243"/>
      <c r="AI860" s="243"/>
      <c r="AJ860" s="243"/>
      <c r="AK860" s="243"/>
      <c r="AL860" s="243"/>
      <c r="AM860" s="243"/>
      <c r="AN860" s="243"/>
      <c r="AO860" s="243"/>
      <c r="AP860" s="243"/>
      <c r="AQ860" s="1024"/>
      <c r="AR860" s="357"/>
      <c r="AS860" s="163"/>
      <c r="AT860" s="163"/>
      <c r="AU860" s="163"/>
      <c r="AV860" s="321"/>
    </row>
    <row r="861" spans="1:48" ht="12.75" x14ac:dyDescent="0.2">
      <c r="A861" s="243"/>
      <c r="B861" s="243"/>
      <c r="C861" s="1024"/>
      <c r="D861" s="1024"/>
      <c r="E861" s="1025"/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  <c r="AH861" s="243"/>
      <c r="AI861" s="243"/>
      <c r="AJ861" s="243"/>
      <c r="AK861" s="243"/>
      <c r="AL861" s="243"/>
      <c r="AM861" s="243"/>
      <c r="AN861" s="243"/>
      <c r="AO861" s="243"/>
      <c r="AP861" s="243"/>
      <c r="AQ861" s="1024"/>
      <c r="AR861" s="357"/>
      <c r="AS861" s="163"/>
      <c r="AT861" s="163"/>
      <c r="AU861" s="163"/>
      <c r="AV861" s="321"/>
    </row>
    <row r="862" spans="1:48" ht="12.75" x14ac:dyDescent="0.2">
      <c r="A862" s="243"/>
      <c r="B862" s="243"/>
      <c r="C862" s="1024"/>
      <c r="D862" s="1024"/>
      <c r="E862" s="1025"/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  <c r="AH862" s="243"/>
      <c r="AI862" s="243"/>
      <c r="AJ862" s="243"/>
      <c r="AK862" s="243"/>
      <c r="AL862" s="243"/>
      <c r="AM862" s="243"/>
      <c r="AN862" s="243"/>
      <c r="AO862" s="243"/>
      <c r="AP862" s="243"/>
      <c r="AQ862" s="1024"/>
      <c r="AR862" s="357"/>
      <c r="AS862" s="163"/>
      <c r="AT862" s="163"/>
      <c r="AU862" s="163"/>
      <c r="AV862" s="321"/>
    </row>
    <row r="863" spans="1:48" ht="12.75" x14ac:dyDescent="0.2">
      <c r="A863" s="243"/>
      <c r="B863" s="243"/>
      <c r="C863" s="1024"/>
      <c r="D863" s="1024"/>
      <c r="E863" s="1025"/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  <c r="AH863" s="243"/>
      <c r="AI863" s="243"/>
      <c r="AJ863" s="243"/>
      <c r="AK863" s="243"/>
      <c r="AL863" s="243"/>
      <c r="AM863" s="243"/>
      <c r="AN863" s="243"/>
      <c r="AO863" s="243"/>
      <c r="AP863" s="243"/>
      <c r="AQ863" s="1024"/>
      <c r="AR863" s="357"/>
      <c r="AS863" s="163"/>
      <c r="AT863" s="163"/>
      <c r="AU863" s="163"/>
      <c r="AV863" s="321"/>
    </row>
    <row r="864" spans="1:48" ht="12.75" x14ac:dyDescent="0.2">
      <c r="A864" s="243"/>
      <c r="B864" s="243"/>
      <c r="C864" s="1024"/>
      <c r="D864" s="1024"/>
      <c r="E864" s="1025"/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  <c r="AH864" s="243"/>
      <c r="AI864" s="243"/>
      <c r="AJ864" s="243"/>
      <c r="AK864" s="243"/>
      <c r="AL864" s="243"/>
      <c r="AM864" s="243"/>
      <c r="AN864" s="243"/>
      <c r="AO864" s="243"/>
      <c r="AP864" s="243"/>
      <c r="AQ864" s="1024"/>
      <c r="AR864" s="357"/>
      <c r="AS864" s="163"/>
      <c r="AT864" s="163"/>
      <c r="AU864" s="163"/>
      <c r="AV864" s="321"/>
    </row>
    <row r="865" spans="1:48" ht="12.75" x14ac:dyDescent="0.2">
      <c r="A865" s="243"/>
      <c r="B865" s="243"/>
      <c r="C865" s="1024"/>
      <c r="D865" s="1024"/>
      <c r="E865" s="1025"/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  <c r="AH865" s="243"/>
      <c r="AI865" s="243"/>
      <c r="AJ865" s="243"/>
      <c r="AK865" s="243"/>
      <c r="AL865" s="243"/>
      <c r="AM865" s="243"/>
      <c r="AN865" s="243"/>
      <c r="AO865" s="243"/>
      <c r="AP865" s="243"/>
      <c r="AQ865" s="1024"/>
      <c r="AR865" s="357"/>
      <c r="AS865" s="163"/>
      <c r="AT865" s="163"/>
      <c r="AU865" s="163"/>
      <c r="AV865" s="321"/>
    </row>
    <row r="866" spans="1:48" ht="12.75" x14ac:dyDescent="0.2">
      <c r="A866" s="243"/>
      <c r="B866" s="243"/>
      <c r="C866" s="1024"/>
      <c r="D866" s="1024"/>
      <c r="E866" s="1025"/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  <c r="AH866" s="243"/>
      <c r="AI866" s="243"/>
      <c r="AJ866" s="243"/>
      <c r="AK866" s="243"/>
      <c r="AL866" s="243"/>
      <c r="AM866" s="243"/>
      <c r="AN866" s="243"/>
      <c r="AO866" s="243"/>
      <c r="AP866" s="243"/>
      <c r="AQ866" s="1024"/>
      <c r="AR866" s="357"/>
      <c r="AS866" s="163"/>
      <c r="AT866" s="163"/>
      <c r="AU866" s="163"/>
      <c r="AV866" s="321"/>
    </row>
    <row r="867" spans="1:48" ht="12.75" x14ac:dyDescent="0.2">
      <c r="A867" s="243"/>
      <c r="B867" s="243"/>
      <c r="C867" s="1024"/>
      <c r="D867" s="1024"/>
      <c r="E867" s="1025"/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  <c r="AH867" s="243"/>
      <c r="AI867" s="243"/>
      <c r="AJ867" s="243"/>
      <c r="AK867" s="243"/>
      <c r="AL867" s="243"/>
      <c r="AM867" s="243"/>
      <c r="AN867" s="243"/>
      <c r="AO867" s="243"/>
      <c r="AP867" s="243"/>
      <c r="AQ867" s="1024"/>
      <c r="AR867" s="357"/>
      <c r="AS867" s="163"/>
      <c r="AT867" s="163"/>
      <c r="AU867" s="163"/>
      <c r="AV867" s="321"/>
    </row>
    <row r="868" spans="1:48" ht="12.75" x14ac:dyDescent="0.2">
      <c r="A868" s="243"/>
      <c r="B868" s="243"/>
      <c r="C868" s="1024"/>
      <c r="D868" s="1024"/>
      <c r="E868" s="1025"/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  <c r="AH868" s="243"/>
      <c r="AI868" s="243"/>
      <c r="AJ868" s="243"/>
      <c r="AK868" s="243"/>
      <c r="AL868" s="243"/>
      <c r="AM868" s="243"/>
      <c r="AN868" s="243"/>
      <c r="AO868" s="243"/>
      <c r="AP868" s="243"/>
      <c r="AQ868" s="1024"/>
      <c r="AR868" s="357"/>
      <c r="AS868" s="163"/>
      <c r="AT868" s="163"/>
      <c r="AU868" s="163"/>
      <c r="AV868" s="321"/>
    </row>
    <row r="869" spans="1:48" ht="12.75" x14ac:dyDescent="0.2">
      <c r="A869" s="243"/>
      <c r="B869" s="243"/>
      <c r="C869" s="1024"/>
      <c r="D869" s="1024"/>
      <c r="E869" s="1025"/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  <c r="AH869" s="243"/>
      <c r="AI869" s="243"/>
      <c r="AJ869" s="243"/>
      <c r="AK869" s="243"/>
      <c r="AL869" s="243"/>
      <c r="AM869" s="243"/>
      <c r="AN869" s="243"/>
      <c r="AO869" s="243"/>
      <c r="AP869" s="243"/>
      <c r="AQ869" s="1024"/>
      <c r="AR869" s="357"/>
      <c r="AS869" s="163"/>
      <c r="AT869" s="163"/>
      <c r="AU869" s="163"/>
      <c r="AV869" s="321"/>
    </row>
    <row r="870" spans="1:48" ht="12.75" x14ac:dyDescent="0.2">
      <c r="A870" s="243"/>
      <c r="B870" s="243"/>
      <c r="C870" s="1024"/>
      <c r="D870" s="1024"/>
      <c r="E870" s="1025"/>
      <c r="F870" s="243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3"/>
      <c r="Z870" s="243"/>
      <c r="AA870" s="243"/>
      <c r="AB870" s="243"/>
      <c r="AC870" s="243"/>
      <c r="AD870" s="243"/>
      <c r="AE870" s="243"/>
      <c r="AF870" s="243"/>
      <c r="AG870" s="243"/>
      <c r="AH870" s="243"/>
      <c r="AI870" s="243"/>
      <c r="AJ870" s="243"/>
      <c r="AK870" s="243"/>
      <c r="AL870" s="243"/>
      <c r="AM870" s="243"/>
      <c r="AN870" s="243"/>
      <c r="AO870" s="243"/>
      <c r="AP870" s="243"/>
      <c r="AQ870" s="1024"/>
      <c r="AR870" s="357"/>
      <c r="AS870" s="163"/>
      <c r="AT870" s="163"/>
      <c r="AU870" s="163"/>
      <c r="AV870" s="321"/>
    </row>
    <row r="871" spans="1:48" ht="12.75" x14ac:dyDescent="0.2">
      <c r="A871" s="243"/>
      <c r="B871" s="243"/>
      <c r="C871" s="1024"/>
      <c r="D871" s="1024"/>
      <c r="E871" s="1025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3"/>
      <c r="AI871" s="243"/>
      <c r="AJ871" s="243"/>
      <c r="AK871" s="243"/>
      <c r="AL871" s="243"/>
      <c r="AM871" s="243"/>
      <c r="AN871" s="243"/>
      <c r="AO871" s="243"/>
      <c r="AP871" s="243"/>
      <c r="AQ871" s="1024"/>
      <c r="AR871" s="357"/>
      <c r="AS871" s="163"/>
      <c r="AT871" s="163"/>
      <c r="AU871" s="163"/>
      <c r="AV871" s="321"/>
    </row>
    <row r="872" spans="1:48" ht="12.75" x14ac:dyDescent="0.2">
      <c r="A872" s="243"/>
      <c r="B872" s="243"/>
      <c r="C872" s="1024"/>
      <c r="D872" s="1024"/>
      <c r="E872" s="1025"/>
      <c r="F872" s="243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3"/>
      <c r="Z872" s="243"/>
      <c r="AA872" s="243"/>
      <c r="AB872" s="243"/>
      <c r="AC872" s="243"/>
      <c r="AD872" s="243"/>
      <c r="AE872" s="243"/>
      <c r="AF872" s="243"/>
      <c r="AG872" s="243"/>
      <c r="AH872" s="243"/>
      <c r="AI872" s="243"/>
      <c r="AJ872" s="243"/>
      <c r="AK872" s="243"/>
      <c r="AL872" s="243"/>
      <c r="AM872" s="243"/>
      <c r="AN872" s="243"/>
      <c r="AO872" s="243"/>
      <c r="AP872" s="243"/>
      <c r="AQ872" s="1024"/>
      <c r="AR872" s="357"/>
      <c r="AS872" s="163"/>
      <c r="AT872" s="163"/>
      <c r="AU872" s="163"/>
      <c r="AV872" s="321"/>
    </row>
    <row r="873" spans="1:48" ht="12.75" x14ac:dyDescent="0.2">
      <c r="A873" s="243"/>
      <c r="B873" s="243"/>
      <c r="C873" s="1024"/>
      <c r="D873" s="1024"/>
      <c r="E873" s="1025"/>
      <c r="F873" s="243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3"/>
      <c r="Z873" s="243"/>
      <c r="AA873" s="243"/>
      <c r="AB873" s="243"/>
      <c r="AC873" s="243"/>
      <c r="AD873" s="243"/>
      <c r="AE873" s="243"/>
      <c r="AF873" s="243"/>
      <c r="AG873" s="243"/>
      <c r="AH873" s="243"/>
      <c r="AI873" s="243"/>
      <c r="AJ873" s="243"/>
      <c r="AK873" s="243"/>
      <c r="AL873" s="243"/>
      <c r="AM873" s="243"/>
      <c r="AN873" s="243"/>
      <c r="AO873" s="243"/>
      <c r="AP873" s="243"/>
      <c r="AQ873" s="1024"/>
      <c r="AR873" s="357"/>
      <c r="AS873" s="163"/>
      <c r="AT873" s="163"/>
      <c r="AU873" s="163"/>
      <c r="AV873" s="321"/>
    </row>
    <row r="874" spans="1:48" ht="12.75" x14ac:dyDescent="0.2">
      <c r="A874" s="243"/>
      <c r="B874" s="243"/>
      <c r="C874" s="1024"/>
      <c r="D874" s="1024"/>
      <c r="E874" s="1025"/>
      <c r="F874" s="243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3"/>
      <c r="Z874" s="243"/>
      <c r="AA874" s="243"/>
      <c r="AB874" s="243"/>
      <c r="AC874" s="243"/>
      <c r="AD874" s="243"/>
      <c r="AE874" s="243"/>
      <c r="AF874" s="243"/>
      <c r="AG874" s="243"/>
      <c r="AH874" s="243"/>
      <c r="AI874" s="243"/>
      <c r="AJ874" s="243"/>
      <c r="AK874" s="243"/>
      <c r="AL874" s="243"/>
      <c r="AM874" s="243"/>
      <c r="AN874" s="243"/>
      <c r="AO874" s="243"/>
      <c r="AP874" s="243"/>
      <c r="AQ874" s="1024"/>
      <c r="AR874" s="357"/>
      <c r="AS874" s="163"/>
      <c r="AT874" s="163"/>
      <c r="AU874" s="163"/>
      <c r="AV874" s="321"/>
    </row>
    <row r="875" spans="1:48" ht="12.75" x14ac:dyDescent="0.2">
      <c r="A875" s="243"/>
      <c r="B875" s="243"/>
      <c r="C875" s="1024"/>
      <c r="D875" s="1024"/>
      <c r="E875" s="1025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  <c r="AH875" s="243"/>
      <c r="AI875" s="243"/>
      <c r="AJ875" s="243"/>
      <c r="AK875" s="243"/>
      <c r="AL875" s="243"/>
      <c r="AM875" s="243"/>
      <c r="AN875" s="243"/>
      <c r="AO875" s="243"/>
      <c r="AP875" s="243"/>
      <c r="AQ875" s="1024"/>
      <c r="AR875" s="357"/>
      <c r="AS875" s="163"/>
      <c r="AT875" s="163"/>
      <c r="AU875" s="163"/>
      <c r="AV875" s="321"/>
    </row>
    <row r="876" spans="1:48" ht="12.75" x14ac:dyDescent="0.2">
      <c r="A876" s="243"/>
      <c r="B876" s="243"/>
      <c r="C876" s="1024"/>
      <c r="D876" s="1024"/>
      <c r="E876" s="1025"/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  <c r="AH876" s="243"/>
      <c r="AI876" s="243"/>
      <c r="AJ876" s="243"/>
      <c r="AK876" s="243"/>
      <c r="AL876" s="243"/>
      <c r="AM876" s="243"/>
      <c r="AN876" s="243"/>
      <c r="AO876" s="243"/>
      <c r="AP876" s="243"/>
      <c r="AQ876" s="1024"/>
      <c r="AR876" s="357"/>
      <c r="AS876" s="163"/>
      <c r="AT876" s="163"/>
      <c r="AU876" s="163"/>
      <c r="AV876" s="321"/>
    </row>
    <row r="877" spans="1:48" ht="12.75" x14ac:dyDescent="0.2">
      <c r="A877" s="243"/>
      <c r="B877" s="243"/>
      <c r="C877" s="1024"/>
      <c r="D877" s="1024"/>
      <c r="E877" s="1025"/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  <c r="AH877" s="243"/>
      <c r="AI877" s="243"/>
      <c r="AJ877" s="243"/>
      <c r="AK877" s="243"/>
      <c r="AL877" s="243"/>
      <c r="AM877" s="243"/>
      <c r="AN877" s="243"/>
      <c r="AO877" s="243"/>
      <c r="AP877" s="243"/>
      <c r="AQ877" s="1024"/>
      <c r="AR877" s="357"/>
      <c r="AS877" s="163"/>
      <c r="AT877" s="163"/>
      <c r="AU877" s="163"/>
      <c r="AV877" s="321"/>
    </row>
    <row r="878" spans="1:48" ht="12.75" x14ac:dyDescent="0.2">
      <c r="A878" s="243"/>
      <c r="B878" s="243"/>
      <c r="C878" s="1024"/>
      <c r="D878" s="1024"/>
      <c r="E878" s="1025"/>
      <c r="F878" s="243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3"/>
      <c r="Z878" s="243"/>
      <c r="AA878" s="243"/>
      <c r="AB878" s="243"/>
      <c r="AC878" s="243"/>
      <c r="AD878" s="243"/>
      <c r="AE878" s="243"/>
      <c r="AF878" s="243"/>
      <c r="AG878" s="243"/>
      <c r="AH878" s="243"/>
      <c r="AI878" s="243"/>
      <c r="AJ878" s="243"/>
      <c r="AK878" s="243"/>
      <c r="AL878" s="243"/>
      <c r="AM878" s="243"/>
      <c r="AN878" s="243"/>
      <c r="AO878" s="243"/>
      <c r="AP878" s="243"/>
      <c r="AQ878" s="1024"/>
      <c r="AR878" s="357"/>
      <c r="AS878" s="163"/>
      <c r="AT878" s="163"/>
      <c r="AU878" s="163"/>
      <c r="AV878" s="321"/>
    </row>
    <row r="879" spans="1:48" ht="12.75" x14ac:dyDescent="0.2">
      <c r="A879" s="243"/>
      <c r="B879" s="243"/>
      <c r="C879" s="1024"/>
      <c r="D879" s="1024"/>
      <c r="E879" s="1025"/>
      <c r="F879" s="243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3"/>
      <c r="Z879" s="243"/>
      <c r="AA879" s="243"/>
      <c r="AB879" s="243"/>
      <c r="AC879" s="243"/>
      <c r="AD879" s="243"/>
      <c r="AE879" s="243"/>
      <c r="AF879" s="243"/>
      <c r="AG879" s="243"/>
      <c r="AH879" s="243"/>
      <c r="AI879" s="243"/>
      <c r="AJ879" s="243"/>
      <c r="AK879" s="243"/>
      <c r="AL879" s="243"/>
      <c r="AM879" s="243"/>
      <c r="AN879" s="243"/>
      <c r="AO879" s="243"/>
      <c r="AP879" s="243"/>
      <c r="AQ879" s="1024"/>
      <c r="AR879" s="357"/>
      <c r="AS879" s="163"/>
      <c r="AT879" s="163"/>
      <c r="AU879" s="163"/>
      <c r="AV879" s="321"/>
    </row>
    <row r="880" spans="1:48" ht="12.75" x14ac:dyDescent="0.2">
      <c r="A880" s="243"/>
      <c r="B880" s="243"/>
      <c r="C880" s="1024"/>
      <c r="D880" s="1024"/>
      <c r="E880" s="1025"/>
      <c r="F880" s="243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3"/>
      <c r="Z880" s="243"/>
      <c r="AA880" s="243"/>
      <c r="AB880" s="243"/>
      <c r="AC880" s="243"/>
      <c r="AD880" s="243"/>
      <c r="AE880" s="243"/>
      <c r="AF880" s="243"/>
      <c r="AG880" s="243"/>
      <c r="AH880" s="243"/>
      <c r="AI880" s="243"/>
      <c r="AJ880" s="243"/>
      <c r="AK880" s="243"/>
      <c r="AL880" s="243"/>
      <c r="AM880" s="243"/>
      <c r="AN880" s="243"/>
      <c r="AO880" s="243"/>
      <c r="AP880" s="243"/>
      <c r="AQ880" s="1024"/>
      <c r="AR880" s="357"/>
      <c r="AS880" s="163"/>
      <c r="AT880" s="163"/>
      <c r="AU880" s="163"/>
      <c r="AV880" s="321"/>
    </row>
    <row r="881" spans="1:48" ht="12.75" x14ac:dyDescent="0.2">
      <c r="A881" s="243"/>
      <c r="B881" s="243"/>
      <c r="C881" s="1024"/>
      <c r="D881" s="1024"/>
      <c r="E881" s="1025"/>
      <c r="F881" s="243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3"/>
      <c r="Z881" s="243"/>
      <c r="AA881" s="243"/>
      <c r="AB881" s="243"/>
      <c r="AC881" s="243"/>
      <c r="AD881" s="243"/>
      <c r="AE881" s="243"/>
      <c r="AF881" s="243"/>
      <c r="AG881" s="243"/>
      <c r="AH881" s="243"/>
      <c r="AI881" s="243"/>
      <c r="AJ881" s="243"/>
      <c r="AK881" s="243"/>
      <c r="AL881" s="243"/>
      <c r="AM881" s="243"/>
      <c r="AN881" s="243"/>
      <c r="AO881" s="243"/>
      <c r="AP881" s="243"/>
      <c r="AQ881" s="1024"/>
      <c r="AR881" s="357"/>
      <c r="AS881" s="163"/>
      <c r="AT881" s="163"/>
      <c r="AU881" s="163"/>
      <c r="AV881" s="321"/>
    </row>
    <row r="882" spans="1:48" ht="12.75" x14ac:dyDescent="0.2">
      <c r="A882" s="243"/>
      <c r="B882" s="243"/>
      <c r="C882" s="1024"/>
      <c r="D882" s="1024"/>
      <c r="E882" s="1025"/>
      <c r="F882" s="243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3"/>
      <c r="Z882" s="243"/>
      <c r="AA882" s="243"/>
      <c r="AB882" s="243"/>
      <c r="AC882" s="243"/>
      <c r="AD882" s="243"/>
      <c r="AE882" s="243"/>
      <c r="AF882" s="243"/>
      <c r="AG882" s="243"/>
      <c r="AH882" s="243"/>
      <c r="AI882" s="243"/>
      <c r="AJ882" s="243"/>
      <c r="AK882" s="243"/>
      <c r="AL882" s="243"/>
      <c r="AM882" s="243"/>
      <c r="AN882" s="243"/>
      <c r="AO882" s="243"/>
      <c r="AP882" s="243"/>
      <c r="AQ882" s="1024"/>
      <c r="AR882" s="357"/>
      <c r="AS882" s="163"/>
      <c r="AT882" s="163"/>
      <c r="AU882" s="163"/>
      <c r="AV882" s="321"/>
    </row>
    <row r="883" spans="1:48" ht="12.75" x14ac:dyDescent="0.2">
      <c r="A883" s="243"/>
      <c r="B883" s="243"/>
      <c r="C883" s="1024"/>
      <c r="D883" s="1024"/>
      <c r="E883" s="1025"/>
      <c r="F883" s="243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3"/>
      <c r="Z883" s="243"/>
      <c r="AA883" s="243"/>
      <c r="AB883" s="243"/>
      <c r="AC883" s="243"/>
      <c r="AD883" s="243"/>
      <c r="AE883" s="243"/>
      <c r="AF883" s="243"/>
      <c r="AG883" s="243"/>
      <c r="AH883" s="243"/>
      <c r="AI883" s="243"/>
      <c r="AJ883" s="243"/>
      <c r="AK883" s="243"/>
      <c r="AL883" s="243"/>
      <c r="AM883" s="243"/>
      <c r="AN883" s="243"/>
      <c r="AO883" s="243"/>
      <c r="AP883" s="243"/>
      <c r="AQ883" s="1024"/>
      <c r="AR883" s="357"/>
      <c r="AS883" s="163"/>
      <c r="AT883" s="163"/>
      <c r="AU883" s="163"/>
      <c r="AV883" s="321"/>
    </row>
    <row r="884" spans="1:48" ht="12.75" x14ac:dyDescent="0.2">
      <c r="A884" s="243"/>
      <c r="B884" s="243"/>
      <c r="C884" s="1024"/>
      <c r="D884" s="1024"/>
      <c r="E884" s="1025"/>
      <c r="F884" s="243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3"/>
      <c r="Z884" s="243"/>
      <c r="AA884" s="243"/>
      <c r="AB884" s="243"/>
      <c r="AC884" s="243"/>
      <c r="AD884" s="243"/>
      <c r="AE884" s="243"/>
      <c r="AF884" s="243"/>
      <c r="AG884" s="243"/>
      <c r="AH884" s="243"/>
      <c r="AI884" s="243"/>
      <c r="AJ884" s="243"/>
      <c r="AK884" s="243"/>
      <c r="AL884" s="243"/>
      <c r="AM884" s="243"/>
      <c r="AN884" s="243"/>
      <c r="AO884" s="243"/>
      <c r="AP884" s="243"/>
      <c r="AQ884" s="1024"/>
      <c r="AR884" s="357"/>
      <c r="AS884" s="163"/>
      <c r="AT884" s="163"/>
      <c r="AU884" s="163"/>
      <c r="AV884" s="321"/>
    </row>
    <row r="885" spans="1:48" ht="12.75" x14ac:dyDescent="0.2">
      <c r="A885" s="243"/>
      <c r="B885" s="243"/>
      <c r="C885" s="1024"/>
      <c r="D885" s="1024"/>
      <c r="E885" s="1025"/>
      <c r="F885" s="243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3"/>
      <c r="Z885" s="243"/>
      <c r="AA885" s="243"/>
      <c r="AB885" s="243"/>
      <c r="AC885" s="243"/>
      <c r="AD885" s="243"/>
      <c r="AE885" s="243"/>
      <c r="AF885" s="243"/>
      <c r="AG885" s="243"/>
      <c r="AH885" s="243"/>
      <c r="AI885" s="243"/>
      <c r="AJ885" s="243"/>
      <c r="AK885" s="243"/>
      <c r="AL885" s="243"/>
      <c r="AM885" s="243"/>
      <c r="AN885" s="243"/>
      <c r="AO885" s="243"/>
      <c r="AP885" s="243"/>
      <c r="AQ885" s="1024"/>
      <c r="AR885" s="357"/>
      <c r="AS885" s="163"/>
      <c r="AT885" s="163"/>
      <c r="AU885" s="163"/>
      <c r="AV885" s="321"/>
    </row>
    <row r="886" spans="1:48" ht="12.75" x14ac:dyDescent="0.2">
      <c r="A886" s="243"/>
      <c r="B886" s="243"/>
      <c r="C886" s="1024"/>
      <c r="D886" s="1024"/>
      <c r="E886" s="1025"/>
      <c r="F886" s="243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  <c r="AH886" s="243"/>
      <c r="AI886" s="243"/>
      <c r="AJ886" s="243"/>
      <c r="AK886" s="243"/>
      <c r="AL886" s="243"/>
      <c r="AM886" s="243"/>
      <c r="AN886" s="243"/>
      <c r="AO886" s="243"/>
      <c r="AP886" s="243"/>
      <c r="AQ886" s="1024"/>
      <c r="AR886" s="357"/>
      <c r="AS886" s="163"/>
      <c r="AT886" s="163"/>
      <c r="AU886" s="163"/>
      <c r="AV886" s="321"/>
    </row>
    <row r="887" spans="1:48" ht="12.75" x14ac:dyDescent="0.2">
      <c r="A887" s="243"/>
      <c r="B887" s="243"/>
      <c r="C887" s="1024"/>
      <c r="D887" s="1024"/>
      <c r="E887" s="1025"/>
      <c r="F887" s="243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3"/>
      <c r="Z887" s="243"/>
      <c r="AA887" s="243"/>
      <c r="AB887" s="243"/>
      <c r="AC887" s="243"/>
      <c r="AD887" s="243"/>
      <c r="AE887" s="243"/>
      <c r="AF887" s="243"/>
      <c r="AG887" s="243"/>
      <c r="AH887" s="243"/>
      <c r="AI887" s="243"/>
      <c r="AJ887" s="243"/>
      <c r="AK887" s="243"/>
      <c r="AL887" s="243"/>
      <c r="AM887" s="243"/>
      <c r="AN887" s="243"/>
      <c r="AO887" s="243"/>
      <c r="AP887" s="243"/>
      <c r="AQ887" s="1024"/>
      <c r="AR887" s="357"/>
      <c r="AS887" s="163"/>
      <c r="AT887" s="163"/>
      <c r="AU887" s="163"/>
      <c r="AV887" s="321"/>
    </row>
    <row r="888" spans="1:48" ht="12.75" x14ac:dyDescent="0.2">
      <c r="A888" s="243"/>
      <c r="B888" s="243"/>
      <c r="C888" s="1024"/>
      <c r="D888" s="1024"/>
      <c r="E888" s="1025"/>
      <c r="F888" s="243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3"/>
      <c r="Z888" s="243"/>
      <c r="AA888" s="243"/>
      <c r="AB888" s="243"/>
      <c r="AC888" s="243"/>
      <c r="AD888" s="243"/>
      <c r="AE888" s="243"/>
      <c r="AF888" s="243"/>
      <c r="AG888" s="243"/>
      <c r="AH888" s="243"/>
      <c r="AI888" s="243"/>
      <c r="AJ888" s="243"/>
      <c r="AK888" s="243"/>
      <c r="AL888" s="243"/>
      <c r="AM888" s="243"/>
      <c r="AN888" s="243"/>
      <c r="AO888" s="243"/>
      <c r="AP888" s="243"/>
      <c r="AQ888" s="1024"/>
      <c r="AR888" s="357"/>
      <c r="AS888" s="163"/>
      <c r="AT888" s="163"/>
      <c r="AU888" s="163"/>
      <c r="AV888" s="321"/>
    </row>
    <row r="889" spans="1:48" ht="12.75" x14ac:dyDescent="0.2">
      <c r="A889" s="243"/>
      <c r="B889" s="243"/>
      <c r="C889" s="1024"/>
      <c r="D889" s="1024"/>
      <c r="E889" s="1025"/>
      <c r="F889" s="243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3"/>
      <c r="Z889" s="243"/>
      <c r="AA889" s="243"/>
      <c r="AB889" s="243"/>
      <c r="AC889" s="243"/>
      <c r="AD889" s="243"/>
      <c r="AE889" s="243"/>
      <c r="AF889" s="243"/>
      <c r="AG889" s="243"/>
      <c r="AH889" s="243"/>
      <c r="AI889" s="243"/>
      <c r="AJ889" s="243"/>
      <c r="AK889" s="243"/>
      <c r="AL889" s="243"/>
      <c r="AM889" s="243"/>
      <c r="AN889" s="243"/>
      <c r="AO889" s="243"/>
      <c r="AP889" s="243"/>
      <c r="AQ889" s="1024"/>
      <c r="AR889" s="357"/>
      <c r="AS889" s="163"/>
      <c r="AT889" s="163"/>
      <c r="AU889" s="163"/>
      <c r="AV889" s="321"/>
    </row>
    <row r="890" spans="1:48" ht="12.75" x14ac:dyDescent="0.2">
      <c r="A890" s="243"/>
      <c r="B890" s="243"/>
      <c r="C890" s="1024"/>
      <c r="D890" s="1024"/>
      <c r="E890" s="1025"/>
      <c r="F890" s="243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3"/>
      <c r="Z890" s="243"/>
      <c r="AA890" s="243"/>
      <c r="AB890" s="243"/>
      <c r="AC890" s="243"/>
      <c r="AD890" s="243"/>
      <c r="AE890" s="243"/>
      <c r="AF890" s="243"/>
      <c r="AG890" s="243"/>
      <c r="AH890" s="243"/>
      <c r="AI890" s="243"/>
      <c r="AJ890" s="243"/>
      <c r="AK890" s="243"/>
      <c r="AL890" s="243"/>
      <c r="AM890" s="243"/>
      <c r="AN890" s="243"/>
      <c r="AO890" s="243"/>
      <c r="AP890" s="243"/>
      <c r="AQ890" s="1024"/>
      <c r="AR890" s="357"/>
      <c r="AS890" s="163"/>
      <c r="AT890" s="163"/>
      <c r="AU890" s="163"/>
      <c r="AV890" s="321"/>
    </row>
    <row r="891" spans="1:48" ht="12.75" x14ac:dyDescent="0.2">
      <c r="A891" s="243"/>
      <c r="B891" s="243"/>
      <c r="C891" s="1024"/>
      <c r="D891" s="1024"/>
      <c r="E891" s="1025"/>
      <c r="F891" s="243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3"/>
      <c r="Z891" s="243"/>
      <c r="AA891" s="243"/>
      <c r="AB891" s="243"/>
      <c r="AC891" s="243"/>
      <c r="AD891" s="243"/>
      <c r="AE891" s="243"/>
      <c r="AF891" s="243"/>
      <c r="AG891" s="243"/>
      <c r="AH891" s="243"/>
      <c r="AI891" s="243"/>
      <c r="AJ891" s="243"/>
      <c r="AK891" s="243"/>
      <c r="AL891" s="243"/>
      <c r="AM891" s="243"/>
      <c r="AN891" s="243"/>
      <c r="AO891" s="243"/>
      <c r="AP891" s="243"/>
      <c r="AQ891" s="1024"/>
      <c r="AR891" s="357"/>
      <c r="AS891" s="163"/>
      <c r="AT891" s="163"/>
      <c r="AU891" s="163"/>
      <c r="AV891" s="321"/>
    </row>
    <row r="892" spans="1:48" ht="12.75" x14ac:dyDescent="0.2">
      <c r="A892" s="243"/>
      <c r="B892" s="243"/>
      <c r="C892" s="1024"/>
      <c r="D892" s="1024"/>
      <c r="E892" s="1025"/>
      <c r="F892" s="243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3"/>
      <c r="Z892" s="243"/>
      <c r="AA892" s="243"/>
      <c r="AB892" s="243"/>
      <c r="AC892" s="243"/>
      <c r="AD892" s="243"/>
      <c r="AE892" s="243"/>
      <c r="AF892" s="243"/>
      <c r="AG892" s="243"/>
      <c r="AH892" s="243"/>
      <c r="AI892" s="243"/>
      <c r="AJ892" s="243"/>
      <c r="AK892" s="243"/>
      <c r="AL892" s="243"/>
      <c r="AM892" s="243"/>
      <c r="AN892" s="243"/>
      <c r="AO892" s="243"/>
      <c r="AP892" s="243"/>
      <c r="AQ892" s="1024"/>
      <c r="AR892" s="357"/>
      <c r="AS892" s="163"/>
      <c r="AT892" s="163"/>
      <c r="AU892" s="163"/>
      <c r="AV892" s="321"/>
    </row>
    <row r="893" spans="1:48" ht="12.75" x14ac:dyDescent="0.2">
      <c r="A893" s="243"/>
      <c r="B893" s="243"/>
      <c r="C893" s="1024"/>
      <c r="D893" s="1024"/>
      <c r="E893" s="1025"/>
      <c r="F893" s="243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3"/>
      <c r="Z893" s="243"/>
      <c r="AA893" s="243"/>
      <c r="AB893" s="243"/>
      <c r="AC893" s="243"/>
      <c r="AD893" s="243"/>
      <c r="AE893" s="243"/>
      <c r="AF893" s="243"/>
      <c r="AG893" s="243"/>
      <c r="AH893" s="243"/>
      <c r="AI893" s="243"/>
      <c r="AJ893" s="243"/>
      <c r="AK893" s="243"/>
      <c r="AL893" s="243"/>
      <c r="AM893" s="243"/>
      <c r="AN893" s="243"/>
      <c r="AO893" s="243"/>
      <c r="AP893" s="243"/>
      <c r="AQ893" s="1024"/>
      <c r="AR893" s="357"/>
      <c r="AS893" s="163"/>
      <c r="AT893" s="163"/>
      <c r="AU893" s="163"/>
      <c r="AV893" s="321"/>
    </row>
    <row r="894" spans="1:48" ht="12.75" x14ac:dyDescent="0.2">
      <c r="A894" s="243"/>
      <c r="B894" s="243"/>
      <c r="C894" s="1024"/>
      <c r="D894" s="1024"/>
      <c r="E894" s="1025"/>
      <c r="F894" s="243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3"/>
      <c r="Z894" s="243"/>
      <c r="AA894" s="243"/>
      <c r="AB894" s="243"/>
      <c r="AC894" s="243"/>
      <c r="AD894" s="243"/>
      <c r="AE894" s="243"/>
      <c r="AF894" s="243"/>
      <c r="AG894" s="243"/>
      <c r="AH894" s="243"/>
      <c r="AI894" s="243"/>
      <c r="AJ894" s="243"/>
      <c r="AK894" s="243"/>
      <c r="AL894" s="243"/>
      <c r="AM894" s="243"/>
      <c r="AN894" s="243"/>
      <c r="AO894" s="243"/>
      <c r="AP894" s="243"/>
      <c r="AQ894" s="1024"/>
      <c r="AR894" s="357"/>
      <c r="AS894" s="163"/>
      <c r="AT894" s="163"/>
      <c r="AU894" s="163"/>
      <c r="AV894" s="321"/>
    </row>
    <row r="895" spans="1:48" ht="12.75" x14ac:dyDescent="0.2">
      <c r="A895" s="243"/>
      <c r="B895" s="243"/>
      <c r="C895" s="1024"/>
      <c r="D895" s="1024"/>
      <c r="E895" s="1025"/>
      <c r="F895" s="243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3"/>
      <c r="Z895" s="243"/>
      <c r="AA895" s="243"/>
      <c r="AB895" s="243"/>
      <c r="AC895" s="243"/>
      <c r="AD895" s="243"/>
      <c r="AE895" s="243"/>
      <c r="AF895" s="243"/>
      <c r="AG895" s="243"/>
      <c r="AH895" s="243"/>
      <c r="AI895" s="243"/>
      <c r="AJ895" s="243"/>
      <c r="AK895" s="243"/>
      <c r="AL895" s="243"/>
      <c r="AM895" s="243"/>
      <c r="AN895" s="243"/>
      <c r="AO895" s="243"/>
      <c r="AP895" s="243"/>
      <c r="AQ895" s="1024"/>
      <c r="AR895" s="357"/>
      <c r="AS895" s="163"/>
      <c r="AT895" s="163"/>
      <c r="AU895" s="163"/>
      <c r="AV895" s="321"/>
    </row>
    <row r="896" spans="1:48" ht="12.75" x14ac:dyDescent="0.2">
      <c r="A896" s="243"/>
      <c r="B896" s="243"/>
      <c r="C896" s="1024"/>
      <c r="D896" s="1024"/>
      <c r="E896" s="1025"/>
      <c r="F896" s="243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3"/>
      <c r="Z896" s="243"/>
      <c r="AA896" s="243"/>
      <c r="AB896" s="243"/>
      <c r="AC896" s="243"/>
      <c r="AD896" s="243"/>
      <c r="AE896" s="243"/>
      <c r="AF896" s="243"/>
      <c r="AG896" s="243"/>
      <c r="AH896" s="243"/>
      <c r="AI896" s="243"/>
      <c r="AJ896" s="243"/>
      <c r="AK896" s="243"/>
      <c r="AL896" s="243"/>
      <c r="AM896" s="243"/>
      <c r="AN896" s="243"/>
      <c r="AO896" s="243"/>
      <c r="AP896" s="243"/>
      <c r="AQ896" s="1024"/>
      <c r="AR896" s="357"/>
      <c r="AS896" s="163"/>
      <c r="AT896" s="163"/>
      <c r="AU896" s="163"/>
      <c r="AV896" s="321"/>
    </row>
    <row r="897" spans="1:48" ht="12.75" x14ac:dyDescent="0.2">
      <c r="A897" s="243"/>
      <c r="B897" s="243"/>
      <c r="C897" s="1024"/>
      <c r="D897" s="1024"/>
      <c r="E897" s="1025"/>
      <c r="F897" s="243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3"/>
      <c r="Z897" s="243"/>
      <c r="AA897" s="243"/>
      <c r="AB897" s="243"/>
      <c r="AC897" s="243"/>
      <c r="AD897" s="243"/>
      <c r="AE897" s="243"/>
      <c r="AF897" s="243"/>
      <c r="AG897" s="243"/>
      <c r="AH897" s="243"/>
      <c r="AI897" s="243"/>
      <c r="AJ897" s="243"/>
      <c r="AK897" s="243"/>
      <c r="AL897" s="243"/>
      <c r="AM897" s="243"/>
      <c r="AN897" s="243"/>
      <c r="AO897" s="243"/>
      <c r="AP897" s="243"/>
      <c r="AQ897" s="1024"/>
      <c r="AR897" s="357"/>
      <c r="AS897" s="163"/>
      <c r="AT897" s="163"/>
      <c r="AU897" s="163"/>
      <c r="AV897" s="321"/>
    </row>
    <row r="898" spans="1:48" ht="12.75" x14ac:dyDescent="0.2">
      <c r="A898" s="243"/>
      <c r="B898" s="243"/>
      <c r="C898" s="1024"/>
      <c r="D898" s="1024"/>
      <c r="E898" s="1025"/>
      <c r="F898" s="243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3"/>
      <c r="Z898" s="243"/>
      <c r="AA898" s="243"/>
      <c r="AB898" s="243"/>
      <c r="AC898" s="243"/>
      <c r="AD898" s="243"/>
      <c r="AE898" s="243"/>
      <c r="AF898" s="243"/>
      <c r="AG898" s="243"/>
      <c r="AH898" s="243"/>
      <c r="AI898" s="243"/>
      <c r="AJ898" s="243"/>
      <c r="AK898" s="243"/>
      <c r="AL898" s="243"/>
      <c r="AM898" s="243"/>
      <c r="AN898" s="243"/>
      <c r="AO898" s="243"/>
      <c r="AP898" s="243"/>
      <c r="AQ898" s="1024"/>
      <c r="AR898" s="357"/>
      <c r="AS898" s="163"/>
      <c r="AT898" s="163"/>
      <c r="AU898" s="163"/>
      <c r="AV898" s="321"/>
    </row>
    <row r="899" spans="1:48" ht="12.75" x14ac:dyDescent="0.2">
      <c r="A899" s="243"/>
      <c r="B899" s="243"/>
      <c r="C899" s="1024"/>
      <c r="D899" s="1024"/>
      <c r="E899" s="1025"/>
      <c r="F899" s="243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3"/>
      <c r="Z899" s="243"/>
      <c r="AA899" s="243"/>
      <c r="AB899" s="243"/>
      <c r="AC899" s="243"/>
      <c r="AD899" s="243"/>
      <c r="AE899" s="243"/>
      <c r="AF899" s="243"/>
      <c r="AG899" s="243"/>
      <c r="AH899" s="243"/>
      <c r="AI899" s="243"/>
      <c r="AJ899" s="243"/>
      <c r="AK899" s="243"/>
      <c r="AL899" s="243"/>
      <c r="AM899" s="243"/>
      <c r="AN899" s="243"/>
      <c r="AO899" s="243"/>
      <c r="AP899" s="243"/>
      <c r="AQ899" s="1024"/>
      <c r="AR899" s="357"/>
      <c r="AS899" s="163"/>
      <c r="AT899" s="163"/>
      <c r="AU899" s="163"/>
      <c r="AV899" s="321"/>
    </row>
    <row r="900" spans="1:48" ht="12.75" x14ac:dyDescent="0.2">
      <c r="A900" s="243"/>
      <c r="B900" s="243"/>
      <c r="C900" s="1024"/>
      <c r="D900" s="1024"/>
      <c r="E900" s="1025"/>
      <c r="F900" s="243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3"/>
      <c r="Z900" s="243"/>
      <c r="AA900" s="243"/>
      <c r="AB900" s="243"/>
      <c r="AC900" s="243"/>
      <c r="AD900" s="243"/>
      <c r="AE900" s="243"/>
      <c r="AF900" s="243"/>
      <c r="AG900" s="243"/>
      <c r="AH900" s="243"/>
      <c r="AI900" s="243"/>
      <c r="AJ900" s="243"/>
      <c r="AK900" s="243"/>
      <c r="AL900" s="243"/>
      <c r="AM900" s="243"/>
      <c r="AN900" s="243"/>
      <c r="AO900" s="243"/>
      <c r="AP900" s="243"/>
      <c r="AQ900" s="1024"/>
      <c r="AR900" s="357"/>
      <c r="AS900" s="163"/>
      <c r="AT900" s="163"/>
      <c r="AU900" s="163"/>
      <c r="AV900" s="321"/>
    </row>
    <row r="901" spans="1:48" ht="12.75" x14ac:dyDescent="0.2">
      <c r="A901" s="243"/>
      <c r="B901" s="243"/>
      <c r="C901" s="1024"/>
      <c r="D901" s="1024"/>
      <c r="E901" s="1025"/>
      <c r="F901" s="243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3"/>
      <c r="Z901" s="243"/>
      <c r="AA901" s="243"/>
      <c r="AB901" s="243"/>
      <c r="AC901" s="243"/>
      <c r="AD901" s="243"/>
      <c r="AE901" s="243"/>
      <c r="AF901" s="243"/>
      <c r="AG901" s="243"/>
      <c r="AH901" s="243"/>
      <c r="AI901" s="243"/>
      <c r="AJ901" s="243"/>
      <c r="AK901" s="243"/>
      <c r="AL901" s="243"/>
      <c r="AM901" s="243"/>
      <c r="AN901" s="243"/>
      <c r="AO901" s="243"/>
      <c r="AP901" s="243"/>
      <c r="AQ901" s="1024"/>
      <c r="AR901" s="357"/>
      <c r="AS901" s="163"/>
      <c r="AT901" s="163"/>
      <c r="AU901" s="163"/>
      <c r="AV901" s="321"/>
    </row>
    <row r="902" spans="1:48" ht="12.75" x14ac:dyDescent="0.2">
      <c r="A902" s="243"/>
      <c r="B902" s="243"/>
      <c r="C902" s="1024"/>
      <c r="D902" s="1024"/>
      <c r="E902" s="1025"/>
      <c r="F902" s="243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3"/>
      <c r="Z902" s="243"/>
      <c r="AA902" s="243"/>
      <c r="AB902" s="243"/>
      <c r="AC902" s="243"/>
      <c r="AD902" s="243"/>
      <c r="AE902" s="243"/>
      <c r="AF902" s="243"/>
      <c r="AG902" s="243"/>
      <c r="AH902" s="243"/>
      <c r="AI902" s="243"/>
      <c r="AJ902" s="243"/>
      <c r="AK902" s="243"/>
      <c r="AL902" s="243"/>
      <c r="AM902" s="243"/>
      <c r="AN902" s="243"/>
      <c r="AO902" s="243"/>
      <c r="AP902" s="243"/>
      <c r="AQ902" s="1024"/>
      <c r="AR902" s="357"/>
      <c r="AS902" s="163"/>
      <c r="AT902" s="163"/>
      <c r="AU902" s="163"/>
      <c r="AV902" s="321"/>
    </row>
    <row r="903" spans="1:48" ht="12.75" x14ac:dyDescent="0.2">
      <c r="A903" s="243"/>
      <c r="B903" s="243"/>
      <c r="C903" s="1024"/>
      <c r="D903" s="1024"/>
      <c r="E903" s="1025"/>
      <c r="F903" s="243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3"/>
      <c r="Z903" s="243"/>
      <c r="AA903" s="243"/>
      <c r="AB903" s="243"/>
      <c r="AC903" s="243"/>
      <c r="AD903" s="243"/>
      <c r="AE903" s="243"/>
      <c r="AF903" s="243"/>
      <c r="AG903" s="243"/>
      <c r="AH903" s="243"/>
      <c r="AI903" s="243"/>
      <c r="AJ903" s="243"/>
      <c r="AK903" s="243"/>
      <c r="AL903" s="243"/>
      <c r="AM903" s="243"/>
      <c r="AN903" s="243"/>
      <c r="AO903" s="243"/>
      <c r="AP903" s="243"/>
      <c r="AQ903" s="1024"/>
      <c r="AR903" s="357"/>
      <c r="AS903" s="163"/>
      <c r="AT903" s="163"/>
      <c r="AU903" s="163"/>
      <c r="AV903" s="321"/>
    </row>
    <row r="904" spans="1:48" ht="12.75" x14ac:dyDescent="0.2">
      <c r="A904" s="243"/>
      <c r="B904" s="243"/>
      <c r="C904" s="1024"/>
      <c r="D904" s="1024"/>
      <c r="E904" s="1025"/>
      <c r="F904" s="243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3"/>
      <c r="Z904" s="243"/>
      <c r="AA904" s="243"/>
      <c r="AB904" s="243"/>
      <c r="AC904" s="243"/>
      <c r="AD904" s="243"/>
      <c r="AE904" s="243"/>
      <c r="AF904" s="243"/>
      <c r="AG904" s="243"/>
      <c r="AH904" s="243"/>
      <c r="AI904" s="243"/>
      <c r="AJ904" s="243"/>
      <c r="AK904" s="243"/>
      <c r="AL904" s="243"/>
      <c r="AM904" s="243"/>
      <c r="AN904" s="243"/>
      <c r="AO904" s="243"/>
      <c r="AP904" s="243"/>
      <c r="AQ904" s="1024"/>
      <c r="AR904" s="357"/>
      <c r="AS904" s="163"/>
      <c r="AT904" s="163"/>
      <c r="AU904" s="163"/>
      <c r="AV904" s="321"/>
    </row>
    <row r="905" spans="1:48" ht="12.75" x14ac:dyDescent="0.2">
      <c r="A905" s="243"/>
      <c r="B905" s="243"/>
      <c r="C905" s="1024"/>
      <c r="D905" s="1024"/>
      <c r="E905" s="1025"/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  <c r="AH905" s="243"/>
      <c r="AI905" s="243"/>
      <c r="AJ905" s="243"/>
      <c r="AK905" s="243"/>
      <c r="AL905" s="243"/>
      <c r="AM905" s="243"/>
      <c r="AN905" s="243"/>
      <c r="AO905" s="243"/>
      <c r="AP905" s="243"/>
      <c r="AQ905" s="1024"/>
      <c r="AR905" s="357"/>
      <c r="AS905" s="163"/>
      <c r="AT905" s="163"/>
      <c r="AU905" s="163"/>
      <c r="AV905" s="321"/>
    </row>
    <row r="906" spans="1:48" ht="12.75" x14ac:dyDescent="0.2">
      <c r="A906" s="243"/>
      <c r="B906" s="243"/>
      <c r="C906" s="1024"/>
      <c r="D906" s="1024"/>
      <c r="E906" s="1025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  <c r="AH906" s="243"/>
      <c r="AI906" s="243"/>
      <c r="AJ906" s="243"/>
      <c r="AK906" s="243"/>
      <c r="AL906" s="243"/>
      <c r="AM906" s="243"/>
      <c r="AN906" s="243"/>
      <c r="AO906" s="243"/>
      <c r="AP906" s="243"/>
      <c r="AQ906" s="1024"/>
      <c r="AR906" s="357"/>
      <c r="AS906" s="163"/>
      <c r="AT906" s="163"/>
      <c r="AU906" s="163"/>
      <c r="AV906" s="321"/>
    </row>
    <row r="907" spans="1:48" ht="12.75" x14ac:dyDescent="0.2">
      <c r="A907" s="243"/>
      <c r="B907" s="243"/>
      <c r="C907" s="1024"/>
      <c r="D907" s="1024"/>
      <c r="E907" s="1025"/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  <c r="AH907" s="243"/>
      <c r="AI907" s="243"/>
      <c r="AJ907" s="243"/>
      <c r="AK907" s="243"/>
      <c r="AL907" s="243"/>
      <c r="AM907" s="243"/>
      <c r="AN907" s="243"/>
      <c r="AO907" s="243"/>
      <c r="AP907" s="243"/>
      <c r="AQ907" s="1024"/>
      <c r="AR907" s="357"/>
      <c r="AS907" s="163"/>
      <c r="AT907" s="163"/>
      <c r="AU907" s="163"/>
      <c r="AV907" s="321"/>
    </row>
    <row r="908" spans="1:48" ht="12.75" x14ac:dyDescent="0.2">
      <c r="A908" s="243"/>
      <c r="B908" s="243"/>
      <c r="C908" s="1024"/>
      <c r="D908" s="1024"/>
      <c r="E908" s="1025"/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  <c r="AH908" s="243"/>
      <c r="AI908" s="243"/>
      <c r="AJ908" s="243"/>
      <c r="AK908" s="243"/>
      <c r="AL908" s="243"/>
      <c r="AM908" s="243"/>
      <c r="AN908" s="243"/>
      <c r="AO908" s="243"/>
      <c r="AP908" s="243"/>
      <c r="AQ908" s="1024"/>
      <c r="AR908" s="357"/>
      <c r="AS908" s="163"/>
      <c r="AT908" s="163"/>
      <c r="AU908" s="163"/>
      <c r="AV908" s="321"/>
    </row>
    <row r="909" spans="1:48" ht="12.75" x14ac:dyDescent="0.2">
      <c r="A909" s="243"/>
      <c r="B909" s="243"/>
      <c r="C909" s="1024"/>
      <c r="D909" s="1024"/>
      <c r="E909" s="1025"/>
      <c r="F909" s="243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3"/>
      <c r="Z909" s="243"/>
      <c r="AA909" s="243"/>
      <c r="AB909" s="243"/>
      <c r="AC909" s="243"/>
      <c r="AD909" s="243"/>
      <c r="AE909" s="243"/>
      <c r="AF909" s="243"/>
      <c r="AG909" s="243"/>
      <c r="AH909" s="243"/>
      <c r="AI909" s="243"/>
      <c r="AJ909" s="243"/>
      <c r="AK909" s="243"/>
      <c r="AL909" s="243"/>
      <c r="AM909" s="243"/>
      <c r="AN909" s="243"/>
      <c r="AO909" s="243"/>
      <c r="AP909" s="243"/>
      <c r="AQ909" s="1024"/>
      <c r="AR909" s="357"/>
      <c r="AS909" s="163"/>
      <c r="AT909" s="163"/>
      <c r="AU909" s="163"/>
      <c r="AV909" s="321"/>
    </row>
    <row r="910" spans="1:48" ht="12.75" x14ac:dyDescent="0.2">
      <c r="A910" s="243"/>
      <c r="B910" s="243"/>
      <c r="C910" s="1024"/>
      <c r="D910" s="1024"/>
      <c r="E910" s="1025"/>
      <c r="F910" s="243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3"/>
      <c r="Z910" s="243"/>
      <c r="AA910" s="243"/>
      <c r="AB910" s="243"/>
      <c r="AC910" s="243"/>
      <c r="AD910" s="243"/>
      <c r="AE910" s="243"/>
      <c r="AF910" s="243"/>
      <c r="AG910" s="243"/>
      <c r="AH910" s="243"/>
      <c r="AI910" s="243"/>
      <c r="AJ910" s="243"/>
      <c r="AK910" s="243"/>
      <c r="AL910" s="243"/>
      <c r="AM910" s="243"/>
      <c r="AN910" s="243"/>
      <c r="AO910" s="243"/>
      <c r="AP910" s="243"/>
      <c r="AQ910" s="1024"/>
      <c r="AR910" s="357"/>
      <c r="AS910" s="163"/>
      <c r="AT910" s="163"/>
      <c r="AU910" s="163"/>
      <c r="AV910" s="321"/>
    </row>
    <row r="911" spans="1:48" ht="12.75" x14ac:dyDescent="0.2">
      <c r="A911" s="243"/>
      <c r="B911" s="243"/>
      <c r="C911" s="1024"/>
      <c r="D911" s="1024"/>
      <c r="E911" s="1025"/>
      <c r="F911" s="243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3"/>
      <c r="Z911" s="243"/>
      <c r="AA911" s="243"/>
      <c r="AB911" s="243"/>
      <c r="AC911" s="243"/>
      <c r="AD911" s="243"/>
      <c r="AE911" s="243"/>
      <c r="AF911" s="243"/>
      <c r="AG911" s="243"/>
      <c r="AH911" s="243"/>
      <c r="AI911" s="243"/>
      <c r="AJ911" s="243"/>
      <c r="AK911" s="243"/>
      <c r="AL911" s="243"/>
      <c r="AM911" s="243"/>
      <c r="AN911" s="243"/>
      <c r="AO911" s="243"/>
      <c r="AP911" s="243"/>
      <c r="AQ911" s="1024"/>
      <c r="AR911" s="357"/>
      <c r="AS911" s="163"/>
      <c r="AT911" s="163"/>
      <c r="AU911" s="163"/>
      <c r="AV911" s="321"/>
    </row>
    <row r="912" spans="1:48" ht="12.75" x14ac:dyDescent="0.2">
      <c r="A912" s="243"/>
      <c r="B912" s="243"/>
      <c r="C912" s="1024"/>
      <c r="D912" s="1024"/>
      <c r="E912" s="1025"/>
      <c r="F912" s="243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3"/>
      <c r="Z912" s="243"/>
      <c r="AA912" s="243"/>
      <c r="AB912" s="243"/>
      <c r="AC912" s="243"/>
      <c r="AD912" s="243"/>
      <c r="AE912" s="243"/>
      <c r="AF912" s="243"/>
      <c r="AG912" s="243"/>
      <c r="AH912" s="243"/>
      <c r="AI912" s="243"/>
      <c r="AJ912" s="243"/>
      <c r="AK912" s="243"/>
      <c r="AL912" s="243"/>
      <c r="AM912" s="243"/>
      <c r="AN912" s="243"/>
      <c r="AO912" s="243"/>
      <c r="AP912" s="243"/>
      <c r="AQ912" s="1024"/>
      <c r="AR912" s="357"/>
      <c r="AS912" s="163"/>
      <c r="AT912" s="163"/>
      <c r="AU912" s="163"/>
      <c r="AV912" s="321"/>
    </row>
    <row r="913" spans="1:48" ht="12.75" x14ac:dyDescent="0.2">
      <c r="A913" s="243"/>
      <c r="B913" s="243"/>
      <c r="C913" s="1024"/>
      <c r="D913" s="1024"/>
      <c r="E913" s="1025"/>
      <c r="F913" s="243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3"/>
      <c r="Z913" s="243"/>
      <c r="AA913" s="243"/>
      <c r="AB913" s="243"/>
      <c r="AC913" s="243"/>
      <c r="AD913" s="243"/>
      <c r="AE913" s="243"/>
      <c r="AF913" s="243"/>
      <c r="AG913" s="243"/>
      <c r="AH913" s="243"/>
      <c r="AI913" s="243"/>
      <c r="AJ913" s="243"/>
      <c r="AK913" s="243"/>
      <c r="AL913" s="243"/>
      <c r="AM913" s="243"/>
      <c r="AN913" s="243"/>
      <c r="AO913" s="243"/>
      <c r="AP913" s="243"/>
      <c r="AQ913" s="1024"/>
      <c r="AR913" s="357"/>
      <c r="AS913" s="163"/>
      <c r="AT913" s="163"/>
      <c r="AU913" s="163"/>
      <c r="AV913" s="321"/>
    </row>
    <row r="914" spans="1:48" ht="12.75" x14ac:dyDescent="0.2">
      <c r="A914" s="243"/>
      <c r="B914" s="243"/>
      <c r="C914" s="1024"/>
      <c r="D914" s="1024"/>
      <c r="E914" s="1025"/>
      <c r="F914" s="243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3"/>
      <c r="Z914" s="243"/>
      <c r="AA914" s="243"/>
      <c r="AB914" s="243"/>
      <c r="AC914" s="243"/>
      <c r="AD914" s="243"/>
      <c r="AE914" s="243"/>
      <c r="AF914" s="243"/>
      <c r="AG914" s="243"/>
      <c r="AH914" s="243"/>
      <c r="AI914" s="243"/>
      <c r="AJ914" s="243"/>
      <c r="AK914" s="243"/>
      <c r="AL914" s="243"/>
      <c r="AM914" s="243"/>
      <c r="AN914" s="243"/>
      <c r="AO914" s="243"/>
      <c r="AP914" s="243"/>
      <c r="AQ914" s="1024"/>
      <c r="AR914" s="357"/>
      <c r="AS914" s="163"/>
      <c r="AT914" s="163"/>
      <c r="AU914" s="163"/>
      <c r="AV914" s="321"/>
    </row>
    <row r="915" spans="1:48" ht="12.75" x14ac:dyDescent="0.2">
      <c r="A915" s="243"/>
      <c r="B915" s="243"/>
      <c r="C915" s="1024"/>
      <c r="D915" s="1024"/>
      <c r="E915" s="1025"/>
      <c r="F915" s="243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3"/>
      <c r="Z915" s="243"/>
      <c r="AA915" s="243"/>
      <c r="AB915" s="243"/>
      <c r="AC915" s="243"/>
      <c r="AD915" s="243"/>
      <c r="AE915" s="243"/>
      <c r="AF915" s="243"/>
      <c r="AG915" s="243"/>
      <c r="AH915" s="243"/>
      <c r="AI915" s="243"/>
      <c r="AJ915" s="243"/>
      <c r="AK915" s="243"/>
      <c r="AL915" s="243"/>
      <c r="AM915" s="243"/>
      <c r="AN915" s="243"/>
      <c r="AO915" s="243"/>
      <c r="AP915" s="243"/>
      <c r="AQ915" s="1024"/>
      <c r="AR915" s="357"/>
      <c r="AS915" s="163"/>
      <c r="AT915" s="163"/>
      <c r="AU915" s="163"/>
      <c r="AV915" s="321"/>
    </row>
    <row r="916" spans="1:48" ht="12.75" x14ac:dyDescent="0.2">
      <c r="A916" s="243"/>
      <c r="B916" s="243"/>
      <c r="C916" s="1024"/>
      <c r="D916" s="1024"/>
      <c r="E916" s="1025"/>
      <c r="F916" s="243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3"/>
      <c r="Z916" s="243"/>
      <c r="AA916" s="243"/>
      <c r="AB916" s="243"/>
      <c r="AC916" s="243"/>
      <c r="AD916" s="243"/>
      <c r="AE916" s="243"/>
      <c r="AF916" s="243"/>
      <c r="AG916" s="243"/>
      <c r="AH916" s="243"/>
      <c r="AI916" s="243"/>
      <c r="AJ916" s="243"/>
      <c r="AK916" s="243"/>
      <c r="AL916" s="243"/>
      <c r="AM916" s="243"/>
      <c r="AN916" s="243"/>
      <c r="AO916" s="243"/>
      <c r="AP916" s="243"/>
      <c r="AQ916" s="1024"/>
      <c r="AR916" s="357"/>
      <c r="AS916" s="163"/>
      <c r="AT916" s="163"/>
      <c r="AU916" s="163"/>
      <c r="AV916" s="321"/>
    </row>
    <row r="917" spans="1:48" ht="12.75" x14ac:dyDescent="0.2">
      <c r="A917" s="243"/>
      <c r="B917" s="243"/>
      <c r="C917" s="1024"/>
      <c r="D917" s="1024"/>
      <c r="E917" s="1025"/>
      <c r="F917" s="243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3"/>
      <c r="Z917" s="243"/>
      <c r="AA917" s="243"/>
      <c r="AB917" s="243"/>
      <c r="AC917" s="243"/>
      <c r="AD917" s="243"/>
      <c r="AE917" s="243"/>
      <c r="AF917" s="243"/>
      <c r="AG917" s="243"/>
      <c r="AH917" s="243"/>
      <c r="AI917" s="243"/>
      <c r="AJ917" s="243"/>
      <c r="AK917" s="243"/>
      <c r="AL917" s="243"/>
      <c r="AM917" s="243"/>
      <c r="AN917" s="243"/>
      <c r="AO917" s="243"/>
      <c r="AP917" s="243"/>
      <c r="AQ917" s="1024"/>
      <c r="AR917" s="357"/>
      <c r="AS917" s="163"/>
      <c r="AT917" s="163"/>
      <c r="AU917" s="163"/>
      <c r="AV917" s="321"/>
    </row>
    <row r="918" spans="1:48" ht="12.75" x14ac:dyDescent="0.2">
      <c r="A918" s="243"/>
      <c r="B918" s="243"/>
      <c r="C918" s="1024"/>
      <c r="D918" s="1024"/>
      <c r="E918" s="1025"/>
      <c r="F918" s="243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3"/>
      <c r="Z918" s="243"/>
      <c r="AA918" s="243"/>
      <c r="AB918" s="243"/>
      <c r="AC918" s="243"/>
      <c r="AD918" s="243"/>
      <c r="AE918" s="243"/>
      <c r="AF918" s="243"/>
      <c r="AG918" s="243"/>
      <c r="AH918" s="243"/>
      <c r="AI918" s="243"/>
      <c r="AJ918" s="243"/>
      <c r="AK918" s="243"/>
      <c r="AL918" s="243"/>
      <c r="AM918" s="243"/>
      <c r="AN918" s="243"/>
      <c r="AO918" s="243"/>
      <c r="AP918" s="243"/>
      <c r="AQ918" s="1024"/>
      <c r="AR918" s="357"/>
      <c r="AS918" s="163"/>
      <c r="AT918" s="163"/>
      <c r="AU918" s="163"/>
      <c r="AV918" s="321"/>
    </row>
    <row r="919" spans="1:48" ht="12.75" x14ac:dyDescent="0.2">
      <c r="A919" s="243"/>
      <c r="B919" s="243"/>
      <c r="C919" s="1024"/>
      <c r="D919" s="1024"/>
      <c r="E919" s="1025"/>
      <c r="F919" s="243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3"/>
      <c r="Z919" s="243"/>
      <c r="AA919" s="243"/>
      <c r="AB919" s="243"/>
      <c r="AC919" s="243"/>
      <c r="AD919" s="243"/>
      <c r="AE919" s="243"/>
      <c r="AF919" s="243"/>
      <c r="AG919" s="243"/>
      <c r="AH919" s="243"/>
      <c r="AI919" s="243"/>
      <c r="AJ919" s="243"/>
      <c r="AK919" s="243"/>
      <c r="AL919" s="243"/>
      <c r="AM919" s="243"/>
      <c r="AN919" s="243"/>
      <c r="AO919" s="243"/>
      <c r="AP919" s="243"/>
      <c r="AQ919" s="1024"/>
      <c r="AR919" s="357"/>
      <c r="AS919" s="163"/>
      <c r="AT919" s="163"/>
      <c r="AU919" s="163"/>
      <c r="AV919" s="321"/>
    </row>
    <row r="920" spans="1:48" ht="12.75" x14ac:dyDescent="0.2">
      <c r="A920" s="243"/>
      <c r="B920" s="243"/>
      <c r="C920" s="1024"/>
      <c r="D920" s="1024"/>
      <c r="E920" s="1025"/>
      <c r="F920" s="243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3"/>
      <c r="Z920" s="243"/>
      <c r="AA920" s="243"/>
      <c r="AB920" s="243"/>
      <c r="AC920" s="243"/>
      <c r="AD920" s="243"/>
      <c r="AE920" s="243"/>
      <c r="AF920" s="243"/>
      <c r="AG920" s="243"/>
      <c r="AH920" s="243"/>
      <c r="AI920" s="243"/>
      <c r="AJ920" s="243"/>
      <c r="AK920" s="243"/>
      <c r="AL920" s="243"/>
      <c r="AM920" s="243"/>
      <c r="AN920" s="243"/>
      <c r="AO920" s="243"/>
      <c r="AP920" s="243"/>
      <c r="AQ920" s="1024"/>
      <c r="AR920" s="357"/>
      <c r="AS920" s="163"/>
      <c r="AT920" s="163"/>
      <c r="AU920" s="163"/>
      <c r="AV920" s="321"/>
    </row>
    <row r="921" spans="1:48" ht="12.75" x14ac:dyDescent="0.2">
      <c r="A921" s="243"/>
      <c r="B921" s="243"/>
      <c r="C921" s="1024"/>
      <c r="D921" s="1024"/>
      <c r="E921" s="1025"/>
      <c r="F921" s="243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3"/>
      <c r="Z921" s="243"/>
      <c r="AA921" s="243"/>
      <c r="AB921" s="243"/>
      <c r="AC921" s="243"/>
      <c r="AD921" s="243"/>
      <c r="AE921" s="243"/>
      <c r="AF921" s="243"/>
      <c r="AG921" s="243"/>
      <c r="AH921" s="243"/>
      <c r="AI921" s="243"/>
      <c r="AJ921" s="243"/>
      <c r="AK921" s="243"/>
      <c r="AL921" s="243"/>
      <c r="AM921" s="243"/>
      <c r="AN921" s="243"/>
      <c r="AO921" s="243"/>
      <c r="AP921" s="243"/>
      <c r="AQ921" s="1024"/>
      <c r="AR921" s="357"/>
      <c r="AS921" s="163"/>
      <c r="AT921" s="163"/>
      <c r="AU921" s="163"/>
      <c r="AV921" s="321"/>
    </row>
    <row r="922" spans="1:48" ht="12.75" x14ac:dyDescent="0.2">
      <c r="A922" s="243"/>
      <c r="B922" s="243"/>
      <c r="C922" s="1024"/>
      <c r="D922" s="1024"/>
      <c r="E922" s="1025"/>
      <c r="F922" s="243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3"/>
      <c r="Z922" s="243"/>
      <c r="AA922" s="243"/>
      <c r="AB922" s="243"/>
      <c r="AC922" s="243"/>
      <c r="AD922" s="243"/>
      <c r="AE922" s="243"/>
      <c r="AF922" s="243"/>
      <c r="AG922" s="243"/>
      <c r="AH922" s="243"/>
      <c r="AI922" s="243"/>
      <c r="AJ922" s="243"/>
      <c r="AK922" s="243"/>
      <c r="AL922" s="243"/>
      <c r="AM922" s="243"/>
      <c r="AN922" s="243"/>
      <c r="AO922" s="243"/>
      <c r="AP922" s="243"/>
      <c r="AQ922" s="1024"/>
      <c r="AR922" s="357"/>
      <c r="AS922" s="163"/>
      <c r="AT922" s="163"/>
      <c r="AU922" s="163"/>
      <c r="AV922" s="321"/>
    </row>
    <row r="923" spans="1:48" ht="12.75" x14ac:dyDescent="0.2">
      <c r="A923" s="243"/>
      <c r="B923" s="243"/>
      <c r="C923" s="1024"/>
      <c r="D923" s="1024"/>
      <c r="E923" s="1025"/>
      <c r="F923" s="243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3"/>
      <c r="Z923" s="243"/>
      <c r="AA923" s="243"/>
      <c r="AB923" s="243"/>
      <c r="AC923" s="243"/>
      <c r="AD923" s="243"/>
      <c r="AE923" s="243"/>
      <c r="AF923" s="243"/>
      <c r="AG923" s="243"/>
      <c r="AH923" s="243"/>
      <c r="AI923" s="243"/>
      <c r="AJ923" s="243"/>
      <c r="AK923" s="243"/>
      <c r="AL923" s="243"/>
      <c r="AM923" s="243"/>
      <c r="AN923" s="243"/>
      <c r="AO923" s="243"/>
      <c r="AP923" s="243"/>
      <c r="AQ923" s="1024"/>
      <c r="AR923" s="357"/>
      <c r="AS923" s="163"/>
      <c r="AT923" s="163"/>
      <c r="AU923" s="163"/>
      <c r="AV923" s="321"/>
    </row>
    <row r="924" spans="1:48" ht="12.75" x14ac:dyDescent="0.2">
      <c r="A924" s="243"/>
      <c r="B924" s="243"/>
      <c r="C924" s="1024"/>
      <c r="D924" s="1024"/>
      <c r="E924" s="1025"/>
      <c r="F924" s="243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3"/>
      <c r="Z924" s="243"/>
      <c r="AA924" s="243"/>
      <c r="AB924" s="243"/>
      <c r="AC924" s="243"/>
      <c r="AD924" s="243"/>
      <c r="AE924" s="243"/>
      <c r="AF924" s="243"/>
      <c r="AG924" s="243"/>
      <c r="AH924" s="243"/>
      <c r="AI924" s="243"/>
      <c r="AJ924" s="243"/>
      <c r="AK924" s="243"/>
      <c r="AL924" s="243"/>
      <c r="AM924" s="243"/>
      <c r="AN924" s="243"/>
      <c r="AO924" s="243"/>
      <c r="AP924" s="243"/>
      <c r="AQ924" s="1024"/>
      <c r="AR924" s="357"/>
      <c r="AS924" s="163"/>
      <c r="AT924" s="163"/>
      <c r="AU924" s="163"/>
      <c r="AV924" s="321"/>
    </row>
    <row r="925" spans="1:48" ht="12.75" x14ac:dyDescent="0.2">
      <c r="A925" s="243"/>
      <c r="B925" s="243"/>
      <c r="C925" s="1024"/>
      <c r="D925" s="1024"/>
      <c r="E925" s="1025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3"/>
      <c r="Z925" s="243"/>
      <c r="AA925" s="243"/>
      <c r="AB925" s="243"/>
      <c r="AC925" s="243"/>
      <c r="AD925" s="243"/>
      <c r="AE925" s="243"/>
      <c r="AF925" s="243"/>
      <c r="AG925" s="243"/>
      <c r="AH925" s="243"/>
      <c r="AI925" s="243"/>
      <c r="AJ925" s="243"/>
      <c r="AK925" s="243"/>
      <c r="AL925" s="243"/>
      <c r="AM925" s="243"/>
      <c r="AN925" s="243"/>
      <c r="AO925" s="243"/>
      <c r="AP925" s="243"/>
      <c r="AQ925" s="1024"/>
      <c r="AR925" s="357"/>
      <c r="AS925" s="163"/>
      <c r="AT925" s="163"/>
      <c r="AU925" s="163"/>
      <c r="AV925" s="321"/>
    </row>
    <row r="926" spans="1:48" ht="12.75" x14ac:dyDescent="0.2">
      <c r="A926" s="243"/>
      <c r="B926" s="243"/>
      <c r="C926" s="1024"/>
      <c r="D926" s="1024"/>
      <c r="E926" s="1025"/>
      <c r="F926" s="243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3"/>
      <c r="Z926" s="243"/>
      <c r="AA926" s="243"/>
      <c r="AB926" s="243"/>
      <c r="AC926" s="243"/>
      <c r="AD926" s="243"/>
      <c r="AE926" s="243"/>
      <c r="AF926" s="243"/>
      <c r="AG926" s="243"/>
      <c r="AH926" s="243"/>
      <c r="AI926" s="243"/>
      <c r="AJ926" s="243"/>
      <c r="AK926" s="243"/>
      <c r="AL926" s="243"/>
      <c r="AM926" s="243"/>
      <c r="AN926" s="243"/>
      <c r="AO926" s="243"/>
      <c r="AP926" s="243"/>
      <c r="AQ926" s="1024"/>
      <c r="AR926" s="357"/>
      <c r="AS926" s="163"/>
      <c r="AT926" s="163"/>
      <c r="AU926" s="163"/>
      <c r="AV926" s="321"/>
    </row>
    <row r="927" spans="1:48" ht="12.75" x14ac:dyDescent="0.2">
      <c r="A927" s="243"/>
      <c r="B927" s="243"/>
      <c r="C927" s="1024"/>
      <c r="D927" s="1024"/>
      <c r="E927" s="1025"/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  <c r="AH927" s="243"/>
      <c r="AI927" s="243"/>
      <c r="AJ927" s="243"/>
      <c r="AK927" s="243"/>
      <c r="AL927" s="243"/>
      <c r="AM927" s="243"/>
      <c r="AN927" s="243"/>
      <c r="AO927" s="243"/>
      <c r="AP927" s="243"/>
      <c r="AQ927" s="1024"/>
      <c r="AR927" s="357"/>
      <c r="AS927" s="163"/>
      <c r="AT927" s="163"/>
      <c r="AU927" s="163"/>
      <c r="AV927" s="321"/>
    </row>
    <row r="928" spans="1:48" ht="12.75" x14ac:dyDescent="0.2">
      <c r="A928" s="243"/>
      <c r="B928" s="243"/>
      <c r="C928" s="1024"/>
      <c r="D928" s="1024"/>
      <c r="E928" s="1025"/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  <c r="AH928" s="243"/>
      <c r="AI928" s="243"/>
      <c r="AJ928" s="243"/>
      <c r="AK928" s="243"/>
      <c r="AL928" s="243"/>
      <c r="AM928" s="243"/>
      <c r="AN928" s="243"/>
      <c r="AO928" s="243"/>
      <c r="AP928" s="243"/>
      <c r="AQ928" s="1024"/>
      <c r="AR928" s="357"/>
      <c r="AS928" s="163"/>
      <c r="AT928" s="163"/>
      <c r="AU928" s="163"/>
      <c r="AV928" s="321"/>
    </row>
    <row r="929" spans="1:48" ht="12.75" x14ac:dyDescent="0.2">
      <c r="A929" s="243"/>
      <c r="B929" s="243"/>
      <c r="C929" s="1024"/>
      <c r="D929" s="1024"/>
      <c r="E929" s="1025"/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  <c r="AH929" s="243"/>
      <c r="AI929" s="243"/>
      <c r="AJ929" s="243"/>
      <c r="AK929" s="243"/>
      <c r="AL929" s="243"/>
      <c r="AM929" s="243"/>
      <c r="AN929" s="243"/>
      <c r="AO929" s="243"/>
      <c r="AP929" s="243"/>
      <c r="AQ929" s="1024"/>
      <c r="AR929" s="357"/>
      <c r="AS929" s="163"/>
      <c r="AT929" s="163"/>
      <c r="AU929" s="163"/>
      <c r="AV929" s="321"/>
    </row>
    <row r="930" spans="1:48" ht="12.75" x14ac:dyDescent="0.2">
      <c r="A930" s="243"/>
      <c r="B930" s="243"/>
      <c r="C930" s="1024"/>
      <c r="D930" s="1024"/>
      <c r="E930" s="1025"/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3"/>
      <c r="AI930" s="243"/>
      <c r="AJ930" s="243"/>
      <c r="AK930" s="243"/>
      <c r="AL930" s="243"/>
      <c r="AM930" s="243"/>
      <c r="AN930" s="243"/>
      <c r="AO930" s="243"/>
      <c r="AP930" s="243"/>
      <c r="AQ930" s="1024"/>
      <c r="AR930" s="357"/>
      <c r="AS930" s="163"/>
      <c r="AT930" s="163"/>
      <c r="AU930" s="163"/>
      <c r="AV930" s="321"/>
    </row>
    <row r="931" spans="1:48" ht="12.75" x14ac:dyDescent="0.2">
      <c r="A931" s="243"/>
      <c r="B931" s="243"/>
      <c r="C931" s="1024"/>
      <c r="D931" s="1024"/>
      <c r="E931" s="1025"/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3"/>
      <c r="AI931" s="243"/>
      <c r="AJ931" s="243"/>
      <c r="AK931" s="243"/>
      <c r="AL931" s="243"/>
      <c r="AM931" s="243"/>
      <c r="AN931" s="243"/>
      <c r="AO931" s="243"/>
      <c r="AP931" s="243"/>
      <c r="AQ931" s="1024"/>
      <c r="AR931" s="357"/>
      <c r="AS931" s="163"/>
      <c r="AT931" s="163"/>
      <c r="AU931" s="163"/>
      <c r="AV931" s="321"/>
    </row>
    <row r="932" spans="1:48" ht="12.75" x14ac:dyDescent="0.2">
      <c r="A932" s="243"/>
      <c r="B932" s="243"/>
      <c r="C932" s="1024"/>
      <c r="D932" s="1024"/>
      <c r="E932" s="1025"/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3"/>
      <c r="AI932" s="243"/>
      <c r="AJ932" s="243"/>
      <c r="AK932" s="243"/>
      <c r="AL932" s="243"/>
      <c r="AM932" s="243"/>
      <c r="AN932" s="243"/>
      <c r="AO932" s="243"/>
      <c r="AP932" s="243"/>
      <c r="AQ932" s="1024"/>
      <c r="AR932" s="357"/>
      <c r="AS932" s="163"/>
      <c r="AT932" s="163"/>
      <c r="AU932" s="163"/>
      <c r="AV932" s="321"/>
    </row>
    <row r="933" spans="1:48" ht="12.75" x14ac:dyDescent="0.2">
      <c r="A933" s="243"/>
      <c r="B933" s="243"/>
      <c r="C933" s="1024"/>
      <c r="D933" s="1024"/>
      <c r="E933" s="1025"/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3"/>
      <c r="AJ933" s="243"/>
      <c r="AK933" s="243"/>
      <c r="AL933" s="243"/>
      <c r="AM933" s="243"/>
      <c r="AN933" s="243"/>
      <c r="AO933" s="243"/>
      <c r="AP933" s="243"/>
      <c r="AQ933" s="1024"/>
      <c r="AR933" s="357"/>
      <c r="AS933" s="163"/>
      <c r="AT933" s="163"/>
      <c r="AU933" s="163"/>
      <c r="AV933" s="321"/>
    </row>
    <row r="934" spans="1:48" ht="12.75" x14ac:dyDescent="0.2">
      <c r="A934" s="243"/>
      <c r="B934" s="243"/>
      <c r="C934" s="1024"/>
      <c r="D934" s="1024"/>
      <c r="E934" s="1025"/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3"/>
      <c r="AI934" s="243"/>
      <c r="AJ934" s="243"/>
      <c r="AK934" s="243"/>
      <c r="AL934" s="243"/>
      <c r="AM934" s="243"/>
      <c r="AN934" s="243"/>
      <c r="AO934" s="243"/>
      <c r="AP934" s="243"/>
      <c r="AQ934" s="1024"/>
      <c r="AR934" s="357"/>
      <c r="AS934" s="163"/>
      <c r="AT934" s="163"/>
      <c r="AU934" s="163"/>
      <c r="AV934" s="321"/>
    </row>
    <row r="935" spans="1:48" ht="12.75" x14ac:dyDescent="0.2">
      <c r="A935" s="243"/>
      <c r="B935" s="243"/>
      <c r="C935" s="1024"/>
      <c r="D935" s="1024"/>
      <c r="E935" s="1025"/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3"/>
      <c r="AI935" s="243"/>
      <c r="AJ935" s="243"/>
      <c r="AK935" s="243"/>
      <c r="AL935" s="243"/>
      <c r="AM935" s="243"/>
      <c r="AN935" s="243"/>
      <c r="AO935" s="243"/>
      <c r="AP935" s="243"/>
      <c r="AQ935" s="1024"/>
      <c r="AR935" s="357"/>
      <c r="AS935" s="163"/>
      <c r="AT935" s="163"/>
      <c r="AU935" s="163"/>
      <c r="AV935" s="321"/>
    </row>
    <row r="936" spans="1:48" ht="12.75" x14ac:dyDescent="0.2">
      <c r="A936" s="243"/>
      <c r="B936" s="243"/>
      <c r="C936" s="1024"/>
      <c r="D936" s="1024"/>
      <c r="E936" s="1025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3"/>
      <c r="AJ936" s="243"/>
      <c r="AK936" s="243"/>
      <c r="AL936" s="243"/>
      <c r="AM936" s="243"/>
      <c r="AN936" s="243"/>
      <c r="AO936" s="243"/>
      <c r="AP936" s="243"/>
      <c r="AQ936" s="1024"/>
      <c r="AR936" s="357"/>
      <c r="AS936" s="163"/>
      <c r="AT936" s="163"/>
      <c r="AU936" s="163"/>
      <c r="AV936" s="321"/>
    </row>
    <row r="937" spans="1:48" ht="12.75" x14ac:dyDescent="0.2">
      <c r="A937" s="243"/>
      <c r="B937" s="243"/>
      <c r="C937" s="1024"/>
      <c r="D937" s="1024"/>
      <c r="E937" s="1025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3"/>
      <c r="AJ937" s="243"/>
      <c r="AK937" s="243"/>
      <c r="AL937" s="243"/>
      <c r="AM937" s="243"/>
      <c r="AN937" s="243"/>
      <c r="AO937" s="243"/>
      <c r="AP937" s="243"/>
      <c r="AQ937" s="1024"/>
      <c r="AR937" s="357"/>
      <c r="AS937" s="163"/>
      <c r="AT937" s="163"/>
      <c r="AU937" s="163"/>
      <c r="AV937" s="321"/>
    </row>
    <row r="938" spans="1:48" ht="12.75" x14ac:dyDescent="0.2">
      <c r="A938" s="243"/>
      <c r="B938" s="243"/>
      <c r="C938" s="1024"/>
      <c r="D938" s="1024"/>
      <c r="E938" s="1025"/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3"/>
      <c r="AJ938" s="243"/>
      <c r="AK938" s="243"/>
      <c r="AL938" s="243"/>
      <c r="AM938" s="243"/>
      <c r="AN938" s="243"/>
      <c r="AO938" s="243"/>
      <c r="AP938" s="243"/>
      <c r="AQ938" s="1024"/>
      <c r="AR938" s="357"/>
      <c r="AS938" s="163"/>
      <c r="AT938" s="163"/>
      <c r="AU938" s="163"/>
      <c r="AV938" s="321"/>
    </row>
    <row r="939" spans="1:48" ht="12.75" x14ac:dyDescent="0.2">
      <c r="A939" s="243"/>
      <c r="B939" s="243"/>
      <c r="C939" s="1024"/>
      <c r="D939" s="1024"/>
      <c r="E939" s="1025"/>
      <c r="F939" s="243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  <c r="AH939" s="243"/>
      <c r="AI939" s="243"/>
      <c r="AJ939" s="243"/>
      <c r="AK939" s="243"/>
      <c r="AL939" s="243"/>
      <c r="AM939" s="243"/>
      <c r="AN939" s="243"/>
      <c r="AO939" s="243"/>
      <c r="AP939" s="243"/>
      <c r="AQ939" s="1024"/>
      <c r="AR939" s="357"/>
      <c r="AS939" s="163"/>
      <c r="AT939" s="163"/>
      <c r="AU939" s="163"/>
      <c r="AV939" s="321"/>
    </row>
    <row r="940" spans="1:48" ht="12.75" x14ac:dyDescent="0.2">
      <c r="A940" s="243"/>
      <c r="B940" s="243"/>
      <c r="C940" s="1024"/>
      <c r="D940" s="1024"/>
      <c r="E940" s="1025"/>
      <c r="F940" s="243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  <c r="AH940" s="243"/>
      <c r="AI940" s="243"/>
      <c r="AJ940" s="243"/>
      <c r="AK940" s="243"/>
      <c r="AL940" s="243"/>
      <c r="AM940" s="243"/>
      <c r="AN940" s="243"/>
      <c r="AO940" s="243"/>
      <c r="AP940" s="243"/>
      <c r="AQ940" s="1024"/>
      <c r="AR940" s="357"/>
      <c r="AS940" s="163"/>
      <c r="AT940" s="163"/>
      <c r="AU940" s="163"/>
      <c r="AV940" s="321"/>
    </row>
    <row r="941" spans="1:48" ht="12.75" x14ac:dyDescent="0.2">
      <c r="A941" s="243"/>
      <c r="B941" s="243"/>
      <c r="C941" s="1024"/>
      <c r="D941" s="1024"/>
      <c r="E941" s="1025"/>
      <c r="F941" s="243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  <c r="AH941" s="243"/>
      <c r="AI941" s="243"/>
      <c r="AJ941" s="243"/>
      <c r="AK941" s="243"/>
      <c r="AL941" s="243"/>
      <c r="AM941" s="243"/>
      <c r="AN941" s="243"/>
      <c r="AO941" s="243"/>
      <c r="AP941" s="243"/>
      <c r="AQ941" s="1024"/>
      <c r="AR941" s="357"/>
      <c r="AS941" s="163"/>
      <c r="AT941" s="163"/>
      <c r="AU941" s="163"/>
      <c r="AV941" s="321"/>
    </row>
    <row r="942" spans="1:48" ht="12.75" x14ac:dyDescent="0.2">
      <c r="A942" s="243"/>
      <c r="B942" s="243"/>
      <c r="C942" s="1024"/>
      <c r="D942" s="1024"/>
      <c r="E942" s="1025"/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3"/>
      <c r="AI942" s="243"/>
      <c r="AJ942" s="243"/>
      <c r="AK942" s="243"/>
      <c r="AL942" s="243"/>
      <c r="AM942" s="243"/>
      <c r="AN942" s="243"/>
      <c r="AO942" s="243"/>
      <c r="AP942" s="243"/>
      <c r="AQ942" s="1024"/>
      <c r="AR942" s="357"/>
      <c r="AS942" s="163"/>
      <c r="AT942" s="163"/>
      <c r="AU942" s="163"/>
      <c r="AV942" s="321"/>
    </row>
    <row r="943" spans="1:48" ht="12.75" x14ac:dyDescent="0.2">
      <c r="A943" s="243"/>
      <c r="B943" s="243"/>
      <c r="C943" s="1024"/>
      <c r="D943" s="1024"/>
      <c r="E943" s="1025"/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3"/>
      <c r="AI943" s="243"/>
      <c r="AJ943" s="243"/>
      <c r="AK943" s="243"/>
      <c r="AL943" s="243"/>
      <c r="AM943" s="243"/>
      <c r="AN943" s="243"/>
      <c r="AO943" s="243"/>
      <c r="AP943" s="243"/>
      <c r="AQ943" s="1024"/>
      <c r="AR943" s="357"/>
      <c r="AS943" s="163"/>
      <c r="AT943" s="163"/>
      <c r="AU943" s="163"/>
      <c r="AV943" s="321"/>
    </row>
    <row r="944" spans="1:48" ht="12.75" x14ac:dyDescent="0.2">
      <c r="A944" s="243"/>
      <c r="B944" s="243"/>
      <c r="C944" s="1024"/>
      <c r="D944" s="1024"/>
      <c r="E944" s="1025"/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3"/>
      <c r="AI944" s="243"/>
      <c r="AJ944" s="243"/>
      <c r="AK944" s="243"/>
      <c r="AL944" s="243"/>
      <c r="AM944" s="243"/>
      <c r="AN944" s="243"/>
      <c r="AO944" s="243"/>
      <c r="AP944" s="243"/>
      <c r="AQ944" s="1024"/>
      <c r="AR944" s="357"/>
      <c r="AS944" s="163"/>
      <c r="AT944" s="163"/>
      <c r="AU944" s="163"/>
      <c r="AV944" s="321"/>
    </row>
    <row r="945" spans="1:48" ht="12.75" x14ac:dyDescent="0.2">
      <c r="A945" s="243"/>
      <c r="B945" s="243"/>
      <c r="C945" s="1024"/>
      <c r="D945" s="1024"/>
      <c r="E945" s="1025"/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3"/>
      <c r="AI945" s="243"/>
      <c r="AJ945" s="243"/>
      <c r="AK945" s="243"/>
      <c r="AL945" s="243"/>
      <c r="AM945" s="243"/>
      <c r="AN945" s="243"/>
      <c r="AO945" s="243"/>
      <c r="AP945" s="243"/>
      <c r="AQ945" s="1024"/>
      <c r="AR945" s="357"/>
      <c r="AS945" s="163"/>
      <c r="AT945" s="163"/>
      <c r="AU945" s="163"/>
      <c r="AV945" s="321"/>
    </row>
    <row r="946" spans="1:48" ht="12.75" x14ac:dyDescent="0.2">
      <c r="A946" s="243"/>
      <c r="B946" s="243"/>
      <c r="C946" s="1024"/>
      <c r="D946" s="1024"/>
      <c r="E946" s="1025"/>
      <c r="F946" s="243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  <c r="AH946" s="243"/>
      <c r="AI946" s="243"/>
      <c r="AJ946" s="243"/>
      <c r="AK946" s="243"/>
      <c r="AL946" s="243"/>
      <c r="AM946" s="243"/>
      <c r="AN946" s="243"/>
      <c r="AO946" s="243"/>
      <c r="AP946" s="243"/>
      <c r="AQ946" s="1024"/>
      <c r="AR946" s="357"/>
      <c r="AS946" s="163"/>
      <c r="AT946" s="163"/>
      <c r="AU946" s="163"/>
      <c r="AV946" s="321"/>
    </row>
    <row r="947" spans="1:48" ht="12.75" x14ac:dyDescent="0.2">
      <c r="A947" s="243"/>
      <c r="B947" s="243"/>
      <c r="C947" s="1024"/>
      <c r="D947" s="1024"/>
      <c r="E947" s="1025"/>
      <c r="F947" s="243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  <c r="AH947" s="243"/>
      <c r="AI947" s="243"/>
      <c r="AJ947" s="243"/>
      <c r="AK947" s="243"/>
      <c r="AL947" s="243"/>
      <c r="AM947" s="243"/>
      <c r="AN947" s="243"/>
      <c r="AO947" s="243"/>
      <c r="AP947" s="243"/>
      <c r="AQ947" s="1024"/>
      <c r="AR947" s="357"/>
      <c r="AS947" s="163"/>
      <c r="AT947" s="163"/>
      <c r="AU947" s="163"/>
      <c r="AV947" s="321"/>
    </row>
    <row r="948" spans="1:48" ht="12.75" x14ac:dyDescent="0.2">
      <c r="A948" s="243"/>
      <c r="B948" s="243"/>
      <c r="C948" s="1024"/>
      <c r="D948" s="1024"/>
      <c r="E948" s="1025"/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3"/>
      <c r="AJ948" s="243"/>
      <c r="AK948" s="243"/>
      <c r="AL948" s="243"/>
      <c r="AM948" s="243"/>
      <c r="AN948" s="243"/>
      <c r="AO948" s="243"/>
      <c r="AP948" s="243"/>
      <c r="AQ948" s="1024"/>
      <c r="AR948" s="357"/>
      <c r="AS948" s="163"/>
      <c r="AT948" s="163"/>
      <c r="AU948" s="163"/>
      <c r="AV948" s="321"/>
    </row>
    <row r="949" spans="1:48" ht="12.75" x14ac:dyDescent="0.2">
      <c r="A949" s="243"/>
      <c r="B949" s="243"/>
      <c r="C949" s="1024"/>
      <c r="D949" s="1024"/>
      <c r="E949" s="1025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3"/>
      <c r="AJ949" s="243"/>
      <c r="AK949" s="243"/>
      <c r="AL949" s="243"/>
      <c r="AM949" s="243"/>
      <c r="AN949" s="243"/>
      <c r="AO949" s="243"/>
      <c r="AP949" s="243"/>
      <c r="AQ949" s="1024"/>
      <c r="AR949" s="357"/>
      <c r="AS949" s="163"/>
      <c r="AT949" s="163"/>
      <c r="AU949" s="163"/>
      <c r="AV949" s="321"/>
    </row>
    <row r="950" spans="1:48" ht="12.75" x14ac:dyDescent="0.2">
      <c r="A950" s="243"/>
      <c r="B950" s="243"/>
      <c r="C950" s="1024"/>
      <c r="D950" s="1024"/>
      <c r="E950" s="1025"/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3"/>
      <c r="AJ950" s="243"/>
      <c r="AK950" s="243"/>
      <c r="AL950" s="243"/>
      <c r="AM950" s="243"/>
      <c r="AN950" s="243"/>
      <c r="AO950" s="243"/>
      <c r="AP950" s="243"/>
      <c r="AQ950" s="1024"/>
      <c r="AR950" s="357"/>
      <c r="AS950" s="163"/>
      <c r="AT950" s="163"/>
      <c r="AU950" s="163"/>
      <c r="AV950" s="321"/>
    </row>
    <row r="951" spans="1:48" ht="12.75" x14ac:dyDescent="0.2">
      <c r="A951" s="243"/>
      <c r="B951" s="243"/>
      <c r="C951" s="1024"/>
      <c r="D951" s="1024"/>
      <c r="E951" s="1025"/>
      <c r="F951" s="243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3"/>
      <c r="AI951" s="243"/>
      <c r="AJ951" s="243"/>
      <c r="AK951" s="243"/>
      <c r="AL951" s="243"/>
      <c r="AM951" s="243"/>
      <c r="AN951" s="243"/>
      <c r="AO951" s="243"/>
      <c r="AP951" s="243"/>
      <c r="AQ951" s="1024"/>
      <c r="AR951" s="357"/>
      <c r="AS951" s="163"/>
      <c r="AT951" s="163"/>
      <c r="AU951" s="163"/>
      <c r="AV951" s="321"/>
    </row>
    <row r="952" spans="1:48" ht="12.75" x14ac:dyDescent="0.2">
      <c r="A952" s="243"/>
      <c r="B952" s="243"/>
      <c r="C952" s="1024"/>
      <c r="D952" s="1024"/>
      <c r="E952" s="1025"/>
      <c r="F952" s="243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3"/>
      <c r="AI952" s="243"/>
      <c r="AJ952" s="243"/>
      <c r="AK952" s="243"/>
      <c r="AL952" s="243"/>
      <c r="AM952" s="243"/>
      <c r="AN952" s="243"/>
      <c r="AO952" s="243"/>
      <c r="AP952" s="243"/>
      <c r="AQ952" s="1024"/>
      <c r="AR952" s="357"/>
      <c r="AS952" s="163"/>
      <c r="AT952" s="163"/>
      <c r="AU952" s="163"/>
      <c r="AV952" s="321"/>
    </row>
    <row r="953" spans="1:48" ht="12.75" x14ac:dyDescent="0.2">
      <c r="A953" s="243"/>
      <c r="B953" s="243"/>
      <c r="C953" s="1024"/>
      <c r="D953" s="1024"/>
      <c r="E953" s="1025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3"/>
      <c r="AJ953" s="243"/>
      <c r="AK953" s="243"/>
      <c r="AL953" s="243"/>
      <c r="AM953" s="243"/>
      <c r="AN953" s="243"/>
      <c r="AO953" s="243"/>
      <c r="AP953" s="243"/>
      <c r="AQ953" s="1024"/>
      <c r="AR953" s="357"/>
      <c r="AS953" s="163"/>
      <c r="AT953" s="163"/>
      <c r="AU953" s="163"/>
      <c r="AV953" s="321"/>
    </row>
    <row r="954" spans="1:48" ht="12.75" x14ac:dyDescent="0.2">
      <c r="A954" s="243"/>
      <c r="B954" s="243"/>
      <c r="C954" s="1024"/>
      <c r="D954" s="1024"/>
      <c r="E954" s="1025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3"/>
      <c r="AJ954" s="243"/>
      <c r="AK954" s="243"/>
      <c r="AL954" s="243"/>
      <c r="AM954" s="243"/>
      <c r="AN954" s="243"/>
      <c r="AO954" s="243"/>
      <c r="AP954" s="243"/>
      <c r="AQ954" s="1024"/>
      <c r="AR954" s="357"/>
      <c r="AS954" s="163"/>
      <c r="AT954" s="163"/>
      <c r="AU954" s="163"/>
      <c r="AV954" s="321"/>
    </row>
    <row r="955" spans="1:48" ht="12.75" x14ac:dyDescent="0.2">
      <c r="A955" s="243"/>
      <c r="B955" s="243"/>
      <c r="C955" s="1024"/>
      <c r="D955" s="1024"/>
      <c r="E955" s="1025"/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3"/>
      <c r="AJ955" s="243"/>
      <c r="AK955" s="243"/>
      <c r="AL955" s="243"/>
      <c r="AM955" s="243"/>
      <c r="AN955" s="243"/>
      <c r="AO955" s="243"/>
      <c r="AP955" s="243"/>
      <c r="AQ955" s="1024"/>
      <c r="AR955" s="357"/>
      <c r="AS955" s="163"/>
      <c r="AT955" s="163"/>
      <c r="AU955" s="163"/>
      <c r="AV955" s="321"/>
    </row>
    <row r="956" spans="1:48" ht="12.75" x14ac:dyDescent="0.2">
      <c r="A956" s="243"/>
      <c r="B956" s="243"/>
      <c r="C956" s="1024"/>
      <c r="D956" s="1024"/>
      <c r="E956" s="1025"/>
      <c r="F956" s="243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3"/>
      <c r="AI956" s="243"/>
      <c r="AJ956" s="243"/>
      <c r="AK956" s="243"/>
      <c r="AL956" s="243"/>
      <c r="AM956" s="243"/>
      <c r="AN956" s="243"/>
      <c r="AO956" s="243"/>
      <c r="AP956" s="243"/>
      <c r="AQ956" s="1024"/>
      <c r="AR956" s="357"/>
      <c r="AS956" s="163"/>
      <c r="AT956" s="163"/>
      <c r="AU956" s="163"/>
      <c r="AV956" s="321"/>
    </row>
    <row r="957" spans="1:48" ht="12.75" x14ac:dyDescent="0.2">
      <c r="A957" s="243"/>
      <c r="B957" s="243"/>
      <c r="C957" s="1024"/>
      <c r="D957" s="1024"/>
      <c r="E957" s="1025"/>
      <c r="F957" s="243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3"/>
      <c r="AI957" s="243"/>
      <c r="AJ957" s="243"/>
      <c r="AK957" s="243"/>
      <c r="AL957" s="243"/>
      <c r="AM957" s="243"/>
      <c r="AN957" s="243"/>
      <c r="AO957" s="243"/>
      <c r="AP957" s="243"/>
      <c r="AQ957" s="1024"/>
      <c r="AR957" s="357"/>
      <c r="AS957" s="163"/>
      <c r="AT957" s="163"/>
      <c r="AU957" s="163"/>
      <c r="AV957" s="321"/>
    </row>
    <row r="958" spans="1:48" ht="12.75" x14ac:dyDescent="0.2">
      <c r="A958" s="243"/>
      <c r="B958" s="243"/>
      <c r="C958" s="1024"/>
      <c r="D958" s="1024"/>
      <c r="E958" s="1025"/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3"/>
      <c r="AI958" s="243"/>
      <c r="AJ958" s="243"/>
      <c r="AK958" s="243"/>
      <c r="AL958" s="243"/>
      <c r="AM958" s="243"/>
      <c r="AN958" s="243"/>
      <c r="AO958" s="243"/>
      <c r="AP958" s="243"/>
      <c r="AQ958" s="1024"/>
      <c r="AR958" s="357"/>
      <c r="AS958" s="163"/>
      <c r="AT958" s="163"/>
      <c r="AU958" s="163"/>
      <c r="AV958" s="321"/>
    </row>
    <row r="959" spans="1:48" ht="12.75" x14ac:dyDescent="0.2">
      <c r="A959" s="243"/>
      <c r="B959" s="243"/>
      <c r="C959" s="1024"/>
      <c r="D959" s="1024"/>
      <c r="E959" s="1025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3"/>
      <c r="AI959" s="243"/>
      <c r="AJ959" s="243"/>
      <c r="AK959" s="243"/>
      <c r="AL959" s="243"/>
      <c r="AM959" s="243"/>
      <c r="AN959" s="243"/>
      <c r="AO959" s="243"/>
      <c r="AP959" s="243"/>
      <c r="AQ959" s="1024"/>
      <c r="AR959" s="357"/>
      <c r="AS959" s="163"/>
      <c r="AT959" s="163"/>
      <c r="AU959" s="163"/>
      <c r="AV959" s="321"/>
    </row>
    <row r="960" spans="1:48" ht="12.75" x14ac:dyDescent="0.2">
      <c r="A960" s="243"/>
      <c r="B960" s="243"/>
      <c r="C960" s="1024"/>
      <c r="D960" s="1024"/>
      <c r="E960" s="1025"/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3"/>
      <c r="AI960" s="243"/>
      <c r="AJ960" s="243"/>
      <c r="AK960" s="243"/>
      <c r="AL960" s="243"/>
      <c r="AM960" s="243"/>
      <c r="AN960" s="243"/>
      <c r="AO960" s="243"/>
      <c r="AP960" s="243"/>
      <c r="AQ960" s="1024"/>
      <c r="AR960" s="357"/>
      <c r="AS960" s="163"/>
      <c r="AT960" s="163"/>
      <c r="AU960" s="163"/>
      <c r="AV960" s="321"/>
    </row>
    <row r="961" spans="1:48" ht="12.75" x14ac:dyDescent="0.2">
      <c r="A961" s="243"/>
      <c r="B961" s="243"/>
      <c r="C961" s="1024"/>
      <c r="D961" s="1024"/>
      <c r="E961" s="1025"/>
      <c r="F961" s="243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  <c r="AH961" s="243"/>
      <c r="AI961" s="243"/>
      <c r="AJ961" s="243"/>
      <c r="AK961" s="243"/>
      <c r="AL961" s="243"/>
      <c r="AM961" s="243"/>
      <c r="AN961" s="243"/>
      <c r="AO961" s="243"/>
      <c r="AP961" s="243"/>
      <c r="AQ961" s="1024"/>
      <c r="AR961" s="357"/>
      <c r="AS961" s="163"/>
      <c r="AT961" s="163"/>
      <c r="AU961" s="163"/>
      <c r="AV961" s="321"/>
    </row>
    <row r="962" spans="1:48" ht="12.75" x14ac:dyDescent="0.2">
      <c r="A962" s="243"/>
      <c r="B962" s="243"/>
      <c r="C962" s="1024"/>
      <c r="D962" s="1024"/>
      <c r="E962" s="1025"/>
      <c r="F962" s="243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  <c r="AH962" s="243"/>
      <c r="AI962" s="243"/>
      <c r="AJ962" s="243"/>
      <c r="AK962" s="243"/>
      <c r="AL962" s="243"/>
      <c r="AM962" s="243"/>
      <c r="AN962" s="243"/>
      <c r="AO962" s="243"/>
      <c r="AP962" s="243"/>
      <c r="AQ962" s="1024"/>
      <c r="AR962" s="357"/>
      <c r="AS962" s="163"/>
      <c r="AT962" s="163"/>
      <c r="AU962" s="163"/>
      <c r="AV962" s="321"/>
    </row>
    <row r="963" spans="1:48" ht="12.75" x14ac:dyDescent="0.2">
      <c r="A963" s="243"/>
      <c r="B963" s="243"/>
      <c r="C963" s="1024"/>
      <c r="D963" s="1024"/>
      <c r="E963" s="1025"/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3"/>
      <c r="AI963" s="243"/>
      <c r="AJ963" s="243"/>
      <c r="AK963" s="243"/>
      <c r="AL963" s="243"/>
      <c r="AM963" s="243"/>
      <c r="AN963" s="243"/>
      <c r="AO963" s="243"/>
      <c r="AP963" s="243"/>
      <c r="AQ963" s="1024"/>
      <c r="AR963" s="357"/>
      <c r="AS963" s="163"/>
      <c r="AT963" s="163"/>
      <c r="AU963" s="163"/>
      <c r="AV963" s="321"/>
    </row>
    <row r="964" spans="1:48" ht="12.75" x14ac:dyDescent="0.2">
      <c r="A964" s="243"/>
      <c r="B964" s="243"/>
      <c r="C964" s="1024"/>
      <c r="D964" s="1024"/>
      <c r="E964" s="1025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3"/>
      <c r="AI964" s="243"/>
      <c r="AJ964" s="243"/>
      <c r="AK964" s="243"/>
      <c r="AL964" s="243"/>
      <c r="AM964" s="243"/>
      <c r="AN964" s="243"/>
      <c r="AO964" s="243"/>
      <c r="AP964" s="243"/>
      <c r="AQ964" s="1024"/>
      <c r="AR964" s="357"/>
      <c r="AS964" s="163"/>
      <c r="AT964" s="163"/>
      <c r="AU964" s="163"/>
      <c r="AV964" s="321"/>
    </row>
    <row r="965" spans="1:48" ht="12.75" x14ac:dyDescent="0.2">
      <c r="A965" s="243"/>
      <c r="B965" s="243"/>
      <c r="C965" s="1024"/>
      <c r="D965" s="1024"/>
      <c r="E965" s="1025"/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3"/>
      <c r="AI965" s="243"/>
      <c r="AJ965" s="243"/>
      <c r="AK965" s="243"/>
      <c r="AL965" s="243"/>
      <c r="AM965" s="243"/>
      <c r="AN965" s="243"/>
      <c r="AO965" s="243"/>
      <c r="AP965" s="243"/>
      <c r="AQ965" s="1024"/>
      <c r="AR965" s="357"/>
      <c r="AS965" s="163"/>
      <c r="AT965" s="163"/>
      <c r="AU965" s="163"/>
      <c r="AV965" s="321"/>
    </row>
    <row r="966" spans="1:48" ht="12.75" x14ac:dyDescent="0.2">
      <c r="A966" s="243"/>
      <c r="B966" s="243"/>
      <c r="C966" s="1024"/>
      <c r="D966" s="1024"/>
      <c r="E966" s="1025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  <c r="AH966" s="243"/>
      <c r="AI966" s="243"/>
      <c r="AJ966" s="243"/>
      <c r="AK966" s="243"/>
      <c r="AL966" s="243"/>
      <c r="AM966" s="243"/>
      <c r="AN966" s="243"/>
      <c r="AO966" s="243"/>
      <c r="AP966" s="243"/>
      <c r="AQ966" s="1024"/>
      <c r="AR966" s="357"/>
      <c r="AS966" s="163"/>
      <c r="AT966" s="163"/>
      <c r="AU966" s="163"/>
      <c r="AV966" s="321"/>
    </row>
    <row r="967" spans="1:48" ht="12.75" x14ac:dyDescent="0.2">
      <c r="A967" s="243"/>
      <c r="B967" s="243"/>
      <c r="C967" s="1024"/>
      <c r="D967" s="1024"/>
      <c r="E967" s="1025"/>
      <c r="F967" s="243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  <c r="AH967" s="243"/>
      <c r="AI967" s="243"/>
      <c r="AJ967" s="243"/>
      <c r="AK967" s="243"/>
      <c r="AL967" s="243"/>
      <c r="AM967" s="243"/>
      <c r="AN967" s="243"/>
      <c r="AO967" s="243"/>
      <c r="AP967" s="243"/>
      <c r="AQ967" s="1024"/>
      <c r="AR967" s="357"/>
      <c r="AS967" s="163"/>
      <c r="AT967" s="163"/>
      <c r="AU967" s="163"/>
      <c r="AV967" s="321"/>
    </row>
    <row r="968" spans="1:48" ht="12.75" x14ac:dyDescent="0.2">
      <c r="A968" s="243"/>
      <c r="B968" s="243"/>
      <c r="C968" s="1024"/>
      <c r="D968" s="1024"/>
      <c r="E968" s="1025"/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3"/>
      <c r="AI968" s="243"/>
      <c r="AJ968" s="243"/>
      <c r="AK968" s="243"/>
      <c r="AL968" s="243"/>
      <c r="AM968" s="243"/>
      <c r="AN968" s="243"/>
      <c r="AO968" s="243"/>
      <c r="AP968" s="243"/>
      <c r="AQ968" s="1024"/>
      <c r="AR968" s="357"/>
      <c r="AS968" s="163"/>
      <c r="AT968" s="163"/>
      <c r="AU968" s="163"/>
      <c r="AV968" s="321"/>
    </row>
    <row r="969" spans="1:48" ht="12.75" x14ac:dyDescent="0.2">
      <c r="A969" s="243"/>
      <c r="B969" s="243"/>
      <c r="C969" s="1024"/>
      <c r="D969" s="1024"/>
      <c r="E969" s="1025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3"/>
      <c r="AI969" s="243"/>
      <c r="AJ969" s="243"/>
      <c r="AK969" s="243"/>
      <c r="AL969" s="243"/>
      <c r="AM969" s="243"/>
      <c r="AN969" s="243"/>
      <c r="AO969" s="243"/>
      <c r="AP969" s="243"/>
      <c r="AQ969" s="1024"/>
      <c r="AR969" s="357"/>
      <c r="AS969" s="163"/>
      <c r="AT969" s="163"/>
      <c r="AU969" s="163"/>
      <c r="AV969" s="321"/>
    </row>
    <row r="970" spans="1:48" ht="12.75" x14ac:dyDescent="0.2">
      <c r="A970" s="243"/>
      <c r="B970" s="243"/>
      <c r="C970" s="1024"/>
      <c r="D970" s="1024"/>
      <c r="E970" s="1025"/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3"/>
      <c r="AI970" s="243"/>
      <c r="AJ970" s="243"/>
      <c r="AK970" s="243"/>
      <c r="AL970" s="243"/>
      <c r="AM970" s="243"/>
      <c r="AN970" s="243"/>
      <c r="AO970" s="243"/>
      <c r="AP970" s="243"/>
      <c r="AQ970" s="1024"/>
      <c r="AR970" s="357"/>
      <c r="AS970" s="163"/>
      <c r="AT970" s="163"/>
      <c r="AU970" s="163"/>
      <c r="AV970" s="321"/>
    </row>
    <row r="971" spans="1:48" ht="12.75" x14ac:dyDescent="0.2">
      <c r="A971" s="243"/>
      <c r="B971" s="243"/>
      <c r="C971" s="1024"/>
      <c r="D971" s="1024"/>
      <c r="E971" s="1025"/>
      <c r="F971" s="243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  <c r="AH971" s="243"/>
      <c r="AI971" s="243"/>
      <c r="AJ971" s="243"/>
      <c r="AK971" s="243"/>
      <c r="AL971" s="243"/>
      <c r="AM971" s="243"/>
      <c r="AN971" s="243"/>
      <c r="AO971" s="243"/>
      <c r="AP971" s="243"/>
      <c r="AQ971" s="1024"/>
      <c r="AR971" s="357"/>
      <c r="AS971" s="163"/>
      <c r="AT971" s="163"/>
      <c r="AU971" s="163"/>
      <c r="AV971" s="321"/>
    </row>
    <row r="972" spans="1:48" ht="12.75" x14ac:dyDescent="0.2">
      <c r="A972" s="243"/>
      <c r="B972" s="243"/>
      <c r="C972" s="1024"/>
      <c r="D972" s="1024"/>
      <c r="E972" s="1025"/>
      <c r="F972" s="243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  <c r="AH972" s="243"/>
      <c r="AI972" s="243"/>
      <c r="AJ972" s="243"/>
      <c r="AK972" s="243"/>
      <c r="AL972" s="243"/>
      <c r="AM972" s="243"/>
      <c r="AN972" s="243"/>
      <c r="AO972" s="243"/>
      <c r="AP972" s="243"/>
      <c r="AQ972" s="1024"/>
      <c r="AR972" s="357"/>
      <c r="AS972" s="163"/>
      <c r="AT972" s="163"/>
      <c r="AU972" s="163"/>
      <c r="AV972" s="321"/>
    </row>
    <row r="973" spans="1:48" ht="12.75" x14ac:dyDescent="0.2">
      <c r="A973" s="243"/>
      <c r="B973" s="243"/>
      <c r="C973" s="1024"/>
      <c r="D973" s="1024"/>
      <c r="E973" s="1025"/>
      <c r="F973" s="243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  <c r="AH973" s="243"/>
      <c r="AI973" s="243"/>
      <c r="AJ973" s="243"/>
      <c r="AK973" s="243"/>
      <c r="AL973" s="243"/>
      <c r="AM973" s="243"/>
      <c r="AN973" s="243"/>
      <c r="AO973" s="243"/>
      <c r="AP973" s="243"/>
      <c r="AQ973" s="1024"/>
      <c r="AR973" s="357"/>
      <c r="AS973" s="163"/>
      <c r="AT973" s="163"/>
      <c r="AU973" s="163"/>
      <c r="AV973" s="321"/>
    </row>
    <row r="974" spans="1:48" ht="12.75" x14ac:dyDescent="0.2">
      <c r="A974" s="243"/>
      <c r="B974" s="243"/>
      <c r="C974" s="1024"/>
      <c r="D974" s="1024"/>
      <c r="E974" s="1025"/>
      <c r="F974" s="243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  <c r="AH974" s="243"/>
      <c r="AI974" s="243"/>
      <c r="AJ974" s="243"/>
      <c r="AK974" s="243"/>
      <c r="AL974" s="243"/>
      <c r="AM974" s="243"/>
      <c r="AN974" s="243"/>
      <c r="AO974" s="243"/>
      <c r="AP974" s="243"/>
      <c r="AQ974" s="1024"/>
      <c r="AR974" s="357"/>
      <c r="AS974" s="163"/>
      <c r="AT974" s="163"/>
      <c r="AU974" s="163"/>
      <c r="AV974" s="321"/>
    </row>
    <row r="975" spans="1:48" ht="12.75" x14ac:dyDescent="0.2">
      <c r="A975" s="243"/>
      <c r="B975" s="243"/>
      <c r="C975" s="1024"/>
      <c r="D975" s="1024"/>
      <c r="E975" s="1025"/>
      <c r="F975" s="243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  <c r="AH975" s="243"/>
      <c r="AI975" s="243"/>
      <c r="AJ975" s="243"/>
      <c r="AK975" s="243"/>
      <c r="AL975" s="243"/>
      <c r="AM975" s="243"/>
      <c r="AN975" s="243"/>
      <c r="AO975" s="243"/>
      <c r="AP975" s="243"/>
      <c r="AQ975" s="1024"/>
      <c r="AR975" s="357"/>
      <c r="AS975" s="163"/>
      <c r="AT975" s="163"/>
      <c r="AU975" s="163"/>
      <c r="AV975" s="321"/>
    </row>
    <row r="976" spans="1:48" ht="12.75" x14ac:dyDescent="0.2">
      <c r="A976" s="243"/>
      <c r="B976" s="243"/>
      <c r="C976" s="1024"/>
      <c r="D976" s="1024"/>
      <c r="E976" s="1025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  <c r="AH976" s="243"/>
      <c r="AI976" s="243"/>
      <c r="AJ976" s="243"/>
      <c r="AK976" s="243"/>
      <c r="AL976" s="243"/>
      <c r="AM976" s="243"/>
      <c r="AN976" s="243"/>
      <c r="AO976" s="243"/>
      <c r="AP976" s="243"/>
      <c r="AQ976" s="1024"/>
      <c r="AR976" s="357"/>
      <c r="AS976" s="163"/>
      <c r="AT976" s="163"/>
      <c r="AU976" s="163"/>
      <c r="AV976" s="321"/>
    </row>
    <row r="977" spans="1:48" ht="12.75" x14ac:dyDescent="0.2">
      <c r="A977" s="243"/>
      <c r="B977" s="243"/>
      <c r="C977" s="1024"/>
      <c r="D977" s="1024"/>
      <c r="E977" s="1025"/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3"/>
      <c r="AI977" s="243"/>
      <c r="AJ977" s="243"/>
      <c r="AK977" s="243"/>
      <c r="AL977" s="243"/>
      <c r="AM977" s="243"/>
      <c r="AN977" s="243"/>
      <c r="AO977" s="243"/>
      <c r="AP977" s="243"/>
      <c r="AQ977" s="1024"/>
      <c r="AR977" s="357"/>
      <c r="AS977" s="163"/>
      <c r="AT977" s="163"/>
      <c r="AU977" s="163"/>
      <c r="AV977" s="321"/>
    </row>
    <row r="978" spans="1:48" ht="12.75" x14ac:dyDescent="0.2">
      <c r="A978" s="243"/>
      <c r="B978" s="243"/>
      <c r="C978" s="1024"/>
      <c r="D978" s="1024"/>
      <c r="E978" s="1025"/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3"/>
      <c r="AI978" s="243"/>
      <c r="AJ978" s="243"/>
      <c r="AK978" s="243"/>
      <c r="AL978" s="243"/>
      <c r="AM978" s="243"/>
      <c r="AN978" s="243"/>
      <c r="AO978" s="243"/>
      <c r="AP978" s="243"/>
      <c r="AQ978" s="1024"/>
      <c r="AR978" s="357"/>
      <c r="AS978" s="163"/>
      <c r="AT978" s="163"/>
      <c r="AU978" s="163"/>
      <c r="AV978" s="321"/>
    </row>
    <row r="979" spans="1:48" ht="12.75" x14ac:dyDescent="0.2">
      <c r="A979" s="243"/>
      <c r="B979" s="243"/>
      <c r="C979" s="1024"/>
      <c r="D979" s="1024"/>
      <c r="E979" s="1025"/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3"/>
      <c r="AI979" s="243"/>
      <c r="AJ979" s="243"/>
      <c r="AK979" s="243"/>
      <c r="AL979" s="243"/>
      <c r="AM979" s="243"/>
      <c r="AN979" s="243"/>
      <c r="AO979" s="243"/>
      <c r="AP979" s="243"/>
      <c r="AQ979" s="1024"/>
      <c r="AR979" s="357"/>
      <c r="AS979" s="163"/>
      <c r="AT979" s="163"/>
      <c r="AU979" s="163"/>
      <c r="AV979" s="321"/>
    </row>
    <row r="980" spans="1:48" ht="12.75" x14ac:dyDescent="0.2">
      <c r="A980" s="243"/>
      <c r="B980" s="243"/>
      <c r="C980" s="1024"/>
      <c r="D980" s="1024"/>
      <c r="E980" s="1025"/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3"/>
      <c r="AI980" s="243"/>
      <c r="AJ980" s="243"/>
      <c r="AK980" s="243"/>
      <c r="AL980" s="243"/>
      <c r="AM980" s="243"/>
      <c r="AN980" s="243"/>
      <c r="AO980" s="243"/>
      <c r="AP980" s="243"/>
      <c r="AQ980" s="1024"/>
      <c r="AR980" s="357"/>
      <c r="AS980" s="163"/>
      <c r="AT980" s="163"/>
      <c r="AU980" s="163"/>
      <c r="AV980" s="321"/>
    </row>
    <row r="981" spans="1:48" ht="12.75" x14ac:dyDescent="0.2">
      <c r="A981" s="243"/>
      <c r="B981" s="243"/>
      <c r="C981" s="1024"/>
      <c r="D981" s="1024"/>
      <c r="E981" s="1025"/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3"/>
      <c r="AI981" s="243"/>
      <c r="AJ981" s="243"/>
      <c r="AK981" s="243"/>
      <c r="AL981" s="243"/>
      <c r="AM981" s="243"/>
      <c r="AN981" s="243"/>
      <c r="AO981" s="243"/>
      <c r="AP981" s="243"/>
      <c r="AQ981" s="1024"/>
      <c r="AR981" s="357"/>
      <c r="AS981" s="163"/>
      <c r="AT981" s="163"/>
      <c r="AU981" s="163"/>
      <c r="AV981" s="321"/>
    </row>
    <row r="982" spans="1:48" ht="12.75" x14ac:dyDescent="0.2">
      <c r="A982" s="243"/>
      <c r="B982" s="243"/>
      <c r="C982" s="1024"/>
      <c r="D982" s="1024"/>
      <c r="E982" s="1025"/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3"/>
      <c r="AI982" s="243"/>
      <c r="AJ982" s="243"/>
      <c r="AK982" s="243"/>
      <c r="AL982" s="243"/>
      <c r="AM982" s="243"/>
      <c r="AN982" s="243"/>
      <c r="AO982" s="243"/>
      <c r="AP982" s="243"/>
      <c r="AQ982" s="1024"/>
      <c r="AR982" s="357"/>
      <c r="AS982" s="163"/>
      <c r="AT982" s="163"/>
      <c r="AU982" s="163"/>
      <c r="AV982" s="321"/>
    </row>
    <row r="983" spans="1:48" ht="12.75" x14ac:dyDescent="0.2">
      <c r="A983" s="243"/>
      <c r="B983" s="243"/>
      <c r="C983" s="1024"/>
      <c r="D983" s="1024"/>
      <c r="E983" s="1025"/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3"/>
      <c r="AI983" s="243"/>
      <c r="AJ983" s="243"/>
      <c r="AK983" s="243"/>
      <c r="AL983" s="243"/>
      <c r="AM983" s="243"/>
      <c r="AN983" s="243"/>
      <c r="AO983" s="243"/>
      <c r="AP983" s="243"/>
      <c r="AQ983" s="1024"/>
      <c r="AR983" s="357"/>
      <c r="AS983" s="163"/>
      <c r="AT983" s="163"/>
      <c r="AU983" s="163"/>
      <c r="AV983" s="321"/>
    </row>
    <row r="984" spans="1:48" ht="12.75" x14ac:dyDescent="0.2">
      <c r="A984" s="243"/>
      <c r="B984" s="243"/>
      <c r="C984" s="1024"/>
      <c r="D984" s="1024"/>
      <c r="E984" s="1025"/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3"/>
      <c r="AI984" s="243"/>
      <c r="AJ984" s="243"/>
      <c r="AK984" s="243"/>
      <c r="AL984" s="243"/>
      <c r="AM984" s="243"/>
      <c r="AN984" s="243"/>
      <c r="AO984" s="243"/>
      <c r="AP984" s="243"/>
      <c r="AQ984" s="1024"/>
      <c r="AR984" s="357"/>
      <c r="AS984" s="163"/>
      <c r="AT984" s="163"/>
      <c r="AU984" s="163"/>
      <c r="AV984" s="321"/>
    </row>
    <row r="985" spans="1:48" ht="12.75" x14ac:dyDescent="0.2">
      <c r="A985" s="243"/>
      <c r="B985" s="243"/>
      <c r="C985" s="1024"/>
      <c r="D985" s="1024"/>
      <c r="E985" s="1025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3"/>
      <c r="AI985" s="243"/>
      <c r="AJ985" s="243"/>
      <c r="AK985" s="243"/>
      <c r="AL985" s="243"/>
      <c r="AM985" s="243"/>
      <c r="AN985" s="243"/>
      <c r="AO985" s="243"/>
      <c r="AP985" s="243"/>
      <c r="AQ985" s="1024"/>
      <c r="AR985" s="357"/>
      <c r="AS985" s="163"/>
      <c r="AT985" s="163"/>
      <c r="AU985" s="163"/>
      <c r="AV985" s="321"/>
    </row>
    <row r="986" spans="1:48" ht="12.75" x14ac:dyDescent="0.2">
      <c r="A986" s="243"/>
      <c r="B986" s="243"/>
      <c r="C986" s="1024"/>
      <c r="D986" s="1024"/>
      <c r="E986" s="1025"/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3"/>
      <c r="AI986" s="243"/>
      <c r="AJ986" s="243"/>
      <c r="AK986" s="243"/>
      <c r="AL986" s="243"/>
      <c r="AM986" s="243"/>
      <c r="AN986" s="243"/>
      <c r="AO986" s="243"/>
      <c r="AP986" s="243"/>
      <c r="AQ986" s="1024"/>
      <c r="AR986" s="357"/>
      <c r="AS986" s="163"/>
      <c r="AT986" s="163"/>
      <c r="AU986" s="163"/>
      <c r="AV986" s="321"/>
    </row>
    <row r="987" spans="1:48" ht="12.75" x14ac:dyDescent="0.2">
      <c r="A987" s="243"/>
      <c r="B987" s="243"/>
      <c r="C987" s="1024"/>
      <c r="D987" s="1024"/>
      <c r="E987" s="1025"/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3"/>
      <c r="AI987" s="243"/>
      <c r="AJ987" s="243"/>
      <c r="AK987" s="243"/>
      <c r="AL987" s="243"/>
      <c r="AM987" s="243"/>
      <c r="AN987" s="243"/>
      <c r="AO987" s="243"/>
      <c r="AP987" s="243"/>
      <c r="AQ987" s="1024"/>
      <c r="AR987" s="357"/>
      <c r="AS987" s="163"/>
      <c r="AT987" s="163"/>
      <c r="AU987" s="163"/>
      <c r="AV987" s="321"/>
    </row>
    <row r="988" spans="1:48" ht="12.75" x14ac:dyDescent="0.2">
      <c r="A988" s="243"/>
      <c r="B988" s="243"/>
      <c r="C988" s="1024"/>
      <c r="D988" s="1024"/>
      <c r="E988" s="1025"/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3"/>
      <c r="AI988" s="243"/>
      <c r="AJ988" s="243"/>
      <c r="AK988" s="243"/>
      <c r="AL988" s="243"/>
      <c r="AM988" s="243"/>
      <c r="AN988" s="243"/>
      <c r="AO988" s="243"/>
      <c r="AP988" s="243"/>
      <c r="AQ988" s="1024"/>
      <c r="AR988" s="357"/>
      <c r="AS988" s="163"/>
      <c r="AT988" s="163"/>
      <c r="AU988" s="163"/>
      <c r="AV988" s="321"/>
    </row>
    <row r="989" spans="1:48" ht="12.75" x14ac:dyDescent="0.2">
      <c r="A989" s="243"/>
      <c r="B989" s="243"/>
      <c r="C989" s="1024"/>
      <c r="D989" s="1024"/>
      <c r="E989" s="1025"/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3"/>
      <c r="AI989" s="243"/>
      <c r="AJ989" s="243"/>
      <c r="AK989" s="243"/>
      <c r="AL989" s="243"/>
      <c r="AM989" s="243"/>
      <c r="AN989" s="243"/>
      <c r="AO989" s="243"/>
      <c r="AP989" s="243"/>
      <c r="AQ989" s="1024"/>
      <c r="AR989" s="357"/>
      <c r="AS989" s="163"/>
      <c r="AT989" s="163"/>
      <c r="AU989" s="163"/>
      <c r="AV989" s="321"/>
    </row>
    <row r="990" spans="1:48" ht="12.75" x14ac:dyDescent="0.2">
      <c r="A990" s="243"/>
      <c r="B990" s="243"/>
      <c r="C990" s="1024"/>
      <c r="D990" s="1024"/>
      <c r="E990" s="1025"/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3"/>
      <c r="AI990" s="243"/>
      <c r="AJ990" s="243"/>
      <c r="AK990" s="243"/>
      <c r="AL990" s="243"/>
      <c r="AM990" s="243"/>
      <c r="AN990" s="243"/>
      <c r="AO990" s="243"/>
      <c r="AP990" s="243"/>
      <c r="AQ990" s="1024"/>
      <c r="AR990" s="357"/>
      <c r="AS990" s="163"/>
      <c r="AT990" s="163"/>
      <c r="AU990" s="163"/>
      <c r="AV990" s="321"/>
    </row>
    <row r="991" spans="1:48" ht="12.75" x14ac:dyDescent="0.2">
      <c r="A991" s="243"/>
      <c r="B991" s="243"/>
      <c r="C991" s="1024"/>
      <c r="D991" s="1024"/>
      <c r="E991" s="1025"/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3"/>
      <c r="AJ991" s="243"/>
      <c r="AK991" s="243"/>
      <c r="AL991" s="243"/>
      <c r="AM991" s="243"/>
      <c r="AN991" s="243"/>
      <c r="AO991" s="243"/>
      <c r="AP991" s="243"/>
      <c r="AQ991" s="1024"/>
      <c r="AR991" s="357"/>
      <c r="AS991" s="163"/>
      <c r="AT991" s="163"/>
      <c r="AU991" s="163"/>
      <c r="AV991" s="321"/>
    </row>
    <row r="992" spans="1:48" ht="12.75" x14ac:dyDescent="0.2">
      <c r="A992" s="243"/>
      <c r="B992" s="243"/>
      <c r="C992" s="1024"/>
      <c r="D992" s="1024"/>
      <c r="E992" s="1025"/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3"/>
      <c r="AJ992" s="243"/>
      <c r="AK992" s="243"/>
      <c r="AL992" s="243"/>
      <c r="AM992" s="243"/>
      <c r="AN992" s="243"/>
      <c r="AO992" s="243"/>
      <c r="AP992" s="243"/>
      <c r="AQ992" s="1024"/>
      <c r="AR992" s="357"/>
      <c r="AS992" s="163"/>
      <c r="AT992" s="163"/>
      <c r="AU992" s="163"/>
      <c r="AV992" s="321"/>
    </row>
    <row r="993" spans="1:48" ht="12.75" x14ac:dyDescent="0.2">
      <c r="A993" s="243"/>
      <c r="B993" s="243"/>
      <c r="C993" s="1024"/>
      <c r="D993" s="1024"/>
      <c r="E993" s="1025"/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3"/>
      <c r="AJ993" s="243"/>
      <c r="AK993" s="243"/>
      <c r="AL993" s="243"/>
      <c r="AM993" s="243"/>
      <c r="AN993" s="243"/>
      <c r="AO993" s="243"/>
      <c r="AP993" s="243"/>
      <c r="AQ993" s="1024"/>
      <c r="AR993" s="357"/>
      <c r="AS993" s="163"/>
      <c r="AT993" s="163"/>
      <c r="AU993" s="163"/>
      <c r="AV993" s="321"/>
    </row>
    <row r="994" spans="1:48" ht="12.75" x14ac:dyDescent="0.2">
      <c r="A994" s="243"/>
      <c r="B994" s="243"/>
      <c r="C994" s="1024"/>
      <c r="D994" s="1024"/>
      <c r="E994" s="1025"/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3"/>
      <c r="AJ994" s="243"/>
      <c r="AK994" s="243"/>
      <c r="AL994" s="243"/>
      <c r="AM994" s="243"/>
      <c r="AN994" s="243"/>
      <c r="AO994" s="243"/>
      <c r="AP994" s="243"/>
      <c r="AQ994" s="1024"/>
      <c r="AR994" s="357"/>
      <c r="AS994" s="163"/>
      <c r="AT994" s="163"/>
      <c r="AU994" s="163"/>
      <c r="AV994" s="321"/>
    </row>
    <row r="995" spans="1:48" ht="12.75" x14ac:dyDescent="0.2">
      <c r="A995" s="243"/>
      <c r="B995" s="243"/>
      <c r="C995" s="1024"/>
      <c r="D995" s="1024"/>
      <c r="E995" s="1025"/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3"/>
      <c r="AJ995" s="243"/>
      <c r="AK995" s="243"/>
      <c r="AL995" s="243"/>
      <c r="AM995" s="243"/>
      <c r="AN995" s="243"/>
      <c r="AO995" s="243"/>
      <c r="AP995" s="243"/>
      <c r="AQ995" s="1024"/>
      <c r="AR995" s="357"/>
      <c r="AS995" s="163"/>
      <c r="AT995" s="163"/>
      <c r="AU995" s="163"/>
      <c r="AV995" s="321"/>
    </row>
    <row r="996" spans="1:48" ht="12.75" x14ac:dyDescent="0.2">
      <c r="A996" s="243"/>
      <c r="B996" s="243"/>
      <c r="C996" s="1024"/>
      <c r="D996" s="1024"/>
      <c r="E996" s="1025"/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3"/>
      <c r="AJ996" s="243"/>
      <c r="AK996" s="243"/>
      <c r="AL996" s="243"/>
      <c r="AM996" s="243"/>
      <c r="AN996" s="243"/>
      <c r="AO996" s="243"/>
      <c r="AP996" s="243"/>
      <c r="AQ996" s="1024"/>
      <c r="AR996" s="357"/>
      <c r="AS996" s="163"/>
      <c r="AT996" s="163"/>
      <c r="AU996" s="163"/>
      <c r="AV996" s="321"/>
    </row>
    <row r="997" spans="1:48" ht="12.75" x14ac:dyDescent="0.2">
      <c r="A997" s="243"/>
      <c r="B997" s="243"/>
      <c r="C997" s="1024"/>
      <c r="D997" s="1024"/>
      <c r="E997" s="1025"/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3"/>
      <c r="AJ997" s="243"/>
      <c r="AK997" s="243"/>
      <c r="AL997" s="243"/>
      <c r="AM997" s="243"/>
      <c r="AN997" s="243"/>
      <c r="AO997" s="243"/>
      <c r="AP997" s="243"/>
      <c r="AQ997" s="1024"/>
      <c r="AR997" s="1118"/>
      <c r="AS997" s="285"/>
      <c r="AT997" s="285"/>
      <c r="AU997" s="285"/>
      <c r="AV997" s="460"/>
    </row>
  </sheetData>
  <mergeCells count="16">
    <mergeCell ref="AF2:AH2"/>
    <mergeCell ref="AI2:AK2"/>
    <mergeCell ref="AL2:AN2"/>
    <mergeCell ref="A1:C3"/>
    <mergeCell ref="F1:Q1"/>
    <mergeCell ref="S1:AD1"/>
    <mergeCell ref="AF1:AQ1"/>
    <mergeCell ref="F2:H2"/>
    <mergeCell ref="I2:K2"/>
    <mergeCell ref="L2:N2"/>
    <mergeCell ref="AO2:AQ2"/>
    <mergeCell ref="O2:Q2"/>
    <mergeCell ref="S2:U2"/>
    <mergeCell ref="V2:X2"/>
    <mergeCell ref="Y2:AA2"/>
    <mergeCell ref="AB2:AD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D9EEB"/>
    <outlinePr summaryBelow="0" summaryRight="0"/>
  </sheetPr>
  <dimension ref="A1:GN96"/>
  <sheetViews>
    <sheetView topLeftCell="FT1" zoomScale="70" zoomScaleNormal="70" workbookViewId="0">
      <selection activeCell="GH11" sqref="GH11"/>
    </sheetView>
  </sheetViews>
  <sheetFormatPr defaultColWidth="12.5703125" defaultRowHeight="15.75" customHeight="1" x14ac:dyDescent="0.2"/>
  <cols>
    <col min="2" max="2" width="31" customWidth="1"/>
    <col min="4" max="4" width="13.42578125" customWidth="1"/>
    <col min="7" max="7" width="15.85546875" customWidth="1"/>
    <col min="8" max="8" width="16.7109375" hidden="1" customWidth="1"/>
    <col min="9" max="12" width="12.5703125" hidden="1" customWidth="1"/>
    <col min="13" max="13" width="16.7109375" customWidth="1"/>
    <col min="33" max="33" width="16.7109375" customWidth="1"/>
    <col min="53" max="53" width="16.7109375" customWidth="1"/>
    <col min="73" max="73" width="16.7109375" customWidth="1"/>
    <col min="93" max="93" width="16.7109375" customWidth="1"/>
    <col min="113" max="113" width="16.7109375" customWidth="1"/>
    <col min="133" max="133" width="16.7109375" customWidth="1"/>
    <col min="153" max="153" width="16.7109375" customWidth="1"/>
    <col min="173" max="173" width="16.7109375" customWidth="1"/>
  </cols>
  <sheetData>
    <row r="1" spans="1:196" ht="14.25" x14ac:dyDescent="0.2">
      <c r="A1" s="1433" t="s">
        <v>509</v>
      </c>
      <c r="B1" s="1380"/>
      <c r="C1" s="1380"/>
      <c r="D1" s="1434"/>
      <c r="E1" s="243"/>
      <c r="F1" s="972"/>
      <c r="G1" s="243"/>
      <c r="H1" s="243"/>
      <c r="I1" s="243"/>
      <c r="J1" s="243"/>
      <c r="K1" s="243"/>
      <c r="L1" s="243"/>
      <c r="M1" s="973" t="s">
        <v>285</v>
      </c>
      <c r="N1" s="974" t="s">
        <v>286</v>
      </c>
      <c r="O1" s="973" t="s">
        <v>287</v>
      </c>
      <c r="P1" s="243"/>
      <c r="Q1" s="243"/>
      <c r="R1" s="973" t="s">
        <v>285</v>
      </c>
      <c r="S1" s="974" t="s">
        <v>286</v>
      </c>
      <c r="T1" s="973" t="s">
        <v>287</v>
      </c>
      <c r="U1" s="243"/>
      <c r="V1" s="243"/>
      <c r="W1" s="973" t="s">
        <v>285</v>
      </c>
      <c r="X1" s="974" t="s">
        <v>286</v>
      </c>
      <c r="Y1" s="243" t="s">
        <v>287</v>
      </c>
      <c r="Z1" s="243"/>
      <c r="AA1" s="243"/>
      <c r="AB1" s="973" t="s">
        <v>285</v>
      </c>
      <c r="AC1" s="974" t="s">
        <v>286</v>
      </c>
      <c r="AD1" s="243" t="s">
        <v>287</v>
      </c>
      <c r="AE1" s="243"/>
      <c r="AF1" s="243"/>
      <c r="AG1" s="973" t="s">
        <v>285</v>
      </c>
      <c r="AH1" s="974" t="s">
        <v>286</v>
      </c>
      <c r="AI1" s="973" t="s">
        <v>287</v>
      </c>
      <c r="AJ1" s="243"/>
      <c r="AK1" s="243"/>
      <c r="AL1" s="973" t="s">
        <v>285</v>
      </c>
      <c r="AM1" s="974" t="s">
        <v>286</v>
      </c>
      <c r="AN1" s="973" t="s">
        <v>287</v>
      </c>
      <c r="AO1" s="243"/>
      <c r="AP1" s="243"/>
      <c r="AQ1" s="973" t="s">
        <v>285</v>
      </c>
      <c r="AR1" s="974" t="s">
        <v>286</v>
      </c>
      <c r="AS1" s="243" t="s">
        <v>287</v>
      </c>
      <c r="AT1" s="243"/>
      <c r="AU1" s="243"/>
      <c r="AV1" s="973" t="s">
        <v>285</v>
      </c>
      <c r="AW1" s="974" t="s">
        <v>286</v>
      </c>
      <c r="AX1" s="243" t="s">
        <v>287</v>
      </c>
      <c r="AY1" s="243"/>
      <c r="AZ1" s="243"/>
      <c r="BA1" s="973" t="s">
        <v>285</v>
      </c>
      <c r="BB1" s="974" t="s">
        <v>286</v>
      </c>
      <c r="BC1" s="973" t="s">
        <v>287</v>
      </c>
      <c r="BD1" s="243"/>
      <c r="BE1" s="243"/>
      <c r="BF1" s="973" t="s">
        <v>285</v>
      </c>
      <c r="BG1" s="974" t="s">
        <v>286</v>
      </c>
      <c r="BH1" s="973" t="s">
        <v>287</v>
      </c>
      <c r="BI1" s="243"/>
      <c r="BJ1" s="243"/>
      <c r="BK1" s="973" t="s">
        <v>285</v>
      </c>
      <c r="BL1" s="974" t="s">
        <v>286</v>
      </c>
      <c r="BM1" s="243" t="s">
        <v>287</v>
      </c>
      <c r="BN1" s="243"/>
      <c r="BO1" s="243"/>
      <c r="BP1" s="973" t="s">
        <v>285</v>
      </c>
      <c r="BQ1" s="974" t="s">
        <v>286</v>
      </c>
      <c r="BR1" s="243" t="s">
        <v>287</v>
      </c>
      <c r="BS1" s="243"/>
      <c r="BT1" s="243"/>
      <c r="BU1" s="973" t="s">
        <v>285</v>
      </c>
      <c r="BV1" s="974" t="s">
        <v>286</v>
      </c>
      <c r="BW1" s="973" t="s">
        <v>287</v>
      </c>
      <c r="BX1" s="243"/>
      <c r="BY1" s="243"/>
      <c r="BZ1" s="973" t="s">
        <v>285</v>
      </c>
      <c r="CA1" s="974" t="s">
        <v>286</v>
      </c>
      <c r="CB1" s="973" t="s">
        <v>287</v>
      </c>
      <c r="CC1" s="243"/>
      <c r="CD1" s="243"/>
      <c r="CE1" s="973" t="s">
        <v>285</v>
      </c>
      <c r="CF1" s="974" t="s">
        <v>286</v>
      </c>
      <c r="CG1" s="243" t="s">
        <v>287</v>
      </c>
      <c r="CH1" s="243"/>
      <c r="CI1" s="243"/>
      <c r="CJ1" s="973" t="s">
        <v>285</v>
      </c>
      <c r="CK1" s="974" t="s">
        <v>286</v>
      </c>
      <c r="CL1" s="243" t="s">
        <v>287</v>
      </c>
      <c r="CM1" s="243"/>
      <c r="CN1" s="243"/>
      <c r="CO1" s="973" t="s">
        <v>285</v>
      </c>
      <c r="CP1" s="974" t="s">
        <v>286</v>
      </c>
      <c r="CQ1" s="973" t="s">
        <v>287</v>
      </c>
      <c r="CR1" s="243"/>
      <c r="CS1" s="243"/>
      <c r="CT1" s="973" t="s">
        <v>285</v>
      </c>
      <c r="CU1" s="974" t="s">
        <v>286</v>
      </c>
      <c r="CV1" s="973" t="s">
        <v>287</v>
      </c>
      <c r="CW1" s="243"/>
      <c r="CX1" s="243"/>
      <c r="CY1" s="973" t="s">
        <v>285</v>
      </c>
      <c r="CZ1" s="974" t="s">
        <v>286</v>
      </c>
      <c r="DA1" s="243" t="s">
        <v>287</v>
      </c>
      <c r="DB1" s="243"/>
      <c r="DC1" s="243"/>
      <c r="DD1" s="973" t="s">
        <v>285</v>
      </c>
      <c r="DE1" s="974" t="s">
        <v>286</v>
      </c>
      <c r="DF1" s="243" t="s">
        <v>287</v>
      </c>
      <c r="DG1" s="243"/>
      <c r="DH1" s="243"/>
      <c r="DI1" s="973" t="s">
        <v>285</v>
      </c>
      <c r="DJ1" s="974" t="s">
        <v>286</v>
      </c>
      <c r="DK1" s="973" t="s">
        <v>287</v>
      </c>
      <c r="DL1" s="243"/>
      <c r="DM1" s="243"/>
      <c r="DN1" s="973" t="s">
        <v>285</v>
      </c>
      <c r="DO1" s="974" t="s">
        <v>286</v>
      </c>
      <c r="DP1" s="973" t="s">
        <v>287</v>
      </c>
      <c r="DQ1" s="243"/>
      <c r="DR1" s="243"/>
      <c r="DS1" s="973" t="s">
        <v>285</v>
      </c>
      <c r="DT1" s="974" t="s">
        <v>286</v>
      </c>
      <c r="DU1" s="243" t="s">
        <v>287</v>
      </c>
      <c r="DV1" s="243"/>
      <c r="DW1" s="243"/>
      <c r="DX1" s="973" t="s">
        <v>285</v>
      </c>
      <c r="DY1" s="974" t="s">
        <v>286</v>
      </c>
      <c r="DZ1" s="243" t="s">
        <v>287</v>
      </c>
      <c r="EA1" s="243"/>
      <c r="EB1" s="243"/>
      <c r="EC1" s="973" t="s">
        <v>285</v>
      </c>
      <c r="ED1" s="974" t="s">
        <v>286</v>
      </c>
      <c r="EE1" s="973" t="s">
        <v>287</v>
      </c>
      <c r="EF1" s="243"/>
      <c r="EG1" s="243"/>
      <c r="EH1" s="973" t="s">
        <v>285</v>
      </c>
      <c r="EI1" s="974" t="s">
        <v>286</v>
      </c>
      <c r="EJ1" s="973" t="s">
        <v>287</v>
      </c>
      <c r="EK1" s="243"/>
      <c r="EL1" s="243"/>
      <c r="EM1" s="973" t="s">
        <v>285</v>
      </c>
      <c r="EN1" s="974" t="s">
        <v>286</v>
      </c>
      <c r="EO1" s="243" t="s">
        <v>287</v>
      </c>
      <c r="EP1" s="243"/>
      <c r="EQ1" s="243"/>
      <c r="ER1" s="973" t="s">
        <v>285</v>
      </c>
      <c r="ES1" s="974" t="s">
        <v>286</v>
      </c>
      <c r="ET1" s="243" t="s">
        <v>287</v>
      </c>
      <c r="EU1" s="243"/>
      <c r="EV1" s="243"/>
      <c r="EW1" s="973" t="s">
        <v>285</v>
      </c>
      <c r="EX1" s="974" t="s">
        <v>286</v>
      </c>
      <c r="EY1" s="973" t="s">
        <v>287</v>
      </c>
      <c r="EZ1" s="243"/>
      <c r="FA1" s="243"/>
      <c r="FB1" s="973" t="s">
        <v>285</v>
      </c>
      <c r="FC1" s="974" t="s">
        <v>286</v>
      </c>
      <c r="FD1" s="973" t="s">
        <v>287</v>
      </c>
      <c r="FE1" s="243"/>
      <c r="FF1" s="243"/>
      <c r="FG1" s="973" t="s">
        <v>285</v>
      </c>
      <c r="FH1" s="974" t="s">
        <v>286</v>
      </c>
      <c r="FI1" s="243" t="s">
        <v>287</v>
      </c>
      <c r="FJ1" s="243"/>
      <c r="FK1" s="243"/>
      <c r="FL1" s="973" t="s">
        <v>285</v>
      </c>
      <c r="FM1" s="974" t="s">
        <v>286</v>
      </c>
      <c r="FN1" s="243" t="s">
        <v>287</v>
      </c>
      <c r="FO1" s="243"/>
      <c r="FP1" s="243"/>
      <c r="FQ1" s="973" t="s">
        <v>285</v>
      </c>
      <c r="FR1" s="974" t="s">
        <v>286</v>
      </c>
      <c r="FS1" s="973" t="s">
        <v>287</v>
      </c>
      <c r="FT1" s="243"/>
      <c r="FU1" s="243"/>
      <c r="FV1" s="973" t="s">
        <v>285</v>
      </c>
      <c r="FW1" s="974" t="s">
        <v>286</v>
      </c>
      <c r="FX1" s="973" t="s">
        <v>287</v>
      </c>
      <c r="FY1" s="243"/>
      <c r="FZ1" s="243"/>
      <c r="GA1" s="973" t="s">
        <v>285</v>
      </c>
      <c r="GB1" s="974" t="s">
        <v>286</v>
      </c>
      <c r="GC1" s="243" t="s">
        <v>287</v>
      </c>
      <c r="GD1" s="243"/>
      <c r="GE1" s="243"/>
      <c r="GF1" s="973" t="s">
        <v>285</v>
      </c>
      <c r="GG1" s="974" t="s">
        <v>286</v>
      </c>
      <c r="GH1" s="243" t="s">
        <v>287</v>
      </c>
      <c r="GI1" s="243"/>
      <c r="GJ1" s="243"/>
      <c r="GK1" s="163"/>
      <c r="GL1" s="163"/>
      <c r="GM1" s="163"/>
      <c r="GN1" s="163"/>
    </row>
    <row r="2" spans="1:196" ht="15" x14ac:dyDescent="0.2">
      <c r="A2" s="1381"/>
      <c r="B2" s="1343"/>
      <c r="C2" s="1343"/>
      <c r="D2" s="1373"/>
      <c r="E2" s="243"/>
      <c r="F2" s="976" t="s">
        <v>288</v>
      </c>
      <c r="G2" s="1335"/>
      <c r="H2" s="978"/>
      <c r="I2" s="979"/>
      <c r="J2" s="979"/>
      <c r="K2" s="979"/>
      <c r="L2" s="979"/>
      <c r="M2" s="980">
        <f t="shared" ref="M2:M10" ca="1" si="0">SUMIF($C$18:$C96,$F2,N$18:N96)</f>
        <v>0</v>
      </c>
      <c r="N2" s="981">
        <f t="shared" ref="N2:N10" si="1">SUMIF($C$18:$C96,$F2,J$18:J96)</f>
        <v>0</v>
      </c>
      <c r="O2" s="982">
        <f t="shared" ref="O2:O10" ca="1" si="2">SUMIF($C$18:$C96,$F2,O$18:O96)</f>
        <v>0</v>
      </c>
      <c r="P2" s="243"/>
      <c r="Q2" s="243"/>
      <c r="R2" s="980">
        <f t="shared" ref="R2:R10" ca="1" si="3">SUMIF($C$18:$C96,$F2,S$18:S96)</f>
        <v>220986301.36986303</v>
      </c>
      <c r="S2" s="981">
        <f t="shared" ref="S2:S10" ca="1" si="4">SUMIF($C$18:$C96,$F2,O$18:O96)</f>
        <v>0</v>
      </c>
      <c r="T2" s="982">
        <f t="shared" ref="T2:T10" ca="1" si="5">SUMIF($C$18:$C96,$F2,T$18:T96)</f>
        <v>220986301.36986303</v>
      </c>
      <c r="U2" s="243"/>
      <c r="V2" s="243"/>
      <c r="W2" s="980">
        <f t="shared" ref="W2:W10" ca="1" si="6">SUMIF($C$18:$C96,$F2,X$18:X96)</f>
        <v>254745988.25831705</v>
      </c>
      <c r="X2" s="981">
        <f t="shared" ref="X2:X10" ca="1" si="7">SUMIF($C$18:$C96,$F2,T$18:T96)</f>
        <v>220986301.36986303</v>
      </c>
      <c r="Y2" s="982">
        <f t="shared" ref="Y2:Y10" ca="1" si="8">SUMIF($C$18:$C96,$F2,Y$18:Y96)</f>
        <v>475732289.62818009</v>
      </c>
      <c r="Z2" s="243"/>
      <c r="AA2" s="243"/>
      <c r="AB2" s="980">
        <f t="shared" ref="AB2:AB10" ca="1" si="9">SUMIF($C$18:$C96,$F2,AC$18:AC96)</f>
        <v>246528375.73385516</v>
      </c>
      <c r="AC2" s="981">
        <f t="shared" ref="AC2:AC10" ca="1" si="10">SUMIF($C$18:$C96,$F2,Y$18:Y96)</f>
        <v>475732289.62818009</v>
      </c>
      <c r="AD2" s="982">
        <f t="shared" ref="AD2:AD10" ca="1" si="11">SUMIF($C$18:$C96,$F2,AD$18:AD96)</f>
        <v>722260665.36203516</v>
      </c>
      <c r="AE2" s="243"/>
      <c r="AF2" s="243"/>
      <c r="AG2" s="980">
        <f t="shared" ref="AG2:AG10" ca="1" si="12">SUMIF($C$18:$C96,$F2,AH$18:AH96)</f>
        <v>254745988.25831702</v>
      </c>
      <c r="AH2" s="981">
        <f t="shared" ref="AH2:AH10" ca="1" si="13">SUMIF($C$18:$C96,$F2,AD$18:AD96)</f>
        <v>722260665.36203516</v>
      </c>
      <c r="AI2" s="982">
        <f t="shared" ref="AI2:AI10" ca="1" si="14">SUMIF($C$18:$C96,$F2,AI$18:AI96)</f>
        <v>977006653.62035227</v>
      </c>
      <c r="AJ2" s="243"/>
      <c r="AK2" s="243"/>
      <c r="AL2" s="980">
        <f t="shared" ref="AL2:AL10" ca="1" si="15">SUMIF($C$18:$C96,$F2,AM$18:AM96)</f>
        <v>248994129.15851286</v>
      </c>
      <c r="AM2" s="981">
        <f t="shared" ref="AM2:AM10" ca="1" si="16">SUMIF($C$18:$C96,$F2,AI$18:AI96)</f>
        <v>977006653.62035227</v>
      </c>
      <c r="AN2" s="982">
        <f t="shared" ref="AN2:AN10" ca="1" si="17">SUMIF($C$18:$C96,$F2,AN$18:AN96)</f>
        <v>1226000782.7788651</v>
      </c>
      <c r="AO2" s="243"/>
      <c r="AP2" s="243"/>
      <c r="AQ2" s="980">
        <f t="shared" ref="AQ2:AQ10" ca="1" si="18">SUMIF($C$18:$C96,$F2,AR$18:AR96)</f>
        <v>257293933.46379635</v>
      </c>
      <c r="AR2" s="981">
        <f t="shared" ref="AR2:AR10" ca="1" si="19">SUMIF($C$18:$C96,$F2,AN$18:AN96)</f>
        <v>1226000782.7788651</v>
      </c>
      <c r="AS2" s="982">
        <f t="shared" ref="AS2:AS10" ca="1" si="20">SUMIF($C$18:$C96,$F2,AS$18:AS96)</f>
        <v>1483294716.2426617</v>
      </c>
      <c r="AT2" s="243"/>
      <c r="AU2" s="243"/>
      <c r="AV2" s="980">
        <f t="shared" ref="AV2:AV10" ca="1" si="21">SUMIF($C$18:$C96,$F2,AW$18:AW96)</f>
        <v>257293933.46379659</v>
      </c>
      <c r="AW2" s="981">
        <f t="shared" ref="AW2:AW10" ca="1" si="22">SUMIF($C$18:$C96,$F2,AS$18:AS96)</f>
        <v>1483294716.2426617</v>
      </c>
      <c r="AX2" s="982">
        <f t="shared" ref="AX2:AX10" ca="1" si="23">SUMIF($C$18:$C96,$F2,AX$18:AX96)</f>
        <v>1740588649.7064579</v>
      </c>
      <c r="AY2" s="243"/>
      <c r="AZ2" s="243"/>
      <c r="BA2" s="980">
        <f t="shared" ref="BA2:BA10" ca="1" si="24">SUMIF($C$18:$C96,$F2,BB$18:BB96)</f>
        <v>248994129.15851262</v>
      </c>
      <c r="BB2" s="981">
        <f t="shared" ref="BB2:BB10" ca="1" si="25">SUMIF($C$18:$C96,$F2,AX$18:AX96)</f>
        <v>1740588649.7064579</v>
      </c>
      <c r="BC2" s="982">
        <f t="shared" ref="BC2:BC10" ca="1" si="26">SUMIF($C$18:$C96,$F2,BC$18:BC96)</f>
        <v>1989582778.8649707</v>
      </c>
      <c r="BD2" s="243"/>
      <c r="BE2" s="243"/>
      <c r="BF2" s="980">
        <f t="shared" ref="BF2:BF10" ca="1" si="27">SUMIF($C$18:$C96,$F2,BG$18:BG96)</f>
        <v>257293933.46379635</v>
      </c>
      <c r="BG2" s="981">
        <f t="shared" ref="BG2:BG10" ca="1" si="28">SUMIF($C$18:$C96,$F2,BC$18:BC96)</f>
        <v>1989582778.8649707</v>
      </c>
      <c r="BH2" s="982">
        <f t="shared" ref="BH2:BH10" ca="1" si="29">SUMIF($C$18:$C96,$F2,BH$18:BH96)</f>
        <v>2246876712.3287673</v>
      </c>
      <c r="BI2" s="243"/>
      <c r="BJ2" s="243"/>
      <c r="BK2" s="980">
        <f t="shared" ref="BK2:BK10" ca="1" si="30">SUMIF($C$18:$C96,$F2,BL$18:BL96)</f>
        <v>248994129.1585131</v>
      </c>
      <c r="BL2" s="981">
        <f t="shared" ref="BL2:BL10" ca="1" si="31">SUMIF($C$18:$C96,$F2,BH$18:BH96)</f>
        <v>2246876712.3287673</v>
      </c>
      <c r="BM2" s="982">
        <f t="shared" ref="BM2:BM10" ca="1" si="32">SUMIF($C$18:$C96,$F2,BM$18:BM96)</f>
        <v>2495870841.4872804</v>
      </c>
      <c r="BN2" s="243"/>
      <c r="BO2" s="243"/>
      <c r="BP2" s="980">
        <f t="shared" ref="BP2:BP10" ca="1" si="33">SUMIF($C$18:$C96,$F2,BQ$18:BQ96)</f>
        <v>257293933.46379611</v>
      </c>
      <c r="BQ2" s="981">
        <f t="shared" ref="BQ2:BQ10" ca="1" si="34">SUMIF($C$18:$C96,$F2,BM$18:BM96)</f>
        <v>2495870841.4872804</v>
      </c>
      <c r="BR2" s="982">
        <f t="shared" ref="BR2:BR10" ca="1" si="35">SUMIF($C$18:$C96,$F2,BR$18:BR96)</f>
        <v>2753164774.9510765</v>
      </c>
      <c r="BS2" s="243"/>
      <c r="BT2" s="243"/>
      <c r="BU2" s="980">
        <f t="shared" ref="BU2:BU10" ca="1" si="36">SUMIF($C$18:$C96,$F2,BV$18:BV96)</f>
        <v>257293933.46379659</v>
      </c>
      <c r="BV2" s="981">
        <f t="shared" ref="BV2:BV10" ca="1" si="37">SUMIF($C$18:$C96,$F2,BR$18:BR96)</f>
        <v>2753164774.9510765</v>
      </c>
      <c r="BW2" s="982">
        <f t="shared" ref="BW2:BW10" ca="1" si="38">SUMIF($C$18:$C96,$F2,BW$18:BW96)</f>
        <v>3010458708.4148722</v>
      </c>
      <c r="BX2" s="243"/>
      <c r="BY2" s="243"/>
      <c r="BZ2" s="980">
        <f t="shared" ref="BZ2:BZ10" ca="1" si="39">SUMIF($C$18:$C96,$F2,CA$18:CA96)</f>
        <v>232394520.54794529</v>
      </c>
      <c r="CA2" s="981">
        <f t="shared" ref="CA2:CA10" ca="1" si="40">SUMIF($C$18:$C96,$F2,BW$18:BW96)</f>
        <v>3010458708.4148722</v>
      </c>
      <c r="CB2" s="982">
        <f t="shared" ref="CB2:CB10" ca="1" si="41">SUMIF($C$18:$C96,$F2,CB$18:CB96)</f>
        <v>3242853228.9628181</v>
      </c>
      <c r="CC2" s="243"/>
      <c r="CD2" s="243"/>
      <c r="CE2" s="980">
        <f t="shared" ref="CE2:CE10" ca="1" si="42">SUMIF($C$18:$C96,$F2,CF$18:CF96)</f>
        <v>257293933.46379659</v>
      </c>
      <c r="CF2" s="981">
        <f t="shared" ref="CF2:CF10" ca="1" si="43">SUMIF($C$18:$C96,$F2,CB$18:CB96)</f>
        <v>3242853228.9628181</v>
      </c>
      <c r="CG2" s="982">
        <f t="shared" ref="CG2:CG10" ca="1" si="44">SUMIF($C$18:$C96,$F2,CG$18:CG96)</f>
        <v>3500147162.4266148</v>
      </c>
      <c r="CH2" s="243"/>
      <c r="CI2" s="243"/>
      <c r="CJ2" s="980">
        <f t="shared" ref="CJ2:CJ10" ca="1" si="45">SUMIF($C$18:$C96,$F2,CK$18:CK96)</f>
        <v>248994129.15851262</v>
      </c>
      <c r="CK2" s="981">
        <f t="shared" ref="CK2:CK10" ca="1" si="46">SUMIF($C$18:$C96,$F2,CG$18:CG96)</f>
        <v>3500147162.4266148</v>
      </c>
      <c r="CL2" s="982">
        <f t="shared" ref="CL2:CL10" ca="1" si="47">SUMIF($C$18:$C96,$F2,CL$18:CL96)</f>
        <v>3749141291.5851269</v>
      </c>
      <c r="CM2" s="243"/>
      <c r="CN2" s="243"/>
      <c r="CO2" s="980">
        <f t="shared" ref="CO2:CO10" ca="1" si="48">SUMIF($C$18:$C96,$F2,CP$18:CP96)</f>
        <v>257293933.46379659</v>
      </c>
      <c r="CP2" s="981">
        <f t="shared" ref="CP2:CP10" ca="1" si="49">SUMIF($C$18:$C96,$F2,CL$18:CL96)</f>
        <v>3749141291.5851269</v>
      </c>
      <c r="CQ2" s="982">
        <f t="shared" ref="CQ2:CQ10" ca="1" si="50">SUMIF($C$18:$C96,$F2,CQ$18:CQ96)</f>
        <v>4006435225.048924</v>
      </c>
      <c r="CR2" s="243"/>
      <c r="CS2" s="243"/>
      <c r="CT2" s="980">
        <f t="shared" ref="CT2:CT10" ca="1" si="51">SUMIF($C$18:$C96,$F2,CU$18:CU96)</f>
        <v>248994129.15851262</v>
      </c>
      <c r="CU2" s="981">
        <f t="shared" ref="CU2:CU10" ca="1" si="52">SUMIF($C$18:$C96,$F2,CQ$18:CQ96)</f>
        <v>4006435225.048924</v>
      </c>
      <c r="CV2" s="982">
        <f t="shared" ref="CV2:CV10" ca="1" si="53">SUMIF($C$18:$C96,$F2,CV$18:CV96)</f>
        <v>4255429354.2074361</v>
      </c>
      <c r="CW2" s="243"/>
      <c r="CX2" s="243"/>
      <c r="CY2" s="980">
        <f t="shared" ref="CY2:CY10" ca="1" si="54">SUMIF($C$18:$C96,$F2,CZ$18:CZ96)</f>
        <v>257293933.46379611</v>
      </c>
      <c r="CZ2" s="981">
        <f t="shared" ref="CZ2:CZ10" ca="1" si="55">SUMIF($C$18:$C96,$F2,CV$18:CV96)</f>
        <v>4255429354.2074361</v>
      </c>
      <c r="DA2" s="982">
        <f t="shared" ref="DA2:DA10" ca="1" si="56">SUMIF($C$18:$C96,$F2,DA$18:DA96)</f>
        <v>4512723287.6712322</v>
      </c>
      <c r="DB2" s="243"/>
      <c r="DC2" s="243"/>
      <c r="DD2" s="980">
        <f t="shared" ref="DD2:DD10" ca="1" si="57">SUMIF($C$18:$C96,$F2,DE$18:DE96)</f>
        <v>257293933.46379659</v>
      </c>
      <c r="DE2" s="981">
        <f t="shared" ref="DE2:DE10" ca="1" si="58">SUMIF($C$18:$C96,$F2,DA$18:DA96)</f>
        <v>4512723287.6712322</v>
      </c>
      <c r="DF2" s="982">
        <f t="shared" ref="DF2:DF10" ca="1" si="59">SUMIF($C$18:$C96,$F2,DF$18:DF96)</f>
        <v>4770017221.1350288</v>
      </c>
      <c r="DG2" s="243"/>
      <c r="DH2" s="243"/>
      <c r="DI2" s="980">
        <f t="shared" ref="DI2:DI10" ca="1" si="60">SUMIF($C$18:$C96,$F2,DJ$18:DJ96)</f>
        <v>248994129.15851262</v>
      </c>
      <c r="DJ2" s="981">
        <f t="shared" ref="DJ2:DJ10" ca="1" si="61">SUMIF($C$18:$C96,$F2,DF$18:DF96)</f>
        <v>4770017221.1350288</v>
      </c>
      <c r="DK2" s="982">
        <f t="shared" ref="DK2:DK10" ca="1" si="62">SUMIF($C$18:$C96,$F2,DK$18:DK96)</f>
        <v>5019011350.2935419</v>
      </c>
      <c r="DL2" s="243"/>
      <c r="DM2" s="243"/>
      <c r="DN2" s="980">
        <f t="shared" ref="DN2:DN10" ca="1" si="63">SUMIF($C$18:$C96,$F2,DO$18:DO96)</f>
        <v>257293933.46379659</v>
      </c>
      <c r="DO2" s="981">
        <f t="shared" ref="DO2:DO10" ca="1" si="64">SUMIF($C$18:$C96,$F2,DK$18:DK96)</f>
        <v>5019011350.2935419</v>
      </c>
      <c r="DP2" s="982">
        <f t="shared" ref="DP2:DP10" ca="1" si="65">SUMIF($C$18:$C96,$F2,DP$18:DP96)</f>
        <v>5276305283.7573376</v>
      </c>
      <c r="DQ2" s="243"/>
      <c r="DR2" s="243"/>
      <c r="DS2" s="980">
        <f t="shared" ref="DS2:DS10" ca="1" si="66">SUMIF($C$18:$C96,$F2,DT$18:DT96)</f>
        <v>248994129.15851262</v>
      </c>
      <c r="DT2" s="981">
        <f t="shared" ref="DT2:DT10" ca="1" si="67">SUMIF($C$18:$C96,$F2,DP$18:DP96)</f>
        <v>5276305283.7573376</v>
      </c>
      <c r="DU2" s="982">
        <f t="shared" ref="DU2:DU10" ca="1" si="68">SUMIF($C$18:$C96,$F2,DU$18:DU96)</f>
        <v>5525299412.9158525</v>
      </c>
      <c r="DV2" s="243"/>
      <c r="DW2" s="243"/>
      <c r="DX2" s="980">
        <f t="shared" ref="DX2:DX10" ca="1" si="69">SUMIF($C$18:$C96,$F2,DY$18:DY96)</f>
        <v>257293933.46379659</v>
      </c>
      <c r="DY2" s="981">
        <f t="shared" ref="DY2:DY10" ca="1" si="70">SUMIF($C$18:$C96,$F2,DU$18:DU96)</f>
        <v>5525299412.9158525</v>
      </c>
      <c r="DZ2" s="982">
        <f t="shared" ref="DZ2:DZ10" ca="1" si="71">SUMIF($C$18:$C96,$F2,DZ$18:DZ96)</f>
        <v>5782593346.3796473</v>
      </c>
      <c r="EA2" s="243"/>
      <c r="EB2" s="243"/>
      <c r="EC2" s="980">
        <f t="shared" ref="EC2:EC10" ca="1" si="72">SUMIF($C$18:$C96,$F2,ED$18:ED96)</f>
        <v>257293933.46379659</v>
      </c>
      <c r="ED2" s="981">
        <f t="shared" ref="ED2:ED10" ca="1" si="73">SUMIF($C$18:$C96,$F2,DZ$18:DZ96)</f>
        <v>5782593346.3796473</v>
      </c>
      <c r="EE2" s="982">
        <f t="shared" ref="EE2:EE10" ca="1" si="74">SUMIF($C$18:$C96,$F2,EE$18:EE96)</f>
        <v>6039887279.8434429</v>
      </c>
      <c r="EF2" s="243"/>
      <c r="EG2" s="243"/>
      <c r="EH2" s="980">
        <f t="shared" ref="EH2:EH10" ca="1" si="75">SUMIF($C$18:$C96,$F2,EI$18:EI96)</f>
        <v>232394520.54794577</v>
      </c>
      <c r="EI2" s="981">
        <f t="shared" ref="EI2:EI10" ca="1" si="76">SUMIF($C$18:$C96,$F2,EE$18:EE96)</f>
        <v>6039887279.8434429</v>
      </c>
      <c r="EJ2" s="982">
        <f t="shared" ref="EJ2:EJ10" ca="1" si="77">SUMIF($C$18:$C96,$F2,EJ$18:EJ96)</f>
        <v>6272281800.3913908</v>
      </c>
      <c r="EK2" s="243"/>
      <c r="EL2" s="243"/>
      <c r="EM2" s="980">
        <f t="shared" ref="EM2:EM10" ca="1" si="78">SUMIF($C$18:$C96,$F2,EN$18:EN96)</f>
        <v>257293933.46379659</v>
      </c>
      <c r="EN2" s="981">
        <f t="shared" ref="EN2:EN10" ca="1" si="79">SUMIF($C$18:$C96,$F2,EJ$18:EJ96)</f>
        <v>6272281800.3913908</v>
      </c>
      <c r="EO2" s="982">
        <f t="shared" ref="EO2:EO10" ca="1" si="80">SUMIF($C$18:$C96,$F2,EO$18:EO96)</f>
        <v>6529575733.8551846</v>
      </c>
      <c r="EP2" s="243"/>
      <c r="EQ2" s="243"/>
      <c r="ER2" s="980">
        <f t="shared" ref="ER2:ER10" ca="1" si="81">SUMIF($C$18:$C96,$F2,ES$18:ES96)</f>
        <v>248994129.15851268</v>
      </c>
      <c r="ES2" s="981">
        <f t="shared" ref="ES2:ES10" ca="1" si="82">SUMIF($C$18:$C96,$F2,EO$18:EO96)</f>
        <v>6529575733.8551846</v>
      </c>
      <c r="ET2" s="982">
        <f t="shared" ref="ET2:ET10" ca="1" si="83">SUMIF($C$18:$C96,$F2,ET$18:ET96)</f>
        <v>6778569863.0137005</v>
      </c>
      <c r="EU2" s="243"/>
      <c r="EV2" s="243"/>
      <c r="EW2" s="980">
        <f t="shared" ref="EW2:EW10" ca="1" si="84">SUMIF($C$18:$C96,$F2,EX$18:EX96)</f>
        <v>257293933.46379659</v>
      </c>
      <c r="EX2" s="981">
        <f t="shared" ref="EX2:EX10" ca="1" si="85">SUMIF($C$18:$C96,$F2,ET$18:ET96)</f>
        <v>6778569863.0137005</v>
      </c>
      <c r="EY2" s="982">
        <f t="shared" ref="EY2:EY10" ca="1" si="86">SUMIF($C$18:$C96,$F2,EY$18:EY96)</f>
        <v>7035863796.4774961</v>
      </c>
      <c r="EZ2" s="243"/>
      <c r="FA2" s="243"/>
      <c r="FB2" s="980">
        <f t="shared" ref="FB2:FB10" ca="1" si="87">SUMIF($C$18:$C96,$F2,FC$18:FC96)</f>
        <v>248994129.15851265</v>
      </c>
      <c r="FC2" s="981">
        <f t="shared" ref="FC2:FC10" ca="1" si="88">SUMIF($C$18:$C96,$F2,EY$18:EY96)</f>
        <v>7035863796.4774961</v>
      </c>
      <c r="FD2" s="982">
        <f t="shared" ref="FD2:FD10" ca="1" si="89">SUMIF($C$18:$C96,$F2,FD$18:FD96)</f>
        <v>7284857925.6360083</v>
      </c>
      <c r="FE2" s="243"/>
      <c r="FF2" s="243"/>
      <c r="FG2" s="980">
        <f t="shared" ref="FG2:FG10" ca="1" si="90">SUMIF($C$18:$C96,$F2,FH$18:FH96)</f>
        <v>257293933.46379659</v>
      </c>
      <c r="FH2" s="981">
        <f t="shared" ref="FH2:FH10" ca="1" si="91">SUMIF($C$18:$C96,$F2,FD$18:FD96)</f>
        <v>7284857925.6360083</v>
      </c>
      <c r="FI2" s="982">
        <f t="shared" ref="FI2:FI10" ca="1" si="92">SUMIF($C$18:$C96,$F2,FI$18:FI96)</f>
        <v>7542151859.0998049</v>
      </c>
      <c r="FJ2" s="243"/>
      <c r="FK2" s="243"/>
      <c r="FL2" s="980">
        <f t="shared" ref="FL2:FL10" ca="1" si="93">SUMIF($C$18:$C96,$F2,FM$18:FM96)</f>
        <v>257293933.46379563</v>
      </c>
      <c r="FM2" s="981">
        <f t="shared" ref="FM2:FM10" ca="1" si="94">SUMIF($C$18:$C96,$F2,FI$18:FI96)</f>
        <v>7542151859.0998049</v>
      </c>
      <c r="FN2" s="982">
        <f t="shared" ref="FN2:FN10" ca="1" si="95">SUMIF($C$18:$C96,$F2,FN$18:FN96)</f>
        <v>7799445792.5636005</v>
      </c>
      <c r="FO2" s="243"/>
      <c r="FP2" s="243"/>
      <c r="FQ2" s="980">
        <f t="shared" ref="FQ2:FQ10" ca="1" si="96">SUMIF($C$18:$C96,$F2,FR$18:FR96)</f>
        <v>248994129.15851367</v>
      </c>
      <c r="FR2" s="981">
        <f t="shared" ref="FR2:FR10" ca="1" si="97">SUMIF($C$18:$C96,$F2,FN$18:FN96)</f>
        <v>7799445792.5636005</v>
      </c>
      <c r="FS2" s="982">
        <f t="shared" ref="FS2:FS10" ca="1" si="98">SUMIF($C$18:$C96,$F2,FS$18:FS96)</f>
        <v>8048439921.7221146</v>
      </c>
      <c r="FT2" s="243"/>
      <c r="FU2" s="243"/>
      <c r="FV2" s="980">
        <f t="shared" ref="FV2:FV10" ca="1" si="99">SUMIF($C$18:$C96,$F2,FW$18:FW96)</f>
        <v>257293933.46379563</v>
      </c>
      <c r="FW2" s="981">
        <f t="shared" ref="FW2:FW10" ca="1" si="100">SUMIF($C$18:$C96,$F2,FS$18:FS96)</f>
        <v>8048439921.7221146</v>
      </c>
      <c r="FX2" s="982">
        <f t="shared" ref="FX2:FX10" ca="1" si="101">SUMIF($C$18:$C96,$F2,FX$18:FX96)</f>
        <v>8305733855.1859093</v>
      </c>
      <c r="FY2" s="243"/>
      <c r="FZ2" s="243"/>
      <c r="GA2" s="980">
        <f t="shared" ref="GA2:GA10" ca="1" si="102">SUMIF($C$18:$C96,$F2,GB$18:GB96)</f>
        <v>248994129.15851361</v>
      </c>
      <c r="GB2" s="981">
        <f t="shared" ref="GB2:GB10" ca="1" si="103">SUMIF($C$18:$C96,$F2,FX$18:FX96)</f>
        <v>8305733855.1859093</v>
      </c>
      <c r="GC2" s="982">
        <f t="shared" ref="GC2:GC10" ca="1" si="104">SUMIF($C$18:$C96,$F2,GC$18:GC96)</f>
        <v>8554727984.3444233</v>
      </c>
      <c r="GD2" s="243"/>
      <c r="GE2" s="243"/>
      <c r="GF2" s="980">
        <f t="shared" ref="GF2:GF10" ca="1" si="105">SUMIF($C$18:$C96,$F2,GG$18:GG96)</f>
        <v>257293933.46379563</v>
      </c>
      <c r="GG2" s="981">
        <f t="shared" ref="GG2:GG10" ca="1" si="106">SUMIF($C$18:$C96,$F2,GC$18:GC96)</f>
        <v>8554727984.3444233</v>
      </c>
      <c r="GH2" s="982">
        <f t="shared" ref="GH2:GH10" ca="1" si="107">SUMIF($C$18:$C96,$F2,GH$18:GH96)</f>
        <v>8812021917.808218</v>
      </c>
      <c r="GI2" s="243"/>
      <c r="GJ2" s="243"/>
      <c r="GK2" s="1336"/>
      <c r="GL2" s="1336"/>
      <c r="GM2" s="1336"/>
      <c r="GN2" s="163"/>
    </row>
    <row r="3" spans="1:196" ht="15" x14ac:dyDescent="0.2">
      <c r="A3" s="1381"/>
      <c r="B3" s="1343"/>
      <c r="C3" s="1343"/>
      <c r="D3" s="1373"/>
      <c r="E3" s="243"/>
      <c r="F3" s="976" t="s">
        <v>289</v>
      </c>
      <c r="G3" s="972"/>
      <c r="H3" s="978"/>
      <c r="I3" s="979"/>
      <c r="J3" s="979"/>
      <c r="K3" s="979"/>
      <c r="L3" s="979"/>
      <c r="M3" s="985">
        <f t="shared" ca="1" si="0"/>
        <v>0</v>
      </c>
      <c r="N3" s="983">
        <f t="shared" si="1"/>
        <v>0</v>
      </c>
      <c r="O3" s="986">
        <f t="shared" ca="1" si="2"/>
        <v>0</v>
      </c>
      <c r="P3" s="243"/>
      <c r="Q3" s="243"/>
      <c r="R3" s="985">
        <f t="shared" ca="1" si="3"/>
        <v>0</v>
      </c>
      <c r="S3" s="983">
        <f t="shared" ca="1" si="4"/>
        <v>0</v>
      </c>
      <c r="T3" s="986">
        <f t="shared" ca="1" si="5"/>
        <v>0</v>
      </c>
      <c r="U3" s="243"/>
      <c r="V3" s="243"/>
      <c r="W3" s="985">
        <f t="shared" ca="1" si="6"/>
        <v>4098630.1369863013</v>
      </c>
      <c r="X3" s="983">
        <f t="shared" ca="1" si="7"/>
        <v>0</v>
      </c>
      <c r="Y3" s="986">
        <f t="shared" ca="1" si="8"/>
        <v>4098630.1369863013</v>
      </c>
      <c r="Z3" s="243"/>
      <c r="AA3" s="243"/>
      <c r="AB3" s="985">
        <f t="shared" ca="1" si="9"/>
        <v>7232876.7123287665</v>
      </c>
      <c r="AC3" s="983">
        <f t="shared" ca="1" si="10"/>
        <v>4098630.1369863013</v>
      </c>
      <c r="AD3" s="986">
        <f t="shared" ca="1" si="11"/>
        <v>11331506.849315068</v>
      </c>
      <c r="AE3" s="243"/>
      <c r="AF3" s="243"/>
      <c r="AG3" s="985">
        <f t="shared" ca="1" si="12"/>
        <v>7473972.6027397271</v>
      </c>
      <c r="AH3" s="983">
        <f t="shared" ca="1" si="13"/>
        <v>11331506.849315068</v>
      </c>
      <c r="AI3" s="986">
        <f t="shared" ca="1" si="14"/>
        <v>18805479.452054795</v>
      </c>
      <c r="AJ3" s="243"/>
      <c r="AK3" s="243"/>
      <c r="AL3" s="985">
        <f t="shared" ca="1" si="15"/>
        <v>7232876.7123287655</v>
      </c>
      <c r="AM3" s="983">
        <f t="shared" ca="1" si="16"/>
        <v>18805479.452054795</v>
      </c>
      <c r="AN3" s="986">
        <f t="shared" ca="1" si="17"/>
        <v>26038356.16438356</v>
      </c>
      <c r="AO3" s="243"/>
      <c r="AP3" s="243"/>
      <c r="AQ3" s="985">
        <f t="shared" ca="1" si="18"/>
        <v>7473972.602739729</v>
      </c>
      <c r="AR3" s="983">
        <f t="shared" ca="1" si="19"/>
        <v>26038356.16438356</v>
      </c>
      <c r="AS3" s="986">
        <f t="shared" ca="1" si="20"/>
        <v>33512328.767123289</v>
      </c>
      <c r="AT3" s="243"/>
      <c r="AU3" s="243"/>
      <c r="AV3" s="985">
        <f t="shared" ca="1" si="21"/>
        <v>7473972.6027397215</v>
      </c>
      <c r="AW3" s="983">
        <f t="shared" ca="1" si="22"/>
        <v>33512328.767123289</v>
      </c>
      <c r="AX3" s="986">
        <f t="shared" ca="1" si="23"/>
        <v>40986301.369863011</v>
      </c>
      <c r="AY3" s="243"/>
      <c r="AZ3" s="243"/>
      <c r="BA3" s="985">
        <f t="shared" ca="1" si="24"/>
        <v>7232876.7123287693</v>
      </c>
      <c r="BB3" s="983">
        <f t="shared" ca="1" si="25"/>
        <v>40986301.369863011</v>
      </c>
      <c r="BC3" s="986">
        <f t="shared" ca="1" si="26"/>
        <v>48219178.08219178</v>
      </c>
      <c r="BD3" s="243"/>
      <c r="BE3" s="243"/>
      <c r="BF3" s="985">
        <f t="shared" ca="1" si="27"/>
        <v>7473972.602739729</v>
      </c>
      <c r="BG3" s="983">
        <f t="shared" ca="1" si="28"/>
        <v>48219178.08219178</v>
      </c>
      <c r="BH3" s="986">
        <f t="shared" ca="1" si="29"/>
        <v>55693150.684931509</v>
      </c>
      <c r="BI3" s="243"/>
      <c r="BJ3" s="243"/>
      <c r="BK3" s="985">
        <f t="shared" ca="1" si="30"/>
        <v>7232876.7123287618</v>
      </c>
      <c r="BL3" s="983">
        <f t="shared" ca="1" si="31"/>
        <v>55693150.684931509</v>
      </c>
      <c r="BM3" s="986">
        <f t="shared" ca="1" si="32"/>
        <v>62926027.397260271</v>
      </c>
      <c r="BN3" s="243"/>
      <c r="BO3" s="243"/>
      <c r="BP3" s="985">
        <f t="shared" ca="1" si="33"/>
        <v>7473972.602739729</v>
      </c>
      <c r="BQ3" s="983">
        <f t="shared" ca="1" si="34"/>
        <v>62926027.397260271</v>
      </c>
      <c r="BR3" s="986">
        <f t="shared" ca="1" si="35"/>
        <v>70400000</v>
      </c>
      <c r="BS3" s="243"/>
      <c r="BT3" s="243"/>
      <c r="BU3" s="985">
        <f t="shared" ca="1" si="36"/>
        <v>7473972.6027397215</v>
      </c>
      <c r="BV3" s="983">
        <f t="shared" ca="1" si="37"/>
        <v>70400000</v>
      </c>
      <c r="BW3" s="986">
        <f t="shared" ca="1" si="38"/>
        <v>77873972.602739722</v>
      </c>
      <c r="BX3" s="243"/>
      <c r="BY3" s="243"/>
      <c r="BZ3" s="985">
        <f t="shared" ca="1" si="39"/>
        <v>6750684.9315068573</v>
      </c>
      <c r="CA3" s="983">
        <f t="shared" ca="1" si="40"/>
        <v>77873972.602739722</v>
      </c>
      <c r="CB3" s="986">
        <f t="shared" ca="1" si="41"/>
        <v>84624657.534246579</v>
      </c>
      <c r="CC3" s="243"/>
      <c r="CD3" s="243"/>
      <c r="CE3" s="985">
        <f t="shared" ca="1" si="42"/>
        <v>7473972.6027397215</v>
      </c>
      <c r="CF3" s="983">
        <f t="shared" ca="1" si="43"/>
        <v>84624657.534246579</v>
      </c>
      <c r="CG3" s="986">
        <f t="shared" ca="1" si="44"/>
        <v>92098630.1369863</v>
      </c>
      <c r="CH3" s="243"/>
      <c r="CI3" s="243"/>
      <c r="CJ3" s="985">
        <f t="shared" ca="1" si="45"/>
        <v>7232876.7123287618</v>
      </c>
      <c r="CK3" s="983">
        <f t="shared" ca="1" si="46"/>
        <v>92098630.1369863</v>
      </c>
      <c r="CL3" s="986">
        <f t="shared" ca="1" si="47"/>
        <v>99331506.849315062</v>
      </c>
      <c r="CM3" s="243"/>
      <c r="CN3" s="243"/>
      <c r="CO3" s="985">
        <f t="shared" ca="1" si="48"/>
        <v>7473972.6027397364</v>
      </c>
      <c r="CP3" s="983">
        <f t="shared" ca="1" si="49"/>
        <v>99331506.849315062</v>
      </c>
      <c r="CQ3" s="986">
        <f t="shared" ca="1" si="50"/>
        <v>106805479.4520548</v>
      </c>
      <c r="CR3" s="243"/>
      <c r="CS3" s="243"/>
      <c r="CT3" s="985">
        <f t="shared" ca="1" si="51"/>
        <v>7232876.7123287618</v>
      </c>
      <c r="CU3" s="983">
        <f t="shared" ca="1" si="52"/>
        <v>106805479.4520548</v>
      </c>
      <c r="CV3" s="986">
        <f t="shared" ca="1" si="53"/>
        <v>114038356.16438356</v>
      </c>
      <c r="CW3" s="243"/>
      <c r="CX3" s="243"/>
      <c r="CY3" s="985">
        <f t="shared" ca="1" si="54"/>
        <v>7473972.6027397215</v>
      </c>
      <c r="CZ3" s="983">
        <f t="shared" ca="1" si="55"/>
        <v>114038356.16438356</v>
      </c>
      <c r="DA3" s="986">
        <f t="shared" ca="1" si="56"/>
        <v>121512328.76712328</v>
      </c>
      <c r="DB3" s="243"/>
      <c r="DC3" s="243"/>
      <c r="DD3" s="985">
        <f t="shared" ca="1" si="57"/>
        <v>7473972.6027397364</v>
      </c>
      <c r="DE3" s="983">
        <f t="shared" ca="1" si="58"/>
        <v>121512328.76712328</v>
      </c>
      <c r="DF3" s="986">
        <f t="shared" ca="1" si="59"/>
        <v>128986301.36986302</v>
      </c>
      <c r="DG3" s="243"/>
      <c r="DH3" s="243"/>
      <c r="DI3" s="985">
        <f t="shared" ca="1" si="60"/>
        <v>7232876.7123287767</v>
      </c>
      <c r="DJ3" s="983">
        <f t="shared" ca="1" si="61"/>
        <v>128986301.36986302</v>
      </c>
      <c r="DK3" s="986">
        <f t="shared" ca="1" si="62"/>
        <v>136219178.0821918</v>
      </c>
      <c r="DL3" s="243"/>
      <c r="DM3" s="243"/>
      <c r="DN3" s="985">
        <f t="shared" ca="1" si="63"/>
        <v>7473972.6027397215</v>
      </c>
      <c r="DO3" s="983">
        <f t="shared" ca="1" si="64"/>
        <v>136219178.0821918</v>
      </c>
      <c r="DP3" s="986">
        <f t="shared" ca="1" si="65"/>
        <v>143693150.68493152</v>
      </c>
      <c r="DQ3" s="243"/>
      <c r="DR3" s="243"/>
      <c r="DS3" s="985">
        <f t="shared" ca="1" si="66"/>
        <v>7232876.7123287618</v>
      </c>
      <c r="DT3" s="983">
        <f t="shared" ca="1" si="67"/>
        <v>143693150.68493152</v>
      </c>
      <c r="DU3" s="986">
        <f t="shared" ca="1" si="68"/>
        <v>150926027.39726028</v>
      </c>
      <c r="DV3" s="243"/>
      <c r="DW3" s="243"/>
      <c r="DX3" s="985">
        <f t="shared" ca="1" si="69"/>
        <v>7473972.6027397215</v>
      </c>
      <c r="DY3" s="983">
        <f t="shared" ca="1" si="70"/>
        <v>150926027.39726028</v>
      </c>
      <c r="DZ3" s="986">
        <f t="shared" ca="1" si="71"/>
        <v>158400000</v>
      </c>
      <c r="EA3" s="243"/>
      <c r="EB3" s="243"/>
      <c r="EC3" s="985">
        <f t="shared" ca="1" si="72"/>
        <v>7473972.6027397215</v>
      </c>
      <c r="ED3" s="983">
        <f t="shared" ca="1" si="73"/>
        <v>158400000</v>
      </c>
      <c r="EE3" s="986">
        <f t="shared" ca="1" si="74"/>
        <v>165873972.60273972</v>
      </c>
      <c r="EF3" s="243"/>
      <c r="EG3" s="243"/>
      <c r="EH3" s="985">
        <f t="shared" ca="1" si="75"/>
        <v>6750684.9315068424</v>
      </c>
      <c r="EI3" s="983">
        <f t="shared" ca="1" si="76"/>
        <v>165873972.60273972</v>
      </c>
      <c r="EJ3" s="986">
        <f t="shared" ca="1" si="77"/>
        <v>172624657.53424656</v>
      </c>
      <c r="EK3" s="243"/>
      <c r="EL3" s="243"/>
      <c r="EM3" s="985">
        <f t="shared" ca="1" si="78"/>
        <v>7473972.6027397513</v>
      </c>
      <c r="EN3" s="983">
        <f t="shared" ca="1" si="79"/>
        <v>172624657.53424656</v>
      </c>
      <c r="EO3" s="986">
        <f t="shared" ca="1" si="80"/>
        <v>180098630.13698632</v>
      </c>
      <c r="EP3" s="243"/>
      <c r="EQ3" s="243"/>
      <c r="ER3" s="985">
        <f t="shared" ca="1" si="81"/>
        <v>7232876.7123287618</v>
      </c>
      <c r="ES3" s="983">
        <f t="shared" ca="1" si="82"/>
        <v>180098630.13698632</v>
      </c>
      <c r="ET3" s="986">
        <f t="shared" ca="1" si="83"/>
        <v>187331506.84931508</v>
      </c>
      <c r="EU3" s="243"/>
      <c r="EV3" s="243"/>
      <c r="EW3" s="985">
        <f t="shared" ca="1" si="84"/>
        <v>7473972.6027397215</v>
      </c>
      <c r="EX3" s="983">
        <f t="shared" ca="1" si="85"/>
        <v>187331506.84931508</v>
      </c>
      <c r="EY3" s="986">
        <f t="shared" ca="1" si="86"/>
        <v>194805479.4520548</v>
      </c>
      <c r="EZ3" s="243"/>
      <c r="FA3" s="243"/>
      <c r="FB3" s="985">
        <f t="shared" ca="1" si="87"/>
        <v>7232876.7123287618</v>
      </c>
      <c r="FC3" s="983">
        <f t="shared" ca="1" si="88"/>
        <v>194805479.4520548</v>
      </c>
      <c r="FD3" s="986">
        <f t="shared" ca="1" si="89"/>
        <v>202038356.16438356</v>
      </c>
      <c r="FE3" s="243"/>
      <c r="FF3" s="243"/>
      <c r="FG3" s="985">
        <f t="shared" ca="1" si="90"/>
        <v>7473972.6027397215</v>
      </c>
      <c r="FH3" s="983">
        <f t="shared" ca="1" si="91"/>
        <v>202038356.16438356</v>
      </c>
      <c r="FI3" s="986">
        <f t="shared" ca="1" si="92"/>
        <v>209512328.76712328</v>
      </c>
      <c r="FJ3" s="243"/>
      <c r="FK3" s="243"/>
      <c r="FL3" s="985">
        <f t="shared" ca="1" si="93"/>
        <v>7473972.6027397215</v>
      </c>
      <c r="FM3" s="983">
        <f t="shared" ca="1" si="94"/>
        <v>209512328.76712328</v>
      </c>
      <c r="FN3" s="986">
        <f t="shared" ca="1" si="95"/>
        <v>216986301.369863</v>
      </c>
      <c r="FO3" s="243"/>
      <c r="FP3" s="243"/>
      <c r="FQ3" s="985">
        <f t="shared" ca="1" si="96"/>
        <v>7232876.7123287916</v>
      </c>
      <c r="FR3" s="983">
        <f t="shared" ca="1" si="97"/>
        <v>216986301.369863</v>
      </c>
      <c r="FS3" s="986">
        <f t="shared" ca="1" si="98"/>
        <v>224219178.0821918</v>
      </c>
      <c r="FT3" s="243"/>
      <c r="FU3" s="243"/>
      <c r="FV3" s="985">
        <f t="shared" ca="1" si="99"/>
        <v>7473972.6027397215</v>
      </c>
      <c r="FW3" s="983">
        <f t="shared" ca="1" si="100"/>
        <v>224219178.0821918</v>
      </c>
      <c r="FX3" s="986">
        <f t="shared" ca="1" si="101"/>
        <v>231693150.68493152</v>
      </c>
      <c r="FY3" s="243"/>
      <c r="FZ3" s="243"/>
      <c r="GA3" s="985">
        <f t="shared" ca="1" si="102"/>
        <v>7232876.7123287618</v>
      </c>
      <c r="GB3" s="983">
        <f t="shared" ca="1" si="103"/>
        <v>231693150.68493152</v>
      </c>
      <c r="GC3" s="986">
        <f t="shared" ca="1" si="104"/>
        <v>238926027.39726028</v>
      </c>
      <c r="GD3" s="243"/>
      <c r="GE3" s="243"/>
      <c r="GF3" s="985">
        <f t="shared" ca="1" si="105"/>
        <v>7473972.6027397215</v>
      </c>
      <c r="GG3" s="983">
        <f t="shared" ca="1" si="106"/>
        <v>238926027.39726028</v>
      </c>
      <c r="GH3" s="986">
        <f t="shared" ca="1" si="107"/>
        <v>246400000</v>
      </c>
      <c r="GI3" s="243"/>
      <c r="GJ3" s="243"/>
      <c r="GK3" s="1336"/>
      <c r="GL3" s="1336"/>
      <c r="GM3" s="1336"/>
      <c r="GN3" s="163"/>
    </row>
    <row r="4" spans="1:196" ht="15" x14ac:dyDescent="0.2">
      <c r="A4" s="1381"/>
      <c r="B4" s="1343"/>
      <c r="C4" s="1343"/>
      <c r="D4" s="1373"/>
      <c r="E4" s="243"/>
      <c r="F4" s="976" t="s">
        <v>290</v>
      </c>
      <c r="G4" s="972"/>
      <c r="H4" s="978"/>
      <c r="I4" s="979"/>
      <c r="J4" s="979"/>
      <c r="K4" s="979"/>
      <c r="L4" s="979"/>
      <c r="M4" s="985">
        <f t="shared" ca="1" si="0"/>
        <v>0</v>
      </c>
      <c r="N4" s="983">
        <f t="shared" si="1"/>
        <v>0</v>
      </c>
      <c r="O4" s="986">
        <f t="shared" ca="1" si="2"/>
        <v>0</v>
      </c>
      <c r="P4" s="243"/>
      <c r="Q4" s="243"/>
      <c r="R4" s="985">
        <f t="shared" ca="1" si="3"/>
        <v>0</v>
      </c>
      <c r="S4" s="983">
        <f t="shared" ca="1" si="4"/>
        <v>0</v>
      </c>
      <c r="T4" s="986">
        <f t="shared" ca="1" si="5"/>
        <v>0</v>
      </c>
      <c r="U4" s="243"/>
      <c r="V4" s="243"/>
      <c r="W4" s="985">
        <f t="shared" ca="1" si="6"/>
        <v>931506.84931506845</v>
      </c>
      <c r="X4" s="983">
        <f t="shared" ca="1" si="7"/>
        <v>0</v>
      </c>
      <c r="Y4" s="986">
        <f t="shared" ca="1" si="8"/>
        <v>931506.84931506845</v>
      </c>
      <c r="Z4" s="243"/>
      <c r="AA4" s="243"/>
      <c r="AB4" s="985">
        <f t="shared" ca="1" si="9"/>
        <v>1643835.616438356</v>
      </c>
      <c r="AC4" s="983">
        <f t="shared" ca="1" si="10"/>
        <v>931506.84931506845</v>
      </c>
      <c r="AD4" s="986">
        <f t="shared" ca="1" si="11"/>
        <v>2575342.4657534244</v>
      </c>
      <c r="AE4" s="243"/>
      <c r="AF4" s="243"/>
      <c r="AG4" s="985">
        <f t="shared" ca="1" si="12"/>
        <v>1698630.1369863017</v>
      </c>
      <c r="AH4" s="983">
        <f t="shared" ca="1" si="13"/>
        <v>2575342.4657534244</v>
      </c>
      <c r="AI4" s="986">
        <f t="shared" ca="1" si="14"/>
        <v>4273972.6027397262</v>
      </c>
      <c r="AJ4" s="243"/>
      <c r="AK4" s="243"/>
      <c r="AL4" s="985">
        <f t="shared" ca="1" si="15"/>
        <v>1643835.6164383562</v>
      </c>
      <c r="AM4" s="983">
        <f t="shared" ca="1" si="16"/>
        <v>4273972.6027397262</v>
      </c>
      <c r="AN4" s="986">
        <f t="shared" ca="1" si="17"/>
        <v>5917808.2191780824</v>
      </c>
      <c r="AO4" s="243"/>
      <c r="AP4" s="243"/>
      <c r="AQ4" s="985">
        <f t="shared" ca="1" si="18"/>
        <v>1698630.1369863013</v>
      </c>
      <c r="AR4" s="983">
        <f t="shared" ca="1" si="19"/>
        <v>5917808.2191780824</v>
      </c>
      <c r="AS4" s="986">
        <f t="shared" ca="1" si="20"/>
        <v>7616438.3561643837</v>
      </c>
      <c r="AT4" s="243"/>
      <c r="AU4" s="243"/>
      <c r="AV4" s="985">
        <f t="shared" ca="1" si="21"/>
        <v>1698630.1369863013</v>
      </c>
      <c r="AW4" s="983">
        <f t="shared" ca="1" si="22"/>
        <v>7616438.3561643837</v>
      </c>
      <c r="AX4" s="986">
        <f t="shared" ca="1" si="23"/>
        <v>9315068.493150685</v>
      </c>
      <c r="AY4" s="243"/>
      <c r="AZ4" s="243"/>
      <c r="BA4" s="985">
        <f t="shared" ca="1" si="24"/>
        <v>1643835.6164383553</v>
      </c>
      <c r="BB4" s="983">
        <f t="shared" ca="1" si="25"/>
        <v>9315068.493150685</v>
      </c>
      <c r="BC4" s="986">
        <f t="shared" ca="1" si="26"/>
        <v>10958904.10958904</v>
      </c>
      <c r="BD4" s="243"/>
      <c r="BE4" s="243"/>
      <c r="BF4" s="985">
        <f t="shared" ca="1" si="27"/>
        <v>1698630.1369863022</v>
      </c>
      <c r="BG4" s="983">
        <f t="shared" ca="1" si="28"/>
        <v>10958904.10958904</v>
      </c>
      <c r="BH4" s="986">
        <f t="shared" ca="1" si="29"/>
        <v>12657534.246575342</v>
      </c>
      <c r="BI4" s="243"/>
      <c r="BJ4" s="243"/>
      <c r="BK4" s="985">
        <f t="shared" ca="1" si="30"/>
        <v>1643835.6164383553</v>
      </c>
      <c r="BL4" s="983">
        <f t="shared" ca="1" si="31"/>
        <v>12657534.246575342</v>
      </c>
      <c r="BM4" s="986">
        <f t="shared" ca="1" si="32"/>
        <v>14301369.863013698</v>
      </c>
      <c r="BN4" s="243"/>
      <c r="BO4" s="243"/>
      <c r="BP4" s="985">
        <f t="shared" ca="1" si="33"/>
        <v>1698630.1369863022</v>
      </c>
      <c r="BQ4" s="983">
        <f t="shared" ca="1" si="34"/>
        <v>14301369.863013698</v>
      </c>
      <c r="BR4" s="986">
        <f t="shared" ca="1" si="35"/>
        <v>16000000</v>
      </c>
      <c r="BS4" s="243"/>
      <c r="BT4" s="243"/>
      <c r="BU4" s="985">
        <f t="shared" ca="1" si="36"/>
        <v>1698630.1369863003</v>
      </c>
      <c r="BV4" s="983">
        <f t="shared" ca="1" si="37"/>
        <v>16000000</v>
      </c>
      <c r="BW4" s="986">
        <f t="shared" ca="1" si="38"/>
        <v>17698630.1369863</v>
      </c>
      <c r="BX4" s="243"/>
      <c r="BY4" s="243"/>
      <c r="BZ4" s="985">
        <f t="shared" ca="1" si="39"/>
        <v>1534246.5753424652</v>
      </c>
      <c r="CA4" s="983">
        <f t="shared" ca="1" si="40"/>
        <v>17698630.1369863</v>
      </c>
      <c r="CB4" s="986">
        <f t="shared" ca="1" si="41"/>
        <v>19232876.712328766</v>
      </c>
      <c r="CC4" s="243"/>
      <c r="CD4" s="243"/>
      <c r="CE4" s="985">
        <f t="shared" ca="1" si="42"/>
        <v>1698630.1369863041</v>
      </c>
      <c r="CF4" s="983">
        <f t="shared" ca="1" si="43"/>
        <v>19232876.712328766</v>
      </c>
      <c r="CG4" s="986">
        <f t="shared" ca="1" si="44"/>
        <v>20931506.84931507</v>
      </c>
      <c r="CH4" s="243"/>
      <c r="CI4" s="243"/>
      <c r="CJ4" s="985">
        <f t="shared" ca="1" si="45"/>
        <v>1643835.6164383553</v>
      </c>
      <c r="CK4" s="983">
        <f t="shared" ca="1" si="46"/>
        <v>20931506.84931507</v>
      </c>
      <c r="CL4" s="986">
        <f t="shared" ca="1" si="47"/>
        <v>22575342.465753425</v>
      </c>
      <c r="CM4" s="243"/>
      <c r="CN4" s="243"/>
      <c r="CO4" s="985">
        <f t="shared" ca="1" si="48"/>
        <v>1698630.1369863003</v>
      </c>
      <c r="CP4" s="983">
        <f t="shared" ca="1" si="49"/>
        <v>22575342.465753425</v>
      </c>
      <c r="CQ4" s="986">
        <f t="shared" ca="1" si="50"/>
        <v>24273972.602739725</v>
      </c>
      <c r="CR4" s="243"/>
      <c r="CS4" s="243"/>
      <c r="CT4" s="985">
        <f t="shared" ca="1" si="51"/>
        <v>1643835.6164383553</v>
      </c>
      <c r="CU4" s="983">
        <f t="shared" ca="1" si="52"/>
        <v>24273972.602739725</v>
      </c>
      <c r="CV4" s="986">
        <f t="shared" ca="1" si="53"/>
        <v>25917808.219178081</v>
      </c>
      <c r="CW4" s="243"/>
      <c r="CX4" s="243"/>
      <c r="CY4" s="985">
        <f t="shared" ca="1" si="54"/>
        <v>1698630.1369863041</v>
      </c>
      <c r="CZ4" s="983">
        <f t="shared" ca="1" si="55"/>
        <v>25917808.219178081</v>
      </c>
      <c r="DA4" s="986">
        <f t="shared" ca="1" si="56"/>
        <v>27616438.356164385</v>
      </c>
      <c r="DB4" s="243"/>
      <c r="DC4" s="243"/>
      <c r="DD4" s="985">
        <f t="shared" ca="1" si="57"/>
        <v>1698630.1369863003</v>
      </c>
      <c r="DE4" s="983">
        <f t="shared" ca="1" si="58"/>
        <v>27616438.356164385</v>
      </c>
      <c r="DF4" s="986">
        <f t="shared" ca="1" si="59"/>
        <v>29315068.493150685</v>
      </c>
      <c r="DG4" s="243"/>
      <c r="DH4" s="243"/>
      <c r="DI4" s="985">
        <f t="shared" ca="1" si="60"/>
        <v>1643835.6164383553</v>
      </c>
      <c r="DJ4" s="983">
        <f t="shared" ca="1" si="61"/>
        <v>29315068.493150685</v>
      </c>
      <c r="DK4" s="986">
        <f t="shared" ca="1" si="62"/>
        <v>30958904.10958904</v>
      </c>
      <c r="DL4" s="243"/>
      <c r="DM4" s="243"/>
      <c r="DN4" s="985">
        <f t="shared" ca="1" si="63"/>
        <v>1698630.1369863003</v>
      </c>
      <c r="DO4" s="983">
        <f t="shared" ca="1" si="64"/>
        <v>30958904.10958904</v>
      </c>
      <c r="DP4" s="986">
        <f t="shared" ca="1" si="65"/>
        <v>32657534.246575341</v>
      </c>
      <c r="DQ4" s="243"/>
      <c r="DR4" s="243"/>
      <c r="DS4" s="985">
        <f t="shared" ca="1" si="66"/>
        <v>1643835.616438359</v>
      </c>
      <c r="DT4" s="983">
        <f t="shared" ca="1" si="67"/>
        <v>32657534.246575341</v>
      </c>
      <c r="DU4" s="986">
        <f t="shared" ca="1" si="68"/>
        <v>34301369.8630137</v>
      </c>
      <c r="DV4" s="243"/>
      <c r="DW4" s="243"/>
      <c r="DX4" s="985">
        <f t="shared" ca="1" si="69"/>
        <v>1698630.1369863003</v>
      </c>
      <c r="DY4" s="983">
        <f t="shared" ca="1" si="70"/>
        <v>34301369.8630137</v>
      </c>
      <c r="DZ4" s="986">
        <f t="shared" ca="1" si="71"/>
        <v>36000000</v>
      </c>
      <c r="EA4" s="243"/>
      <c r="EB4" s="243"/>
      <c r="EC4" s="985">
        <f t="shared" ca="1" si="72"/>
        <v>1698630.1369863003</v>
      </c>
      <c r="ED4" s="983">
        <f t="shared" ca="1" si="73"/>
        <v>36000000</v>
      </c>
      <c r="EE4" s="986">
        <f t="shared" ca="1" si="74"/>
        <v>37698630.1369863</v>
      </c>
      <c r="EF4" s="243"/>
      <c r="EG4" s="243"/>
      <c r="EH4" s="985">
        <f t="shared" ca="1" si="75"/>
        <v>1534246.5753424689</v>
      </c>
      <c r="EI4" s="983">
        <f t="shared" ca="1" si="76"/>
        <v>37698630.1369863</v>
      </c>
      <c r="EJ4" s="986">
        <f t="shared" ca="1" si="77"/>
        <v>39232876.712328769</v>
      </c>
      <c r="EK4" s="243"/>
      <c r="EL4" s="243"/>
      <c r="EM4" s="985">
        <f t="shared" ca="1" si="78"/>
        <v>1698630.1369863003</v>
      </c>
      <c r="EN4" s="983">
        <f t="shared" ca="1" si="79"/>
        <v>39232876.712328769</v>
      </c>
      <c r="EO4" s="986">
        <f t="shared" ca="1" si="80"/>
        <v>40931506.84931507</v>
      </c>
      <c r="EP4" s="243"/>
      <c r="EQ4" s="243"/>
      <c r="ER4" s="985">
        <f t="shared" ca="1" si="81"/>
        <v>1643835.6164383516</v>
      </c>
      <c r="ES4" s="983">
        <f t="shared" ca="1" si="82"/>
        <v>40931506.84931507</v>
      </c>
      <c r="ET4" s="986">
        <f t="shared" ca="1" si="83"/>
        <v>42575342.465753421</v>
      </c>
      <c r="EU4" s="243"/>
      <c r="EV4" s="243"/>
      <c r="EW4" s="985">
        <f t="shared" ca="1" si="84"/>
        <v>1698630.1369863078</v>
      </c>
      <c r="EX4" s="983">
        <f t="shared" ca="1" si="85"/>
        <v>42575342.465753421</v>
      </c>
      <c r="EY4" s="986">
        <f t="shared" ca="1" si="86"/>
        <v>44273972.602739729</v>
      </c>
      <c r="EZ4" s="243"/>
      <c r="FA4" s="243"/>
      <c r="FB4" s="985">
        <f t="shared" ca="1" si="87"/>
        <v>1643835.6164383516</v>
      </c>
      <c r="FC4" s="983">
        <f t="shared" ca="1" si="88"/>
        <v>44273972.602739729</v>
      </c>
      <c r="FD4" s="986">
        <f t="shared" ca="1" si="89"/>
        <v>45917808.219178081</v>
      </c>
      <c r="FE4" s="243"/>
      <c r="FF4" s="243"/>
      <c r="FG4" s="985">
        <f t="shared" ca="1" si="90"/>
        <v>1698630.1369863003</v>
      </c>
      <c r="FH4" s="983">
        <f t="shared" ca="1" si="91"/>
        <v>45917808.219178081</v>
      </c>
      <c r="FI4" s="986">
        <f t="shared" ca="1" si="92"/>
        <v>47616438.356164381</v>
      </c>
      <c r="FJ4" s="243"/>
      <c r="FK4" s="243"/>
      <c r="FL4" s="985">
        <f t="shared" ca="1" si="93"/>
        <v>1698630.1369863003</v>
      </c>
      <c r="FM4" s="983">
        <f t="shared" ca="1" si="94"/>
        <v>47616438.356164381</v>
      </c>
      <c r="FN4" s="986">
        <f t="shared" ca="1" si="95"/>
        <v>49315068.493150681</v>
      </c>
      <c r="FO4" s="243"/>
      <c r="FP4" s="243"/>
      <c r="FQ4" s="985">
        <f t="shared" ca="1" si="96"/>
        <v>1643835.616438359</v>
      </c>
      <c r="FR4" s="983">
        <f t="shared" ca="1" si="97"/>
        <v>49315068.493150681</v>
      </c>
      <c r="FS4" s="986">
        <f t="shared" ca="1" si="98"/>
        <v>50958904.10958904</v>
      </c>
      <c r="FT4" s="243"/>
      <c r="FU4" s="243"/>
      <c r="FV4" s="985">
        <f t="shared" ca="1" si="99"/>
        <v>1698630.1369863003</v>
      </c>
      <c r="FW4" s="983">
        <f t="shared" ca="1" si="100"/>
        <v>50958904.10958904</v>
      </c>
      <c r="FX4" s="986">
        <f t="shared" ca="1" si="101"/>
        <v>52657534.246575341</v>
      </c>
      <c r="FY4" s="243"/>
      <c r="FZ4" s="243"/>
      <c r="GA4" s="985">
        <f t="shared" ca="1" si="102"/>
        <v>1643835.616438359</v>
      </c>
      <c r="GB4" s="983">
        <f t="shared" ca="1" si="103"/>
        <v>52657534.246575341</v>
      </c>
      <c r="GC4" s="986">
        <f t="shared" ca="1" si="104"/>
        <v>54301369.8630137</v>
      </c>
      <c r="GD4" s="243"/>
      <c r="GE4" s="243"/>
      <c r="GF4" s="985">
        <f t="shared" ca="1" si="105"/>
        <v>1698630.1369863003</v>
      </c>
      <c r="GG4" s="983">
        <f t="shared" ca="1" si="106"/>
        <v>54301369.8630137</v>
      </c>
      <c r="GH4" s="986">
        <f t="shared" ca="1" si="107"/>
        <v>56000000</v>
      </c>
      <c r="GI4" s="243"/>
      <c r="GJ4" s="243"/>
      <c r="GK4" s="1336"/>
      <c r="GL4" s="1336"/>
      <c r="GM4" s="1336"/>
      <c r="GN4" s="163"/>
    </row>
    <row r="5" spans="1:196" ht="15" x14ac:dyDescent="0.2">
      <c r="A5" s="1381"/>
      <c r="B5" s="1343"/>
      <c r="C5" s="1343"/>
      <c r="D5" s="1373"/>
      <c r="E5" s="243"/>
      <c r="F5" s="976" t="s">
        <v>291</v>
      </c>
      <c r="G5" s="972"/>
      <c r="H5" s="978"/>
      <c r="I5" s="979"/>
      <c r="J5" s="979"/>
      <c r="K5" s="979"/>
      <c r="L5" s="979"/>
      <c r="M5" s="985">
        <f t="shared" ca="1" si="0"/>
        <v>0</v>
      </c>
      <c r="N5" s="983">
        <f t="shared" si="1"/>
        <v>0</v>
      </c>
      <c r="O5" s="986">
        <f t="shared" ca="1" si="2"/>
        <v>0</v>
      </c>
      <c r="P5" s="243"/>
      <c r="Q5" s="243"/>
      <c r="R5" s="985">
        <f t="shared" ca="1" si="3"/>
        <v>0</v>
      </c>
      <c r="S5" s="983">
        <f t="shared" ca="1" si="4"/>
        <v>0</v>
      </c>
      <c r="T5" s="986">
        <f t="shared" ca="1" si="5"/>
        <v>0</v>
      </c>
      <c r="U5" s="243"/>
      <c r="V5" s="243"/>
      <c r="W5" s="985">
        <f t="shared" ca="1" si="6"/>
        <v>0</v>
      </c>
      <c r="X5" s="983">
        <f t="shared" ca="1" si="7"/>
        <v>0</v>
      </c>
      <c r="Y5" s="986">
        <f t="shared" ca="1" si="8"/>
        <v>0</v>
      </c>
      <c r="Z5" s="243"/>
      <c r="AA5" s="243"/>
      <c r="AB5" s="985">
        <f t="shared" ca="1" si="9"/>
        <v>0</v>
      </c>
      <c r="AC5" s="983">
        <f t="shared" ca="1" si="10"/>
        <v>0</v>
      </c>
      <c r="AD5" s="986">
        <f t="shared" ca="1" si="11"/>
        <v>0</v>
      </c>
      <c r="AE5" s="243"/>
      <c r="AF5" s="243"/>
      <c r="AG5" s="985">
        <f t="shared" ca="1" si="12"/>
        <v>0</v>
      </c>
      <c r="AH5" s="983">
        <f t="shared" ca="1" si="13"/>
        <v>0</v>
      </c>
      <c r="AI5" s="986">
        <f t="shared" ca="1" si="14"/>
        <v>0</v>
      </c>
      <c r="AJ5" s="243"/>
      <c r="AK5" s="243"/>
      <c r="AL5" s="985">
        <f t="shared" ca="1" si="15"/>
        <v>95753424.657534242</v>
      </c>
      <c r="AM5" s="983">
        <f t="shared" ca="1" si="16"/>
        <v>0</v>
      </c>
      <c r="AN5" s="986">
        <f t="shared" ca="1" si="17"/>
        <v>95753424.657534242</v>
      </c>
      <c r="AO5" s="243"/>
      <c r="AP5" s="243"/>
      <c r="AQ5" s="985">
        <f t="shared" ca="1" si="18"/>
        <v>98945205.479452074</v>
      </c>
      <c r="AR5" s="983">
        <f t="shared" ca="1" si="19"/>
        <v>95753424.657534242</v>
      </c>
      <c r="AS5" s="986">
        <f t="shared" ca="1" si="20"/>
        <v>194698630.13698632</v>
      </c>
      <c r="AT5" s="243"/>
      <c r="AU5" s="243"/>
      <c r="AV5" s="985">
        <f t="shared" ca="1" si="21"/>
        <v>98945205.479452059</v>
      </c>
      <c r="AW5" s="983">
        <f t="shared" ca="1" si="22"/>
        <v>194698630.13698632</v>
      </c>
      <c r="AX5" s="986">
        <f t="shared" ca="1" si="23"/>
        <v>293643835.61643839</v>
      </c>
      <c r="AY5" s="243"/>
      <c r="AZ5" s="243"/>
      <c r="BA5" s="985">
        <f t="shared" ca="1" si="24"/>
        <v>95753424.657534271</v>
      </c>
      <c r="BB5" s="983">
        <f t="shared" ca="1" si="25"/>
        <v>293643835.61643839</v>
      </c>
      <c r="BC5" s="986">
        <f t="shared" ca="1" si="26"/>
        <v>389397260.27397263</v>
      </c>
      <c r="BD5" s="243"/>
      <c r="BE5" s="243"/>
      <c r="BF5" s="985">
        <f t="shared" ca="1" si="27"/>
        <v>98945205.479452059</v>
      </c>
      <c r="BG5" s="983">
        <f t="shared" ca="1" si="28"/>
        <v>389397260.27397263</v>
      </c>
      <c r="BH5" s="986">
        <f t="shared" ca="1" si="29"/>
        <v>488342465.7534247</v>
      </c>
      <c r="BI5" s="243"/>
      <c r="BJ5" s="243"/>
      <c r="BK5" s="985">
        <f t="shared" ca="1" si="30"/>
        <v>95753424.657534242</v>
      </c>
      <c r="BL5" s="983">
        <f t="shared" ca="1" si="31"/>
        <v>488342465.7534247</v>
      </c>
      <c r="BM5" s="986">
        <f t="shared" ca="1" si="32"/>
        <v>584095890.41095901</v>
      </c>
      <c r="BN5" s="243"/>
      <c r="BO5" s="243"/>
      <c r="BP5" s="985">
        <f t="shared" ca="1" si="33"/>
        <v>98945205.479452059</v>
      </c>
      <c r="BQ5" s="983">
        <f t="shared" ca="1" si="34"/>
        <v>584095890.41095901</v>
      </c>
      <c r="BR5" s="986">
        <f t="shared" ca="1" si="35"/>
        <v>683041095.89041102</v>
      </c>
      <c r="BS5" s="243"/>
      <c r="BT5" s="243"/>
      <c r="BU5" s="985">
        <f t="shared" ca="1" si="36"/>
        <v>98945205.479452044</v>
      </c>
      <c r="BV5" s="983">
        <f t="shared" ca="1" si="37"/>
        <v>683041095.89041102</v>
      </c>
      <c r="BW5" s="986">
        <f t="shared" ca="1" si="38"/>
        <v>781986301.36986303</v>
      </c>
      <c r="BX5" s="243"/>
      <c r="BY5" s="243"/>
      <c r="BZ5" s="985">
        <f t="shared" ca="1" si="39"/>
        <v>89369863.013698637</v>
      </c>
      <c r="CA5" s="983">
        <f t="shared" ca="1" si="40"/>
        <v>781986301.36986303</v>
      </c>
      <c r="CB5" s="986">
        <f t="shared" ca="1" si="41"/>
        <v>871356164.38356161</v>
      </c>
      <c r="CC5" s="243"/>
      <c r="CD5" s="243"/>
      <c r="CE5" s="985">
        <f t="shared" ca="1" si="42"/>
        <v>98945205.479452088</v>
      </c>
      <c r="CF5" s="983">
        <f t="shared" ca="1" si="43"/>
        <v>871356164.38356161</v>
      </c>
      <c r="CG5" s="986">
        <f t="shared" ca="1" si="44"/>
        <v>970301369.86301374</v>
      </c>
      <c r="CH5" s="243"/>
      <c r="CI5" s="243"/>
      <c r="CJ5" s="985">
        <f t="shared" ca="1" si="45"/>
        <v>95753424.657534182</v>
      </c>
      <c r="CK5" s="983">
        <f t="shared" ca="1" si="46"/>
        <v>970301369.86301374</v>
      </c>
      <c r="CL5" s="986">
        <f t="shared" ca="1" si="47"/>
        <v>1066054794.520548</v>
      </c>
      <c r="CM5" s="243"/>
      <c r="CN5" s="243"/>
      <c r="CO5" s="985">
        <f t="shared" ca="1" si="48"/>
        <v>98945205.479452044</v>
      </c>
      <c r="CP5" s="983">
        <f t="shared" ca="1" si="49"/>
        <v>1066054794.520548</v>
      </c>
      <c r="CQ5" s="986">
        <f t="shared" ca="1" si="50"/>
        <v>1165000000</v>
      </c>
      <c r="CR5" s="243"/>
      <c r="CS5" s="243"/>
      <c r="CT5" s="985">
        <f t="shared" ca="1" si="51"/>
        <v>95753424.657534331</v>
      </c>
      <c r="CU5" s="983">
        <f t="shared" ca="1" si="52"/>
        <v>1165000000</v>
      </c>
      <c r="CV5" s="986">
        <f t="shared" ca="1" si="53"/>
        <v>1260753424.6575344</v>
      </c>
      <c r="CW5" s="243"/>
      <c r="CX5" s="243"/>
      <c r="CY5" s="985">
        <f t="shared" ca="1" si="54"/>
        <v>98945205.479452074</v>
      </c>
      <c r="CZ5" s="983">
        <f t="shared" ca="1" si="55"/>
        <v>1260753424.6575344</v>
      </c>
      <c r="DA5" s="986">
        <f t="shared" ca="1" si="56"/>
        <v>1359698630.1369863</v>
      </c>
      <c r="DB5" s="243"/>
      <c r="DC5" s="243"/>
      <c r="DD5" s="985">
        <f t="shared" ca="1" si="57"/>
        <v>98945205.479452044</v>
      </c>
      <c r="DE5" s="983">
        <f t="shared" ca="1" si="58"/>
        <v>1359698630.1369863</v>
      </c>
      <c r="DF5" s="986">
        <f t="shared" ca="1" si="59"/>
        <v>1458643835.6164384</v>
      </c>
      <c r="DG5" s="243"/>
      <c r="DH5" s="243"/>
      <c r="DI5" s="985">
        <f t="shared" ca="1" si="60"/>
        <v>95753424.657534212</v>
      </c>
      <c r="DJ5" s="983">
        <f t="shared" ca="1" si="61"/>
        <v>1458643835.6164384</v>
      </c>
      <c r="DK5" s="986">
        <f t="shared" ca="1" si="62"/>
        <v>1554397260.2739727</v>
      </c>
      <c r="DL5" s="243"/>
      <c r="DM5" s="243"/>
      <c r="DN5" s="985">
        <f t="shared" ca="1" si="63"/>
        <v>98945205.479452044</v>
      </c>
      <c r="DO5" s="983">
        <f t="shared" ca="1" si="64"/>
        <v>1554397260.2739727</v>
      </c>
      <c r="DP5" s="986">
        <f t="shared" ca="1" si="65"/>
        <v>1653342465.7534246</v>
      </c>
      <c r="DQ5" s="243"/>
      <c r="DR5" s="243"/>
      <c r="DS5" s="985">
        <f t="shared" ca="1" si="66"/>
        <v>95753424.657534301</v>
      </c>
      <c r="DT5" s="983">
        <f t="shared" ca="1" si="67"/>
        <v>1653342465.7534246</v>
      </c>
      <c r="DU5" s="986">
        <f t="shared" ca="1" si="68"/>
        <v>1749095890.410959</v>
      </c>
      <c r="DV5" s="243"/>
      <c r="DW5" s="243"/>
      <c r="DX5" s="985">
        <f t="shared" ca="1" si="69"/>
        <v>98945205.479452074</v>
      </c>
      <c r="DY5" s="983">
        <f t="shared" ca="1" si="70"/>
        <v>1749095890.410959</v>
      </c>
      <c r="DZ5" s="986">
        <f t="shared" ca="1" si="71"/>
        <v>1848041095.8904111</v>
      </c>
      <c r="EA5" s="243"/>
      <c r="EB5" s="243"/>
      <c r="EC5" s="985">
        <f t="shared" ca="1" si="72"/>
        <v>98945205.479452044</v>
      </c>
      <c r="ED5" s="983">
        <f t="shared" ca="1" si="73"/>
        <v>1848041095.8904111</v>
      </c>
      <c r="EE5" s="986">
        <f t="shared" ca="1" si="74"/>
        <v>1946986301.369863</v>
      </c>
      <c r="EF5" s="243"/>
      <c r="EG5" s="243"/>
      <c r="EH5" s="985">
        <f t="shared" ca="1" si="75"/>
        <v>89369863.013698608</v>
      </c>
      <c r="EI5" s="983">
        <f t="shared" ca="1" si="76"/>
        <v>1946986301.369863</v>
      </c>
      <c r="EJ5" s="986">
        <f t="shared" ca="1" si="77"/>
        <v>2036356164.3835618</v>
      </c>
      <c r="EK5" s="243"/>
      <c r="EL5" s="243"/>
      <c r="EM5" s="985">
        <f t="shared" ca="1" si="78"/>
        <v>98945205.479452193</v>
      </c>
      <c r="EN5" s="983">
        <f t="shared" ca="1" si="79"/>
        <v>2036356164.3835618</v>
      </c>
      <c r="EO5" s="986">
        <f t="shared" ca="1" si="80"/>
        <v>2135301369.8630142</v>
      </c>
      <c r="EP5" s="243"/>
      <c r="EQ5" s="243"/>
      <c r="ER5" s="985">
        <f t="shared" ca="1" si="81"/>
        <v>95753424.657534122</v>
      </c>
      <c r="ES5" s="983">
        <f t="shared" ca="1" si="82"/>
        <v>2135301369.8630142</v>
      </c>
      <c r="ET5" s="986">
        <f t="shared" ca="1" si="83"/>
        <v>2231054794.5205479</v>
      </c>
      <c r="EU5" s="243"/>
      <c r="EV5" s="243"/>
      <c r="EW5" s="985">
        <f t="shared" ca="1" si="84"/>
        <v>98945205.479451954</v>
      </c>
      <c r="EX5" s="983">
        <f t="shared" ca="1" si="85"/>
        <v>2231054794.5205479</v>
      </c>
      <c r="EY5" s="986">
        <f t="shared" ca="1" si="86"/>
        <v>2330000000</v>
      </c>
      <c r="EZ5" s="243"/>
      <c r="FA5" s="243"/>
      <c r="FB5" s="985">
        <f t="shared" ca="1" si="87"/>
        <v>95753424.65753448</v>
      </c>
      <c r="FC5" s="983">
        <f t="shared" ca="1" si="88"/>
        <v>2330000000</v>
      </c>
      <c r="FD5" s="986">
        <f t="shared" ca="1" si="89"/>
        <v>2425753424.6575346</v>
      </c>
      <c r="FE5" s="243"/>
      <c r="FF5" s="243"/>
      <c r="FG5" s="985">
        <f t="shared" ca="1" si="90"/>
        <v>98945205.479451954</v>
      </c>
      <c r="FH5" s="983">
        <f t="shared" ca="1" si="91"/>
        <v>2425753424.6575346</v>
      </c>
      <c r="FI5" s="986">
        <f t="shared" ca="1" si="92"/>
        <v>2524698630.1369863</v>
      </c>
      <c r="FJ5" s="243"/>
      <c r="FK5" s="243"/>
      <c r="FL5" s="985">
        <f t="shared" ca="1" si="93"/>
        <v>98945205.479452193</v>
      </c>
      <c r="FM5" s="983">
        <f t="shared" ca="1" si="94"/>
        <v>2524698630.1369863</v>
      </c>
      <c r="FN5" s="986">
        <f t="shared" ca="1" si="95"/>
        <v>2623643835.6164389</v>
      </c>
      <c r="FO5" s="243"/>
      <c r="FP5" s="243"/>
      <c r="FQ5" s="985">
        <f t="shared" ca="1" si="96"/>
        <v>95753424.657534182</v>
      </c>
      <c r="FR5" s="983">
        <f t="shared" ca="1" si="97"/>
        <v>2623643835.6164389</v>
      </c>
      <c r="FS5" s="986">
        <f t="shared" ca="1" si="98"/>
        <v>2719397260.2739725</v>
      </c>
      <c r="FT5" s="243"/>
      <c r="FU5" s="243"/>
      <c r="FV5" s="985">
        <f t="shared" ca="1" si="99"/>
        <v>98945205.479451895</v>
      </c>
      <c r="FW5" s="983">
        <f t="shared" ca="1" si="100"/>
        <v>2719397260.2739725</v>
      </c>
      <c r="FX5" s="986">
        <f t="shared" ca="1" si="101"/>
        <v>2818342465.7534246</v>
      </c>
      <c r="FY5" s="243"/>
      <c r="FZ5" s="243"/>
      <c r="GA5" s="985">
        <f t="shared" ca="1" si="102"/>
        <v>95753424.65753442</v>
      </c>
      <c r="GB5" s="983">
        <f t="shared" ca="1" si="103"/>
        <v>2818342465.7534246</v>
      </c>
      <c r="GC5" s="986">
        <f t="shared" ca="1" si="104"/>
        <v>2914095890.4109592</v>
      </c>
      <c r="GD5" s="243"/>
      <c r="GE5" s="243"/>
      <c r="GF5" s="985">
        <f t="shared" ca="1" si="105"/>
        <v>98945205.479452014</v>
      </c>
      <c r="GG5" s="983">
        <f t="shared" ca="1" si="106"/>
        <v>2914095890.4109592</v>
      </c>
      <c r="GH5" s="986">
        <f t="shared" ca="1" si="107"/>
        <v>3013041095.8904114</v>
      </c>
      <c r="GI5" s="243"/>
      <c r="GJ5" s="243"/>
      <c r="GK5" s="1336"/>
      <c r="GL5" s="1336"/>
      <c r="GM5" s="1336"/>
      <c r="GN5" s="163"/>
    </row>
    <row r="6" spans="1:196" ht="15" x14ac:dyDescent="0.2">
      <c r="A6" s="1381"/>
      <c r="B6" s="1343"/>
      <c r="C6" s="1343"/>
      <c r="D6" s="1373"/>
      <c r="E6" s="243"/>
      <c r="F6" s="976" t="s">
        <v>292</v>
      </c>
      <c r="G6" s="972"/>
      <c r="H6" s="978"/>
      <c r="I6" s="979"/>
      <c r="J6" s="979"/>
      <c r="K6" s="979"/>
      <c r="L6" s="979"/>
      <c r="M6" s="985">
        <f t="shared" ca="1" si="0"/>
        <v>0</v>
      </c>
      <c r="N6" s="983">
        <f t="shared" si="1"/>
        <v>0</v>
      </c>
      <c r="O6" s="986">
        <f t="shared" ca="1" si="2"/>
        <v>0</v>
      </c>
      <c r="P6" s="243"/>
      <c r="Q6" s="243"/>
      <c r="R6" s="985">
        <f t="shared" ca="1" si="3"/>
        <v>0</v>
      </c>
      <c r="S6" s="983">
        <f t="shared" ca="1" si="4"/>
        <v>0</v>
      </c>
      <c r="T6" s="986">
        <f t="shared" ca="1" si="5"/>
        <v>0</v>
      </c>
      <c r="U6" s="243"/>
      <c r="V6" s="243"/>
      <c r="W6" s="985">
        <f t="shared" ca="1" si="6"/>
        <v>2410958.9041095888</v>
      </c>
      <c r="X6" s="983">
        <f t="shared" ca="1" si="7"/>
        <v>0</v>
      </c>
      <c r="Y6" s="986">
        <f t="shared" ca="1" si="8"/>
        <v>2410958.9041095888</v>
      </c>
      <c r="Z6" s="243"/>
      <c r="AA6" s="243"/>
      <c r="AB6" s="985">
        <f t="shared" ca="1" si="9"/>
        <v>3287671.2328767125</v>
      </c>
      <c r="AC6" s="983">
        <f t="shared" ca="1" si="10"/>
        <v>2410958.9041095888</v>
      </c>
      <c r="AD6" s="986">
        <f t="shared" ca="1" si="11"/>
        <v>5698630.1369863013</v>
      </c>
      <c r="AE6" s="243"/>
      <c r="AF6" s="243"/>
      <c r="AG6" s="985">
        <f t="shared" ca="1" si="12"/>
        <v>3397260.2739726035</v>
      </c>
      <c r="AH6" s="983">
        <f t="shared" ca="1" si="13"/>
        <v>5698630.1369863013</v>
      </c>
      <c r="AI6" s="986">
        <f t="shared" ca="1" si="14"/>
        <v>9095890.4109589048</v>
      </c>
      <c r="AJ6" s="243"/>
      <c r="AK6" s="243"/>
      <c r="AL6" s="985">
        <f t="shared" ca="1" si="15"/>
        <v>10626223.091976516</v>
      </c>
      <c r="AM6" s="983">
        <f t="shared" ca="1" si="16"/>
        <v>9095890.4109589048</v>
      </c>
      <c r="AN6" s="986">
        <f t="shared" ca="1" si="17"/>
        <v>19722113.502935421</v>
      </c>
      <c r="AO6" s="243"/>
      <c r="AP6" s="243"/>
      <c r="AQ6" s="985">
        <f t="shared" ca="1" si="18"/>
        <v>10980430.528375732</v>
      </c>
      <c r="AR6" s="983">
        <f t="shared" ca="1" si="19"/>
        <v>19722113.502935421</v>
      </c>
      <c r="AS6" s="986">
        <f t="shared" ca="1" si="20"/>
        <v>30702544.031311154</v>
      </c>
      <c r="AT6" s="243"/>
      <c r="AU6" s="243"/>
      <c r="AV6" s="985">
        <f t="shared" ca="1" si="21"/>
        <v>10980430.528375734</v>
      </c>
      <c r="AW6" s="983">
        <f t="shared" ca="1" si="22"/>
        <v>30702544.031311154</v>
      </c>
      <c r="AX6" s="986">
        <f t="shared" ca="1" si="23"/>
        <v>41682974.559686884</v>
      </c>
      <c r="AY6" s="243"/>
      <c r="AZ6" s="243"/>
      <c r="BA6" s="985">
        <f t="shared" ca="1" si="24"/>
        <v>10626223.091976516</v>
      </c>
      <c r="BB6" s="983">
        <f t="shared" ca="1" si="25"/>
        <v>41682974.559686884</v>
      </c>
      <c r="BC6" s="986">
        <f t="shared" ca="1" si="26"/>
        <v>52309197.651663408</v>
      </c>
      <c r="BD6" s="243"/>
      <c r="BE6" s="243"/>
      <c r="BF6" s="985">
        <f t="shared" ca="1" si="27"/>
        <v>10980430.528375734</v>
      </c>
      <c r="BG6" s="983">
        <f t="shared" ca="1" si="28"/>
        <v>52309197.651663408</v>
      </c>
      <c r="BH6" s="986">
        <f t="shared" ca="1" si="29"/>
        <v>63289628.180039138</v>
      </c>
      <c r="BI6" s="243"/>
      <c r="BJ6" s="243"/>
      <c r="BK6" s="985">
        <f t="shared" ca="1" si="30"/>
        <v>10626223.091976516</v>
      </c>
      <c r="BL6" s="983">
        <f t="shared" ca="1" si="31"/>
        <v>63289628.180039138</v>
      </c>
      <c r="BM6" s="986">
        <f t="shared" ca="1" si="32"/>
        <v>73915851.272015661</v>
      </c>
      <c r="BN6" s="243"/>
      <c r="BO6" s="243"/>
      <c r="BP6" s="985">
        <f t="shared" ca="1" si="33"/>
        <v>10980430.528375732</v>
      </c>
      <c r="BQ6" s="983">
        <f t="shared" ca="1" si="34"/>
        <v>73915851.272015661</v>
      </c>
      <c r="BR6" s="986">
        <f t="shared" ca="1" si="35"/>
        <v>84896281.800391376</v>
      </c>
      <c r="BS6" s="243"/>
      <c r="BT6" s="243"/>
      <c r="BU6" s="985">
        <f t="shared" ca="1" si="36"/>
        <v>10980430.528375732</v>
      </c>
      <c r="BV6" s="983">
        <f t="shared" ca="1" si="37"/>
        <v>84896281.800391376</v>
      </c>
      <c r="BW6" s="986">
        <f t="shared" ca="1" si="38"/>
        <v>95876712.328767121</v>
      </c>
      <c r="BX6" s="243"/>
      <c r="BY6" s="243"/>
      <c r="BZ6" s="985">
        <f t="shared" ca="1" si="39"/>
        <v>9917808.219178088</v>
      </c>
      <c r="CA6" s="983">
        <f t="shared" ca="1" si="40"/>
        <v>95876712.328767121</v>
      </c>
      <c r="CB6" s="986">
        <f t="shared" ca="1" si="41"/>
        <v>105794520.5479452</v>
      </c>
      <c r="CC6" s="243"/>
      <c r="CD6" s="243"/>
      <c r="CE6" s="985">
        <f t="shared" ca="1" si="42"/>
        <v>10980430.52837573</v>
      </c>
      <c r="CF6" s="983">
        <f t="shared" ca="1" si="43"/>
        <v>105794520.5479452</v>
      </c>
      <c r="CG6" s="986">
        <f t="shared" ca="1" si="44"/>
        <v>116774951.07632095</v>
      </c>
      <c r="CH6" s="243"/>
      <c r="CI6" s="243"/>
      <c r="CJ6" s="985">
        <f t="shared" ca="1" si="45"/>
        <v>10626223.09197652</v>
      </c>
      <c r="CK6" s="983">
        <f t="shared" ca="1" si="46"/>
        <v>116774951.07632095</v>
      </c>
      <c r="CL6" s="986">
        <f t="shared" ca="1" si="47"/>
        <v>127401174.16829745</v>
      </c>
      <c r="CM6" s="243"/>
      <c r="CN6" s="243"/>
      <c r="CO6" s="985">
        <f t="shared" ca="1" si="48"/>
        <v>10980430.528375732</v>
      </c>
      <c r="CP6" s="983">
        <f t="shared" ca="1" si="49"/>
        <v>127401174.16829745</v>
      </c>
      <c r="CQ6" s="986">
        <f t="shared" ca="1" si="50"/>
        <v>138381604.69667318</v>
      </c>
      <c r="CR6" s="243"/>
      <c r="CS6" s="243"/>
      <c r="CT6" s="985">
        <f t="shared" ca="1" si="51"/>
        <v>10626223.091976512</v>
      </c>
      <c r="CU6" s="983">
        <f t="shared" ca="1" si="52"/>
        <v>138381604.69667318</v>
      </c>
      <c r="CV6" s="986">
        <f t="shared" ca="1" si="53"/>
        <v>149007827.78864971</v>
      </c>
      <c r="CW6" s="243"/>
      <c r="CX6" s="243"/>
      <c r="CY6" s="985">
        <f t="shared" ca="1" si="54"/>
        <v>10980430.52837573</v>
      </c>
      <c r="CZ6" s="983">
        <f t="shared" ca="1" si="55"/>
        <v>149007827.78864971</v>
      </c>
      <c r="DA6" s="986">
        <f t="shared" ca="1" si="56"/>
        <v>159988258.31702542</v>
      </c>
      <c r="DB6" s="243"/>
      <c r="DC6" s="243"/>
      <c r="DD6" s="985">
        <f t="shared" ca="1" si="57"/>
        <v>10980430.528375732</v>
      </c>
      <c r="DE6" s="983">
        <f t="shared" ca="1" si="58"/>
        <v>159988258.31702542</v>
      </c>
      <c r="DF6" s="986">
        <f t="shared" ca="1" si="59"/>
        <v>170968688.84540117</v>
      </c>
      <c r="DG6" s="243"/>
      <c r="DH6" s="243"/>
      <c r="DI6" s="985">
        <f t="shared" ca="1" si="60"/>
        <v>10626223.09197652</v>
      </c>
      <c r="DJ6" s="983">
        <f t="shared" ca="1" si="61"/>
        <v>170968688.84540117</v>
      </c>
      <c r="DK6" s="986">
        <f t="shared" ca="1" si="62"/>
        <v>181594911.93737769</v>
      </c>
      <c r="DL6" s="243"/>
      <c r="DM6" s="243"/>
      <c r="DN6" s="985">
        <f t="shared" ca="1" si="63"/>
        <v>10980430.528375739</v>
      </c>
      <c r="DO6" s="983">
        <f t="shared" ca="1" si="64"/>
        <v>181594911.93737769</v>
      </c>
      <c r="DP6" s="986">
        <f t="shared" ca="1" si="65"/>
        <v>192575342.46575344</v>
      </c>
      <c r="DQ6" s="243"/>
      <c r="DR6" s="243"/>
      <c r="DS6" s="985">
        <f t="shared" ca="1" si="66"/>
        <v>10626223.091976512</v>
      </c>
      <c r="DT6" s="983">
        <f t="shared" ca="1" si="67"/>
        <v>192575342.46575344</v>
      </c>
      <c r="DU6" s="986">
        <f t="shared" ca="1" si="68"/>
        <v>203201565.55772993</v>
      </c>
      <c r="DV6" s="243"/>
      <c r="DW6" s="243"/>
      <c r="DX6" s="985">
        <f t="shared" ca="1" si="69"/>
        <v>10980430.528375745</v>
      </c>
      <c r="DY6" s="983">
        <f t="shared" ca="1" si="70"/>
        <v>203201565.55772993</v>
      </c>
      <c r="DZ6" s="986">
        <f t="shared" ca="1" si="71"/>
        <v>214181996.08610567</v>
      </c>
      <c r="EA6" s="243"/>
      <c r="EB6" s="243"/>
      <c r="EC6" s="985">
        <f t="shared" ca="1" si="72"/>
        <v>10980430.528375715</v>
      </c>
      <c r="ED6" s="983">
        <f t="shared" ca="1" si="73"/>
        <v>214181996.08610567</v>
      </c>
      <c r="EE6" s="986">
        <f t="shared" ca="1" si="74"/>
        <v>225162426.61448139</v>
      </c>
      <c r="EF6" s="243"/>
      <c r="EG6" s="243"/>
      <c r="EH6" s="985">
        <f t="shared" ca="1" si="75"/>
        <v>9917808.2191780731</v>
      </c>
      <c r="EI6" s="983">
        <f t="shared" ca="1" si="76"/>
        <v>225162426.61448139</v>
      </c>
      <c r="EJ6" s="986">
        <f t="shared" ca="1" si="77"/>
        <v>235080234.83365947</v>
      </c>
      <c r="EK6" s="243"/>
      <c r="EL6" s="243"/>
      <c r="EM6" s="985">
        <f t="shared" ca="1" si="78"/>
        <v>10980430.528375747</v>
      </c>
      <c r="EN6" s="983">
        <f t="shared" ca="1" si="79"/>
        <v>235080234.83365947</v>
      </c>
      <c r="EO6" s="986">
        <f t="shared" ca="1" si="80"/>
        <v>246060665.36203521</v>
      </c>
      <c r="EP6" s="243"/>
      <c r="EQ6" s="243"/>
      <c r="ER6" s="985">
        <f t="shared" ca="1" si="81"/>
        <v>10626223.091976512</v>
      </c>
      <c r="ES6" s="983">
        <f t="shared" ca="1" si="82"/>
        <v>246060665.36203521</v>
      </c>
      <c r="ET6" s="986">
        <f t="shared" ca="1" si="83"/>
        <v>256686888.45401174</v>
      </c>
      <c r="EU6" s="243"/>
      <c r="EV6" s="243"/>
      <c r="EW6" s="985">
        <f t="shared" ca="1" si="84"/>
        <v>10980430.528375745</v>
      </c>
      <c r="EX6" s="983">
        <f t="shared" ca="1" si="85"/>
        <v>256686888.45401174</v>
      </c>
      <c r="EY6" s="986">
        <f t="shared" ca="1" si="86"/>
        <v>267667318.98238748</v>
      </c>
      <c r="EZ6" s="243"/>
      <c r="FA6" s="243"/>
      <c r="FB6" s="985">
        <f t="shared" ca="1" si="87"/>
        <v>10626223.091976512</v>
      </c>
      <c r="FC6" s="983">
        <f t="shared" ca="1" si="88"/>
        <v>267667318.98238748</v>
      </c>
      <c r="FD6" s="986">
        <f t="shared" ca="1" si="89"/>
        <v>278293542.07436395</v>
      </c>
      <c r="FE6" s="243"/>
      <c r="FF6" s="243"/>
      <c r="FG6" s="985">
        <f t="shared" ca="1" si="90"/>
        <v>10980430.528375747</v>
      </c>
      <c r="FH6" s="983">
        <f t="shared" ca="1" si="91"/>
        <v>278293542.07436395</v>
      </c>
      <c r="FI6" s="986">
        <f t="shared" ca="1" si="92"/>
        <v>289273972.60273975</v>
      </c>
      <c r="FJ6" s="243"/>
      <c r="FK6" s="243"/>
      <c r="FL6" s="985">
        <f t="shared" ca="1" si="93"/>
        <v>10980430.528375715</v>
      </c>
      <c r="FM6" s="983">
        <f t="shared" ca="1" si="94"/>
        <v>289273972.60273975</v>
      </c>
      <c r="FN6" s="986">
        <f t="shared" ca="1" si="95"/>
        <v>300254403.13111544</v>
      </c>
      <c r="FO6" s="243"/>
      <c r="FP6" s="243"/>
      <c r="FQ6" s="985">
        <f t="shared" ca="1" si="96"/>
        <v>10626223.091976512</v>
      </c>
      <c r="FR6" s="983">
        <f t="shared" ca="1" si="97"/>
        <v>300254403.13111544</v>
      </c>
      <c r="FS6" s="986">
        <f t="shared" ca="1" si="98"/>
        <v>310880626.22309196</v>
      </c>
      <c r="FT6" s="243"/>
      <c r="FU6" s="243"/>
      <c r="FV6" s="985">
        <f t="shared" ca="1" si="99"/>
        <v>10980430.528375747</v>
      </c>
      <c r="FW6" s="983">
        <f t="shared" ca="1" si="100"/>
        <v>310880626.22309196</v>
      </c>
      <c r="FX6" s="986">
        <f t="shared" ca="1" si="101"/>
        <v>321861056.7514677</v>
      </c>
      <c r="FY6" s="243"/>
      <c r="FZ6" s="243"/>
      <c r="GA6" s="985">
        <f t="shared" ca="1" si="102"/>
        <v>10626223.091976497</v>
      </c>
      <c r="GB6" s="983">
        <f t="shared" ca="1" si="103"/>
        <v>321861056.7514677</v>
      </c>
      <c r="GC6" s="986">
        <f t="shared" ca="1" si="104"/>
        <v>332487279.84344423</v>
      </c>
      <c r="GD6" s="243"/>
      <c r="GE6" s="243"/>
      <c r="GF6" s="985">
        <f t="shared" ca="1" si="105"/>
        <v>10980430.52837576</v>
      </c>
      <c r="GG6" s="983">
        <f t="shared" ca="1" si="106"/>
        <v>332487279.84344423</v>
      </c>
      <c r="GH6" s="986">
        <f t="shared" ca="1" si="107"/>
        <v>343467710.37181997</v>
      </c>
      <c r="GI6" s="243"/>
      <c r="GJ6" s="243"/>
      <c r="GK6" s="1336"/>
      <c r="GL6" s="1336"/>
      <c r="GM6" s="1336"/>
      <c r="GN6" s="163"/>
    </row>
    <row r="7" spans="1:196" ht="15" x14ac:dyDescent="0.2">
      <c r="A7" s="1381"/>
      <c r="B7" s="1343"/>
      <c r="C7" s="1343"/>
      <c r="D7" s="1373"/>
      <c r="E7" s="243"/>
      <c r="F7" s="976" t="s">
        <v>293</v>
      </c>
      <c r="G7" s="972"/>
      <c r="H7" s="978"/>
      <c r="I7" s="979"/>
      <c r="J7" s="979"/>
      <c r="K7" s="979"/>
      <c r="L7" s="979"/>
      <c r="M7" s="985">
        <f t="shared" ca="1" si="0"/>
        <v>0</v>
      </c>
      <c r="N7" s="983">
        <f t="shared" si="1"/>
        <v>0</v>
      </c>
      <c r="O7" s="986">
        <f t="shared" ca="1" si="2"/>
        <v>0</v>
      </c>
      <c r="P7" s="243"/>
      <c r="Q7" s="243"/>
      <c r="R7" s="985">
        <f t="shared" ca="1" si="3"/>
        <v>0</v>
      </c>
      <c r="S7" s="983">
        <f t="shared" ca="1" si="4"/>
        <v>0</v>
      </c>
      <c r="T7" s="986">
        <f t="shared" ca="1" si="5"/>
        <v>0</v>
      </c>
      <c r="U7" s="243"/>
      <c r="V7" s="243"/>
      <c r="W7" s="985">
        <f t="shared" ca="1" si="6"/>
        <v>0</v>
      </c>
      <c r="X7" s="983">
        <f t="shared" ca="1" si="7"/>
        <v>0</v>
      </c>
      <c r="Y7" s="986">
        <f t="shared" ca="1" si="8"/>
        <v>0</v>
      </c>
      <c r="Z7" s="243"/>
      <c r="AA7" s="243"/>
      <c r="AB7" s="985">
        <f t="shared" ca="1" si="9"/>
        <v>0</v>
      </c>
      <c r="AC7" s="983">
        <f t="shared" ca="1" si="10"/>
        <v>0</v>
      </c>
      <c r="AD7" s="986">
        <f t="shared" ca="1" si="11"/>
        <v>0</v>
      </c>
      <c r="AE7" s="243"/>
      <c r="AF7" s="243"/>
      <c r="AG7" s="985">
        <f t="shared" ca="1" si="12"/>
        <v>0</v>
      </c>
      <c r="AH7" s="983">
        <f t="shared" ca="1" si="13"/>
        <v>0</v>
      </c>
      <c r="AI7" s="986">
        <f t="shared" ca="1" si="14"/>
        <v>0</v>
      </c>
      <c r="AJ7" s="243"/>
      <c r="AK7" s="243"/>
      <c r="AL7" s="985">
        <f t="shared" ca="1" si="15"/>
        <v>95342465.753424674</v>
      </c>
      <c r="AM7" s="983">
        <f t="shared" ca="1" si="16"/>
        <v>0</v>
      </c>
      <c r="AN7" s="986">
        <f t="shared" ca="1" si="17"/>
        <v>95342465.753424674</v>
      </c>
      <c r="AO7" s="243"/>
      <c r="AP7" s="243"/>
      <c r="AQ7" s="985">
        <f t="shared" ca="1" si="18"/>
        <v>98520547.94520548</v>
      </c>
      <c r="AR7" s="983">
        <f t="shared" ca="1" si="19"/>
        <v>95342465.753424674</v>
      </c>
      <c r="AS7" s="986">
        <f t="shared" ca="1" si="20"/>
        <v>193863013.69863015</v>
      </c>
      <c r="AT7" s="243"/>
      <c r="AU7" s="243"/>
      <c r="AV7" s="985">
        <f t="shared" ca="1" si="21"/>
        <v>98520547.945205465</v>
      </c>
      <c r="AW7" s="983">
        <f t="shared" ca="1" si="22"/>
        <v>193863013.69863015</v>
      </c>
      <c r="AX7" s="986">
        <f t="shared" ca="1" si="23"/>
        <v>292383561.6438356</v>
      </c>
      <c r="AY7" s="243"/>
      <c r="AZ7" s="243"/>
      <c r="BA7" s="985">
        <f t="shared" ca="1" si="24"/>
        <v>95342465.753424674</v>
      </c>
      <c r="BB7" s="983">
        <f t="shared" ca="1" si="25"/>
        <v>292383561.6438356</v>
      </c>
      <c r="BC7" s="986">
        <f t="shared" ca="1" si="26"/>
        <v>387726027.39726031</v>
      </c>
      <c r="BD7" s="243"/>
      <c r="BE7" s="243"/>
      <c r="BF7" s="985">
        <f t="shared" ca="1" si="27"/>
        <v>98520547.94520548</v>
      </c>
      <c r="BG7" s="983">
        <f t="shared" ca="1" si="28"/>
        <v>387726027.39726031</v>
      </c>
      <c r="BH7" s="986">
        <f t="shared" ca="1" si="29"/>
        <v>486246575.34246576</v>
      </c>
      <c r="BI7" s="243"/>
      <c r="BJ7" s="243"/>
      <c r="BK7" s="985">
        <f t="shared" ca="1" si="30"/>
        <v>95342465.753424659</v>
      </c>
      <c r="BL7" s="983">
        <f t="shared" ca="1" si="31"/>
        <v>486246575.34246576</v>
      </c>
      <c r="BM7" s="986">
        <f t="shared" ca="1" si="32"/>
        <v>581589041.0958904</v>
      </c>
      <c r="BN7" s="243"/>
      <c r="BO7" s="243"/>
      <c r="BP7" s="985">
        <f t="shared" ca="1" si="33"/>
        <v>98520547.94520548</v>
      </c>
      <c r="BQ7" s="983">
        <f t="shared" ca="1" si="34"/>
        <v>581589041.0958904</v>
      </c>
      <c r="BR7" s="986">
        <f t="shared" ca="1" si="35"/>
        <v>680109589.04109597</v>
      </c>
      <c r="BS7" s="243"/>
      <c r="BT7" s="243"/>
      <c r="BU7" s="985">
        <f t="shared" ca="1" si="36"/>
        <v>98520547.94520548</v>
      </c>
      <c r="BV7" s="983">
        <f t="shared" ca="1" si="37"/>
        <v>680109589.04109597</v>
      </c>
      <c r="BW7" s="986">
        <f t="shared" ca="1" si="38"/>
        <v>778630136.98630142</v>
      </c>
      <c r="BX7" s="243"/>
      <c r="BY7" s="243"/>
      <c r="BZ7" s="985">
        <f t="shared" ca="1" si="39"/>
        <v>88986301.369863033</v>
      </c>
      <c r="CA7" s="983">
        <f t="shared" ca="1" si="40"/>
        <v>778630136.98630142</v>
      </c>
      <c r="CB7" s="986">
        <f t="shared" ca="1" si="41"/>
        <v>867616438.35616446</v>
      </c>
      <c r="CC7" s="243"/>
      <c r="CD7" s="243"/>
      <c r="CE7" s="985">
        <f t="shared" ca="1" si="42"/>
        <v>98520547.94520548</v>
      </c>
      <c r="CF7" s="983">
        <f t="shared" ca="1" si="43"/>
        <v>867616438.35616446</v>
      </c>
      <c r="CG7" s="986">
        <f t="shared" ca="1" si="44"/>
        <v>966136986.30136991</v>
      </c>
      <c r="CH7" s="243"/>
      <c r="CI7" s="243"/>
      <c r="CJ7" s="985">
        <f t="shared" ca="1" si="45"/>
        <v>95342465.753424704</v>
      </c>
      <c r="CK7" s="983">
        <f t="shared" ca="1" si="46"/>
        <v>966136986.30136991</v>
      </c>
      <c r="CL7" s="986">
        <f t="shared" ca="1" si="47"/>
        <v>1061479452.0547945</v>
      </c>
      <c r="CM7" s="243"/>
      <c r="CN7" s="243"/>
      <c r="CO7" s="985">
        <f t="shared" ca="1" si="48"/>
        <v>98520547.94520539</v>
      </c>
      <c r="CP7" s="983">
        <f t="shared" ca="1" si="49"/>
        <v>1061479452.0547945</v>
      </c>
      <c r="CQ7" s="986">
        <f t="shared" ca="1" si="50"/>
        <v>1160000000</v>
      </c>
      <c r="CR7" s="243"/>
      <c r="CS7" s="243"/>
      <c r="CT7" s="985">
        <f t="shared" ca="1" si="51"/>
        <v>95342465.753424674</v>
      </c>
      <c r="CU7" s="983">
        <f t="shared" ca="1" si="52"/>
        <v>1160000000</v>
      </c>
      <c r="CV7" s="986">
        <f t="shared" ca="1" si="53"/>
        <v>1255342465.7534246</v>
      </c>
      <c r="CW7" s="243"/>
      <c r="CX7" s="243"/>
      <c r="CY7" s="985">
        <f t="shared" ca="1" si="54"/>
        <v>98520547.945205539</v>
      </c>
      <c r="CZ7" s="983">
        <f t="shared" ca="1" si="55"/>
        <v>1255342465.7534246</v>
      </c>
      <c r="DA7" s="986">
        <f t="shared" ca="1" si="56"/>
        <v>1353863013.6986303</v>
      </c>
      <c r="DB7" s="243"/>
      <c r="DC7" s="243"/>
      <c r="DD7" s="985">
        <f t="shared" ca="1" si="57"/>
        <v>98520547.94520545</v>
      </c>
      <c r="DE7" s="983">
        <f t="shared" ca="1" si="58"/>
        <v>1353863013.6986303</v>
      </c>
      <c r="DF7" s="986">
        <f t="shared" ca="1" si="59"/>
        <v>1452383561.6438355</v>
      </c>
      <c r="DG7" s="243"/>
      <c r="DH7" s="243"/>
      <c r="DI7" s="985">
        <f t="shared" ca="1" si="60"/>
        <v>95342465.753424644</v>
      </c>
      <c r="DJ7" s="983">
        <f t="shared" ca="1" si="61"/>
        <v>1452383561.6438355</v>
      </c>
      <c r="DK7" s="986">
        <f t="shared" ca="1" si="62"/>
        <v>1547726027.3972602</v>
      </c>
      <c r="DL7" s="243"/>
      <c r="DM7" s="243"/>
      <c r="DN7" s="985">
        <f t="shared" ca="1" si="63"/>
        <v>98520547.94520545</v>
      </c>
      <c r="DO7" s="983">
        <f t="shared" ca="1" si="64"/>
        <v>1547726027.3972602</v>
      </c>
      <c r="DP7" s="986">
        <f t="shared" ca="1" si="65"/>
        <v>1646246575.3424659</v>
      </c>
      <c r="DQ7" s="243"/>
      <c r="DR7" s="243"/>
      <c r="DS7" s="985">
        <f t="shared" ca="1" si="66"/>
        <v>95342465.753424644</v>
      </c>
      <c r="DT7" s="983">
        <f t="shared" ca="1" si="67"/>
        <v>1646246575.3424659</v>
      </c>
      <c r="DU7" s="986">
        <f t="shared" ca="1" si="68"/>
        <v>1741589041.0958905</v>
      </c>
      <c r="DV7" s="243"/>
      <c r="DW7" s="243"/>
      <c r="DX7" s="985">
        <f t="shared" ca="1" si="69"/>
        <v>98520547.945205569</v>
      </c>
      <c r="DY7" s="983">
        <f t="shared" ca="1" si="70"/>
        <v>1741589041.0958905</v>
      </c>
      <c r="DZ7" s="986">
        <f t="shared" ca="1" si="71"/>
        <v>1840109589.041096</v>
      </c>
      <c r="EA7" s="243"/>
      <c r="EB7" s="243"/>
      <c r="EC7" s="985">
        <f t="shared" ca="1" si="72"/>
        <v>98520547.94520545</v>
      </c>
      <c r="ED7" s="983">
        <f t="shared" ca="1" si="73"/>
        <v>1840109589.041096</v>
      </c>
      <c r="EE7" s="986">
        <f t="shared" ca="1" si="74"/>
        <v>1938630136.9863014</v>
      </c>
      <c r="EF7" s="243"/>
      <c r="EG7" s="243"/>
      <c r="EH7" s="985">
        <f t="shared" ca="1" si="75"/>
        <v>88986301.369863033</v>
      </c>
      <c r="EI7" s="983">
        <f t="shared" ca="1" si="76"/>
        <v>1938630136.9863014</v>
      </c>
      <c r="EJ7" s="986">
        <f t="shared" ca="1" si="77"/>
        <v>2027616438.3561645</v>
      </c>
      <c r="EK7" s="243"/>
      <c r="EL7" s="243"/>
      <c r="EM7" s="985">
        <f t="shared" ca="1" si="78"/>
        <v>98520547.945205569</v>
      </c>
      <c r="EN7" s="983">
        <f t="shared" ca="1" si="79"/>
        <v>2027616438.3561645</v>
      </c>
      <c r="EO7" s="986">
        <f t="shared" ca="1" si="80"/>
        <v>2126136986.3013701</v>
      </c>
      <c r="EP7" s="243"/>
      <c r="EQ7" s="243"/>
      <c r="ER7" s="985">
        <f t="shared" ca="1" si="81"/>
        <v>95342465.753424466</v>
      </c>
      <c r="ES7" s="983">
        <f t="shared" ca="1" si="82"/>
        <v>2126136986.3013701</v>
      </c>
      <c r="ET7" s="986">
        <f t="shared" ca="1" si="83"/>
        <v>2221479452.0547943</v>
      </c>
      <c r="EU7" s="243"/>
      <c r="EV7" s="243"/>
      <c r="EW7" s="985">
        <f t="shared" ca="1" si="84"/>
        <v>98520547.94520551</v>
      </c>
      <c r="EX7" s="983">
        <f t="shared" ca="1" si="85"/>
        <v>2221479452.0547943</v>
      </c>
      <c r="EY7" s="986">
        <f t="shared" ca="1" si="86"/>
        <v>2320000000</v>
      </c>
      <c r="EZ7" s="243"/>
      <c r="FA7" s="243"/>
      <c r="FB7" s="985">
        <f t="shared" ca="1" si="87"/>
        <v>95342465.753424764</v>
      </c>
      <c r="FC7" s="983">
        <f t="shared" ca="1" si="88"/>
        <v>2320000000</v>
      </c>
      <c r="FD7" s="986">
        <f t="shared" ca="1" si="89"/>
        <v>2415342465.7534246</v>
      </c>
      <c r="FE7" s="243"/>
      <c r="FF7" s="243"/>
      <c r="FG7" s="985">
        <f t="shared" ca="1" si="90"/>
        <v>98520547.94520551</v>
      </c>
      <c r="FH7" s="983">
        <f t="shared" ca="1" si="91"/>
        <v>2415342465.7534246</v>
      </c>
      <c r="FI7" s="986">
        <f t="shared" ca="1" si="92"/>
        <v>2513863013.6986303</v>
      </c>
      <c r="FJ7" s="243"/>
      <c r="FK7" s="243"/>
      <c r="FL7" s="985">
        <f t="shared" ca="1" si="93"/>
        <v>98520547.94520551</v>
      </c>
      <c r="FM7" s="983">
        <f t="shared" ca="1" si="94"/>
        <v>2513863013.6986303</v>
      </c>
      <c r="FN7" s="986">
        <f t="shared" ca="1" si="95"/>
        <v>2612383561.643836</v>
      </c>
      <c r="FO7" s="243"/>
      <c r="FP7" s="243"/>
      <c r="FQ7" s="985">
        <f t="shared" ca="1" si="96"/>
        <v>95342465.753424644</v>
      </c>
      <c r="FR7" s="983">
        <f t="shared" ca="1" si="97"/>
        <v>2612383561.643836</v>
      </c>
      <c r="FS7" s="986">
        <f t="shared" ca="1" si="98"/>
        <v>2707726027.3972607</v>
      </c>
      <c r="FT7" s="243"/>
      <c r="FU7" s="243"/>
      <c r="FV7" s="985">
        <f t="shared" ca="1" si="99"/>
        <v>98520547.945205331</v>
      </c>
      <c r="FW7" s="983">
        <f t="shared" ca="1" si="100"/>
        <v>2707726027.3972607</v>
      </c>
      <c r="FX7" s="986">
        <f t="shared" ca="1" si="101"/>
        <v>2806246575.3424654</v>
      </c>
      <c r="FY7" s="243"/>
      <c r="FZ7" s="243"/>
      <c r="GA7" s="985">
        <f t="shared" ca="1" si="102"/>
        <v>95342465.753424644</v>
      </c>
      <c r="GB7" s="983">
        <f t="shared" ca="1" si="103"/>
        <v>2806246575.3424654</v>
      </c>
      <c r="GC7" s="986">
        <f t="shared" ca="1" si="104"/>
        <v>2901589041.09589</v>
      </c>
      <c r="GD7" s="243"/>
      <c r="GE7" s="243"/>
      <c r="GF7" s="985">
        <f t="shared" ca="1" si="105"/>
        <v>98520547.945205569</v>
      </c>
      <c r="GG7" s="983">
        <f t="shared" ca="1" si="106"/>
        <v>2901589041.09589</v>
      </c>
      <c r="GH7" s="986">
        <f t="shared" ca="1" si="107"/>
        <v>3000109589.0410957</v>
      </c>
      <c r="GI7" s="243"/>
      <c r="GJ7" s="243"/>
      <c r="GK7" s="1336"/>
      <c r="GL7" s="1336"/>
      <c r="GM7" s="1336"/>
      <c r="GN7" s="163"/>
    </row>
    <row r="8" spans="1:196" ht="15" x14ac:dyDescent="0.2">
      <c r="A8" s="1416"/>
      <c r="B8" s="1417"/>
      <c r="C8" s="1417"/>
      <c r="D8" s="1449"/>
      <c r="E8" s="243"/>
      <c r="F8" s="976" t="s">
        <v>294</v>
      </c>
      <c r="G8" s="972"/>
      <c r="H8" s="978"/>
      <c r="I8" s="979"/>
      <c r="J8" s="979"/>
      <c r="K8" s="979"/>
      <c r="L8" s="979"/>
      <c r="M8" s="985">
        <f t="shared" ca="1" si="0"/>
        <v>0</v>
      </c>
      <c r="N8" s="983">
        <f t="shared" si="1"/>
        <v>0</v>
      </c>
      <c r="O8" s="986">
        <f t="shared" ca="1" si="2"/>
        <v>0</v>
      </c>
      <c r="P8" s="243"/>
      <c r="Q8" s="243"/>
      <c r="R8" s="985">
        <f t="shared" ca="1" si="3"/>
        <v>0</v>
      </c>
      <c r="S8" s="983">
        <f t="shared" ca="1" si="4"/>
        <v>0</v>
      </c>
      <c r="T8" s="986">
        <f t="shared" ca="1" si="5"/>
        <v>0</v>
      </c>
      <c r="U8" s="243"/>
      <c r="V8" s="243"/>
      <c r="W8" s="985">
        <f t="shared" ca="1" si="6"/>
        <v>3652054.7945205481</v>
      </c>
      <c r="X8" s="983">
        <f t="shared" ca="1" si="7"/>
        <v>0</v>
      </c>
      <c r="Y8" s="986">
        <f t="shared" ca="1" si="8"/>
        <v>3652054.7945205481</v>
      </c>
      <c r="Z8" s="243"/>
      <c r="AA8" s="243"/>
      <c r="AB8" s="985">
        <f t="shared" ca="1" si="9"/>
        <v>3534246.5753424657</v>
      </c>
      <c r="AC8" s="983">
        <f t="shared" ca="1" si="10"/>
        <v>3652054.7945205481</v>
      </c>
      <c r="AD8" s="986">
        <f t="shared" ca="1" si="11"/>
        <v>7186301.3698630137</v>
      </c>
      <c r="AE8" s="243"/>
      <c r="AF8" s="243"/>
      <c r="AG8" s="985">
        <f t="shared" ca="1" si="12"/>
        <v>3652054.7945205471</v>
      </c>
      <c r="AH8" s="983">
        <f t="shared" ca="1" si="13"/>
        <v>7186301.3698630137</v>
      </c>
      <c r="AI8" s="986">
        <f t="shared" ca="1" si="14"/>
        <v>10838356.16438356</v>
      </c>
      <c r="AJ8" s="243"/>
      <c r="AK8" s="243"/>
      <c r="AL8" s="985">
        <f t="shared" ca="1" si="15"/>
        <v>3780821.9178082198</v>
      </c>
      <c r="AM8" s="983">
        <f t="shared" ca="1" si="16"/>
        <v>10838356.16438356</v>
      </c>
      <c r="AN8" s="986">
        <f t="shared" ca="1" si="17"/>
        <v>14619178.08219178</v>
      </c>
      <c r="AO8" s="243"/>
      <c r="AP8" s="243"/>
      <c r="AQ8" s="985">
        <f t="shared" ca="1" si="18"/>
        <v>3906849.3150684931</v>
      </c>
      <c r="AR8" s="983">
        <f t="shared" ca="1" si="19"/>
        <v>14619178.08219178</v>
      </c>
      <c r="AS8" s="986">
        <f t="shared" ca="1" si="20"/>
        <v>18526027.397260275</v>
      </c>
      <c r="AT8" s="243"/>
      <c r="AU8" s="243"/>
      <c r="AV8" s="985">
        <f t="shared" ca="1" si="21"/>
        <v>3906849.3150684913</v>
      </c>
      <c r="AW8" s="983">
        <f t="shared" ca="1" si="22"/>
        <v>18526027.397260275</v>
      </c>
      <c r="AX8" s="986">
        <f t="shared" ca="1" si="23"/>
        <v>22432876.712328766</v>
      </c>
      <c r="AY8" s="243"/>
      <c r="AZ8" s="243"/>
      <c r="BA8" s="985">
        <f t="shared" ca="1" si="24"/>
        <v>3780821.9178082217</v>
      </c>
      <c r="BB8" s="983">
        <f t="shared" ca="1" si="25"/>
        <v>22432876.712328766</v>
      </c>
      <c r="BC8" s="986">
        <f t="shared" ca="1" si="26"/>
        <v>26213698.630136985</v>
      </c>
      <c r="BD8" s="243"/>
      <c r="BE8" s="243"/>
      <c r="BF8" s="985">
        <f t="shared" ca="1" si="27"/>
        <v>3906849.3150684913</v>
      </c>
      <c r="BG8" s="983">
        <f t="shared" ca="1" si="28"/>
        <v>26213698.630136985</v>
      </c>
      <c r="BH8" s="986">
        <f t="shared" ca="1" si="29"/>
        <v>30120547.945205476</v>
      </c>
      <c r="BI8" s="243"/>
      <c r="BJ8" s="243"/>
      <c r="BK8" s="985">
        <f t="shared" ca="1" si="30"/>
        <v>3780821.9178082179</v>
      </c>
      <c r="BL8" s="983">
        <f t="shared" ca="1" si="31"/>
        <v>30120547.945205476</v>
      </c>
      <c r="BM8" s="986">
        <f t="shared" ca="1" si="32"/>
        <v>33901369.8630137</v>
      </c>
      <c r="BN8" s="243"/>
      <c r="BO8" s="243"/>
      <c r="BP8" s="985">
        <f t="shared" ca="1" si="33"/>
        <v>3906849.3150684955</v>
      </c>
      <c r="BQ8" s="983">
        <f t="shared" ca="1" si="34"/>
        <v>33901369.8630137</v>
      </c>
      <c r="BR8" s="986">
        <f t="shared" ca="1" si="35"/>
        <v>37808219.17808219</v>
      </c>
      <c r="BS8" s="243"/>
      <c r="BT8" s="243"/>
      <c r="BU8" s="985">
        <f t="shared" ca="1" si="36"/>
        <v>3906849.3150684908</v>
      </c>
      <c r="BV8" s="983">
        <f t="shared" ca="1" si="37"/>
        <v>37808219.17808219</v>
      </c>
      <c r="BW8" s="986">
        <f t="shared" ca="1" si="38"/>
        <v>41715068.493150689</v>
      </c>
      <c r="BX8" s="243"/>
      <c r="BY8" s="243"/>
      <c r="BZ8" s="985">
        <f t="shared" ca="1" si="39"/>
        <v>3528767.1232876731</v>
      </c>
      <c r="CA8" s="983">
        <f t="shared" ca="1" si="40"/>
        <v>41715068.493150689</v>
      </c>
      <c r="CB8" s="986">
        <f t="shared" ca="1" si="41"/>
        <v>45243835.616438359</v>
      </c>
      <c r="CC8" s="243"/>
      <c r="CD8" s="243"/>
      <c r="CE8" s="985">
        <f t="shared" ca="1" si="42"/>
        <v>3906849.3150684913</v>
      </c>
      <c r="CF8" s="983">
        <f t="shared" ca="1" si="43"/>
        <v>45243835.616438359</v>
      </c>
      <c r="CG8" s="986">
        <f t="shared" ca="1" si="44"/>
        <v>49150684.931506842</v>
      </c>
      <c r="CH8" s="243"/>
      <c r="CI8" s="243"/>
      <c r="CJ8" s="985">
        <f t="shared" ca="1" si="45"/>
        <v>3780821.9178082184</v>
      </c>
      <c r="CK8" s="983">
        <f t="shared" ca="1" si="46"/>
        <v>49150684.931506842</v>
      </c>
      <c r="CL8" s="986">
        <f t="shared" ca="1" si="47"/>
        <v>52931506.849315062</v>
      </c>
      <c r="CM8" s="243"/>
      <c r="CN8" s="243"/>
      <c r="CO8" s="985">
        <f t="shared" ca="1" si="48"/>
        <v>3906849.3150684908</v>
      </c>
      <c r="CP8" s="983">
        <f t="shared" ca="1" si="49"/>
        <v>52931506.849315062</v>
      </c>
      <c r="CQ8" s="986">
        <f t="shared" ca="1" si="50"/>
        <v>56838356.16438356</v>
      </c>
      <c r="CR8" s="243"/>
      <c r="CS8" s="243"/>
      <c r="CT8" s="985">
        <f t="shared" ca="1" si="51"/>
        <v>3780821.9178082263</v>
      </c>
      <c r="CU8" s="983">
        <f t="shared" ca="1" si="52"/>
        <v>56838356.16438356</v>
      </c>
      <c r="CV8" s="986">
        <f t="shared" ca="1" si="53"/>
        <v>60619178.08219178</v>
      </c>
      <c r="CW8" s="243"/>
      <c r="CX8" s="243"/>
      <c r="CY8" s="985">
        <f t="shared" ca="1" si="54"/>
        <v>3906849.3150684908</v>
      </c>
      <c r="CZ8" s="983">
        <f t="shared" ca="1" si="55"/>
        <v>60619178.08219178</v>
      </c>
      <c r="DA8" s="986">
        <f t="shared" ca="1" si="56"/>
        <v>64526027.397260278</v>
      </c>
      <c r="DB8" s="243"/>
      <c r="DC8" s="243"/>
      <c r="DD8" s="985">
        <f t="shared" ca="1" si="57"/>
        <v>3906849.3150684908</v>
      </c>
      <c r="DE8" s="983">
        <f t="shared" ca="1" si="58"/>
        <v>64526027.397260278</v>
      </c>
      <c r="DF8" s="986">
        <f t="shared" ca="1" si="59"/>
        <v>68432876.712328762</v>
      </c>
      <c r="DG8" s="243"/>
      <c r="DH8" s="243"/>
      <c r="DI8" s="985">
        <f t="shared" ca="1" si="60"/>
        <v>3780821.9178082189</v>
      </c>
      <c r="DJ8" s="983">
        <f t="shared" ca="1" si="61"/>
        <v>68432876.712328762</v>
      </c>
      <c r="DK8" s="986">
        <f t="shared" ca="1" si="62"/>
        <v>72213698.630136982</v>
      </c>
      <c r="DL8" s="243"/>
      <c r="DM8" s="243"/>
      <c r="DN8" s="985">
        <f t="shared" ca="1" si="63"/>
        <v>3906849.3150684913</v>
      </c>
      <c r="DO8" s="983">
        <f t="shared" ca="1" si="64"/>
        <v>72213698.630136982</v>
      </c>
      <c r="DP8" s="986">
        <f t="shared" ca="1" si="65"/>
        <v>76120547.945205465</v>
      </c>
      <c r="DQ8" s="243"/>
      <c r="DR8" s="243"/>
      <c r="DS8" s="985">
        <f t="shared" ca="1" si="66"/>
        <v>3780821.9178082254</v>
      </c>
      <c r="DT8" s="983">
        <f t="shared" ca="1" si="67"/>
        <v>76120547.945205465</v>
      </c>
      <c r="DU8" s="986">
        <f t="shared" ca="1" si="68"/>
        <v>79901369.8630137</v>
      </c>
      <c r="DV8" s="243"/>
      <c r="DW8" s="243"/>
      <c r="DX8" s="985">
        <f t="shared" ca="1" si="69"/>
        <v>3906849.3150684908</v>
      </c>
      <c r="DY8" s="983">
        <f t="shared" ca="1" si="70"/>
        <v>79901369.8630137</v>
      </c>
      <c r="DZ8" s="986">
        <f t="shared" ca="1" si="71"/>
        <v>83808219.178082198</v>
      </c>
      <c r="EA8" s="243"/>
      <c r="EB8" s="243"/>
      <c r="EC8" s="985">
        <f t="shared" ca="1" si="72"/>
        <v>3906849.3150684917</v>
      </c>
      <c r="ED8" s="983">
        <f t="shared" ca="1" si="73"/>
        <v>83808219.178082198</v>
      </c>
      <c r="EE8" s="986">
        <f t="shared" ca="1" si="74"/>
        <v>87715068.493150681</v>
      </c>
      <c r="EF8" s="243"/>
      <c r="EG8" s="243"/>
      <c r="EH8" s="985">
        <f t="shared" ca="1" si="75"/>
        <v>3528767.1232876731</v>
      </c>
      <c r="EI8" s="983">
        <f t="shared" ca="1" si="76"/>
        <v>87715068.493150681</v>
      </c>
      <c r="EJ8" s="986">
        <f t="shared" ca="1" si="77"/>
        <v>91243835.616438359</v>
      </c>
      <c r="EK8" s="243"/>
      <c r="EL8" s="243"/>
      <c r="EM8" s="985">
        <f t="shared" ca="1" si="78"/>
        <v>3906849.3150684917</v>
      </c>
      <c r="EN8" s="983">
        <f t="shared" ca="1" si="79"/>
        <v>91243835.616438359</v>
      </c>
      <c r="EO8" s="986">
        <f t="shared" ca="1" si="80"/>
        <v>95150684.931506842</v>
      </c>
      <c r="EP8" s="243"/>
      <c r="EQ8" s="243"/>
      <c r="ER8" s="985">
        <f t="shared" ca="1" si="81"/>
        <v>3780821.9178082179</v>
      </c>
      <c r="ES8" s="983">
        <f t="shared" ca="1" si="82"/>
        <v>95150684.931506842</v>
      </c>
      <c r="ET8" s="986">
        <f t="shared" ca="1" si="83"/>
        <v>98931506.849315062</v>
      </c>
      <c r="EU8" s="243"/>
      <c r="EV8" s="243"/>
      <c r="EW8" s="985">
        <f t="shared" ca="1" si="84"/>
        <v>3906849.3150684908</v>
      </c>
      <c r="EX8" s="983">
        <f t="shared" ca="1" si="85"/>
        <v>98931506.849315062</v>
      </c>
      <c r="EY8" s="986">
        <f t="shared" ca="1" si="86"/>
        <v>102838356.16438356</v>
      </c>
      <c r="EZ8" s="243"/>
      <c r="FA8" s="243"/>
      <c r="FB8" s="985">
        <f t="shared" ca="1" si="87"/>
        <v>3780821.9178082189</v>
      </c>
      <c r="FC8" s="983">
        <f t="shared" ca="1" si="88"/>
        <v>102838356.16438356</v>
      </c>
      <c r="FD8" s="986">
        <f t="shared" ca="1" si="89"/>
        <v>106619178.08219178</v>
      </c>
      <c r="FE8" s="243"/>
      <c r="FF8" s="243"/>
      <c r="FG8" s="985">
        <f t="shared" ca="1" si="90"/>
        <v>3906849.3150684908</v>
      </c>
      <c r="FH8" s="983">
        <f t="shared" ca="1" si="91"/>
        <v>106619178.08219178</v>
      </c>
      <c r="FI8" s="986">
        <f t="shared" ca="1" si="92"/>
        <v>110526027.39726026</v>
      </c>
      <c r="FJ8" s="243"/>
      <c r="FK8" s="243"/>
      <c r="FL8" s="985">
        <f t="shared" ca="1" si="93"/>
        <v>3906849.3150684908</v>
      </c>
      <c r="FM8" s="983">
        <f t="shared" ca="1" si="94"/>
        <v>110526027.39726026</v>
      </c>
      <c r="FN8" s="986">
        <f t="shared" ca="1" si="95"/>
        <v>114432876.71232876</v>
      </c>
      <c r="FO8" s="243"/>
      <c r="FP8" s="243"/>
      <c r="FQ8" s="985">
        <f t="shared" ca="1" si="96"/>
        <v>3780821.9178082338</v>
      </c>
      <c r="FR8" s="983">
        <f t="shared" ca="1" si="97"/>
        <v>114432876.71232876</v>
      </c>
      <c r="FS8" s="986">
        <f t="shared" ca="1" si="98"/>
        <v>118213698.630137</v>
      </c>
      <c r="FT8" s="243"/>
      <c r="FU8" s="243"/>
      <c r="FV8" s="985">
        <f t="shared" ca="1" si="99"/>
        <v>3906849.3150684908</v>
      </c>
      <c r="FW8" s="983">
        <f t="shared" ca="1" si="100"/>
        <v>118213698.630137</v>
      </c>
      <c r="FX8" s="986">
        <f t="shared" ca="1" si="101"/>
        <v>122120547.94520548</v>
      </c>
      <c r="FY8" s="243"/>
      <c r="FZ8" s="243"/>
      <c r="GA8" s="985">
        <f t="shared" ca="1" si="102"/>
        <v>3780821.9178082189</v>
      </c>
      <c r="GB8" s="983">
        <f t="shared" ca="1" si="103"/>
        <v>122120547.94520548</v>
      </c>
      <c r="GC8" s="986">
        <f t="shared" ca="1" si="104"/>
        <v>125901369.8630137</v>
      </c>
      <c r="GD8" s="243"/>
      <c r="GE8" s="243"/>
      <c r="GF8" s="985">
        <f t="shared" ca="1" si="105"/>
        <v>3906849.3150684908</v>
      </c>
      <c r="GG8" s="983">
        <f t="shared" ca="1" si="106"/>
        <v>125901369.8630137</v>
      </c>
      <c r="GH8" s="986">
        <f t="shared" ca="1" si="107"/>
        <v>129808219.1780822</v>
      </c>
      <c r="GI8" s="243"/>
      <c r="GJ8" s="243"/>
      <c r="GK8" s="1336"/>
      <c r="GL8" s="1336"/>
      <c r="GM8" s="1336"/>
      <c r="GN8" s="163"/>
    </row>
    <row r="9" spans="1:196" ht="15" x14ac:dyDescent="0.2">
      <c r="A9" s="243"/>
      <c r="B9" s="988"/>
      <c r="C9" s="243"/>
      <c r="D9" s="989"/>
      <c r="E9" s="243"/>
      <c r="F9" s="976" t="s">
        <v>295</v>
      </c>
      <c r="G9" s="972"/>
      <c r="H9" s="978"/>
      <c r="I9" s="979"/>
      <c r="J9" s="979"/>
      <c r="K9" s="979"/>
      <c r="L9" s="979"/>
      <c r="M9" s="985">
        <f t="shared" si="0"/>
        <v>0</v>
      </c>
      <c r="N9" s="983">
        <f t="shared" si="1"/>
        <v>0</v>
      </c>
      <c r="O9" s="986">
        <f t="shared" si="2"/>
        <v>0</v>
      </c>
      <c r="P9" s="243"/>
      <c r="Q9" s="243"/>
      <c r="R9" s="985">
        <f t="shared" si="3"/>
        <v>0</v>
      </c>
      <c r="S9" s="983">
        <f t="shared" si="4"/>
        <v>0</v>
      </c>
      <c r="T9" s="986">
        <f t="shared" si="5"/>
        <v>0</v>
      </c>
      <c r="U9" s="243"/>
      <c r="V9" s="243"/>
      <c r="W9" s="985">
        <f t="shared" si="6"/>
        <v>0</v>
      </c>
      <c r="X9" s="983">
        <f t="shared" si="7"/>
        <v>0</v>
      </c>
      <c r="Y9" s="986">
        <f t="shared" si="8"/>
        <v>0</v>
      </c>
      <c r="Z9" s="243"/>
      <c r="AA9" s="243"/>
      <c r="AB9" s="985">
        <f t="shared" si="9"/>
        <v>0</v>
      </c>
      <c r="AC9" s="983">
        <f t="shared" si="10"/>
        <v>0</v>
      </c>
      <c r="AD9" s="986">
        <f t="shared" si="11"/>
        <v>0</v>
      </c>
      <c r="AE9" s="243"/>
      <c r="AF9" s="243"/>
      <c r="AG9" s="985">
        <f t="shared" si="12"/>
        <v>0</v>
      </c>
      <c r="AH9" s="983">
        <f t="shared" si="13"/>
        <v>0</v>
      </c>
      <c r="AI9" s="986">
        <f t="shared" si="14"/>
        <v>0</v>
      </c>
      <c r="AJ9" s="243"/>
      <c r="AK9" s="243"/>
      <c r="AL9" s="985">
        <f t="shared" si="15"/>
        <v>0</v>
      </c>
      <c r="AM9" s="983">
        <f t="shared" si="16"/>
        <v>0</v>
      </c>
      <c r="AN9" s="986">
        <f t="shared" si="17"/>
        <v>0</v>
      </c>
      <c r="AO9" s="243"/>
      <c r="AP9" s="243"/>
      <c r="AQ9" s="985">
        <f t="shared" si="18"/>
        <v>0</v>
      </c>
      <c r="AR9" s="983">
        <f t="shared" si="19"/>
        <v>0</v>
      </c>
      <c r="AS9" s="986">
        <f t="shared" si="20"/>
        <v>0</v>
      </c>
      <c r="AT9" s="243"/>
      <c r="AU9" s="243"/>
      <c r="AV9" s="985">
        <f t="shared" si="21"/>
        <v>0</v>
      </c>
      <c r="AW9" s="983">
        <f t="shared" si="22"/>
        <v>0</v>
      </c>
      <c r="AX9" s="986">
        <f t="shared" si="23"/>
        <v>0</v>
      </c>
      <c r="AY9" s="243"/>
      <c r="AZ9" s="243"/>
      <c r="BA9" s="985">
        <f t="shared" si="24"/>
        <v>0</v>
      </c>
      <c r="BB9" s="983">
        <f t="shared" si="25"/>
        <v>0</v>
      </c>
      <c r="BC9" s="986">
        <f t="shared" si="26"/>
        <v>0</v>
      </c>
      <c r="BD9" s="243"/>
      <c r="BE9" s="243"/>
      <c r="BF9" s="985">
        <f t="shared" si="27"/>
        <v>0</v>
      </c>
      <c r="BG9" s="983">
        <f t="shared" si="28"/>
        <v>0</v>
      </c>
      <c r="BH9" s="986">
        <f t="shared" si="29"/>
        <v>0</v>
      </c>
      <c r="BI9" s="243"/>
      <c r="BJ9" s="243"/>
      <c r="BK9" s="985">
        <f t="shared" si="30"/>
        <v>0</v>
      </c>
      <c r="BL9" s="983">
        <f t="shared" si="31"/>
        <v>0</v>
      </c>
      <c r="BM9" s="986">
        <f t="shared" si="32"/>
        <v>0</v>
      </c>
      <c r="BN9" s="243"/>
      <c r="BO9" s="243"/>
      <c r="BP9" s="985">
        <f t="shared" si="33"/>
        <v>0</v>
      </c>
      <c r="BQ9" s="983">
        <f t="shared" si="34"/>
        <v>0</v>
      </c>
      <c r="BR9" s="986">
        <f t="shared" si="35"/>
        <v>0</v>
      </c>
      <c r="BS9" s="243"/>
      <c r="BT9" s="243"/>
      <c r="BU9" s="985">
        <f t="shared" si="36"/>
        <v>0</v>
      </c>
      <c r="BV9" s="983">
        <f t="shared" si="37"/>
        <v>0</v>
      </c>
      <c r="BW9" s="986">
        <f t="shared" si="38"/>
        <v>0</v>
      </c>
      <c r="BX9" s="243"/>
      <c r="BY9" s="243"/>
      <c r="BZ9" s="985">
        <f t="shared" si="39"/>
        <v>0</v>
      </c>
      <c r="CA9" s="983">
        <f t="shared" si="40"/>
        <v>0</v>
      </c>
      <c r="CB9" s="986">
        <f t="shared" si="41"/>
        <v>0</v>
      </c>
      <c r="CC9" s="243"/>
      <c r="CD9" s="243"/>
      <c r="CE9" s="985">
        <f t="shared" si="42"/>
        <v>0</v>
      </c>
      <c r="CF9" s="983">
        <f t="shared" si="43"/>
        <v>0</v>
      </c>
      <c r="CG9" s="986">
        <f t="shared" si="44"/>
        <v>0</v>
      </c>
      <c r="CH9" s="243"/>
      <c r="CI9" s="243"/>
      <c r="CJ9" s="985">
        <f t="shared" si="45"/>
        <v>0</v>
      </c>
      <c r="CK9" s="983">
        <f t="shared" si="46"/>
        <v>0</v>
      </c>
      <c r="CL9" s="986">
        <f t="shared" si="47"/>
        <v>0</v>
      </c>
      <c r="CM9" s="243"/>
      <c r="CN9" s="243"/>
      <c r="CO9" s="985">
        <f t="shared" si="48"/>
        <v>0</v>
      </c>
      <c r="CP9" s="983">
        <f t="shared" si="49"/>
        <v>0</v>
      </c>
      <c r="CQ9" s="986">
        <f t="shared" si="50"/>
        <v>0</v>
      </c>
      <c r="CR9" s="243"/>
      <c r="CS9" s="243"/>
      <c r="CT9" s="985">
        <f t="shared" si="51"/>
        <v>0</v>
      </c>
      <c r="CU9" s="983">
        <f t="shared" si="52"/>
        <v>0</v>
      </c>
      <c r="CV9" s="986">
        <f t="shared" si="53"/>
        <v>0</v>
      </c>
      <c r="CW9" s="243"/>
      <c r="CX9" s="243"/>
      <c r="CY9" s="985">
        <f t="shared" si="54"/>
        <v>0</v>
      </c>
      <c r="CZ9" s="983">
        <f t="shared" si="55"/>
        <v>0</v>
      </c>
      <c r="DA9" s="986">
        <f t="shared" si="56"/>
        <v>0</v>
      </c>
      <c r="DB9" s="243"/>
      <c r="DC9" s="243"/>
      <c r="DD9" s="985">
        <f t="shared" si="57"/>
        <v>0</v>
      </c>
      <c r="DE9" s="983">
        <f t="shared" si="58"/>
        <v>0</v>
      </c>
      <c r="DF9" s="986">
        <f t="shared" si="59"/>
        <v>0</v>
      </c>
      <c r="DG9" s="243"/>
      <c r="DH9" s="243"/>
      <c r="DI9" s="985">
        <f t="shared" si="60"/>
        <v>0</v>
      </c>
      <c r="DJ9" s="983">
        <f t="shared" si="61"/>
        <v>0</v>
      </c>
      <c r="DK9" s="986">
        <f t="shared" si="62"/>
        <v>0</v>
      </c>
      <c r="DL9" s="243"/>
      <c r="DM9" s="243"/>
      <c r="DN9" s="985">
        <f t="shared" si="63"/>
        <v>0</v>
      </c>
      <c r="DO9" s="983">
        <f t="shared" si="64"/>
        <v>0</v>
      </c>
      <c r="DP9" s="986">
        <f t="shared" si="65"/>
        <v>0</v>
      </c>
      <c r="DQ9" s="243"/>
      <c r="DR9" s="243"/>
      <c r="DS9" s="985">
        <f t="shared" si="66"/>
        <v>0</v>
      </c>
      <c r="DT9" s="983">
        <f t="shared" si="67"/>
        <v>0</v>
      </c>
      <c r="DU9" s="986">
        <f t="shared" si="68"/>
        <v>0</v>
      </c>
      <c r="DV9" s="243"/>
      <c r="DW9" s="243"/>
      <c r="DX9" s="985">
        <f t="shared" si="69"/>
        <v>0</v>
      </c>
      <c r="DY9" s="983">
        <f t="shared" si="70"/>
        <v>0</v>
      </c>
      <c r="DZ9" s="986">
        <f t="shared" si="71"/>
        <v>0</v>
      </c>
      <c r="EA9" s="243"/>
      <c r="EB9" s="243"/>
      <c r="EC9" s="985">
        <f t="shared" si="72"/>
        <v>0</v>
      </c>
      <c r="ED9" s="983">
        <f t="shared" si="73"/>
        <v>0</v>
      </c>
      <c r="EE9" s="986">
        <f t="shared" si="74"/>
        <v>0</v>
      </c>
      <c r="EF9" s="243"/>
      <c r="EG9" s="243"/>
      <c r="EH9" s="985">
        <f t="shared" si="75"/>
        <v>0</v>
      </c>
      <c r="EI9" s="983">
        <f t="shared" si="76"/>
        <v>0</v>
      </c>
      <c r="EJ9" s="986">
        <f t="shared" si="77"/>
        <v>0</v>
      </c>
      <c r="EK9" s="243"/>
      <c r="EL9" s="243"/>
      <c r="EM9" s="985">
        <f t="shared" si="78"/>
        <v>0</v>
      </c>
      <c r="EN9" s="983">
        <f t="shared" si="79"/>
        <v>0</v>
      </c>
      <c r="EO9" s="986">
        <f t="shared" si="80"/>
        <v>0</v>
      </c>
      <c r="EP9" s="243"/>
      <c r="EQ9" s="243"/>
      <c r="ER9" s="985">
        <f t="shared" si="81"/>
        <v>0</v>
      </c>
      <c r="ES9" s="983">
        <f t="shared" si="82"/>
        <v>0</v>
      </c>
      <c r="ET9" s="986">
        <f t="shared" si="83"/>
        <v>0</v>
      </c>
      <c r="EU9" s="243"/>
      <c r="EV9" s="243"/>
      <c r="EW9" s="985">
        <f t="shared" si="84"/>
        <v>0</v>
      </c>
      <c r="EX9" s="983">
        <f t="shared" si="85"/>
        <v>0</v>
      </c>
      <c r="EY9" s="986">
        <f t="shared" si="86"/>
        <v>0</v>
      </c>
      <c r="EZ9" s="243"/>
      <c r="FA9" s="243"/>
      <c r="FB9" s="985">
        <f t="shared" si="87"/>
        <v>0</v>
      </c>
      <c r="FC9" s="983">
        <f t="shared" si="88"/>
        <v>0</v>
      </c>
      <c r="FD9" s="986">
        <f t="shared" si="89"/>
        <v>0</v>
      </c>
      <c r="FE9" s="243"/>
      <c r="FF9" s="243"/>
      <c r="FG9" s="985">
        <f t="shared" si="90"/>
        <v>0</v>
      </c>
      <c r="FH9" s="983">
        <f t="shared" si="91"/>
        <v>0</v>
      </c>
      <c r="FI9" s="986">
        <f t="shared" si="92"/>
        <v>0</v>
      </c>
      <c r="FJ9" s="243"/>
      <c r="FK9" s="243"/>
      <c r="FL9" s="985">
        <f t="shared" si="93"/>
        <v>0</v>
      </c>
      <c r="FM9" s="983">
        <f t="shared" si="94"/>
        <v>0</v>
      </c>
      <c r="FN9" s="986">
        <f t="shared" si="95"/>
        <v>0</v>
      </c>
      <c r="FO9" s="243"/>
      <c r="FP9" s="243"/>
      <c r="FQ9" s="985">
        <f t="shared" si="96"/>
        <v>0</v>
      </c>
      <c r="FR9" s="983">
        <f t="shared" si="97"/>
        <v>0</v>
      </c>
      <c r="FS9" s="986">
        <f t="shared" si="98"/>
        <v>0</v>
      </c>
      <c r="FT9" s="243"/>
      <c r="FU9" s="243"/>
      <c r="FV9" s="985">
        <f t="shared" si="99"/>
        <v>0</v>
      </c>
      <c r="FW9" s="983">
        <f t="shared" si="100"/>
        <v>0</v>
      </c>
      <c r="FX9" s="986">
        <f t="shared" si="101"/>
        <v>0</v>
      </c>
      <c r="FY9" s="243"/>
      <c r="FZ9" s="243"/>
      <c r="GA9" s="985">
        <f t="shared" si="102"/>
        <v>0</v>
      </c>
      <c r="GB9" s="983">
        <f t="shared" si="103"/>
        <v>0</v>
      </c>
      <c r="GC9" s="986">
        <f t="shared" si="104"/>
        <v>0</v>
      </c>
      <c r="GD9" s="243"/>
      <c r="GE9" s="243"/>
      <c r="GF9" s="985">
        <f t="shared" si="105"/>
        <v>0</v>
      </c>
      <c r="GG9" s="983">
        <f t="shared" si="106"/>
        <v>0</v>
      </c>
      <c r="GH9" s="986">
        <f t="shared" si="107"/>
        <v>0</v>
      </c>
      <c r="GI9" s="243"/>
      <c r="GJ9" s="243"/>
      <c r="GK9" s="1336"/>
      <c r="GL9" s="1336"/>
      <c r="GM9" s="1336"/>
      <c r="GN9" s="163"/>
    </row>
    <row r="10" spans="1:196" ht="15" x14ac:dyDescent="0.2">
      <c r="A10" s="243"/>
      <c r="B10" s="243"/>
      <c r="C10" s="243"/>
      <c r="D10" s="989"/>
      <c r="E10" s="243"/>
      <c r="F10" s="976" t="s">
        <v>296</v>
      </c>
      <c r="G10" s="972"/>
      <c r="H10" s="978"/>
      <c r="I10" s="979"/>
      <c r="J10" s="979"/>
      <c r="K10" s="979"/>
      <c r="L10" s="979"/>
      <c r="M10" s="990">
        <f t="shared" ca="1" si="0"/>
        <v>0</v>
      </c>
      <c r="N10" s="991">
        <f t="shared" si="1"/>
        <v>0</v>
      </c>
      <c r="O10" s="992">
        <f t="shared" ca="1" si="2"/>
        <v>0</v>
      </c>
      <c r="P10" s="243"/>
      <c r="Q10" s="243"/>
      <c r="R10" s="990">
        <f t="shared" ca="1" si="3"/>
        <v>0</v>
      </c>
      <c r="S10" s="991">
        <f t="shared" ca="1" si="4"/>
        <v>0</v>
      </c>
      <c r="T10" s="992">
        <f t="shared" ca="1" si="5"/>
        <v>0</v>
      </c>
      <c r="U10" s="243"/>
      <c r="V10" s="243"/>
      <c r="W10" s="990">
        <f t="shared" ca="1" si="6"/>
        <v>0</v>
      </c>
      <c r="X10" s="991">
        <f t="shared" ca="1" si="7"/>
        <v>0</v>
      </c>
      <c r="Y10" s="992">
        <f t="shared" ca="1" si="8"/>
        <v>0</v>
      </c>
      <c r="Z10" s="243"/>
      <c r="AA10" s="243"/>
      <c r="AB10" s="990">
        <f t="shared" ca="1" si="9"/>
        <v>0</v>
      </c>
      <c r="AC10" s="991">
        <f t="shared" ca="1" si="10"/>
        <v>0</v>
      </c>
      <c r="AD10" s="992">
        <f t="shared" ca="1" si="11"/>
        <v>0</v>
      </c>
      <c r="AE10" s="243"/>
      <c r="AF10" s="243"/>
      <c r="AG10" s="990">
        <f t="shared" ca="1" si="12"/>
        <v>0</v>
      </c>
      <c r="AH10" s="991">
        <f t="shared" ca="1" si="13"/>
        <v>0</v>
      </c>
      <c r="AI10" s="992">
        <f t="shared" ca="1" si="14"/>
        <v>0</v>
      </c>
      <c r="AJ10" s="243"/>
      <c r="AK10" s="243"/>
      <c r="AL10" s="990">
        <f t="shared" ca="1" si="15"/>
        <v>121966731.89823875</v>
      </c>
      <c r="AM10" s="991">
        <f t="shared" ca="1" si="16"/>
        <v>0</v>
      </c>
      <c r="AN10" s="992">
        <f t="shared" ca="1" si="17"/>
        <v>121966731.89823875</v>
      </c>
      <c r="AO10" s="243"/>
      <c r="AP10" s="243"/>
      <c r="AQ10" s="990">
        <f t="shared" ca="1" si="18"/>
        <v>145141878.66927594</v>
      </c>
      <c r="AR10" s="991">
        <f t="shared" ca="1" si="19"/>
        <v>121966731.89823875</v>
      </c>
      <c r="AS10" s="992">
        <f t="shared" ca="1" si="20"/>
        <v>267108610.56751469</v>
      </c>
      <c r="AT10" s="243"/>
      <c r="AU10" s="243"/>
      <c r="AV10" s="990">
        <f t="shared" ca="1" si="21"/>
        <v>145141878.66927594</v>
      </c>
      <c r="AW10" s="991">
        <f t="shared" ca="1" si="22"/>
        <v>267108610.56751469</v>
      </c>
      <c r="AX10" s="992">
        <f t="shared" ca="1" si="23"/>
        <v>412250489.23679066</v>
      </c>
      <c r="AY10" s="243"/>
      <c r="AZ10" s="243"/>
      <c r="BA10" s="990">
        <f t="shared" ca="1" si="24"/>
        <v>140459882.58317026</v>
      </c>
      <c r="BB10" s="991">
        <f t="shared" ca="1" si="25"/>
        <v>412250489.23679066</v>
      </c>
      <c r="BC10" s="992">
        <f t="shared" ca="1" si="26"/>
        <v>552710371.81996083</v>
      </c>
      <c r="BD10" s="243"/>
      <c r="BE10" s="243"/>
      <c r="BF10" s="990">
        <f t="shared" ca="1" si="27"/>
        <v>145141878.66927597</v>
      </c>
      <c r="BG10" s="991">
        <f t="shared" ca="1" si="28"/>
        <v>552710371.81996083</v>
      </c>
      <c r="BH10" s="992">
        <f t="shared" ca="1" si="29"/>
        <v>697852250.48923683</v>
      </c>
      <c r="BI10" s="243"/>
      <c r="BJ10" s="243"/>
      <c r="BK10" s="990">
        <f t="shared" ca="1" si="30"/>
        <v>140459882.58317021</v>
      </c>
      <c r="BL10" s="991">
        <f t="shared" ca="1" si="31"/>
        <v>697852250.48923683</v>
      </c>
      <c r="BM10" s="992">
        <f t="shared" ca="1" si="32"/>
        <v>838312133.07240701</v>
      </c>
      <c r="BN10" s="243"/>
      <c r="BO10" s="243"/>
      <c r="BP10" s="990">
        <f t="shared" ca="1" si="33"/>
        <v>145141878.66927594</v>
      </c>
      <c r="BQ10" s="991">
        <f t="shared" ca="1" si="34"/>
        <v>838312133.07240701</v>
      </c>
      <c r="BR10" s="992">
        <f t="shared" ca="1" si="35"/>
        <v>983454011.74168301</v>
      </c>
      <c r="BS10" s="243"/>
      <c r="BT10" s="243"/>
      <c r="BU10" s="990">
        <f t="shared" ca="1" si="36"/>
        <v>145141878.66927594</v>
      </c>
      <c r="BV10" s="991">
        <f t="shared" ca="1" si="37"/>
        <v>983454011.74168301</v>
      </c>
      <c r="BW10" s="992">
        <f t="shared" ca="1" si="38"/>
        <v>1128595890.4109588</v>
      </c>
      <c r="BX10" s="243"/>
      <c r="BY10" s="243"/>
      <c r="BZ10" s="990">
        <f t="shared" ca="1" si="39"/>
        <v>131095890.41095892</v>
      </c>
      <c r="CA10" s="991">
        <f t="shared" ca="1" si="40"/>
        <v>1128595890.4109588</v>
      </c>
      <c r="CB10" s="992">
        <f t="shared" ca="1" si="41"/>
        <v>1259691780.8219178</v>
      </c>
      <c r="CC10" s="243"/>
      <c r="CD10" s="243"/>
      <c r="CE10" s="990">
        <f t="shared" ca="1" si="42"/>
        <v>145141878.66927594</v>
      </c>
      <c r="CF10" s="991">
        <f t="shared" ca="1" si="43"/>
        <v>1259691780.8219178</v>
      </c>
      <c r="CG10" s="992">
        <f t="shared" ca="1" si="44"/>
        <v>1404833659.4911938</v>
      </c>
      <c r="CH10" s="243"/>
      <c r="CI10" s="243"/>
      <c r="CJ10" s="990">
        <f t="shared" ca="1" si="45"/>
        <v>140459882.58317021</v>
      </c>
      <c r="CK10" s="991">
        <f t="shared" ca="1" si="46"/>
        <v>1404833659.4911938</v>
      </c>
      <c r="CL10" s="992">
        <f t="shared" ca="1" si="47"/>
        <v>1545293542.0743639</v>
      </c>
      <c r="CM10" s="243"/>
      <c r="CN10" s="243"/>
      <c r="CO10" s="990">
        <f t="shared" ca="1" si="48"/>
        <v>145141878.66927594</v>
      </c>
      <c r="CP10" s="991">
        <f t="shared" ca="1" si="49"/>
        <v>1545293542.0743639</v>
      </c>
      <c r="CQ10" s="992">
        <f t="shared" ca="1" si="50"/>
        <v>1690435420.7436399</v>
      </c>
      <c r="CR10" s="243"/>
      <c r="CS10" s="243"/>
      <c r="CT10" s="990">
        <f t="shared" ca="1" si="51"/>
        <v>140459882.58317032</v>
      </c>
      <c r="CU10" s="991">
        <f t="shared" ca="1" si="52"/>
        <v>1690435420.7436399</v>
      </c>
      <c r="CV10" s="992">
        <f t="shared" ca="1" si="53"/>
        <v>1830895303.3268104</v>
      </c>
      <c r="CW10" s="243"/>
      <c r="CX10" s="243"/>
      <c r="CY10" s="990">
        <f t="shared" ca="1" si="54"/>
        <v>145141878.66927582</v>
      </c>
      <c r="CZ10" s="991">
        <f t="shared" ca="1" si="55"/>
        <v>1830895303.3268104</v>
      </c>
      <c r="DA10" s="992">
        <f t="shared" ca="1" si="56"/>
        <v>1976037181.9960861</v>
      </c>
      <c r="DB10" s="243"/>
      <c r="DC10" s="243"/>
      <c r="DD10" s="990">
        <f t="shared" ca="1" si="57"/>
        <v>145141878.66927603</v>
      </c>
      <c r="DE10" s="991">
        <f t="shared" ca="1" si="58"/>
        <v>1976037181.9960861</v>
      </c>
      <c r="DF10" s="992">
        <f t="shared" ca="1" si="59"/>
        <v>2121179060.6653619</v>
      </c>
      <c r="DG10" s="243"/>
      <c r="DH10" s="243"/>
      <c r="DI10" s="990">
        <f t="shared" ca="1" si="60"/>
        <v>140459882.58317032</v>
      </c>
      <c r="DJ10" s="991">
        <f t="shared" ca="1" si="61"/>
        <v>2121179060.6653619</v>
      </c>
      <c r="DK10" s="992">
        <f t="shared" ca="1" si="62"/>
        <v>2261638943.2485323</v>
      </c>
      <c r="DL10" s="243"/>
      <c r="DM10" s="243"/>
      <c r="DN10" s="990">
        <f t="shared" ca="1" si="63"/>
        <v>145141878.66927594</v>
      </c>
      <c r="DO10" s="991">
        <f t="shared" ca="1" si="64"/>
        <v>2261638943.2485323</v>
      </c>
      <c r="DP10" s="992">
        <f t="shared" ca="1" si="65"/>
        <v>2406780821.9178085</v>
      </c>
      <c r="DQ10" s="243"/>
      <c r="DR10" s="243"/>
      <c r="DS10" s="990">
        <f t="shared" ca="1" si="66"/>
        <v>140459882.58317009</v>
      </c>
      <c r="DT10" s="991">
        <f t="shared" ca="1" si="67"/>
        <v>2406780821.9178085</v>
      </c>
      <c r="DU10" s="992">
        <f t="shared" ca="1" si="68"/>
        <v>2547240704.5009785</v>
      </c>
      <c r="DV10" s="243"/>
      <c r="DW10" s="243"/>
      <c r="DX10" s="990">
        <f t="shared" ca="1" si="69"/>
        <v>145141878.66927603</v>
      </c>
      <c r="DY10" s="991">
        <f t="shared" ca="1" si="70"/>
        <v>2547240704.5009785</v>
      </c>
      <c r="DZ10" s="992">
        <f t="shared" ca="1" si="71"/>
        <v>2692382583.1702547</v>
      </c>
      <c r="EA10" s="243"/>
      <c r="EB10" s="243"/>
      <c r="EC10" s="990">
        <f t="shared" ca="1" si="72"/>
        <v>145141878.66927606</v>
      </c>
      <c r="ED10" s="991">
        <f t="shared" ca="1" si="73"/>
        <v>2692382583.1702547</v>
      </c>
      <c r="EE10" s="992">
        <f t="shared" ca="1" si="74"/>
        <v>2837524461.8395305</v>
      </c>
      <c r="EF10" s="243"/>
      <c r="EG10" s="243"/>
      <c r="EH10" s="990">
        <f t="shared" ca="1" si="75"/>
        <v>131095890.41095877</v>
      </c>
      <c r="EI10" s="991">
        <f t="shared" ca="1" si="76"/>
        <v>2837524461.8395305</v>
      </c>
      <c r="EJ10" s="992">
        <f t="shared" ca="1" si="77"/>
        <v>2968620352.2504892</v>
      </c>
      <c r="EK10" s="243"/>
      <c r="EL10" s="243"/>
      <c r="EM10" s="990">
        <f t="shared" ca="1" si="78"/>
        <v>145141878.66927582</v>
      </c>
      <c r="EN10" s="991">
        <f t="shared" ca="1" si="79"/>
        <v>2968620352.2504892</v>
      </c>
      <c r="EO10" s="992">
        <f t="shared" ca="1" si="80"/>
        <v>3113762230.919765</v>
      </c>
      <c r="EP10" s="243"/>
      <c r="EQ10" s="243"/>
      <c r="ER10" s="990">
        <f t="shared" ca="1" si="81"/>
        <v>140459882.58317041</v>
      </c>
      <c r="ES10" s="991">
        <f t="shared" ca="1" si="82"/>
        <v>3113762230.919765</v>
      </c>
      <c r="ET10" s="992">
        <f t="shared" ca="1" si="83"/>
        <v>3254222113.5029354</v>
      </c>
      <c r="EU10" s="243"/>
      <c r="EV10" s="243"/>
      <c r="EW10" s="990">
        <f t="shared" ca="1" si="84"/>
        <v>145141878.66927582</v>
      </c>
      <c r="EX10" s="991">
        <f t="shared" ca="1" si="85"/>
        <v>3254222113.5029354</v>
      </c>
      <c r="EY10" s="992">
        <f t="shared" ca="1" si="86"/>
        <v>3399363992.1722112</v>
      </c>
      <c r="EZ10" s="243"/>
      <c r="FA10" s="243"/>
      <c r="FB10" s="990">
        <f t="shared" ca="1" si="87"/>
        <v>140459882.58317018</v>
      </c>
      <c r="FC10" s="991">
        <f t="shared" ca="1" si="88"/>
        <v>3399363992.1722112</v>
      </c>
      <c r="FD10" s="992">
        <f t="shared" ca="1" si="89"/>
        <v>3539823874.7553811</v>
      </c>
      <c r="FE10" s="243"/>
      <c r="FF10" s="243"/>
      <c r="FG10" s="990">
        <f t="shared" ca="1" si="90"/>
        <v>145141878.66927606</v>
      </c>
      <c r="FH10" s="991">
        <f t="shared" ca="1" si="91"/>
        <v>3539823874.7553811</v>
      </c>
      <c r="FI10" s="992">
        <f t="shared" ca="1" si="92"/>
        <v>3684965753.4246578</v>
      </c>
      <c r="FJ10" s="243"/>
      <c r="FK10" s="243"/>
      <c r="FL10" s="990">
        <f t="shared" ca="1" si="93"/>
        <v>145141878.66927606</v>
      </c>
      <c r="FM10" s="991">
        <f t="shared" ca="1" si="94"/>
        <v>3684965753.4246578</v>
      </c>
      <c r="FN10" s="992">
        <f t="shared" ca="1" si="95"/>
        <v>3830107632.0939341</v>
      </c>
      <c r="FO10" s="243"/>
      <c r="FP10" s="243"/>
      <c r="FQ10" s="990">
        <f t="shared" ca="1" si="96"/>
        <v>140459882.58317</v>
      </c>
      <c r="FR10" s="991">
        <f t="shared" ca="1" si="97"/>
        <v>3830107632.0939341</v>
      </c>
      <c r="FS10" s="992">
        <f t="shared" ca="1" si="98"/>
        <v>3970567514.6771035</v>
      </c>
      <c r="FT10" s="243"/>
      <c r="FU10" s="243"/>
      <c r="FV10" s="990">
        <f t="shared" ca="1" si="99"/>
        <v>145141878.66927624</v>
      </c>
      <c r="FW10" s="991">
        <f t="shared" ca="1" si="100"/>
        <v>3970567514.6771035</v>
      </c>
      <c r="FX10" s="992">
        <f t="shared" ca="1" si="101"/>
        <v>4115709393.3463798</v>
      </c>
      <c r="FY10" s="243"/>
      <c r="FZ10" s="243"/>
      <c r="GA10" s="990">
        <f t="shared" ca="1" si="102"/>
        <v>140459882.58317024</v>
      </c>
      <c r="GB10" s="991">
        <f t="shared" ca="1" si="103"/>
        <v>4115709393.3463798</v>
      </c>
      <c r="GC10" s="992">
        <f t="shared" ca="1" si="104"/>
        <v>4256169275.9295502</v>
      </c>
      <c r="GD10" s="243"/>
      <c r="GE10" s="243"/>
      <c r="GF10" s="990">
        <f t="shared" ca="1" si="105"/>
        <v>145141878.66927582</v>
      </c>
      <c r="GG10" s="991">
        <f t="shared" ca="1" si="106"/>
        <v>4256169275.9295502</v>
      </c>
      <c r="GH10" s="992">
        <f t="shared" ca="1" si="107"/>
        <v>4401311154.5988255</v>
      </c>
      <c r="GI10" s="243"/>
      <c r="GJ10" s="243"/>
      <c r="GK10" s="1336"/>
      <c r="GL10" s="1336"/>
      <c r="GM10" s="1336"/>
      <c r="GN10" s="163"/>
    </row>
    <row r="11" spans="1:196" ht="15.75" customHeight="1" x14ac:dyDescent="0.25">
      <c r="A11" s="993"/>
      <c r="B11" s="243"/>
      <c r="C11" s="243"/>
      <c r="D11" s="989"/>
      <c r="E11" s="243"/>
      <c r="F11" s="994" t="s">
        <v>43</v>
      </c>
      <c r="G11" s="249"/>
      <c r="H11" s="243"/>
      <c r="I11" s="243"/>
      <c r="J11" s="243"/>
      <c r="K11" s="243"/>
      <c r="L11" s="243"/>
      <c r="M11" s="1337">
        <f t="shared" ref="M11:O11" ca="1" si="108">SUM(M2:M10)</f>
        <v>0</v>
      </c>
      <c r="N11" s="1337">
        <f t="shared" si="108"/>
        <v>0</v>
      </c>
      <c r="O11" s="1337">
        <f t="shared" ca="1" si="108"/>
        <v>0</v>
      </c>
      <c r="P11" s="243"/>
      <c r="Q11" s="243"/>
      <c r="R11" s="1337">
        <f t="shared" ref="R11:T11" ca="1" si="109">SUM(R2:R10)</f>
        <v>220986301.36986303</v>
      </c>
      <c r="S11" s="1337">
        <f t="shared" ca="1" si="109"/>
        <v>0</v>
      </c>
      <c r="T11" s="1337">
        <f t="shared" ca="1" si="109"/>
        <v>220986301.36986303</v>
      </c>
      <c r="U11" s="243"/>
      <c r="V11" s="243"/>
      <c r="W11" s="1337">
        <f t="shared" ref="W11:Y11" ca="1" si="110">SUM(W2:W10)</f>
        <v>265839138.9432486</v>
      </c>
      <c r="X11" s="1337">
        <f t="shared" ca="1" si="110"/>
        <v>220986301.36986303</v>
      </c>
      <c r="Y11" s="1337">
        <f t="shared" ca="1" si="110"/>
        <v>486825440.3131116</v>
      </c>
      <c r="Z11" s="243"/>
      <c r="AA11" s="243"/>
      <c r="AB11" s="1337">
        <f t="shared" ref="AB11:AD11" ca="1" si="111">SUM(AB2:AB10)</f>
        <v>262227005.87084147</v>
      </c>
      <c r="AC11" s="1337">
        <f t="shared" ca="1" si="111"/>
        <v>486825440.3131116</v>
      </c>
      <c r="AD11" s="1337">
        <f t="shared" ca="1" si="111"/>
        <v>749052446.18395293</v>
      </c>
      <c r="AE11" s="243"/>
      <c r="AF11" s="243"/>
      <c r="AG11" s="1337">
        <f t="shared" ref="AG11:AI11" ca="1" si="112">SUM(AG2:AG10)</f>
        <v>270967906.06653619</v>
      </c>
      <c r="AH11" s="1337">
        <f t="shared" ca="1" si="112"/>
        <v>749052446.18395293</v>
      </c>
      <c r="AI11" s="1337">
        <f t="shared" ca="1" si="112"/>
        <v>1020020352.2504891</v>
      </c>
      <c r="AJ11" s="243"/>
      <c r="AK11" s="243"/>
      <c r="AL11" s="1337">
        <f t="shared" ref="AL11:AN11" ca="1" si="113">SUM(AL2:AL10)</f>
        <v>585340508.80626237</v>
      </c>
      <c r="AM11" s="1337">
        <f t="shared" ca="1" si="113"/>
        <v>1020020352.2504891</v>
      </c>
      <c r="AN11" s="1337">
        <f t="shared" ca="1" si="113"/>
        <v>1605360861.0567515</v>
      </c>
      <c r="AO11" s="243"/>
      <c r="AP11" s="243"/>
      <c r="AQ11" s="1337">
        <f t="shared" ref="AQ11:AS11" ca="1" si="114">SUM(AQ2:AQ10)</f>
        <v>623961448.14090014</v>
      </c>
      <c r="AR11" s="1337">
        <f t="shared" ca="1" si="114"/>
        <v>1605360861.0567515</v>
      </c>
      <c r="AS11" s="1337">
        <f t="shared" ca="1" si="114"/>
        <v>2229322309.1976519</v>
      </c>
      <c r="AT11" s="243"/>
      <c r="AU11" s="243"/>
      <c r="AV11" s="1337">
        <f t="shared" ref="AV11:AX11" ca="1" si="115">SUM(AV2:AV10)</f>
        <v>623961448.14090037</v>
      </c>
      <c r="AW11" s="1337">
        <f t="shared" ca="1" si="115"/>
        <v>2229322309.1976519</v>
      </c>
      <c r="AX11" s="1337">
        <f t="shared" ca="1" si="115"/>
        <v>2853283757.338552</v>
      </c>
      <c r="AY11" s="243"/>
      <c r="AZ11" s="243"/>
      <c r="BA11" s="1337">
        <f t="shared" ref="BA11:BC11" ca="1" si="116">SUM(BA2:BA10)</f>
        <v>603833659.49119365</v>
      </c>
      <c r="BB11" s="1337">
        <f t="shared" ca="1" si="116"/>
        <v>2853283757.338552</v>
      </c>
      <c r="BC11" s="1337">
        <f t="shared" ca="1" si="116"/>
        <v>3457117416.8297453</v>
      </c>
      <c r="BD11" s="243"/>
      <c r="BE11" s="243"/>
      <c r="BF11" s="1337">
        <f t="shared" ref="BF11:BH11" ca="1" si="117">SUM(BF2:BF10)</f>
        <v>623961448.14090014</v>
      </c>
      <c r="BG11" s="1337">
        <f t="shared" ca="1" si="117"/>
        <v>3457117416.8297453</v>
      </c>
      <c r="BH11" s="1337">
        <f t="shared" ca="1" si="117"/>
        <v>4081078864.9706459</v>
      </c>
      <c r="BI11" s="243"/>
      <c r="BJ11" s="243"/>
      <c r="BK11" s="1337">
        <f t="shared" ref="BK11:BM11" ca="1" si="118">SUM(BK2:BK10)</f>
        <v>603833659.49119413</v>
      </c>
      <c r="BL11" s="1337">
        <f t="shared" ca="1" si="118"/>
        <v>4081078864.9706459</v>
      </c>
      <c r="BM11" s="1337">
        <f t="shared" ca="1" si="118"/>
        <v>4684912524.4618397</v>
      </c>
      <c r="BN11" s="243"/>
      <c r="BO11" s="243"/>
      <c r="BP11" s="1337">
        <f t="shared" ref="BP11:BR11" ca="1" si="119">SUM(BP2:BP10)</f>
        <v>623961448.1408999</v>
      </c>
      <c r="BQ11" s="1337">
        <f t="shared" ca="1" si="119"/>
        <v>4684912524.4618397</v>
      </c>
      <c r="BR11" s="1337">
        <f t="shared" ca="1" si="119"/>
        <v>5308873972.6027403</v>
      </c>
      <c r="BS11" s="243"/>
      <c r="BT11" s="243"/>
      <c r="BU11" s="1337">
        <f t="shared" ref="BU11:BW11" ca="1" si="120">SUM(BU2:BU10)</f>
        <v>623961448.14090037</v>
      </c>
      <c r="BV11" s="1337">
        <f t="shared" ca="1" si="120"/>
        <v>5308873972.6027403</v>
      </c>
      <c r="BW11" s="1337">
        <f t="shared" ca="1" si="120"/>
        <v>5932835420.743639</v>
      </c>
      <c r="BX11" s="243"/>
      <c r="BY11" s="243"/>
      <c r="BZ11" s="1337">
        <f t="shared" ref="BZ11:CB11" ca="1" si="121">SUM(BZ2:BZ10)</f>
        <v>563578082.19178092</v>
      </c>
      <c r="CA11" s="1337">
        <f t="shared" ca="1" si="121"/>
        <v>5932835420.743639</v>
      </c>
      <c r="CB11" s="1337">
        <f t="shared" ca="1" si="121"/>
        <v>6496413502.93542</v>
      </c>
      <c r="CC11" s="243"/>
      <c r="CD11" s="243"/>
      <c r="CE11" s="1337">
        <f t="shared" ref="CE11:CG11" ca="1" si="122">SUM(CE2:CE10)</f>
        <v>623961448.14090037</v>
      </c>
      <c r="CF11" s="1337">
        <f t="shared" ca="1" si="122"/>
        <v>6496413502.93542</v>
      </c>
      <c r="CG11" s="1337">
        <f t="shared" ca="1" si="122"/>
        <v>7120374951.0763216</v>
      </c>
      <c r="CH11" s="243"/>
      <c r="CI11" s="243"/>
      <c r="CJ11" s="1337">
        <f t="shared" ref="CJ11:CL11" ca="1" si="123">SUM(CJ2:CJ10)</f>
        <v>603833659.49119353</v>
      </c>
      <c r="CK11" s="1337">
        <f t="shared" ca="1" si="123"/>
        <v>7120374951.0763216</v>
      </c>
      <c r="CL11" s="1337">
        <f t="shared" ca="1" si="123"/>
        <v>7724208610.5675144</v>
      </c>
      <c r="CM11" s="243"/>
      <c r="CN11" s="243"/>
      <c r="CO11" s="1337">
        <f t="shared" ref="CO11:CQ11" ca="1" si="124">SUM(CO2:CO10)</f>
        <v>623961448.14090025</v>
      </c>
      <c r="CP11" s="1337">
        <f t="shared" ca="1" si="124"/>
        <v>7724208610.5675144</v>
      </c>
      <c r="CQ11" s="1337">
        <f t="shared" ca="1" si="124"/>
        <v>8348170058.708416</v>
      </c>
      <c r="CR11" s="243"/>
      <c r="CS11" s="243"/>
      <c r="CT11" s="1337">
        <f t="shared" ref="CT11:CV11" ca="1" si="125">SUM(CT2:CT10)</f>
        <v>603833659.49119389</v>
      </c>
      <c r="CU11" s="1337">
        <f t="shared" ca="1" si="125"/>
        <v>8348170058.708416</v>
      </c>
      <c r="CV11" s="1337">
        <f t="shared" ca="1" si="125"/>
        <v>8952003718.1996078</v>
      </c>
      <c r="CW11" s="243"/>
      <c r="CX11" s="243"/>
      <c r="CY11" s="1337">
        <f t="shared" ref="CY11:DA11" ca="1" si="126">SUM(CY2:CY10)</f>
        <v>623961448.1408999</v>
      </c>
      <c r="CZ11" s="1337">
        <f t="shared" ca="1" si="126"/>
        <v>8952003718.1996078</v>
      </c>
      <c r="DA11" s="1337">
        <f t="shared" ca="1" si="126"/>
        <v>9575965166.3405075</v>
      </c>
      <c r="DB11" s="243"/>
      <c r="DC11" s="243"/>
      <c r="DD11" s="1337">
        <f t="shared" ref="DD11:DF11" ca="1" si="127">SUM(DD2:DD10)</f>
        <v>623961448.14090037</v>
      </c>
      <c r="DE11" s="1337">
        <f t="shared" ca="1" si="127"/>
        <v>9575965166.3405075</v>
      </c>
      <c r="DF11" s="1337">
        <f t="shared" ca="1" si="127"/>
        <v>10199926614.481409</v>
      </c>
      <c r="DG11" s="243"/>
      <c r="DH11" s="243"/>
      <c r="DI11" s="1337">
        <f t="shared" ref="DI11:DK11" ca="1" si="128">SUM(DI2:DI10)</f>
        <v>603833659.49119365</v>
      </c>
      <c r="DJ11" s="1337">
        <f t="shared" ca="1" si="128"/>
        <v>10199926614.481409</v>
      </c>
      <c r="DK11" s="1337">
        <f t="shared" ca="1" si="128"/>
        <v>10803760273.972603</v>
      </c>
      <c r="DL11" s="243"/>
      <c r="DM11" s="243"/>
      <c r="DN11" s="1337">
        <f t="shared" ref="DN11:DP11" ca="1" si="129">SUM(DN2:DN10)</f>
        <v>623961448.14090037</v>
      </c>
      <c r="DO11" s="1337">
        <f t="shared" ca="1" si="129"/>
        <v>10803760273.972603</v>
      </c>
      <c r="DP11" s="1337">
        <f t="shared" ca="1" si="129"/>
        <v>11427721722.113503</v>
      </c>
      <c r="DQ11" s="243"/>
      <c r="DR11" s="243"/>
      <c r="DS11" s="1337">
        <f t="shared" ref="DS11:DU11" ca="1" si="130">SUM(DS2:DS10)</f>
        <v>603833659.49119353</v>
      </c>
      <c r="DT11" s="1337">
        <f t="shared" ca="1" si="130"/>
        <v>11427721722.113503</v>
      </c>
      <c r="DU11" s="1337">
        <f t="shared" ca="1" si="130"/>
        <v>12031555381.604698</v>
      </c>
      <c r="DV11" s="243"/>
      <c r="DW11" s="243"/>
      <c r="DX11" s="1337">
        <f t="shared" ref="DX11:DZ11" ca="1" si="131">SUM(DX2:DX10)</f>
        <v>623961448.14090049</v>
      </c>
      <c r="DY11" s="1337">
        <f t="shared" ca="1" si="131"/>
        <v>12031555381.604698</v>
      </c>
      <c r="DZ11" s="1337">
        <f t="shared" ca="1" si="131"/>
        <v>12655516829.745598</v>
      </c>
      <c r="EA11" s="243"/>
      <c r="EB11" s="243"/>
      <c r="EC11" s="1337">
        <f t="shared" ref="EC11:EE11" ca="1" si="132">SUM(EC2:EC10)</f>
        <v>623961448.14090037</v>
      </c>
      <c r="ED11" s="1337">
        <f t="shared" ca="1" si="132"/>
        <v>12655516829.745598</v>
      </c>
      <c r="EE11" s="1337">
        <f t="shared" ca="1" si="132"/>
        <v>13279478277.886496</v>
      </c>
      <c r="EF11" s="243"/>
      <c r="EG11" s="243"/>
      <c r="EH11" s="1337">
        <f t="shared" ref="EH11:EJ11" ca="1" si="133">SUM(EH2:EH10)</f>
        <v>563578082.19178128</v>
      </c>
      <c r="EI11" s="1337">
        <f t="shared" ca="1" si="133"/>
        <v>13279478277.886496</v>
      </c>
      <c r="EJ11" s="1337">
        <f t="shared" ca="1" si="133"/>
        <v>13843056360.078281</v>
      </c>
      <c r="EK11" s="243"/>
      <c r="EL11" s="243"/>
      <c r="EM11" s="1337">
        <f t="shared" ref="EM11:EO11" ca="1" si="134">SUM(EM2:EM10)</f>
        <v>623961448.14090037</v>
      </c>
      <c r="EN11" s="1337">
        <f t="shared" ca="1" si="134"/>
        <v>13843056360.078281</v>
      </c>
      <c r="EO11" s="1337">
        <f t="shared" ca="1" si="134"/>
        <v>14467017808.219179</v>
      </c>
      <c r="EP11" s="243"/>
      <c r="EQ11" s="243"/>
      <c r="ER11" s="1337">
        <f t="shared" ref="ER11:ET11" ca="1" si="135">SUM(ER2:ER10)</f>
        <v>603833659.49119353</v>
      </c>
      <c r="ES11" s="1337">
        <f t="shared" ca="1" si="135"/>
        <v>14467017808.219179</v>
      </c>
      <c r="ET11" s="1337">
        <f t="shared" ca="1" si="135"/>
        <v>15070851467.710373</v>
      </c>
      <c r="EU11" s="243"/>
      <c r="EV11" s="243"/>
      <c r="EW11" s="1337">
        <f t="shared" ref="EW11:EY11" ca="1" si="136">SUM(EW2:EW10)</f>
        <v>623961448.14090014</v>
      </c>
      <c r="EX11" s="1337">
        <f t="shared" ca="1" si="136"/>
        <v>15070851467.710373</v>
      </c>
      <c r="EY11" s="1337">
        <f t="shared" ca="1" si="136"/>
        <v>15694812915.851273</v>
      </c>
      <c r="EZ11" s="243"/>
      <c r="FA11" s="243"/>
      <c r="FB11" s="1337">
        <f t="shared" ref="FB11:FD11" ca="1" si="137">SUM(FB2:FB10)</f>
        <v>603833659.49119401</v>
      </c>
      <c r="FC11" s="1337">
        <f t="shared" ca="1" si="137"/>
        <v>15694812915.851273</v>
      </c>
      <c r="FD11" s="1337">
        <f t="shared" ca="1" si="137"/>
        <v>16298646575.342466</v>
      </c>
      <c r="FE11" s="243"/>
      <c r="FF11" s="243"/>
      <c r="FG11" s="1337">
        <f t="shared" ref="FG11:FI11" ca="1" si="138">SUM(FG2:FG10)</f>
        <v>623961448.14090037</v>
      </c>
      <c r="FH11" s="1337">
        <f t="shared" ca="1" si="138"/>
        <v>16298646575.342466</v>
      </c>
      <c r="FI11" s="1337">
        <f t="shared" ca="1" si="138"/>
        <v>16922608023.483368</v>
      </c>
      <c r="FJ11" s="243"/>
      <c r="FK11" s="243"/>
      <c r="FL11" s="1337">
        <f t="shared" ref="FL11:FN11" ca="1" si="139">SUM(FL2:FL10)</f>
        <v>623961448.14089966</v>
      </c>
      <c r="FM11" s="1337">
        <f t="shared" ca="1" si="139"/>
        <v>16922608023.483368</v>
      </c>
      <c r="FN11" s="1337">
        <f t="shared" ca="1" si="139"/>
        <v>17546569471.624268</v>
      </c>
      <c r="FO11" s="243"/>
      <c r="FP11" s="243"/>
      <c r="FQ11" s="1337">
        <f t="shared" ref="FQ11:FS11" ca="1" si="140">SUM(FQ2:FQ10)</f>
        <v>603833659.49119437</v>
      </c>
      <c r="FR11" s="1337">
        <f t="shared" ca="1" si="140"/>
        <v>17546569471.624268</v>
      </c>
      <c r="FS11" s="1337">
        <f t="shared" ca="1" si="140"/>
        <v>18150403131.115459</v>
      </c>
      <c r="FT11" s="243"/>
      <c r="FU11" s="243"/>
      <c r="FV11" s="1337">
        <f t="shared" ref="FV11:FX11" ca="1" si="141">SUM(FV2:FV10)</f>
        <v>623961448.14089942</v>
      </c>
      <c r="FW11" s="1337">
        <f t="shared" ca="1" si="141"/>
        <v>18150403131.115459</v>
      </c>
      <c r="FX11" s="1337">
        <f t="shared" ca="1" si="141"/>
        <v>18774364579.256359</v>
      </c>
      <c r="FY11" s="243"/>
      <c r="FZ11" s="243"/>
      <c r="GA11" s="1337">
        <f t="shared" ref="GA11:GC11" ca="1" si="142">SUM(GA2:GA10)</f>
        <v>603833659.49119473</v>
      </c>
      <c r="GB11" s="1337">
        <f t="shared" ca="1" si="142"/>
        <v>18774364579.256359</v>
      </c>
      <c r="GC11" s="1337">
        <f t="shared" ca="1" si="142"/>
        <v>19378198238.747559</v>
      </c>
      <c r="GD11" s="243"/>
      <c r="GE11" s="243"/>
      <c r="GF11" s="1337">
        <f t="shared" ref="GF11:GH11" ca="1" si="143">SUM(GF2:GF10)</f>
        <v>623961448.1408993</v>
      </c>
      <c r="GG11" s="1337">
        <f t="shared" ca="1" si="143"/>
        <v>19378198238.747559</v>
      </c>
      <c r="GH11" s="1337">
        <f t="shared" ca="1" si="143"/>
        <v>20002159686.888451</v>
      </c>
      <c r="GI11" s="243"/>
      <c r="GJ11" s="243"/>
      <c r="GK11" s="163"/>
      <c r="GL11" s="163"/>
      <c r="GM11" s="163"/>
      <c r="GN11" s="163"/>
    </row>
    <row r="12" spans="1:196" ht="12.75" x14ac:dyDescent="0.2">
      <c r="A12" s="243"/>
      <c r="B12" s="243"/>
      <c r="C12" s="243"/>
      <c r="D12" s="989"/>
      <c r="E12" s="243"/>
      <c r="F12" s="997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  <c r="BX12" s="243"/>
      <c r="BY12" s="243"/>
      <c r="BZ12" s="243"/>
      <c r="CA12" s="243"/>
      <c r="CB12" s="243"/>
      <c r="CC12" s="243"/>
      <c r="CD12" s="243"/>
      <c r="CE12" s="243"/>
      <c r="CF12" s="243"/>
      <c r="CG12" s="243"/>
      <c r="CH12" s="243"/>
      <c r="CI12" s="243"/>
      <c r="CJ12" s="243"/>
      <c r="CK12" s="243"/>
      <c r="CL12" s="243"/>
      <c r="CM12" s="243"/>
      <c r="CN12" s="243"/>
      <c r="CO12" s="243"/>
      <c r="CP12" s="243"/>
      <c r="CQ12" s="243"/>
      <c r="CR12" s="243"/>
      <c r="CS12" s="243"/>
      <c r="CT12" s="243"/>
      <c r="CU12" s="243"/>
      <c r="CV12" s="243"/>
      <c r="CW12" s="243"/>
      <c r="CX12" s="243"/>
      <c r="CY12" s="243"/>
      <c r="CZ12" s="243"/>
      <c r="DA12" s="243"/>
      <c r="DB12" s="243"/>
      <c r="DC12" s="243"/>
      <c r="DD12" s="243"/>
      <c r="DE12" s="243"/>
      <c r="DF12" s="243"/>
      <c r="DG12" s="243"/>
      <c r="DH12" s="243"/>
      <c r="DI12" s="243"/>
      <c r="DJ12" s="243"/>
      <c r="DK12" s="243"/>
      <c r="DL12" s="243"/>
      <c r="DM12" s="243"/>
      <c r="DN12" s="243"/>
      <c r="DO12" s="243"/>
      <c r="DP12" s="243"/>
      <c r="DQ12" s="243"/>
      <c r="DR12" s="243"/>
      <c r="DS12" s="243"/>
      <c r="DT12" s="243"/>
      <c r="DU12" s="243"/>
      <c r="DV12" s="243"/>
      <c r="DW12" s="243"/>
      <c r="DX12" s="243"/>
      <c r="DY12" s="243"/>
      <c r="DZ12" s="243"/>
      <c r="EA12" s="243"/>
      <c r="EB12" s="243"/>
      <c r="EC12" s="243"/>
      <c r="ED12" s="243"/>
      <c r="EE12" s="243"/>
      <c r="EF12" s="243"/>
      <c r="EG12" s="243"/>
      <c r="EH12" s="243"/>
      <c r="EI12" s="243"/>
      <c r="EJ12" s="243"/>
      <c r="EK12" s="243"/>
      <c r="EL12" s="243"/>
      <c r="EM12" s="243"/>
      <c r="EN12" s="243"/>
      <c r="EO12" s="243"/>
      <c r="EP12" s="243"/>
      <c r="EQ12" s="243"/>
      <c r="ER12" s="243"/>
      <c r="ES12" s="243"/>
      <c r="ET12" s="243"/>
      <c r="EU12" s="243"/>
      <c r="EV12" s="243"/>
      <c r="EW12" s="243"/>
      <c r="EX12" s="243"/>
      <c r="EY12" s="243"/>
      <c r="EZ12" s="243"/>
      <c r="FA12" s="243"/>
      <c r="FB12" s="243"/>
      <c r="FC12" s="243"/>
      <c r="FD12" s="243"/>
      <c r="FE12" s="243"/>
      <c r="FF12" s="243"/>
      <c r="FG12" s="243"/>
      <c r="FH12" s="243"/>
      <c r="FI12" s="243"/>
      <c r="FJ12" s="243"/>
      <c r="FK12" s="243"/>
      <c r="FL12" s="243"/>
      <c r="FM12" s="243"/>
      <c r="FN12" s="243"/>
      <c r="FO12" s="243"/>
      <c r="FP12" s="243"/>
      <c r="FQ12" s="243"/>
      <c r="FR12" s="243"/>
      <c r="FS12" s="243"/>
      <c r="FT12" s="243"/>
      <c r="FU12" s="243"/>
      <c r="FV12" s="243"/>
      <c r="FW12" s="243"/>
      <c r="FX12" s="243"/>
      <c r="FY12" s="243"/>
      <c r="FZ12" s="243"/>
      <c r="GA12" s="243"/>
      <c r="GB12" s="243"/>
      <c r="GC12" s="243"/>
      <c r="GD12" s="243"/>
      <c r="GE12" s="243"/>
      <c r="GF12" s="243"/>
      <c r="GG12" s="243"/>
      <c r="GH12" s="243"/>
      <c r="GI12" s="243"/>
      <c r="GJ12" s="243"/>
      <c r="GK12" s="163"/>
      <c r="GL12" s="163"/>
      <c r="GM12" s="163"/>
      <c r="GN12" s="163"/>
    </row>
    <row r="13" spans="1:196" ht="12.75" x14ac:dyDescent="0.2">
      <c r="A13" s="1379" t="s">
        <v>297</v>
      </c>
      <c r="B13" s="1380"/>
      <c r="C13" s="1380"/>
      <c r="D13" s="1380"/>
      <c r="E13" s="1380"/>
      <c r="F13" s="1380"/>
      <c r="G13" s="1380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  <c r="BX13" s="243"/>
      <c r="BY13" s="243"/>
      <c r="BZ13" s="243"/>
      <c r="CA13" s="243"/>
      <c r="CB13" s="243"/>
      <c r="CC13" s="243"/>
      <c r="CD13" s="243"/>
      <c r="CE13" s="243"/>
      <c r="CF13" s="243"/>
      <c r="CG13" s="243"/>
      <c r="CH13" s="243"/>
      <c r="CI13" s="243"/>
      <c r="CJ13" s="243"/>
      <c r="CK13" s="243"/>
      <c r="CL13" s="243"/>
      <c r="CM13" s="243"/>
      <c r="CN13" s="243"/>
      <c r="CO13" s="243"/>
      <c r="CP13" s="243"/>
      <c r="CQ13" s="243"/>
      <c r="CR13" s="243"/>
      <c r="CS13" s="243"/>
      <c r="CT13" s="243"/>
      <c r="CU13" s="243"/>
      <c r="CV13" s="243"/>
      <c r="CW13" s="243"/>
      <c r="CX13" s="243"/>
      <c r="CY13" s="243"/>
      <c r="CZ13" s="243"/>
      <c r="DA13" s="243"/>
      <c r="DB13" s="243"/>
      <c r="DC13" s="243"/>
      <c r="DD13" s="243"/>
      <c r="DE13" s="243"/>
      <c r="DF13" s="243"/>
      <c r="DG13" s="243"/>
      <c r="DH13" s="243"/>
      <c r="DI13" s="243"/>
      <c r="DJ13" s="243"/>
      <c r="DK13" s="243"/>
      <c r="DL13" s="243"/>
      <c r="DM13" s="243"/>
      <c r="DN13" s="243"/>
      <c r="DO13" s="243"/>
      <c r="DP13" s="243"/>
      <c r="DQ13" s="243"/>
      <c r="DR13" s="243"/>
      <c r="DS13" s="243"/>
      <c r="DT13" s="243"/>
      <c r="DU13" s="243"/>
      <c r="DV13" s="243"/>
      <c r="DW13" s="243"/>
      <c r="DX13" s="243"/>
      <c r="DY13" s="243"/>
      <c r="DZ13" s="243"/>
      <c r="EA13" s="243"/>
      <c r="EB13" s="243"/>
      <c r="EC13" s="243"/>
      <c r="ED13" s="243"/>
      <c r="EE13" s="243"/>
      <c r="EF13" s="243"/>
      <c r="EG13" s="243"/>
      <c r="EH13" s="243"/>
      <c r="EI13" s="243"/>
      <c r="EJ13" s="243"/>
      <c r="EK13" s="243"/>
      <c r="EL13" s="243"/>
      <c r="EM13" s="243"/>
      <c r="EN13" s="243"/>
      <c r="EO13" s="243"/>
      <c r="EP13" s="243"/>
      <c r="EQ13" s="243"/>
      <c r="ER13" s="243"/>
      <c r="ES13" s="243"/>
      <c r="ET13" s="243"/>
      <c r="EU13" s="243"/>
      <c r="EV13" s="243"/>
      <c r="EW13" s="243"/>
      <c r="EX13" s="243"/>
      <c r="EY13" s="243"/>
      <c r="EZ13" s="243"/>
      <c r="FA13" s="243"/>
      <c r="FB13" s="243"/>
      <c r="FC13" s="243"/>
      <c r="FD13" s="243"/>
      <c r="FE13" s="243"/>
      <c r="FF13" s="243"/>
      <c r="FG13" s="243"/>
      <c r="FH13" s="243"/>
      <c r="FI13" s="243"/>
      <c r="FJ13" s="243"/>
      <c r="FK13" s="243"/>
      <c r="FL13" s="243"/>
      <c r="FM13" s="243"/>
      <c r="FN13" s="243"/>
      <c r="FO13" s="243"/>
      <c r="FP13" s="243"/>
      <c r="FQ13" s="243"/>
      <c r="FR13" s="243"/>
      <c r="FS13" s="243"/>
      <c r="FT13" s="243"/>
      <c r="FU13" s="243"/>
      <c r="FV13" s="243"/>
      <c r="FW13" s="243"/>
      <c r="FX13" s="243"/>
      <c r="FY13" s="243"/>
      <c r="FZ13" s="243"/>
      <c r="GA13" s="243"/>
      <c r="GB13" s="243"/>
      <c r="GC13" s="243"/>
      <c r="GD13" s="243"/>
      <c r="GE13" s="243"/>
      <c r="GF13" s="243"/>
      <c r="GG13" s="243"/>
      <c r="GH13" s="243"/>
      <c r="GI13" s="243"/>
      <c r="GJ13" s="243"/>
      <c r="GK13" s="163"/>
      <c r="GL13" s="163"/>
      <c r="GM13" s="163"/>
      <c r="GN13" s="163"/>
    </row>
    <row r="14" spans="1:196" ht="12.75" x14ac:dyDescent="0.2">
      <c r="A14" s="1381"/>
      <c r="B14" s="1343"/>
      <c r="C14" s="1343"/>
      <c r="D14" s="1343"/>
      <c r="E14" s="1343"/>
      <c r="F14" s="1343"/>
      <c r="G14" s="1343"/>
      <c r="H14" s="243"/>
      <c r="I14" s="243"/>
      <c r="J14" s="243"/>
      <c r="K14" s="243"/>
      <c r="L14" s="243"/>
      <c r="M14" s="243"/>
      <c r="N14" s="989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989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989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989"/>
      <c r="BW14" s="243"/>
      <c r="BX14" s="243"/>
      <c r="BY14" s="243"/>
      <c r="BZ14" s="243"/>
      <c r="CA14" s="243"/>
      <c r="CB14" s="243"/>
      <c r="CC14" s="243"/>
      <c r="CD14" s="243"/>
      <c r="CE14" s="243"/>
      <c r="CF14" s="243"/>
      <c r="CG14" s="243"/>
      <c r="CH14" s="243"/>
      <c r="CI14" s="243"/>
      <c r="CJ14" s="243"/>
      <c r="CK14" s="243"/>
      <c r="CL14" s="243"/>
      <c r="CM14" s="243"/>
      <c r="CN14" s="243"/>
      <c r="CO14" s="243"/>
      <c r="CP14" s="989"/>
      <c r="CQ14" s="243"/>
      <c r="CR14" s="243"/>
      <c r="CS14" s="243"/>
      <c r="CT14" s="243"/>
      <c r="CU14" s="243"/>
      <c r="CV14" s="243"/>
      <c r="CW14" s="243"/>
      <c r="CX14" s="243"/>
      <c r="CY14" s="243"/>
      <c r="CZ14" s="243"/>
      <c r="DA14" s="243"/>
      <c r="DB14" s="243"/>
      <c r="DC14" s="243"/>
      <c r="DD14" s="243"/>
      <c r="DE14" s="243"/>
      <c r="DF14" s="243"/>
      <c r="DG14" s="243"/>
      <c r="DH14" s="243"/>
      <c r="DI14" s="243"/>
      <c r="DJ14" s="989"/>
      <c r="DK14" s="243"/>
      <c r="DL14" s="243"/>
      <c r="DM14" s="243"/>
      <c r="DN14" s="243"/>
      <c r="DO14" s="243"/>
      <c r="DP14" s="243"/>
      <c r="DQ14" s="243"/>
      <c r="DR14" s="243"/>
      <c r="DS14" s="243"/>
      <c r="DT14" s="243"/>
      <c r="DU14" s="243"/>
      <c r="DV14" s="243"/>
      <c r="DW14" s="243"/>
      <c r="DX14" s="243"/>
      <c r="DY14" s="243"/>
      <c r="DZ14" s="243"/>
      <c r="EA14" s="243"/>
      <c r="EB14" s="243"/>
      <c r="EC14" s="243"/>
      <c r="ED14" s="989"/>
      <c r="EE14" s="243"/>
      <c r="EF14" s="243"/>
      <c r="EG14" s="243"/>
      <c r="EH14" s="243"/>
      <c r="EI14" s="243"/>
      <c r="EJ14" s="243"/>
      <c r="EK14" s="243"/>
      <c r="EL14" s="243"/>
      <c r="EM14" s="243"/>
      <c r="EN14" s="243"/>
      <c r="EO14" s="243"/>
      <c r="EP14" s="243"/>
      <c r="EQ14" s="243"/>
      <c r="ER14" s="243"/>
      <c r="ES14" s="243"/>
      <c r="ET14" s="243"/>
      <c r="EU14" s="243"/>
      <c r="EV14" s="243"/>
      <c r="EW14" s="243"/>
      <c r="EX14" s="989"/>
      <c r="EY14" s="243"/>
      <c r="EZ14" s="243"/>
      <c r="FA14" s="243"/>
      <c r="FB14" s="243"/>
      <c r="FC14" s="243"/>
      <c r="FD14" s="243"/>
      <c r="FE14" s="243"/>
      <c r="FF14" s="243"/>
      <c r="FG14" s="243"/>
      <c r="FH14" s="243"/>
      <c r="FI14" s="243"/>
      <c r="FJ14" s="243"/>
      <c r="FK14" s="243"/>
      <c r="FL14" s="243"/>
      <c r="FM14" s="243"/>
      <c r="FN14" s="243"/>
      <c r="FO14" s="243"/>
      <c r="FP14" s="243"/>
      <c r="FQ14" s="243"/>
      <c r="FR14" s="989"/>
      <c r="FS14" s="243"/>
      <c r="FT14" s="243"/>
      <c r="FU14" s="243"/>
      <c r="FV14" s="243"/>
      <c r="FW14" s="243"/>
      <c r="FX14" s="243"/>
      <c r="FY14" s="243"/>
      <c r="FZ14" s="243"/>
      <c r="GA14" s="243"/>
      <c r="GB14" s="243"/>
      <c r="GC14" s="243"/>
      <c r="GD14" s="243"/>
      <c r="GE14" s="243"/>
      <c r="GF14" s="243"/>
      <c r="GG14" s="243"/>
      <c r="GH14" s="243"/>
      <c r="GI14" s="243"/>
      <c r="GJ14" s="243"/>
      <c r="GK14" s="163"/>
      <c r="GL14" s="163"/>
      <c r="GM14" s="163"/>
      <c r="GN14" s="163"/>
    </row>
    <row r="15" spans="1:196" ht="12.75" x14ac:dyDescent="0.2">
      <c r="A15" s="1416"/>
      <c r="B15" s="1417"/>
      <c r="C15" s="1417"/>
      <c r="D15" s="1417"/>
      <c r="E15" s="1417"/>
      <c r="F15" s="1417"/>
      <c r="G15" s="1417"/>
      <c r="H15" s="243"/>
      <c r="I15" s="243"/>
      <c r="J15" s="243"/>
      <c r="K15" s="243"/>
      <c r="L15" s="243"/>
      <c r="M15" s="243"/>
      <c r="N15" s="989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989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989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989"/>
      <c r="BW15" s="243"/>
      <c r="BX15" s="243"/>
      <c r="BY15" s="243"/>
      <c r="BZ15" s="243"/>
      <c r="CA15" s="243"/>
      <c r="CB15" s="243"/>
      <c r="CC15" s="243"/>
      <c r="CD15" s="243"/>
      <c r="CE15" s="243"/>
      <c r="CF15" s="243"/>
      <c r="CG15" s="243"/>
      <c r="CH15" s="243"/>
      <c r="CI15" s="243"/>
      <c r="CJ15" s="243"/>
      <c r="CK15" s="243"/>
      <c r="CL15" s="243"/>
      <c r="CM15" s="243"/>
      <c r="CN15" s="243"/>
      <c r="CO15" s="243"/>
      <c r="CP15" s="989"/>
      <c r="CQ15" s="243"/>
      <c r="CR15" s="243"/>
      <c r="CS15" s="243"/>
      <c r="CT15" s="243"/>
      <c r="CU15" s="243"/>
      <c r="CV15" s="243"/>
      <c r="CW15" s="243"/>
      <c r="CX15" s="243"/>
      <c r="CY15" s="243"/>
      <c r="CZ15" s="243"/>
      <c r="DA15" s="243"/>
      <c r="DB15" s="243"/>
      <c r="DC15" s="243"/>
      <c r="DD15" s="243"/>
      <c r="DE15" s="243"/>
      <c r="DF15" s="243"/>
      <c r="DG15" s="243"/>
      <c r="DH15" s="243"/>
      <c r="DI15" s="243"/>
      <c r="DJ15" s="989"/>
      <c r="DK15" s="243"/>
      <c r="DL15" s="243"/>
      <c r="DM15" s="243"/>
      <c r="DN15" s="243"/>
      <c r="DO15" s="243"/>
      <c r="DP15" s="243"/>
      <c r="DQ15" s="243"/>
      <c r="DR15" s="243"/>
      <c r="DS15" s="243"/>
      <c r="DT15" s="243"/>
      <c r="DU15" s="243"/>
      <c r="DV15" s="243"/>
      <c r="DW15" s="243"/>
      <c r="DX15" s="243"/>
      <c r="DY15" s="243"/>
      <c r="DZ15" s="243"/>
      <c r="EA15" s="243"/>
      <c r="EB15" s="243"/>
      <c r="EC15" s="243"/>
      <c r="ED15" s="989"/>
      <c r="EE15" s="243"/>
      <c r="EF15" s="243"/>
      <c r="EG15" s="243"/>
      <c r="EH15" s="243"/>
      <c r="EI15" s="243"/>
      <c r="EJ15" s="243"/>
      <c r="EK15" s="243"/>
      <c r="EL15" s="243"/>
      <c r="EM15" s="243"/>
      <c r="EN15" s="243"/>
      <c r="EO15" s="243"/>
      <c r="EP15" s="243"/>
      <c r="EQ15" s="243"/>
      <c r="ER15" s="243"/>
      <c r="ES15" s="243"/>
      <c r="ET15" s="243"/>
      <c r="EU15" s="243"/>
      <c r="EV15" s="243"/>
      <c r="EW15" s="243"/>
      <c r="EX15" s="989"/>
      <c r="EY15" s="243"/>
      <c r="EZ15" s="243"/>
      <c r="FA15" s="243"/>
      <c r="FB15" s="243"/>
      <c r="FC15" s="243"/>
      <c r="FD15" s="243"/>
      <c r="FE15" s="243"/>
      <c r="FF15" s="243"/>
      <c r="FG15" s="243"/>
      <c r="FH15" s="243"/>
      <c r="FI15" s="243"/>
      <c r="FJ15" s="243"/>
      <c r="FK15" s="243"/>
      <c r="FL15" s="243"/>
      <c r="FM15" s="243"/>
      <c r="FN15" s="243"/>
      <c r="FO15" s="243"/>
      <c r="FP15" s="243"/>
      <c r="FQ15" s="243"/>
      <c r="FR15" s="989"/>
      <c r="FS15" s="243"/>
      <c r="FT15" s="243"/>
      <c r="FU15" s="243"/>
      <c r="FV15" s="243"/>
      <c r="FW15" s="243"/>
      <c r="FX15" s="243"/>
      <c r="FY15" s="243"/>
      <c r="FZ15" s="243"/>
      <c r="GA15" s="243"/>
      <c r="GB15" s="243"/>
      <c r="GC15" s="243"/>
      <c r="GD15" s="243"/>
      <c r="GE15" s="243"/>
      <c r="GF15" s="243"/>
      <c r="GG15" s="243"/>
      <c r="GH15" s="243"/>
      <c r="GI15" s="243"/>
      <c r="GJ15" s="243"/>
      <c r="GK15" s="163"/>
      <c r="GL15" s="163"/>
      <c r="GM15" s="163"/>
      <c r="GN15" s="163"/>
    </row>
    <row r="16" spans="1:196" ht="12.75" x14ac:dyDescent="0.2">
      <c r="A16" s="235"/>
      <c r="B16" s="998"/>
      <c r="C16" s="235"/>
      <c r="D16" s="999"/>
      <c r="E16" s="235"/>
      <c r="F16" s="235"/>
      <c r="G16" s="235"/>
      <c r="H16" s="1432">
        <v>45657</v>
      </c>
      <c r="I16" s="1345"/>
      <c r="J16" s="1345"/>
      <c r="K16" s="1345"/>
      <c r="L16" s="1346"/>
      <c r="M16" s="1432">
        <f>'Paycheck schedule'!J4</f>
        <v>45688</v>
      </c>
      <c r="N16" s="1345"/>
      <c r="O16" s="1345"/>
      <c r="P16" s="1345"/>
      <c r="Q16" s="1346"/>
      <c r="R16" s="1432">
        <f>'Paycheck schedule'!K4</f>
        <v>45716</v>
      </c>
      <c r="S16" s="1345"/>
      <c r="T16" s="1345"/>
      <c r="U16" s="1345"/>
      <c r="V16" s="1346"/>
      <c r="W16" s="1432">
        <f>'Paycheck schedule'!L4</f>
        <v>45747</v>
      </c>
      <c r="X16" s="1345"/>
      <c r="Y16" s="1345"/>
      <c r="Z16" s="1345"/>
      <c r="AA16" s="1346"/>
      <c r="AB16" s="1432">
        <f>'Paycheck schedule'!M4</f>
        <v>45777</v>
      </c>
      <c r="AC16" s="1345"/>
      <c r="AD16" s="1345"/>
      <c r="AE16" s="1345"/>
      <c r="AF16" s="1346"/>
      <c r="AG16" s="1432">
        <f>'Paycheck schedule'!N4</f>
        <v>45808</v>
      </c>
      <c r="AH16" s="1345"/>
      <c r="AI16" s="1345"/>
      <c r="AJ16" s="1345"/>
      <c r="AK16" s="1346"/>
      <c r="AL16" s="1432">
        <f>'Paycheck schedule'!O4</f>
        <v>45838</v>
      </c>
      <c r="AM16" s="1345"/>
      <c r="AN16" s="1345"/>
      <c r="AO16" s="1345"/>
      <c r="AP16" s="1346"/>
      <c r="AQ16" s="1432">
        <f>'Paycheck schedule'!P4</f>
        <v>45869</v>
      </c>
      <c r="AR16" s="1345"/>
      <c r="AS16" s="1345"/>
      <c r="AT16" s="1345"/>
      <c r="AU16" s="1346"/>
      <c r="AV16" s="1432">
        <f>'Paycheck schedule'!Q4</f>
        <v>45900</v>
      </c>
      <c r="AW16" s="1345"/>
      <c r="AX16" s="1345"/>
      <c r="AY16" s="1345"/>
      <c r="AZ16" s="1346"/>
      <c r="BA16" s="1432">
        <f>'Paycheck schedule'!R4</f>
        <v>45930</v>
      </c>
      <c r="BB16" s="1345"/>
      <c r="BC16" s="1345"/>
      <c r="BD16" s="1345"/>
      <c r="BE16" s="1346"/>
      <c r="BF16" s="1432">
        <f>'Paycheck schedule'!S4</f>
        <v>45961</v>
      </c>
      <c r="BG16" s="1345"/>
      <c r="BH16" s="1345"/>
      <c r="BI16" s="1345"/>
      <c r="BJ16" s="1346"/>
      <c r="BK16" s="1432">
        <f>'Paycheck schedule'!T4</f>
        <v>45991</v>
      </c>
      <c r="BL16" s="1345"/>
      <c r="BM16" s="1345"/>
      <c r="BN16" s="1345"/>
      <c r="BO16" s="1346"/>
      <c r="BP16" s="1432">
        <f>'Paycheck schedule'!U4</f>
        <v>46022</v>
      </c>
      <c r="BQ16" s="1345"/>
      <c r="BR16" s="1345"/>
      <c r="BS16" s="1345"/>
      <c r="BT16" s="1346"/>
      <c r="BU16" s="1432">
        <f>'Paycheck schedule'!W4</f>
        <v>46053</v>
      </c>
      <c r="BV16" s="1345"/>
      <c r="BW16" s="1345"/>
      <c r="BX16" s="1345"/>
      <c r="BY16" s="1346"/>
      <c r="BZ16" s="1432">
        <f>'Paycheck schedule'!X4</f>
        <v>46081</v>
      </c>
      <c r="CA16" s="1345"/>
      <c r="CB16" s="1345"/>
      <c r="CC16" s="1345"/>
      <c r="CD16" s="1346"/>
      <c r="CE16" s="1432">
        <f>'Paycheck schedule'!Y4</f>
        <v>46112</v>
      </c>
      <c r="CF16" s="1345"/>
      <c r="CG16" s="1345"/>
      <c r="CH16" s="1345"/>
      <c r="CI16" s="1346"/>
      <c r="CJ16" s="1432">
        <f>'Paycheck schedule'!Z4</f>
        <v>46142</v>
      </c>
      <c r="CK16" s="1345"/>
      <c r="CL16" s="1345"/>
      <c r="CM16" s="1345"/>
      <c r="CN16" s="1346"/>
      <c r="CO16" s="1432">
        <f>'Paycheck schedule'!AA4</f>
        <v>46173</v>
      </c>
      <c r="CP16" s="1345"/>
      <c r="CQ16" s="1345"/>
      <c r="CR16" s="1345"/>
      <c r="CS16" s="1346"/>
      <c r="CT16" s="1432">
        <f>'Paycheck schedule'!AB4</f>
        <v>46203</v>
      </c>
      <c r="CU16" s="1345"/>
      <c r="CV16" s="1345"/>
      <c r="CW16" s="1345"/>
      <c r="CX16" s="1346"/>
      <c r="CY16" s="1432">
        <f>'Paycheck schedule'!AC4</f>
        <v>46234</v>
      </c>
      <c r="CZ16" s="1345"/>
      <c r="DA16" s="1345"/>
      <c r="DB16" s="1345"/>
      <c r="DC16" s="1346"/>
      <c r="DD16" s="1432">
        <f>'Paycheck schedule'!AD4</f>
        <v>46265</v>
      </c>
      <c r="DE16" s="1345"/>
      <c r="DF16" s="1345"/>
      <c r="DG16" s="1345"/>
      <c r="DH16" s="1346"/>
      <c r="DI16" s="1432">
        <f>'Paycheck schedule'!AE4</f>
        <v>46295</v>
      </c>
      <c r="DJ16" s="1345"/>
      <c r="DK16" s="1345"/>
      <c r="DL16" s="1345"/>
      <c r="DM16" s="1346"/>
      <c r="DN16" s="1432">
        <f>'Paycheck schedule'!AF4</f>
        <v>46326</v>
      </c>
      <c r="DO16" s="1345"/>
      <c r="DP16" s="1345"/>
      <c r="DQ16" s="1345"/>
      <c r="DR16" s="1346"/>
      <c r="DS16" s="1432">
        <f>'Paycheck schedule'!AG4</f>
        <v>46356</v>
      </c>
      <c r="DT16" s="1345"/>
      <c r="DU16" s="1345"/>
      <c r="DV16" s="1345"/>
      <c r="DW16" s="1346"/>
      <c r="DX16" s="1432">
        <f>'Paycheck schedule'!AH4</f>
        <v>46387</v>
      </c>
      <c r="DY16" s="1345"/>
      <c r="DZ16" s="1345"/>
      <c r="EA16" s="1345"/>
      <c r="EB16" s="1346"/>
      <c r="EC16" s="1432">
        <f>'Paycheck schedule'!AJ4</f>
        <v>46418</v>
      </c>
      <c r="ED16" s="1345"/>
      <c r="EE16" s="1345"/>
      <c r="EF16" s="1345"/>
      <c r="EG16" s="1346"/>
      <c r="EH16" s="1432">
        <f>'Paycheck schedule'!AK4</f>
        <v>46446</v>
      </c>
      <c r="EI16" s="1345"/>
      <c r="EJ16" s="1345"/>
      <c r="EK16" s="1345"/>
      <c r="EL16" s="1346"/>
      <c r="EM16" s="1432">
        <f>'Paycheck schedule'!AL4</f>
        <v>46477</v>
      </c>
      <c r="EN16" s="1345"/>
      <c r="EO16" s="1345"/>
      <c r="EP16" s="1345"/>
      <c r="EQ16" s="1346"/>
      <c r="ER16" s="1432">
        <f>'Paycheck schedule'!AM4</f>
        <v>46507</v>
      </c>
      <c r="ES16" s="1345"/>
      <c r="ET16" s="1345"/>
      <c r="EU16" s="1345"/>
      <c r="EV16" s="1346"/>
      <c r="EW16" s="1432">
        <f>'Paycheck schedule'!AN4</f>
        <v>46538</v>
      </c>
      <c r="EX16" s="1345"/>
      <c r="EY16" s="1345"/>
      <c r="EZ16" s="1345"/>
      <c r="FA16" s="1346"/>
      <c r="FB16" s="1432">
        <f>'Paycheck schedule'!AO4</f>
        <v>46568</v>
      </c>
      <c r="FC16" s="1345"/>
      <c r="FD16" s="1345"/>
      <c r="FE16" s="1345"/>
      <c r="FF16" s="1346"/>
      <c r="FG16" s="1432">
        <f>'Paycheck schedule'!AP4</f>
        <v>46599</v>
      </c>
      <c r="FH16" s="1345"/>
      <c r="FI16" s="1345"/>
      <c r="FJ16" s="1345"/>
      <c r="FK16" s="1346"/>
      <c r="FL16" s="1432">
        <f>'Paycheck schedule'!AQ4</f>
        <v>46630</v>
      </c>
      <c r="FM16" s="1345"/>
      <c r="FN16" s="1345"/>
      <c r="FO16" s="1345"/>
      <c r="FP16" s="1346"/>
      <c r="FQ16" s="1432">
        <f>'Paycheck schedule'!AR4</f>
        <v>46660</v>
      </c>
      <c r="FR16" s="1345"/>
      <c r="FS16" s="1345"/>
      <c r="FT16" s="1345"/>
      <c r="FU16" s="1346"/>
      <c r="FV16" s="1432">
        <f>'Paycheck schedule'!AS4</f>
        <v>46691</v>
      </c>
      <c r="FW16" s="1345"/>
      <c r="FX16" s="1345"/>
      <c r="FY16" s="1345"/>
      <c r="FZ16" s="1346"/>
      <c r="GA16" s="1432">
        <f>'Paycheck schedule'!AT4</f>
        <v>46721</v>
      </c>
      <c r="GB16" s="1345"/>
      <c r="GC16" s="1345"/>
      <c r="GD16" s="1345"/>
      <c r="GE16" s="1346"/>
      <c r="GF16" s="1432">
        <v>46752</v>
      </c>
      <c r="GG16" s="1345"/>
      <c r="GH16" s="1345"/>
      <c r="GI16" s="1345"/>
      <c r="GJ16" s="1346"/>
      <c r="GK16" s="1338"/>
      <c r="GL16" s="1339"/>
      <c r="GM16" s="1339"/>
      <c r="GN16" s="1339"/>
    </row>
    <row r="17" spans="1:196" ht="12.75" x14ac:dyDescent="0.2">
      <c r="A17" s="317" t="s">
        <v>298</v>
      </c>
      <c r="B17" s="317" t="s">
        <v>299</v>
      </c>
      <c r="C17" s="317" t="s">
        <v>300</v>
      </c>
      <c r="D17" s="1000" t="s">
        <v>301</v>
      </c>
      <c r="E17" s="317" t="s">
        <v>302</v>
      </c>
      <c r="F17" s="317" t="s">
        <v>303</v>
      </c>
      <c r="G17" s="317" t="s">
        <v>304</v>
      </c>
      <c r="H17" s="1001" t="s">
        <v>305</v>
      </c>
      <c r="I17" s="1000" t="s">
        <v>306</v>
      </c>
      <c r="J17" s="317" t="s">
        <v>307</v>
      </c>
      <c r="K17" s="317" t="s">
        <v>308</v>
      </c>
      <c r="L17" s="1002" t="s">
        <v>309</v>
      </c>
      <c r="M17" s="1001" t="s">
        <v>305</v>
      </c>
      <c r="N17" s="1000" t="s">
        <v>306</v>
      </c>
      <c r="O17" s="317" t="s">
        <v>307</v>
      </c>
      <c r="P17" s="317" t="s">
        <v>310</v>
      </c>
      <c r="Q17" s="1002" t="s">
        <v>309</v>
      </c>
      <c r="R17" s="1001" t="s">
        <v>305</v>
      </c>
      <c r="S17" s="1000" t="s">
        <v>306</v>
      </c>
      <c r="T17" s="317" t="s">
        <v>307</v>
      </c>
      <c r="U17" s="317" t="s">
        <v>310</v>
      </c>
      <c r="V17" s="1002" t="s">
        <v>309</v>
      </c>
      <c r="W17" s="1001" t="s">
        <v>305</v>
      </c>
      <c r="X17" s="1000" t="s">
        <v>306</v>
      </c>
      <c r="Y17" s="317" t="s">
        <v>307</v>
      </c>
      <c r="Z17" s="317" t="s">
        <v>310</v>
      </c>
      <c r="AA17" s="1002" t="s">
        <v>309</v>
      </c>
      <c r="AB17" s="1001" t="s">
        <v>305</v>
      </c>
      <c r="AC17" s="1000" t="s">
        <v>306</v>
      </c>
      <c r="AD17" s="317" t="s">
        <v>307</v>
      </c>
      <c r="AE17" s="317" t="s">
        <v>310</v>
      </c>
      <c r="AF17" s="1002" t="s">
        <v>309</v>
      </c>
      <c r="AG17" s="1001" t="s">
        <v>305</v>
      </c>
      <c r="AH17" s="1000" t="s">
        <v>306</v>
      </c>
      <c r="AI17" s="317" t="s">
        <v>307</v>
      </c>
      <c r="AJ17" s="317" t="s">
        <v>310</v>
      </c>
      <c r="AK17" s="1002" t="s">
        <v>309</v>
      </c>
      <c r="AL17" s="1001" t="s">
        <v>305</v>
      </c>
      <c r="AM17" s="1000" t="s">
        <v>306</v>
      </c>
      <c r="AN17" s="317" t="s">
        <v>307</v>
      </c>
      <c r="AO17" s="317" t="s">
        <v>310</v>
      </c>
      <c r="AP17" s="1002" t="s">
        <v>309</v>
      </c>
      <c r="AQ17" s="1001" t="s">
        <v>305</v>
      </c>
      <c r="AR17" s="1000" t="s">
        <v>306</v>
      </c>
      <c r="AS17" s="317" t="s">
        <v>307</v>
      </c>
      <c r="AT17" s="317" t="s">
        <v>310</v>
      </c>
      <c r="AU17" s="1002" t="s">
        <v>309</v>
      </c>
      <c r="AV17" s="1001" t="s">
        <v>305</v>
      </c>
      <c r="AW17" s="1000" t="s">
        <v>306</v>
      </c>
      <c r="AX17" s="317" t="s">
        <v>307</v>
      </c>
      <c r="AY17" s="317" t="s">
        <v>310</v>
      </c>
      <c r="AZ17" s="1002" t="s">
        <v>309</v>
      </c>
      <c r="BA17" s="1001" t="s">
        <v>305</v>
      </c>
      <c r="BB17" s="1000" t="s">
        <v>306</v>
      </c>
      <c r="BC17" s="317" t="s">
        <v>307</v>
      </c>
      <c r="BD17" s="317" t="s">
        <v>310</v>
      </c>
      <c r="BE17" s="1002" t="s">
        <v>309</v>
      </c>
      <c r="BF17" s="1001" t="s">
        <v>305</v>
      </c>
      <c r="BG17" s="1000" t="s">
        <v>306</v>
      </c>
      <c r="BH17" s="317" t="s">
        <v>307</v>
      </c>
      <c r="BI17" s="317" t="s">
        <v>310</v>
      </c>
      <c r="BJ17" s="1002" t="s">
        <v>309</v>
      </c>
      <c r="BK17" s="1001" t="s">
        <v>305</v>
      </c>
      <c r="BL17" s="1000" t="s">
        <v>306</v>
      </c>
      <c r="BM17" s="317" t="s">
        <v>307</v>
      </c>
      <c r="BN17" s="317" t="s">
        <v>310</v>
      </c>
      <c r="BO17" s="1002" t="s">
        <v>309</v>
      </c>
      <c r="BP17" s="1001" t="s">
        <v>305</v>
      </c>
      <c r="BQ17" s="1000" t="s">
        <v>306</v>
      </c>
      <c r="BR17" s="317" t="s">
        <v>307</v>
      </c>
      <c r="BS17" s="317" t="s">
        <v>310</v>
      </c>
      <c r="BT17" s="1002" t="s">
        <v>309</v>
      </c>
      <c r="BU17" s="1001" t="s">
        <v>305</v>
      </c>
      <c r="BV17" s="1000" t="s">
        <v>306</v>
      </c>
      <c r="BW17" s="317" t="s">
        <v>307</v>
      </c>
      <c r="BX17" s="317" t="s">
        <v>310</v>
      </c>
      <c r="BY17" s="1002" t="s">
        <v>309</v>
      </c>
      <c r="BZ17" s="1001" t="s">
        <v>305</v>
      </c>
      <c r="CA17" s="1000" t="s">
        <v>306</v>
      </c>
      <c r="CB17" s="317" t="s">
        <v>307</v>
      </c>
      <c r="CC17" s="317" t="s">
        <v>310</v>
      </c>
      <c r="CD17" s="1002" t="s">
        <v>309</v>
      </c>
      <c r="CE17" s="1001" t="s">
        <v>305</v>
      </c>
      <c r="CF17" s="1000" t="s">
        <v>306</v>
      </c>
      <c r="CG17" s="317" t="s">
        <v>307</v>
      </c>
      <c r="CH17" s="317" t="s">
        <v>310</v>
      </c>
      <c r="CI17" s="1002" t="s">
        <v>309</v>
      </c>
      <c r="CJ17" s="1001" t="s">
        <v>305</v>
      </c>
      <c r="CK17" s="1000" t="s">
        <v>306</v>
      </c>
      <c r="CL17" s="317" t="s">
        <v>307</v>
      </c>
      <c r="CM17" s="317" t="s">
        <v>310</v>
      </c>
      <c r="CN17" s="1002" t="s">
        <v>309</v>
      </c>
      <c r="CO17" s="1001" t="s">
        <v>305</v>
      </c>
      <c r="CP17" s="1000" t="s">
        <v>306</v>
      </c>
      <c r="CQ17" s="317" t="s">
        <v>307</v>
      </c>
      <c r="CR17" s="317" t="s">
        <v>310</v>
      </c>
      <c r="CS17" s="1002" t="s">
        <v>309</v>
      </c>
      <c r="CT17" s="1001" t="s">
        <v>305</v>
      </c>
      <c r="CU17" s="1000" t="s">
        <v>306</v>
      </c>
      <c r="CV17" s="317" t="s">
        <v>307</v>
      </c>
      <c r="CW17" s="317" t="s">
        <v>310</v>
      </c>
      <c r="CX17" s="1002" t="s">
        <v>309</v>
      </c>
      <c r="CY17" s="1001" t="s">
        <v>305</v>
      </c>
      <c r="CZ17" s="1000" t="s">
        <v>306</v>
      </c>
      <c r="DA17" s="317" t="s">
        <v>307</v>
      </c>
      <c r="DB17" s="317" t="s">
        <v>310</v>
      </c>
      <c r="DC17" s="1002" t="s">
        <v>309</v>
      </c>
      <c r="DD17" s="1001" t="s">
        <v>305</v>
      </c>
      <c r="DE17" s="1000" t="s">
        <v>306</v>
      </c>
      <c r="DF17" s="317" t="s">
        <v>307</v>
      </c>
      <c r="DG17" s="317" t="s">
        <v>310</v>
      </c>
      <c r="DH17" s="1002" t="s">
        <v>309</v>
      </c>
      <c r="DI17" s="1001" t="s">
        <v>305</v>
      </c>
      <c r="DJ17" s="1000" t="s">
        <v>306</v>
      </c>
      <c r="DK17" s="317" t="s">
        <v>307</v>
      </c>
      <c r="DL17" s="317" t="s">
        <v>310</v>
      </c>
      <c r="DM17" s="1002" t="s">
        <v>309</v>
      </c>
      <c r="DN17" s="1001" t="s">
        <v>305</v>
      </c>
      <c r="DO17" s="1000" t="s">
        <v>306</v>
      </c>
      <c r="DP17" s="317" t="s">
        <v>307</v>
      </c>
      <c r="DQ17" s="317" t="s">
        <v>310</v>
      </c>
      <c r="DR17" s="1002" t="s">
        <v>309</v>
      </c>
      <c r="DS17" s="1001" t="s">
        <v>305</v>
      </c>
      <c r="DT17" s="1000" t="s">
        <v>306</v>
      </c>
      <c r="DU17" s="317" t="s">
        <v>307</v>
      </c>
      <c r="DV17" s="317" t="s">
        <v>310</v>
      </c>
      <c r="DW17" s="1002" t="s">
        <v>309</v>
      </c>
      <c r="DX17" s="1001" t="s">
        <v>305</v>
      </c>
      <c r="DY17" s="1000" t="s">
        <v>306</v>
      </c>
      <c r="DZ17" s="317" t="s">
        <v>307</v>
      </c>
      <c r="EA17" s="317" t="s">
        <v>310</v>
      </c>
      <c r="EB17" s="1002" t="s">
        <v>309</v>
      </c>
      <c r="EC17" s="1001" t="s">
        <v>305</v>
      </c>
      <c r="ED17" s="1000" t="s">
        <v>306</v>
      </c>
      <c r="EE17" s="317" t="s">
        <v>307</v>
      </c>
      <c r="EF17" s="317" t="s">
        <v>310</v>
      </c>
      <c r="EG17" s="1002" t="s">
        <v>309</v>
      </c>
      <c r="EH17" s="1001" t="s">
        <v>305</v>
      </c>
      <c r="EI17" s="1000" t="s">
        <v>306</v>
      </c>
      <c r="EJ17" s="317" t="s">
        <v>307</v>
      </c>
      <c r="EK17" s="317" t="s">
        <v>310</v>
      </c>
      <c r="EL17" s="1002" t="s">
        <v>309</v>
      </c>
      <c r="EM17" s="1001" t="s">
        <v>305</v>
      </c>
      <c r="EN17" s="1000" t="s">
        <v>306</v>
      </c>
      <c r="EO17" s="317" t="s">
        <v>307</v>
      </c>
      <c r="EP17" s="317" t="s">
        <v>310</v>
      </c>
      <c r="EQ17" s="1002" t="s">
        <v>309</v>
      </c>
      <c r="ER17" s="1001" t="s">
        <v>305</v>
      </c>
      <c r="ES17" s="1000" t="s">
        <v>306</v>
      </c>
      <c r="ET17" s="317" t="s">
        <v>307</v>
      </c>
      <c r="EU17" s="317" t="s">
        <v>310</v>
      </c>
      <c r="EV17" s="1002" t="s">
        <v>309</v>
      </c>
      <c r="EW17" s="1001" t="s">
        <v>305</v>
      </c>
      <c r="EX17" s="1000" t="s">
        <v>306</v>
      </c>
      <c r="EY17" s="317" t="s">
        <v>307</v>
      </c>
      <c r="EZ17" s="317" t="s">
        <v>310</v>
      </c>
      <c r="FA17" s="1002" t="s">
        <v>309</v>
      </c>
      <c r="FB17" s="1001" t="s">
        <v>305</v>
      </c>
      <c r="FC17" s="1000" t="s">
        <v>306</v>
      </c>
      <c r="FD17" s="317" t="s">
        <v>307</v>
      </c>
      <c r="FE17" s="317" t="s">
        <v>310</v>
      </c>
      <c r="FF17" s="1002" t="s">
        <v>309</v>
      </c>
      <c r="FG17" s="1001" t="s">
        <v>305</v>
      </c>
      <c r="FH17" s="1000" t="s">
        <v>306</v>
      </c>
      <c r="FI17" s="317" t="s">
        <v>307</v>
      </c>
      <c r="FJ17" s="317" t="s">
        <v>310</v>
      </c>
      <c r="FK17" s="1002" t="s">
        <v>309</v>
      </c>
      <c r="FL17" s="1001" t="s">
        <v>305</v>
      </c>
      <c r="FM17" s="1000" t="s">
        <v>306</v>
      </c>
      <c r="FN17" s="317" t="s">
        <v>307</v>
      </c>
      <c r="FO17" s="317" t="s">
        <v>310</v>
      </c>
      <c r="FP17" s="1002" t="s">
        <v>309</v>
      </c>
      <c r="FQ17" s="1001" t="s">
        <v>305</v>
      </c>
      <c r="FR17" s="1000" t="s">
        <v>306</v>
      </c>
      <c r="FS17" s="317" t="s">
        <v>307</v>
      </c>
      <c r="FT17" s="317" t="s">
        <v>310</v>
      </c>
      <c r="FU17" s="1002" t="s">
        <v>309</v>
      </c>
      <c r="FV17" s="1001" t="s">
        <v>305</v>
      </c>
      <c r="FW17" s="1000" t="s">
        <v>306</v>
      </c>
      <c r="FX17" s="317" t="s">
        <v>307</v>
      </c>
      <c r="FY17" s="317" t="s">
        <v>310</v>
      </c>
      <c r="FZ17" s="1002" t="s">
        <v>309</v>
      </c>
      <c r="GA17" s="1001" t="s">
        <v>305</v>
      </c>
      <c r="GB17" s="1000" t="s">
        <v>306</v>
      </c>
      <c r="GC17" s="317" t="s">
        <v>307</v>
      </c>
      <c r="GD17" s="317" t="s">
        <v>310</v>
      </c>
      <c r="GE17" s="1002" t="s">
        <v>309</v>
      </c>
      <c r="GF17" s="1001" t="s">
        <v>305</v>
      </c>
      <c r="GG17" s="1000" t="s">
        <v>306</v>
      </c>
      <c r="GH17" s="317" t="s">
        <v>307</v>
      </c>
      <c r="GI17" s="317" t="s">
        <v>310</v>
      </c>
      <c r="GJ17" s="1002" t="s">
        <v>309</v>
      </c>
      <c r="GK17" s="643"/>
      <c r="GL17" s="644"/>
      <c r="GM17" s="644"/>
      <c r="GN17" s="644"/>
    </row>
    <row r="18" spans="1:196" ht="12.75" x14ac:dyDescent="0.2">
      <c r="A18" s="1004"/>
      <c r="B18" s="243"/>
      <c r="C18" s="243"/>
      <c r="D18" s="989"/>
      <c r="E18" s="243"/>
      <c r="F18" s="1004"/>
      <c r="G18" s="243"/>
      <c r="H18" s="1005"/>
      <c r="I18" s="243"/>
      <c r="J18" s="243"/>
      <c r="K18" s="243"/>
      <c r="L18" s="197"/>
      <c r="M18" s="1006"/>
      <c r="N18" s="1007"/>
      <c r="O18" s="258"/>
      <c r="P18" s="258"/>
      <c r="Q18" s="197"/>
      <c r="R18" s="1006"/>
      <c r="S18" s="1007"/>
      <c r="T18" s="258"/>
      <c r="U18" s="258"/>
      <c r="V18" s="197"/>
      <c r="W18" s="1006"/>
      <c r="X18" s="1007"/>
      <c r="Y18" s="258"/>
      <c r="Z18" s="258"/>
      <c r="AA18" s="197"/>
      <c r="AB18" s="1006"/>
      <c r="AC18" s="1007"/>
      <c r="AD18" s="258"/>
      <c r="AE18" s="258"/>
      <c r="AF18" s="197"/>
      <c r="AG18" s="1006"/>
      <c r="AH18" s="1007"/>
      <c r="AI18" s="258"/>
      <c r="AJ18" s="258"/>
      <c r="AK18" s="197"/>
      <c r="AL18" s="1006"/>
      <c r="AM18" s="1007"/>
      <c r="AN18" s="258"/>
      <c r="AO18" s="258"/>
      <c r="AP18" s="197"/>
      <c r="AQ18" s="1006"/>
      <c r="AR18" s="1007"/>
      <c r="AS18" s="258"/>
      <c r="AT18" s="258"/>
      <c r="AU18" s="197"/>
      <c r="AV18" s="1006"/>
      <c r="AW18" s="1007"/>
      <c r="AX18" s="258"/>
      <c r="AY18" s="258"/>
      <c r="AZ18" s="197"/>
      <c r="BA18" s="1006"/>
      <c r="BB18" s="1007"/>
      <c r="BC18" s="258"/>
      <c r="BD18" s="258"/>
      <c r="BE18" s="197"/>
      <c r="BF18" s="1006"/>
      <c r="BG18" s="1007"/>
      <c r="BH18" s="258"/>
      <c r="BI18" s="258"/>
      <c r="BJ18" s="197"/>
      <c r="BK18" s="1006"/>
      <c r="BL18" s="1007"/>
      <c r="BM18" s="258"/>
      <c r="BN18" s="258"/>
      <c r="BO18" s="197"/>
      <c r="BP18" s="1006"/>
      <c r="BQ18" s="1007"/>
      <c r="BR18" s="258"/>
      <c r="BS18" s="258"/>
      <c r="BT18" s="197"/>
      <c r="BU18" s="1006"/>
      <c r="BV18" s="1007"/>
      <c r="BW18" s="258"/>
      <c r="BX18" s="258"/>
      <c r="BY18" s="197"/>
      <c r="BZ18" s="1006"/>
      <c r="CA18" s="1007"/>
      <c r="CB18" s="258"/>
      <c r="CC18" s="258"/>
      <c r="CD18" s="197"/>
      <c r="CE18" s="1006"/>
      <c r="CF18" s="1007"/>
      <c r="CG18" s="258"/>
      <c r="CH18" s="258"/>
      <c r="CI18" s="197"/>
      <c r="CJ18" s="1006"/>
      <c r="CK18" s="1007"/>
      <c r="CL18" s="258"/>
      <c r="CM18" s="258"/>
      <c r="CN18" s="197"/>
      <c r="CO18" s="1006"/>
      <c r="CP18" s="1007"/>
      <c r="CQ18" s="258"/>
      <c r="CR18" s="258"/>
      <c r="CS18" s="197"/>
      <c r="CT18" s="1006"/>
      <c r="CU18" s="1007"/>
      <c r="CV18" s="258"/>
      <c r="CW18" s="258"/>
      <c r="CX18" s="197"/>
      <c r="CY18" s="1006"/>
      <c r="CZ18" s="1007"/>
      <c r="DA18" s="258"/>
      <c r="DB18" s="258"/>
      <c r="DC18" s="197"/>
      <c r="DD18" s="1006"/>
      <c r="DE18" s="1007"/>
      <c r="DF18" s="258"/>
      <c r="DG18" s="258"/>
      <c r="DH18" s="197"/>
      <c r="DI18" s="1006"/>
      <c r="DJ18" s="1007"/>
      <c r="DK18" s="258"/>
      <c r="DL18" s="258"/>
      <c r="DM18" s="197"/>
      <c r="DN18" s="1006"/>
      <c r="DO18" s="1007"/>
      <c r="DP18" s="258"/>
      <c r="DQ18" s="258"/>
      <c r="DR18" s="197"/>
      <c r="DS18" s="1006"/>
      <c r="DT18" s="1007"/>
      <c r="DU18" s="258"/>
      <c r="DV18" s="258"/>
      <c r="DW18" s="197"/>
      <c r="DX18" s="1006"/>
      <c r="DY18" s="1007"/>
      <c r="DZ18" s="258"/>
      <c r="EA18" s="258"/>
      <c r="EB18" s="197"/>
      <c r="EC18" s="1006"/>
      <c r="ED18" s="1007"/>
      <c r="EE18" s="258"/>
      <c r="EF18" s="258"/>
      <c r="EG18" s="197"/>
      <c r="EH18" s="1006"/>
      <c r="EI18" s="1007"/>
      <c r="EJ18" s="258"/>
      <c r="EK18" s="258"/>
      <c r="EL18" s="197"/>
      <c r="EM18" s="1006"/>
      <c r="EN18" s="1007"/>
      <c r="EO18" s="258"/>
      <c r="EP18" s="258"/>
      <c r="EQ18" s="197"/>
      <c r="ER18" s="1006"/>
      <c r="ES18" s="1007"/>
      <c r="ET18" s="258"/>
      <c r="EU18" s="258"/>
      <c r="EV18" s="197"/>
      <c r="EW18" s="1006"/>
      <c r="EX18" s="1007"/>
      <c r="EY18" s="258"/>
      <c r="EZ18" s="258"/>
      <c r="FA18" s="197"/>
      <c r="FB18" s="1006"/>
      <c r="FC18" s="1007"/>
      <c r="FD18" s="258"/>
      <c r="FE18" s="258"/>
      <c r="FF18" s="197"/>
      <c r="FG18" s="1006"/>
      <c r="FH18" s="1007"/>
      <c r="FI18" s="258"/>
      <c r="FJ18" s="258"/>
      <c r="FK18" s="197"/>
      <c r="FL18" s="1006"/>
      <c r="FM18" s="1007"/>
      <c r="FN18" s="258"/>
      <c r="FO18" s="258"/>
      <c r="FP18" s="197"/>
      <c r="FQ18" s="1006"/>
      <c r="FR18" s="1007"/>
      <c r="FS18" s="258"/>
      <c r="FT18" s="258"/>
      <c r="FU18" s="197"/>
      <c r="FV18" s="1006"/>
      <c r="FW18" s="1007"/>
      <c r="FX18" s="258"/>
      <c r="FY18" s="258"/>
      <c r="FZ18" s="197"/>
      <c r="GA18" s="1006"/>
      <c r="GB18" s="1007"/>
      <c r="GC18" s="258"/>
      <c r="GD18" s="258"/>
      <c r="GE18" s="197"/>
      <c r="GF18" s="1006"/>
      <c r="GG18" s="1007"/>
      <c r="GH18" s="258"/>
      <c r="GI18" s="258"/>
      <c r="GJ18" s="197"/>
      <c r="GK18" s="1340"/>
      <c r="GL18" s="164"/>
      <c r="GM18" s="164"/>
      <c r="GN18" s="164"/>
    </row>
    <row r="19" spans="1:196" ht="12.75" x14ac:dyDescent="0.2">
      <c r="A19" s="1010">
        <f>'Item list'!A19</f>
        <v>45792</v>
      </c>
      <c r="B19" s="243" t="str">
        <f>'Item list'!B19</f>
        <v>6 CNC machine</v>
      </c>
      <c r="C19" s="243" t="str">
        <f>'Item list'!C19</f>
        <v>Machinery</v>
      </c>
      <c r="D19" s="989">
        <f>'Item list'!D19</f>
        <v>4800000000</v>
      </c>
      <c r="E19" s="243">
        <f>'Item list'!E19</f>
        <v>15</v>
      </c>
      <c r="F19" s="1004">
        <f>'Item list'!F19</f>
        <v>45809</v>
      </c>
      <c r="G19" s="243" t="str">
        <f>'Item list'!G19</f>
        <v>SLN</v>
      </c>
      <c r="H19" s="1005" t="e">
        <f t="shared" ref="H19:H96" si="144">IF(DATEDIF($F19,H$16,"D")+1&lt;#REF!*365,
     IF(DATEDIF($F19,H$16,"D")+1&lt;0, "Not yet",
                                               IF(DATEDIF($F19,H$16,"D")+1&lt;365, DATEDIF($F19,H$16,"D")+1,365)),
     IF(DATEDIF($M$16,H$16,"D")+DATEDIF(D$16,H$16,"D")-(DATEDIF($F19,H$16,"D")+1)&gt;0,
        DATEDIF($M$16,H$16,"D")+DATEDIF(D$16,H$16,"D")-(DATEDIF($F19,H$16,"D")+1), "Expired"
))</f>
        <v>#NUM!</v>
      </c>
      <c r="I19" s="243"/>
      <c r="J19" s="243"/>
      <c r="K19" s="243"/>
      <c r="L19" s="197">
        <f t="shared" ref="L19:L96" si="145">E19*365</f>
        <v>5475</v>
      </c>
      <c r="M19" s="1006">
        <f t="shared" ref="M19:M96" si="146">IFERROR(
IF(
    DATEDIF($F19, M$16, "D") + 1 &lt; 0, "Not yet",
       IF(
          DATEDIF($F19,M$16,"D") &lt; DATEDIF(H$16,M$16,"D"),
             DATEDIF($F19,M$16,"D") + 1, DATEDIF(H$16,M$16,"D") + MIN(0,L19-DATEDIF(H$16,M$16,"D")))),0)</f>
        <v>0</v>
      </c>
      <c r="N19" s="1007">
        <f t="shared" ref="N19:N96" ca="1" si="147">O19-J19</f>
        <v>0</v>
      </c>
      <c r="O19" s="258">
        <f ca="1">IF(NOT(L19=0),
IFERROR(_xlfn.SWITCH(
    $G19,
    "SLN", SLN($D19,, $E19*365) * ($L19-Q19),
    "DDB", SUM(DDB($D19,, $E19*365, SEQUENCE(DATEDIF($F20,M$16,"D")+1), IF($E19&lt;=4,1.5,2))),
    ""
), ""),
"--")</f>
        <v>0</v>
      </c>
      <c r="P19" s="258"/>
      <c r="Q19" s="197">
        <f t="shared" ref="Q19:Q96" si="148">IFERROR(L19-M19,$L19)</f>
        <v>5475</v>
      </c>
      <c r="R19" s="1006">
        <f t="shared" ref="R19:R96" si="149">IFERROR(
IF(
    DATEDIF($F19, R$16, "D") + 1 &lt; 0, "Not yet",
       IF(
          DATEDIF($F19,R$16,"D") &lt; DATEDIF(M$16,R$16,"D"),
             DATEDIF($F19,R$16,"D") + 1, DATEDIF(M$16,R$16,"D") + MIN(0,Q19-DATEDIF(M$16,R$16,"D")))),0)</f>
        <v>0</v>
      </c>
      <c r="S19" s="1007">
        <f t="shared" ref="S19:S96" ca="1" si="150">T19-O19</f>
        <v>0</v>
      </c>
      <c r="T19" s="258">
        <f ca="1">IF(NOT(Q19=0),
IFERROR(_xlfn.SWITCH(
    $G19,
    "SLN", SLN($D19,, $E19*365) * ($L19-V19),
    "DDB", SUM(DDB($D19,, $E19*365, SEQUENCE(DATEDIF($F20,R$16,"D")+1), IF($E19&lt;=4,1.5,2))),
    ""
), ""),
"--")</f>
        <v>0</v>
      </c>
      <c r="U19" s="258"/>
      <c r="V19" s="197">
        <f t="shared" ref="V19:V96" si="151">IFERROR(Q19-R19,$L19)</f>
        <v>5475</v>
      </c>
      <c r="W19" s="1006">
        <f t="shared" ref="W19:W96" si="152">IFERROR(
IF(
    DATEDIF($F19, W$16, "D") + 1 &lt; 0, "Not yet",
       IF(
          DATEDIF($F19,W$16,"D") &lt; DATEDIF(R$16,W$16,"D"),
             DATEDIF($F19,W$16,"D") + 1, DATEDIF(R$16,W$16,"D") + MIN(0,V19-DATEDIF(R$16,W$16,"D")))),0)</f>
        <v>0</v>
      </c>
      <c r="X19" s="1007">
        <f t="shared" ref="X19:X96" ca="1" si="153">Y19-T19</f>
        <v>0</v>
      </c>
      <c r="Y19" s="258">
        <f ca="1">IF(NOT(V19=0),
IFERROR(_xlfn.SWITCH(
    $G19,
    "SLN", SLN($D19,, $E19*365) * ($L19-AA19),
    "DDB", SUM(DDB($D19,, $E19*365, SEQUENCE(DATEDIF($F20,W$16,"D")+1), IF($E19&lt;=4,1.5,2))),
    ""
), ""),
"--")</f>
        <v>0</v>
      </c>
      <c r="Z19" s="258"/>
      <c r="AA19" s="197">
        <f t="shared" ref="AA19:AA96" si="154">IFERROR(V19-W19,$L19)</f>
        <v>5475</v>
      </c>
      <c r="AB19" s="1006">
        <f t="shared" ref="AB19:AB96" si="155">IFERROR(
IF(
    DATEDIF($F19, AB$16, "D") + 1 &lt; 0, "Not yet",
       IF(
          DATEDIF($F19,AB$16,"D") &lt; DATEDIF(W$16,AB$16,"D"),
             DATEDIF($F19,AB$16,"D") + 1, DATEDIF(W$16,AB$16,"D") + MIN(0,AA19-DATEDIF(W$16,AB$16,"D")))),0)</f>
        <v>0</v>
      </c>
      <c r="AC19" s="1007">
        <f t="shared" ref="AC19:AC96" ca="1" si="156">AD19-Y19</f>
        <v>0</v>
      </c>
      <c r="AD19" s="258">
        <f ca="1">IF(NOT(AA19=0),
IFERROR(_xlfn.SWITCH(
    $G19,
    "SLN", SLN($D19,, $E19*365) * ($L19-AF19),
    "DDB", SUM(DDB($D19,, $E19*365, SEQUENCE(DATEDIF($F20,AB$16,"D")+1), IF($E19&lt;=4,1.5,2))),
    ""
), ""),
"--")</f>
        <v>0</v>
      </c>
      <c r="AE19" s="258"/>
      <c r="AF19" s="197">
        <f t="shared" ref="AF19:AF96" si="157">IFERROR(AA19-AB19,$L19)</f>
        <v>5475</v>
      </c>
      <c r="AG19" s="1006">
        <f t="shared" ref="AG19:AG96" si="158">IFERROR(
IF(
    DATEDIF($F19, AG$16, "D") + 1 &lt; 0, "Not yet",
       IF(
          DATEDIF($F19,AG$16,"D") &lt; DATEDIF(AB$16,AG$16,"D"),
             DATEDIF($F19,AG$16,"D") + 1, DATEDIF(AB$16,AG$16,"D") + MIN(0,AF19-DATEDIF(AB$16,AG$16,"D")))),0)</f>
        <v>0</v>
      </c>
      <c r="AH19" s="1007">
        <f t="shared" ref="AH19:AH96" ca="1" si="159">AI19-AD19</f>
        <v>0</v>
      </c>
      <c r="AI19" s="258">
        <f ca="1">IF(NOT(AF19=0),
IFERROR(_xlfn.SWITCH(
    $G19,
    "SLN", SLN($D19,, $E19*365) * ($L19-AK19),
    "DDB", SUM(DDB($D19,, $E19*365, SEQUENCE(DATEDIF($F20,AG$16,"D")+1), IF($E19&lt;=4,1.5,2))),
    ""
), ""),
"--")</f>
        <v>0</v>
      </c>
      <c r="AJ19" s="258"/>
      <c r="AK19" s="197">
        <f t="shared" ref="AK19:AK96" si="160">IFERROR(AF19-AG19,$L19)</f>
        <v>5475</v>
      </c>
      <c r="AL19" s="1006">
        <f t="shared" ref="AL19:AL96" si="161">IFERROR(
IF(
    DATEDIF($F19, AL$16, "D") + 1 &lt; 0, "Not yet",
       IF(
          DATEDIF($F19,AL$16,"D") &lt; DATEDIF(AG$16,AL$16,"D"),
             DATEDIF($F19,AL$16,"D") + 1, DATEDIF(AG$16,AL$16,"D") + MIN(0,AK19-DATEDIF(AG$16,AL$16,"D")))),0)</f>
        <v>30</v>
      </c>
      <c r="AM19" s="1007">
        <f t="shared" ref="AM19:AM96" ca="1" si="162">AN19-AI19</f>
        <v>26301369.8630137</v>
      </c>
      <c r="AN19" s="258">
        <f ca="1">IF(NOT(AK19=0),
IFERROR(_xlfn.SWITCH(
    $G19,
    "SLN", SLN($D19,, $E19*365) * ($L19-AP19),
    "DDB", SUM(DDB($D19,, $E19*365, SEQUENCE(DATEDIF($F20,AL$16,"D")+1), IF($E19&lt;=4,1.5,2))),
    ""
), ""),
"--")</f>
        <v>26301369.8630137</v>
      </c>
      <c r="AO19" s="258"/>
      <c r="AP19" s="197">
        <f t="shared" ref="AP19:AP96" si="163">IFERROR(AK19-AL19,$L19)</f>
        <v>5445</v>
      </c>
      <c r="AQ19" s="1006">
        <f t="shared" ref="AQ19:AQ96" si="164">IFERROR(
IF(
    DATEDIF($F19, AQ$16, "D") + 1 &lt; 0, "Not yet",
       IF(
          DATEDIF($F19,AQ$16,"D") &lt; DATEDIF(AL$16,AQ$16,"D"),
             DATEDIF($F19,AQ$16,"D") + 1, DATEDIF(AL$16,AQ$16,"D") + MIN(0,AP19-DATEDIF(AL$16,AQ$16,"D")))),0)</f>
        <v>31</v>
      </c>
      <c r="AR19" s="1007">
        <f t="shared" ref="AR19:AR96" ca="1" si="165">AS19-AN19</f>
        <v>27178082.19178082</v>
      </c>
      <c r="AS19" s="258">
        <f ca="1">IF(NOT(AP19=0),
IFERROR(_xlfn.SWITCH(
    $G19,
    "SLN", SLN($D19,, $E19*365) * ($L19-AU19),
    "DDB", SUM(DDB($D19,, $E19*365, SEQUENCE(DATEDIF($F20,AQ$16,"D")+1), IF($E19&lt;=4,1.5,2))),
    ""
), ""),
"--")</f>
        <v>53479452.05479452</v>
      </c>
      <c r="AT19" s="258"/>
      <c r="AU19" s="197">
        <f t="shared" ref="AU19:AU96" si="166">IFERROR(AP19-AQ19,$L19)</f>
        <v>5414</v>
      </c>
      <c r="AV19" s="1006">
        <f t="shared" ref="AV19:AV96" si="167">IFERROR(
IF(
    DATEDIF($F19, AV$16, "D") + 1 &lt; 0, "Not yet",
       IF(
          DATEDIF($F19,AV$16,"D") &lt; DATEDIF(AQ$16,AV$16,"D"),
             DATEDIF($F19,AV$16,"D") + 1, DATEDIF(AQ$16,AV$16,"D") + MIN(0,AU19-DATEDIF(AQ$16,AV$16,"D")))),0)</f>
        <v>31</v>
      </c>
      <c r="AW19" s="1007">
        <f t="shared" ref="AW19:AW96" ca="1" si="168">AX19-AS19</f>
        <v>27178082.19178082</v>
      </c>
      <c r="AX19" s="258">
        <f ca="1">IF(NOT(AU19=0),
IFERROR(_xlfn.SWITCH(
    $G19,
    "SLN", SLN($D19,, $E19*365) * ($L19-AZ19),
    "DDB", SUM(DDB($D19,, $E19*365, SEQUENCE(DATEDIF($F20,AV$16,"D")+1), IF($E19&lt;=4,1.5,2))),
    ""
), ""),
"--")</f>
        <v>80657534.246575341</v>
      </c>
      <c r="AY19" s="258"/>
      <c r="AZ19" s="197">
        <f t="shared" ref="AZ19:AZ96" si="169">IFERROR(AU19-AV19,$L19)</f>
        <v>5383</v>
      </c>
      <c r="BA19" s="1006">
        <f t="shared" ref="BA19:BA96" si="170">IFERROR(
IF(
    DATEDIF($F19, BA$16, "D") + 1 &lt; 0, "Not yet",
       IF(
          DATEDIF($F19,BA$16,"D") &lt; DATEDIF(AV$16,BA$16,"D"),
             DATEDIF($F19,BA$16,"D") + 1, DATEDIF(AV$16,BA$16,"D") + MIN(0,AZ19-DATEDIF(AV$16,BA$16,"D")))),0)</f>
        <v>30</v>
      </c>
      <c r="BB19" s="1007">
        <f t="shared" ref="BB19:BB96" ca="1" si="171">BC19-AX19</f>
        <v>26301369.8630137</v>
      </c>
      <c r="BC19" s="258">
        <f ca="1">IF(NOT(AZ19=0),
IFERROR(_xlfn.SWITCH(
    $G19,
    "SLN", SLN($D19,, $E19*365) * ($L19-BE19),
    "DDB", SUM(DDB($D19,, $E19*365, SEQUENCE(DATEDIF($F20,BA$16,"D")+1), IF($E19&lt;=4,1.5,2))),
    ""
), ""),
"--")</f>
        <v>106958904.10958904</v>
      </c>
      <c r="BD19" s="258"/>
      <c r="BE19" s="197">
        <f t="shared" ref="BE19:BE96" si="172">IFERROR(AZ19-BA19,$L19)</f>
        <v>5353</v>
      </c>
      <c r="BF19" s="1006">
        <f t="shared" ref="BF19:BF96" si="173">IFERROR(
IF(
    DATEDIF($F19, BF$16, "D") + 1 &lt; 0, "Not yet",
       IF(
          DATEDIF($F19,BF$16,"D") &lt; DATEDIF(BA$16,BF$16,"D"),
             DATEDIF($F19,BF$16,"D") + 1, DATEDIF(BA$16,BF$16,"D") + MIN(0,BE19-DATEDIF(BA$16,BF$16,"D")))),0)</f>
        <v>31</v>
      </c>
      <c r="BG19" s="1007">
        <f t="shared" ref="BG19:BG96" ca="1" si="174">BH19-BC19</f>
        <v>27178082.19178082</v>
      </c>
      <c r="BH19" s="258">
        <f ca="1">IF(NOT(BE19=0),
IFERROR(_xlfn.SWITCH(
    $G19,
    "SLN", SLN($D19,, $E19*365) * ($L19-BJ19),
    "DDB", SUM(DDB($D19,, $E19*365, SEQUENCE(DATEDIF($F20,BF$16,"D")+1), IF($E19&lt;=4,1.5,2))),
    ""
), ""),
"--")</f>
        <v>134136986.30136986</v>
      </c>
      <c r="BI19" s="258"/>
      <c r="BJ19" s="197">
        <f t="shared" ref="BJ19:BJ96" si="175">IFERROR(BE19-BF19,$L19)</f>
        <v>5322</v>
      </c>
      <c r="BK19" s="1006">
        <f t="shared" ref="BK19:BK96" si="176">IFERROR(
IF(
    DATEDIF($F19, BK$16, "D") + 1 &lt; 0, "Not yet",
       IF(
          DATEDIF($F19,BK$16,"D") &lt; DATEDIF(BF$16,BK$16,"D"),
             DATEDIF($F19,BK$16,"D") + 1, DATEDIF(BF$16,BK$16,"D") + MIN(0,BJ19-DATEDIF(BF$16,BK$16,"D")))),0)</f>
        <v>30</v>
      </c>
      <c r="BL19" s="1007">
        <f t="shared" ref="BL19:BL96" ca="1" si="177">BM19-BH19</f>
        <v>26301369.8630137</v>
      </c>
      <c r="BM19" s="258">
        <f ca="1">IF(NOT(BJ19=0),
IFERROR(_xlfn.SWITCH(
    $G19,
    "SLN", SLN($D19,, $E19*365) * ($L19-BO19),
    "DDB", SUM(DDB($D19,, $E19*365, SEQUENCE(DATEDIF($F20,BK$16,"D")+1), IF($E19&lt;=4,1.5,2))),
    ""
), ""),
"--")</f>
        <v>160438356.16438356</v>
      </c>
      <c r="BN19" s="258"/>
      <c r="BO19" s="197">
        <f t="shared" ref="BO19:BO96" si="178">IFERROR(BJ19-BK19,$L19)</f>
        <v>5292</v>
      </c>
      <c r="BP19" s="1006">
        <f t="shared" ref="BP19:BP96" si="179">IFERROR(
IF(
    DATEDIF($F19, BP$16, "D") + 1 &lt; 0, "Not yet",
       IF(
          DATEDIF($F19,BP$16,"D") &lt; DATEDIF(BK$16,BP$16,"D"),
             DATEDIF($F19,BP$16,"D") + 1, DATEDIF(BK$16,BP$16,"D") + MIN(0,BO19-DATEDIF(BK$16,BP$16,"D")))),0)</f>
        <v>31</v>
      </c>
      <c r="BQ19" s="1007">
        <f t="shared" ref="BQ19:BQ96" ca="1" si="180">BR19-BM19</f>
        <v>27178082.191780835</v>
      </c>
      <c r="BR19" s="258">
        <f ca="1">IF(NOT(BO19=0),
IFERROR(_xlfn.SWITCH(
    $G19,
    "SLN", SLN($D19,, $E19*365) * ($L19-BT19),
    "DDB", SUM(DDB($D19,, $E19*365, SEQUENCE(DATEDIF($F20,BP$16,"D")+1), IF($E19&lt;=4,1.5,2))),
    ""
), ""),
"--")</f>
        <v>187616438.3561644</v>
      </c>
      <c r="BS19" s="258"/>
      <c r="BT19" s="197">
        <f t="shared" ref="BT19:BT96" si="181">IFERROR(BO19-BP19,$L19)</f>
        <v>5261</v>
      </c>
      <c r="BU19" s="1006">
        <f t="shared" ref="BU19:BU96" si="182">IFERROR(
IF(
    DATEDIF($F19, BU$16, "D") + 1 &lt; 0, "Not yet",
       IF(
          DATEDIF($F19,BU$16,"D") &lt; DATEDIF(BP$16,BU$16,"D"),
             DATEDIF($F19,BU$16,"D") + 1, DATEDIF(BP$16,BU$16,"D") + MIN(0,BT19-DATEDIF(BP$16,BU$16,"D")))),0)</f>
        <v>31</v>
      </c>
      <c r="BV19" s="1007">
        <f t="shared" ref="BV19:BV96" ca="1" si="183">BW19-BR19</f>
        <v>27178082.191780806</v>
      </c>
      <c r="BW19" s="258">
        <f ca="1">IF(NOT(BT19=0),
IFERROR(_xlfn.SWITCH(
    $G19,
    "SLN", SLN($D19,, $E19*365) * ($L19-BY19),
    "DDB", SUM(DDB($D19,, $E19*365, SEQUENCE(DATEDIF($F20,BU$16,"D")+1), IF($E19&lt;=4,1.5,2))),
    ""
), ""),
"--")</f>
        <v>214794520.5479452</v>
      </c>
      <c r="BX19" s="258"/>
      <c r="BY19" s="197">
        <f t="shared" ref="BY19:BY96" si="184">IFERROR(BT19-BU19,$L19)</f>
        <v>5230</v>
      </c>
      <c r="BZ19" s="1006">
        <f t="shared" ref="BZ19:BZ96" si="185">IFERROR(
IF(
    DATEDIF($F19, BZ$16, "D") + 1 &lt; 0, "Not yet",
       IF(
          DATEDIF($F19,BZ$16,"D") &lt; DATEDIF(BU$16,BZ$16,"D"),
             DATEDIF($F19,BZ$16,"D") + 1, DATEDIF(BU$16,BZ$16,"D") + MIN(0,BY19-DATEDIF(BU$16,BZ$16,"D")))),0)</f>
        <v>28</v>
      </c>
      <c r="CA19" s="1007">
        <f t="shared" ref="CA19:CA96" ca="1" si="186">CB19-BW19</f>
        <v>24547945.205479443</v>
      </c>
      <c r="CB19" s="258">
        <f ca="1">IF(NOT(BY19=0),
IFERROR(_xlfn.SWITCH(
    $G19,
    "SLN", SLN($D19,, $E19*365) * ($L19-CD19),
    "DDB", SUM(DDB($D19,, $E19*365, SEQUENCE(DATEDIF($F20,BZ$16,"D")+1), IF($E19&lt;=4,1.5,2))),
    ""
), ""),
"--")</f>
        <v>239342465.75342464</v>
      </c>
      <c r="CC19" s="258"/>
      <c r="CD19" s="197">
        <f t="shared" ref="CD19:CD96" si="187">IFERROR(BY19-BZ19,$L19)</f>
        <v>5202</v>
      </c>
      <c r="CE19" s="1006">
        <f t="shared" ref="CE19:CE96" si="188">IFERROR(
IF(
    DATEDIF($F19, CE$16, "D") + 1 &lt; 0, "Not yet",
       IF(
          DATEDIF($F19,CE$16,"D") &lt; DATEDIF(BZ$16,CE$16,"D"),
             DATEDIF($F19,CE$16,"D") + 1, DATEDIF(BZ$16,CE$16,"D") + MIN(0,CD19-DATEDIF(BZ$16,CE$16,"D")))),0)</f>
        <v>31</v>
      </c>
      <c r="CF19" s="1007">
        <f t="shared" ref="CF19:CF96" ca="1" si="189">CG19-CB19</f>
        <v>27178082.191780835</v>
      </c>
      <c r="CG19" s="258">
        <f ca="1">IF(NOT(CD19=0),
IFERROR(_xlfn.SWITCH(
    $G19,
    "SLN", SLN($D19,, $E19*365) * ($L19-CI19),
    "DDB", SUM(DDB($D19,, $E19*365, SEQUENCE(DATEDIF($F20,CE$16,"D")+1), IF($E19&lt;=4,1.5,2))),
    ""
), ""),
"--")</f>
        <v>266520547.94520548</v>
      </c>
      <c r="CH19" s="258"/>
      <c r="CI19" s="197">
        <f t="shared" ref="CI19:CI96" si="190">IFERROR(CD19-CE19,$L19)</f>
        <v>5171</v>
      </c>
      <c r="CJ19" s="1006">
        <f t="shared" ref="CJ19:CJ96" si="191">IFERROR(
IF(
    DATEDIF($F19, CJ$16, "D") + 1 &lt; 0, "Not yet",
       IF(
          DATEDIF($F19,CJ$16,"D") &lt; DATEDIF(CE$16,CJ$16,"D"),
             DATEDIF($F19,CJ$16,"D") + 1, DATEDIF(CE$16,CJ$16,"D") + MIN(0,CI19-DATEDIF(CE$16,CJ$16,"D")))),0)</f>
        <v>30</v>
      </c>
      <c r="CK19" s="1007">
        <f t="shared" ref="CK19:CK96" ca="1" si="192">CL19-CG19</f>
        <v>26301369.863013715</v>
      </c>
      <c r="CL19" s="258">
        <f ca="1">IF(NOT(CI19=0),
IFERROR(_xlfn.SWITCH(
    $G19,
    "SLN", SLN($D19,, $E19*365) * ($L19-CN19),
    "DDB", SUM(DDB($D19,, $E19*365, SEQUENCE(DATEDIF($F20,CJ$16,"D")+1), IF($E19&lt;=4,1.5,2))),
    ""
), ""),
"--")</f>
        <v>292821917.80821919</v>
      </c>
      <c r="CM19" s="258"/>
      <c r="CN19" s="197">
        <f t="shared" ref="CN19:CN96" si="193">IFERROR(CI19-CJ19,$L19)</f>
        <v>5141</v>
      </c>
      <c r="CO19" s="1006">
        <f t="shared" ref="CO19:CO96" si="194">IFERROR(
IF(
    DATEDIF($F19, CO$16, "D") + 1 &lt; 0, "Not yet",
       IF(
          DATEDIF($F19,CO$16,"D") &lt; DATEDIF(CJ$16,CO$16,"D"),
             DATEDIF($F19,CO$16,"D") + 1, DATEDIF(CJ$16,CO$16,"D") + MIN(0,CN19-DATEDIF(CJ$16,CO$16,"D")))),0)</f>
        <v>31</v>
      </c>
      <c r="CP19" s="1007">
        <f t="shared" ref="CP19:CP96" ca="1" si="195">CQ19-CL19</f>
        <v>27178082.191780806</v>
      </c>
      <c r="CQ19" s="258">
        <f ca="1">IF(NOT(CN19=0),
IFERROR(_xlfn.SWITCH(
    $G19,
    "SLN", SLN($D19,, $E19*365) * ($L19-CS19),
    "DDB", SUM(DDB($D19,, $E19*365, SEQUENCE(DATEDIF($F20,CO$16,"D")+1), IF($E19&lt;=4,1.5,2))),
    ""
), ""),
"--")</f>
        <v>320000000</v>
      </c>
      <c r="CR19" s="258"/>
      <c r="CS19" s="197">
        <f t="shared" ref="CS19:CS96" si="196">IFERROR(CN19-CO19,$L19)</f>
        <v>5110</v>
      </c>
      <c r="CT19" s="1006">
        <f t="shared" ref="CT19:CT96" si="197">IFERROR(
IF(
    DATEDIF($F19, CT$16, "D") + 1 &lt; 0, "Not yet",
       IF(
          DATEDIF($F19,CT$16,"D") &lt; DATEDIF(CO$16,CT$16,"D"),
             DATEDIF($F19,CT$16,"D") + 1, DATEDIF(CO$16,CT$16,"D") + MIN(0,CS19-DATEDIF(CO$16,CT$16,"D")))),0)</f>
        <v>30</v>
      </c>
      <c r="CU19" s="1007">
        <f t="shared" ref="CU19:CU96" ca="1" si="198">CV19-CQ19</f>
        <v>26301369.863013685</v>
      </c>
      <c r="CV19" s="258">
        <f ca="1">IF(NOT(CS19=0),
IFERROR(_xlfn.SWITCH(
    $G19,
    "SLN", SLN($D19,, $E19*365) * ($L19-CX19),
    "DDB", SUM(DDB($D19,, $E19*365, SEQUENCE(DATEDIF($F20,CT$16,"D")+1), IF($E19&lt;=4,1.5,2))),
    ""
), ""),
"--")</f>
        <v>346301369.86301368</v>
      </c>
      <c r="CW19" s="258"/>
      <c r="CX19" s="197">
        <f t="shared" ref="CX19:CX96" si="199">IFERROR(CS19-CT19,$L19)</f>
        <v>5080</v>
      </c>
      <c r="CY19" s="1006">
        <f t="shared" ref="CY19:CY96" si="200">IFERROR(
IF(
    DATEDIF($F19, CY$16, "D") + 1 &lt; 0, "Not yet",
       IF(
          DATEDIF($F19,CY$16,"D") &lt; DATEDIF(CT$16,CY$16,"D"),
             DATEDIF($F19,CY$16,"D") + 1, DATEDIF(CT$16,CY$16,"D") + MIN(0,CX19-DATEDIF(CT$16,CY$16,"D")))),0)</f>
        <v>31</v>
      </c>
      <c r="CZ19" s="1007">
        <f t="shared" ref="CZ19:CZ96" ca="1" si="201">DA19-CV19</f>
        <v>27178082.191780806</v>
      </c>
      <c r="DA19" s="258">
        <f ca="1">IF(NOT(CX19=0),
IFERROR(_xlfn.SWITCH(
    $G19,
    "SLN", SLN($D19,, $E19*365) * ($L19-DC19),
    "DDB", SUM(DDB($D19,, $E19*365, SEQUENCE(DATEDIF($F20,CY$16,"D")+1), IF($E19&lt;=4,1.5,2))),
    ""
), ""),
"--")</f>
        <v>373479452.05479449</v>
      </c>
      <c r="DB19" s="258"/>
      <c r="DC19" s="197">
        <f t="shared" ref="DC19:DC96" si="202">IFERROR(CX19-CY19,$L19)</f>
        <v>5049</v>
      </c>
      <c r="DD19" s="1006">
        <f t="shared" ref="DD19:DD96" si="203">IFERROR(
IF(
    DATEDIF($F19, DD$16, "D") + 1 &lt; 0, "Not yet",
       IF(
          DATEDIF($F19,DD$16,"D") &lt; DATEDIF(CY$16,DD$16,"D"),
             DATEDIF($F19,DD$16,"D") + 1, DATEDIF(CY$16,DD$16,"D") + MIN(0,DC19-DATEDIF(CY$16,DD$16,"D")))),0)</f>
        <v>31</v>
      </c>
      <c r="DE19" s="1007">
        <f t="shared" ref="DE19:DE96" ca="1" si="204">DF19-DA19</f>
        <v>27178082.191780865</v>
      </c>
      <c r="DF19" s="258">
        <f ca="1">IF(NOT(DC19=0),
IFERROR(_xlfn.SWITCH(
    $G19,
    "SLN", SLN($D19,, $E19*365) * ($L19-DH19),
    "DDB", SUM(DDB($D19,, $E19*365, SEQUENCE(DATEDIF($F20,DD$16,"D")+1), IF($E19&lt;=4,1.5,2))),
    ""
), ""),
"--")</f>
        <v>400657534.24657536</v>
      </c>
      <c r="DG19" s="258"/>
      <c r="DH19" s="197">
        <f t="shared" ref="DH19:DH96" si="205">IFERROR(DC19-DD19,$L19)</f>
        <v>5018</v>
      </c>
      <c r="DI19" s="1006">
        <f t="shared" ref="DI19:DI96" si="206">IFERROR(
IF(
    DATEDIF($F19, DI$16, "D") + 1 &lt; 0, "Not yet",
       IF(
          DATEDIF($F19,DI$16,"D") &lt; DATEDIF(DD$16,DI$16,"D"),
             DATEDIF($F19,DI$16,"D") + 1, DATEDIF(DD$16,DI$16,"D") + MIN(0,DH19-DATEDIF(DD$16,DI$16,"D")))),0)</f>
        <v>30</v>
      </c>
      <c r="DJ19" s="1007">
        <f t="shared" ref="DJ19:DJ96" ca="1" si="207">DK19-DF19</f>
        <v>26301369.863013685</v>
      </c>
      <c r="DK19" s="258">
        <f ca="1">IF(NOT(DH19=0),
IFERROR(_xlfn.SWITCH(
    $G19,
    "SLN", SLN($D19,, $E19*365) * ($L19-DM19),
    "DDB", SUM(DDB($D19,, $E19*365, SEQUENCE(DATEDIF($F20,DI$16,"D")+1), IF($E19&lt;=4,1.5,2))),
    ""
), ""),
"--")</f>
        <v>426958904.10958904</v>
      </c>
      <c r="DL19" s="258"/>
      <c r="DM19" s="197">
        <f t="shared" ref="DM19:DM96" si="208">IFERROR(DH19-DI19,$L19)</f>
        <v>4988</v>
      </c>
      <c r="DN19" s="1006">
        <f t="shared" ref="DN19:DN96" si="209">IFERROR(
IF(
    DATEDIF($F19, DN$16, "D") + 1 &lt; 0, "Not yet",
       IF(
          DATEDIF($F19,DN$16,"D") &lt; DATEDIF(DI$16,DN$16,"D"),
             DATEDIF($F19,DN$16,"D") + 1, DATEDIF(DI$16,DN$16,"D") + MIN(0,DM19-DATEDIF(DI$16,DN$16,"D")))),0)</f>
        <v>31</v>
      </c>
      <c r="DO19" s="1007">
        <f t="shared" ref="DO19:DO96" ca="1" si="210">DP19-DK19</f>
        <v>27178082.191780806</v>
      </c>
      <c r="DP19" s="258">
        <f ca="1">IF(NOT(DM19=0),
IFERROR(_xlfn.SWITCH(
    $G19,
    "SLN", SLN($D19,, $E19*365) * ($L19-DR19),
    "DDB", SUM(DDB($D19,, $E19*365, SEQUENCE(DATEDIF($F20,DN$16,"D")+1), IF($E19&lt;=4,1.5,2))),
    ""
), ""),
"--")</f>
        <v>454136986.30136985</v>
      </c>
      <c r="DQ19" s="258"/>
      <c r="DR19" s="197">
        <f t="shared" ref="DR19:DR96" si="211">IFERROR(DM19-DN19,$L19)</f>
        <v>4957</v>
      </c>
      <c r="DS19" s="1006">
        <f t="shared" ref="DS19:DS96" si="212">IFERROR(
IF(
    DATEDIF($F19, DS$16, "D") + 1 &lt; 0, "Not yet",
       IF(
          DATEDIF($F19,DS$16,"D") &lt; DATEDIF(DN$16,DS$16,"D"),
             DATEDIF($F19,DS$16,"D") + 1, DATEDIF(DN$16,DS$16,"D") + MIN(0,DR19-DATEDIF(DN$16,DS$16,"D")))),0)</f>
        <v>30</v>
      </c>
      <c r="DT19" s="1007">
        <f t="shared" ref="DT19:DT96" ca="1" si="213">DU19-DP19</f>
        <v>26301369.863013685</v>
      </c>
      <c r="DU19" s="258">
        <f ca="1">IF(NOT(DR19=0),
IFERROR(_xlfn.SWITCH(
    $G19,
    "SLN", SLN($D19,, $E19*365) * ($L19-DW19),
    "DDB", SUM(DDB($D19,, $E19*365, SEQUENCE(DATEDIF($F20,DS$16,"D")+1), IF($E19&lt;=4,1.5,2))),
    ""
), ""),
"--")</f>
        <v>480438356.16438353</v>
      </c>
      <c r="DV19" s="258"/>
      <c r="DW19" s="197">
        <f t="shared" ref="DW19:DW96" si="214">IFERROR(DR19-DS19,$L19)</f>
        <v>4927</v>
      </c>
      <c r="DX19" s="1006">
        <f t="shared" ref="DX19:DX96" si="215">IFERROR(
IF(
    DATEDIF($F19, DX$16, "D") + 1 &lt; 0, "Not yet",
       IF(
          DATEDIF($F19,DX$16,"D") &lt; DATEDIF(DS$16,DX$16,"D"),
             DATEDIF($F19,DX$16,"D") + 1, DATEDIF(DS$16,DX$16,"D") + MIN(0,DW19-DATEDIF(DS$16,DX$16,"D")))),0)</f>
        <v>31</v>
      </c>
      <c r="DY19" s="1007">
        <f t="shared" ref="DY19:DY96" ca="1" si="216">DZ19-DU19</f>
        <v>27178082.191780865</v>
      </c>
      <c r="DZ19" s="258">
        <f ca="1">IF(NOT(DW19=0),
IFERROR(_xlfn.SWITCH(
    $G19,
    "SLN", SLN($D19,, $E19*365) * ($L19-EB19),
    "DDB", SUM(DDB($D19,, $E19*365, SEQUENCE(DATEDIF($F20,DX$16,"D")+1), IF($E19&lt;=4,1.5,2))),
    ""
), ""),
"--")</f>
        <v>507616438.3561644</v>
      </c>
      <c r="EA19" s="258"/>
      <c r="EB19" s="197">
        <f t="shared" ref="EB19:EB96" si="217">IFERROR(DW19-DX19,$L19)</f>
        <v>4896</v>
      </c>
      <c r="EC19" s="1006">
        <f t="shared" ref="EC19:EC96" si="218">IFERROR(
IF(
    DATEDIF($F19, EC$16, "D") + 1 &lt; 0, "Not yet",
       IF(
          DATEDIF($F19,EC$16,"D") &lt; DATEDIF(DX$16,EC$16,"D"),
             DATEDIF($F19,EC$16,"D") + 1, DATEDIF(DX$16,EC$16,"D") + MIN(0,EB19-DATEDIF(DX$16,EC$16,"D")))),0)</f>
        <v>31</v>
      </c>
      <c r="ED19" s="1007">
        <f t="shared" ref="ED19:ED96" ca="1" si="219">EE19-DZ19</f>
        <v>27178082.191780806</v>
      </c>
      <c r="EE19" s="258">
        <f ca="1">IF(NOT(EB19=0),
IFERROR(_xlfn.SWITCH(
    $G19,
    "SLN", SLN($D19,, $E19*365) * ($L19-EG19),
    "DDB", SUM(DDB($D19,, $E19*365, SEQUENCE(DATEDIF($F20,EC$16,"D")+1), IF($E19&lt;=4,1.5,2))),
    ""
), ""),
"--")</f>
        <v>534794520.5479452</v>
      </c>
      <c r="EF19" s="258"/>
      <c r="EG19" s="197">
        <f t="shared" ref="EG19:EG96" si="220">IFERROR(EB19-EC19,$L19)</f>
        <v>4865</v>
      </c>
      <c r="EH19" s="1006">
        <f t="shared" ref="EH19:EH96" si="221">IFERROR(
IF(
    DATEDIF($F19, EH$16, "D") + 1 &lt; 0, "Not yet",
       IF(
          DATEDIF($F19,EH$16,"D") &lt; DATEDIF(EC$16,EH$16,"D"),
             DATEDIF($F19,EH$16,"D") + 1, DATEDIF(EC$16,EH$16,"D") + MIN(0,EG19-DATEDIF(EC$16,EH$16,"D")))),0)</f>
        <v>28</v>
      </c>
      <c r="EI19" s="1007">
        <f t="shared" ref="EI19:EI96" ca="1" si="222">EJ19-EE19</f>
        <v>24547945.205479443</v>
      </c>
      <c r="EJ19" s="258">
        <f ca="1">IF(NOT(EG19=0),
IFERROR(_xlfn.SWITCH(
    $G19,
    "SLN", SLN($D19,, $E19*365) * ($L19-EL19),
    "DDB", SUM(DDB($D19,, $E19*365, SEQUENCE(DATEDIF($F20,EH$16,"D")+1), IF($E19&lt;=4,1.5,2))),
    ""
), ""),
"--")</f>
        <v>559342465.75342464</v>
      </c>
      <c r="EK19" s="258"/>
      <c r="EL19" s="197">
        <f t="shared" ref="EL19:EL96" si="223">IFERROR(EG19-EH19,$L19)</f>
        <v>4837</v>
      </c>
      <c r="EM19" s="1006">
        <f t="shared" ref="EM19:EM96" si="224">IFERROR(
IF(
    DATEDIF($F19, EM$16, "D") + 1 &lt; 0, "Not yet",
       IF(
          DATEDIF($F19,EM$16,"D") &lt; DATEDIF(EH$16,EM$16,"D"),
             DATEDIF($F19,EM$16,"D") + 1, DATEDIF(EH$16,EM$16,"D") + MIN(0,EL19-DATEDIF(EH$16,EM$16,"D")))),0)</f>
        <v>31</v>
      </c>
      <c r="EN19" s="1007">
        <f t="shared" ref="EN19:EN96" ca="1" si="225">EO19-EJ19</f>
        <v>27178082.191780806</v>
      </c>
      <c r="EO19" s="258">
        <f ca="1">IF(NOT(EL19=0),
IFERROR(_xlfn.SWITCH(
    $G19,
    "SLN", SLN($D19,, $E19*365) * ($L19-EQ19),
    "DDB", SUM(DDB($D19,, $E19*365, SEQUENCE(DATEDIF($F20,EM$16,"D")+1), IF($E19&lt;=4,1.5,2))),
    ""
), ""),
"--")</f>
        <v>586520547.94520545</v>
      </c>
      <c r="EP19" s="258"/>
      <c r="EQ19" s="197">
        <f t="shared" ref="EQ19:EQ96" si="226">IFERROR(EL19-EM19,$L19)</f>
        <v>4806</v>
      </c>
      <c r="ER19" s="1006">
        <f t="shared" ref="ER19:ER96" si="227">IFERROR(
IF(
    DATEDIF($F19, ER$16, "D") + 1 &lt; 0, "Not yet",
       IF(
          DATEDIF($F19,ER$16,"D") &lt; DATEDIF(EM$16,ER$16,"D"),
             DATEDIF($F19,ER$16,"D") + 1, DATEDIF(EM$16,ER$16,"D") + MIN(0,EQ19-DATEDIF(EM$16,ER$16,"D")))),0)</f>
        <v>30</v>
      </c>
      <c r="ES19" s="1007">
        <f t="shared" ref="ES19:ES96" ca="1" si="228">ET19-EO19</f>
        <v>26301369.863013744</v>
      </c>
      <c r="ET19" s="258">
        <f ca="1">IF(NOT(EQ19=0),
IFERROR(_xlfn.SWITCH(
    $G19,
    "SLN", SLN($D19,, $E19*365) * ($L19-EV19),
    "DDB", SUM(DDB($D19,, $E19*365, SEQUENCE(DATEDIF($F20,ER$16,"D")+1), IF($E19&lt;=4,1.5,2))),
    ""
), ""),
"--")</f>
        <v>612821917.80821919</v>
      </c>
      <c r="EU19" s="258"/>
      <c r="EV19" s="197">
        <f t="shared" ref="EV19:EV96" si="229">IFERROR(EQ19-ER19,$L19)</f>
        <v>4776</v>
      </c>
      <c r="EW19" s="1006">
        <f t="shared" ref="EW19:EW96" si="230">IFERROR(
IF(
    DATEDIF($F19, EW$16, "D") + 1 &lt; 0, "Not yet",
       IF(
          DATEDIF($F19,EW$16,"D") &lt; DATEDIF(ER$16,EW$16,"D"),
             DATEDIF($F19,EW$16,"D") + 1, DATEDIF(ER$16,EW$16,"D") + MIN(0,EV19-DATEDIF(ER$16,EW$16,"D")))),0)</f>
        <v>31</v>
      </c>
      <c r="EX19" s="1007">
        <f t="shared" ref="EX19:EX96" ca="1" si="231">EY19-ET19</f>
        <v>27178082.191780806</v>
      </c>
      <c r="EY19" s="258">
        <f ca="1">IF(NOT(EV19=0),
IFERROR(_xlfn.SWITCH(
    $G19,
    "SLN", SLN($D19,, $E19*365) * ($L19-FA19),
    "DDB", SUM(DDB($D19,, $E19*365, SEQUENCE(DATEDIF($F20,EW$16,"D")+1), IF($E19&lt;=4,1.5,2))),
    ""
), ""),
"--")</f>
        <v>640000000</v>
      </c>
      <c r="EZ19" s="258"/>
      <c r="FA19" s="197">
        <f t="shared" ref="FA19:FA96" si="232">IFERROR(EV19-EW19,$L19)</f>
        <v>4745</v>
      </c>
      <c r="FB19" s="1006">
        <f t="shared" ref="FB19:FB96" si="233">IFERROR(
IF(
    DATEDIF($F19, FB$16, "D") + 1 &lt; 0, "Not yet",
       IF(
          DATEDIF($F19,FB$16,"D") &lt; DATEDIF(EW$16,FB$16,"D"),
             DATEDIF($F19,FB$16,"D") + 1, DATEDIF(EW$16,FB$16,"D") + MIN(0,FA19-DATEDIF(EW$16,FB$16,"D")))),0)</f>
        <v>30</v>
      </c>
      <c r="FC19" s="1007">
        <f t="shared" ref="FC19:FC96" ca="1" si="234">FD19-EY19</f>
        <v>26301369.863013744</v>
      </c>
      <c r="FD19" s="258">
        <f ca="1">IF(NOT(FA19=0),
IFERROR(_xlfn.SWITCH(
    $G19,
    "SLN", SLN($D19,, $E19*365) * ($L19-FF19),
    "DDB", SUM(DDB($D19,, $E19*365, SEQUENCE(DATEDIF($F20,FB$16,"D")+1), IF($E19&lt;=4,1.5,2))),
    ""
), ""),
"--")</f>
        <v>666301369.86301374</v>
      </c>
      <c r="FE19" s="258"/>
      <c r="FF19" s="197">
        <f t="shared" ref="FF19:FF96" si="235">IFERROR(FA19-FB19,$L19)</f>
        <v>4715</v>
      </c>
      <c r="FG19" s="1006">
        <f t="shared" ref="FG19:FG96" si="236">IFERROR(
IF(
    DATEDIF($F19, FG$16, "D") + 1 &lt; 0, "Not yet",
       IF(
          DATEDIF($F19,FG$16,"D") &lt; DATEDIF(FB$16,FG$16,"D"),
             DATEDIF($F19,FG$16,"D") + 1, DATEDIF(FB$16,FG$16,"D") + MIN(0,FF19-DATEDIF(FB$16,FG$16,"D")))),0)</f>
        <v>31</v>
      </c>
      <c r="FH19" s="1007">
        <f t="shared" ref="FH19:FH96" ca="1" si="237">FI19-FD19</f>
        <v>27178082.191780806</v>
      </c>
      <c r="FI19" s="258">
        <f ca="1">IF(NOT(FF19=0),
IFERROR(_xlfn.SWITCH(
    $G19,
    "SLN", SLN($D19,, $E19*365) * ($L19-FK19),
    "DDB", SUM(DDB($D19,, $E19*365, SEQUENCE(DATEDIF($F20,FG$16,"D")+1), IF($E19&lt;=4,1.5,2))),
    ""
), ""),
"--")</f>
        <v>693479452.05479455</v>
      </c>
      <c r="FJ19" s="258"/>
      <c r="FK19" s="197">
        <f t="shared" ref="FK19:FK96" si="238">IFERROR(FF19-FG19,$L19)</f>
        <v>4684</v>
      </c>
      <c r="FL19" s="1006">
        <f t="shared" ref="FL19:FL96" si="239">IFERROR(
IF(
    DATEDIF($F19, FL$16, "D") + 1 &lt; 0, "Not yet",
       IF(
          DATEDIF($F19,FL$16,"D") &lt; DATEDIF(FG$16,FL$16,"D"),
             DATEDIF($F19,FL$16,"D") + 1, DATEDIF(FG$16,FL$16,"D") + MIN(0,FK19-DATEDIF(FG$16,FL$16,"D")))),0)</f>
        <v>31</v>
      </c>
      <c r="FM19" s="1007">
        <f t="shared" ref="FM19:FM96" ca="1" si="240">FN19-FI19</f>
        <v>27178082.191780806</v>
      </c>
      <c r="FN19" s="258">
        <f ca="1">IF(NOT(FK19=0),
IFERROR(_xlfn.SWITCH(
    $G19,
    "SLN", SLN($D19,, $E19*365) * ($L19-FP19),
    "DDB", SUM(DDB($D19,, $E19*365, SEQUENCE(DATEDIF($F20,FL$16,"D")+1), IF($E19&lt;=4,1.5,2))),
    ""
), ""),
"--")</f>
        <v>720657534.24657536</v>
      </c>
      <c r="FO19" s="258"/>
      <c r="FP19" s="197">
        <f t="shared" ref="FP19:FP96" si="241">IFERROR(FK19-FL19,$L19)</f>
        <v>4653</v>
      </c>
      <c r="FQ19" s="1006">
        <f t="shared" ref="FQ19:FQ96" si="242">IFERROR(
IF(
    DATEDIF($F19, FQ$16, "D") + 1 &lt; 0, "Not yet",
       IF(
          DATEDIF($F19,FQ$16,"D") &lt; DATEDIF(FL$16,FQ$16,"D"),
             DATEDIF($F19,FQ$16,"D") + 1, DATEDIF(FL$16,FQ$16,"D") + MIN(0,FP19-DATEDIF(FL$16,FQ$16,"D")))),0)</f>
        <v>30</v>
      </c>
      <c r="FR19" s="1007">
        <f t="shared" ref="FR19:FR96" ca="1" si="243">FS19-FN19</f>
        <v>26301369.863013625</v>
      </c>
      <c r="FS19" s="258">
        <f ca="1">IF(NOT(FP19=0),
IFERROR(_xlfn.SWITCH(
    $G19,
    "SLN", SLN($D19,, $E19*365) * ($L19-FU19),
    "DDB", SUM(DDB($D19,, $E19*365, SEQUENCE(DATEDIF($F20,FQ$16,"D")+1), IF($E19&lt;=4,1.5,2))),
    ""
), ""),
"--")</f>
        <v>746958904.10958898</v>
      </c>
      <c r="FT19" s="258"/>
      <c r="FU19" s="197">
        <f t="shared" ref="FU19:FU96" si="244">IFERROR(FP19-FQ19,$L19)</f>
        <v>4623</v>
      </c>
      <c r="FV19" s="1006">
        <f t="shared" ref="FV19:FV96" si="245">IFERROR(
IF(
    DATEDIF($F19, FV$16, "D") + 1 &lt; 0, "Not yet",
       IF(
          DATEDIF($F19,FV$16,"D") &lt; DATEDIF(FQ$16,FV$16,"D"),
             DATEDIF($F19,FV$16,"D") + 1, DATEDIF(FQ$16,FV$16,"D") + MIN(0,FU19-DATEDIF(FQ$16,FV$16,"D")))),0)</f>
        <v>31</v>
      </c>
      <c r="FW19" s="1007">
        <f t="shared" ref="FW19:FW96" ca="1" si="246">FX19-FS19</f>
        <v>27178082.191780925</v>
      </c>
      <c r="FX19" s="258">
        <f ca="1">IF(NOT(FU19=0),
IFERROR(_xlfn.SWITCH(
    $G19,
    "SLN", SLN($D19,, $E19*365) * ($L19-FZ19),
    "DDB", SUM(DDB($D19,, $E19*365, SEQUENCE(DATEDIF($F20,FV$16,"D")+1), IF($E19&lt;=4,1.5,2))),
    ""
), ""),
"--")</f>
        <v>774136986.30136991</v>
      </c>
      <c r="FY19" s="258"/>
      <c r="FZ19" s="197">
        <f t="shared" ref="FZ19:FZ96" si="247">IFERROR(FU19-FV19,$L19)</f>
        <v>4592</v>
      </c>
      <c r="GA19" s="1006">
        <f t="shared" ref="GA19:GA96" si="248">IFERROR(
IF(
    DATEDIF($F19, GA$16, "D") + 1 &lt; 0, "Not yet",
       IF(
          DATEDIF($F19,GA$16,"D") &lt; DATEDIF(FV$16,GA$16,"D"),
             DATEDIF($F19,GA$16,"D") + 1, DATEDIF(FV$16,GA$16,"D") + MIN(0,FZ19-DATEDIF(FV$16,GA$16,"D")))),0)</f>
        <v>30</v>
      </c>
      <c r="GB19" s="1007">
        <f t="shared" ref="GB19:GB96" ca="1" si="249">GC19-FX19</f>
        <v>26301369.863013625</v>
      </c>
      <c r="GC19" s="258">
        <f ca="1">IF(NOT(FZ19=0),
IFERROR(_xlfn.SWITCH(
    $G19,
    "SLN", SLN($D19,, $E19*365) * ($L19-GE19),
    "DDB", SUM(DDB($D19,, $E19*365, SEQUENCE(DATEDIF($F20,GA$16,"D")+1), IF($E19&lt;=4,1.5,2))),
    ""
), ""),
"--")</f>
        <v>800438356.16438353</v>
      </c>
      <c r="GD19" s="258"/>
      <c r="GE19" s="197">
        <f t="shared" ref="GE19:GE96" si="250">IFERROR(FZ19-GA19,$L19)</f>
        <v>4562</v>
      </c>
      <c r="GF19" s="1006">
        <f t="shared" ref="GF19:GF96" si="251">IFERROR(
IF(
    DATEDIF($F19, GF$16, "D") + 1 &lt; 0, "Not yet",
       IF(
          DATEDIF($F19,GF$16,"D") &lt; DATEDIF(GA$16,GF$16,"D"),
             DATEDIF($F19,GF$16,"D") + 1, DATEDIF(GA$16,GF$16,"D") + MIN(0,GE19-DATEDIF(GA$16,GF$16,"D")))),0)</f>
        <v>31</v>
      </c>
      <c r="GG19" s="1007">
        <f t="shared" ref="GG19:GG96" ca="1" si="252">GH19-GC19</f>
        <v>27178082.191780806</v>
      </c>
      <c r="GH19" s="258">
        <f ca="1">IF(NOT(GE19=0),
IFERROR(_xlfn.SWITCH(
    $G19,
    "SLN", SLN($D19,, $E19*365) * ($L19-GJ19),
    "DDB", SUM(DDB($D19,, $E19*365, SEQUENCE(DATEDIF($F20,GF$16,"D")+1), IF($E19&lt;=4,1.5,2))),
    ""
), ""),
"--")</f>
        <v>827616438.35616434</v>
      </c>
      <c r="GI19" s="258"/>
      <c r="GJ19" s="197">
        <f t="shared" ref="GJ19:GJ96" si="253">IFERROR(GE19-GF19,$L19)</f>
        <v>4531</v>
      </c>
      <c r="GK19" s="1340"/>
      <c r="GL19" s="164"/>
      <c r="GM19" s="164"/>
      <c r="GN19" s="164"/>
    </row>
    <row r="20" spans="1:196" ht="12.75" x14ac:dyDescent="0.2">
      <c r="A20" s="1010">
        <f>'Item list'!A20</f>
        <v>45792</v>
      </c>
      <c r="B20" s="243" t="str">
        <f>'Item list'!B20</f>
        <v>3 Laser cutting machine</v>
      </c>
      <c r="C20" s="243" t="str">
        <f>'Item list'!C20</f>
        <v>Machinery</v>
      </c>
      <c r="D20" s="989">
        <f>'Item list'!D20</f>
        <v>3600000000</v>
      </c>
      <c r="E20" s="243">
        <f>'Item list'!E20</f>
        <v>15</v>
      </c>
      <c r="F20" s="1004">
        <f>'Item list'!F20</f>
        <v>45809</v>
      </c>
      <c r="G20" s="243" t="str">
        <f>'Item list'!G20</f>
        <v>SLN</v>
      </c>
      <c r="H20" s="1005" t="e">
        <f t="shared" si="144"/>
        <v>#NUM!</v>
      </c>
      <c r="I20" s="243"/>
      <c r="J20" s="243"/>
      <c r="K20" s="243"/>
      <c r="L20" s="197">
        <f t="shared" si="145"/>
        <v>5475</v>
      </c>
      <c r="M20" s="1006">
        <f t="shared" si="146"/>
        <v>0</v>
      </c>
      <c r="N20" s="1007">
        <f t="shared" ca="1" si="147"/>
        <v>0</v>
      </c>
      <c r="O20" s="258">
        <f t="shared" ref="O20:O83" ca="1" si="254">IF(NOT(L20=0),
IFERROR(_xlfn.SWITCH(
    $G20,
    "SLN", SLN($D20,, $E20*365) * ($L20-Q20),
    "DDB", SUM(DDB($D20,, $E20*365, SEQUENCE(DATEDIF($F21,M$16,"D")+1), IF($E20&lt;=4,1.5,2))),
    ""
), ""),
"--")</f>
        <v>0</v>
      </c>
      <c r="P20" s="258"/>
      <c r="Q20" s="197">
        <f t="shared" si="148"/>
        <v>5475</v>
      </c>
      <c r="R20" s="1006">
        <f t="shared" si="149"/>
        <v>0</v>
      </c>
      <c r="S20" s="1007">
        <f t="shared" ca="1" si="150"/>
        <v>0</v>
      </c>
      <c r="T20" s="258">
        <f t="shared" ref="T20:T83" ca="1" si="255">IF(NOT(Q20=0),
IFERROR(_xlfn.SWITCH(
    $G20,
    "SLN", SLN($D20,, $E20*365) * ($L20-V20),
    "DDB", SUM(DDB($D20,, $E20*365, SEQUENCE(DATEDIF($F21,R$16,"D")+1), IF($E20&lt;=4,1.5,2))),
    ""
), ""),
"--")</f>
        <v>0</v>
      </c>
      <c r="U20" s="258"/>
      <c r="V20" s="197">
        <f t="shared" si="151"/>
        <v>5475</v>
      </c>
      <c r="W20" s="1006">
        <f t="shared" si="152"/>
        <v>0</v>
      </c>
      <c r="X20" s="1007">
        <f t="shared" ca="1" si="153"/>
        <v>0</v>
      </c>
      <c r="Y20" s="258">
        <f t="shared" ref="Y20:Y83" ca="1" si="256">IF(NOT(V20=0),
IFERROR(_xlfn.SWITCH(
    $G20,
    "SLN", SLN($D20,, $E20*365) * ($L20-AA20),
    "DDB", SUM(DDB($D20,, $E20*365, SEQUENCE(DATEDIF($F21,W$16,"D")+1), IF($E20&lt;=4,1.5,2))),
    ""
), ""),
"--")</f>
        <v>0</v>
      </c>
      <c r="Z20" s="258"/>
      <c r="AA20" s="197">
        <f t="shared" si="154"/>
        <v>5475</v>
      </c>
      <c r="AB20" s="1006">
        <f t="shared" si="155"/>
        <v>0</v>
      </c>
      <c r="AC20" s="1007">
        <f t="shared" ca="1" si="156"/>
        <v>0</v>
      </c>
      <c r="AD20" s="258">
        <f t="shared" ref="AD20:AD83" ca="1" si="257">IF(NOT(AA20=0),
IFERROR(_xlfn.SWITCH(
    $G20,
    "SLN", SLN($D20,, $E20*365) * ($L20-AF20),
    "DDB", SUM(DDB($D20,, $E20*365, SEQUENCE(DATEDIF($F21,AB$16,"D")+1), IF($E20&lt;=4,1.5,2))),
    ""
), ""),
"--")</f>
        <v>0</v>
      </c>
      <c r="AE20" s="258"/>
      <c r="AF20" s="197">
        <f t="shared" si="157"/>
        <v>5475</v>
      </c>
      <c r="AG20" s="1006">
        <f t="shared" si="158"/>
        <v>0</v>
      </c>
      <c r="AH20" s="1007">
        <f t="shared" ca="1" si="159"/>
        <v>0</v>
      </c>
      <c r="AI20" s="258">
        <f t="shared" ref="AI20:AI83" ca="1" si="258">IF(NOT(AF20=0),
IFERROR(_xlfn.SWITCH(
    $G20,
    "SLN", SLN($D20,, $E20*365) * ($L20-AK20),
    "DDB", SUM(DDB($D20,, $E20*365, SEQUENCE(DATEDIF($F21,AG$16,"D")+1), IF($E20&lt;=4,1.5,2))),
    ""
), ""),
"--")</f>
        <v>0</v>
      </c>
      <c r="AJ20" s="258"/>
      <c r="AK20" s="197">
        <f t="shared" si="160"/>
        <v>5475</v>
      </c>
      <c r="AL20" s="1006">
        <f t="shared" si="161"/>
        <v>30</v>
      </c>
      <c r="AM20" s="1007">
        <f t="shared" ca="1" si="162"/>
        <v>19726027.397260275</v>
      </c>
      <c r="AN20" s="258">
        <f t="shared" ref="AN20:AN83" ca="1" si="259">IF(NOT(AK20=0),
IFERROR(_xlfn.SWITCH(
    $G20,
    "SLN", SLN($D20,, $E20*365) * ($L20-AP20),
    "DDB", SUM(DDB($D20,, $E20*365, SEQUENCE(DATEDIF($F21,AL$16,"D")+1), IF($E20&lt;=4,1.5,2))),
    ""
), ""),
"--")</f>
        <v>19726027.397260275</v>
      </c>
      <c r="AO20" s="258"/>
      <c r="AP20" s="197">
        <f t="shared" si="163"/>
        <v>5445</v>
      </c>
      <c r="AQ20" s="1006">
        <f t="shared" si="164"/>
        <v>31</v>
      </c>
      <c r="AR20" s="1007">
        <f t="shared" ca="1" si="165"/>
        <v>20383561.643835615</v>
      </c>
      <c r="AS20" s="258">
        <f t="shared" ref="AS20:AS83" ca="1" si="260">IF(NOT(AP20=0),
IFERROR(_xlfn.SWITCH(
    $G20,
    "SLN", SLN($D20,, $E20*365) * ($L20-AU20),
    "DDB", SUM(DDB($D20,, $E20*365, SEQUENCE(DATEDIF($F21,AQ$16,"D")+1), IF($E20&lt;=4,1.5,2))),
    ""
), ""),
"--")</f>
        <v>40109589.04109589</v>
      </c>
      <c r="AT20" s="258"/>
      <c r="AU20" s="197">
        <f t="shared" si="166"/>
        <v>5414</v>
      </c>
      <c r="AV20" s="1006">
        <f t="shared" si="167"/>
        <v>31</v>
      </c>
      <c r="AW20" s="1007">
        <f t="shared" ca="1" si="168"/>
        <v>20383561.643835619</v>
      </c>
      <c r="AX20" s="258">
        <f t="shared" ref="AX20:AX83" ca="1" si="261">IF(NOT(AU20=0),
IFERROR(_xlfn.SWITCH(
    $G20,
    "SLN", SLN($D20,, $E20*365) * ($L20-AZ20),
    "DDB", SUM(DDB($D20,, $E20*365, SEQUENCE(DATEDIF($F21,AV$16,"D")+1), IF($E20&lt;=4,1.5,2))),
    ""
), ""),
"--")</f>
        <v>60493150.684931509</v>
      </c>
      <c r="AY20" s="258"/>
      <c r="AZ20" s="197">
        <f t="shared" si="169"/>
        <v>5383</v>
      </c>
      <c r="BA20" s="1006">
        <f t="shared" si="170"/>
        <v>30</v>
      </c>
      <c r="BB20" s="1007">
        <f t="shared" ca="1" si="171"/>
        <v>19726027.397260271</v>
      </c>
      <c r="BC20" s="258">
        <f t="shared" ref="BC20:BC83" ca="1" si="262">IF(NOT(AZ20=0),
IFERROR(_xlfn.SWITCH(
    $G20,
    "SLN", SLN($D20,, $E20*365) * ($L20-BE20),
    "DDB", SUM(DDB($D20,, $E20*365, SEQUENCE(DATEDIF($F21,BA$16,"D")+1), IF($E20&lt;=4,1.5,2))),
    ""
), ""),
"--")</f>
        <v>80219178.08219178</v>
      </c>
      <c r="BD20" s="258"/>
      <c r="BE20" s="197">
        <f t="shared" si="172"/>
        <v>5353</v>
      </c>
      <c r="BF20" s="1006">
        <f t="shared" si="173"/>
        <v>31</v>
      </c>
      <c r="BG20" s="1007">
        <f t="shared" ca="1" si="174"/>
        <v>20383561.643835619</v>
      </c>
      <c r="BH20" s="258">
        <f t="shared" ref="BH20:BH83" ca="1" si="263">IF(NOT(BE20=0),
IFERROR(_xlfn.SWITCH(
    $G20,
    "SLN", SLN($D20,, $E20*365) * ($L20-BJ20),
    "DDB", SUM(DDB($D20,, $E20*365, SEQUENCE(DATEDIF($F21,BF$16,"D")+1), IF($E20&lt;=4,1.5,2))),
    ""
), ""),
"--")</f>
        <v>100602739.7260274</v>
      </c>
      <c r="BI20" s="258"/>
      <c r="BJ20" s="197">
        <f t="shared" si="175"/>
        <v>5322</v>
      </c>
      <c r="BK20" s="1006">
        <f t="shared" si="176"/>
        <v>30</v>
      </c>
      <c r="BL20" s="1007">
        <f t="shared" ca="1" si="177"/>
        <v>19726027.397260278</v>
      </c>
      <c r="BM20" s="258">
        <f t="shared" ref="BM20:BM83" ca="1" si="264">IF(NOT(BJ20=0),
IFERROR(_xlfn.SWITCH(
    $G20,
    "SLN", SLN($D20,, $E20*365) * ($L20-BO20),
    "DDB", SUM(DDB($D20,, $E20*365, SEQUENCE(DATEDIF($F21,BK$16,"D")+1), IF($E20&lt;=4,1.5,2))),
    ""
), ""),
"--")</f>
        <v>120328767.12328768</v>
      </c>
      <c r="BN20" s="258"/>
      <c r="BO20" s="197">
        <f t="shared" si="178"/>
        <v>5292</v>
      </c>
      <c r="BP20" s="1006">
        <f t="shared" si="179"/>
        <v>31</v>
      </c>
      <c r="BQ20" s="1007">
        <f t="shared" ca="1" si="180"/>
        <v>20383561.643835604</v>
      </c>
      <c r="BR20" s="258">
        <f t="shared" ref="BR20:BR83" ca="1" si="265">IF(NOT(BO20=0),
IFERROR(_xlfn.SWITCH(
    $G20,
    "SLN", SLN($D20,, $E20*365) * ($L20-BT20),
    "DDB", SUM(DDB($D20,, $E20*365, SEQUENCE(DATEDIF($F21,BP$16,"D")+1), IF($E20&lt;=4,1.5,2))),
    ""
), ""),
"--")</f>
        <v>140712328.76712328</v>
      </c>
      <c r="BS20" s="258"/>
      <c r="BT20" s="197">
        <f t="shared" si="181"/>
        <v>5261</v>
      </c>
      <c r="BU20" s="1006">
        <f t="shared" si="182"/>
        <v>31</v>
      </c>
      <c r="BV20" s="1007">
        <f t="shared" ca="1" si="183"/>
        <v>20383561.643835634</v>
      </c>
      <c r="BW20" s="258">
        <f t="shared" ref="BW20:BW83" ca="1" si="266">IF(NOT(BT20=0),
IFERROR(_xlfn.SWITCH(
    $G20,
    "SLN", SLN($D20,, $E20*365) * ($L20-BY20),
    "DDB", SUM(DDB($D20,, $E20*365, SEQUENCE(DATEDIF($F21,BU$16,"D")+1), IF($E20&lt;=4,1.5,2))),
    ""
), ""),
"--")</f>
        <v>161095890.41095892</v>
      </c>
      <c r="BX20" s="258"/>
      <c r="BY20" s="197">
        <f t="shared" si="184"/>
        <v>5230</v>
      </c>
      <c r="BZ20" s="1006">
        <f t="shared" si="185"/>
        <v>28</v>
      </c>
      <c r="CA20" s="1007">
        <f t="shared" ca="1" si="186"/>
        <v>18410958.904109597</v>
      </c>
      <c r="CB20" s="258">
        <f t="shared" ref="CB20:CB83" ca="1" si="267">IF(NOT(BY20=0),
IFERROR(_xlfn.SWITCH(
    $G20,
    "SLN", SLN($D20,, $E20*365) * ($L20-CD20),
    "DDB", SUM(DDB($D20,, $E20*365, SEQUENCE(DATEDIF($F21,BZ$16,"D")+1), IF($E20&lt;=4,1.5,2))),
    ""
), ""),
"--")</f>
        <v>179506849.31506851</v>
      </c>
      <c r="CC20" s="258"/>
      <c r="CD20" s="197">
        <f t="shared" si="187"/>
        <v>5202</v>
      </c>
      <c r="CE20" s="1006">
        <f t="shared" si="188"/>
        <v>31</v>
      </c>
      <c r="CF20" s="1007">
        <f t="shared" ca="1" si="189"/>
        <v>20383561.643835604</v>
      </c>
      <c r="CG20" s="258">
        <f t="shared" ref="CG20:CG83" ca="1" si="268">IF(NOT(CD20=0),
IFERROR(_xlfn.SWITCH(
    $G20,
    "SLN", SLN($D20,, $E20*365) * ($L20-CI20),
    "DDB", SUM(DDB($D20,, $E20*365, SEQUENCE(DATEDIF($F21,CE$16,"D")+1), IF($E20&lt;=4,1.5,2))),
    ""
), ""),
"--")</f>
        <v>199890410.95890412</v>
      </c>
      <c r="CH20" s="258"/>
      <c r="CI20" s="197">
        <f t="shared" si="190"/>
        <v>5171</v>
      </c>
      <c r="CJ20" s="1006">
        <f t="shared" si="191"/>
        <v>30</v>
      </c>
      <c r="CK20" s="1007">
        <f t="shared" ca="1" si="192"/>
        <v>19726027.397260278</v>
      </c>
      <c r="CL20" s="258">
        <f t="shared" ref="CL20:CL83" ca="1" si="269">IF(NOT(CI20=0),
IFERROR(_xlfn.SWITCH(
    $G20,
    "SLN", SLN($D20,, $E20*365) * ($L20-CN20),
    "DDB", SUM(DDB($D20,, $E20*365, SEQUENCE(DATEDIF($F21,CJ$16,"D")+1), IF($E20&lt;=4,1.5,2))),
    ""
), ""),
"--")</f>
        <v>219616438.3561644</v>
      </c>
      <c r="CM20" s="258"/>
      <c r="CN20" s="197">
        <f t="shared" si="193"/>
        <v>5141</v>
      </c>
      <c r="CO20" s="1006">
        <f t="shared" si="194"/>
        <v>31</v>
      </c>
      <c r="CP20" s="1007">
        <f t="shared" ca="1" si="195"/>
        <v>20383561.643835604</v>
      </c>
      <c r="CQ20" s="258">
        <f t="shared" ref="CQ20:CQ83" ca="1" si="270">IF(NOT(CN20=0),
IFERROR(_xlfn.SWITCH(
    $G20,
    "SLN", SLN($D20,, $E20*365) * ($L20-CS20),
    "DDB", SUM(DDB($D20,, $E20*365, SEQUENCE(DATEDIF($F21,CO$16,"D")+1), IF($E20&lt;=4,1.5,2))),
    ""
), ""),
"--")</f>
        <v>240000000</v>
      </c>
      <c r="CR20" s="258"/>
      <c r="CS20" s="197">
        <f t="shared" si="196"/>
        <v>5110</v>
      </c>
      <c r="CT20" s="1006">
        <f t="shared" si="197"/>
        <v>30</v>
      </c>
      <c r="CU20" s="1007">
        <f t="shared" ca="1" si="198"/>
        <v>19726027.397260278</v>
      </c>
      <c r="CV20" s="258">
        <f t="shared" ref="CV20:CV83" ca="1" si="271">IF(NOT(CS20=0),
IFERROR(_xlfn.SWITCH(
    $G20,
    "SLN", SLN($D20,, $E20*365) * ($L20-CX20),
    "DDB", SUM(DDB($D20,, $E20*365, SEQUENCE(DATEDIF($F21,CT$16,"D")+1), IF($E20&lt;=4,1.5,2))),
    ""
), ""),
"--")</f>
        <v>259726027.39726028</v>
      </c>
      <c r="CW20" s="258"/>
      <c r="CX20" s="197">
        <f t="shared" si="199"/>
        <v>5080</v>
      </c>
      <c r="CY20" s="1006">
        <f t="shared" si="200"/>
        <v>31</v>
      </c>
      <c r="CZ20" s="1007">
        <f t="shared" ca="1" si="201"/>
        <v>20383561.643835634</v>
      </c>
      <c r="DA20" s="258">
        <f t="shared" ref="DA20:DA83" ca="1" si="272">IF(NOT(CX20=0),
IFERROR(_xlfn.SWITCH(
    $G20,
    "SLN", SLN($D20,, $E20*365) * ($L20-DC20),
    "DDB", SUM(DDB($D20,, $E20*365, SEQUENCE(DATEDIF($F21,CY$16,"D")+1), IF($E20&lt;=4,1.5,2))),
    ""
), ""),
"--")</f>
        <v>280109589.04109591</v>
      </c>
      <c r="DB20" s="258"/>
      <c r="DC20" s="197">
        <f t="shared" si="202"/>
        <v>5049</v>
      </c>
      <c r="DD20" s="1006">
        <f t="shared" si="203"/>
        <v>31</v>
      </c>
      <c r="DE20" s="1007">
        <f t="shared" ca="1" si="204"/>
        <v>20383561.643835604</v>
      </c>
      <c r="DF20" s="258">
        <f t="shared" ref="DF20:DF83" ca="1" si="273">IF(NOT(DC20=0),
IFERROR(_xlfn.SWITCH(
    $G20,
    "SLN", SLN($D20,, $E20*365) * ($L20-DH20),
    "DDB", SUM(DDB($D20,, $E20*365, SEQUENCE(DATEDIF($F21,DD$16,"D")+1), IF($E20&lt;=4,1.5,2))),
    ""
), ""),
"--")</f>
        <v>300493150.68493152</v>
      </c>
      <c r="DG20" s="258"/>
      <c r="DH20" s="197">
        <f t="shared" si="205"/>
        <v>5018</v>
      </c>
      <c r="DI20" s="1006">
        <f t="shared" si="206"/>
        <v>30</v>
      </c>
      <c r="DJ20" s="1007">
        <f t="shared" ca="1" si="207"/>
        <v>19726027.397260249</v>
      </c>
      <c r="DK20" s="258">
        <f t="shared" ref="DK20:DK83" ca="1" si="274">IF(NOT(DH20=0),
IFERROR(_xlfn.SWITCH(
    $G20,
    "SLN", SLN($D20,, $E20*365) * ($L20-DM20),
    "DDB", SUM(DDB($D20,, $E20*365, SEQUENCE(DATEDIF($F21,DI$16,"D")+1), IF($E20&lt;=4,1.5,2))),
    ""
), ""),
"--")</f>
        <v>320219178.08219177</v>
      </c>
      <c r="DL20" s="258"/>
      <c r="DM20" s="197">
        <f t="shared" si="208"/>
        <v>4988</v>
      </c>
      <c r="DN20" s="1006">
        <f t="shared" si="209"/>
        <v>31</v>
      </c>
      <c r="DO20" s="1007">
        <f t="shared" ca="1" si="210"/>
        <v>20383561.643835664</v>
      </c>
      <c r="DP20" s="258">
        <f t="shared" ref="DP20:DP83" ca="1" si="275">IF(NOT(DM20=0),
IFERROR(_xlfn.SWITCH(
    $G20,
    "SLN", SLN($D20,, $E20*365) * ($L20-DR20),
    "DDB", SUM(DDB($D20,, $E20*365, SEQUENCE(DATEDIF($F21,DN$16,"D")+1), IF($E20&lt;=4,1.5,2))),
    ""
), ""),
"--")</f>
        <v>340602739.72602743</v>
      </c>
      <c r="DQ20" s="258"/>
      <c r="DR20" s="197">
        <f t="shared" si="211"/>
        <v>4957</v>
      </c>
      <c r="DS20" s="1006">
        <f t="shared" si="212"/>
        <v>30</v>
      </c>
      <c r="DT20" s="1007">
        <f t="shared" ca="1" si="213"/>
        <v>19726027.397260249</v>
      </c>
      <c r="DU20" s="258">
        <f t="shared" ref="DU20:DU83" ca="1" si="276">IF(NOT(DR20=0),
IFERROR(_xlfn.SWITCH(
    $G20,
    "SLN", SLN($D20,, $E20*365) * ($L20-DW20),
    "DDB", SUM(DDB($D20,, $E20*365, SEQUENCE(DATEDIF($F21,DS$16,"D")+1), IF($E20&lt;=4,1.5,2))),
    ""
), ""),
"--")</f>
        <v>360328767.12328768</v>
      </c>
      <c r="DV20" s="258"/>
      <c r="DW20" s="197">
        <f t="shared" si="214"/>
        <v>4927</v>
      </c>
      <c r="DX20" s="1006">
        <f t="shared" si="215"/>
        <v>31</v>
      </c>
      <c r="DY20" s="1007">
        <f t="shared" ca="1" si="216"/>
        <v>20383561.643835604</v>
      </c>
      <c r="DZ20" s="258">
        <f t="shared" ref="DZ20:DZ83" ca="1" si="277">IF(NOT(DW20=0),
IFERROR(_xlfn.SWITCH(
    $G20,
    "SLN", SLN($D20,, $E20*365) * ($L20-EB20),
    "DDB", SUM(DDB($D20,, $E20*365, SEQUENCE(DATEDIF($F21,DX$16,"D")+1), IF($E20&lt;=4,1.5,2))),
    ""
), ""),
"--")</f>
        <v>380712328.76712328</v>
      </c>
      <c r="EA20" s="258"/>
      <c r="EB20" s="197">
        <f t="shared" si="217"/>
        <v>4896</v>
      </c>
      <c r="EC20" s="1006">
        <f t="shared" si="218"/>
        <v>31</v>
      </c>
      <c r="ED20" s="1007">
        <f t="shared" ca="1" si="219"/>
        <v>20383561.643835664</v>
      </c>
      <c r="EE20" s="258">
        <f t="shared" ref="EE20:EE83" ca="1" si="278">IF(NOT(EB20=0),
IFERROR(_xlfn.SWITCH(
    $G20,
    "SLN", SLN($D20,, $E20*365) * ($L20-EG20),
    "DDB", SUM(DDB($D20,, $E20*365, SEQUENCE(DATEDIF($F21,EC$16,"D")+1), IF($E20&lt;=4,1.5,2))),
    ""
), ""),
"--")</f>
        <v>401095890.41095895</v>
      </c>
      <c r="EF20" s="258"/>
      <c r="EG20" s="197">
        <f t="shared" si="220"/>
        <v>4865</v>
      </c>
      <c r="EH20" s="1006">
        <f t="shared" si="221"/>
        <v>28</v>
      </c>
      <c r="EI20" s="1007">
        <f t="shared" ca="1" si="222"/>
        <v>18410958.904109538</v>
      </c>
      <c r="EJ20" s="258">
        <f t="shared" ref="EJ20:EJ83" ca="1" si="279">IF(NOT(EG20=0),
IFERROR(_xlfn.SWITCH(
    $G20,
    "SLN", SLN($D20,, $E20*365) * ($L20-EL20),
    "DDB", SUM(DDB($D20,, $E20*365, SEQUENCE(DATEDIF($F21,EH$16,"D")+1), IF($E20&lt;=4,1.5,2))),
    ""
), ""),
"--")</f>
        <v>419506849.31506848</v>
      </c>
      <c r="EK20" s="258"/>
      <c r="EL20" s="197">
        <f t="shared" si="223"/>
        <v>4837</v>
      </c>
      <c r="EM20" s="1006">
        <f t="shared" si="224"/>
        <v>31</v>
      </c>
      <c r="EN20" s="1007">
        <f t="shared" ca="1" si="225"/>
        <v>20383561.643835664</v>
      </c>
      <c r="EO20" s="258">
        <f t="shared" ref="EO20:EO83" ca="1" si="280">IF(NOT(EL20=0),
IFERROR(_xlfn.SWITCH(
    $G20,
    "SLN", SLN($D20,, $E20*365) * ($L20-EQ20),
    "DDB", SUM(DDB($D20,, $E20*365, SEQUENCE(DATEDIF($F21,EM$16,"D")+1), IF($E20&lt;=4,1.5,2))),
    ""
), ""),
"--")</f>
        <v>439890410.95890415</v>
      </c>
      <c r="EP20" s="258"/>
      <c r="EQ20" s="197">
        <f t="shared" si="226"/>
        <v>4806</v>
      </c>
      <c r="ER20" s="1006">
        <f t="shared" si="227"/>
        <v>30</v>
      </c>
      <c r="ES20" s="1007">
        <f t="shared" ca="1" si="228"/>
        <v>19726027.397260249</v>
      </c>
      <c r="ET20" s="258">
        <f t="shared" ref="ET20:ET83" ca="1" si="281">IF(NOT(EQ20=0),
IFERROR(_xlfn.SWITCH(
    $G20,
    "SLN", SLN($D20,, $E20*365) * ($L20-EV20),
    "DDB", SUM(DDB($D20,, $E20*365, SEQUENCE(DATEDIF($F21,ER$16,"D")+1), IF($E20&lt;=4,1.5,2))),
    ""
), ""),
"--")</f>
        <v>459616438.3561644</v>
      </c>
      <c r="EU20" s="258"/>
      <c r="EV20" s="197">
        <f t="shared" si="229"/>
        <v>4776</v>
      </c>
      <c r="EW20" s="1006">
        <f t="shared" si="230"/>
        <v>31</v>
      </c>
      <c r="EX20" s="1007">
        <f t="shared" ca="1" si="231"/>
        <v>20383561.643835604</v>
      </c>
      <c r="EY20" s="258">
        <f t="shared" ref="EY20:EY83" ca="1" si="282">IF(NOT(EV20=0),
IFERROR(_xlfn.SWITCH(
    $G20,
    "SLN", SLN($D20,, $E20*365) * ($L20-FA20),
    "DDB", SUM(DDB($D20,, $E20*365, SEQUENCE(DATEDIF($F21,EW$16,"D")+1), IF($E20&lt;=4,1.5,2))),
    ""
), ""),
"--")</f>
        <v>480000000</v>
      </c>
      <c r="EZ20" s="258"/>
      <c r="FA20" s="197">
        <f t="shared" si="232"/>
        <v>4745</v>
      </c>
      <c r="FB20" s="1006">
        <f t="shared" si="233"/>
        <v>30</v>
      </c>
      <c r="FC20" s="1007">
        <f t="shared" ca="1" si="234"/>
        <v>19726027.397260308</v>
      </c>
      <c r="FD20" s="258">
        <f t="shared" ref="FD20:FD83" ca="1" si="283">IF(NOT(FA20=0),
IFERROR(_xlfn.SWITCH(
    $G20,
    "SLN", SLN($D20,, $E20*365) * ($L20-FF20),
    "DDB", SUM(DDB($D20,, $E20*365, SEQUENCE(DATEDIF($F21,FB$16,"D")+1), IF($E20&lt;=4,1.5,2))),
    ""
), ""),
"--")</f>
        <v>499726027.39726031</v>
      </c>
      <c r="FE20" s="258"/>
      <c r="FF20" s="197">
        <f t="shared" si="235"/>
        <v>4715</v>
      </c>
      <c r="FG20" s="1006">
        <f t="shared" si="236"/>
        <v>31</v>
      </c>
      <c r="FH20" s="1007">
        <f t="shared" ca="1" si="237"/>
        <v>20383561.643835604</v>
      </c>
      <c r="FI20" s="258">
        <f t="shared" ref="FI20:FI83" ca="1" si="284">IF(NOT(FF20=0),
IFERROR(_xlfn.SWITCH(
    $G20,
    "SLN", SLN($D20,, $E20*365) * ($L20-FK20),
    "DDB", SUM(DDB($D20,, $E20*365, SEQUENCE(DATEDIF($F21,FG$16,"D")+1), IF($E20&lt;=4,1.5,2))),
    ""
), ""),
"--")</f>
        <v>520109589.04109591</v>
      </c>
      <c r="FJ20" s="258"/>
      <c r="FK20" s="197">
        <f t="shared" si="238"/>
        <v>4684</v>
      </c>
      <c r="FL20" s="1006">
        <f t="shared" si="239"/>
        <v>31</v>
      </c>
      <c r="FM20" s="1007">
        <f t="shared" ca="1" si="240"/>
        <v>20383561.643835604</v>
      </c>
      <c r="FN20" s="258">
        <f t="shared" ref="FN20:FN83" ca="1" si="285">IF(NOT(FK20=0),
IFERROR(_xlfn.SWITCH(
    $G20,
    "SLN", SLN($D20,, $E20*365) * ($L20-FP20),
    "DDB", SUM(DDB($D20,, $E20*365, SEQUENCE(DATEDIF($F21,FL$16,"D")+1), IF($E20&lt;=4,1.5,2))),
    ""
), ""),
"--")</f>
        <v>540493150.68493152</v>
      </c>
      <c r="FO20" s="258"/>
      <c r="FP20" s="197">
        <f t="shared" si="241"/>
        <v>4653</v>
      </c>
      <c r="FQ20" s="1006">
        <f t="shared" si="242"/>
        <v>30</v>
      </c>
      <c r="FR20" s="1007">
        <f t="shared" ca="1" si="243"/>
        <v>19726027.397260308</v>
      </c>
      <c r="FS20" s="258">
        <f t="shared" ref="FS20:FS83" ca="1" si="286">IF(NOT(FP20=0),
IFERROR(_xlfn.SWITCH(
    $G20,
    "SLN", SLN($D20,, $E20*365) * ($L20-FU20),
    "DDB", SUM(DDB($D20,, $E20*365, SEQUENCE(DATEDIF($F21,FQ$16,"D")+1), IF($E20&lt;=4,1.5,2))),
    ""
), ""),
"--")</f>
        <v>560219178.08219182</v>
      </c>
      <c r="FT20" s="258"/>
      <c r="FU20" s="197">
        <f t="shared" si="244"/>
        <v>4623</v>
      </c>
      <c r="FV20" s="1006">
        <f t="shared" si="245"/>
        <v>31</v>
      </c>
      <c r="FW20" s="1007">
        <f t="shared" ca="1" si="246"/>
        <v>20383561.643835545</v>
      </c>
      <c r="FX20" s="258">
        <f t="shared" ref="FX20:FX83" ca="1" si="287">IF(NOT(FU20=0),
IFERROR(_xlfn.SWITCH(
    $G20,
    "SLN", SLN($D20,, $E20*365) * ($L20-FZ20),
    "DDB", SUM(DDB($D20,, $E20*365, SEQUENCE(DATEDIF($F21,FV$16,"D")+1), IF($E20&lt;=4,1.5,2))),
    ""
), ""),
"--")</f>
        <v>580602739.72602737</v>
      </c>
      <c r="FY20" s="258"/>
      <c r="FZ20" s="197">
        <f t="shared" si="247"/>
        <v>4592</v>
      </c>
      <c r="GA20" s="1006">
        <f t="shared" si="248"/>
        <v>30</v>
      </c>
      <c r="GB20" s="1007">
        <f t="shared" ca="1" si="249"/>
        <v>19726027.397260308</v>
      </c>
      <c r="GC20" s="258">
        <f t="shared" ref="GC20:GC83" ca="1" si="288">IF(NOT(FZ20=0),
IFERROR(_xlfn.SWITCH(
    $G20,
    "SLN", SLN($D20,, $E20*365) * ($L20-GE20),
    "DDB", SUM(DDB($D20,, $E20*365, SEQUENCE(DATEDIF($F21,GA$16,"D")+1), IF($E20&lt;=4,1.5,2))),
    ""
), ""),
"--")</f>
        <v>600328767.12328768</v>
      </c>
      <c r="GD20" s="258"/>
      <c r="GE20" s="197">
        <f t="shared" si="250"/>
        <v>4562</v>
      </c>
      <c r="GF20" s="1006">
        <f t="shared" si="251"/>
        <v>31</v>
      </c>
      <c r="GG20" s="1007">
        <f t="shared" ca="1" si="252"/>
        <v>20383561.643835664</v>
      </c>
      <c r="GH20" s="258">
        <f t="shared" ref="GH20:GH83" ca="1" si="289">IF(NOT(GE20=0),
IFERROR(_xlfn.SWITCH(
    $G20,
    "SLN", SLN($D20,, $E20*365) * ($L20-GJ20),
    "DDB", SUM(DDB($D20,, $E20*365, SEQUENCE(DATEDIF($F21,GF$16,"D")+1), IF($E20&lt;=4,1.5,2))),
    ""
), ""),
"--")</f>
        <v>620712328.76712334</v>
      </c>
      <c r="GI20" s="258"/>
      <c r="GJ20" s="197">
        <f t="shared" si="253"/>
        <v>4531</v>
      </c>
      <c r="GK20" s="1340"/>
      <c r="GL20" s="164"/>
      <c r="GM20" s="164"/>
      <c r="GN20" s="164"/>
    </row>
    <row r="21" spans="1:196" ht="12.75" x14ac:dyDescent="0.2">
      <c r="A21" s="1010">
        <f>'Item list'!A21</f>
        <v>45792</v>
      </c>
      <c r="B21" s="243" t="str">
        <f>'Item list'!B21</f>
        <v>6 Welding robots</v>
      </c>
      <c r="C21" s="243" t="str">
        <f>'Item list'!C21</f>
        <v>Machinery</v>
      </c>
      <c r="D21" s="989">
        <f>'Item list'!D21</f>
        <v>6000000000</v>
      </c>
      <c r="E21" s="243">
        <f>'Item list'!E21</f>
        <v>10</v>
      </c>
      <c r="F21" s="1004">
        <f>'Item list'!F21</f>
        <v>45809</v>
      </c>
      <c r="G21" s="243" t="str">
        <f>'Item list'!G21</f>
        <v>SLN</v>
      </c>
      <c r="H21" s="1005" t="e">
        <f t="shared" si="144"/>
        <v>#NUM!</v>
      </c>
      <c r="I21" s="243"/>
      <c r="J21" s="243"/>
      <c r="K21" s="243"/>
      <c r="L21" s="197">
        <f t="shared" si="145"/>
        <v>3650</v>
      </c>
      <c r="M21" s="1006">
        <f t="shared" si="146"/>
        <v>0</v>
      </c>
      <c r="N21" s="1007">
        <f t="shared" ca="1" si="147"/>
        <v>0</v>
      </c>
      <c r="O21" s="258">
        <f t="shared" ca="1" si="254"/>
        <v>0</v>
      </c>
      <c r="P21" s="258"/>
      <c r="Q21" s="197">
        <f t="shared" si="148"/>
        <v>3650</v>
      </c>
      <c r="R21" s="1006">
        <f t="shared" si="149"/>
        <v>0</v>
      </c>
      <c r="S21" s="1007">
        <f t="shared" ca="1" si="150"/>
        <v>0</v>
      </c>
      <c r="T21" s="258">
        <f t="shared" ca="1" si="255"/>
        <v>0</v>
      </c>
      <c r="U21" s="258"/>
      <c r="V21" s="197">
        <f t="shared" si="151"/>
        <v>3650</v>
      </c>
      <c r="W21" s="1006">
        <f t="shared" si="152"/>
        <v>0</v>
      </c>
      <c r="X21" s="1007">
        <f t="shared" ca="1" si="153"/>
        <v>0</v>
      </c>
      <c r="Y21" s="258">
        <f t="shared" ca="1" si="256"/>
        <v>0</v>
      </c>
      <c r="Z21" s="258"/>
      <c r="AA21" s="197">
        <f t="shared" si="154"/>
        <v>3650</v>
      </c>
      <c r="AB21" s="1006">
        <f t="shared" si="155"/>
        <v>0</v>
      </c>
      <c r="AC21" s="1007">
        <f t="shared" ca="1" si="156"/>
        <v>0</v>
      </c>
      <c r="AD21" s="258">
        <f t="shared" ca="1" si="257"/>
        <v>0</v>
      </c>
      <c r="AE21" s="258"/>
      <c r="AF21" s="197">
        <f t="shared" si="157"/>
        <v>3650</v>
      </c>
      <c r="AG21" s="1006">
        <f t="shared" si="158"/>
        <v>0</v>
      </c>
      <c r="AH21" s="1007">
        <f t="shared" ca="1" si="159"/>
        <v>0</v>
      </c>
      <c r="AI21" s="258">
        <f t="shared" ca="1" si="258"/>
        <v>0</v>
      </c>
      <c r="AJ21" s="258"/>
      <c r="AK21" s="197">
        <f t="shared" si="160"/>
        <v>3650</v>
      </c>
      <c r="AL21" s="1006">
        <f t="shared" si="161"/>
        <v>30</v>
      </c>
      <c r="AM21" s="1007">
        <f t="shared" ca="1" si="162"/>
        <v>49315068.493150689</v>
      </c>
      <c r="AN21" s="258">
        <f t="shared" ca="1" si="259"/>
        <v>49315068.493150689</v>
      </c>
      <c r="AO21" s="258"/>
      <c r="AP21" s="197">
        <f t="shared" si="163"/>
        <v>3620</v>
      </c>
      <c r="AQ21" s="1006">
        <f t="shared" si="164"/>
        <v>31</v>
      </c>
      <c r="AR21" s="1007">
        <f t="shared" ca="1" si="165"/>
        <v>50958904.109589048</v>
      </c>
      <c r="AS21" s="258">
        <f t="shared" ca="1" si="260"/>
        <v>100273972.60273974</v>
      </c>
      <c r="AT21" s="258"/>
      <c r="AU21" s="197">
        <f t="shared" si="166"/>
        <v>3589</v>
      </c>
      <c r="AV21" s="1006">
        <f t="shared" si="167"/>
        <v>31</v>
      </c>
      <c r="AW21" s="1007">
        <f t="shared" ca="1" si="168"/>
        <v>50958904.109589025</v>
      </c>
      <c r="AX21" s="258">
        <f t="shared" ca="1" si="261"/>
        <v>151232876.71232876</v>
      </c>
      <c r="AY21" s="258"/>
      <c r="AZ21" s="197">
        <f t="shared" si="169"/>
        <v>3558</v>
      </c>
      <c r="BA21" s="1006">
        <f t="shared" si="170"/>
        <v>30</v>
      </c>
      <c r="BB21" s="1007">
        <f t="shared" ca="1" si="171"/>
        <v>49315068.493150711</v>
      </c>
      <c r="BC21" s="258">
        <f t="shared" ca="1" si="262"/>
        <v>200547945.20547947</v>
      </c>
      <c r="BD21" s="258"/>
      <c r="BE21" s="197">
        <f t="shared" si="172"/>
        <v>3528</v>
      </c>
      <c r="BF21" s="1006">
        <f t="shared" si="173"/>
        <v>31</v>
      </c>
      <c r="BG21" s="1007">
        <f t="shared" ca="1" si="174"/>
        <v>50958904.10958904</v>
      </c>
      <c r="BH21" s="258">
        <f t="shared" ca="1" si="263"/>
        <v>251506849.31506851</v>
      </c>
      <c r="BI21" s="258"/>
      <c r="BJ21" s="197">
        <f t="shared" si="175"/>
        <v>3497</v>
      </c>
      <c r="BK21" s="1006">
        <f t="shared" si="176"/>
        <v>30</v>
      </c>
      <c r="BL21" s="1007">
        <f t="shared" ca="1" si="177"/>
        <v>49315068.493150681</v>
      </c>
      <c r="BM21" s="258">
        <f t="shared" ca="1" si="264"/>
        <v>300821917.80821919</v>
      </c>
      <c r="BN21" s="258"/>
      <c r="BO21" s="197">
        <f t="shared" si="178"/>
        <v>3467</v>
      </c>
      <c r="BP21" s="1006">
        <f t="shared" si="179"/>
        <v>31</v>
      </c>
      <c r="BQ21" s="1007">
        <f t="shared" ca="1" si="180"/>
        <v>50958904.10958904</v>
      </c>
      <c r="BR21" s="258">
        <f t="shared" ca="1" si="265"/>
        <v>351780821.91780823</v>
      </c>
      <c r="BS21" s="258"/>
      <c r="BT21" s="197">
        <f t="shared" si="181"/>
        <v>3436</v>
      </c>
      <c r="BU21" s="1006">
        <f t="shared" si="182"/>
        <v>31</v>
      </c>
      <c r="BV21" s="1007">
        <f t="shared" ca="1" si="183"/>
        <v>50958904.10958904</v>
      </c>
      <c r="BW21" s="258">
        <f t="shared" ca="1" si="266"/>
        <v>402739726.02739727</v>
      </c>
      <c r="BX21" s="258"/>
      <c r="BY21" s="197">
        <f t="shared" si="184"/>
        <v>3405</v>
      </c>
      <c r="BZ21" s="1006">
        <f t="shared" si="185"/>
        <v>28</v>
      </c>
      <c r="CA21" s="1007">
        <f t="shared" ca="1" si="186"/>
        <v>46027397.260273993</v>
      </c>
      <c r="CB21" s="258">
        <f t="shared" ca="1" si="267"/>
        <v>448767123.28767127</v>
      </c>
      <c r="CC21" s="258"/>
      <c r="CD21" s="197">
        <f t="shared" si="187"/>
        <v>3377</v>
      </c>
      <c r="CE21" s="1006">
        <f t="shared" si="188"/>
        <v>31</v>
      </c>
      <c r="CF21" s="1007">
        <f t="shared" ca="1" si="189"/>
        <v>50958904.10958904</v>
      </c>
      <c r="CG21" s="258">
        <f t="shared" ca="1" si="268"/>
        <v>499726027.39726031</v>
      </c>
      <c r="CH21" s="258"/>
      <c r="CI21" s="197">
        <f t="shared" si="190"/>
        <v>3346</v>
      </c>
      <c r="CJ21" s="1006">
        <f t="shared" si="191"/>
        <v>30</v>
      </c>
      <c r="CK21" s="1007">
        <f t="shared" ca="1" si="192"/>
        <v>49315068.493150711</v>
      </c>
      <c r="CL21" s="258">
        <f t="shared" ca="1" si="269"/>
        <v>549041095.89041102</v>
      </c>
      <c r="CM21" s="258"/>
      <c r="CN21" s="197">
        <f t="shared" si="193"/>
        <v>3316</v>
      </c>
      <c r="CO21" s="1006">
        <f t="shared" si="194"/>
        <v>31</v>
      </c>
      <c r="CP21" s="1007">
        <f t="shared" ca="1" si="195"/>
        <v>50958904.109588981</v>
      </c>
      <c r="CQ21" s="258">
        <f t="shared" ca="1" si="270"/>
        <v>600000000</v>
      </c>
      <c r="CR21" s="258"/>
      <c r="CS21" s="197">
        <f t="shared" si="196"/>
        <v>3285</v>
      </c>
      <c r="CT21" s="1006">
        <f t="shared" si="197"/>
        <v>30</v>
      </c>
      <c r="CU21" s="1007">
        <f t="shared" ca="1" si="198"/>
        <v>49315068.493150711</v>
      </c>
      <c r="CV21" s="258">
        <f t="shared" ca="1" si="271"/>
        <v>649315068.49315071</v>
      </c>
      <c r="CW21" s="258"/>
      <c r="CX21" s="197">
        <f t="shared" si="199"/>
        <v>3255</v>
      </c>
      <c r="CY21" s="1006">
        <f t="shared" si="200"/>
        <v>31</v>
      </c>
      <c r="CZ21" s="1007">
        <f t="shared" ca="1" si="201"/>
        <v>50958904.1095891</v>
      </c>
      <c r="DA21" s="258">
        <f t="shared" ca="1" si="272"/>
        <v>700273972.60273981</v>
      </c>
      <c r="DB21" s="258"/>
      <c r="DC21" s="197">
        <f t="shared" si="202"/>
        <v>3224</v>
      </c>
      <c r="DD21" s="1006">
        <f t="shared" si="203"/>
        <v>31</v>
      </c>
      <c r="DE21" s="1007">
        <f t="shared" ca="1" si="204"/>
        <v>50958904.109588981</v>
      </c>
      <c r="DF21" s="258">
        <f t="shared" ca="1" si="273"/>
        <v>751232876.71232879</v>
      </c>
      <c r="DG21" s="258"/>
      <c r="DH21" s="197">
        <f t="shared" si="205"/>
        <v>3193</v>
      </c>
      <c r="DI21" s="1006">
        <f t="shared" si="206"/>
        <v>30</v>
      </c>
      <c r="DJ21" s="1007">
        <f t="shared" ca="1" si="207"/>
        <v>49315068.493150711</v>
      </c>
      <c r="DK21" s="258">
        <f t="shared" ca="1" si="274"/>
        <v>800547945.2054795</v>
      </c>
      <c r="DL21" s="258"/>
      <c r="DM21" s="197">
        <f t="shared" si="208"/>
        <v>3163</v>
      </c>
      <c r="DN21" s="1006">
        <f t="shared" si="209"/>
        <v>31</v>
      </c>
      <c r="DO21" s="1007">
        <f t="shared" ca="1" si="210"/>
        <v>50958904.109588981</v>
      </c>
      <c r="DP21" s="258">
        <f t="shared" ca="1" si="275"/>
        <v>851506849.31506848</v>
      </c>
      <c r="DQ21" s="258"/>
      <c r="DR21" s="197">
        <f t="shared" si="211"/>
        <v>3132</v>
      </c>
      <c r="DS21" s="1006">
        <f t="shared" si="212"/>
        <v>30</v>
      </c>
      <c r="DT21" s="1007">
        <f t="shared" ca="1" si="213"/>
        <v>49315068.493150711</v>
      </c>
      <c r="DU21" s="258">
        <f t="shared" ca="1" si="276"/>
        <v>900821917.80821919</v>
      </c>
      <c r="DV21" s="258"/>
      <c r="DW21" s="197">
        <f t="shared" si="214"/>
        <v>3102</v>
      </c>
      <c r="DX21" s="1006">
        <f t="shared" si="215"/>
        <v>31</v>
      </c>
      <c r="DY21" s="1007">
        <f t="shared" ca="1" si="216"/>
        <v>50958904.1095891</v>
      </c>
      <c r="DZ21" s="258">
        <f t="shared" ca="1" si="277"/>
        <v>951780821.91780829</v>
      </c>
      <c r="EA21" s="258"/>
      <c r="EB21" s="197">
        <f t="shared" si="217"/>
        <v>3071</v>
      </c>
      <c r="EC21" s="1006">
        <f t="shared" si="218"/>
        <v>31</v>
      </c>
      <c r="ED21" s="1007">
        <f t="shared" ca="1" si="219"/>
        <v>50958904.109588981</v>
      </c>
      <c r="EE21" s="258">
        <f t="shared" ca="1" si="278"/>
        <v>1002739726.0273973</v>
      </c>
      <c r="EF21" s="258"/>
      <c r="EG21" s="197">
        <f t="shared" si="220"/>
        <v>3040</v>
      </c>
      <c r="EH21" s="1006">
        <f t="shared" si="221"/>
        <v>28</v>
      </c>
      <c r="EI21" s="1007">
        <f t="shared" ca="1" si="222"/>
        <v>46027397.260274053</v>
      </c>
      <c r="EJ21" s="258">
        <f t="shared" ca="1" si="279"/>
        <v>1048767123.2876713</v>
      </c>
      <c r="EK21" s="258"/>
      <c r="EL21" s="197">
        <f t="shared" si="223"/>
        <v>3012</v>
      </c>
      <c r="EM21" s="1006">
        <f t="shared" si="224"/>
        <v>31</v>
      </c>
      <c r="EN21" s="1007">
        <f t="shared" ca="1" si="225"/>
        <v>50958904.1095891</v>
      </c>
      <c r="EO21" s="258">
        <f t="shared" ca="1" si="280"/>
        <v>1099726027.3972604</v>
      </c>
      <c r="EP21" s="258"/>
      <c r="EQ21" s="197">
        <f t="shared" si="226"/>
        <v>2981</v>
      </c>
      <c r="ER21" s="1006">
        <f t="shared" si="227"/>
        <v>30</v>
      </c>
      <c r="ES21" s="1007">
        <f t="shared" ca="1" si="228"/>
        <v>49315068.493150473</v>
      </c>
      <c r="ET21" s="258">
        <f t="shared" ca="1" si="281"/>
        <v>1149041095.8904109</v>
      </c>
      <c r="EU21" s="258"/>
      <c r="EV21" s="197">
        <f t="shared" si="229"/>
        <v>2951</v>
      </c>
      <c r="EW21" s="1006">
        <f t="shared" si="230"/>
        <v>31</v>
      </c>
      <c r="EX21" s="1007">
        <f t="shared" ca="1" si="231"/>
        <v>50958904.1095891</v>
      </c>
      <c r="EY21" s="258">
        <f t="shared" ca="1" si="282"/>
        <v>1200000000</v>
      </c>
      <c r="EZ21" s="258"/>
      <c r="FA21" s="197">
        <f t="shared" si="232"/>
        <v>2920</v>
      </c>
      <c r="FB21" s="1006">
        <f t="shared" si="233"/>
        <v>30</v>
      </c>
      <c r="FC21" s="1007">
        <f t="shared" ca="1" si="234"/>
        <v>49315068.493150711</v>
      </c>
      <c r="FD21" s="258">
        <f t="shared" ca="1" si="283"/>
        <v>1249315068.4931507</v>
      </c>
      <c r="FE21" s="258"/>
      <c r="FF21" s="197">
        <f t="shared" si="235"/>
        <v>2890</v>
      </c>
      <c r="FG21" s="1006">
        <f t="shared" si="236"/>
        <v>31</v>
      </c>
      <c r="FH21" s="1007">
        <f t="shared" ca="1" si="237"/>
        <v>50958904.1095891</v>
      </c>
      <c r="FI21" s="258">
        <f t="shared" ca="1" si="284"/>
        <v>1300273972.6027398</v>
      </c>
      <c r="FJ21" s="258"/>
      <c r="FK21" s="197">
        <f t="shared" si="238"/>
        <v>2859</v>
      </c>
      <c r="FL21" s="1006">
        <f t="shared" si="239"/>
        <v>31</v>
      </c>
      <c r="FM21" s="1007">
        <f t="shared" ca="1" si="240"/>
        <v>50958904.1095891</v>
      </c>
      <c r="FN21" s="258">
        <f t="shared" ca="1" si="285"/>
        <v>1351232876.7123289</v>
      </c>
      <c r="FO21" s="258"/>
      <c r="FP21" s="197">
        <f t="shared" si="241"/>
        <v>2828</v>
      </c>
      <c r="FQ21" s="1006">
        <f t="shared" si="242"/>
        <v>30</v>
      </c>
      <c r="FR21" s="1007">
        <f t="shared" ca="1" si="243"/>
        <v>49315068.493150711</v>
      </c>
      <c r="FS21" s="258">
        <f t="shared" ca="1" si="286"/>
        <v>1400547945.2054796</v>
      </c>
      <c r="FT21" s="258"/>
      <c r="FU21" s="197">
        <f t="shared" si="244"/>
        <v>2798</v>
      </c>
      <c r="FV21" s="1006">
        <f t="shared" si="245"/>
        <v>31</v>
      </c>
      <c r="FW21" s="1007">
        <f t="shared" ca="1" si="246"/>
        <v>50958904.109588861</v>
      </c>
      <c r="FX21" s="258">
        <f t="shared" ca="1" si="287"/>
        <v>1451506849.3150685</v>
      </c>
      <c r="FY21" s="258"/>
      <c r="FZ21" s="197">
        <f t="shared" si="247"/>
        <v>2767</v>
      </c>
      <c r="GA21" s="1006">
        <f t="shared" si="248"/>
        <v>30</v>
      </c>
      <c r="GB21" s="1007">
        <f t="shared" ca="1" si="249"/>
        <v>49315068.493150711</v>
      </c>
      <c r="GC21" s="258">
        <f t="shared" ca="1" si="288"/>
        <v>1500821917.8082192</v>
      </c>
      <c r="GD21" s="258"/>
      <c r="GE21" s="197">
        <f t="shared" si="250"/>
        <v>2737</v>
      </c>
      <c r="GF21" s="1006">
        <f t="shared" si="251"/>
        <v>31</v>
      </c>
      <c r="GG21" s="1007">
        <f t="shared" ca="1" si="252"/>
        <v>50958904.1095891</v>
      </c>
      <c r="GH21" s="258">
        <f t="shared" ca="1" si="289"/>
        <v>1551780821.9178083</v>
      </c>
      <c r="GI21" s="258"/>
      <c r="GJ21" s="197">
        <f t="shared" si="253"/>
        <v>2706</v>
      </c>
      <c r="GK21" s="1340"/>
      <c r="GL21" s="164"/>
      <c r="GM21" s="164"/>
      <c r="GN21" s="164"/>
    </row>
    <row r="22" spans="1:196" ht="12.75" x14ac:dyDescent="0.2">
      <c r="A22" s="1010">
        <f>'Item list'!A22</f>
        <v>45792</v>
      </c>
      <c r="B22" s="243" t="str">
        <f>'Item list'!B22</f>
        <v>3 Assembly line equipment</v>
      </c>
      <c r="C22" s="243" t="str">
        <f>'Item list'!C22</f>
        <v>Factory Equipment</v>
      </c>
      <c r="D22" s="989">
        <f>'Item list'!D22</f>
        <v>7500000000</v>
      </c>
      <c r="E22" s="243">
        <f>'Item list'!E22</f>
        <v>12</v>
      </c>
      <c r="F22" s="1004">
        <f>'Item list'!F22</f>
        <v>45809</v>
      </c>
      <c r="G22" s="243" t="str">
        <f>'Item list'!G22</f>
        <v>SLN</v>
      </c>
      <c r="H22" s="1005" t="e">
        <f t="shared" si="144"/>
        <v>#NUM!</v>
      </c>
      <c r="I22" s="243"/>
      <c r="J22" s="243"/>
      <c r="K22" s="243"/>
      <c r="L22" s="197">
        <f t="shared" si="145"/>
        <v>4380</v>
      </c>
      <c r="M22" s="1006">
        <f t="shared" si="146"/>
        <v>0</v>
      </c>
      <c r="N22" s="1007">
        <f t="shared" ca="1" si="147"/>
        <v>0</v>
      </c>
      <c r="O22" s="258">
        <f t="shared" ca="1" si="254"/>
        <v>0</v>
      </c>
      <c r="P22" s="258"/>
      <c r="Q22" s="197">
        <f t="shared" si="148"/>
        <v>4380</v>
      </c>
      <c r="R22" s="1006">
        <f t="shared" si="149"/>
        <v>0</v>
      </c>
      <c r="S22" s="1007">
        <f t="shared" ca="1" si="150"/>
        <v>0</v>
      </c>
      <c r="T22" s="258">
        <f t="shared" ca="1" si="255"/>
        <v>0</v>
      </c>
      <c r="U22" s="258"/>
      <c r="V22" s="197">
        <f t="shared" si="151"/>
        <v>4380</v>
      </c>
      <c r="W22" s="1006">
        <f t="shared" si="152"/>
        <v>0</v>
      </c>
      <c r="X22" s="1007">
        <f t="shared" ca="1" si="153"/>
        <v>0</v>
      </c>
      <c r="Y22" s="258">
        <f t="shared" ca="1" si="256"/>
        <v>0</v>
      </c>
      <c r="Z22" s="258"/>
      <c r="AA22" s="197">
        <f t="shared" si="154"/>
        <v>4380</v>
      </c>
      <c r="AB22" s="1006">
        <f t="shared" si="155"/>
        <v>0</v>
      </c>
      <c r="AC22" s="1007">
        <f t="shared" ca="1" si="156"/>
        <v>0</v>
      </c>
      <c r="AD22" s="258">
        <f t="shared" ca="1" si="257"/>
        <v>0</v>
      </c>
      <c r="AE22" s="258"/>
      <c r="AF22" s="197">
        <f t="shared" si="157"/>
        <v>4380</v>
      </c>
      <c r="AG22" s="1006">
        <f t="shared" si="158"/>
        <v>0</v>
      </c>
      <c r="AH22" s="1007">
        <f t="shared" ca="1" si="159"/>
        <v>0</v>
      </c>
      <c r="AI22" s="258">
        <f t="shared" ca="1" si="258"/>
        <v>0</v>
      </c>
      <c r="AJ22" s="258"/>
      <c r="AK22" s="197">
        <f t="shared" si="160"/>
        <v>4380</v>
      </c>
      <c r="AL22" s="1006">
        <f t="shared" si="161"/>
        <v>30</v>
      </c>
      <c r="AM22" s="1007">
        <f t="shared" ca="1" si="162"/>
        <v>51369863.01369863</v>
      </c>
      <c r="AN22" s="258">
        <f t="shared" ca="1" si="259"/>
        <v>51369863.01369863</v>
      </c>
      <c r="AO22" s="258"/>
      <c r="AP22" s="197">
        <f t="shared" si="163"/>
        <v>4350</v>
      </c>
      <c r="AQ22" s="1006">
        <f t="shared" si="164"/>
        <v>31</v>
      </c>
      <c r="AR22" s="1007">
        <f t="shared" ca="1" si="165"/>
        <v>53082191.780821927</v>
      </c>
      <c r="AS22" s="258">
        <f t="shared" ca="1" si="260"/>
        <v>104452054.79452056</v>
      </c>
      <c r="AT22" s="258"/>
      <c r="AU22" s="197">
        <f t="shared" si="166"/>
        <v>4319</v>
      </c>
      <c r="AV22" s="1006">
        <f t="shared" si="167"/>
        <v>31</v>
      </c>
      <c r="AW22" s="1007">
        <f t="shared" ca="1" si="168"/>
        <v>53082191.780821919</v>
      </c>
      <c r="AX22" s="258">
        <f t="shared" ca="1" si="261"/>
        <v>157534246.57534248</v>
      </c>
      <c r="AY22" s="258"/>
      <c r="AZ22" s="197">
        <f t="shared" si="169"/>
        <v>4288</v>
      </c>
      <c r="BA22" s="1006">
        <f t="shared" si="170"/>
        <v>30</v>
      </c>
      <c r="BB22" s="1007">
        <f t="shared" ca="1" si="171"/>
        <v>51369863.013698637</v>
      </c>
      <c r="BC22" s="258">
        <f t="shared" ca="1" si="262"/>
        <v>208904109.58904111</v>
      </c>
      <c r="BD22" s="258"/>
      <c r="BE22" s="197">
        <f t="shared" si="172"/>
        <v>4258</v>
      </c>
      <c r="BF22" s="1006">
        <f t="shared" si="173"/>
        <v>31</v>
      </c>
      <c r="BG22" s="1007">
        <f t="shared" ca="1" si="174"/>
        <v>53082191.780821919</v>
      </c>
      <c r="BH22" s="258">
        <f t="shared" ca="1" si="263"/>
        <v>261986301.36986303</v>
      </c>
      <c r="BI22" s="258"/>
      <c r="BJ22" s="197">
        <f t="shared" si="175"/>
        <v>4227</v>
      </c>
      <c r="BK22" s="1006">
        <f t="shared" si="176"/>
        <v>30</v>
      </c>
      <c r="BL22" s="1007">
        <f t="shared" ca="1" si="177"/>
        <v>51369863.013698637</v>
      </c>
      <c r="BM22" s="258">
        <f t="shared" ca="1" si="264"/>
        <v>313356164.38356167</v>
      </c>
      <c r="BN22" s="258"/>
      <c r="BO22" s="197">
        <f t="shared" si="178"/>
        <v>4197</v>
      </c>
      <c r="BP22" s="1006">
        <f t="shared" si="179"/>
        <v>31</v>
      </c>
      <c r="BQ22" s="1007">
        <f t="shared" ca="1" si="180"/>
        <v>53082191.780821919</v>
      </c>
      <c r="BR22" s="258">
        <f t="shared" ca="1" si="265"/>
        <v>366438356.16438359</v>
      </c>
      <c r="BS22" s="258"/>
      <c r="BT22" s="197">
        <f t="shared" si="181"/>
        <v>4166</v>
      </c>
      <c r="BU22" s="1006">
        <f t="shared" si="182"/>
        <v>31</v>
      </c>
      <c r="BV22" s="1007">
        <f t="shared" ca="1" si="183"/>
        <v>53082191.780821919</v>
      </c>
      <c r="BW22" s="258">
        <f t="shared" ca="1" si="266"/>
        <v>419520547.94520551</v>
      </c>
      <c r="BX22" s="258"/>
      <c r="BY22" s="197">
        <f t="shared" si="184"/>
        <v>4135</v>
      </c>
      <c r="BZ22" s="1006">
        <f t="shared" si="185"/>
        <v>28</v>
      </c>
      <c r="CA22" s="1007">
        <f t="shared" ca="1" si="186"/>
        <v>47945205.479452074</v>
      </c>
      <c r="CB22" s="258">
        <f t="shared" ca="1" si="267"/>
        <v>467465753.42465758</v>
      </c>
      <c r="CC22" s="258"/>
      <c r="CD22" s="197">
        <f t="shared" si="187"/>
        <v>4107</v>
      </c>
      <c r="CE22" s="1006">
        <f t="shared" si="188"/>
        <v>31</v>
      </c>
      <c r="CF22" s="1007">
        <f t="shared" ca="1" si="189"/>
        <v>53082191.780821919</v>
      </c>
      <c r="CG22" s="258">
        <f t="shared" ca="1" si="268"/>
        <v>520547945.2054795</v>
      </c>
      <c r="CH22" s="258"/>
      <c r="CI22" s="197">
        <f t="shared" si="190"/>
        <v>4076</v>
      </c>
      <c r="CJ22" s="1006">
        <f t="shared" si="191"/>
        <v>30</v>
      </c>
      <c r="CK22" s="1007">
        <f t="shared" ca="1" si="192"/>
        <v>51369863.013698578</v>
      </c>
      <c r="CL22" s="258">
        <f t="shared" ca="1" si="269"/>
        <v>571917808.21917808</v>
      </c>
      <c r="CM22" s="258"/>
      <c r="CN22" s="197">
        <f t="shared" si="193"/>
        <v>4046</v>
      </c>
      <c r="CO22" s="1006">
        <f t="shared" si="194"/>
        <v>31</v>
      </c>
      <c r="CP22" s="1007">
        <f t="shared" ca="1" si="195"/>
        <v>53082191.780821919</v>
      </c>
      <c r="CQ22" s="258">
        <f t="shared" ca="1" si="270"/>
        <v>625000000</v>
      </c>
      <c r="CR22" s="258"/>
      <c r="CS22" s="197">
        <f t="shared" si="196"/>
        <v>4015</v>
      </c>
      <c r="CT22" s="1006">
        <f t="shared" si="197"/>
        <v>30</v>
      </c>
      <c r="CU22" s="1007">
        <f t="shared" ca="1" si="198"/>
        <v>51369863.013698697</v>
      </c>
      <c r="CV22" s="258">
        <f t="shared" ca="1" si="271"/>
        <v>676369863.0136987</v>
      </c>
      <c r="CW22" s="258"/>
      <c r="CX22" s="197">
        <f t="shared" si="199"/>
        <v>3985</v>
      </c>
      <c r="CY22" s="1006">
        <f t="shared" si="200"/>
        <v>31</v>
      </c>
      <c r="CZ22" s="1007">
        <f t="shared" ca="1" si="201"/>
        <v>53082191.780821919</v>
      </c>
      <c r="DA22" s="258">
        <f t="shared" ca="1" si="272"/>
        <v>729452054.79452062</v>
      </c>
      <c r="DB22" s="258"/>
      <c r="DC22" s="197">
        <f t="shared" si="202"/>
        <v>3954</v>
      </c>
      <c r="DD22" s="1006">
        <f t="shared" si="203"/>
        <v>31</v>
      </c>
      <c r="DE22" s="1007">
        <f t="shared" ca="1" si="204"/>
        <v>53082191.780821919</v>
      </c>
      <c r="DF22" s="258">
        <f t="shared" ca="1" si="273"/>
        <v>782534246.57534254</v>
      </c>
      <c r="DG22" s="258"/>
      <c r="DH22" s="197">
        <f t="shared" si="205"/>
        <v>3923</v>
      </c>
      <c r="DI22" s="1006">
        <f t="shared" si="206"/>
        <v>30</v>
      </c>
      <c r="DJ22" s="1007">
        <f t="shared" ca="1" si="207"/>
        <v>51369863.013698578</v>
      </c>
      <c r="DK22" s="258">
        <f t="shared" ca="1" si="274"/>
        <v>833904109.58904111</v>
      </c>
      <c r="DL22" s="258"/>
      <c r="DM22" s="197">
        <f t="shared" si="208"/>
        <v>3893</v>
      </c>
      <c r="DN22" s="1006">
        <f t="shared" si="209"/>
        <v>31</v>
      </c>
      <c r="DO22" s="1007">
        <f t="shared" ca="1" si="210"/>
        <v>53082191.780821919</v>
      </c>
      <c r="DP22" s="258">
        <f t="shared" ca="1" si="275"/>
        <v>886986301.36986303</v>
      </c>
      <c r="DQ22" s="258"/>
      <c r="DR22" s="197">
        <f t="shared" si="211"/>
        <v>3862</v>
      </c>
      <c r="DS22" s="1006">
        <f t="shared" si="212"/>
        <v>30</v>
      </c>
      <c r="DT22" s="1007">
        <f t="shared" ca="1" si="213"/>
        <v>51369863.013698697</v>
      </c>
      <c r="DU22" s="258">
        <f t="shared" ca="1" si="276"/>
        <v>938356164.38356173</v>
      </c>
      <c r="DV22" s="258"/>
      <c r="DW22" s="197">
        <f t="shared" si="214"/>
        <v>3832</v>
      </c>
      <c r="DX22" s="1006">
        <f t="shared" si="215"/>
        <v>31</v>
      </c>
      <c r="DY22" s="1007">
        <f t="shared" ca="1" si="216"/>
        <v>53082191.780821919</v>
      </c>
      <c r="DZ22" s="258">
        <f t="shared" ca="1" si="277"/>
        <v>991438356.16438365</v>
      </c>
      <c r="EA22" s="258"/>
      <c r="EB22" s="197">
        <f t="shared" si="217"/>
        <v>3801</v>
      </c>
      <c r="EC22" s="1006">
        <f t="shared" si="218"/>
        <v>31</v>
      </c>
      <c r="ED22" s="1007">
        <f t="shared" ca="1" si="219"/>
        <v>53082191.780821919</v>
      </c>
      <c r="EE22" s="258">
        <f t="shared" ca="1" si="278"/>
        <v>1044520547.9452056</v>
      </c>
      <c r="EF22" s="258"/>
      <c r="EG22" s="197">
        <f t="shared" si="220"/>
        <v>3770</v>
      </c>
      <c r="EH22" s="1006">
        <f t="shared" si="221"/>
        <v>28</v>
      </c>
      <c r="EI22" s="1007">
        <f t="shared" ca="1" si="222"/>
        <v>47945205.479452014</v>
      </c>
      <c r="EJ22" s="258">
        <f t="shared" ca="1" si="279"/>
        <v>1092465753.4246576</v>
      </c>
      <c r="EK22" s="258"/>
      <c r="EL22" s="197">
        <f t="shared" si="223"/>
        <v>3742</v>
      </c>
      <c r="EM22" s="1006">
        <f t="shared" si="224"/>
        <v>31</v>
      </c>
      <c r="EN22" s="1007">
        <f t="shared" ca="1" si="225"/>
        <v>53082191.780822039</v>
      </c>
      <c r="EO22" s="258">
        <f t="shared" ca="1" si="280"/>
        <v>1145547945.2054796</v>
      </c>
      <c r="EP22" s="258"/>
      <c r="EQ22" s="197">
        <f t="shared" si="226"/>
        <v>3711</v>
      </c>
      <c r="ER22" s="1006">
        <f t="shared" si="227"/>
        <v>30</v>
      </c>
      <c r="ES22" s="1007">
        <f t="shared" ca="1" si="228"/>
        <v>51369863.013698578</v>
      </c>
      <c r="ET22" s="258">
        <f t="shared" ca="1" si="281"/>
        <v>1196917808.2191782</v>
      </c>
      <c r="EU22" s="258"/>
      <c r="EV22" s="197">
        <f t="shared" si="229"/>
        <v>3681</v>
      </c>
      <c r="EW22" s="1006">
        <f t="shared" si="230"/>
        <v>31</v>
      </c>
      <c r="EX22" s="1007">
        <f t="shared" ca="1" si="231"/>
        <v>53082191.7808218</v>
      </c>
      <c r="EY22" s="258">
        <f t="shared" ca="1" si="282"/>
        <v>1250000000</v>
      </c>
      <c r="EZ22" s="258"/>
      <c r="FA22" s="197">
        <f t="shared" si="232"/>
        <v>3650</v>
      </c>
      <c r="FB22" s="1006">
        <f t="shared" si="233"/>
        <v>30</v>
      </c>
      <c r="FC22" s="1007">
        <f t="shared" ca="1" si="234"/>
        <v>51369863.013698816</v>
      </c>
      <c r="FD22" s="258">
        <f t="shared" ca="1" si="283"/>
        <v>1301369863.0136988</v>
      </c>
      <c r="FE22" s="258"/>
      <c r="FF22" s="197">
        <f t="shared" si="235"/>
        <v>3620</v>
      </c>
      <c r="FG22" s="1006">
        <f t="shared" si="236"/>
        <v>31</v>
      </c>
      <c r="FH22" s="1007">
        <f t="shared" ca="1" si="237"/>
        <v>53082191.7808218</v>
      </c>
      <c r="FI22" s="258">
        <f t="shared" ca="1" si="284"/>
        <v>1354452054.7945206</v>
      </c>
      <c r="FJ22" s="258"/>
      <c r="FK22" s="197">
        <f t="shared" si="238"/>
        <v>3589</v>
      </c>
      <c r="FL22" s="1006">
        <f t="shared" si="239"/>
        <v>31</v>
      </c>
      <c r="FM22" s="1007">
        <f t="shared" ca="1" si="240"/>
        <v>53082191.780822039</v>
      </c>
      <c r="FN22" s="258">
        <f t="shared" ca="1" si="285"/>
        <v>1407534246.5753427</v>
      </c>
      <c r="FO22" s="258"/>
      <c r="FP22" s="197">
        <f t="shared" si="241"/>
        <v>3558</v>
      </c>
      <c r="FQ22" s="1006">
        <f t="shared" si="242"/>
        <v>30</v>
      </c>
      <c r="FR22" s="1007">
        <f t="shared" ca="1" si="243"/>
        <v>51369863.013698578</v>
      </c>
      <c r="FS22" s="258">
        <f t="shared" ca="1" si="286"/>
        <v>1458904109.5890412</v>
      </c>
      <c r="FT22" s="258"/>
      <c r="FU22" s="197">
        <f t="shared" si="244"/>
        <v>3528</v>
      </c>
      <c r="FV22" s="1006">
        <f t="shared" si="245"/>
        <v>31</v>
      </c>
      <c r="FW22" s="1007">
        <f t="shared" ca="1" si="246"/>
        <v>53082191.7808218</v>
      </c>
      <c r="FX22" s="258">
        <f t="shared" ca="1" si="287"/>
        <v>1511986301.369863</v>
      </c>
      <c r="FY22" s="258"/>
      <c r="FZ22" s="197">
        <f t="shared" si="247"/>
        <v>3497</v>
      </c>
      <c r="GA22" s="1006">
        <f t="shared" si="248"/>
        <v>30</v>
      </c>
      <c r="GB22" s="1007">
        <f t="shared" ca="1" si="249"/>
        <v>51369863.013698816</v>
      </c>
      <c r="GC22" s="258">
        <f t="shared" ca="1" si="288"/>
        <v>1563356164.3835618</v>
      </c>
      <c r="GD22" s="258"/>
      <c r="GE22" s="197">
        <f t="shared" si="250"/>
        <v>3467</v>
      </c>
      <c r="GF22" s="1006">
        <f t="shared" si="251"/>
        <v>31</v>
      </c>
      <c r="GG22" s="1007">
        <f t="shared" ca="1" si="252"/>
        <v>53082191.7808218</v>
      </c>
      <c r="GH22" s="258">
        <f t="shared" ca="1" si="289"/>
        <v>1616438356.1643836</v>
      </c>
      <c r="GI22" s="258"/>
      <c r="GJ22" s="197">
        <f t="shared" si="253"/>
        <v>3436</v>
      </c>
      <c r="GK22" s="1340"/>
      <c r="GL22" s="164"/>
      <c r="GM22" s="164"/>
      <c r="GN22" s="164"/>
    </row>
    <row r="23" spans="1:196" ht="12.75" x14ac:dyDescent="0.2">
      <c r="A23" s="1010">
        <f>'Item list'!A23</f>
        <v>45792</v>
      </c>
      <c r="B23" s="243" t="str">
        <f>'Item list'!B23</f>
        <v>3 Painting booth</v>
      </c>
      <c r="C23" s="243" t="str">
        <f>'Item list'!C23</f>
        <v>Factory Equipment</v>
      </c>
      <c r="D23" s="989">
        <f>'Item list'!D23</f>
        <v>2100000000</v>
      </c>
      <c r="E23" s="243">
        <f>'Item list'!E23</f>
        <v>10</v>
      </c>
      <c r="F23" s="1004">
        <f>'Item list'!F23</f>
        <v>45809</v>
      </c>
      <c r="G23" s="243" t="str">
        <f>'Item list'!G23</f>
        <v>SLN</v>
      </c>
      <c r="H23" s="1005" t="e">
        <f t="shared" si="144"/>
        <v>#NUM!</v>
      </c>
      <c r="I23" s="243"/>
      <c r="J23" s="243"/>
      <c r="K23" s="243"/>
      <c r="L23" s="197">
        <f t="shared" si="145"/>
        <v>3650</v>
      </c>
      <c r="M23" s="1006">
        <f t="shared" si="146"/>
        <v>0</v>
      </c>
      <c r="N23" s="1007">
        <f t="shared" ca="1" si="147"/>
        <v>0</v>
      </c>
      <c r="O23" s="258">
        <f t="shared" ca="1" si="254"/>
        <v>0</v>
      </c>
      <c r="P23" s="258"/>
      <c r="Q23" s="197">
        <f t="shared" si="148"/>
        <v>3650</v>
      </c>
      <c r="R23" s="1006">
        <f t="shared" si="149"/>
        <v>0</v>
      </c>
      <c r="S23" s="1007">
        <f t="shared" ca="1" si="150"/>
        <v>0</v>
      </c>
      <c r="T23" s="258">
        <f t="shared" ca="1" si="255"/>
        <v>0</v>
      </c>
      <c r="U23" s="258"/>
      <c r="V23" s="197">
        <f t="shared" si="151"/>
        <v>3650</v>
      </c>
      <c r="W23" s="1006">
        <f t="shared" si="152"/>
        <v>0</v>
      </c>
      <c r="X23" s="1007">
        <f t="shared" ca="1" si="153"/>
        <v>0</v>
      </c>
      <c r="Y23" s="258">
        <f t="shared" ca="1" si="256"/>
        <v>0</v>
      </c>
      <c r="Z23" s="258"/>
      <c r="AA23" s="197">
        <f t="shared" si="154"/>
        <v>3650</v>
      </c>
      <c r="AB23" s="1006">
        <f t="shared" si="155"/>
        <v>0</v>
      </c>
      <c r="AC23" s="1007">
        <f t="shared" ca="1" si="156"/>
        <v>0</v>
      </c>
      <c r="AD23" s="258">
        <f t="shared" ca="1" si="257"/>
        <v>0</v>
      </c>
      <c r="AE23" s="258"/>
      <c r="AF23" s="197">
        <f t="shared" si="157"/>
        <v>3650</v>
      </c>
      <c r="AG23" s="1006">
        <f t="shared" si="158"/>
        <v>0</v>
      </c>
      <c r="AH23" s="1007">
        <f t="shared" ca="1" si="159"/>
        <v>0</v>
      </c>
      <c r="AI23" s="258">
        <f t="shared" ca="1" si="258"/>
        <v>0</v>
      </c>
      <c r="AJ23" s="258"/>
      <c r="AK23" s="197">
        <f t="shared" si="160"/>
        <v>3650</v>
      </c>
      <c r="AL23" s="1006">
        <f t="shared" si="161"/>
        <v>30</v>
      </c>
      <c r="AM23" s="1007">
        <f t="shared" ca="1" si="162"/>
        <v>17260273.97260274</v>
      </c>
      <c r="AN23" s="258">
        <f t="shared" ca="1" si="259"/>
        <v>17260273.97260274</v>
      </c>
      <c r="AO23" s="258"/>
      <c r="AP23" s="197">
        <f t="shared" si="163"/>
        <v>3620</v>
      </c>
      <c r="AQ23" s="1006">
        <f t="shared" si="164"/>
        <v>31</v>
      </c>
      <c r="AR23" s="1007">
        <f t="shared" ca="1" si="165"/>
        <v>17835616.438356169</v>
      </c>
      <c r="AS23" s="258">
        <f t="shared" ca="1" si="260"/>
        <v>35095890.410958908</v>
      </c>
      <c r="AT23" s="258"/>
      <c r="AU23" s="197">
        <f t="shared" si="166"/>
        <v>3589</v>
      </c>
      <c r="AV23" s="1006">
        <f t="shared" si="167"/>
        <v>31</v>
      </c>
      <c r="AW23" s="1007">
        <f t="shared" ca="1" si="168"/>
        <v>17835616.438356161</v>
      </c>
      <c r="AX23" s="258">
        <f t="shared" ca="1" si="261"/>
        <v>52931506.84931507</v>
      </c>
      <c r="AY23" s="258"/>
      <c r="AZ23" s="197">
        <f t="shared" si="169"/>
        <v>3558</v>
      </c>
      <c r="BA23" s="1006">
        <f t="shared" si="170"/>
        <v>30</v>
      </c>
      <c r="BB23" s="1007">
        <f t="shared" ca="1" si="171"/>
        <v>17260273.972602747</v>
      </c>
      <c r="BC23" s="258">
        <f t="shared" ca="1" si="262"/>
        <v>70191780.821917817</v>
      </c>
      <c r="BD23" s="258"/>
      <c r="BE23" s="197">
        <f t="shared" si="172"/>
        <v>3528</v>
      </c>
      <c r="BF23" s="1006">
        <f t="shared" si="173"/>
        <v>31</v>
      </c>
      <c r="BG23" s="1007">
        <f t="shared" ca="1" si="174"/>
        <v>17835616.438356161</v>
      </c>
      <c r="BH23" s="258">
        <f t="shared" ca="1" si="263"/>
        <v>88027397.260273978</v>
      </c>
      <c r="BI23" s="258"/>
      <c r="BJ23" s="197">
        <f t="shared" si="175"/>
        <v>3497</v>
      </c>
      <c r="BK23" s="1006">
        <f t="shared" si="176"/>
        <v>30</v>
      </c>
      <c r="BL23" s="1007">
        <f t="shared" ca="1" si="177"/>
        <v>17260273.97260274</v>
      </c>
      <c r="BM23" s="258">
        <f t="shared" ca="1" si="264"/>
        <v>105287671.23287672</v>
      </c>
      <c r="BN23" s="258"/>
      <c r="BO23" s="197">
        <f t="shared" si="178"/>
        <v>3467</v>
      </c>
      <c r="BP23" s="1006">
        <f t="shared" si="179"/>
        <v>31</v>
      </c>
      <c r="BQ23" s="1007">
        <f t="shared" ca="1" si="180"/>
        <v>17835616.438356161</v>
      </c>
      <c r="BR23" s="258">
        <f t="shared" ca="1" si="265"/>
        <v>123123287.67123288</v>
      </c>
      <c r="BS23" s="258"/>
      <c r="BT23" s="197">
        <f t="shared" si="181"/>
        <v>3436</v>
      </c>
      <c r="BU23" s="1006">
        <f t="shared" si="182"/>
        <v>31</v>
      </c>
      <c r="BV23" s="1007">
        <f t="shared" ca="1" si="183"/>
        <v>17835616.438356161</v>
      </c>
      <c r="BW23" s="258">
        <f t="shared" ca="1" si="266"/>
        <v>140958904.10958904</v>
      </c>
      <c r="BX23" s="258"/>
      <c r="BY23" s="197">
        <f t="shared" si="184"/>
        <v>3405</v>
      </c>
      <c r="BZ23" s="1006">
        <f t="shared" si="185"/>
        <v>28</v>
      </c>
      <c r="CA23" s="1007">
        <f t="shared" ca="1" si="186"/>
        <v>16109589.041095883</v>
      </c>
      <c r="CB23" s="258">
        <f t="shared" ca="1" si="267"/>
        <v>157068493.15068492</v>
      </c>
      <c r="CC23" s="258"/>
      <c r="CD23" s="197">
        <f t="shared" si="187"/>
        <v>3377</v>
      </c>
      <c r="CE23" s="1006">
        <f t="shared" si="188"/>
        <v>31</v>
      </c>
      <c r="CF23" s="1007">
        <f t="shared" ca="1" si="189"/>
        <v>17835616.438356191</v>
      </c>
      <c r="CG23" s="258">
        <f t="shared" ca="1" si="268"/>
        <v>174904109.58904111</v>
      </c>
      <c r="CH23" s="258"/>
      <c r="CI23" s="197">
        <f t="shared" si="190"/>
        <v>3346</v>
      </c>
      <c r="CJ23" s="1006">
        <f t="shared" si="191"/>
        <v>30</v>
      </c>
      <c r="CK23" s="1007">
        <f t="shared" ca="1" si="192"/>
        <v>17260273.972602725</v>
      </c>
      <c r="CL23" s="258">
        <f t="shared" ca="1" si="269"/>
        <v>192164383.56164384</v>
      </c>
      <c r="CM23" s="258"/>
      <c r="CN23" s="197">
        <f t="shared" si="193"/>
        <v>3316</v>
      </c>
      <c r="CO23" s="1006">
        <f t="shared" si="194"/>
        <v>31</v>
      </c>
      <c r="CP23" s="1007">
        <f t="shared" ca="1" si="195"/>
        <v>17835616.438356161</v>
      </c>
      <c r="CQ23" s="258">
        <f t="shared" ca="1" si="270"/>
        <v>210000000</v>
      </c>
      <c r="CR23" s="258"/>
      <c r="CS23" s="197">
        <f t="shared" si="196"/>
        <v>3285</v>
      </c>
      <c r="CT23" s="1006">
        <f t="shared" si="197"/>
        <v>30</v>
      </c>
      <c r="CU23" s="1007">
        <f t="shared" ca="1" si="198"/>
        <v>17260273.972602755</v>
      </c>
      <c r="CV23" s="258">
        <f t="shared" ca="1" si="271"/>
        <v>227260273.97260275</v>
      </c>
      <c r="CW23" s="258"/>
      <c r="CX23" s="197">
        <f t="shared" si="199"/>
        <v>3255</v>
      </c>
      <c r="CY23" s="1006">
        <f t="shared" si="200"/>
        <v>31</v>
      </c>
      <c r="CZ23" s="1007">
        <f t="shared" ca="1" si="201"/>
        <v>17835616.438356161</v>
      </c>
      <c r="DA23" s="258">
        <f t="shared" ca="1" si="272"/>
        <v>245095890.41095892</v>
      </c>
      <c r="DB23" s="258"/>
      <c r="DC23" s="197">
        <f t="shared" si="202"/>
        <v>3224</v>
      </c>
      <c r="DD23" s="1006">
        <f t="shared" si="203"/>
        <v>31</v>
      </c>
      <c r="DE23" s="1007">
        <f t="shared" ca="1" si="204"/>
        <v>17835616.438356161</v>
      </c>
      <c r="DF23" s="258">
        <f t="shared" ca="1" si="273"/>
        <v>262931506.84931508</v>
      </c>
      <c r="DG23" s="258"/>
      <c r="DH23" s="197">
        <f t="shared" si="205"/>
        <v>3193</v>
      </c>
      <c r="DI23" s="1006">
        <f t="shared" si="206"/>
        <v>30</v>
      </c>
      <c r="DJ23" s="1007">
        <f t="shared" ca="1" si="207"/>
        <v>17260273.972602755</v>
      </c>
      <c r="DK23" s="258">
        <f t="shared" ca="1" si="274"/>
        <v>280191780.82191783</v>
      </c>
      <c r="DL23" s="258"/>
      <c r="DM23" s="197">
        <f t="shared" si="208"/>
        <v>3163</v>
      </c>
      <c r="DN23" s="1006">
        <f t="shared" si="209"/>
        <v>31</v>
      </c>
      <c r="DO23" s="1007">
        <f t="shared" ca="1" si="210"/>
        <v>17835616.438356161</v>
      </c>
      <c r="DP23" s="258">
        <f t="shared" ca="1" si="275"/>
        <v>298027397.26027399</v>
      </c>
      <c r="DQ23" s="258"/>
      <c r="DR23" s="197">
        <f t="shared" si="211"/>
        <v>3132</v>
      </c>
      <c r="DS23" s="1006">
        <f t="shared" si="212"/>
        <v>30</v>
      </c>
      <c r="DT23" s="1007">
        <f t="shared" ca="1" si="213"/>
        <v>17260273.972602725</v>
      </c>
      <c r="DU23" s="258">
        <f t="shared" ca="1" si="276"/>
        <v>315287671.23287672</v>
      </c>
      <c r="DV23" s="258"/>
      <c r="DW23" s="197">
        <f t="shared" si="214"/>
        <v>3102</v>
      </c>
      <c r="DX23" s="1006">
        <f t="shared" si="215"/>
        <v>31</v>
      </c>
      <c r="DY23" s="1007">
        <f t="shared" ca="1" si="216"/>
        <v>17835616.438356161</v>
      </c>
      <c r="DZ23" s="258">
        <f t="shared" ca="1" si="277"/>
        <v>333123287.67123288</v>
      </c>
      <c r="EA23" s="258"/>
      <c r="EB23" s="197">
        <f t="shared" si="217"/>
        <v>3071</v>
      </c>
      <c r="EC23" s="1006">
        <f t="shared" si="218"/>
        <v>31</v>
      </c>
      <c r="ED23" s="1007">
        <f t="shared" ca="1" si="219"/>
        <v>17835616.438356161</v>
      </c>
      <c r="EE23" s="258">
        <f t="shared" ca="1" si="278"/>
        <v>350958904.10958904</v>
      </c>
      <c r="EF23" s="258"/>
      <c r="EG23" s="197">
        <f t="shared" si="220"/>
        <v>3040</v>
      </c>
      <c r="EH23" s="1006">
        <f t="shared" si="221"/>
        <v>28</v>
      </c>
      <c r="EI23" s="1007">
        <f t="shared" ca="1" si="222"/>
        <v>16109589.041095912</v>
      </c>
      <c r="EJ23" s="258">
        <f t="shared" ca="1" si="279"/>
        <v>367068493.15068495</v>
      </c>
      <c r="EK23" s="258"/>
      <c r="EL23" s="197">
        <f t="shared" si="223"/>
        <v>3012</v>
      </c>
      <c r="EM23" s="1006">
        <f t="shared" si="224"/>
        <v>31</v>
      </c>
      <c r="EN23" s="1007">
        <f t="shared" ca="1" si="225"/>
        <v>17835616.438356161</v>
      </c>
      <c r="EO23" s="258">
        <f t="shared" ca="1" si="280"/>
        <v>384904109.58904111</v>
      </c>
      <c r="EP23" s="258"/>
      <c r="EQ23" s="197">
        <f t="shared" si="226"/>
        <v>2981</v>
      </c>
      <c r="ER23" s="1006">
        <f t="shared" si="227"/>
        <v>30</v>
      </c>
      <c r="ES23" s="1007">
        <f t="shared" ca="1" si="228"/>
        <v>17260273.972602725</v>
      </c>
      <c r="ET23" s="258">
        <f t="shared" ca="1" si="281"/>
        <v>402164383.56164384</v>
      </c>
      <c r="EU23" s="258"/>
      <c r="EV23" s="197">
        <f t="shared" si="229"/>
        <v>2951</v>
      </c>
      <c r="EW23" s="1006">
        <f t="shared" si="230"/>
        <v>31</v>
      </c>
      <c r="EX23" s="1007">
        <f t="shared" ca="1" si="231"/>
        <v>17835616.438356161</v>
      </c>
      <c r="EY23" s="258">
        <f t="shared" ca="1" si="282"/>
        <v>420000000</v>
      </c>
      <c r="EZ23" s="258"/>
      <c r="FA23" s="197">
        <f t="shared" si="232"/>
        <v>2920</v>
      </c>
      <c r="FB23" s="1006">
        <f t="shared" si="233"/>
        <v>30</v>
      </c>
      <c r="FC23" s="1007">
        <f t="shared" ca="1" si="234"/>
        <v>17260273.972602785</v>
      </c>
      <c r="FD23" s="258">
        <f t="shared" ca="1" si="283"/>
        <v>437260273.97260278</v>
      </c>
      <c r="FE23" s="258"/>
      <c r="FF23" s="197">
        <f t="shared" si="235"/>
        <v>2890</v>
      </c>
      <c r="FG23" s="1006">
        <f t="shared" si="236"/>
        <v>31</v>
      </c>
      <c r="FH23" s="1007">
        <f t="shared" ca="1" si="237"/>
        <v>17835616.438356161</v>
      </c>
      <c r="FI23" s="258">
        <f t="shared" ca="1" si="284"/>
        <v>455095890.41095895</v>
      </c>
      <c r="FJ23" s="258"/>
      <c r="FK23" s="197">
        <f t="shared" si="238"/>
        <v>2859</v>
      </c>
      <c r="FL23" s="1006">
        <f t="shared" si="239"/>
        <v>31</v>
      </c>
      <c r="FM23" s="1007">
        <f t="shared" ca="1" si="240"/>
        <v>17835616.438356161</v>
      </c>
      <c r="FN23" s="258">
        <f t="shared" ca="1" si="285"/>
        <v>472931506.84931511</v>
      </c>
      <c r="FO23" s="258"/>
      <c r="FP23" s="197">
        <f t="shared" si="241"/>
        <v>2828</v>
      </c>
      <c r="FQ23" s="1006">
        <f t="shared" si="242"/>
        <v>30</v>
      </c>
      <c r="FR23" s="1007">
        <f t="shared" ca="1" si="243"/>
        <v>17260273.972602725</v>
      </c>
      <c r="FS23" s="258">
        <f t="shared" ca="1" si="286"/>
        <v>490191780.82191783</v>
      </c>
      <c r="FT23" s="258"/>
      <c r="FU23" s="197">
        <f t="shared" si="244"/>
        <v>2798</v>
      </c>
      <c r="FV23" s="1006">
        <f t="shared" si="245"/>
        <v>31</v>
      </c>
      <c r="FW23" s="1007">
        <f t="shared" ca="1" si="246"/>
        <v>17835616.438356161</v>
      </c>
      <c r="FX23" s="258">
        <f t="shared" ca="1" si="287"/>
        <v>508027397.26027399</v>
      </c>
      <c r="FY23" s="258"/>
      <c r="FZ23" s="197">
        <f t="shared" si="247"/>
        <v>2767</v>
      </c>
      <c r="GA23" s="1006">
        <f t="shared" si="248"/>
        <v>30</v>
      </c>
      <c r="GB23" s="1007">
        <f t="shared" ca="1" si="249"/>
        <v>17260273.972602725</v>
      </c>
      <c r="GC23" s="258">
        <f t="shared" ca="1" si="288"/>
        <v>525287671.23287672</v>
      </c>
      <c r="GD23" s="258"/>
      <c r="GE23" s="197">
        <f t="shared" si="250"/>
        <v>2737</v>
      </c>
      <c r="GF23" s="1006">
        <f t="shared" si="251"/>
        <v>31</v>
      </c>
      <c r="GG23" s="1007">
        <f t="shared" ca="1" si="252"/>
        <v>17835616.438356221</v>
      </c>
      <c r="GH23" s="258">
        <f t="shared" ca="1" si="289"/>
        <v>543123287.67123294</v>
      </c>
      <c r="GI23" s="258"/>
      <c r="GJ23" s="197">
        <f t="shared" si="253"/>
        <v>2706</v>
      </c>
      <c r="GK23" s="1340"/>
      <c r="GL23" s="164"/>
      <c r="GM23" s="164"/>
      <c r="GN23" s="164"/>
    </row>
    <row r="24" spans="1:196" ht="12.75" x14ac:dyDescent="0.2">
      <c r="A24" s="1010">
        <f>'Item list'!A24</f>
        <v>45792</v>
      </c>
      <c r="B24" s="243" t="str">
        <f>'Item list'!B24</f>
        <v>3 Material handling system</v>
      </c>
      <c r="C24" s="243" t="str">
        <f>'Item list'!C24</f>
        <v>Factory Equipment</v>
      </c>
      <c r="D24" s="989">
        <f>'Item list'!D24</f>
        <v>1800000000</v>
      </c>
      <c r="E24" s="243">
        <f>'Item list'!E24</f>
        <v>10</v>
      </c>
      <c r="F24" s="1004">
        <f>'Item list'!F24</f>
        <v>45809</v>
      </c>
      <c r="G24" s="243" t="str">
        <f>'Item list'!G24</f>
        <v>SLN</v>
      </c>
      <c r="H24" s="1005" t="e">
        <f t="shared" si="144"/>
        <v>#NUM!</v>
      </c>
      <c r="I24" s="243"/>
      <c r="J24" s="243"/>
      <c r="K24" s="243"/>
      <c r="L24" s="197">
        <f t="shared" si="145"/>
        <v>3650</v>
      </c>
      <c r="M24" s="1006">
        <f t="shared" si="146"/>
        <v>0</v>
      </c>
      <c r="N24" s="1007">
        <f t="shared" ca="1" si="147"/>
        <v>0</v>
      </c>
      <c r="O24" s="258">
        <f t="shared" ca="1" si="254"/>
        <v>0</v>
      </c>
      <c r="P24" s="258"/>
      <c r="Q24" s="197">
        <f t="shared" si="148"/>
        <v>3650</v>
      </c>
      <c r="R24" s="1006">
        <f t="shared" si="149"/>
        <v>0</v>
      </c>
      <c r="S24" s="1007">
        <f t="shared" ca="1" si="150"/>
        <v>0</v>
      </c>
      <c r="T24" s="258">
        <f t="shared" ca="1" si="255"/>
        <v>0</v>
      </c>
      <c r="U24" s="258"/>
      <c r="V24" s="197">
        <f t="shared" si="151"/>
        <v>3650</v>
      </c>
      <c r="W24" s="1006">
        <f t="shared" si="152"/>
        <v>0</v>
      </c>
      <c r="X24" s="1007">
        <f t="shared" ca="1" si="153"/>
        <v>0</v>
      </c>
      <c r="Y24" s="258">
        <f t="shared" ca="1" si="256"/>
        <v>0</v>
      </c>
      <c r="Z24" s="258"/>
      <c r="AA24" s="197">
        <f t="shared" si="154"/>
        <v>3650</v>
      </c>
      <c r="AB24" s="1006">
        <f t="shared" si="155"/>
        <v>0</v>
      </c>
      <c r="AC24" s="1007">
        <f t="shared" ca="1" si="156"/>
        <v>0</v>
      </c>
      <c r="AD24" s="258">
        <f t="shared" ca="1" si="257"/>
        <v>0</v>
      </c>
      <c r="AE24" s="258"/>
      <c r="AF24" s="197">
        <f t="shared" si="157"/>
        <v>3650</v>
      </c>
      <c r="AG24" s="1006">
        <f t="shared" si="158"/>
        <v>0</v>
      </c>
      <c r="AH24" s="1007">
        <f t="shared" ca="1" si="159"/>
        <v>0</v>
      </c>
      <c r="AI24" s="258">
        <f t="shared" ca="1" si="258"/>
        <v>0</v>
      </c>
      <c r="AJ24" s="258"/>
      <c r="AK24" s="197">
        <f t="shared" si="160"/>
        <v>3650</v>
      </c>
      <c r="AL24" s="1006">
        <f t="shared" si="161"/>
        <v>30</v>
      </c>
      <c r="AM24" s="1007">
        <f t="shared" ca="1" si="162"/>
        <v>14794520.547945205</v>
      </c>
      <c r="AN24" s="258">
        <f t="shared" ca="1" si="259"/>
        <v>14794520.547945205</v>
      </c>
      <c r="AO24" s="258"/>
      <c r="AP24" s="197">
        <f t="shared" si="163"/>
        <v>3620</v>
      </c>
      <c r="AQ24" s="1006">
        <f t="shared" si="164"/>
        <v>31</v>
      </c>
      <c r="AR24" s="1007">
        <f t="shared" ca="1" si="165"/>
        <v>15287671.232876714</v>
      </c>
      <c r="AS24" s="258">
        <f t="shared" ca="1" si="260"/>
        <v>30082191.780821919</v>
      </c>
      <c r="AT24" s="258"/>
      <c r="AU24" s="197">
        <f t="shared" si="166"/>
        <v>3589</v>
      </c>
      <c r="AV24" s="1006">
        <f t="shared" si="167"/>
        <v>31</v>
      </c>
      <c r="AW24" s="1007">
        <f t="shared" ca="1" si="168"/>
        <v>15287671.232876711</v>
      </c>
      <c r="AX24" s="258">
        <f t="shared" ca="1" si="261"/>
        <v>45369863.01369863</v>
      </c>
      <c r="AY24" s="258"/>
      <c r="AZ24" s="197">
        <f t="shared" si="169"/>
        <v>3558</v>
      </c>
      <c r="BA24" s="1006">
        <f t="shared" si="170"/>
        <v>30</v>
      </c>
      <c r="BB24" s="1007">
        <f t="shared" ca="1" si="171"/>
        <v>14794520.547945209</v>
      </c>
      <c r="BC24" s="258">
        <f t="shared" ca="1" si="262"/>
        <v>60164383.561643839</v>
      </c>
      <c r="BD24" s="258"/>
      <c r="BE24" s="197">
        <f t="shared" si="172"/>
        <v>3528</v>
      </c>
      <c r="BF24" s="1006">
        <f t="shared" si="173"/>
        <v>31</v>
      </c>
      <c r="BG24" s="1007">
        <f t="shared" ca="1" si="174"/>
        <v>15287671.232876718</v>
      </c>
      <c r="BH24" s="258">
        <f t="shared" ca="1" si="263"/>
        <v>75452054.794520557</v>
      </c>
      <c r="BI24" s="258"/>
      <c r="BJ24" s="197">
        <f t="shared" si="175"/>
        <v>3497</v>
      </c>
      <c r="BK24" s="1006">
        <f t="shared" si="176"/>
        <v>30</v>
      </c>
      <c r="BL24" s="1007">
        <f t="shared" ca="1" si="177"/>
        <v>14794520.547945201</v>
      </c>
      <c r="BM24" s="258">
        <f t="shared" ca="1" si="264"/>
        <v>90246575.342465758</v>
      </c>
      <c r="BN24" s="258"/>
      <c r="BO24" s="197">
        <f t="shared" si="178"/>
        <v>3467</v>
      </c>
      <c r="BP24" s="1006">
        <f t="shared" si="179"/>
        <v>31</v>
      </c>
      <c r="BQ24" s="1007">
        <f t="shared" ca="1" si="180"/>
        <v>15287671.232876718</v>
      </c>
      <c r="BR24" s="258">
        <f t="shared" ca="1" si="265"/>
        <v>105534246.57534248</v>
      </c>
      <c r="BS24" s="258"/>
      <c r="BT24" s="197">
        <f t="shared" si="181"/>
        <v>3436</v>
      </c>
      <c r="BU24" s="1006">
        <f t="shared" si="182"/>
        <v>31</v>
      </c>
      <c r="BV24" s="1007">
        <f t="shared" ca="1" si="183"/>
        <v>15287671.232876703</v>
      </c>
      <c r="BW24" s="258">
        <f t="shared" ca="1" si="266"/>
        <v>120821917.80821918</v>
      </c>
      <c r="BX24" s="258"/>
      <c r="BY24" s="197">
        <f t="shared" si="184"/>
        <v>3405</v>
      </c>
      <c r="BZ24" s="1006">
        <f t="shared" si="185"/>
        <v>28</v>
      </c>
      <c r="CA24" s="1007">
        <f t="shared" ca="1" si="186"/>
        <v>13808219.178082183</v>
      </c>
      <c r="CB24" s="258">
        <f t="shared" ca="1" si="267"/>
        <v>134630136.98630136</v>
      </c>
      <c r="CC24" s="258"/>
      <c r="CD24" s="197">
        <f t="shared" si="187"/>
        <v>3377</v>
      </c>
      <c r="CE24" s="1006">
        <f t="shared" si="188"/>
        <v>31</v>
      </c>
      <c r="CF24" s="1007">
        <f t="shared" ca="1" si="189"/>
        <v>15287671.232876718</v>
      </c>
      <c r="CG24" s="258">
        <f t="shared" ca="1" si="268"/>
        <v>149917808.21917808</v>
      </c>
      <c r="CH24" s="258"/>
      <c r="CI24" s="197">
        <f t="shared" si="190"/>
        <v>3346</v>
      </c>
      <c r="CJ24" s="1006">
        <f t="shared" si="191"/>
        <v>30</v>
      </c>
      <c r="CK24" s="1007">
        <f t="shared" ca="1" si="192"/>
        <v>14794520.547945201</v>
      </c>
      <c r="CL24" s="258">
        <f t="shared" ca="1" si="269"/>
        <v>164712328.76712328</v>
      </c>
      <c r="CM24" s="258"/>
      <c r="CN24" s="197">
        <f t="shared" si="193"/>
        <v>3316</v>
      </c>
      <c r="CO24" s="1006">
        <f t="shared" si="194"/>
        <v>31</v>
      </c>
      <c r="CP24" s="1007">
        <f t="shared" ca="1" si="195"/>
        <v>15287671.232876718</v>
      </c>
      <c r="CQ24" s="258">
        <f t="shared" ca="1" si="270"/>
        <v>180000000</v>
      </c>
      <c r="CR24" s="258"/>
      <c r="CS24" s="197">
        <f t="shared" si="196"/>
        <v>3285</v>
      </c>
      <c r="CT24" s="1006">
        <f t="shared" si="197"/>
        <v>30</v>
      </c>
      <c r="CU24" s="1007">
        <f t="shared" ca="1" si="198"/>
        <v>14794520.547945201</v>
      </c>
      <c r="CV24" s="258">
        <f t="shared" ca="1" si="271"/>
        <v>194794520.5479452</v>
      </c>
      <c r="CW24" s="258"/>
      <c r="CX24" s="197">
        <f t="shared" si="199"/>
        <v>3255</v>
      </c>
      <c r="CY24" s="1006">
        <f t="shared" si="200"/>
        <v>31</v>
      </c>
      <c r="CZ24" s="1007">
        <f t="shared" ca="1" si="201"/>
        <v>15287671.232876718</v>
      </c>
      <c r="DA24" s="258">
        <f t="shared" ca="1" si="272"/>
        <v>210082191.78082192</v>
      </c>
      <c r="DB24" s="258"/>
      <c r="DC24" s="197">
        <f t="shared" si="202"/>
        <v>3224</v>
      </c>
      <c r="DD24" s="1006">
        <f t="shared" si="203"/>
        <v>31</v>
      </c>
      <c r="DE24" s="1007">
        <f t="shared" ca="1" si="204"/>
        <v>15287671.232876718</v>
      </c>
      <c r="DF24" s="258">
        <f t="shared" ca="1" si="273"/>
        <v>225369863.01369864</v>
      </c>
      <c r="DG24" s="258"/>
      <c r="DH24" s="197">
        <f t="shared" si="205"/>
        <v>3193</v>
      </c>
      <c r="DI24" s="1006">
        <f t="shared" si="206"/>
        <v>30</v>
      </c>
      <c r="DJ24" s="1007">
        <f t="shared" ca="1" si="207"/>
        <v>14794520.547945201</v>
      </c>
      <c r="DK24" s="258">
        <f t="shared" ca="1" si="274"/>
        <v>240164383.56164384</v>
      </c>
      <c r="DL24" s="258"/>
      <c r="DM24" s="197">
        <f t="shared" si="208"/>
        <v>3163</v>
      </c>
      <c r="DN24" s="1006">
        <f t="shared" si="209"/>
        <v>31</v>
      </c>
      <c r="DO24" s="1007">
        <f t="shared" ca="1" si="210"/>
        <v>15287671.232876718</v>
      </c>
      <c r="DP24" s="258">
        <f t="shared" ca="1" si="275"/>
        <v>255452054.79452056</v>
      </c>
      <c r="DQ24" s="258"/>
      <c r="DR24" s="197">
        <f t="shared" si="211"/>
        <v>3132</v>
      </c>
      <c r="DS24" s="1006">
        <f t="shared" si="212"/>
        <v>30</v>
      </c>
      <c r="DT24" s="1007">
        <f t="shared" ca="1" si="213"/>
        <v>14794520.547945201</v>
      </c>
      <c r="DU24" s="258">
        <f t="shared" ca="1" si="276"/>
        <v>270246575.34246576</v>
      </c>
      <c r="DV24" s="258"/>
      <c r="DW24" s="197">
        <f t="shared" si="214"/>
        <v>3102</v>
      </c>
      <c r="DX24" s="1006">
        <f t="shared" si="215"/>
        <v>31</v>
      </c>
      <c r="DY24" s="1007">
        <f t="shared" ca="1" si="216"/>
        <v>15287671.232876718</v>
      </c>
      <c r="DZ24" s="258">
        <f t="shared" ca="1" si="277"/>
        <v>285534246.57534248</v>
      </c>
      <c r="EA24" s="258"/>
      <c r="EB24" s="197">
        <f t="shared" si="217"/>
        <v>3071</v>
      </c>
      <c r="EC24" s="1006">
        <f t="shared" si="218"/>
        <v>31</v>
      </c>
      <c r="ED24" s="1007">
        <f t="shared" ca="1" si="219"/>
        <v>15287671.232876718</v>
      </c>
      <c r="EE24" s="258">
        <f t="shared" ca="1" si="278"/>
        <v>300821917.80821919</v>
      </c>
      <c r="EF24" s="258"/>
      <c r="EG24" s="197">
        <f t="shared" si="220"/>
        <v>3040</v>
      </c>
      <c r="EH24" s="1006">
        <f t="shared" si="221"/>
        <v>28</v>
      </c>
      <c r="EI24" s="1007">
        <f t="shared" ca="1" si="222"/>
        <v>13808219.178082168</v>
      </c>
      <c r="EJ24" s="258">
        <f t="shared" ca="1" si="279"/>
        <v>314630136.98630136</v>
      </c>
      <c r="EK24" s="258"/>
      <c r="EL24" s="197">
        <f t="shared" si="223"/>
        <v>3012</v>
      </c>
      <c r="EM24" s="1006">
        <f t="shared" si="224"/>
        <v>31</v>
      </c>
      <c r="EN24" s="1007">
        <f t="shared" ca="1" si="225"/>
        <v>15287671.232876718</v>
      </c>
      <c r="EO24" s="258">
        <f t="shared" ca="1" si="280"/>
        <v>329917808.21917808</v>
      </c>
      <c r="EP24" s="258"/>
      <c r="EQ24" s="197">
        <f t="shared" si="226"/>
        <v>2981</v>
      </c>
      <c r="ER24" s="1006">
        <f t="shared" si="227"/>
        <v>30</v>
      </c>
      <c r="ES24" s="1007">
        <f t="shared" ca="1" si="228"/>
        <v>14794520.547945201</v>
      </c>
      <c r="ET24" s="258">
        <f t="shared" ca="1" si="281"/>
        <v>344712328.76712328</v>
      </c>
      <c r="EU24" s="258"/>
      <c r="EV24" s="197">
        <f t="shared" si="229"/>
        <v>2951</v>
      </c>
      <c r="EW24" s="1006">
        <f t="shared" si="230"/>
        <v>31</v>
      </c>
      <c r="EX24" s="1007">
        <f t="shared" ca="1" si="231"/>
        <v>15287671.232876718</v>
      </c>
      <c r="EY24" s="258">
        <f t="shared" ca="1" si="282"/>
        <v>360000000</v>
      </c>
      <c r="EZ24" s="258"/>
      <c r="FA24" s="197">
        <f t="shared" si="232"/>
        <v>2920</v>
      </c>
      <c r="FB24" s="1006">
        <f t="shared" si="233"/>
        <v>30</v>
      </c>
      <c r="FC24" s="1007">
        <f t="shared" ca="1" si="234"/>
        <v>14794520.547945201</v>
      </c>
      <c r="FD24" s="258">
        <f t="shared" ca="1" si="283"/>
        <v>374794520.5479452</v>
      </c>
      <c r="FE24" s="258"/>
      <c r="FF24" s="197">
        <f t="shared" si="235"/>
        <v>2890</v>
      </c>
      <c r="FG24" s="1006">
        <f t="shared" si="236"/>
        <v>31</v>
      </c>
      <c r="FH24" s="1007">
        <f t="shared" ca="1" si="237"/>
        <v>15287671.232876718</v>
      </c>
      <c r="FI24" s="258">
        <f t="shared" ca="1" si="284"/>
        <v>390082191.78082192</v>
      </c>
      <c r="FJ24" s="258"/>
      <c r="FK24" s="197">
        <f t="shared" si="238"/>
        <v>2859</v>
      </c>
      <c r="FL24" s="1006">
        <f t="shared" si="239"/>
        <v>31</v>
      </c>
      <c r="FM24" s="1007">
        <f t="shared" ca="1" si="240"/>
        <v>15287671.232876718</v>
      </c>
      <c r="FN24" s="258">
        <f t="shared" ca="1" si="285"/>
        <v>405369863.01369864</v>
      </c>
      <c r="FO24" s="258"/>
      <c r="FP24" s="197">
        <f t="shared" si="241"/>
        <v>2828</v>
      </c>
      <c r="FQ24" s="1006">
        <f t="shared" si="242"/>
        <v>30</v>
      </c>
      <c r="FR24" s="1007">
        <f t="shared" ca="1" si="243"/>
        <v>14794520.547945201</v>
      </c>
      <c r="FS24" s="258">
        <f t="shared" ca="1" si="286"/>
        <v>420164383.56164384</v>
      </c>
      <c r="FT24" s="258"/>
      <c r="FU24" s="197">
        <f t="shared" si="244"/>
        <v>2798</v>
      </c>
      <c r="FV24" s="1006">
        <f t="shared" si="245"/>
        <v>31</v>
      </c>
      <c r="FW24" s="1007">
        <f t="shared" ca="1" si="246"/>
        <v>15287671.232876718</v>
      </c>
      <c r="FX24" s="258">
        <f t="shared" ca="1" si="287"/>
        <v>435452054.79452056</v>
      </c>
      <c r="FY24" s="258"/>
      <c r="FZ24" s="197">
        <f t="shared" si="247"/>
        <v>2767</v>
      </c>
      <c r="GA24" s="1006">
        <f t="shared" si="248"/>
        <v>30</v>
      </c>
      <c r="GB24" s="1007">
        <f t="shared" ca="1" si="249"/>
        <v>14794520.547945201</v>
      </c>
      <c r="GC24" s="258">
        <f t="shared" ca="1" si="288"/>
        <v>450246575.34246576</v>
      </c>
      <c r="GD24" s="258"/>
      <c r="GE24" s="197">
        <f t="shared" si="250"/>
        <v>2737</v>
      </c>
      <c r="GF24" s="1006">
        <f t="shared" si="251"/>
        <v>31</v>
      </c>
      <c r="GG24" s="1007">
        <f t="shared" ca="1" si="252"/>
        <v>15287671.232876718</v>
      </c>
      <c r="GH24" s="258">
        <f t="shared" ca="1" si="289"/>
        <v>465534246.57534248</v>
      </c>
      <c r="GI24" s="258"/>
      <c r="GJ24" s="197">
        <f t="shared" si="253"/>
        <v>2706</v>
      </c>
      <c r="GK24" s="1340"/>
      <c r="GL24" s="164"/>
      <c r="GM24" s="164"/>
      <c r="GN24" s="164"/>
    </row>
    <row r="25" spans="1:196" ht="12.75" x14ac:dyDescent="0.2">
      <c r="A25" s="1010">
        <f>'Item list'!A25</f>
        <v>45708</v>
      </c>
      <c r="B25" s="243" t="str">
        <f>'Item list'!B25</f>
        <v>22 Office computers</v>
      </c>
      <c r="C25" s="243" t="str">
        <f>'Item list'!C25</f>
        <v>Computer Hardware</v>
      </c>
      <c r="D25" s="989">
        <f>'Item list'!D25</f>
        <v>440000000</v>
      </c>
      <c r="E25" s="243">
        <f>'Item list'!E25</f>
        <v>5</v>
      </c>
      <c r="F25" s="1004">
        <f>'Item list'!F25</f>
        <v>45731</v>
      </c>
      <c r="G25" s="243" t="str">
        <f>'Item list'!G25</f>
        <v>SLN</v>
      </c>
      <c r="H25" s="1005" t="e">
        <f t="shared" si="144"/>
        <v>#NUM!</v>
      </c>
      <c r="I25" s="243"/>
      <c r="J25" s="243"/>
      <c r="K25" s="243"/>
      <c r="L25" s="197">
        <f t="shared" si="145"/>
        <v>1825</v>
      </c>
      <c r="M25" s="1006">
        <f t="shared" si="146"/>
        <v>0</v>
      </c>
      <c r="N25" s="1007">
        <f t="shared" ca="1" si="147"/>
        <v>0</v>
      </c>
      <c r="O25" s="258">
        <f t="shared" ca="1" si="254"/>
        <v>0</v>
      </c>
      <c r="P25" s="258"/>
      <c r="Q25" s="197">
        <f t="shared" si="148"/>
        <v>1825</v>
      </c>
      <c r="R25" s="1006">
        <f t="shared" si="149"/>
        <v>0</v>
      </c>
      <c r="S25" s="1007">
        <f t="shared" ca="1" si="150"/>
        <v>0</v>
      </c>
      <c r="T25" s="258">
        <f t="shared" ca="1" si="255"/>
        <v>0</v>
      </c>
      <c r="U25" s="258"/>
      <c r="V25" s="197">
        <f t="shared" si="151"/>
        <v>1825</v>
      </c>
      <c r="W25" s="1006">
        <f t="shared" si="152"/>
        <v>17</v>
      </c>
      <c r="X25" s="1007">
        <f t="shared" ca="1" si="153"/>
        <v>4098630.1369863013</v>
      </c>
      <c r="Y25" s="258">
        <f t="shared" ca="1" si="256"/>
        <v>4098630.1369863013</v>
      </c>
      <c r="Z25" s="258"/>
      <c r="AA25" s="197">
        <f t="shared" si="154"/>
        <v>1808</v>
      </c>
      <c r="AB25" s="1006">
        <f t="shared" si="155"/>
        <v>30</v>
      </c>
      <c r="AC25" s="1007">
        <f t="shared" ca="1" si="156"/>
        <v>7232876.7123287665</v>
      </c>
      <c r="AD25" s="258">
        <f t="shared" ca="1" si="257"/>
        <v>11331506.849315068</v>
      </c>
      <c r="AE25" s="258"/>
      <c r="AF25" s="197">
        <f t="shared" si="157"/>
        <v>1778</v>
      </c>
      <c r="AG25" s="1006">
        <f t="shared" si="158"/>
        <v>31</v>
      </c>
      <c r="AH25" s="1007">
        <f t="shared" ca="1" si="159"/>
        <v>7473972.6027397271</v>
      </c>
      <c r="AI25" s="258">
        <f t="shared" ca="1" si="258"/>
        <v>18805479.452054795</v>
      </c>
      <c r="AJ25" s="258"/>
      <c r="AK25" s="197">
        <f t="shared" si="160"/>
        <v>1747</v>
      </c>
      <c r="AL25" s="1006">
        <f t="shared" si="161"/>
        <v>30</v>
      </c>
      <c r="AM25" s="1007">
        <f t="shared" ca="1" si="162"/>
        <v>7232876.7123287655</v>
      </c>
      <c r="AN25" s="258">
        <f t="shared" ca="1" si="259"/>
        <v>26038356.16438356</v>
      </c>
      <c r="AO25" s="258"/>
      <c r="AP25" s="197">
        <f t="shared" si="163"/>
        <v>1717</v>
      </c>
      <c r="AQ25" s="1006">
        <f t="shared" si="164"/>
        <v>31</v>
      </c>
      <c r="AR25" s="1007">
        <f t="shared" ca="1" si="165"/>
        <v>7473972.602739729</v>
      </c>
      <c r="AS25" s="258">
        <f t="shared" ca="1" si="260"/>
        <v>33512328.767123289</v>
      </c>
      <c r="AT25" s="258"/>
      <c r="AU25" s="197">
        <f t="shared" si="166"/>
        <v>1686</v>
      </c>
      <c r="AV25" s="1006">
        <f t="shared" si="167"/>
        <v>31</v>
      </c>
      <c r="AW25" s="1007">
        <f t="shared" ca="1" si="168"/>
        <v>7473972.6027397215</v>
      </c>
      <c r="AX25" s="258">
        <f t="shared" ca="1" si="261"/>
        <v>40986301.369863011</v>
      </c>
      <c r="AY25" s="258"/>
      <c r="AZ25" s="197">
        <f t="shared" si="169"/>
        <v>1655</v>
      </c>
      <c r="BA25" s="1006">
        <f t="shared" si="170"/>
        <v>30</v>
      </c>
      <c r="BB25" s="1007">
        <f t="shared" ca="1" si="171"/>
        <v>7232876.7123287693</v>
      </c>
      <c r="BC25" s="258">
        <f t="shared" ca="1" si="262"/>
        <v>48219178.08219178</v>
      </c>
      <c r="BD25" s="258"/>
      <c r="BE25" s="197">
        <f t="shared" si="172"/>
        <v>1625</v>
      </c>
      <c r="BF25" s="1006">
        <f t="shared" si="173"/>
        <v>31</v>
      </c>
      <c r="BG25" s="1007">
        <f t="shared" ca="1" si="174"/>
        <v>7473972.602739729</v>
      </c>
      <c r="BH25" s="258">
        <f t="shared" ca="1" si="263"/>
        <v>55693150.684931509</v>
      </c>
      <c r="BI25" s="258"/>
      <c r="BJ25" s="197">
        <f t="shared" si="175"/>
        <v>1594</v>
      </c>
      <c r="BK25" s="1006">
        <f t="shared" si="176"/>
        <v>30</v>
      </c>
      <c r="BL25" s="1007">
        <f t="shared" ca="1" si="177"/>
        <v>7232876.7123287618</v>
      </c>
      <c r="BM25" s="258">
        <f t="shared" ca="1" si="264"/>
        <v>62926027.397260271</v>
      </c>
      <c r="BN25" s="258"/>
      <c r="BO25" s="197">
        <f t="shared" si="178"/>
        <v>1564</v>
      </c>
      <c r="BP25" s="1006">
        <f t="shared" si="179"/>
        <v>31</v>
      </c>
      <c r="BQ25" s="1007">
        <f t="shared" ca="1" si="180"/>
        <v>7473972.602739729</v>
      </c>
      <c r="BR25" s="258">
        <f t="shared" ca="1" si="265"/>
        <v>70400000</v>
      </c>
      <c r="BS25" s="258"/>
      <c r="BT25" s="197">
        <f t="shared" si="181"/>
        <v>1533</v>
      </c>
      <c r="BU25" s="1006">
        <f t="shared" si="182"/>
        <v>31</v>
      </c>
      <c r="BV25" s="1007">
        <f t="shared" ca="1" si="183"/>
        <v>7473972.6027397215</v>
      </c>
      <c r="BW25" s="258">
        <f t="shared" ca="1" si="266"/>
        <v>77873972.602739722</v>
      </c>
      <c r="BX25" s="258"/>
      <c r="BY25" s="197">
        <f t="shared" si="184"/>
        <v>1502</v>
      </c>
      <c r="BZ25" s="1006">
        <f t="shared" si="185"/>
        <v>28</v>
      </c>
      <c r="CA25" s="1007">
        <f t="shared" ca="1" si="186"/>
        <v>6750684.9315068573</v>
      </c>
      <c r="CB25" s="258">
        <f t="shared" ca="1" si="267"/>
        <v>84624657.534246579</v>
      </c>
      <c r="CC25" s="258"/>
      <c r="CD25" s="197">
        <f t="shared" si="187"/>
        <v>1474</v>
      </c>
      <c r="CE25" s="1006">
        <f t="shared" si="188"/>
        <v>31</v>
      </c>
      <c r="CF25" s="1007">
        <f t="shared" ca="1" si="189"/>
        <v>7473972.6027397215</v>
      </c>
      <c r="CG25" s="258">
        <f t="shared" ca="1" si="268"/>
        <v>92098630.1369863</v>
      </c>
      <c r="CH25" s="258"/>
      <c r="CI25" s="197">
        <f t="shared" si="190"/>
        <v>1443</v>
      </c>
      <c r="CJ25" s="1006">
        <f t="shared" si="191"/>
        <v>30</v>
      </c>
      <c r="CK25" s="1007">
        <f t="shared" ca="1" si="192"/>
        <v>7232876.7123287618</v>
      </c>
      <c r="CL25" s="258">
        <f t="shared" ca="1" si="269"/>
        <v>99331506.849315062</v>
      </c>
      <c r="CM25" s="258"/>
      <c r="CN25" s="197">
        <f t="shared" si="193"/>
        <v>1413</v>
      </c>
      <c r="CO25" s="1006">
        <f t="shared" si="194"/>
        <v>31</v>
      </c>
      <c r="CP25" s="1007">
        <f t="shared" ca="1" si="195"/>
        <v>7473972.6027397364</v>
      </c>
      <c r="CQ25" s="258">
        <f t="shared" ca="1" si="270"/>
        <v>106805479.4520548</v>
      </c>
      <c r="CR25" s="258"/>
      <c r="CS25" s="197">
        <f t="shared" si="196"/>
        <v>1382</v>
      </c>
      <c r="CT25" s="1006">
        <f t="shared" si="197"/>
        <v>30</v>
      </c>
      <c r="CU25" s="1007">
        <f t="shared" ca="1" si="198"/>
        <v>7232876.7123287618</v>
      </c>
      <c r="CV25" s="258">
        <f t="shared" ca="1" si="271"/>
        <v>114038356.16438356</v>
      </c>
      <c r="CW25" s="258"/>
      <c r="CX25" s="197">
        <f t="shared" si="199"/>
        <v>1352</v>
      </c>
      <c r="CY25" s="1006">
        <f t="shared" si="200"/>
        <v>31</v>
      </c>
      <c r="CZ25" s="1007">
        <f t="shared" ca="1" si="201"/>
        <v>7473972.6027397215</v>
      </c>
      <c r="DA25" s="258">
        <f t="shared" ca="1" si="272"/>
        <v>121512328.76712328</v>
      </c>
      <c r="DB25" s="258"/>
      <c r="DC25" s="197">
        <f t="shared" si="202"/>
        <v>1321</v>
      </c>
      <c r="DD25" s="1006">
        <f t="shared" si="203"/>
        <v>31</v>
      </c>
      <c r="DE25" s="1007">
        <f t="shared" ca="1" si="204"/>
        <v>7473972.6027397364</v>
      </c>
      <c r="DF25" s="258">
        <f t="shared" ca="1" si="273"/>
        <v>128986301.36986302</v>
      </c>
      <c r="DG25" s="258"/>
      <c r="DH25" s="197">
        <f t="shared" si="205"/>
        <v>1290</v>
      </c>
      <c r="DI25" s="1006">
        <f t="shared" si="206"/>
        <v>30</v>
      </c>
      <c r="DJ25" s="1007">
        <f t="shared" ca="1" si="207"/>
        <v>7232876.7123287767</v>
      </c>
      <c r="DK25" s="258">
        <f t="shared" ca="1" si="274"/>
        <v>136219178.0821918</v>
      </c>
      <c r="DL25" s="258"/>
      <c r="DM25" s="197">
        <f t="shared" si="208"/>
        <v>1260</v>
      </c>
      <c r="DN25" s="1006">
        <f t="shared" si="209"/>
        <v>31</v>
      </c>
      <c r="DO25" s="1007">
        <f t="shared" ca="1" si="210"/>
        <v>7473972.6027397215</v>
      </c>
      <c r="DP25" s="258">
        <f t="shared" ca="1" si="275"/>
        <v>143693150.68493152</v>
      </c>
      <c r="DQ25" s="258"/>
      <c r="DR25" s="197">
        <f t="shared" si="211"/>
        <v>1229</v>
      </c>
      <c r="DS25" s="1006">
        <f t="shared" si="212"/>
        <v>30</v>
      </c>
      <c r="DT25" s="1007">
        <f t="shared" ca="1" si="213"/>
        <v>7232876.7123287618</v>
      </c>
      <c r="DU25" s="258">
        <f t="shared" ca="1" si="276"/>
        <v>150926027.39726028</v>
      </c>
      <c r="DV25" s="258"/>
      <c r="DW25" s="197">
        <f t="shared" si="214"/>
        <v>1199</v>
      </c>
      <c r="DX25" s="1006">
        <f t="shared" si="215"/>
        <v>31</v>
      </c>
      <c r="DY25" s="1007">
        <f t="shared" ca="1" si="216"/>
        <v>7473972.6027397215</v>
      </c>
      <c r="DZ25" s="258">
        <f t="shared" ca="1" si="277"/>
        <v>158400000</v>
      </c>
      <c r="EA25" s="258"/>
      <c r="EB25" s="197">
        <f t="shared" si="217"/>
        <v>1168</v>
      </c>
      <c r="EC25" s="1006">
        <f t="shared" si="218"/>
        <v>31</v>
      </c>
      <c r="ED25" s="1007">
        <f t="shared" ca="1" si="219"/>
        <v>7473972.6027397215</v>
      </c>
      <c r="EE25" s="258">
        <f t="shared" ca="1" si="278"/>
        <v>165873972.60273972</v>
      </c>
      <c r="EF25" s="258"/>
      <c r="EG25" s="197">
        <f t="shared" si="220"/>
        <v>1137</v>
      </c>
      <c r="EH25" s="1006">
        <f t="shared" si="221"/>
        <v>28</v>
      </c>
      <c r="EI25" s="1007">
        <f t="shared" ca="1" si="222"/>
        <v>6750684.9315068424</v>
      </c>
      <c r="EJ25" s="258">
        <f t="shared" ca="1" si="279"/>
        <v>172624657.53424656</v>
      </c>
      <c r="EK25" s="258"/>
      <c r="EL25" s="197">
        <f t="shared" si="223"/>
        <v>1109</v>
      </c>
      <c r="EM25" s="1006">
        <f t="shared" si="224"/>
        <v>31</v>
      </c>
      <c r="EN25" s="1007">
        <f t="shared" ca="1" si="225"/>
        <v>7473972.6027397513</v>
      </c>
      <c r="EO25" s="258">
        <f t="shared" ca="1" si="280"/>
        <v>180098630.13698632</v>
      </c>
      <c r="EP25" s="258"/>
      <c r="EQ25" s="197">
        <f t="shared" si="226"/>
        <v>1078</v>
      </c>
      <c r="ER25" s="1006">
        <f t="shared" si="227"/>
        <v>30</v>
      </c>
      <c r="ES25" s="1007">
        <f t="shared" ca="1" si="228"/>
        <v>7232876.7123287618</v>
      </c>
      <c r="ET25" s="258">
        <f t="shared" ca="1" si="281"/>
        <v>187331506.84931508</v>
      </c>
      <c r="EU25" s="258"/>
      <c r="EV25" s="197">
        <f t="shared" si="229"/>
        <v>1048</v>
      </c>
      <c r="EW25" s="1006">
        <f t="shared" si="230"/>
        <v>31</v>
      </c>
      <c r="EX25" s="1007">
        <f t="shared" ca="1" si="231"/>
        <v>7473972.6027397215</v>
      </c>
      <c r="EY25" s="258">
        <f t="shared" ca="1" si="282"/>
        <v>194805479.4520548</v>
      </c>
      <c r="EZ25" s="258"/>
      <c r="FA25" s="197">
        <f t="shared" si="232"/>
        <v>1017</v>
      </c>
      <c r="FB25" s="1006">
        <f t="shared" si="233"/>
        <v>30</v>
      </c>
      <c r="FC25" s="1007">
        <f t="shared" ca="1" si="234"/>
        <v>7232876.7123287618</v>
      </c>
      <c r="FD25" s="258">
        <f t="shared" ca="1" si="283"/>
        <v>202038356.16438356</v>
      </c>
      <c r="FE25" s="258"/>
      <c r="FF25" s="197">
        <f t="shared" si="235"/>
        <v>987</v>
      </c>
      <c r="FG25" s="1006">
        <f t="shared" si="236"/>
        <v>31</v>
      </c>
      <c r="FH25" s="1007">
        <f t="shared" ca="1" si="237"/>
        <v>7473972.6027397215</v>
      </c>
      <c r="FI25" s="258">
        <f t="shared" ca="1" si="284"/>
        <v>209512328.76712328</v>
      </c>
      <c r="FJ25" s="258"/>
      <c r="FK25" s="197">
        <f t="shared" si="238"/>
        <v>956</v>
      </c>
      <c r="FL25" s="1006">
        <f t="shared" si="239"/>
        <v>31</v>
      </c>
      <c r="FM25" s="1007">
        <f t="shared" ca="1" si="240"/>
        <v>7473972.6027397215</v>
      </c>
      <c r="FN25" s="258">
        <f t="shared" ca="1" si="285"/>
        <v>216986301.369863</v>
      </c>
      <c r="FO25" s="258"/>
      <c r="FP25" s="197">
        <f t="shared" si="241"/>
        <v>925</v>
      </c>
      <c r="FQ25" s="1006">
        <f t="shared" si="242"/>
        <v>30</v>
      </c>
      <c r="FR25" s="1007">
        <f t="shared" ca="1" si="243"/>
        <v>7232876.7123287916</v>
      </c>
      <c r="FS25" s="258">
        <f t="shared" ca="1" si="286"/>
        <v>224219178.0821918</v>
      </c>
      <c r="FT25" s="258"/>
      <c r="FU25" s="197">
        <f t="shared" si="244"/>
        <v>895</v>
      </c>
      <c r="FV25" s="1006">
        <f t="shared" si="245"/>
        <v>31</v>
      </c>
      <c r="FW25" s="1007">
        <f t="shared" ca="1" si="246"/>
        <v>7473972.6027397215</v>
      </c>
      <c r="FX25" s="258">
        <f t="shared" ca="1" si="287"/>
        <v>231693150.68493152</v>
      </c>
      <c r="FY25" s="258"/>
      <c r="FZ25" s="197">
        <f t="shared" si="247"/>
        <v>864</v>
      </c>
      <c r="GA25" s="1006">
        <f t="shared" si="248"/>
        <v>30</v>
      </c>
      <c r="GB25" s="1007">
        <f t="shared" ca="1" si="249"/>
        <v>7232876.7123287618</v>
      </c>
      <c r="GC25" s="258">
        <f t="shared" ca="1" si="288"/>
        <v>238926027.39726028</v>
      </c>
      <c r="GD25" s="258"/>
      <c r="GE25" s="197">
        <f t="shared" si="250"/>
        <v>834</v>
      </c>
      <c r="GF25" s="1006">
        <f t="shared" si="251"/>
        <v>31</v>
      </c>
      <c r="GG25" s="1007">
        <f t="shared" ca="1" si="252"/>
        <v>7473972.6027397215</v>
      </c>
      <c r="GH25" s="258">
        <f t="shared" ca="1" si="289"/>
        <v>246400000</v>
      </c>
      <c r="GI25" s="258"/>
      <c r="GJ25" s="197">
        <f t="shared" si="253"/>
        <v>803</v>
      </c>
      <c r="GK25" s="1340"/>
      <c r="GL25" s="164"/>
      <c r="GM25" s="164"/>
      <c r="GN25" s="164"/>
    </row>
    <row r="26" spans="1:196" ht="12.75" x14ac:dyDescent="0.2">
      <c r="A26" s="1010">
        <f>'Item list'!A26</f>
        <v>45716</v>
      </c>
      <c r="B26" s="243" t="str">
        <f>'Item list'!B26</f>
        <v>3 Design software</v>
      </c>
      <c r="C26" s="243" t="str">
        <f>'Item list'!C26</f>
        <v>Computer Software</v>
      </c>
      <c r="D26" s="989">
        <f>'Item list'!D26</f>
        <v>60000000</v>
      </c>
      <c r="E26" s="243">
        <f>'Item list'!E26</f>
        <v>3</v>
      </c>
      <c r="F26" s="1004">
        <f>'Item list'!F26</f>
        <v>45731</v>
      </c>
      <c r="G26" s="243" t="str">
        <f>'Item list'!G26</f>
        <v>SLN</v>
      </c>
      <c r="H26" s="1005" t="e">
        <f t="shared" si="144"/>
        <v>#NUM!</v>
      </c>
      <c r="I26" s="243"/>
      <c r="J26" s="243"/>
      <c r="K26" s="243"/>
      <c r="L26" s="197">
        <f t="shared" si="145"/>
        <v>1095</v>
      </c>
      <c r="M26" s="1006">
        <f t="shared" si="146"/>
        <v>0</v>
      </c>
      <c r="N26" s="1007">
        <f t="shared" ca="1" si="147"/>
        <v>0</v>
      </c>
      <c r="O26" s="258">
        <f t="shared" ca="1" si="254"/>
        <v>0</v>
      </c>
      <c r="P26" s="258"/>
      <c r="Q26" s="197">
        <f t="shared" si="148"/>
        <v>1095</v>
      </c>
      <c r="R26" s="1006">
        <f t="shared" si="149"/>
        <v>0</v>
      </c>
      <c r="S26" s="1007">
        <f t="shared" ca="1" si="150"/>
        <v>0</v>
      </c>
      <c r="T26" s="258">
        <f t="shared" ca="1" si="255"/>
        <v>0</v>
      </c>
      <c r="U26" s="258"/>
      <c r="V26" s="197">
        <f t="shared" si="151"/>
        <v>1095</v>
      </c>
      <c r="W26" s="1006">
        <f t="shared" si="152"/>
        <v>17</v>
      </c>
      <c r="X26" s="1007">
        <f t="shared" ca="1" si="153"/>
        <v>931506.84931506845</v>
      </c>
      <c r="Y26" s="258">
        <f t="shared" ca="1" si="256"/>
        <v>931506.84931506845</v>
      </c>
      <c r="Z26" s="258"/>
      <c r="AA26" s="197">
        <f t="shared" si="154"/>
        <v>1078</v>
      </c>
      <c r="AB26" s="1006">
        <f t="shared" si="155"/>
        <v>30</v>
      </c>
      <c r="AC26" s="1007">
        <f t="shared" ca="1" si="156"/>
        <v>1643835.616438356</v>
      </c>
      <c r="AD26" s="258">
        <f t="shared" ca="1" si="257"/>
        <v>2575342.4657534244</v>
      </c>
      <c r="AE26" s="258"/>
      <c r="AF26" s="197">
        <f t="shared" si="157"/>
        <v>1048</v>
      </c>
      <c r="AG26" s="1006">
        <f t="shared" si="158"/>
        <v>31</v>
      </c>
      <c r="AH26" s="1007">
        <f t="shared" ca="1" si="159"/>
        <v>1698630.1369863017</v>
      </c>
      <c r="AI26" s="258">
        <f t="shared" ca="1" si="258"/>
        <v>4273972.6027397262</v>
      </c>
      <c r="AJ26" s="258"/>
      <c r="AK26" s="197">
        <f t="shared" si="160"/>
        <v>1017</v>
      </c>
      <c r="AL26" s="1006">
        <f t="shared" si="161"/>
        <v>30</v>
      </c>
      <c r="AM26" s="1007">
        <f t="shared" ca="1" si="162"/>
        <v>1643835.6164383562</v>
      </c>
      <c r="AN26" s="258">
        <f t="shared" ca="1" si="259"/>
        <v>5917808.2191780824</v>
      </c>
      <c r="AO26" s="258"/>
      <c r="AP26" s="197">
        <f t="shared" si="163"/>
        <v>987</v>
      </c>
      <c r="AQ26" s="1006">
        <f t="shared" si="164"/>
        <v>31</v>
      </c>
      <c r="AR26" s="1007">
        <f t="shared" ca="1" si="165"/>
        <v>1698630.1369863013</v>
      </c>
      <c r="AS26" s="258">
        <f t="shared" ca="1" si="260"/>
        <v>7616438.3561643837</v>
      </c>
      <c r="AT26" s="258"/>
      <c r="AU26" s="197">
        <f t="shared" si="166"/>
        <v>956</v>
      </c>
      <c r="AV26" s="1006">
        <f t="shared" si="167"/>
        <v>31</v>
      </c>
      <c r="AW26" s="1007">
        <f t="shared" ca="1" si="168"/>
        <v>1698630.1369863013</v>
      </c>
      <c r="AX26" s="258">
        <f t="shared" ca="1" si="261"/>
        <v>9315068.493150685</v>
      </c>
      <c r="AY26" s="258"/>
      <c r="AZ26" s="197">
        <f t="shared" si="169"/>
        <v>925</v>
      </c>
      <c r="BA26" s="1006">
        <f t="shared" si="170"/>
        <v>30</v>
      </c>
      <c r="BB26" s="1007">
        <f t="shared" ca="1" si="171"/>
        <v>1643835.6164383553</v>
      </c>
      <c r="BC26" s="258">
        <f t="shared" ca="1" si="262"/>
        <v>10958904.10958904</v>
      </c>
      <c r="BD26" s="258"/>
      <c r="BE26" s="197">
        <f t="shared" si="172"/>
        <v>895</v>
      </c>
      <c r="BF26" s="1006">
        <f t="shared" si="173"/>
        <v>31</v>
      </c>
      <c r="BG26" s="1007">
        <f t="shared" ca="1" si="174"/>
        <v>1698630.1369863022</v>
      </c>
      <c r="BH26" s="258">
        <f t="shared" ca="1" si="263"/>
        <v>12657534.246575342</v>
      </c>
      <c r="BI26" s="258"/>
      <c r="BJ26" s="197">
        <f t="shared" si="175"/>
        <v>864</v>
      </c>
      <c r="BK26" s="1006">
        <f t="shared" si="176"/>
        <v>30</v>
      </c>
      <c r="BL26" s="1007">
        <f t="shared" ca="1" si="177"/>
        <v>1643835.6164383553</v>
      </c>
      <c r="BM26" s="258">
        <f t="shared" ca="1" si="264"/>
        <v>14301369.863013698</v>
      </c>
      <c r="BN26" s="258"/>
      <c r="BO26" s="197">
        <f t="shared" si="178"/>
        <v>834</v>
      </c>
      <c r="BP26" s="1006">
        <f t="shared" si="179"/>
        <v>31</v>
      </c>
      <c r="BQ26" s="1007">
        <f t="shared" ca="1" si="180"/>
        <v>1698630.1369863022</v>
      </c>
      <c r="BR26" s="258">
        <f t="shared" ca="1" si="265"/>
        <v>16000000</v>
      </c>
      <c r="BS26" s="258"/>
      <c r="BT26" s="197">
        <f t="shared" si="181"/>
        <v>803</v>
      </c>
      <c r="BU26" s="1006">
        <f t="shared" si="182"/>
        <v>31</v>
      </c>
      <c r="BV26" s="1007">
        <f t="shared" ca="1" si="183"/>
        <v>1698630.1369863003</v>
      </c>
      <c r="BW26" s="258">
        <f t="shared" ca="1" si="266"/>
        <v>17698630.1369863</v>
      </c>
      <c r="BX26" s="258"/>
      <c r="BY26" s="197">
        <f t="shared" si="184"/>
        <v>772</v>
      </c>
      <c r="BZ26" s="1006">
        <f t="shared" si="185"/>
        <v>28</v>
      </c>
      <c r="CA26" s="1007">
        <f t="shared" ca="1" si="186"/>
        <v>1534246.5753424652</v>
      </c>
      <c r="CB26" s="258">
        <f t="shared" ca="1" si="267"/>
        <v>19232876.712328766</v>
      </c>
      <c r="CC26" s="258"/>
      <c r="CD26" s="197">
        <f t="shared" si="187"/>
        <v>744</v>
      </c>
      <c r="CE26" s="1006">
        <f t="shared" si="188"/>
        <v>31</v>
      </c>
      <c r="CF26" s="1007">
        <f t="shared" ca="1" si="189"/>
        <v>1698630.1369863041</v>
      </c>
      <c r="CG26" s="258">
        <f t="shared" ca="1" si="268"/>
        <v>20931506.84931507</v>
      </c>
      <c r="CH26" s="258"/>
      <c r="CI26" s="197">
        <f t="shared" si="190"/>
        <v>713</v>
      </c>
      <c r="CJ26" s="1006">
        <f t="shared" si="191"/>
        <v>30</v>
      </c>
      <c r="CK26" s="1007">
        <f t="shared" ca="1" si="192"/>
        <v>1643835.6164383553</v>
      </c>
      <c r="CL26" s="258">
        <f t="shared" ca="1" si="269"/>
        <v>22575342.465753425</v>
      </c>
      <c r="CM26" s="258"/>
      <c r="CN26" s="197">
        <f t="shared" si="193"/>
        <v>683</v>
      </c>
      <c r="CO26" s="1006">
        <f t="shared" si="194"/>
        <v>31</v>
      </c>
      <c r="CP26" s="1007">
        <f t="shared" ca="1" si="195"/>
        <v>1698630.1369863003</v>
      </c>
      <c r="CQ26" s="258">
        <f t="shared" ca="1" si="270"/>
        <v>24273972.602739725</v>
      </c>
      <c r="CR26" s="258"/>
      <c r="CS26" s="197">
        <f t="shared" si="196"/>
        <v>652</v>
      </c>
      <c r="CT26" s="1006">
        <f t="shared" si="197"/>
        <v>30</v>
      </c>
      <c r="CU26" s="1007">
        <f t="shared" ca="1" si="198"/>
        <v>1643835.6164383553</v>
      </c>
      <c r="CV26" s="258">
        <f t="shared" ca="1" si="271"/>
        <v>25917808.219178081</v>
      </c>
      <c r="CW26" s="258"/>
      <c r="CX26" s="197">
        <f t="shared" si="199"/>
        <v>622</v>
      </c>
      <c r="CY26" s="1006">
        <f t="shared" si="200"/>
        <v>31</v>
      </c>
      <c r="CZ26" s="1007">
        <f t="shared" ca="1" si="201"/>
        <v>1698630.1369863041</v>
      </c>
      <c r="DA26" s="258">
        <f t="shared" ca="1" si="272"/>
        <v>27616438.356164385</v>
      </c>
      <c r="DB26" s="258"/>
      <c r="DC26" s="197">
        <f t="shared" si="202"/>
        <v>591</v>
      </c>
      <c r="DD26" s="1006">
        <f t="shared" si="203"/>
        <v>31</v>
      </c>
      <c r="DE26" s="1007">
        <f t="shared" ca="1" si="204"/>
        <v>1698630.1369863003</v>
      </c>
      <c r="DF26" s="258">
        <f t="shared" ca="1" si="273"/>
        <v>29315068.493150685</v>
      </c>
      <c r="DG26" s="258"/>
      <c r="DH26" s="197">
        <f t="shared" si="205"/>
        <v>560</v>
      </c>
      <c r="DI26" s="1006">
        <f t="shared" si="206"/>
        <v>30</v>
      </c>
      <c r="DJ26" s="1007">
        <f t="shared" ca="1" si="207"/>
        <v>1643835.6164383553</v>
      </c>
      <c r="DK26" s="258">
        <f t="shared" ca="1" si="274"/>
        <v>30958904.10958904</v>
      </c>
      <c r="DL26" s="258"/>
      <c r="DM26" s="197">
        <f t="shared" si="208"/>
        <v>530</v>
      </c>
      <c r="DN26" s="1006">
        <f t="shared" si="209"/>
        <v>31</v>
      </c>
      <c r="DO26" s="1007">
        <f t="shared" ca="1" si="210"/>
        <v>1698630.1369863003</v>
      </c>
      <c r="DP26" s="258">
        <f t="shared" ca="1" si="275"/>
        <v>32657534.246575341</v>
      </c>
      <c r="DQ26" s="258"/>
      <c r="DR26" s="197">
        <f t="shared" si="211"/>
        <v>499</v>
      </c>
      <c r="DS26" s="1006">
        <f t="shared" si="212"/>
        <v>30</v>
      </c>
      <c r="DT26" s="1007">
        <f t="shared" ca="1" si="213"/>
        <v>1643835.616438359</v>
      </c>
      <c r="DU26" s="258">
        <f t="shared" ca="1" si="276"/>
        <v>34301369.8630137</v>
      </c>
      <c r="DV26" s="258"/>
      <c r="DW26" s="197">
        <f t="shared" si="214"/>
        <v>469</v>
      </c>
      <c r="DX26" s="1006">
        <f t="shared" si="215"/>
        <v>31</v>
      </c>
      <c r="DY26" s="1007">
        <f t="shared" ca="1" si="216"/>
        <v>1698630.1369863003</v>
      </c>
      <c r="DZ26" s="258">
        <f t="shared" ca="1" si="277"/>
        <v>36000000</v>
      </c>
      <c r="EA26" s="258"/>
      <c r="EB26" s="197">
        <f t="shared" si="217"/>
        <v>438</v>
      </c>
      <c r="EC26" s="1006">
        <f t="shared" si="218"/>
        <v>31</v>
      </c>
      <c r="ED26" s="1007">
        <f t="shared" ca="1" si="219"/>
        <v>1698630.1369863003</v>
      </c>
      <c r="EE26" s="258">
        <f t="shared" ca="1" si="278"/>
        <v>37698630.1369863</v>
      </c>
      <c r="EF26" s="258"/>
      <c r="EG26" s="197">
        <f t="shared" si="220"/>
        <v>407</v>
      </c>
      <c r="EH26" s="1006">
        <f t="shared" si="221"/>
        <v>28</v>
      </c>
      <c r="EI26" s="1007">
        <f t="shared" ca="1" si="222"/>
        <v>1534246.5753424689</v>
      </c>
      <c r="EJ26" s="258">
        <f t="shared" ca="1" si="279"/>
        <v>39232876.712328769</v>
      </c>
      <c r="EK26" s="258"/>
      <c r="EL26" s="197">
        <f t="shared" si="223"/>
        <v>379</v>
      </c>
      <c r="EM26" s="1006">
        <f t="shared" si="224"/>
        <v>31</v>
      </c>
      <c r="EN26" s="1007">
        <f t="shared" ca="1" si="225"/>
        <v>1698630.1369863003</v>
      </c>
      <c r="EO26" s="258">
        <f t="shared" ca="1" si="280"/>
        <v>40931506.84931507</v>
      </c>
      <c r="EP26" s="258"/>
      <c r="EQ26" s="197">
        <f t="shared" si="226"/>
        <v>348</v>
      </c>
      <c r="ER26" s="1006">
        <f t="shared" si="227"/>
        <v>30</v>
      </c>
      <c r="ES26" s="1007">
        <f t="shared" ca="1" si="228"/>
        <v>1643835.6164383516</v>
      </c>
      <c r="ET26" s="258">
        <f t="shared" ca="1" si="281"/>
        <v>42575342.465753421</v>
      </c>
      <c r="EU26" s="258"/>
      <c r="EV26" s="197">
        <f t="shared" si="229"/>
        <v>318</v>
      </c>
      <c r="EW26" s="1006">
        <f t="shared" si="230"/>
        <v>31</v>
      </c>
      <c r="EX26" s="1007">
        <f t="shared" ca="1" si="231"/>
        <v>1698630.1369863078</v>
      </c>
      <c r="EY26" s="258">
        <f t="shared" ca="1" si="282"/>
        <v>44273972.602739729</v>
      </c>
      <c r="EZ26" s="258"/>
      <c r="FA26" s="197">
        <f t="shared" si="232"/>
        <v>287</v>
      </c>
      <c r="FB26" s="1006">
        <f t="shared" si="233"/>
        <v>30</v>
      </c>
      <c r="FC26" s="1007">
        <f t="shared" ca="1" si="234"/>
        <v>1643835.6164383516</v>
      </c>
      <c r="FD26" s="258">
        <f t="shared" ca="1" si="283"/>
        <v>45917808.219178081</v>
      </c>
      <c r="FE26" s="258"/>
      <c r="FF26" s="197">
        <f t="shared" si="235"/>
        <v>257</v>
      </c>
      <c r="FG26" s="1006">
        <f t="shared" si="236"/>
        <v>31</v>
      </c>
      <c r="FH26" s="1007">
        <f t="shared" ca="1" si="237"/>
        <v>1698630.1369863003</v>
      </c>
      <c r="FI26" s="258">
        <f t="shared" ca="1" si="284"/>
        <v>47616438.356164381</v>
      </c>
      <c r="FJ26" s="258"/>
      <c r="FK26" s="197">
        <f t="shared" si="238"/>
        <v>226</v>
      </c>
      <c r="FL26" s="1006">
        <f t="shared" si="239"/>
        <v>31</v>
      </c>
      <c r="FM26" s="1007">
        <f t="shared" ca="1" si="240"/>
        <v>1698630.1369863003</v>
      </c>
      <c r="FN26" s="258">
        <f t="shared" ca="1" si="285"/>
        <v>49315068.493150681</v>
      </c>
      <c r="FO26" s="258"/>
      <c r="FP26" s="197">
        <f t="shared" si="241"/>
        <v>195</v>
      </c>
      <c r="FQ26" s="1006">
        <f t="shared" si="242"/>
        <v>30</v>
      </c>
      <c r="FR26" s="1007">
        <f t="shared" ca="1" si="243"/>
        <v>1643835.616438359</v>
      </c>
      <c r="FS26" s="258">
        <f t="shared" ca="1" si="286"/>
        <v>50958904.10958904</v>
      </c>
      <c r="FT26" s="258"/>
      <c r="FU26" s="197">
        <f t="shared" si="244"/>
        <v>165</v>
      </c>
      <c r="FV26" s="1006">
        <f t="shared" si="245"/>
        <v>31</v>
      </c>
      <c r="FW26" s="1007">
        <f t="shared" ca="1" si="246"/>
        <v>1698630.1369863003</v>
      </c>
      <c r="FX26" s="258">
        <f t="shared" ca="1" si="287"/>
        <v>52657534.246575341</v>
      </c>
      <c r="FY26" s="258"/>
      <c r="FZ26" s="197">
        <f t="shared" si="247"/>
        <v>134</v>
      </c>
      <c r="GA26" s="1006">
        <f t="shared" si="248"/>
        <v>30</v>
      </c>
      <c r="GB26" s="1007">
        <f t="shared" ca="1" si="249"/>
        <v>1643835.616438359</v>
      </c>
      <c r="GC26" s="258">
        <f t="shared" ca="1" si="288"/>
        <v>54301369.8630137</v>
      </c>
      <c r="GD26" s="258"/>
      <c r="GE26" s="197">
        <f t="shared" si="250"/>
        <v>104</v>
      </c>
      <c r="GF26" s="1006">
        <f t="shared" si="251"/>
        <v>31</v>
      </c>
      <c r="GG26" s="1007">
        <f t="shared" ca="1" si="252"/>
        <v>1698630.1369863003</v>
      </c>
      <c r="GH26" s="258">
        <f t="shared" ca="1" si="289"/>
        <v>56000000</v>
      </c>
      <c r="GI26" s="258"/>
      <c r="GJ26" s="197">
        <f t="shared" si="253"/>
        <v>73</v>
      </c>
      <c r="GK26" s="1340"/>
      <c r="GL26" s="164"/>
      <c r="GM26" s="164"/>
      <c r="GN26" s="164"/>
    </row>
    <row r="27" spans="1:196" ht="12.75" x14ac:dyDescent="0.2">
      <c r="A27" s="1010">
        <f>'Item list'!A27</f>
        <v>45708</v>
      </c>
      <c r="B27" s="243" t="str">
        <f>'Item list'!B27</f>
        <v>40 Desks &amp; Chairs</v>
      </c>
      <c r="C27" s="243" t="str">
        <f>'Item list'!C27</f>
        <v>Furnitures &amp; Fixtures</v>
      </c>
      <c r="D27" s="989">
        <f>'Item list'!D27</f>
        <v>200000000</v>
      </c>
      <c r="E27" s="243">
        <f>'Item list'!E27</f>
        <v>5</v>
      </c>
      <c r="F27" s="1004">
        <f>'Item list'!F27</f>
        <v>45726</v>
      </c>
      <c r="G27" s="243" t="str">
        <f>'Item list'!G27</f>
        <v>SLN</v>
      </c>
      <c r="H27" s="1005" t="e">
        <f t="shared" si="144"/>
        <v>#NUM!</v>
      </c>
      <c r="I27" s="243"/>
      <c r="J27" s="243"/>
      <c r="K27" s="243"/>
      <c r="L27" s="197">
        <f t="shared" si="145"/>
        <v>1825</v>
      </c>
      <c r="M27" s="1006">
        <f t="shared" si="146"/>
        <v>0</v>
      </c>
      <c r="N27" s="1007">
        <f t="shared" ca="1" si="147"/>
        <v>0</v>
      </c>
      <c r="O27" s="258">
        <f t="shared" ca="1" si="254"/>
        <v>0</v>
      </c>
      <c r="P27" s="258"/>
      <c r="Q27" s="197">
        <f t="shared" si="148"/>
        <v>1825</v>
      </c>
      <c r="R27" s="1006">
        <f t="shared" si="149"/>
        <v>0</v>
      </c>
      <c r="S27" s="1007">
        <f t="shared" ca="1" si="150"/>
        <v>0</v>
      </c>
      <c r="T27" s="258">
        <f t="shared" ca="1" si="255"/>
        <v>0</v>
      </c>
      <c r="U27" s="258"/>
      <c r="V27" s="197">
        <f t="shared" si="151"/>
        <v>1825</v>
      </c>
      <c r="W27" s="1006">
        <f t="shared" si="152"/>
        <v>22</v>
      </c>
      <c r="X27" s="1007">
        <f t="shared" ca="1" si="153"/>
        <v>2410958.9041095888</v>
      </c>
      <c r="Y27" s="258">
        <f t="shared" ca="1" si="256"/>
        <v>2410958.9041095888</v>
      </c>
      <c r="Z27" s="258"/>
      <c r="AA27" s="197">
        <f t="shared" si="154"/>
        <v>1803</v>
      </c>
      <c r="AB27" s="1006">
        <f t="shared" si="155"/>
        <v>30</v>
      </c>
      <c r="AC27" s="1007">
        <f t="shared" ca="1" si="156"/>
        <v>3287671.2328767125</v>
      </c>
      <c r="AD27" s="258">
        <f t="shared" ca="1" si="257"/>
        <v>5698630.1369863013</v>
      </c>
      <c r="AE27" s="258"/>
      <c r="AF27" s="197">
        <f t="shared" si="157"/>
        <v>1773</v>
      </c>
      <c r="AG27" s="1006">
        <f t="shared" si="158"/>
        <v>31</v>
      </c>
      <c r="AH27" s="1007">
        <f t="shared" ca="1" si="159"/>
        <v>3397260.2739726035</v>
      </c>
      <c r="AI27" s="258">
        <f t="shared" ca="1" si="258"/>
        <v>9095890.4109589048</v>
      </c>
      <c r="AJ27" s="258"/>
      <c r="AK27" s="197">
        <f t="shared" si="160"/>
        <v>1742</v>
      </c>
      <c r="AL27" s="1006">
        <f t="shared" si="161"/>
        <v>30</v>
      </c>
      <c r="AM27" s="1007">
        <f t="shared" ca="1" si="162"/>
        <v>3287671.2328767125</v>
      </c>
      <c r="AN27" s="258">
        <f t="shared" ca="1" si="259"/>
        <v>12383561.643835617</v>
      </c>
      <c r="AO27" s="258"/>
      <c r="AP27" s="197">
        <f t="shared" si="163"/>
        <v>1712</v>
      </c>
      <c r="AQ27" s="1006">
        <f t="shared" si="164"/>
        <v>31</v>
      </c>
      <c r="AR27" s="1007">
        <f t="shared" ca="1" si="165"/>
        <v>3397260.2739726026</v>
      </c>
      <c r="AS27" s="258">
        <f t="shared" ca="1" si="260"/>
        <v>15780821.91780822</v>
      </c>
      <c r="AT27" s="258"/>
      <c r="AU27" s="197">
        <f t="shared" si="166"/>
        <v>1681</v>
      </c>
      <c r="AV27" s="1006">
        <f t="shared" si="167"/>
        <v>31</v>
      </c>
      <c r="AW27" s="1007">
        <f t="shared" ca="1" si="168"/>
        <v>3397260.2739726007</v>
      </c>
      <c r="AX27" s="258">
        <f t="shared" ca="1" si="261"/>
        <v>19178082.19178082</v>
      </c>
      <c r="AY27" s="258"/>
      <c r="AZ27" s="197">
        <f t="shared" si="169"/>
        <v>1650</v>
      </c>
      <c r="BA27" s="1006">
        <f t="shared" si="170"/>
        <v>30</v>
      </c>
      <c r="BB27" s="1007">
        <f t="shared" ca="1" si="171"/>
        <v>3287671.2328767143</v>
      </c>
      <c r="BC27" s="258">
        <f t="shared" ca="1" si="262"/>
        <v>22465753.424657535</v>
      </c>
      <c r="BD27" s="258"/>
      <c r="BE27" s="197">
        <f t="shared" si="172"/>
        <v>1620</v>
      </c>
      <c r="BF27" s="1006">
        <f t="shared" si="173"/>
        <v>31</v>
      </c>
      <c r="BG27" s="1007">
        <f t="shared" ca="1" si="174"/>
        <v>3397260.2739726007</v>
      </c>
      <c r="BH27" s="258">
        <f t="shared" ca="1" si="263"/>
        <v>25863013.698630136</v>
      </c>
      <c r="BI27" s="258"/>
      <c r="BJ27" s="197">
        <f t="shared" si="175"/>
        <v>1589</v>
      </c>
      <c r="BK27" s="1006">
        <f t="shared" si="176"/>
        <v>30</v>
      </c>
      <c r="BL27" s="1007">
        <f t="shared" ca="1" si="177"/>
        <v>3287671.2328767143</v>
      </c>
      <c r="BM27" s="258">
        <f t="shared" ca="1" si="264"/>
        <v>29150684.93150685</v>
      </c>
      <c r="BN27" s="258"/>
      <c r="BO27" s="197">
        <f t="shared" si="178"/>
        <v>1559</v>
      </c>
      <c r="BP27" s="1006">
        <f t="shared" si="179"/>
        <v>31</v>
      </c>
      <c r="BQ27" s="1007">
        <f t="shared" ca="1" si="180"/>
        <v>3397260.2739726007</v>
      </c>
      <c r="BR27" s="258">
        <f t="shared" ca="1" si="265"/>
        <v>32547945.205479451</v>
      </c>
      <c r="BS27" s="258"/>
      <c r="BT27" s="197">
        <f t="shared" si="181"/>
        <v>1528</v>
      </c>
      <c r="BU27" s="1006">
        <f t="shared" si="182"/>
        <v>31</v>
      </c>
      <c r="BV27" s="1007">
        <f t="shared" ca="1" si="183"/>
        <v>3397260.2739726007</v>
      </c>
      <c r="BW27" s="258">
        <f t="shared" ca="1" si="266"/>
        <v>35945205.479452051</v>
      </c>
      <c r="BX27" s="258"/>
      <c r="BY27" s="197">
        <f t="shared" si="184"/>
        <v>1497</v>
      </c>
      <c r="BZ27" s="1006">
        <f t="shared" si="185"/>
        <v>28</v>
      </c>
      <c r="CA27" s="1007">
        <f t="shared" ca="1" si="186"/>
        <v>3068493.1506849378</v>
      </c>
      <c r="CB27" s="258">
        <f t="shared" ca="1" si="267"/>
        <v>39013698.630136989</v>
      </c>
      <c r="CC27" s="258"/>
      <c r="CD27" s="197">
        <f t="shared" si="187"/>
        <v>1469</v>
      </c>
      <c r="CE27" s="1006">
        <f t="shared" si="188"/>
        <v>31</v>
      </c>
      <c r="CF27" s="1007">
        <f t="shared" ca="1" si="189"/>
        <v>3397260.2739726007</v>
      </c>
      <c r="CG27" s="258">
        <f t="shared" ca="1" si="268"/>
        <v>42410958.90410959</v>
      </c>
      <c r="CH27" s="258"/>
      <c r="CI27" s="197">
        <f t="shared" si="190"/>
        <v>1438</v>
      </c>
      <c r="CJ27" s="1006">
        <f t="shared" si="191"/>
        <v>30</v>
      </c>
      <c r="CK27" s="1007">
        <f t="shared" ca="1" si="192"/>
        <v>3287671.2328767106</v>
      </c>
      <c r="CL27" s="258">
        <f t="shared" ca="1" si="269"/>
        <v>45698630.1369863</v>
      </c>
      <c r="CM27" s="258"/>
      <c r="CN27" s="197">
        <f t="shared" si="193"/>
        <v>1408</v>
      </c>
      <c r="CO27" s="1006">
        <f t="shared" si="194"/>
        <v>31</v>
      </c>
      <c r="CP27" s="1007">
        <f t="shared" ca="1" si="195"/>
        <v>3397260.2739726007</v>
      </c>
      <c r="CQ27" s="258">
        <f t="shared" ca="1" si="270"/>
        <v>49095890.410958901</v>
      </c>
      <c r="CR27" s="258"/>
      <c r="CS27" s="197">
        <f t="shared" si="196"/>
        <v>1377</v>
      </c>
      <c r="CT27" s="1006">
        <f t="shared" si="197"/>
        <v>30</v>
      </c>
      <c r="CU27" s="1007">
        <f t="shared" ca="1" si="198"/>
        <v>3287671.232876718</v>
      </c>
      <c r="CV27" s="258">
        <f t="shared" ca="1" si="271"/>
        <v>52383561.643835619</v>
      </c>
      <c r="CW27" s="258"/>
      <c r="CX27" s="197">
        <f t="shared" si="199"/>
        <v>1347</v>
      </c>
      <c r="CY27" s="1006">
        <f t="shared" si="200"/>
        <v>31</v>
      </c>
      <c r="CZ27" s="1007">
        <f t="shared" ca="1" si="201"/>
        <v>3397260.2739726007</v>
      </c>
      <c r="DA27" s="258">
        <f t="shared" ca="1" si="272"/>
        <v>55780821.91780822</v>
      </c>
      <c r="DB27" s="258"/>
      <c r="DC27" s="197">
        <f t="shared" si="202"/>
        <v>1316</v>
      </c>
      <c r="DD27" s="1006">
        <f t="shared" si="203"/>
        <v>31</v>
      </c>
      <c r="DE27" s="1007">
        <f t="shared" ca="1" si="204"/>
        <v>3397260.2739726007</v>
      </c>
      <c r="DF27" s="258">
        <f t="shared" ca="1" si="273"/>
        <v>59178082.19178082</v>
      </c>
      <c r="DG27" s="258"/>
      <c r="DH27" s="197">
        <f t="shared" si="205"/>
        <v>1285</v>
      </c>
      <c r="DI27" s="1006">
        <f t="shared" si="206"/>
        <v>30</v>
      </c>
      <c r="DJ27" s="1007">
        <f t="shared" ca="1" si="207"/>
        <v>3287671.2328767106</v>
      </c>
      <c r="DK27" s="258">
        <f t="shared" ca="1" si="274"/>
        <v>62465753.424657531</v>
      </c>
      <c r="DL27" s="258"/>
      <c r="DM27" s="197">
        <f t="shared" si="208"/>
        <v>1255</v>
      </c>
      <c r="DN27" s="1006">
        <f t="shared" si="209"/>
        <v>31</v>
      </c>
      <c r="DO27" s="1007">
        <f t="shared" ca="1" si="210"/>
        <v>3397260.2739726081</v>
      </c>
      <c r="DP27" s="258">
        <f t="shared" ca="1" si="275"/>
        <v>65863013.698630139</v>
      </c>
      <c r="DQ27" s="258"/>
      <c r="DR27" s="197">
        <f t="shared" si="211"/>
        <v>1224</v>
      </c>
      <c r="DS27" s="1006">
        <f t="shared" si="212"/>
        <v>30</v>
      </c>
      <c r="DT27" s="1007">
        <f t="shared" ca="1" si="213"/>
        <v>3287671.2328767031</v>
      </c>
      <c r="DU27" s="258">
        <f t="shared" ca="1" si="276"/>
        <v>69150684.931506842</v>
      </c>
      <c r="DV27" s="258"/>
      <c r="DW27" s="197">
        <f t="shared" si="214"/>
        <v>1194</v>
      </c>
      <c r="DX27" s="1006">
        <f t="shared" si="215"/>
        <v>31</v>
      </c>
      <c r="DY27" s="1007">
        <f t="shared" ca="1" si="216"/>
        <v>3397260.2739726156</v>
      </c>
      <c r="DZ27" s="258">
        <f t="shared" ca="1" si="277"/>
        <v>72547945.205479458</v>
      </c>
      <c r="EA27" s="258"/>
      <c r="EB27" s="197">
        <f t="shared" si="217"/>
        <v>1163</v>
      </c>
      <c r="EC27" s="1006">
        <f t="shared" si="218"/>
        <v>31</v>
      </c>
      <c r="ED27" s="1007">
        <f t="shared" ca="1" si="219"/>
        <v>3397260.2739726007</v>
      </c>
      <c r="EE27" s="258">
        <f t="shared" ca="1" si="278"/>
        <v>75945205.479452059</v>
      </c>
      <c r="EF27" s="258"/>
      <c r="EG27" s="197">
        <f t="shared" si="220"/>
        <v>1132</v>
      </c>
      <c r="EH27" s="1006">
        <f t="shared" si="221"/>
        <v>28</v>
      </c>
      <c r="EI27" s="1007">
        <f t="shared" ca="1" si="222"/>
        <v>3068493.1506849229</v>
      </c>
      <c r="EJ27" s="258">
        <f t="shared" ca="1" si="279"/>
        <v>79013698.630136982</v>
      </c>
      <c r="EK27" s="258"/>
      <c r="EL27" s="197">
        <f t="shared" si="223"/>
        <v>1104</v>
      </c>
      <c r="EM27" s="1006">
        <f t="shared" si="224"/>
        <v>31</v>
      </c>
      <c r="EN27" s="1007">
        <f t="shared" ca="1" si="225"/>
        <v>3397260.2739726007</v>
      </c>
      <c r="EO27" s="258">
        <f t="shared" ca="1" si="280"/>
        <v>82410958.904109582</v>
      </c>
      <c r="EP27" s="258"/>
      <c r="EQ27" s="197">
        <f t="shared" si="226"/>
        <v>1073</v>
      </c>
      <c r="ER27" s="1006">
        <f t="shared" si="227"/>
        <v>30</v>
      </c>
      <c r="ES27" s="1007">
        <f t="shared" ca="1" si="228"/>
        <v>3287671.232876718</v>
      </c>
      <c r="ET27" s="258">
        <f t="shared" ca="1" si="281"/>
        <v>85698630.1369863</v>
      </c>
      <c r="EU27" s="258"/>
      <c r="EV27" s="197">
        <f t="shared" si="229"/>
        <v>1043</v>
      </c>
      <c r="EW27" s="1006">
        <f t="shared" si="230"/>
        <v>31</v>
      </c>
      <c r="EX27" s="1007">
        <f t="shared" ca="1" si="231"/>
        <v>3397260.2739726007</v>
      </c>
      <c r="EY27" s="258">
        <f t="shared" ca="1" si="282"/>
        <v>89095890.410958901</v>
      </c>
      <c r="EZ27" s="258"/>
      <c r="FA27" s="197">
        <f t="shared" si="232"/>
        <v>1012</v>
      </c>
      <c r="FB27" s="1006">
        <f t="shared" si="233"/>
        <v>30</v>
      </c>
      <c r="FC27" s="1007">
        <f t="shared" ca="1" si="234"/>
        <v>3287671.232876718</v>
      </c>
      <c r="FD27" s="258">
        <f t="shared" ca="1" si="283"/>
        <v>92383561.643835619</v>
      </c>
      <c r="FE27" s="258"/>
      <c r="FF27" s="197">
        <f t="shared" si="235"/>
        <v>982</v>
      </c>
      <c r="FG27" s="1006">
        <f t="shared" si="236"/>
        <v>31</v>
      </c>
      <c r="FH27" s="1007">
        <f t="shared" ca="1" si="237"/>
        <v>3397260.2739726007</v>
      </c>
      <c r="FI27" s="258">
        <f t="shared" ca="1" si="284"/>
        <v>95780821.91780822</v>
      </c>
      <c r="FJ27" s="258"/>
      <c r="FK27" s="197">
        <f t="shared" si="238"/>
        <v>951</v>
      </c>
      <c r="FL27" s="1006">
        <f t="shared" si="239"/>
        <v>31</v>
      </c>
      <c r="FM27" s="1007">
        <f t="shared" ca="1" si="240"/>
        <v>3397260.2739726007</v>
      </c>
      <c r="FN27" s="258">
        <f t="shared" ca="1" si="285"/>
        <v>99178082.19178082</v>
      </c>
      <c r="FO27" s="258"/>
      <c r="FP27" s="197">
        <f t="shared" si="241"/>
        <v>920</v>
      </c>
      <c r="FQ27" s="1006">
        <f t="shared" si="242"/>
        <v>30</v>
      </c>
      <c r="FR27" s="1007">
        <f t="shared" ca="1" si="243"/>
        <v>3287671.232876718</v>
      </c>
      <c r="FS27" s="258">
        <f t="shared" ca="1" si="286"/>
        <v>102465753.42465754</v>
      </c>
      <c r="FT27" s="258"/>
      <c r="FU27" s="197">
        <f t="shared" si="244"/>
        <v>890</v>
      </c>
      <c r="FV27" s="1006">
        <f t="shared" si="245"/>
        <v>31</v>
      </c>
      <c r="FW27" s="1007">
        <f t="shared" ca="1" si="246"/>
        <v>3397260.2739726007</v>
      </c>
      <c r="FX27" s="258">
        <f t="shared" ca="1" si="287"/>
        <v>105863013.69863014</v>
      </c>
      <c r="FY27" s="258"/>
      <c r="FZ27" s="197">
        <f t="shared" si="247"/>
        <v>859</v>
      </c>
      <c r="GA27" s="1006">
        <f t="shared" si="248"/>
        <v>30</v>
      </c>
      <c r="GB27" s="1007">
        <f t="shared" ca="1" si="249"/>
        <v>3287671.2328767031</v>
      </c>
      <c r="GC27" s="258">
        <f t="shared" ca="1" si="288"/>
        <v>109150684.93150684</v>
      </c>
      <c r="GD27" s="258"/>
      <c r="GE27" s="197">
        <f t="shared" si="250"/>
        <v>829</v>
      </c>
      <c r="GF27" s="1006">
        <f t="shared" si="251"/>
        <v>31</v>
      </c>
      <c r="GG27" s="1007">
        <f t="shared" ca="1" si="252"/>
        <v>3397260.2739726156</v>
      </c>
      <c r="GH27" s="258">
        <f t="shared" ca="1" si="289"/>
        <v>112547945.20547946</v>
      </c>
      <c r="GI27" s="258"/>
      <c r="GJ27" s="197">
        <f t="shared" si="253"/>
        <v>798</v>
      </c>
      <c r="GK27" s="1340"/>
      <c r="GL27" s="164"/>
      <c r="GM27" s="164"/>
      <c r="GN27" s="164"/>
    </row>
    <row r="28" spans="1:196" ht="12.75" x14ac:dyDescent="0.2">
      <c r="A28" s="1010">
        <f>'Item list'!A28</f>
        <v>45708</v>
      </c>
      <c r="B28" s="243" t="str">
        <f>'Item list'!B28</f>
        <v>10 Filling cabinets</v>
      </c>
      <c r="C28" s="243" t="str">
        <f>'Item list'!C28</f>
        <v>Furnitures &amp; Fixtures</v>
      </c>
      <c r="D28" s="989">
        <f>'Item list'!D28</f>
        <v>30000000</v>
      </c>
      <c r="E28" s="243">
        <f>'Item list'!E28</f>
        <v>7</v>
      </c>
      <c r="F28" s="1004">
        <f>'Item list'!F28</f>
        <v>45809</v>
      </c>
      <c r="G28" s="243" t="str">
        <f>'Item list'!G28</f>
        <v>SLN</v>
      </c>
      <c r="H28" s="1005" t="e">
        <f t="shared" si="144"/>
        <v>#NUM!</v>
      </c>
      <c r="I28" s="243"/>
      <c r="J28" s="243"/>
      <c r="K28" s="243"/>
      <c r="L28" s="197">
        <f t="shared" si="145"/>
        <v>2555</v>
      </c>
      <c r="M28" s="1006">
        <f t="shared" si="146"/>
        <v>0</v>
      </c>
      <c r="N28" s="1007">
        <f t="shared" ca="1" si="147"/>
        <v>0</v>
      </c>
      <c r="O28" s="258">
        <f t="shared" ca="1" si="254"/>
        <v>0</v>
      </c>
      <c r="P28" s="258"/>
      <c r="Q28" s="197">
        <f t="shared" si="148"/>
        <v>2555</v>
      </c>
      <c r="R28" s="1006">
        <f t="shared" si="149"/>
        <v>0</v>
      </c>
      <c r="S28" s="1007">
        <f t="shared" ca="1" si="150"/>
        <v>0</v>
      </c>
      <c r="T28" s="258">
        <f t="shared" ca="1" si="255"/>
        <v>0</v>
      </c>
      <c r="U28" s="258"/>
      <c r="V28" s="197">
        <f t="shared" si="151"/>
        <v>2555</v>
      </c>
      <c r="W28" s="1006">
        <f t="shared" si="152"/>
        <v>0</v>
      </c>
      <c r="X28" s="1007">
        <f t="shared" ca="1" si="153"/>
        <v>0</v>
      </c>
      <c r="Y28" s="258">
        <f t="shared" ca="1" si="256"/>
        <v>0</v>
      </c>
      <c r="Z28" s="258"/>
      <c r="AA28" s="197">
        <f t="shared" si="154"/>
        <v>2555</v>
      </c>
      <c r="AB28" s="1006">
        <f t="shared" si="155"/>
        <v>0</v>
      </c>
      <c r="AC28" s="1007">
        <f t="shared" ca="1" si="156"/>
        <v>0</v>
      </c>
      <c r="AD28" s="258">
        <f t="shared" ca="1" si="257"/>
        <v>0</v>
      </c>
      <c r="AE28" s="258"/>
      <c r="AF28" s="197">
        <f t="shared" si="157"/>
        <v>2555</v>
      </c>
      <c r="AG28" s="1006">
        <f t="shared" si="158"/>
        <v>0</v>
      </c>
      <c r="AH28" s="1007">
        <f t="shared" ca="1" si="159"/>
        <v>0</v>
      </c>
      <c r="AI28" s="258">
        <f t="shared" ca="1" si="258"/>
        <v>0</v>
      </c>
      <c r="AJ28" s="258"/>
      <c r="AK28" s="197">
        <f t="shared" si="160"/>
        <v>2555</v>
      </c>
      <c r="AL28" s="1006">
        <f t="shared" si="161"/>
        <v>30</v>
      </c>
      <c r="AM28" s="1007">
        <f t="shared" ca="1" si="162"/>
        <v>352250.48923679057</v>
      </c>
      <c r="AN28" s="258">
        <f t="shared" ca="1" si="259"/>
        <v>352250.48923679057</v>
      </c>
      <c r="AO28" s="258"/>
      <c r="AP28" s="197">
        <f t="shared" si="163"/>
        <v>2525</v>
      </c>
      <c r="AQ28" s="1006">
        <f t="shared" si="164"/>
        <v>31</v>
      </c>
      <c r="AR28" s="1007">
        <f t="shared" ca="1" si="165"/>
        <v>363992.17221135029</v>
      </c>
      <c r="AS28" s="258">
        <f t="shared" ca="1" si="260"/>
        <v>716242.66144814086</v>
      </c>
      <c r="AT28" s="258"/>
      <c r="AU28" s="197">
        <f t="shared" si="166"/>
        <v>2494</v>
      </c>
      <c r="AV28" s="1006">
        <f t="shared" si="167"/>
        <v>31</v>
      </c>
      <c r="AW28" s="1007">
        <f t="shared" ca="1" si="168"/>
        <v>363992.17221135017</v>
      </c>
      <c r="AX28" s="258">
        <f t="shared" ca="1" si="261"/>
        <v>1080234.833659491</v>
      </c>
      <c r="AY28" s="258"/>
      <c r="AZ28" s="197">
        <f t="shared" si="169"/>
        <v>2463</v>
      </c>
      <c r="BA28" s="1006">
        <f t="shared" si="170"/>
        <v>30</v>
      </c>
      <c r="BB28" s="1007">
        <f t="shared" ca="1" si="171"/>
        <v>352250.48923679069</v>
      </c>
      <c r="BC28" s="258">
        <f t="shared" ca="1" si="262"/>
        <v>1432485.3228962817</v>
      </c>
      <c r="BD28" s="258"/>
      <c r="BE28" s="197">
        <f t="shared" si="172"/>
        <v>2433</v>
      </c>
      <c r="BF28" s="1006">
        <f t="shared" si="173"/>
        <v>31</v>
      </c>
      <c r="BG28" s="1007">
        <f t="shared" ca="1" si="174"/>
        <v>363992.17221135017</v>
      </c>
      <c r="BH28" s="258">
        <f t="shared" ca="1" si="263"/>
        <v>1796477.4951076319</v>
      </c>
      <c r="BI28" s="258"/>
      <c r="BJ28" s="197">
        <f t="shared" si="175"/>
        <v>2402</v>
      </c>
      <c r="BK28" s="1006">
        <f t="shared" si="176"/>
        <v>30</v>
      </c>
      <c r="BL28" s="1007">
        <f t="shared" ca="1" si="177"/>
        <v>352250.48923679045</v>
      </c>
      <c r="BM28" s="258">
        <f t="shared" ca="1" si="264"/>
        <v>2148727.9843444224</v>
      </c>
      <c r="BN28" s="258"/>
      <c r="BO28" s="197">
        <f t="shared" si="178"/>
        <v>2372</v>
      </c>
      <c r="BP28" s="1006">
        <f t="shared" si="179"/>
        <v>31</v>
      </c>
      <c r="BQ28" s="1007">
        <f t="shared" ca="1" si="180"/>
        <v>363992.17221135041</v>
      </c>
      <c r="BR28" s="258">
        <f t="shared" ca="1" si="265"/>
        <v>2512720.1565557728</v>
      </c>
      <c r="BS28" s="258"/>
      <c r="BT28" s="197">
        <f t="shared" si="181"/>
        <v>2341</v>
      </c>
      <c r="BU28" s="1006">
        <f t="shared" si="182"/>
        <v>31</v>
      </c>
      <c r="BV28" s="1007">
        <f t="shared" ca="1" si="183"/>
        <v>363992.17221135041</v>
      </c>
      <c r="BW28" s="258">
        <f t="shared" ca="1" si="266"/>
        <v>2876712.3287671232</v>
      </c>
      <c r="BX28" s="258"/>
      <c r="BY28" s="197">
        <f t="shared" si="184"/>
        <v>2310</v>
      </c>
      <c r="BZ28" s="1006">
        <f t="shared" si="185"/>
        <v>28</v>
      </c>
      <c r="CA28" s="1007">
        <f t="shared" ca="1" si="186"/>
        <v>328767.12328767125</v>
      </c>
      <c r="CB28" s="258">
        <f t="shared" ca="1" si="267"/>
        <v>3205479.4520547944</v>
      </c>
      <c r="CC28" s="258"/>
      <c r="CD28" s="197">
        <f t="shared" si="187"/>
        <v>2282</v>
      </c>
      <c r="CE28" s="1006">
        <f t="shared" si="188"/>
        <v>31</v>
      </c>
      <c r="CF28" s="1007">
        <f t="shared" ca="1" si="189"/>
        <v>363992.17221134994</v>
      </c>
      <c r="CG28" s="258">
        <f t="shared" ca="1" si="268"/>
        <v>3569471.6242661444</v>
      </c>
      <c r="CH28" s="258"/>
      <c r="CI28" s="197">
        <f t="shared" si="190"/>
        <v>2251</v>
      </c>
      <c r="CJ28" s="1006">
        <f t="shared" si="191"/>
        <v>30</v>
      </c>
      <c r="CK28" s="1007">
        <f t="shared" ca="1" si="192"/>
        <v>352250.48923679069</v>
      </c>
      <c r="CL28" s="258">
        <f t="shared" ca="1" si="269"/>
        <v>3921722.113502935</v>
      </c>
      <c r="CM28" s="258"/>
      <c r="CN28" s="197">
        <f t="shared" si="193"/>
        <v>2221</v>
      </c>
      <c r="CO28" s="1006">
        <f t="shared" si="194"/>
        <v>31</v>
      </c>
      <c r="CP28" s="1007">
        <f t="shared" ca="1" si="195"/>
        <v>363992.17221135041</v>
      </c>
      <c r="CQ28" s="258">
        <f t="shared" ca="1" si="270"/>
        <v>4285714.2857142854</v>
      </c>
      <c r="CR28" s="258"/>
      <c r="CS28" s="197">
        <f t="shared" si="196"/>
        <v>2190</v>
      </c>
      <c r="CT28" s="1006">
        <f t="shared" si="197"/>
        <v>30</v>
      </c>
      <c r="CU28" s="1007">
        <f t="shared" ca="1" si="198"/>
        <v>352250.48923679069</v>
      </c>
      <c r="CV28" s="258">
        <f t="shared" ca="1" si="271"/>
        <v>4637964.7749510761</v>
      </c>
      <c r="CW28" s="258"/>
      <c r="CX28" s="197">
        <f t="shared" si="199"/>
        <v>2160</v>
      </c>
      <c r="CY28" s="1006">
        <f t="shared" si="200"/>
        <v>31</v>
      </c>
      <c r="CZ28" s="1007">
        <f t="shared" ca="1" si="201"/>
        <v>363992.17221134994</v>
      </c>
      <c r="DA28" s="258">
        <f t="shared" ca="1" si="272"/>
        <v>5001956.9471624261</v>
      </c>
      <c r="DB28" s="258"/>
      <c r="DC28" s="197">
        <f t="shared" si="202"/>
        <v>2129</v>
      </c>
      <c r="DD28" s="1006">
        <f t="shared" si="203"/>
        <v>31</v>
      </c>
      <c r="DE28" s="1007">
        <f t="shared" ca="1" si="204"/>
        <v>363992.17221135087</v>
      </c>
      <c r="DF28" s="258">
        <f t="shared" ca="1" si="273"/>
        <v>5365949.1193737769</v>
      </c>
      <c r="DG28" s="258"/>
      <c r="DH28" s="197">
        <f t="shared" si="205"/>
        <v>2098</v>
      </c>
      <c r="DI28" s="1006">
        <f t="shared" si="206"/>
        <v>30</v>
      </c>
      <c r="DJ28" s="1007">
        <f t="shared" ca="1" si="207"/>
        <v>352250.48923678976</v>
      </c>
      <c r="DK28" s="258">
        <f t="shared" ca="1" si="274"/>
        <v>5718199.6086105667</v>
      </c>
      <c r="DL28" s="258"/>
      <c r="DM28" s="197">
        <f t="shared" si="208"/>
        <v>2068</v>
      </c>
      <c r="DN28" s="1006">
        <f t="shared" si="209"/>
        <v>31</v>
      </c>
      <c r="DO28" s="1007">
        <f t="shared" ca="1" si="210"/>
        <v>363992.17221135087</v>
      </c>
      <c r="DP28" s="258">
        <f t="shared" ca="1" si="275"/>
        <v>6082191.7808219176</v>
      </c>
      <c r="DQ28" s="258"/>
      <c r="DR28" s="197">
        <f t="shared" si="211"/>
        <v>2037</v>
      </c>
      <c r="DS28" s="1006">
        <f t="shared" si="212"/>
        <v>30</v>
      </c>
      <c r="DT28" s="1007">
        <f t="shared" ca="1" si="213"/>
        <v>352250.48923679069</v>
      </c>
      <c r="DU28" s="258">
        <f t="shared" ca="1" si="276"/>
        <v>6434442.2700587083</v>
      </c>
      <c r="DV28" s="258"/>
      <c r="DW28" s="197">
        <f t="shared" si="214"/>
        <v>2007</v>
      </c>
      <c r="DX28" s="1006">
        <f t="shared" si="215"/>
        <v>31</v>
      </c>
      <c r="DY28" s="1007">
        <f t="shared" ca="1" si="216"/>
        <v>363992.17221134994</v>
      </c>
      <c r="DZ28" s="258">
        <f t="shared" ca="1" si="277"/>
        <v>6798434.4422700582</v>
      </c>
      <c r="EA28" s="258"/>
      <c r="EB28" s="197">
        <f t="shared" si="217"/>
        <v>1976</v>
      </c>
      <c r="EC28" s="1006">
        <f t="shared" si="218"/>
        <v>31</v>
      </c>
      <c r="ED28" s="1007">
        <f t="shared" ca="1" si="219"/>
        <v>363992.17221134994</v>
      </c>
      <c r="EE28" s="258">
        <f t="shared" ca="1" si="278"/>
        <v>7162426.6144814081</v>
      </c>
      <c r="EF28" s="258"/>
      <c r="EG28" s="197">
        <f t="shared" si="220"/>
        <v>1945</v>
      </c>
      <c r="EH28" s="1006">
        <f t="shared" si="221"/>
        <v>28</v>
      </c>
      <c r="EI28" s="1007">
        <f t="shared" ca="1" si="222"/>
        <v>328767.12328767125</v>
      </c>
      <c r="EJ28" s="258">
        <f t="shared" ca="1" si="279"/>
        <v>7491193.7377690794</v>
      </c>
      <c r="EK28" s="258"/>
      <c r="EL28" s="197">
        <f t="shared" si="223"/>
        <v>1917</v>
      </c>
      <c r="EM28" s="1006">
        <f t="shared" si="224"/>
        <v>31</v>
      </c>
      <c r="EN28" s="1007">
        <f t="shared" ca="1" si="225"/>
        <v>363992.17221135087</v>
      </c>
      <c r="EO28" s="258">
        <f t="shared" ca="1" si="280"/>
        <v>7855185.9099804303</v>
      </c>
      <c r="EP28" s="258"/>
      <c r="EQ28" s="197">
        <f t="shared" si="226"/>
        <v>1886</v>
      </c>
      <c r="ER28" s="1006">
        <f t="shared" si="227"/>
        <v>30</v>
      </c>
      <c r="ES28" s="1007">
        <f t="shared" ca="1" si="228"/>
        <v>352250.48923679069</v>
      </c>
      <c r="ET28" s="258">
        <f t="shared" ca="1" si="281"/>
        <v>8207436.399217221</v>
      </c>
      <c r="EU28" s="258"/>
      <c r="EV28" s="197">
        <f t="shared" si="229"/>
        <v>1856</v>
      </c>
      <c r="EW28" s="1006">
        <f t="shared" si="230"/>
        <v>31</v>
      </c>
      <c r="EX28" s="1007">
        <f t="shared" ca="1" si="231"/>
        <v>363992.17221134994</v>
      </c>
      <c r="EY28" s="258">
        <f t="shared" ca="1" si="282"/>
        <v>8571428.5714285709</v>
      </c>
      <c r="EZ28" s="258"/>
      <c r="FA28" s="197">
        <f t="shared" si="232"/>
        <v>1825</v>
      </c>
      <c r="FB28" s="1006">
        <f t="shared" si="233"/>
        <v>30</v>
      </c>
      <c r="FC28" s="1007">
        <f t="shared" ca="1" si="234"/>
        <v>352250.48923679069</v>
      </c>
      <c r="FD28" s="258">
        <f t="shared" ca="1" si="283"/>
        <v>8923679.0606653616</v>
      </c>
      <c r="FE28" s="258"/>
      <c r="FF28" s="197">
        <f t="shared" si="235"/>
        <v>1795</v>
      </c>
      <c r="FG28" s="1006">
        <f t="shared" si="236"/>
        <v>31</v>
      </c>
      <c r="FH28" s="1007">
        <f t="shared" ca="1" si="237"/>
        <v>363992.17221135087</v>
      </c>
      <c r="FI28" s="258">
        <f t="shared" ca="1" si="284"/>
        <v>9287671.2328767125</v>
      </c>
      <c r="FJ28" s="258"/>
      <c r="FK28" s="197">
        <f t="shared" si="238"/>
        <v>1764</v>
      </c>
      <c r="FL28" s="1006">
        <f t="shared" si="239"/>
        <v>31</v>
      </c>
      <c r="FM28" s="1007">
        <f t="shared" ca="1" si="240"/>
        <v>363992.17221134901</v>
      </c>
      <c r="FN28" s="258">
        <f t="shared" ca="1" si="285"/>
        <v>9651663.4050880615</v>
      </c>
      <c r="FO28" s="258"/>
      <c r="FP28" s="197">
        <f t="shared" si="241"/>
        <v>1733</v>
      </c>
      <c r="FQ28" s="1006">
        <f t="shared" si="242"/>
        <v>30</v>
      </c>
      <c r="FR28" s="1007">
        <f t="shared" ca="1" si="243"/>
        <v>352250.48923679069</v>
      </c>
      <c r="FS28" s="258">
        <f t="shared" ca="1" si="286"/>
        <v>10003913.894324852</v>
      </c>
      <c r="FT28" s="258"/>
      <c r="FU28" s="197">
        <f t="shared" si="244"/>
        <v>1703</v>
      </c>
      <c r="FV28" s="1006">
        <f t="shared" si="245"/>
        <v>31</v>
      </c>
      <c r="FW28" s="1007">
        <f t="shared" ca="1" si="246"/>
        <v>363992.17221135087</v>
      </c>
      <c r="FX28" s="258">
        <f t="shared" ca="1" si="287"/>
        <v>10367906.066536203</v>
      </c>
      <c r="FY28" s="258"/>
      <c r="FZ28" s="197">
        <f t="shared" si="247"/>
        <v>1672</v>
      </c>
      <c r="GA28" s="1006">
        <f t="shared" si="248"/>
        <v>30</v>
      </c>
      <c r="GB28" s="1007">
        <f t="shared" ca="1" si="249"/>
        <v>352250.48923679069</v>
      </c>
      <c r="GC28" s="258">
        <f t="shared" ca="1" si="288"/>
        <v>10720156.555772994</v>
      </c>
      <c r="GD28" s="258"/>
      <c r="GE28" s="197">
        <f t="shared" si="250"/>
        <v>1642</v>
      </c>
      <c r="GF28" s="1006">
        <f t="shared" si="251"/>
        <v>31</v>
      </c>
      <c r="GG28" s="1007">
        <f t="shared" ca="1" si="252"/>
        <v>363992.17221134901</v>
      </c>
      <c r="GH28" s="258">
        <f t="shared" ca="1" si="289"/>
        <v>11084148.727984343</v>
      </c>
      <c r="GI28" s="258"/>
      <c r="GJ28" s="197">
        <f t="shared" si="253"/>
        <v>1611</v>
      </c>
      <c r="GK28" s="1340"/>
      <c r="GL28" s="164"/>
      <c r="GM28" s="164"/>
      <c r="GN28" s="164"/>
    </row>
    <row r="29" spans="1:196" ht="12.75" x14ac:dyDescent="0.2">
      <c r="A29" s="1010">
        <f>'Item list'!A29</f>
        <v>45708</v>
      </c>
      <c r="B29" s="243" t="str">
        <f>'Item list'!B29</f>
        <v>Air conditioning system</v>
      </c>
      <c r="C29" s="243" t="str">
        <f>'Item list'!C29</f>
        <v>Furnitures &amp; Fixtures</v>
      </c>
      <c r="D29" s="989">
        <f>'Item list'!D29</f>
        <v>850000000</v>
      </c>
      <c r="E29" s="243">
        <f>'Item list'!E29</f>
        <v>10</v>
      </c>
      <c r="F29" s="1004">
        <f>'Item list'!F29</f>
        <v>45809</v>
      </c>
      <c r="G29" s="243" t="str">
        <f>'Item list'!G29</f>
        <v>SLN</v>
      </c>
      <c r="H29" s="1005" t="e">
        <f t="shared" si="144"/>
        <v>#NUM!</v>
      </c>
      <c r="I29" s="243"/>
      <c r="J29" s="243"/>
      <c r="K29" s="243"/>
      <c r="L29" s="197">
        <f t="shared" si="145"/>
        <v>3650</v>
      </c>
      <c r="M29" s="1006">
        <f t="shared" si="146"/>
        <v>0</v>
      </c>
      <c r="N29" s="1007">
        <f t="shared" ca="1" si="147"/>
        <v>0</v>
      </c>
      <c r="O29" s="258">
        <f t="shared" ca="1" si="254"/>
        <v>0</v>
      </c>
      <c r="P29" s="258"/>
      <c r="Q29" s="197">
        <f t="shared" si="148"/>
        <v>3650</v>
      </c>
      <c r="R29" s="1006">
        <f t="shared" si="149"/>
        <v>0</v>
      </c>
      <c r="S29" s="1007">
        <f t="shared" ca="1" si="150"/>
        <v>0</v>
      </c>
      <c r="T29" s="258">
        <f t="shared" ca="1" si="255"/>
        <v>0</v>
      </c>
      <c r="U29" s="258"/>
      <c r="V29" s="197">
        <f t="shared" si="151"/>
        <v>3650</v>
      </c>
      <c r="W29" s="1006">
        <f t="shared" si="152"/>
        <v>0</v>
      </c>
      <c r="X29" s="1007">
        <f t="shared" ca="1" si="153"/>
        <v>0</v>
      </c>
      <c r="Y29" s="258">
        <f t="shared" ca="1" si="256"/>
        <v>0</v>
      </c>
      <c r="Z29" s="258"/>
      <c r="AA29" s="197">
        <f t="shared" si="154"/>
        <v>3650</v>
      </c>
      <c r="AB29" s="1006">
        <f t="shared" si="155"/>
        <v>0</v>
      </c>
      <c r="AC29" s="1007">
        <f t="shared" ca="1" si="156"/>
        <v>0</v>
      </c>
      <c r="AD29" s="258">
        <f t="shared" ca="1" si="257"/>
        <v>0</v>
      </c>
      <c r="AE29" s="258"/>
      <c r="AF29" s="197">
        <f t="shared" si="157"/>
        <v>3650</v>
      </c>
      <c r="AG29" s="1006">
        <f t="shared" si="158"/>
        <v>0</v>
      </c>
      <c r="AH29" s="1007">
        <f t="shared" ca="1" si="159"/>
        <v>0</v>
      </c>
      <c r="AI29" s="258">
        <f t="shared" ca="1" si="258"/>
        <v>0</v>
      </c>
      <c r="AJ29" s="258"/>
      <c r="AK29" s="197">
        <f t="shared" si="160"/>
        <v>3650</v>
      </c>
      <c r="AL29" s="1006">
        <f t="shared" si="161"/>
        <v>30</v>
      </c>
      <c r="AM29" s="1007">
        <f t="shared" ca="1" si="162"/>
        <v>6986301.3698630137</v>
      </c>
      <c r="AN29" s="258">
        <f t="shared" ca="1" si="259"/>
        <v>6986301.3698630137</v>
      </c>
      <c r="AO29" s="258"/>
      <c r="AP29" s="197">
        <f t="shared" si="163"/>
        <v>3620</v>
      </c>
      <c r="AQ29" s="1006">
        <f t="shared" si="164"/>
        <v>31</v>
      </c>
      <c r="AR29" s="1007">
        <f t="shared" ca="1" si="165"/>
        <v>7219178.0821917793</v>
      </c>
      <c r="AS29" s="258">
        <f t="shared" ca="1" si="260"/>
        <v>14205479.452054793</v>
      </c>
      <c r="AT29" s="258"/>
      <c r="AU29" s="197">
        <f t="shared" si="166"/>
        <v>3589</v>
      </c>
      <c r="AV29" s="1006">
        <f t="shared" si="167"/>
        <v>31</v>
      </c>
      <c r="AW29" s="1007">
        <f t="shared" ca="1" si="168"/>
        <v>7219178.0821917821</v>
      </c>
      <c r="AX29" s="258">
        <f t="shared" ca="1" si="261"/>
        <v>21424657.534246575</v>
      </c>
      <c r="AY29" s="258"/>
      <c r="AZ29" s="197">
        <f t="shared" si="169"/>
        <v>3558</v>
      </c>
      <c r="BA29" s="1006">
        <f t="shared" si="170"/>
        <v>30</v>
      </c>
      <c r="BB29" s="1007">
        <f t="shared" ca="1" si="171"/>
        <v>6986301.3698630109</v>
      </c>
      <c r="BC29" s="258">
        <f t="shared" ca="1" si="262"/>
        <v>28410958.904109586</v>
      </c>
      <c r="BD29" s="258"/>
      <c r="BE29" s="197">
        <f t="shared" si="172"/>
        <v>3528</v>
      </c>
      <c r="BF29" s="1006">
        <f t="shared" si="173"/>
        <v>31</v>
      </c>
      <c r="BG29" s="1007">
        <f t="shared" ca="1" si="174"/>
        <v>7219178.0821917839</v>
      </c>
      <c r="BH29" s="258">
        <f t="shared" ca="1" si="263"/>
        <v>35630136.98630137</v>
      </c>
      <c r="BI29" s="258"/>
      <c r="BJ29" s="197">
        <f t="shared" si="175"/>
        <v>3497</v>
      </c>
      <c r="BK29" s="1006">
        <f t="shared" si="176"/>
        <v>30</v>
      </c>
      <c r="BL29" s="1007">
        <f t="shared" ca="1" si="177"/>
        <v>6986301.3698630109</v>
      </c>
      <c r="BM29" s="258">
        <f t="shared" ca="1" si="264"/>
        <v>42616438.356164381</v>
      </c>
      <c r="BN29" s="258"/>
      <c r="BO29" s="197">
        <f t="shared" si="178"/>
        <v>3467</v>
      </c>
      <c r="BP29" s="1006">
        <f t="shared" si="179"/>
        <v>31</v>
      </c>
      <c r="BQ29" s="1007">
        <f t="shared" ca="1" si="180"/>
        <v>7219178.0821917802</v>
      </c>
      <c r="BR29" s="258">
        <f t="shared" ca="1" si="265"/>
        <v>49835616.438356161</v>
      </c>
      <c r="BS29" s="258"/>
      <c r="BT29" s="197">
        <f t="shared" si="181"/>
        <v>3436</v>
      </c>
      <c r="BU29" s="1006">
        <f t="shared" si="182"/>
        <v>31</v>
      </c>
      <c r="BV29" s="1007">
        <f t="shared" ca="1" si="183"/>
        <v>7219178.0821917802</v>
      </c>
      <c r="BW29" s="258">
        <f t="shared" ca="1" si="266"/>
        <v>57054794.520547941</v>
      </c>
      <c r="BX29" s="258"/>
      <c r="BY29" s="197">
        <f t="shared" si="184"/>
        <v>3405</v>
      </c>
      <c r="BZ29" s="1006">
        <f t="shared" si="185"/>
        <v>28</v>
      </c>
      <c r="CA29" s="1007">
        <f t="shared" ca="1" si="186"/>
        <v>6520547.9452054799</v>
      </c>
      <c r="CB29" s="258">
        <f t="shared" ca="1" si="267"/>
        <v>63575342.465753421</v>
      </c>
      <c r="CC29" s="258"/>
      <c r="CD29" s="197">
        <f t="shared" si="187"/>
        <v>3377</v>
      </c>
      <c r="CE29" s="1006">
        <f t="shared" si="188"/>
        <v>31</v>
      </c>
      <c r="CF29" s="1007">
        <f t="shared" ca="1" si="189"/>
        <v>7219178.0821917802</v>
      </c>
      <c r="CG29" s="258">
        <f t="shared" ca="1" si="268"/>
        <v>70794520.547945201</v>
      </c>
      <c r="CH29" s="258"/>
      <c r="CI29" s="197">
        <f t="shared" si="190"/>
        <v>3346</v>
      </c>
      <c r="CJ29" s="1006">
        <f t="shared" si="191"/>
        <v>30</v>
      </c>
      <c r="CK29" s="1007">
        <f t="shared" ca="1" si="192"/>
        <v>6986301.3698630184</v>
      </c>
      <c r="CL29" s="258">
        <f t="shared" ca="1" si="269"/>
        <v>77780821.91780822</v>
      </c>
      <c r="CM29" s="258"/>
      <c r="CN29" s="197">
        <f t="shared" si="193"/>
        <v>3316</v>
      </c>
      <c r="CO29" s="1006">
        <f t="shared" si="194"/>
        <v>31</v>
      </c>
      <c r="CP29" s="1007">
        <f t="shared" ca="1" si="195"/>
        <v>7219178.0821917802</v>
      </c>
      <c r="CQ29" s="258">
        <f t="shared" ca="1" si="270"/>
        <v>85000000</v>
      </c>
      <c r="CR29" s="258"/>
      <c r="CS29" s="197">
        <f t="shared" si="196"/>
        <v>3285</v>
      </c>
      <c r="CT29" s="1006">
        <f t="shared" si="197"/>
        <v>30</v>
      </c>
      <c r="CU29" s="1007">
        <f t="shared" ca="1" si="198"/>
        <v>6986301.3698630035</v>
      </c>
      <c r="CV29" s="258">
        <f t="shared" ca="1" si="271"/>
        <v>91986301.369863003</v>
      </c>
      <c r="CW29" s="258"/>
      <c r="CX29" s="197">
        <f t="shared" si="199"/>
        <v>3255</v>
      </c>
      <c r="CY29" s="1006">
        <f t="shared" si="200"/>
        <v>31</v>
      </c>
      <c r="CZ29" s="1007">
        <f t="shared" ca="1" si="201"/>
        <v>7219178.0821917802</v>
      </c>
      <c r="DA29" s="258">
        <f t="shared" ca="1" si="272"/>
        <v>99205479.452054784</v>
      </c>
      <c r="DB29" s="258"/>
      <c r="DC29" s="197">
        <f t="shared" si="202"/>
        <v>3224</v>
      </c>
      <c r="DD29" s="1006">
        <f t="shared" si="203"/>
        <v>31</v>
      </c>
      <c r="DE29" s="1007">
        <f t="shared" ca="1" si="204"/>
        <v>7219178.0821917802</v>
      </c>
      <c r="DF29" s="258">
        <f t="shared" ca="1" si="273"/>
        <v>106424657.53424656</v>
      </c>
      <c r="DG29" s="258"/>
      <c r="DH29" s="197">
        <f t="shared" si="205"/>
        <v>3193</v>
      </c>
      <c r="DI29" s="1006">
        <f t="shared" si="206"/>
        <v>30</v>
      </c>
      <c r="DJ29" s="1007">
        <f t="shared" ca="1" si="207"/>
        <v>6986301.3698630184</v>
      </c>
      <c r="DK29" s="258">
        <f t="shared" ca="1" si="274"/>
        <v>113410958.90410958</v>
      </c>
      <c r="DL29" s="258"/>
      <c r="DM29" s="197">
        <f t="shared" si="208"/>
        <v>3163</v>
      </c>
      <c r="DN29" s="1006">
        <f t="shared" si="209"/>
        <v>31</v>
      </c>
      <c r="DO29" s="1007">
        <f t="shared" ca="1" si="210"/>
        <v>7219178.0821917802</v>
      </c>
      <c r="DP29" s="258">
        <f t="shared" ca="1" si="275"/>
        <v>120630136.98630136</v>
      </c>
      <c r="DQ29" s="258"/>
      <c r="DR29" s="197">
        <f t="shared" si="211"/>
        <v>3132</v>
      </c>
      <c r="DS29" s="1006">
        <f t="shared" si="212"/>
        <v>30</v>
      </c>
      <c r="DT29" s="1007">
        <f t="shared" ca="1" si="213"/>
        <v>6986301.3698630184</v>
      </c>
      <c r="DU29" s="258">
        <f t="shared" ca="1" si="276"/>
        <v>127616438.35616438</v>
      </c>
      <c r="DV29" s="258"/>
      <c r="DW29" s="197">
        <f t="shared" si="214"/>
        <v>3102</v>
      </c>
      <c r="DX29" s="1006">
        <f t="shared" si="215"/>
        <v>31</v>
      </c>
      <c r="DY29" s="1007">
        <f t="shared" ca="1" si="216"/>
        <v>7219178.0821917802</v>
      </c>
      <c r="DZ29" s="258">
        <f t="shared" ca="1" si="277"/>
        <v>134835616.43835616</v>
      </c>
      <c r="EA29" s="258"/>
      <c r="EB29" s="197">
        <f t="shared" si="217"/>
        <v>3071</v>
      </c>
      <c r="EC29" s="1006">
        <f t="shared" si="218"/>
        <v>31</v>
      </c>
      <c r="ED29" s="1007">
        <f t="shared" ca="1" si="219"/>
        <v>7219178.0821917653</v>
      </c>
      <c r="EE29" s="258">
        <f t="shared" ca="1" si="278"/>
        <v>142054794.52054793</v>
      </c>
      <c r="EF29" s="258"/>
      <c r="EG29" s="197">
        <f t="shared" si="220"/>
        <v>3040</v>
      </c>
      <c r="EH29" s="1006">
        <f t="shared" si="221"/>
        <v>28</v>
      </c>
      <c r="EI29" s="1007">
        <f t="shared" ca="1" si="222"/>
        <v>6520547.9452054799</v>
      </c>
      <c r="EJ29" s="258">
        <f t="shared" ca="1" si="279"/>
        <v>148575342.46575341</v>
      </c>
      <c r="EK29" s="258"/>
      <c r="EL29" s="197">
        <f t="shared" si="223"/>
        <v>3012</v>
      </c>
      <c r="EM29" s="1006">
        <f t="shared" si="224"/>
        <v>31</v>
      </c>
      <c r="EN29" s="1007">
        <f t="shared" ca="1" si="225"/>
        <v>7219178.0821917951</v>
      </c>
      <c r="EO29" s="258">
        <f t="shared" ca="1" si="280"/>
        <v>155794520.5479452</v>
      </c>
      <c r="EP29" s="258"/>
      <c r="EQ29" s="197">
        <f t="shared" si="226"/>
        <v>2981</v>
      </c>
      <c r="ER29" s="1006">
        <f t="shared" si="227"/>
        <v>30</v>
      </c>
      <c r="ES29" s="1007">
        <f t="shared" ca="1" si="228"/>
        <v>6986301.3698630035</v>
      </c>
      <c r="ET29" s="258">
        <f t="shared" ca="1" si="281"/>
        <v>162780821.9178082</v>
      </c>
      <c r="EU29" s="258"/>
      <c r="EV29" s="197">
        <f t="shared" si="229"/>
        <v>2951</v>
      </c>
      <c r="EW29" s="1006">
        <f t="shared" si="230"/>
        <v>31</v>
      </c>
      <c r="EX29" s="1007">
        <f t="shared" ca="1" si="231"/>
        <v>7219178.0821917951</v>
      </c>
      <c r="EY29" s="258">
        <f t="shared" ca="1" si="282"/>
        <v>170000000</v>
      </c>
      <c r="EZ29" s="258"/>
      <c r="FA29" s="197">
        <f t="shared" si="232"/>
        <v>2920</v>
      </c>
      <c r="FB29" s="1006">
        <f t="shared" si="233"/>
        <v>30</v>
      </c>
      <c r="FC29" s="1007">
        <f t="shared" ca="1" si="234"/>
        <v>6986301.3698630035</v>
      </c>
      <c r="FD29" s="258">
        <f t="shared" ca="1" si="283"/>
        <v>176986301.369863</v>
      </c>
      <c r="FE29" s="258"/>
      <c r="FF29" s="197">
        <f t="shared" si="235"/>
        <v>2890</v>
      </c>
      <c r="FG29" s="1006">
        <f t="shared" si="236"/>
        <v>31</v>
      </c>
      <c r="FH29" s="1007">
        <f t="shared" ca="1" si="237"/>
        <v>7219178.0821917951</v>
      </c>
      <c r="FI29" s="258">
        <f t="shared" ca="1" si="284"/>
        <v>184205479.4520548</v>
      </c>
      <c r="FJ29" s="258"/>
      <c r="FK29" s="197">
        <f t="shared" si="238"/>
        <v>2859</v>
      </c>
      <c r="FL29" s="1006">
        <f t="shared" si="239"/>
        <v>31</v>
      </c>
      <c r="FM29" s="1007">
        <f t="shared" ca="1" si="240"/>
        <v>7219178.0821917653</v>
      </c>
      <c r="FN29" s="258">
        <f t="shared" ca="1" si="285"/>
        <v>191424657.53424656</v>
      </c>
      <c r="FO29" s="258"/>
      <c r="FP29" s="197">
        <f t="shared" si="241"/>
        <v>2828</v>
      </c>
      <c r="FQ29" s="1006">
        <f t="shared" si="242"/>
        <v>30</v>
      </c>
      <c r="FR29" s="1007">
        <f t="shared" ca="1" si="243"/>
        <v>6986301.3698630035</v>
      </c>
      <c r="FS29" s="258">
        <f t="shared" ca="1" si="286"/>
        <v>198410958.90410957</v>
      </c>
      <c r="FT29" s="258"/>
      <c r="FU29" s="197">
        <f t="shared" si="244"/>
        <v>2798</v>
      </c>
      <c r="FV29" s="1006">
        <f t="shared" si="245"/>
        <v>31</v>
      </c>
      <c r="FW29" s="1007">
        <f t="shared" ca="1" si="246"/>
        <v>7219178.0821917951</v>
      </c>
      <c r="FX29" s="258">
        <f t="shared" ca="1" si="287"/>
        <v>205630136.98630136</v>
      </c>
      <c r="FY29" s="258"/>
      <c r="FZ29" s="197">
        <f t="shared" si="247"/>
        <v>2767</v>
      </c>
      <c r="GA29" s="1006">
        <f t="shared" si="248"/>
        <v>30</v>
      </c>
      <c r="GB29" s="1007">
        <f t="shared" ca="1" si="249"/>
        <v>6986301.3698630035</v>
      </c>
      <c r="GC29" s="258">
        <f t="shared" ca="1" si="288"/>
        <v>212616438.35616437</v>
      </c>
      <c r="GD29" s="258"/>
      <c r="GE29" s="197">
        <f t="shared" si="250"/>
        <v>2737</v>
      </c>
      <c r="GF29" s="1006">
        <f t="shared" si="251"/>
        <v>31</v>
      </c>
      <c r="GG29" s="1007">
        <f t="shared" ca="1" si="252"/>
        <v>7219178.0821917951</v>
      </c>
      <c r="GH29" s="258">
        <f t="shared" ca="1" si="289"/>
        <v>219835616.43835616</v>
      </c>
      <c r="GI29" s="258"/>
      <c r="GJ29" s="197">
        <f t="shared" si="253"/>
        <v>2706</v>
      </c>
      <c r="GK29" s="1340"/>
      <c r="GL29" s="164"/>
      <c r="GM29" s="164"/>
      <c r="GN29" s="164"/>
    </row>
    <row r="30" spans="1:196" ht="12.75" x14ac:dyDescent="0.2">
      <c r="A30" s="1010">
        <f>'Item list'!A30</f>
        <v>45802</v>
      </c>
      <c r="B30" s="243" t="str">
        <f>'Item list'!B30</f>
        <v>12 Delivery vans</v>
      </c>
      <c r="C30" s="243" t="str">
        <f>'Item list'!C30</f>
        <v>Vehicles</v>
      </c>
      <c r="D30" s="989">
        <f>'Item list'!D30</f>
        <v>6000000000</v>
      </c>
      <c r="E30" s="243">
        <f>'Item list'!E30</f>
        <v>8</v>
      </c>
      <c r="F30" s="1004">
        <f>'Item list'!F30</f>
        <v>45818</v>
      </c>
      <c r="G30" s="243" t="str">
        <f>'Item list'!G30</f>
        <v>SLN</v>
      </c>
      <c r="H30" s="1005" t="e">
        <f t="shared" si="144"/>
        <v>#NUM!</v>
      </c>
      <c r="I30" s="243"/>
      <c r="J30" s="243"/>
      <c r="K30" s="243"/>
      <c r="L30" s="197">
        <f t="shared" si="145"/>
        <v>2920</v>
      </c>
      <c r="M30" s="1006">
        <f t="shared" si="146"/>
        <v>0</v>
      </c>
      <c r="N30" s="1007">
        <f t="shared" ca="1" si="147"/>
        <v>0</v>
      </c>
      <c r="O30" s="258">
        <f t="shared" ca="1" si="254"/>
        <v>0</v>
      </c>
      <c r="P30" s="258"/>
      <c r="Q30" s="197">
        <f t="shared" si="148"/>
        <v>2920</v>
      </c>
      <c r="R30" s="1006">
        <f t="shared" si="149"/>
        <v>0</v>
      </c>
      <c r="S30" s="1007">
        <f t="shared" ca="1" si="150"/>
        <v>0</v>
      </c>
      <c r="T30" s="258">
        <f t="shared" ca="1" si="255"/>
        <v>0</v>
      </c>
      <c r="U30" s="258"/>
      <c r="V30" s="197">
        <f t="shared" si="151"/>
        <v>2920</v>
      </c>
      <c r="W30" s="1006">
        <f t="shared" si="152"/>
        <v>0</v>
      </c>
      <c r="X30" s="1007">
        <f t="shared" ca="1" si="153"/>
        <v>0</v>
      </c>
      <c r="Y30" s="258">
        <f t="shared" ca="1" si="256"/>
        <v>0</v>
      </c>
      <c r="Z30" s="258"/>
      <c r="AA30" s="197">
        <f t="shared" si="154"/>
        <v>2920</v>
      </c>
      <c r="AB30" s="1006">
        <f t="shared" si="155"/>
        <v>0</v>
      </c>
      <c r="AC30" s="1007">
        <f t="shared" ca="1" si="156"/>
        <v>0</v>
      </c>
      <c r="AD30" s="258">
        <f t="shared" ca="1" si="257"/>
        <v>0</v>
      </c>
      <c r="AE30" s="258"/>
      <c r="AF30" s="197">
        <f t="shared" si="157"/>
        <v>2920</v>
      </c>
      <c r="AG30" s="1006">
        <f t="shared" si="158"/>
        <v>0</v>
      </c>
      <c r="AH30" s="1007">
        <f t="shared" ca="1" si="159"/>
        <v>0</v>
      </c>
      <c r="AI30" s="258">
        <f t="shared" ca="1" si="258"/>
        <v>0</v>
      </c>
      <c r="AJ30" s="258"/>
      <c r="AK30" s="197">
        <f t="shared" si="160"/>
        <v>2920</v>
      </c>
      <c r="AL30" s="1006">
        <f t="shared" si="161"/>
        <v>21</v>
      </c>
      <c r="AM30" s="1007">
        <f t="shared" ca="1" si="162"/>
        <v>43150684.93150685</v>
      </c>
      <c r="AN30" s="258">
        <f t="shared" ca="1" si="259"/>
        <v>43150684.93150685</v>
      </c>
      <c r="AO30" s="258"/>
      <c r="AP30" s="197">
        <f t="shared" si="163"/>
        <v>2899</v>
      </c>
      <c r="AQ30" s="1006">
        <f t="shared" si="164"/>
        <v>31</v>
      </c>
      <c r="AR30" s="1007">
        <f t="shared" ca="1" si="165"/>
        <v>63698630.136986308</v>
      </c>
      <c r="AS30" s="258">
        <f t="shared" ca="1" si="260"/>
        <v>106849315.06849316</v>
      </c>
      <c r="AT30" s="258"/>
      <c r="AU30" s="197">
        <f t="shared" si="166"/>
        <v>2868</v>
      </c>
      <c r="AV30" s="1006">
        <f t="shared" si="167"/>
        <v>31</v>
      </c>
      <c r="AW30" s="1007">
        <f t="shared" ca="1" si="168"/>
        <v>63698630.136986315</v>
      </c>
      <c r="AX30" s="258">
        <f t="shared" ca="1" si="261"/>
        <v>170547945.20547947</v>
      </c>
      <c r="AY30" s="258"/>
      <c r="AZ30" s="197">
        <f t="shared" si="169"/>
        <v>2837</v>
      </c>
      <c r="BA30" s="1006">
        <f t="shared" si="170"/>
        <v>30</v>
      </c>
      <c r="BB30" s="1007">
        <f t="shared" ca="1" si="171"/>
        <v>61643835.616438359</v>
      </c>
      <c r="BC30" s="258">
        <f t="shared" ca="1" si="262"/>
        <v>232191780.82191783</v>
      </c>
      <c r="BD30" s="258"/>
      <c r="BE30" s="197">
        <f t="shared" si="172"/>
        <v>2807</v>
      </c>
      <c r="BF30" s="1006">
        <f t="shared" si="173"/>
        <v>31</v>
      </c>
      <c r="BG30" s="1007">
        <f t="shared" ca="1" si="174"/>
        <v>63698630.136986315</v>
      </c>
      <c r="BH30" s="258">
        <f t="shared" ca="1" si="263"/>
        <v>295890410.95890415</v>
      </c>
      <c r="BI30" s="258"/>
      <c r="BJ30" s="197">
        <f t="shared" si="175"/>
        <v>2776</v>
      </c>
      <c r="BK30" s="1006">
        <f t="shared" si="176"/>
        <v>30</v>
      </c>
      <c r="BL30" s="1007">
        <f t="shared" ca="1" si="177"/>
        <v>61643835.616438329</v>
      </c>
      <c r="BM30" s="258">
        <f t="shared" ca="1" si="264"/>
        <v>357534246.57534248</v>
      </c>
      <c r="BN30" s="258"/>
      <c r="BO30" s="197">
        <f t="shared" si="178"/>
        <v>2746</v>
      </c>
      <c r="BP30" s="1006">
        <f t="shared" si="179"/>
        <v>31</v>
      </c>
      <c r="BQ30" s="1007">
        <f t="shared" ca="1" si="180"/>
        <v>63698630.136986315</v>
      </c>
      <c r="BR30" s="258">
        <f t="shared" ca="1" si="265"/>
        <v>421232876.71232879</v>
      </c>
      <c r="BS30" s="258"/>
      <c r="BT30" s="197">
        <f t="shared" si="181"/>
        <v>2715</v>
      </c>
      <c r="BU30" s="1006">
        <f t="shared" si="182"/>
        <v>31</v>
      </c>
      <c r="BV30" s="1007">
        <f t="shared" ca="1" si="183"/>
        <v>63698630.136986315</v>
      </c>
      <c r="BW30" s="258">
        <f t="shared" ca="1" si="266"/>
        <v>484931506.84931511</v>
      </c>
      <c r="BX30" s="258"/>
      <c r="BY30" s="197">
        <f t="shared" si="184"/>
        <v>2684</v>
      </c>
      <c r="BZ30" s="1006">
        <f t="shared" si="185"/>
        <v>28</v>
      </c>
      <c r="CA30" s="1007">
        <f t="shared" ca="1" si="186"/>
        <v>57534246.575342476</v>
      </c>
      <c r="CB30" s="258">
        <f t="shared" ca="1" si="267"/>
        <v>542465753.42465758</v>
      </c>
      <c r="CC30" s="258"/>
      <c r="CD30" s="197">
        <f t="shared" si="187"/>
        <v>2656</v>
      </c>
      <c r="CE30" s="1006">
        <f t="shared" si="188"/>
        <v>31</v>
      </c>
      <c r="CF30" s="1007">
        <f t="shared" ca="1" si="189"/>
        <v>63698630.136986256</v>
      </c>
      <c r="CG30" s="258">
        <f t="shared" ca="1" si="268"/>
        <v>606164383.56164384</v>
      </c>
      <c r="CH30" s="258"/>
      <c r="CI30" s="197">
        <f t="shared" si="190"/>
        <v>2625</v>
      </c>
      <c r="CJ30" s="1006">
        <f t="shared" si="191"/>
        <v>30</v>
      </c>
      <c r="CK30" s="1007">
        <f t="shared" ca="1" si="192"/>
        <v>61643835.616438389</v>
      </c>
      <c r="CL30" s="258">
        <f t="shared" ca="1" si="269"/>
        <v>667808219.17808223</v>
      </c>
      <c r="CM30" s="258"/>
      <c r="CN30" s="197">
        <f t="shared" si="193"/>
        <v>2595</v>
      </c>
      <c r="CO30" s="1006">
        <f t="shared" si="194"/>
        <v>31</v>
      </c>
      <c r="CP30" s="1007">
        <f t="shared" ca="1" si="195"/>
        <v>63698630.136986256</v>
      </c>
      <c r="CQ30" s="258">
        <f t="shared" ca="1" si="270"/>
        <v>731506849.31506848</v>
      </c>
      <c r="CR30" s="258"/>
      <c r="CS30" s="197">
        <f t="shared" si="196"/>
        <v>2564</v>
      </c>
      <c r="CT30" s="1006">
        <f t="shared" si="197"/>
        <v>30</v>
      </c>
      <c r="CU30" s="1007">
        <f t="shared" ca="1" si="198"/>
        <v>61643835.616438389</v>
      </c>
      <c r="CV30" s="258">
        <f t="shared" ca="1" si="271"/>
        <v>793150684.93150687</v>
      </c>
      <c r="CW30" s="258"/>
      <c r="CX30" s="197">
        <f t="shared" si="199"/>
        <v>2534</v>
      </c>
      <c r="CY30" s="1006">
        <f t="shared" si="200"/>
        <v>31</v>
      </c>
      <c r="CZ30" s="1007">
        <f t="shared" ca="1" si="201"/>
        <v>63698630.136986256</v>
      </c>
      <c r="DA30" s="258">
        <f t="shared" ca="1" si="272"/>
        <v>856849315.06849313</v>
      </c>
      <c r="DB30" s="258"/>
      <c r="DC30" s="197">
        <f t="shared" si="202"/>
        <v>2503</v>
      </c>
      <c r="DD30" s="1006">
        <f t="shared" si="203"/>
        <v>31</v>
      </c>
      <c r="DE30" s="1007">
        <f t="shared" ca="1" si="204"/>
        <v>63698630.136986375</v>
      </c>
      <c r="DF30" s="258">
        <f t="shared" ca="1" si="273"/>
        <v>920547945.2054795</v>
      </c>
      <c r="DG30" s="258"/>
      <c r="DH30" s="197">
        <f t="shared" si="205"/>
        <v>2472</v>
      </c>
      <c r="DI30" s="1006">
        <f t="shared" si="206"/>
        <v>30</v>
      </c>
      <c r="DJ30" s="1007">
        <f t="shared" ca="1" si="207"/>
        <v>61643835.616438389</v>
      </c>
      <c r="DK30" s="258">
        <f t="shared" ca="1" si="274"/>
        <v>982191780.82191789</v>
      </c>
      <c r="DL30" s="258"/>
      <c r="DM30" s="197">
        <f t="shared" si="208"/>
        <v>2442</v>
      </c>
      <c r="DN30" s="1006">
        <f t="shared" si="209"/>
        <v>31</v>
      </c>
      <c r="DO30" s="1007">
        <f t="shared" ca="1" si="210"/>
        <v>63698630.136986256</v>
      </c>
      <c r="DP30" s="258">
        <f t="shared" ca="1" si="275"/>
        <v>1045890410.9589041</v>
      </c>
      <c r="DQ30" s="258"/>
      <c r="DR30" s="197">
        <f t="shared" si="211"/>
        <v>2411</v>
      </c>
      <c r="DS30" s="1006">
        <f t="shared" si="212"/>
        <v>30</v>
      </c>
      <c r="DT30" s="1007">
        <f t="shared" ca="1" si="213"/>
        <v>61643835.61643827</v>
      </c>
      <c r="DU30" s="258">
        <f t="shared" ca="1" si="276"/>
        <v>1107534246.5753424</v>
      </c>
      <c r="DV30" s="258"/>
      <c r="DW30" s="197">
        <f t="shared" si="214"/>
        <v>2381</v>
      </c>
      <c r="DX30" s="1006">
        <f t="shared" si="215"/>
        <v>31</v>
      </c>
      <c r="DY30" s="1007">
        <f t="shared" ca="1" si="216"/>
        <v>63698630.136986494</v>
      </c>
      <c r="DZ30" s="258">
        <f t="shared" ca="1" si="277"/>
        <v>1171232876.7123289</v>
      </c>
      <c r="EA30" s="258"/>
      <c r="EB30" s="197">
        <f t="shared" si="217"/>
        <v>2350</v>
      </c>
      <c r="EC30" s="1006">
        <f t="shared" si="218"/>
        <v>31</v>
      </c>
      <c r="ED30" s="1007">
        <f t="shared" ca="1" si="219"/>
        <v>63698630.136986256</v>
      </c>
      <c r="EE30" s="258">
        <f t="shared" ca="1" si="278"/>
        <v>1234931506.8493152</v>
      </c>
      <c r="EF30" s="258"/>
      <c r="EG30" s="197">
        <f t="shared" si="220"/>
        <v>2319</v>
      </c>
      <c r="EH30" s="1006">
        <f t="shared" si="221"/>
        <v>28</v>
      </c>
      <c r="EI30" s="1007">
        <f t="shared" ca="1" si="222"/>
        <v>57534246.575342417</v>
      </c>
      <c r="EJ30" s="258">
        <f t="shared" ca="1" si="279"/>
        <v>1292465753.4246576</v>
      </c>
      <c r="EK30" s="258"/>
      <c r="EL30" s="197">
        <f t="shared" si="223"/>
        <v>2291</v>
      </c>
      <c r="EM30" s="1006">
        <f t="shared" si="224"/>
        <v>31</v>
      </c>
      <c r="EN30" s="1007">
        <f t="shared" ca="1" si="225"/>
        <v>63698630.136986256</v>
      </c>
      <c r="EO30" s="258">
        <f t="shared" ca="1" si="280"/>
        <v>1356164383.5616438</v>
      </c>
      <c r="EP30" s="258"/>
      <c r="EQ30" s="197">
        <f t="shared" si="226"/>
        <v>2260</v>
      </c>
      <c r="ER30" s="1006">
        <f t="shared" si="227"/>
        <v>30</v>
      </c>
      <c r="ES30" s="1007">
        <f t="shared" ca="1" si="228"/>
        <v>61643835.616438389</v>
      </c>
      <c r="ET30" s="258">
        <f t="shared" ca="1" si="281"/>
        <v>1417808219.1780822</v>
      </c>
      <c r="EU30" s="258"/>
      <c r="EV30" s="197">
        <f t="shared" si="229"/>
        <v>2230</v>
      </c>
      <c r="EW30" s="1006">
        <f t="shared" si="230"/>
        <v>31</v>
      </c>
      <c r="EX30" s="1007">
        <f t="shared" ca="1" si="231"/>
        <v>63698630.136986256</v>
      </c>
      <c r="EY30" s="258">
        <f t="shared" ca="1" si="282"/>
        <v>1481506849.3150685</v>
      </c>
      <c r="EZ30" s="258"/>
      <c r="FA30" s="197">
        <f t="shared" si="232"/>
        <v>2199</v>
      </c>
      <c r="FB30" s="1006">
        <f t="shared" si="233"/>
        <v>30</v>
      </c>
      <c r="FC30" s="1007">
        <f t="shared" ca="1" si="234"/>
        <v>61643835.616438389</v>
      </c>
      <c r="FD30" s="258">
        <f t="shared" ca="1" si="283"/>
        <v>1543150684.9315069</v>
      </c>
      <c r="FE30" s="258"/>
      <c r="FF30" s="197">
        <f t="shared" si="235"/>
        <v>2169</v>
      </c>
      <c r="FG30" s="1006">
        <f t="shared" si="236"/>
        <v>31</v>
      </c>
      <c r="FH30" s="1007">
        <f t="shared" ca="1" si="237"/>
        <v>63698630.136986256</v>
      </c>
      <c r="FI30" s="258">
        <f t="shared" ca="1" si="284"/>
        <v>1606849315.0684931</v>
      </c>
      <c r="FJ30" s="258"/>
      <c r="FK30" s="197">
        <f t="shared" si="238"/>
        <v>2138</v>
      </c>
      <c r="FL30" s="1006">
        <f t="shared" si="239"/>
        <v>31</v>
      </c>
      <c r="FM30" s="1007">
        <f t="shared" ca="1" si="240"/>
        <v>63698630.136986494</v>
      </c>
      <c r="FN30" s="258">
        <f t="shared" ca="1" si="285"/>
        <v>1670547945.2054796</v>
      </c>
      <c r="FO30" s="258"/>
      <c r="FP30" s="197">
        <f t="shared" si="241"/>
        <v>2107</v>
      </c>
      <c r="FQ30" s="1006">
        <f t="shared" si="242"/>
        <v>30</v>
      </c>
      <c r="FR30" s="1007">
        <f t="shared" ca="1" si="243"/>
        <v>61643835.61643815</v>
      </c>
      <c r="FS30" s="258">
        <f t="shared" ca="1" si="286"/>
        <v>1732191780.8219178</v>
      </c>
      <c r="FT30" s="258"/>
      <c r="FU30" s="197">
        <f t="shared" si="244"/>
        <v>2077</v>
      </c>
      <c r="FV30" s="1006">
        <f t="shared" si="245"/>
        <v>31</v>
      </c>
      <c r="FW30" s="1007">
        <f t="shared" ca="1" si="246"/>
        <v>63698630.136986494</v>
      </c>
      <c r="FX30" s="258">
        <f t="shared" ca="1" si="287"/>
        <v>1795890410.9589043</v>
      </c>
      <c r="FY30" s="258"/>
      <c r="FZ30" s="197">
        <f t="shared" si="247"/>
        <v>2046</v>
      </c>
      <c r="GA30" s="1006">
        <f t="shared" si="248"/>
        <v>30</v>
      </c>
      <c r="GB30" s="1007">
        <f t="shared" ca="1" si="249"/>
        <v>61643835.616438389</v>
      </c>
      <c r="GC30" s="258">
        <f t="shared" ca="1" si="288"/>
        <v>1857534246.5753427</v>
      </c>
      <c r="GD30" s="258"/>
      <c r="GE30" s="197">
        <f t="shared" si="250"/>
        <v>2016</v>
      </c>
      <c r="GF30" s="1006">
        <f t="shared" si="251"/>
        <v>31</v>
      </c>
      <c r="GG30" s="1007">
        <f t="shared" ca="1" si="252"/>
        <v>63698630.136986256</v>
      </c>
      <c r="GH30" s="258">
        <f t="shared" ca="1" si="289"/>
        <v>1921232876.7123289</v>
      </c>
      <c r="GI30" s="258"/>
      <c r="GJ30" s="197">
        <f t="shared" si="253"/>
        <v>1985</v>
      </c>
      <c r="GK30" s="1340"/>
      <c r="GL30" s="164"/>
      <c r="GM30" s="164"/>
      <c r="GN30" s="164"/>
    </row>
    <row r="31" spans="1:196" ht="12.75" x14ac:dyDescent="0.2">
      <c r="A31" s="1010">
        <f>'Item list'!A31</f>
        <v>45713</v>
      </c>
      <c r="B31" s="243" t="str">
        <f>'Item list'!B31</f>
        <v>6 Company cars</v>
      </c>
      <c r="C31" s="243" t="str">
        <f>'Item list'!C31</f>
        <v>Vehicles</v>
      </c>
      <c r="D31" s="989">
        <f>'Item list'!D31</f>
        <v>6300000000</v>
      </c>
      <c r="E31" s="243">
        <f>'Item list'!E31</f>
        <v>8</v>
      </c>
      <c r="F31" s="1004">
        <f>'Item list'!F31</f>
        <v>45809</v>
      </c>
      <c r="G31" s="243" t="str">
        <f>'Item list'!G31</f>
        <v>SLN</v>
      </c>
      <c r="H31" s="1005" t="e">
        <f t="shared" si="144"/>
        <v>#NUM!</v>
      </c>
      <c r="I31" s="243"/>
      <c r="J31" s="243"/>
      <c r="K31" s="243"/>
      <c r="L31" s="197">
        <f t="shared" si="145"/>
        <v>2920</v>
      </c>
      <c r="M31" s="1006">
        <f t="shared" si="146"/>
        <v>0</v>
      </c>
      <c r="N31" s="1007">
        <f t="shared" ca="1" si="147"/>
        <v>0</v>
      </c>
      <c r="O31" s="258">
        <f t="shared" ca="1" si="254"/>
        <v>0</v>
      </c>
      <c r="P31" s="258"/>
      <c r="Q31" s="197">
        <f t="shared" si="148"/>
        <v>2920</v>
      </c>
      <c r="R31" s="1006">
        <f t="shared" si="149"/>
        <v>0</v>
      </c>
      <c r="S31" s="1007">
        <f t="shared" ca="1" si="150"/>
        <v>0</v>
      </c>
      <c r="T31" s="258">
        <f t="shared" ca="1" si="255"/>
        <v>0</v>
      </c>
      <c r="U31" s="258"/>
      <c r="V31" s="197">
        <f t="shared" si="151"/>
        <v>2920</v>
      </c>
      <c r="W31" s="1006">
        <f t="shared" si="152"/>
        <v>0</v>
      </c>
      <c r="X31" s="1007">
        <f t="shared" ca="1" si="153"/>
        <v>0</v>
      </c>
      <c r="Y31" s="258">
        <f t="shared" ca="1" si="256"/>
        <v>0</v>
      </c>
      <c r="Z31" s="258"/>
      <c r="AA31" s="197">
        <f t="shared" si="154"/>
        <v>2920</v>
      </c>
      <c r="AB31" s="1006">
        <f t="shared" si="155"/>
        <v>0</v>
      </c>
      <c r="AC31" s="1007">
        <f t="shared" ca="1" si="156"/>
        <v>0</v>
      </c>
      <c r="AD31" s="258">
        <f t="shared" ca="1" si="257"/>
        <v>0</v>
      </c>
      <c r="AE31" s="258"/>
      <c r="AF31" s="197">
        <f t="shared" si="157"/>
        <v>2920</v>
      </c>
      <c r="AG31" s="1006">
        <f t="shared" si="158"/>
        <v>0</v>
      </c>
      <c r="AH31" s="1007">
        <f t="shared" ca="1" si="159"/>
        <v>0</v>
      </c>
      <c r="AI31" s="258">
        <f t="shared" ca="1" si="258"/>
        <v>0</v>
      </c>
      <c r="AJ31" s="258"/>
      <c r="AK31" s="197">
        <f t="shared" si="160"/>
        <v>2920</v>
      </c>
      <c r="AL31" s="1006">
        <f t="shared" si="161"/>
        <v>30</v>
      </c>
      <c r="AM31" s="1007">
        <f t="shared" ca="1" si="162"/>
        <v>64726027.397260278</v>
      </c>
      <c r="AN31" s="258">
        <f t="shared" ca="1" si="259"/>
        <v>64726027.397260278</v>
      </c>
      <c r="AO31" s="258"/>
      <c r="AP31" s="197">
        <f t="shared" si="163"/>
        <v>2890</v>
      </c>
      <c r="AQ31" s="1006">
        <f t="shared" si="164"/>
        <v>31</v>
      </c>
      <c r="AR31" s="1007">
        <f t="shared" ca="1" si="165"/>
        <v>66883561.643835619</v>
      </c>
      <c r="AS31" s="258">
        <f t="shared" ca="1" si="260"/>
        <v>131609589.0410959</v>
      </c>
      <c r="AT31" s="258"/>
      <c r="AU31" s="197">
        <f t="shared" si="166"/>
        <v>2859</v>
      </c>
      <c r="AV31" s="1006">
        <f t="shared" si="167"/>
        <v>31</v>
      </c>
      <c r="AW31" s="1007">
        <f t="shared" ca="1" si="168"/>
        <v>66883561.643835619</v>
      </c>
      <c r="AX31" s="258">
        <f t="shared" ca="1" si="261"/>
        <v>198493150.68493152</v>
      </c>
      <c r="AY31" s="258"/>
      <c r="AZ31" s="197">
        <f t="shared" si="169"/>
        <v>2828</v>
      </c>
      <c r="BA31" s="1006">
        <f t="shared" si="170"/>
        <v>30</v>
      </c>
      <c r="BB31" s="1007">
        <f t="shared" ca="1" si="171"/>
        <v>64726027.397260278</v>
      </c>
      <c r="BC31" s="258">
        <f t="shared" ca="1" si="262"/>
        <v>263219178.0821918</v>
      </c>
      <c r="BD31" s="258"/>
      <c r="BE31" s="197">
        <f t="shared" si="172"/>
        <v>2798</v>
      </c>
      <c r="BF31" s="1006">
        <f t="shared" si="173"/>
        <v>31</v>
      </c>
      <c r="BG31" s="1007">
        <f t="shared" ca="1" si="174"/>
        <v>66883561.643835634</v>
      </c>
      <c r="BH31" s="258">
        <f t="shared" ca="1" si="263"/>
        <v>330102739.72602743</v>
      </c>
      <c r="BI31" s="258"/>
      <c r="BJ31" s="197">
        <f t="shared" si="175"/>
        <v>2767</v>
      </c>
      <c r="BK31" s="1006">
        <f t="shared" si="176"/>
        <v>30</v>
      </c>
      <c r="BL31" s="1007">
        <f t="shared" ca="1" si="177"/>
        <v>64726027.397260249</v>
      </c>
      <c r="BM31" s="258">
        <f t="shared" ca="1" si="264"/>
        <v>394828767.12328768</v>
      </c>
      <c r="BN31" s="258"/>
      <c r="BO31" s="197">
        <f t="shared" si="178"/>
        <v>2737</v>
      </c>
      <c r="BP31" s="1006">
        <f t="shared" si="179"/>
        <v>31</v>
      </c>
      <c r="BQ31" s="1007">
        <f t="shared" ca="1" si="180"/>
        <v>66883561.643835604</v>
      </c>
      <c r="BR31" s="258">
        <f t="shared" ca="1" si="265"/>
        <v>461712328.76712328</v>
      </c>
      <c r="BS31" s="258"/>
      <c r="BT31" s="197">
        <f t="shared" si="181"/>
        <v>2706</v>
      </c>
      <c r="BU31" s="1006">
        <f t="shared" si="182"/>
        <v>31</v>
      </c>
      <c r="BV31" s="1007">
        <f t="shared" ca="1" si="183"/>
        <v>66883561.643835604</v>
      </c>
      <c r="BW31" s="258">
        <f t="shared" ca="1" si="266"/>
        <v>528595890.41095889</v>
      </c>
      <c r="BX31" s="258"/>
      <c r="BY31" s="197">
        <f t="shared" si="184"/>
        <v>2675</v>
      </c>
      <c r="BZ31" s="1006">
        <f t="shared" si="185"/>
        <v>28</v>
      </c>
      <c r="CA31" s="1007">
        <f t="shared" ca="1" si="186"/>
        <v>60410958.904109597</v>
      </c>
      <c r="CB31" s="258">
        <f t="shared" ca="1" si="267"/>
        <v>589006849.31506848</v>
      </c>
      <c r="CC31" s="258"/>
      <c r="CD31" s="197">
        <f t="shared" si="187"/>
        <v>2647</v>
      </c>
      <c r="CE31" s="1006">
        <f t="shared" si="188"/>
        <v>31</v>
      </c>
      <c r="CF31" s="1007">
        <f t="shared" ca="1" si="189"/>
        <v>66883561.643835664</v>
      </c>
      <c r="CG31" s="258">
        <f t="shared" ca="1" si="268"/>
        <v>655890410.95890415</v>
      </c>
      <c r="CH31" s="258"/>
      <c r="CI31" s="197">
        <f t="shared" si="190"/>
        <v>2616</v>
      </c>
      <c r="CJ31" s="1006">
        <f t="shared" si="191"/>
        <v>30</v>
      </c>
      <c r="CK31" s="1007">
        <f t="shared" ca="1" si="192"/>
        <v>64726027.397260189</v>
      </c>
      <c r="CL31" s="258">
        <f t="shared" ca="1" si="269"/>
        <v>720616438.35616434</v>
      </c>
      <c r="CM31" s="258"/>
      <c r="CN31" s="197">
        <f t="shared" si="193"/>
        <v>2586</v>
      </c>
      <c r="CO31" s="1006">
        <f t="shared" si="194"/>
        <v>31</v>
      </c>
      <c r="CP31" s="1007">
        <f t="shared" ca="1" si="195"/>
        <v>66883561.643835664</v>
      </c>
      <c r="CQ31" s="258">
        <f t="shared" ca="1" si="270"/>
        <v>787500000</v>
      </c>
      <c r="CR31" s="258"/>
      <c r="CS31" s="197">
        <f t="shared" si="196"/>
        <v>2555</v>
      </c>
      <c r="CT31" s="1006">
        <f t="shared" si="197"/>
        <v>30</v>
      </c>
      <c r="CU31" s="1007">
        <f t="shared" ca="1" si="198"/>
        <v>64726027.397260308</v>
      </c>
      <c r="CV31" s="258">
        <f t="shared" ca="1" si="271"/>
        <v>852226027.39726031</v>
      </c>
      <c r="CW31" s="258"/>
      <c r="CX31" s="197">
        <f t="shared" si="199"/>
        <v>2525</v>
      </c>
      <c r="CY31" s="1006">
        <f t="shared" si="200"/>
        <v>31</v>
      </c>
      <c r="CZ31" s="1007">
        <f t="shared" ca="1" si="201"/>
        <v>66883561.643835545</v>
      </c>
      <c r="DA31" s="258">
        <f t="shared" ca="1" si="272"/>
        <v>919109589.04109585</v>
      </c>
      <c r="DB31" s="258"/>
      <c r="DC31" s="197">
        <f t="shared" si="202"/>
        <v>2494</v>
      </c>
      <c r="DD31" s="1006">
        <f t="shared" si="203"/>
        <v>31</v>
      </c>
      <c r="DE31" s="1007">
        <f t="shared" ca="1" si="204"/>
        <v>66883561.643835664</v>
      </c>
      <c r="DF31" s="258">
        <f t="shared" ca="1" si="273"/>
        <v>985993150.68493152</v>
      </c>
      <c r="DG31" s="258"/>
      <c r="DH31" s="197">
        <f t="shared" si="205"/>
        <v>2463</v>
      </c>
      <c r="DI31" s="1006">
        <f t="shared" si="206"/>
        <v>30</v>
      </c>
      <c r="DJ31" s="1007">
        <f t="shared" ca="1" si="207"/>
        <v>64726027.397260308</v>
      </c>
      <c r="DK31" s="258">
        <f t="shared" ca="1" si="274"/>
        <v>1050719178.0821918</v>
      </c>
      <c r="DL31" s="258"/>
      <c r="DM31" s="197">
        <f t="shared" si="208"/>
        <v>2433</v>
      </c>
      <c r="DN31" s="1006">
        <f t="shared" si="209"/>
        <v>31</v>
      </c>
      <c r="DO31" s="1007">
        <f t="shared" ca="1" si="210"/>
        <v>66883561.643835664</v>
      </c>
      <c r="DP31" s="258">
        <f t="shared" ca="1" si="275"/>
        <v>1117602739.7260275</v>
      </c>
      <c r="DQ31" s="258"/>
      <c r="DR31" s="197">
        <f t="shared" si="211"/>
        <v>2402</v>
      </c>
      <c r="DS31" s="1006">
        <f t="shared" si="212"/>
        <v>30</v>
      </c>
      <c r="DT31" s="1007">
        <f t="shared" ca="1" si="213"/>
        <v>64726027.397260189</v>
      </c>
      <c r="DU31" s="258">
        <f t="shared" ca="1" si="276"/>
        <v>1182328767.1232877</v>
      </c>
      <c r="DV31" s="258"/>
      <c r="DW31" s="197">
        <f t="shared" si="214"/>
        <v>2372</v>
      </c>
      <c r="DX31" s="1006">
        <f t="shared" si="215"/>
        <v>31</v>
      </c>
      <c r="DY31" s="1007">
        <f t="shared" ca="1" si="216"/>
        <v>66883561.643835545</v>
      </c>
      <c r="DZ31" s="258">
        <f t="shared" ca="1" si="277"/>
        <v>1249212328.7671232</v>
      </c>
      <c r="EA31" s="258"/>
      <c r="EB31" s="197">
        <f t="shared" si="217"/>
        <v>2341</v>
      </c>
      <c r="EC31" s="1006">
        <f t="shared" si="218"/>
        <v>31</v>
      </c>
      <c r="ED31" s="1007">
        <f t="shared" ca="1" si="219"/>
        <v>66883561.643835783</v>
      </c>
      <c r="EE31" s="258">
        <f t="shared" ca="1" si="278"/>
        <v>1316095890.410959</v>
      </c>
      <c r="EF31" s="258"/>
      <c r="EG31" s="197">
        <f t="shared" si="220"/>
        <v>2310</v>
      </c>
      <c r="EH31" s="1006">
        <f t="shared" si="221"/>
        <v>28</v>
      </c>
      <c r="EI31" s="1007">
        <f t="shared" ca="1" si="222"/>
        <v>60410958.904109478</v>
      </c>
      <c r="EJ31" s="258">
        <f t="shared" ca="1" si="279"/>
        <v>1376506849.3150685</v>
      </c>
      <c r="EK31" s="258"/>
      <c r="EL31" s="197">
        <f t="shared" si="223"/>
        <v>2282</v>
      </c>
      <c r="EM31" s="1006">
        <f t="shared" si="224"/>
        <v>31</v>
      </c>
      <c r="EN31" s="1007">
        <f t="shared" ca="1" si="225"/>
        <v>66883561.643835545</v>
      </c>
      <c r="EO31" s="258">
        <f t="shared" ca="1" si="280"/>
        <v>1443390410.958904</v>
      </c>
      <c r="EP31" s="258"/>
      <c r="EQ31" s="197">
        <f t="shared" si="226"/>
        <v>2251</v>
      </c>
      <c r="ER31" s="1006">
        <f t="shared" si="227"/>
        <v>30</v>
      </c>
      <c r="ES31" s="1007">
        <f t="shared" ca="1" si="228"/>
        <v>64726027.397260427</v>
      </c>
      <c r="ET31" s="258">
        <f t="shared" ca="1" si="281"/>
        <v>1508116438.3561645</v>
      </c>
      <c r="EU31" s="258"/>
      <c r="EV31" s="197">
        <f t="shared" si="229"/>
        <v>2221</v>
      </c>
      <c r="EW31" s="1006">
        <f t="shared" si="230"/>
        <v>31</v>
      </c>
      <c r="EX31" s="1007">
        <f t="shared" ca="1" si="231"/>
        <v>66883561.643835545</v>
      </c>
      <c r="EY31" s="258">
        <f t="shared" ca="1" si="282"/>
        <v>1575000000</v>
      </c>
      <c r="EZ31" s="258"/>
      <c r="FA31" s="197">
        <f t="shared" si="232"/>
        <v>2190</v>
      </c>
      <c r="FB31" s="1006">
        <f t="shared" si="233"/>
        <v>30</v>
      </c>
      <c r="FC31" s="1007">
        <f t="shared" ca="1" si="234"/>
        <v>64726027.397260189</v>
      </c>
      <c r="FD31" s="258">
        <f t="shared" ca="1" si="283"/>
        <v>1639726027.3972602</v>
      </c>
      <c r="FE31" s="258"/>
      <c r="FF31" s="197">
        <f t="shared" si="235"/>
        <v>2160</v>
      </c>
      <c r="FG31" s="1006">
        <f t="shared" si="236"/>
        <v>31</v>
      </c>
      <c r="FH31" s="1007">
        <f t="shared" ca="1" si="237"/>
        <v>66883561.643835783</v>
      </c>
      <c r="FI31" s="258">
        <f t="shared" ca="1" si="284"/>
        <v>1706609589.041096</v>
      </c>
      <c r="FJ31" s="258"/>
      <c r="FK31" s="197">
        <f t="shared" si="238"/>
        <v>2129</v>
      </c>
      <c r="FL31" s="1006">
        <f t="shared" si="239"/>
        <v>31</v>
      </c>
      <c r="FM31" s="1007">
        <f t="shared" ca="1" si="240"/>
        <v>66883561.643835545</v>
      </c>
      <c r="FN31" s="258">
        <f t="shared" ca="1" si="285"/>
        <v>1773493150.6849315</v>
      </c>
      <c r="FO31" s="258"/>
      <c r="FP31" s="197">
        <f t="shared" si="241"/>
        <v>2098</v>
      </c>
      <c r="FQ31" s="1006">
        <f t="shared" si="242"/>
        <v>30</v>
      </c>
      <c r="FR31" s="1007">
        <f t="shared" ca="1" si="243"/>
        <v>64726027.397260189</v>
      </c>
      <c r="FS31" s="258">
        <f t="shared" ca="1" si="286"/>
        <v>1838219178.0821917</v>
      </c>
      <c r="FT31" s="258"/>
      <c r="FU31" s="197">
        <f t="shared" si="244"/>
        <v>2068</v>
      </c>
      <c r="FV31" s="1006">
        <f t="shared" si="245"/>
        <v>31</v>
      </c>
      <c r="FW31" s="1007">
        <f t="shared" ca="1" si="246"/>
        <v>66883561.643835783</v>
      </c>
      <c r="FX31" s="258">
        <f t="shared" ca="1" si="287"/>
        <v>1905102739.7260275</v>
      </c>
      <c r="FY31" s="258"/>
      <c r="FZ31" s="197">
        <f t="shared" si="247"/>
        <v>2037</v>
      </c>
      <c r="GA31" s="1006">
        <f t="shared" si="248"/>
        <v>30</v>
      </c>
      <c r="GB31" s="1007">
        <f t="shared" ca="1" si="249"/>
        <v>64726027.397260189</v>
      </c>
      <c r="GC31" s="258">
        <f t="shared" ca="1" si="288"/>
        <v>1969828767.1232877</v>
      </c>
      <c r="GD31" s="258"/>
      <c r="GE31" s="197">
        <f t="shared" si="250"/>
        <v>2007</v>
      </c>
      <c r="GF31" s="1006">
        <f t="shared" si="251"/>
        <v>31</v>
      </c>
      <c r="GG31" s="1007">
        <f t="shared" ca="1" si="252"/>
        <v>66883561.643835545</v>
      </c>
      <c r="GH31" s="258">
        <f t="shared" ca="1" si="289"/>
        <v>2036712328.7671232</v>
      </c>
      <c r="GI31" s="258"/>
      <c r="GJ31" s="197">
        <f t="shared" si="253"/>
        <v>1976</v>
      </c>
      <c r="GK31" s="1340"/>
      <c r="GL31" s="164"/>
      <c r="GM31" s="164"/>
      <c r="GN31" s="164"/>
    </row>
    <row r="32" spans="1:196" ht="12.75" x14ac:dyDescent="0.2">
      <c r="A32" s="1010">
        <f>'Item list'!A32</f>
        <v>45792</v>
      </c>
      <c r="B32" s="243" t="str">
        <f>'Item list'!B32</f>
        <v>6 Testing &amp; Quality Systems</v>
      </c>
      <c r="C32" s="243" t="str">
        <f>'Item list'!C32</f>
        <v>Factory Equipment</v>
      </c>
      <c r="D32" s="989">
        <f>'Item list'!D32</f>
        <v>1200000000</v>
      </c>
      <c r="E32" s="243">
        <f>'Item list'!E32</f>
        <v>8</v>
      </c>
      <c r="F32" s="1004">
        <f>'Item list'!F32</f>
        <v>45809</v>
      </c>
      <c r="G32" s="243" t="str">
        <f>'Item list'!G32</f>
        <v>SLN</v>
      </c>
      <c r="H32" s="1005" t="e">
        <f t="shared" si="144"/>
        <v>#NUM!</v>
      </c>
      <c r="I32" s="243"/>
      <c r="J32" s="243"/>
      <c r="K32" s="243"/>
      <c r="L32" s="197">
        <f t="shared" si="145"/>
        <v>2920</v>
      </c>
      <c r="M32" s="1006">
        <f t="shared" si="146"/>
        <v>0</v>
      </c>
      <c r="N32" s="1007">
        <f t="shared" ca="1" si="147"/>
        <v>0</v>
      </c>
      <c r="O32" s="258">
        <f t="shared" ca="1" si="254"/>
        <v>0</v>
      </c>
      <c r="P32" s="258"/>
      <c r="Q32" s="197">
        <f t="shared" si="148"/>
        <v>2920</v>
      </c>
      <c r="R32" s="1006">
        <f t="shared" si="149"/>
        <v>0</v>
      </c>
      <c r="S32" s="1007">
        <f t="shared" ca="1" si="150"/>
        <v>0</v>
      </c>
      <c r="T32" s="258">
        <f t="shared" ca="1" si="255"/>
        <v>0</v>
      </c>
      <c r="U32" s="258"/>
      <c r="V32" s="197">
        <f t="shared" si="151"/>
        <v>2920</v>
      </c>
      <c r="W32" s="1006">
        <f t="shared" si="152"/>
        <v>0</v>
      </c>
      <c r="X32" s="1007">
        <f t="shared" ca="1" si="153"/>
        <v>0</v>
      </c>
      <c r="Y32" s="258">
        <f t="shared" ca="1" si="256"/>
        <v>0</v>
      </c>
      <c r="Z32" s="258"/>
      <c r="AA32" s="197">
        <f t="shared" si="154"/>
        <v>2920</v>
      </c>
      <c r="AB32" s="1006">
        <f t="shared" si="155"/>
        <v>0</v>
      </c>
      <c r="AC32" s="1007">
        <f t="shared" ca="1" si="156"/>
        <v>0</v>
      </c>
      <c r="AD32" s="258">
        <f t="shared" ca="1" si="257"/>
        <v>0</v>
      </c>
      <c r="AE32" s="258"/>
      <c r="AF32" s="197">
        <f t="shared" si="157"/>
        <v>2920</v>
      </c>
      <c r="AG32" s="1006">
        <f t="shared" si="158"/>
        <v>0</v>
      </c>
      <c r="AH32" s="1007">
        <f t="shared" ca="1" si="159"/>
        <v>0</v>
      </c>
      <c r="AI32" s="258">
        <f t="shared" ca="1" si="258"/>
        <v>0</v>
      </c>
      <c r="AJ32" s="258"/>
      <c r="AK32" s="197">
        <f t="shared" si="160"/>
        <v>2920</v>
      </c>
      <c r="AL32" s="1006">
        <f t="shared" si="161"/>
        <v>30</v>
      </c>
      <c r="AM32" s="1007">
        <f t="shared" ca="1" si="162"/>
        <v>12328767.123287672</v>
      </c>
      <c r="AN32" s="258">
        <f t="shared" ca="1" si="259"/>
        <v>12328767.123287672</v>
      </c>
      <c r="AO32" s="258"/>
      <c r="AP32" s="197">
        <f t="shared" si="163"/>
        <v>2890</v>
      </c>
      <c r="AQ32" s="1006">
        <f t="shared" si="164"/>
        <v>31</v>
      </c>
      <c r="AR32" s="1007">
        <f t="shared" ca="1" si="165"/>
        <v>12739726.027397262</v>
      </c>
      <c r="AS32" s="258">
        <f t="shared" ca="1" si="260"/>
        <v>25068493.150684934</v>
      </c>
      <c r="AT32" s="258"/>
      <c r="AU32" s="197">
        <f t="shared" si="166"/>
        <v>2859</v>
      </c>
      <c r="AV32" s="1006">
        <f t="shared" si="167"/>
        <v>31</v>
      </c>
      <c r="AW32" s="1007">
        <f t="shared" ca="1" si="168"/>
        <v>12739726.027397256</v>
      </c>
      <c r="AX32" s="258">
        <f t="shared" ca="1" si="261"/>
        <v>37808219.17808219</v>
      </c>
      <c r="AY32" s="258"/>
      <c r="AZ32" s="197">
        <f t="shared" si="169"/>
        <v>2828</v>
      </c>
      <c r="BA32" s="1006">
        <f t="shared" si="170"/>
        <v>30</v>
      </c>
      <c r="BB32" s="1007">
        <f t="shared" ca="1" si="171"/>
        <v>12328767.123287678</v>
      </c>
      <c r="BC32" s="258">
        <f t="shared" ca="1" si="262"/>
        <v>50136986.301369868</v>
      </c>
      <c r="BD32" s="258"/>
      <c r="BE32" s="197">
        <f t="shared" si="172"/>
        <v>2798</v>
      </c>
      <c r="BF32" s="1006">
        <f t="shared" si="173"/>
        <v>31</v>
      </c>
      <c r="BG32" s="1007">
        <f t="shared" ca="1" si="174"/>
        <v>12739726.02739726</v>
      </c>
      <c r="BH32" s="258">
        <f t="shared" ca="1" si="263"/>
        <v>62876712.328767128</v>
      </c>
      <c r="BI32" s="258"/>
      <c r="BJ32" s="197">
        <f t="shared" si="175"/>
        <v>2767</v>
      </c>
      <c r="BK32" s="1006">
        <f t="shared" si="176"/>
        <v>30</v>
      </c>
      <c r="BL32" s="1007">
        <f t="shared" ca="1" si="177"/>
        <v>12328767.12328767</v>
      </c>
      <c r="BM32" s="258">
        <f t="shared" ca="1" si="264"/>
        <v>75205479.452054799</v>
      </c>
      <c r="BN32" s="258"/>
      <c r="BO32" s="197">
        <f t="shared" si="178"/>
        <v>2737</v>
      </c>
      <c r="BP32" s="1006">
        <f t="shared" si="179"/>
        <v>31</v>
      </c>
      <c r="BQ32" s="1007">
        <f t="shared" ca="1" si="180"/>
        <v>12739726.02739726</v>
      </c>
      <c r="BR32" s="258">
        <f t="shared" ca="1" si="265"/>
        <v>87945205.479452059</v>
      </c>
      <c r="BS32" s="258"/>
      <c r="BT32" s="197">
        <f t="shared" si="181"/>
        <v>2706</v>
      </c>
      <c r="BU32" s="1006">
        <f t="shared" si="182"/>
        <v>31</v>
      </c>
      <c r="BV32" s="1007">
        <f t="shared" ca="1" si="183"/>
        <v>12739726.02739726</v>
      </c>
      <c r="BW32" s="258">
        <f t="shared" ca="1" si="266"/>
        <v>100684931.50684932</v>
      </c>
      <c r="BX32" s="258"/>
      <c r="BY32" s="197">
        <f t="shared" si="184"/>
        <v>2675</v>
      </c>
      <c r="BZ32" s="1006">
        <f t="shared" si="185"/>
        <v>28</v>
      </c>
      <c r="CA32" s="1007">
        <f t="shared" ca="1" si="186"/>
        <v>11506849.315068498</v>
      </c>
      <c r="CB32" s="258">
        <f t="shared" ca="1" si="267"/>
        <v>112191780.82191782</v>
      </c>
      <c r="CC32" s="258"/>
      <c r="CD32" s="197">
        <f t="shared" si="187"/>
        <v>2647</v>
      </c>
      <c r="CE32" s="1006">
        <f t="shared" si="188"/>
        <v>31</v>
      </c>
      <c r="CF32" s="1007">
        <f t="shared" ca="1" si="189"/>
        <v>12739726.02739726</v>
      </c>
      <c r="CG32" s="258">
        <f t="shared" ca="1" si="268"/>
        <v>124931506.84931508</v>
      </c>
      <c r="CH32" s="258"/>
      <c r="CI32" s="197">
        <f t="shared" si="190"/>
        <v>2616</v>
      </c>
      <c r="CJ32" s="1006">
        <f t="shared" si="191"/>
        <v>30</v>
      </c>
      <c r="CK32" s="1007">
        <f t="shared" ca="1" si="192"/>
        <v>12328767.123287678</v>
      </c>
      <c r="CL32" s="258">
        <f t="shared" ca="1" si="269"/>
        <v>137260273.97260275</v>
      </c>
      <c r="CM32" s="258"/>
      <c r="CN32" s="197">
        <f t="shared" si="193"/>
        <v>2586</v>
      </c>
      <c r="CO32" s="1006">
        <f t="shared" si="194"/>
        <v>31</v>
      </c>
      <c r="CP32" s="1007">
        <f t="shared" ca="1" si="195"/>
        <v>12739726.027397245</v>
      </c>
      <c r="CQ32" s="258">
        <f t="shared" ca="1" si="270"/>
        <v>150000000</v>
      </c>
      <c r="CR32" s="258"/>
      <c r="CS32" s="197">
        <f t="shared" si="196"/>
        <v>2555</v>
      </c>
      <c r="CT32" s="1006">
        <f t="shared" si="197"/>
        <v>30</v>
      </c>
      <c r="CU32" s="1007">
        <f t="shared" ca="1" si="198"/>
        <v>12328767.123287678</v>
      </c>
      <c r="CV32" s="258">
        <f t="shared" ca="1" si="271"/>
        <v>162328767.12328768</v>
      </c>
      <c r="CW32" s="258"/>
      <c r="CX32" s="197">
        <f t="shared" si="199"/>
        <v>2525</v>
      </c>
      <c r="CY32" s="1006">
        <f t="shared" si="200"/>
        <v>31</v>
      </c>
      <c r="CZ32" s="1007">
        <f t="shared" ca="1" si="201"/>
        <v>12739726.027397275</v>
      </c>
      <c r="DA32" s="258">
        <f t="shared" ca="1" si="272"/>
        <v>175068493.15068495</v>
      </c>
      <c r="DB32" s="258"/>
      <c r="DC32" s="197">
        <f t="shared" si="202"/>
        <v>2494</v>
      </c>
      <c r="DD32" s="1006">
        <f t="shared" si="203"/>
        <v>31</v>
      </c>
      <c r="DE32" s="1007">
        <f t="shared" ca="1" si="204"/>
        <v>12739726.027397245</v>
      </c>
      <c r="DF32" s="258">
        <f t="shared" ca="1" si="273"/>
        <v>187808219.1780822</v>
      </c>
      <c r="DG32" s="258"/>
      <c r="DH32" s="197">
        <f t="shared" si="205"/>
        <v>2463</v>
      </c>
      <c r="DI32" s="1006">
        <f t="shared" si="206"/>
        <v>30</v>
      </c>
      <c r="DJ32" s="1007">
        <f t="shared" ca="1" si="207"/>
        <v>12328767.123287678</v>
      </c>
      <c r="DK32" s="258">
        <f t="shared" ca="1" si="274"/>
        <v>200136986.30136988</v>
      </c>
      <c r="DL32" s="258"/>
      <c r="DM32" s="197">
        <f t="shared" si="208"/>
        <v>2433</v>
      </c>
      <c r="DN32" s="1006">
        <f t="shared" si="209"/>
        <v>31</v>
      </c>
      <c r="DO32" s="1007">
        <f t="shared" ca="1" si="210"/>
        <v>12739726.027397245</v>
      </c>
      <c r="DP32" s="258">
        <f t="shared" ca="1" si="275"/>
        <v>212876712.32876712</v>
      </c>
      <c r="DQ32" s="258"/>
      <c r="DR32" s="197">
        <f t="shared" si="211"/>
        <v>2402</v>
      </c>
      <c r="DS32" s="1006">
        <f t="shared" si="212"/>
        <v>30</v>
      </c>
      <c r="DT32" s="1007">
        <f t="shared" ca="1" si="213"/>
        <v>12328767.123287678</v>
      </c>
      <c r="DU32" s="258">
        <f t="shared" ca="1" si="276"/>
        <v>225205479.4520548</v>
      </c>
      <c r="DV32" s="258"/>
      <c r="DW32" s="197">
        <f t="shared" si="214"/>
        <v>2372</v>
      </c>
      <c r="DX32" s="1006">
        <f t="shared" si="215"/>
        <v>31</v>
      </c>
      <c r="DY32" s="1007">
        <f t="shared" ca="1" si="216"/>
        <v>12739726.027397275</v>
      </c>
      <c r="DZ32" s="258">
        <f t="shared" ca="1" si="277"/>
        <v>237945205.47945207</v>
      </c>
      <c r="EA32" s="258"/>
      <c r="EB32" s="197">
        <f t="shared" si="217"/>
        <v>2341</v>
      </c>
      <c r="EC32" s="1006">
        <f t="shared" si="218"/>
        <v>31</v>
      </c>
      <c r="ED32" s="1007">
        <f t="shared" ca="1" si="219"/>
        <v>12739726.027397245</v>
      </c>
      <c r="EE32" s="258">
        <f t="shared" ca="1" si="278"/>
        <v>250684931.50684932</v>
      </c>
      <c r="EF32" s="258"/>
      <c r="EG32" s="197">
        <f t="shared" si="220"/>
        <v>2310</v>
      </c>
      <c r="EH32" s="1006">
        <f t="shared" si="221"/>
        <v>28</v>
      </c>
      <c r="EI32" s="1007">
        <f t="shared" ca="1" si="222"/>
        <v>11506849.315068513</v>
      </c>
      <c r="EJ32" s="258">
        <f t="shared" ca="1" si="279"/>
        <v>262191780.82191783</v>
      </c>
      <c r="EK32" s="258"/>
      <c r="EL32" s="197">
        <f t="shared" si="223"/>
        <v>2282</v>
      </c>
      <c r="EM32" s="1006">
        <f t="shared" si="224"/>
        <v>31</v>
      </c>
      <c r="EN32" s="1007">
        <f t="shared" ca="1" si="225"/>
        <v>12739726.027397275</v>
      </c>
      <c r="EO32" s="258">
        <f t="shared" ca="1" si="280"/>
        <v>274931506.84931511</v>
      </c>
      <c r="EP32" s="258"/>
      <c r="EQ32" s="197">
        <f t="shared" si="226"/>
        <v>2251</v>
      </c>
      <c r="ER32" s="1006">
        <f t="shared" si="227"/>
        <v>30</v>
      </c>
      <c r="ES32" s="1007">
        <f t="shared" ca="1" si="228"/>
        <v>12328767.123287618</v>
      </c>
      <c r="ET32" s="258">
        <f t="shared" ca="1" si="281"/>
        <v>287260273.97260273</v>
      </c>
      <c r="EU32" s="258"/>
      <c r="EV32" s="197">
        <f t="shared" si="229"/>
        <v>2221</v>
      </c>
      <c r="EW32" s="1006">
        <f t="shared" si="230"/>
        <v>31</v>
      </c>
      <c r="EX32" s="1007">
        <f t="shared" ca="1" si="231"/>
        <v>12739726.027397275</v>
      </c>
      <c r="EY32" s="258">
        <f t="shared" ca="1" si="282"/>
        <v>300000000</v>
      </c>
      <c r="EZ32" s="258"/>
      <c r="FA32" s="197">
        <f t="shared" si="232"/>
        <v>2190</v>
      </c>
      <c r="FB32" s="1006">
        <f t="shared" si="233"/>
        <v>30</v>
      </c>
      <c r="FC32" s="1007">
        <f t="shared" ca="1" si="234"/>
        <v>12328767.123287678</v>
      </c>
      <c r="FD32" s="258">
        <f t="shared" ca="1" si="283"/>
        <v>312328767.12328768</v>
      </c>
      <c r="FE32" s="258"/>
      <c r="FF32" s="197">
        <f t="shared" si="235"/>
        <v>2160</v>
      </c>
      <c r="FG32" s="1006">
        <f t="shared" si="236"/>
        <v>31</v>
      </c>
      <c r="FH32" s="1007">
        <f t="shared" ca="1" si="237"/>
        <v>12739726.027397275</v>
      </c>
      <c r="FI32" s="258">
        <f t="shared" ca="1" si="284"/>
        <v>325068493.15068495</v>
      </c>
      <c r="FJ32" s="258"/>
      <c r="FK32" s="197">
        <f t="shared" si="238"/>
        <v>2129</v>
      </c>
      <c r="FL32" s="1006">
        <f t="shared" si="239"/>
        <v>31</v>
      </c>
      <c r="FM32" s="1007">
        <f t="shared" ca="1" si="240"/>
        <v>12739726.027397275</v>
      </c>
      <c r="FN32" s="258">
        <f t="shared" ca="1" si="285"/>
        <v>337808219.17808223</v>
      </c>
      <c r="FO32" s="258"/>
      <c r="FP32" s="197">
        <f t="shared" si="241"/>
        <v>2098</v>
      </c>
      <c r="FQ32" s="1006">
        <f t="shared" si="242"/>
        <v>30</v>
      </c>
      <c r="FR32" s="1007">
        <f t="shared" ca="1" si="243"/>
        <v>12328767.123287678</v>
      </c>
      <c r="FS32" s="258">
        <f t="shared" ca="1" si="286"/>
        <v>350136986.30136991</v>
      </c>
      <c r="FT32" s="258"/>
      <c r="FU32" s="197">
        <f t="shared" si="244"/>
        <v>2068</v>
      </c>
      <c r="FV32" s="1006">
        <f t="shared" si="245"/>
        <v>31</v>
      </c>
      <c r="FW32" s="1007">
        <f t="shared" ca="1" si="246"/>
        <v>12739726.027397215</v>
      </c>
      <c r="FX32" s="258">
        <f t="shared" ca="1" si="287"/>
        <v>362876712.32876712</v>
      </c>
      <c r="FY32" s="258"/>
      <c r="FZ32" s="197">
        <f t="shared" si="247"/>
        <v>2037</v>
      </c>
      <c r="GA32" s="1006">
        <f t="shared" si="248"/>
        <v>30</v>
      </c>
      <c r="GB32" s="1007">
        <f t="shared" ca="1" si="249"/>
        <v>12328767.123287678</v>
      </c>
      <c r="GC32" s="258">
        <f t="shared" ca="1" si="288"/>
        <v>375205479.4520548</v>
      </c>
      <c r="GD32" s="258"/>
      <c r="GE32" s="197">
        <f t="shared" si="250"/>
        <v>2007</v>
      </c>
      <c r="GF32" s="1006">
        <f t="shared" si="251"/>
        <v>31</v>
      </c>
      <c r="GG32" s="1007">
        <f t="shared" ca="1" si="252"/>
        <v>12739726.027397275</v>
      </c>
      <c r="GH32" s="258">
        <f t="shared" ca="1" si="289"/>
        <v>387945205.47945207</v>
      </c>
      <c r="GI32" s="258"/>
      <c r="GJ32" s="197">
        <f t="shared" si="253"/>
        <v>1976</v>
      </c>
      <c r="GK32" s="1340"/>
      <c r="GL32" s="164"/>
      <c r="GM32" s="164"/>
      <c r="GN32" s="164"/>
    </row>
    <row r="33" spans="1:196" ht="12.75" x14ac:dyDescent="0.2">
      <c r="A33" s="1010">
        <f>'Item list'!A33</f>
        <v>45689</v>
      </c>
      <c r="B33" s="243" t="str">
        <f>'Item list'!B33</f>
        <v>Factory lease (3,300 m²)</v>
      </c>
      <c r="C33" s="243" t="str">
        <f>'Item list'!C33</f>
        <v>Building</v>
      </c>
      <c r="D33" s="989">
        <f>'Item list'!D33</f>
        <v>8640000000</v>
      </c>
      <c r="E33" s="243">
        <f>'Item list'!E33</f>
        <v>3</v>
      </c>
      <c r="F33" s="1004">
        <f>'Item list'!F33</f>
        <v>45689</v>
      </c>
      <c r="G33" s="243" t="str">
        <f>'Item list'!G33</f>
        <v>SLN</v>
      </c>
      <c r="H33" s="1005" t="e">
        <f t="shared" si="144"/>
        <v>#NUM!</v>
      </c>
      <c r="I33" s="243"/>
      <c r="J33" s="243"/>
      <c r="K33" s="243"/>
      <c r="L33" s="197">
        <f t="shared" si="145"/>
        <v>1095</v>
      </c>
      <c r="M33" s="1006">
        <f t="shared" si="146"/>
        <v>0</v>
      </c>
      <c r="N33" s="1007">
        <f t="shared" ca="1" si="147"/>
        <v>0</v>
      </c>
      <c r="O33" s="258">
        <f t="shared" ca="1" si="254"/>
        <v>0</v>
      </c>
      <c r="P33" s="258"/>
      <c r="Q33" s="197">
        <f t="shared" si="148"/>
        <v>1095</v>
      </c>
      <c r="R33" s="1006">
        <f t="shared" si="149"/>
        <v>28</v>
      </c>
      <c r="S33" s="1007">
        <f t="shared" ca="1" si="150"/>
        <v>220931506.84931508</v>
      </c>
      <c r="T33" s="258">
        <f t="shared" ca="1" si="255"/>
        <v>220931506.84931508</v>
      </c>
      <c r="U33" s="258"/>
      <c r="V33" s="197">
        <f t="shared" si="151"/>
        <v>1067</v>
      </c>
      <c r="W33" s="1006">
        <f t="shared" si="152"/>
        <v>31</v>
      </c>
      <c r="X33" s="1007">
        <f t="shared" ca="1" si="153"/>
        <v>244602739.7260274</v>
      </c>
      <c r="Y33" s="258">
        <f t="shared" ca="1" si="256"/>
        <v>465534246.57534248</v>
      </c>
      <c r="Z33" s="258"/>
      <c r="AA33" s="197">
        <f t="shared" si="154"/>
        <v>1036</v>
      </c>
      <c r="AB33" s="1006">
        <f t="shared" si="155"/>
        <v>30</v>
      </c>
      <c r="AC33" s="1007">
        <f t="shared" ca="1" si="156"/>
        <v>236712328.76712328</v>
      </c>
      <c r="AD33" s="258">
        <f t="shared" ca="1" si="257"/>
        <v>702246575.34246576</v>
      </c>
      <c r="AE33" s="258"/>
      <c r="AF33" s="197">
        <f t="shared" si="157"/>
        <v>1006</v>
      </c>
      <c r="AG33" s="1006">
        <f t="shared" si="158"/>
        <v>31</v>
      </c>
      <c r="AH33" s="1007">
        <f t="shared" ca="1" si="159"/>
        <v>244602739.72602737</v>
      </c>
      <c r="AI33" s="258">
        <f t="shared" ca="1" si="258"/>
        <v>946849315.06849313</v>
      </c>
      <c r="AJ33" s="258"/>
      <c r="AK33" s="197">
        <f t="shared" si="160"/>
        <v>975</v>
      </c>
      <c r="AL33" s="1006">
        <f t="shared" si="161"/>
        <v>30</v>
      </c>
      <c r="AM33" s="1007">
        <f t="shared" ca="1" si="162"/>
        <v>236712328.76712346</v>
      </c>
      <c r="AN33" s="258">
        <f t="shared" ca="1" si="259"/>
        <v>1183561643.8356166</v>
      </c>
      <c r="AO33" s="258"/>
      <c r="AP33" s="197">
        <f t="shared" si="163"/>
        <v>945</v>
      </c>
      <c r="AQ33" s="1006">
        <f t="shared" si="164"/>
        <v>31</v>
      </c>
      <c r="AR33" s="1007">
        <f t="shared" ca="1" si="165"/>
        <v>244602739.72602725</v>
      </c>
      <c r="AS33" s="258">
        <f t="shared" ca="1" si="260"/>
        <v>1428164383.5616438</v>
      </c>
      <c r="AT33" s="258"/>
      <c r="AU33" s="197">
        <f t="shared" si="166"/>
        <v>914</v>
      </c>
      <c r="AV33" s="1006">
        <f t="shared" si="167"/>
        <v>31</v>
      </c>
      <c r="AW33" s="1007">
        <f t="shared" ca="1" si="168"/>
        <v>244602739.72602749</v>
      </c>
      <c r="AX33" s="258">
        <f t="shared" ca="1" si="261"/>
        <v>1672767123.2876713</v>
      </c>
      <c r="AY33" s="258"/>
      <c r="AZ33" s="197">
        <f t="shared" si="169"/>
        <v>883</v>
      </c>
      <c r="BA33" s="1006">
        <f t="shared" si="170"/>
        <v>30</v>
      </c>
      <c r="BB33" s="1007">
        <f t="shared" ca="1" si="171"/>
        <v>236712328.76712322</v>
      </c>
      <c r="BC33" s="258">
        <f t="shared" ca="1" si="262"/>
        <v>1909479452.0547945</v>
      </c>
      <c r="BD33" s="258"/>
      <c r="BE33" s="197">
        <f t="shared" si="172"/>
        <v>853</v>
      </c>
      <c r="BF33" s="1006">
        <f t="shared" si="173"/>
        <v>31</v>
      </c>
      <c r="BG33" s="1007">
        <f t="shared" ca="1" si="174"/>
        <v>244602739.72602725</v>
      </c>
      <c r="BH33" s="258">
        <f t="shared" ca="1" si="263"/>
        <v>2154082191.7808218</v>
      </c>
      <c r="BI33" s="258"/>
      <c r="BJ33" s="197">
        <f t="shared" si="175"/>
        <v>822</v>
      </c>
      <c r="BK33" s="1006">
        <f t="shared" si="176"/>
        <v>30</v>
      </c>
      <c r="BL33" s="1007">
        <f t="shared" ca="1" si="177"/>
        <v>236712328.7671237</v>
      </c>
      <c r="BM33" s="258">
        <f t="shared" ca="1" si="264"/>
        <v>2390794520.5479455</v>
      </c>
      <c r="BN33" s="258"/>
      <c r="BO33" s="197">
        <f t="shared" si="178"/>
        <v>792</v>
      </c>
      <c r="BP33" s="1006">
        <f t="shared" si="179"/>
        <v>31</v>
      </c>
      <c r="BQ33" s="1007">
        <f t="shared" ca="1" si="180"/>
        <v>244602739.72602701</v>
      </c>
      <c r="BR33" s="258">
        <f t="shared" ca="1" si="265"/>
        <v>2635397260.2739725</v>
      </c>
      <c r="BS33" s="258"/>
      <c r="BT33" s="197">
        <f t="shared" si="181"/>
        <v>761</v>
      </c>
      <c r="BU33" s="1006">
        <f t="shared" si="182"/>
        <v>31</v>
      </c>
      <c r="BV33" s="1007">
        <f t="shared" ca="1" si="183"/>
        <v>244602739.72602749</v>
      </c>
      <c r="BW33" s="258">
        <f t="shared" ca="1" si="266"/>
        <v>2880000000</v>
      </c>
      <c r="BX33" s="258"/>
      <c r="BY33" s="197">
        <f t="shared" si="184"/>
        <v>730</v>
      </c>
      <c r="BZ33" s="1006">
        <f t="shared" si="185"/>
        <v>28</v>
      </c>
      <c r="CA33" s="1007">
        <f t="shared" ca="1" si="186"/>
        <v>220931506.84931517</v>
      </c>
      <c r="CB33" s="258">
        <f t="shared" ca="1" si="267"/>
        <v>3100931506.8493152</v>
      </c>
      <c r="CC33" s="258"/>
      <c r="CD33" s="197">
        <f t="shared" si="187"/>
        <v>702</v>
      </c>
      <c r="CE33" s="1006">
        <f t="shared" si="188"/>
        <v>31</v>
      </c>
      <c r="CF33" s="1007">
        <f t="shared" ca="1" si="189"/>
        <v>244602739.72602749</v>
      </c>
      <c r="CG33" s="258">
        <f t="shared" ca="1" si="268"/>
        <v>3345534246.5753427</v>
      </c>
      <c r="CH33" s="258"/>
      <c r="CI33" s="197">
        <f t="shared" si="190"/>
        <v>671</v>
      </c>
      <c r="CJ33" s="1006">
        <f t="shared" si="191"/>
        <v>30</v>
      </c>
      <c r="CK33" s="1007">
        <f t="shared" ca="1" si="192"/>
        <v>236712328.76712322</v>
      </c>
      <c r="CL33" s="258">
        <f t="shared" ca="1" si="269"/>
        <v>3582246575.3424659</v>
      </c>
      <c r="CM33" s="258"/>
      <c r="CN33" s="197">
        <f t="shared" si="193"/>
        <v>641</v>
      </c>
      <c r="CO33" s="1006">
        <f t="shared" si="194"/>
        <v>31</v>
      </c>
      <c r="CP33" s="1007">
        <f t="shared" ca="1" si="195"/>
        <v>244602739.72602749</v>
      </c>
      <c r="CQ33" s="258">
        <f t="shared" ca="1" si="270"/>
        <v>3826849315.0684934</v>
      </c>
      <c r="CR33" s="258"/>
      <c r="CS33" s="197">
        <f t="shared" si="196"/>
        <v>610</v>
      </c>
      <c r="CT33" s="1006">
        <f t="shared" si="197"/>
        <v>30</v>
      </c>
      <c r="CU33" s="1007">
        <f t="shared" ca="1" si="198"/>
        <v>236712328.76712322</v>
      </c>
      <c r="CV33" s="258">
        <f t="shared" ca="1" si="271"/>
        <v>4063561643.8356166</v>
      </c>
      <c r="CW33" s="258"/>
      <c r="CX33" s="197">
        <f t="shared" si="199"/>
        <v>580</v>
      </c>
      <c r="CY33" s="1006">
        <f t="shared" si="200"/>
        <v>31</v>
      </c>
      <c r="CZ33" s="1007">
        <f t="shared" ca="1" si="201"/>
        <v>244602739.72602701</v>
      </c>
      <c r="DA33" s="258">
        <f t="shared" ca="1" si="272"/>
        <v>4308164383.5616436</v>
      </c>
      <c r="DB33" s="258"/>
      <c r="DC33" s="197">
        <f t="shared" si="202"/>
        <v>549</v>
      </c>
      <c r="DD33" s="1006">
        <f t="shared" si="203"/>
        <v>31</v>
      </c>
      <c r="DE33" s="1007">
        <f t="shared" ca="1" si="204"/>
        <v>244602739.72602749</v>
      </c>
      <c r="DF33" s="258">
        <f t="shared" ca="1" si="273"/>
        <v>4552767123.2876711</v>
      </c>
      <c r="DG33" s="258"/>
      <c r="DH33" s="197">
        <f t="shared" si="205"/>
        <v>518</v>
      </c>
      <c r="DI33" s="1006">
        <f t="shared" si="206"/>
        <v>30</v>
      </c>
      <c r="DJ33" s="1007">
        <f t="shared" ca="1" si="207"/>
        <v>236712328.76712322</v>
      </c>
      <c r="DK33" s="258">
        <f t="shared" ca="1" si="274"/>
        <v>4789479452.0547943</v>
      </c>
      <c r="DL33" s="258"/>
      <c r="DM33" s="197">
        <f t="shared" si="208"/>
        <v>488</v>
      </c>
      <c r="DN33" s="1006">
        <f t="shared" si="209"/>
        <v>31</v>
      </c>
      <c r="DO33" s="1007">
        <f t="shared" ca="1" si="210"/>
        <v>244602739.72602749</v>
      </c>
      <c r="DP33" s="258">
        <f t="shared" ca="1" si="275"/>
        <v>5034082191.7808218</v>
      </c>
      <c r="DQ33" s="258"/>
      <c r="DR33" s="197">
        <f t="shared" si="211"/>
        <v>457</v>
      </c>
      <c r="DS33" s="1006">
        <f t="shared" si="212"/>
        <v>30</v>
      </c>
      <c r="DT33" s="1007">
        <f t="shared" ca="1" si="213"/>
        <v>236712328.76712322</v>
      </c>
      <c r="DU33" s="258">
        <f t="shared" ca="1" si="276"/>
        <v>5270794520.547945</v>
      </c>
      <c r="DV33" s="258"/>
      <c r="DW33" s="197">
        <f t="shared" si="214"/>
        <v>427</v>
      </c>
      <c r="DX33" s="1006">
        <f t="shared" si="215"/>
        <v>31</v>
      </c>
      <c r="DY33" s="1007">
        <f t="shared" ca="1" si="216"/>
        <v>244602739.72602749</v>
      </c>
      <c r="DZ33" s="258">
        <f t="shared" ca="1" si="277"/>
        <v>5515397260.2739725</v>
      </c>
      <c r="EA33" s="258"/>
      <c r="EB33" s="197">
        <f t="shared" si="217"/>
        <v>396</v>
      </c>
      <c r="EC33" s="1006">
        <f t="shared" si="218"/>
        <v>31</v>
      </c>
      <c r="ED33" s="1007">
        <f t="shared" ca="1" si="219"/>
        <v>244602739.72602749</v>
      </c>
      <c r="EE33" s="258">
        <f t="shared" ca="1" si="278"/>
        <v>5760000000</v>
      </c>
      <c r="EF33" s="258"/>
      <c r="EG33" s="197">
        <f t="shared" si="220"/>
        <v>365</v>
      </c>
      <c r="EH33" s="1006">
        <f t="shared" si="221"/>
        <v>28</v>
      </c>
      <c r="EI33" s="1007">
        <f t="shared" ca="1" si="222"/>
        <v>220931506.84931564</v>
      </c>
      <c r="EJ33" s="258">
        <f t="shared" ca="1" si="279"/>
        <v>5980931506.8493156</v>
      </c>
      <c r="EK33" s="258"/>
      <c r="EL33" s="197">
        <f t="shared" si="223"/>
        <v>337</v>
      </c>
      <c r="EM33" s="1006">
        <f t="shared" si="224"/>
        <v>31</v>
      </c>
      <c r="EN33" s="1007">
        <f t="shared" ca="1" si="225"/>
        <v>244602739.72602749</v>
      </c>
      <c r="EO33" s="258">
        <f t="shared" ca="1" si="280"/>
        <v>6225534246.5753431</v>
      </c>
      <c r="EP33" s="258"/>
      <c r="EQ33" s="197">
        <f t="shared" si="226"/>
        <v>306</v>
      </c>
      <c r="ER33" s="1006">
        <f t="shared" si="227"/>
        <v>30</v>
      </c>
      <c r="ES33" s="1007">
        <f t="shared" ca="1" si="228"/>
        <v>236712328.76712322</v>
      </c>
      <c r="ET33" s="258">
        <f t="shared" ca="1" si="281"/>
        <v>6462246575.3424664</v>
      </c>
      <c r="EU33" s="258"/>
      <c r="EV33" s="197">
        <f t="shared" si="229"/>
        <v>276</v>
      </c>
      <c r="EW33" s="1006">
        <f t="shared" si="230"/>
        <v>31</v>
      </c>
      <c r="EX33" s="1007">
        <f t="shared" ca="1" si="231"/>
        <v>244602739.72602749</v>
      </c>
      <c r="EY33" s="258">
        <f t="shared" ca="1" si="282"/>
        <v>6706849315.0684938</v>
      </c>
      <c r="EZ33" s="258"/>
      <c r="FA33" s="197">
        <f t="shared" si="232"/>
        <v>245</v>
      </c>
      <c r="FB33" s="1006">
        <f t="shared" si="233"/>
        <v>30</v>
      </c>
      <c r="FC33" s="1007">
        <f t="shared" ca="1" si="234"/>
        <v>236712328.76712322</v>
      </c>
      <c r="FD33" s="258">
        <f t="shared" ca="1" si="283"/>
        <v>6943561643.8356171</v>
      </c>
      <c r="FE33" s="258"/>
      <c r="FF33" s="197">
        <f t="shared" si="235"/>
        <v>215</v>
      </c>
      <c r="FG33" s="1006">
        <f t="shared" si="236"/>
        <v>31</v>
      </c>
      <c r="FH33" s="1007">
        <f t="shared" ca="1" si="237"/>
        <v>244602739.72602749</v>
      </c>
      <c r="FI33" s="258">
        <f t="shared" ca="1" si="284"/>
        <v>7188164383.5616446</v>
      </c>
      <c r="FJ33" s="258"/>
      <c r="FK33" s="197">
        <f t="shared" si="238"/>
        <v>184</v>
      </c>
      <c r="FL33" s="1006">
        <f t="shared" si="239"/>
        <v>31</v>
      </c>
      <c r="FM33" s="1007">
        <f t="shared" ca="1" si="240"/>
        <v>244602739.72602654</v>
      </c>
      <c r="FN33" s="258">
        <f t="shared" ca="1" si="285"/>
        <v>7432767123.2876711</v>
      </c>
      <c r="FO33" s="258"/>
      <c r="FP33" s="197">
        <f t="shared" si="241"/>
        <v>153</v>
      </c>
      <c r="FQ33" s="1006">
        <f t="shared" si="242"/>
        <v>30</v>
      </c>
      <c r="FR33" s="1007">
        <f t="shared" ca="1" si="243"/>
        <v>236712328.76712418</v>
      </c>
      <c r="FS33" s="258">
        <f t="shared" ca="1" si="286"/>
        <v>7669479452.0547953</v>
      </c>
      <c r="FT33" s="258"/>
      <c r="FU33" s="197">
        <f t="shared" si="244"/>
        <v>123</v>
      </c>
      <c r="FV33" s="1006">
        <f t="shared" si="245"/>
        <v>31</v>
      </c>
      <c r="FW33" s="1007">
        <f t="shared" ca="1" si="246"/>
        <v>244602739.72602654</v>
      </c>
      <c r="FX33" s="258">
        <f t="shared" ca="1" si="287"/>
        <v>7914082191.7808218</v>
      </c>
      <c r="FY33" s="258"/>
      <c r="FZ33" s="197">
        <f t="shared" si="247"/>
        <v>92</v>
      </c>
      <c r="GA33" s="1006">
        <f t="shared" si="248"/>
        <v>30</v>
      </c>
      <c r="GB33" s="1007">
        <f t="shared" ca="1" si="249"/>
        <v>236712328.76712418</v>
      </c>
      <c r="GC33" s="258">
        <f t="shared" ca="1" si="288"/>
        <v>8150794520.547946</v>
      </c>
      <c r="GD33" s="258"/>
      <c r="GE33" s="197">
        <f t="shared" si="250"/>
        <v>62</v>
      </c>
      <c r="GF33" s="1006">
        <f t="shared" si="251"/>
        <v>31</v>
      </c>
      <c r="GG33" s="1007">
        <f t="shared" ca="1" si="252"/>
        <v>244602739.72602654</v>
      </c>
      <c r="GH33" s="258">
        <f t="shared" ca="1" si="289"/>
        <v>8395397260.2739725</v>
      </c>
      <c r="GI33" s="258"/>
      <c r="GJ33" s="197">
        <f t="shared" si="253"/>
        <v>31</v>
      </c>
      <c r="GK33" s="1340"/>
      <c r="GL33" s="164"/>
      <c r="GM33" s="164"/>
      <c r="GN33" s="164"/>
    </row>
    <row r="34" spans="1:196" ht="12.75" x14ac:dyDescent="0.2">
      <c r="A34" s="1010">
        <f>'Item list'!A34</f>
        <v>45708</v>
      </c>
      <c r="B34" s="243" t="str">
        <f>'Item list'!B34</f>
        <v>Lighting system</v>
      </c>
      <c r="C34" s="243" t="str">
        <f>'Item list'!C34</f>
        <v>Building</v>
      </c>
      <c r="D34" s="989">
        <f>'Item list'!D34</f>
        <v>150000000</v>
      </c>
      <c r="E34" s="243">
        <f>'Item list'!E34</f>
        <v>3</v>
      </c>
      <c r="F34" s="1004">
        <f>'Item list'!F34</f>
        <v>45717</v>
      </c>
      <c r="G34" s="243" t="str">
        <f>'Item list'!G34</f>
        <v>SLN</v>
      </c>
      <c r="H34" s="1005" t="e">
        <f t="shared" si="144"/>
        <v>#NUM!</v>
      </c>
      <c r="I34" s="243"/>
      <c r="J34" s="243"/>
      <c r="K34" s="243"/>
      <c r="L34" s="197">
        <f t="shared" si="145"/>
        <v>1095</v>
      </c>
      <c r="M34" s="1006">
        <f t="shared" si="146"/>
        <v>0</v>
      </c>
      <c r="N34" s="1007">
        <f t="shared" ca="1" si="147"/>
        <v>0</v>
      </c>
      <c r="O34" s="258">
        <f t="shared" ca="1" si="254"/>
        <v>0</v>
      </c>
      <c r="P34" s="258"/>
      <c r="Q34" s="197">
        <f t="shared" si="148"/>
        <v>1095</v>
      </c>
      <c r="R34" s="1006">
        <f t="shared" si="149"/>
        <v>0</v>
      </c>
      <c r="S34" s="1007">
        <f t="shared" ca="1" si="150"/>
        <v>0</v>
      </c>
      <c r="T34" s="258">
        <f t="shared" ca="1" si="255"/>
        <v>0</v>
      </c>
      <c r="U34" s="258"/>
      <c r="V34" s="197">
        <f t="shared" si="151"/>
        <v>1095</v>
      </c>
      <c r="W34" s="1006">
        <f t="shared" si="152"/>
        <v>31</v>
      </c>
      <c r="X34" s="1007">
        <f t="shared" ca="1" si="153"/>
        <v>4246575.3424657537</v>
      </c>
      <c r="Y34" s="258">
        <f t="shared" ca="1" si="256"/>
        <v>4246575.3424657537</v>
      </c>
      <c r="Z34" s="258"/>
      <c r="AA34" s="197">
        <f t="shared" si="154"/>
        <v>1064</v>
      </c>
      <c r="AB34" s="1006">
        <f t="shared" si="155"/>
        <v>30</v>
      </c>
      <c r="AC34" s="1007">
        <f t="shared" ca="1" si="156"/>
        <v>4109589.0410958901</v>
      </c>
      <c r="AD34" s="258">
        <f t="shared" ca="1" si="257"/>
        <v>8356164.3835616438</v>
      </c>
      <c r="AE34" s="258"/>
      <c r="AF34" s="197">
        <f t="shared" si="157"/>
        <v>1034</v>
      </c>
      <c r="AG34" s="1006">
        <f t="shared" si="158"/>
        <v>31</v>
      </c>
      <c r="AH34" s="1007">
        <f t="shared" ca="1" si="159"/>
        <v>4246575.3424657537</v>
      </c>
      <c r="AI34" s="258">
        <f t="shared" ca="1" si="258"/>
        <v>12602739.726027397</v>
      </c>
      <c r="AJ34" s="258"/>
      <c r="AK34" s="197">
        <f t="shared" si="160"/>
        <v>1003</v>
      </c>
      <c r="AL34" s="1006">
        <f t="shared" si="161"/>
        <v>30</v>
      </c>
      <c r="AM34" s="1007">
        <f t="shared" ca="1" si="162"/>
        <v>4109589.0410958901</v>
      </c>
      <c r="AN34" s="258">
        <f t="shared" ca="1" si="259"/>
        <v>16712328.767123288</v>
      </c>
      <c r="AO34" s="258"/>
      <c r="AP34" s="197">
        <f t="shared" si="163"/>
        <v>973</v>
      </c>
      <c r="AQ34" s="1006">
        <f t="shared" si="164"/>
        <v>31</v>
      </c>
      <c r="AR34" s="1007">
        <f t="shared" ca="1" si="165"/>
        <v>4246575.3424657527</v>
      </c>
      <c r="AS34" s="258">
        <f t="shared" ca="1" si="260"/>
        <v>20958904.10958904</v>
      </c>
      <c r="AT34" s="258"/>
      <c r="AU34" s="197">
        <f t="shared" si="166"/>
        <v>942</v>
      </c>
      <c r="AV34" s="1006">
        <f t="shared" si="167"/>
        <v>31</v>
      </c>
      <c r="AW34" s="1007">
        <f t="shared" ca="1" si="168"/>
        <v>4246575.3424657546</v>
      </c>
      <c r="AX34" s="258">
        <f t="shared" ca="1" si="261"/>
        <v>25205479.452054795</v>
      </c>
      <c r="AY34" s="258"/>
      <c r="AZ34" s="197">
        <f t="shared" si="169"/>
        <v>911</v>
      </c>
      <c r="BA34" s="1006">
        <f t="shared" si="170"/>
        <v>30</v>
      </c>
      <c r="BB34" s="1007">
        <f t="shared" ca="1" si="171"/>
        <v>4109589.0410958901</v>
      </c>
      <c r="BC34" s="258">
        <f t="shared" ca="1" si="262"/>
        <v>29315068.493150685</v>
      </c>
      <c r="BD34" s="258"/>
      <c r="BE34" s="197">
        <f t="shared" si="172"/>
        <v>881</v>
      </c>
      <c r="BF34" s="1006">
        <f t="shared" si="173"/>
        <v>31</v>
      </c>
      <c r="BG34" s="1007">
        <f t="shared" ca="1" si="174"/>
        <v>4246575.3424657546</v>
      </c>
      <c r="BH34" s="258">
        <f t="shared" ca="1" si="263"/>
        <v>33561643.83561644</v>
      </c>
      <c r="BI34" s="258"/>
      <c r="BJ34" s="197">
        <f t="shared" si="175"/>
        <v>850</v>
      </c>
      <c r="BK34" s="1006">
        <f t="shared" si="176"/>
        <v>30</v>
      </c>
      <c r="BL34" s="1007">
        <f t="shared" ca="1" si="177"/>
        <v>4109589.0410958901</v>
      </c>
      <c r="BM34" s="258">
        <f t="shared" ca="1" si="264"/>
        <v>37671232.87671233</v>
      </c>
      <c r="BN34" s="258"/>
      <c r="BO34" s="197">
        <f t="shared" si="178"/>
        <v>820</v>
      </c>
      <c r="BP34" s="1006">
        <f t="shared" si="179"/>
        <v>31</v>
      </c>
      <c r="BQ34" s="1007">
        <f t="shared" ca="1" si="180"/>
        <v>4246575.3424657509</v>
      </c>
      <c r="BR34" s="258">
        <f t="shared" ca="1" si="265"/>
        <v>41917808.219178081</v>
      </c>
      <c r="BS34" s="258"/>
      <c r="BT34" s="197">
        <f t="shared" si="181"/>
        <v>789</v>
      </c>
      <c r="BU34" s="1006">
        <f t="shared" si="182"/>
        <v>31</v>
      </c>
      <c r="BV34" s="1007">
        <f t="shared" ca="1" si="183"/>
        <v>4246575.3424657509</v>
      </c>
      <c r="BW34" s="258">
        <f t="shared" ca="1" si="266"/>
        <v>46164383.561643831</v>
      </c>
      <c r="BX34" s="258"/>
      <c r="BY34" s="197">
        <f t="shared" si="184"/>
        <v>758</v>
      </c>
      <c r="BZ34" s="1006">
        <f t="shared" si="185"/>
        <v>28</v>
      </c>
      <c r="CA34" s="1007">
        <f t="shared" ca="1" si="186"/>
        <v>3835616.4383561686</v>
      </c>
      <c r="CB34" s="258">
        <f t="shared" ca="1" si="267"/>
        <v>50000000</v>
      </c>
      <c r="CC34" s="258"/>
      <c r="CD34" s="197">
        <f t="shared" si="187"/>
        <v>730</v>
      </c>
      <c r="CE34" s="1006">
        <f t="shared" si="188"/>
        <v>31</v>
      </c>
      <c r="CF34" s="1007">
        <f t="shared" ca="1" si="189"/>
        <v>4246575.3424657509</v>
      </c>
      <c r="CG34" s="258">
        <f t="shared" ca="1" si="268"/>
        <v>54246575.342465751</v>
      </c>
      <c r="CH34" s="258"/>
      <c r="CI34" s="197">
        <f t="shared" si="190"/>
        <v>699</v>
      </c>
      <c r="CJ34" s="1006">
        <f t="shared" si="191"/>
        <v>30</v>
      </c>
      <c r="CK34" s="1007">
        <f t="shared" ca="1" si="192"/>
        <v>4109589.0410958901</v>
      </c>
      <c r="CL34" s="258">
        <f t="shared" ca="1" si="269"/>
        <v>58356164.383561641</v>
      </c>
      <c r="CM34" s="258"/>
      <c r="CN34" s="197">
        <f t="shared" si="193"/>
        <v>669</v>
      </c>
      <c r="CO34" s="1006">
        <f t="shared" si="194"/>
        <v>31</v>
      </c>
      <c r="CP34" s="1007">
        <f t="shared" ca="1" si="195"/>
        <v>4246575.3424657509</v>
      </c>
      <c r="CQ34" s="258">
        <f t="shared" ca="1" si="270"/>
        <v>62602739.726027392</v>
      </c>
      <c r="CR34" s="258"/>
      <c r="CS34" s="197">
        <f t="shared" si="196"/>
        <v>638</v>
      </c>
      <c r="CT34" s="1006">
        <f t="shared" si="197"/>
        <v>30</v>
      </c>
      <c r="CU34" s="1007">
        <f t="shared" ca="1" si="198"/>
        <v>4109589.0410958901</v>
      </c>
      <c r="CV34" s="258">
        <f t="shared" ca="1" si="271"/>
        <v>66712328.767123282</v>
      </c>
      <c r="CW34" s="258"/>
      <c r="CX34" s="197">
        <f t="shared" si="199"/>
        <v>608</v>
      </c>
      <c r="CY34" s="1006">
        <f t="shared" si="200"/>
        <v>31</v>
      </c>
      <c r="CZ34" s="1007">
        <f t="shared" ca="1" si="201"/>
        <v>4246575.3424657583</v>
      </c>
      <c r="DA34" s="258">
        <f t="shared" ca="1" si="272"/>
        <v>70958904.10958904</v>
      </c>
      <c r="DB34" s="258"/>
      <c r="DC34" s="197">
        <f t="shared" si="202"/>
        <v>577</v>
      </c>
      <c r="DD34" s="1006">
        <f t="shared" si="203"/>
        <v>31</v>
      </c>
      <c r="DE34" s="1007">
        <f t="shared" ca="1" si="204"/>
        <v>4246575.3424657583</v>
      </c>
      <c r="DF34" s="258">
        <f t="shared" ca="1" si="273"/>
        <v>75205479.452054799</v>
      </c>
      <c r="DG34" s="258"/>
      <c r="DH34" s="197">
        <f t="shared" si="205"/>
        <v>546</v>
      </c>
      <c r="DI34" s="1006">
        <f t="shared" si="206"/>
        <v>30</v>
      </c>
      <c r="DJ34" s="1007">
        <f t="shared" ca="1" si="207"/>
        <v>4109589.0410958827</v>
      </c>
      <c r="DK34" s="258">
        <f t="shared" ca="1" si="274"/>
        <v>79315068.493150681</v>
      </c>
      <c r="DL34" s="258"/>
      <c r="DM34" s="197">
        <f t="shared" si="208"/>
        <v>516</v>
      </c>
      <c r="DN34" s="1006">
        <f t="shared" si="209"/>
        <v>31</v>
      </c>
      <c r="DO34" s="1007">
        <f t="shared" ca="1" si="210"/>
        <v>4246575.3424657583</v>
      </c>
      <c r="DP34" s="258">
        <f t="shared" ca="1" si="275"/>
        <v>83561643.83561644</v>
      </c>
      <c r="DQ34" s="258"/>
      <c r="DR34" s="197">
        <f t="shared" si="211"/>
        <v>485</v>
      </c>
      <c r="DS34" s="1006">
        <f t="shared" si="212"/>
        <v>30</v>
      </c>
      <c r="DT34" s="1007">
        <f t="shared" ca="1" si="213"/>
        <v>4109589.0410958827</v>
      </c>
      <c r="DU34" s="258">
        <f t="shared" ca="1" si="276"/>
        <v>87671232.876712322</v>
      </c>
      <c r="DV34" s="258"/>
      <c r="DW34" s="197">
        <f t="shared" si="214"/>
        <v>455</v>
      </c>
      <c r="DX34" s="1006">
        <f t="shared" si="215"/>
        <v>31</v>
      </c>
      <c r="DY34" s="1007">
        <f t="shared" ca="1" si="216"/>
        <v>4246575.3424657583</v>
      </c>
      <c r="DZ34" s="258">
        <f t="shared" ca="1" si="277"/>
        <v>91917808.219178081</v>
      </c>
      <c r="EA34" s="258"/>
      <c r="EB34" s="197">
        <f t="shared" si="217"/>
        <v>424</v>
      </c>
      <c r="EC34" s="1006">
        <f t="shared" si="218"/>
        <v>31</v>
      </c>
      <c r="ED34" s="1007">
        <f t="shared" ca="1" si="219"/>
        <v>4246575.3424657583</v>
      </c>
      <c r="EE34" s="258">
        <f t="shared" ca="1" si="278"/>
        <v>96164383.561643839</v>
      </c>
      <c r="EF34" s="258"/>
      <c r="EG34" s="197">
        <f t="shared" si="220"/>
        <v>393</v>
      </c>
      <c r="EH34" s="1006">
        <f t="shared" si="221"/>
        <v>28</v>
      </c>
      <c r="EI34" s="1007">
        <f t="shared" ca="1" si="222"/>
        <v>3835616.4383561611</v>
      </c>
      <c r="EJ34" s="258">
        <f t="shared" ca="1" si="279"/>
        <v>100000000</v>
      </c>
      <c r="EK34" s="258"/>
      <c r="EL34" s="197">
        <f t="shared" si="223"/>
        <v>365</v>
      </c>
      <c r="EM34" s="1006">
        <f t="shared" si="224"/>
        <v>31</v>
      </c>
      <c r="EN34" s="1007">
        <f t="shared" ca="1" si="225"/>
        <v>4246575.3424657434</v>
      </c>
      <c r="EO34" s="258">
        <f t="shared" ca="1" si="280"/>
        <v>104246575.34246574</v>
      </c>
      <c r="EP34" s="258"/>
      <c r="EQ34" s="197">
        <f t="shared" si="226"/>
        <v>334</v>
      </c>
      <c r="ER34" s="1006">
        <f t="shared" si="227"/>
        <v>30</v>
      </c>
      <c r="ES34" s="1007">
        <f t="shared" ca="1" si="228"/>
        <v>4109589.0410958976</v>
      </c>
      <c r="ET34" s="258">
        <f t="shared" ca="1" si="281"/>
        <v>108356164.38356164</v>
      </c>
      <c r="EU34" s="258"/>
      <c r="EV34" s="197">
        <f t="shared" si="229"/>
        <v>304</v>
      </c>
      <c r="EW34" s="1006">
        <f t="shared" si="230"/>
        <v>31</v>
      </c>
      <c r="EX34" s="1007">
        <f t="shared" ca="1" si="231"/>
        <v>4246575.3424657583</v>
      </c>
      <c r="EY34" s="258">
        <f t="shared" ca="1" si="282"/>
        <v>112602739.7260274</v>
      </c>
      <c r="EZ34" s="258"/>
      <c r="FA34" s="197">
        <f t="shared" si="232"/>
        <v>273</v>
      </c>
      <c r="FB34" s="1006">
        <f t="shared" si="233"/>
        <v>30</v>
      </c>
      <c r="FC34" s="1007">
        <f t="shared" ca="1" si="234"/>
        <v>4109589.0410958827</v>
      </c>
      <c r="FD34" s="258">
        <f t="shared" ca="1" si="283"/>
        <v>116712328.76712328</v>
      </c>
      <c r="FE34" s="258"/>
      <c r="FF34" s="197">
        <f t="shared" si="235"/>
        <v>243</v>
      </c>
      <c r="FG34" s="1006">
        <f t="shared" si="236"/>
        <v>31</v>
      </c>
      <c r="FH34" s="1007">
        <f t="shared" ca="1" si="237"/>
        <v>4246575.3424657583</v>
      </c>
      <c r="FI34" s="258">
        <f t="shared" ca="1" si="284"/>
        <v>120958904.10958904</v>
      </c>
      <c r="FJ34" s="258"/>
      <c r="FK34" s="197">
        <f t="shared" si="238"/>
        <v>212</v>
      </c>
      <c r="FL34" s="1006">
        <f t="shared" si="239"/>
        <v>31</v>
      </c>
      <c r="FM34" s="1007">
        <f t="shared" ca="1" si="240"/>
        <v>4246575.3424657434</v>
      </c>
      <c r="FN34" s="258">
        <f t="shared" ca="1" si="285"/>
        <v>125205479.45205478</v>
      </c>
      <c r="FO34" s="258"/>
      <c r="FP34" s="197">
        <f t="shared" si="241"/>
        <v>181</v>
      </c>
      <c r="FQ34" s="1006">
        <f t="shared" si="242"/>
        <v>30</v>
      </c>
      <c r="FR34" s="1007">
        <f t="shared" ca="1" si="243"/>
        <v>4109589.0410958976</v>
      </c>
      <c r="FS34" s="258">
        <f t="shared" ca="1" si="286"/>
        <v>129315068.49315068</v>
      </c>
      <c r="FT34" s="258"/>
      <c r="FU34" s="197">
        <f t="shared" si="244"/>
        <v>151</v>
      </c>
      <c r="FV34" s="1006">
        <f t="shared" si="245"/>
        <v>31</v>
      </c>
      <c r="FW34" s="1007">
        <f t="shared" ca="1" si="246"/>
        <v>4246575.3424657583</v>
      </c>
      <c r="FX34" s="258">
        <f t="shared" ca="1" si="287"/>
        <v>133561643.83561644</v>
      </c>
      <c r="FY34" s="258"/>
      <c r="FZ34" s="197">
        <f t="shared" si="247"/>
        <v>120</v>
      </c>
      <c r="GA34" s="1006">
        <f t="shared" si="248"/>
        <v>30</v>
      </c>
      <c r="GB34" s="1007">
        <f t="shared" ca="1" si="249"/>
        <v>4109589.0410958827</v>
      </c>
      <c r="GC34" s="258">
        <f t="shared" ca="1" si="288"/>
        <v>137671232.87671232</v>
      </c>
      <c r="GD34" s="258"/>
      <c r="GE34" s="197">
        <f t="shared" si="250"/>
        <v>90</v>
      </c>
      <c r="GF34" s="1006">
        <f t="shared" si="251"/>
        <v>31</v>
      </c>
      <c r="GG34" s="1007">
        <f t="shared" ca="1" si="252"/>
        <v>4246575.3424657583</v>
      </c>
      <c r="GH34" s="258">
        <f t="shared" ca="1" si="289"/>
        <v>141917808.21917808</v>
      </c>
      <c r="GI34" s="258"/>
      <c r="GJ34" s="197">
        <f t="shared" si="253"/>
        <v>59</v>
      </c>
      <c r="GK34" s="1340"/>
      <c r="GL34" s="164"/>
      <c r="GM34" s="164"/>
      <c r="GN34" s="164"/>
    </row>
    <row r="35" spans="1:196" ht="12.75" x14ac:dyDescent="0.2">
      <c r="A35" s="1010">
        <f>'Item list'!A35</f>
        <v>45708</v>
      </c>
      <c r="B35" s="243" t="str">
        <f>'Item list'!B35</f>
        <v>Electrical system</v>
      </c>
      <c r="C35" s="243" t="str">
        <f>'Item list'!C35</f>
        <v>Building</v>
      </c>
      <c r="D35" s="989">
        <f>'Item list'!D35</f>
        <v>150000000</v>
      </c>
      <c r="E35" s="243">
        <f>'Item list'!E35</f>
        <v>3</v>
      </c>
      <c r="F35" s="1004">
        <f>'Item list'!F35</f>
        <v>45717</v>
      </c>
      <c r="G35" s="243" t="str">
        <f>'Item list'!G35</f>
        <v>SLN</v>
      </c>
      <c r="H35" s="1005" t="e">
        <f t="shared" si="144"/>
        <v>#NUM!</v>
      </c>
      <c r="I35" s="243"/>
      <c r="J35" s="243"/>
      <c r="K35" s="243"/>
      <c r="L35" s="197">
        <f t="shared" si="145"/>
        <v>1095</v>
      </c>
      <c r="M35" s="1006">
        <f t="shared" si="146"/>
        <v>0</v>
      </c>
      <c r="N35" s="1007">
        <f t="shared" ca="1" si="147"/>
        <v>0</v>
      </c>
      <c r="O35" s="258">
        <f t="shared" ca="1" si="254"/>
        <v>0</v>
      </c>
      <c r="P35" s="258"/>
      <c r="Q35" s="197">
        <f t="shared" si="148"/>
        <v>1095</v>
      </c>
      <c r="R35" s="1006">
        <f t="shared" si="149"/>
        <v>0</v>
      </c>
      <c r="S35" s="1007">
        <f t="shared" ca="1" si="150"/>
        <v>0</v>
      </c>
      <c r="T35" s="258">
        <f t="shared" ca="1" si="255"/>
        <v>0</v>
      </c>
      <c r="U35" s="258"/>
      <c r="V35" s="197">
        <f t="shared" si="151"/>
        <v>1095</v>
      </c>
      <c r="W35" s="1006">
        <f t="shared" si="152"/>
        <v>31</v>
      </c>
      <c r="X35" s="1007">
        <f t="shared" ca="1" si="153"/>
        <v>4246575.3424657537</v>
      </c>
      <c r="Y35" s="258">
        <f t="shared" ca="1" si="256"/>
        <v>4246575.3424657537</v>
      </c>
      <c r="Z35" s="258"/>
      <c r="AA35" s="197">
        <f t="shared" si="154"/>
        <v>1064</v>
      </c>
      <c r="AB35" s="1006">
        <f t="shared" si="155"/>
        <v>30</v>
      </c>
      <c r="AC35" s="1007">
        <f t="shared" ca="1" si="156"/>
        <v>4109589.0410958901</v>
      </c>
      <c r="AD35" s="258">
        <f t="shared" ca="1" si="257"/>
        <v>8356164.3835616438</v>
      </c>
      <c r="AE35" s="258"/>
      <c r="AF35" s="197">
        <f t="shared" si="157"/>
        <v>1034</v>
      </c>
      <c r="AG35" s="1006">
        <f t="shared" si="158"/>
        <v>31</v>
      </c>
      <c r="AH35" s="1007">
        <f t="shared" ca="1" si="159"/>
        <v>4246575.3424657537</v>
      </c>
      <c r="AI35" s="258">
        <f t="shared" ca="1" si="258"/>
        <v>12602739.726027397</v>
      </c>
      <c r="AJ35" s="258"/>
      <c r="AK35" s="197">
        <f t="shared" si="160"/>
        <v>1003</v>
      </c>
      <c r="AL35" s="1006">
        <f t="shared" si="161"/>
        <v>30</v>
      </c>
      <c r="AM35" s="1007">
        <f t="shared" ca="1" si="162"/>
        <v>4109589.0410958901</v>
      </c>
      <c r="AN35" s="258">
        <f t="shared" ca="1" si="259"/>
        <v>16712328.767123288</v>
      </c>
      <c r="AO35" s="258"/>
      <c r="AP35" s="197">
        <f t="shared" si="163"/>
        <v>973</v>
      </c>
      <c r="AQ35" s="1006">
        <f t="shared" si="164"/>
        <v>31</v>
      </c>
      <c r="AR35" s="1007">
        <f t="shared" ca="1" si="165"/>
        <v>4246575.3424657527</v>
      </c>
      <c r="AS35" s="258">
        <f t="shared" ca="1" si="260"/>
        <v>20958904.10958904</v>
      </c>
      <c r="AT35" s="258"/>
      <c r="AU35" s="197">
        <f t="shared" si="166"/>
        <v>942</v>
      </c>
      <c r="AV35" s="1006">
        <f t="shared" si="167"/>
        <v>31</v>
      </c>
      <c r="AW35" s="1007">
        <f t="shared" ca="1" si="168"/>
        <v>4246575.3424657546</v>
      </c>
      <c r="AX35" s="258">
        <f t="shared" ca="1" si="261"/>
        <v>25205479.452054795</v>
      </c>
      <c r="AY35" s="258"/>
      <c r="AZ35" s="197">
        <f t="shared" si="169"/>
        <v>911</v>
      </c>
      <c r="BA35" s="1006">
        <f t="shared" si="170"/>
        <v>30</v>
      </c>
      <c r="BB35" s="1007">
        <f t="shared" ca="1" si="171"/>
        <v>4109589.0410958901</v>
      </c>
      <c r="BC35" s="258">
        <f t="shared" ca="1" si="262"/>
        <v>29315068.493150685</v>
      </c>
      <c r="BD35" s="258"/>
      <c r="BE35" s="197">
        <f t="shared" si="172"/>
        <v>881</v>
      </c>
      <c r="BF35" s="1006">
        <f t="shared" si="173"/>
        <v>31</v>
      </c>
      <c r="BG35" s="1007">
        <f t="shared" ca="1" si="174"/>
        <v>4246575.3424657546</v>
      </c>
      <c r="BH35" s="258">
        <f t="shared" ca="1" si="263"/>
        <v>33561643.83561644</v>
      </c>
      <c r="BI35" s="258"/>
      <c r="BJ35" s="197">
        <f t="shared" si="175"/>
        <v>850</v>
      </c>
      <c r="BK35" s="1006">
        <f t="shared" si="176"/>
        <v>30</v>
      </c>
      <c r="BL35" s="1007">
        <f t="shared" ca="1" si="177"/>
        <v>4109589.0410958901</v>
      </c>
      <c r="BM35" s="258">
        <f t="shared" ca="1" si="264"/>
        <v>37671232.87671233</v>
      </c>
      <c r="BN35" s="258"/>
      <c r="BO35" s="197">
        <f t="shared" si="178"/>
        <v>820</v>
      </c>
      <c r="BP35" s="1006">
        <f t="shared" si="179"/>
        <v>31</v>
      </c>
      <c r="BQ35" s="1007">
        <f t="shared" ca="1" si="180"/>
        <v>4246575.3424657509</v>
      </c>
      <c r="BR35" s="258">
        <f t="shared" ca="1" si="265"/>
        <v>41917808.219178081</v>
      </c>
      <c r="BS35" s="258"/>
      <c r="BT35" s="197">
        <f t="shared" si="181"/>
        <v>789</v>
      </c>
      <c r="BU35" s="1006">
        <f t="shared" si="182"/>
        <v>31</v>
      </c>
      <c r="BV35" s="1007">
        <f t="shared" ca="1" si="183"/>
        <v>4246575.3424657509</v>
      </c>
      <c r="BW35" s="258">
        <f t="shared" ca="1" si="266"/>
        <v>46164383.561643831</v>
      </c>
      <c r="BX35" s="258"/>
      <c r="BY35" s="197">
        <f t="shared" si="184"/>
        <v>758</v>
      </c>
      <c r="BZ35" s="1006">
        <f t="shared" si="185"/>
        <v>28</v>
      </c>
      <c r="CA35" s="1007">
        <f t="shared" ca="1" si="186"/>
        <v>3835616.4383561686</v>
      </c>
      <c r="CB35" s="258">
        <f t="shared" ca="1" si="267"/>
        <v>50000000</v>
      </c>
      <c r="CC35" s="258"/>
      <c r="CD35" s="197">
        <f t="shared" si="187"/>
        <v>730</v>
      </c>
      <c r="CE35" s="1006">
        <f t="shared" si="188"/>
        <v>31</v>
      </c>
      <c r="CF35" s="1007">
        <f t="shared" ca="1" si="189"/>
        <v>4246575.3424657509</v>
      </c>
      <c r="CG35" s="258">
        <f t="shared" ca="1" si="268"/>
        <v>54246575.342465751</v>
      </c>
      <c r="CH35" s="258"/>
      <c r="CI35" s="197">
        <f t="shared" si="190"/>
        <v>699</v>
      </c>
      <c r="CJ35" s="1006">
        <f t="shared" si="191"/>
        <v>30</v>
      </c>
      <c r="CK35" s="1007">
        <f t="shared" ca="1" si="192"/>
        <v>4109589.0410958901</v>
      </c>
      <c r="CL35" s="258">
        <f t="shared" ca="1" si="269"/>
        <v>58356164.383561641</v>
      </c>
      <c r="CM35" s="258"/>
      <c r="CN35" s="197">
        <f t="shared" si="193"/>
        <v>669</v>
      </c>
      <c r="CO35" s="1006">
        <f t="shared" si="194"/>
        <v>31</v>
      </c>
      <c r="CP35" s="1007">
        <f t="shared" ca="1" si="195"/>
        <v>4246575.3424657509</v>
      </c>
      <c r="CQ35" s="258">
        <f t="shared" ca="1" si="270"/>
        <v>62602739.726027392</v>
      </c>
      <c r="CR35" s="258"/>
      <c r="CS35" s="197">
        <f t="shared" si="196"/>
        <v>638</v>
      </c>
      <c r="CT35" s="1006">
        <f t="shared" si="197"/>
        <v>30</v>
      </c>
      <c r="CU35" s="1007">
        <f t="shared" ca="1" si="198"/>
        <v>4109589.0410958901</v>
      </c>
      <c r="CV35" s="258">
        <f t="shared" ca="1" si="271"/>
        <v>66712328.767123282</v>
      </c>
      <c r="CW35" s="258"/>
      <c r="CX35" s="197">
        <f t="shared" si="199"/>
        <v>608</v>
      </c>
      <c r="CY35" s="1006">
        <f t="shared" si="200"/>
        <v>31</v>
      </c>
      <c r="CZ35" s="1007">
        <f t="shared" ca="1" si="201"/>
        <v>4246575.3424657583</v>
      </c>
      <c r="DA35" s="258">
        <f t="shared" ca="1" si="272"/>
        <v>70958904.10958904</v>
      </c>
      <c r="DB35" s="258"/>
      <c r="DC35" s="197">
        <f t="shared" si="202"/>
        <v>577</v>
      </c>
      <c r="DD35" s="1006">
        <f t="shared" si="203"/>
        <v>31</v>
      </c>
      <c r="DE35" s="1007">
        <f t="shared" ca="1" si="204"/>
        <v>4246575.3424657583</v>
      </c>
      <c r="DF35" s="258">
        <f t="shared" ca="1" si="273"/>
        <v>75205479.452054799</v>
      </c>
      <c r="DG35" s="258"/>
      <c r="DH35" s="197">
        <f t="shared" si="205"/>
        <v>546</v>
      </c>
      <c r="DI35" s="1006">
        <f t="shared" si="206"/>
        <v>30</v>
      </c>
      <c r="DJ35" s="1007">
        <f t="shared" ca="1" si="207"/>
        <v>4109589.0410958827</v>
      </c>
      <c r="DK35" s="258">
        <f t="shared" ca="1" si="274"/>
        <v>79315068.493150681</v>
      </c>
      <c r="DL35" s="258"/>
      <c r="DM35" s="197">
        <f t="shared" si="208"/>
        <v>516</v>
      </c>
      <c r="DN35" s="1006">
        <f t="shared" si="209"/>
        <v>31</v>
      </c>
      <c r="DO35" s="1007">
        <f t="shared" ca="1" si="210"/>
        <v>4246575.3424657583</v>
      </c>
      <c r="DP35" s="258">
        <f t="shared" ca="1" si="275"/>
        <v>83561643.83561644</v>
      </c>
      <c r="DQ35" s="258"/>
      <c r="DR35" s="197">
        <f t="shared" si="211"/>
        <v>485</v>
      </c>
      <c r="DS35" s="1006">
        <f t="shared" si="212"/>
        <v>30</v>
      </c>
      <c r="DT35" s="1007">
        <f t="shared" ca="1" si="213"/>
        <v>4109589.0410958827</v>
      </c>
      <c r="DU35" s="258">
        <f t="shared" ca="1" si="276"/>
        <v>87671232.876712322</v>
      </c>
      <c r="DV35" s="258"/>
      <c r="DW35" s="197">
        <f t="shared" si="214"/>
        <v>455</v>
      </c>
      <c r="DX35" s="1006">
        <f t="shared" si="215"/>
        <v>31</v>
      </c>
      <c r="DY35" s="1007">
        <f t="shared" ca="1" si="216"/>
        <v>4246575.3424657583</v>
      </c>
      <c r="DZ35" s="258">
        <f t="shared" ca="1" si="277"/>
        <v>91917808.219178081</v>
      </c>
      <c r="EA35" s="258"/>
      <c r="EB35" s="197">
        <f t="shared" si="217"/>
        <v>424</v>
      </c>
      <c r="EC35" s="1006">
        <f t="shared" si="218"/>
        <v>31</v>
      </c>
      <c r="ED35" s="1007">
        <f t="shared" ca="1" si="219"/>
        <v>4246575.3424657583</v>
      </c>
      <c r="EE35" s="258">
        <f t="shared" ca="1" si="278"/>
        <v>96164383.561643839</v>
      </c>
      <c r="EF35" s="258"/>
      <c r="EG35" s="197">
        <f t="shared" si="220"/>
        <v>393</v>
      </c>
      <c r="EH35" s="1006">
        <f t="shared" si="221"/>
        <v>28</v>
      </c>
      <c r="EI35" s="1007">
        <f t="shared" ca="1" si="222"/>
        <v>3835616.4383561611</v>
      </c>
      <c r="EJ35" s="258">
        <f t="shared" ca="1" si="279"/>
        <v>100000000</v>
      </c>
      <c r="EK35" s="258"/>
      <c r="EL35" s="197">
        <f t="shared" si="223"/>
        <v>365</v>
      </c>
      <c r="EM35" s="1006">
        <f t="shared" si="224"/>
        <v>31</v>
      </c>
      <c r="EN35" s="1007">
        <f t="shared" ca="1" si="225"/>
        <v>4246575.3424657434</v>
      </c>
      <c r="EO35" s="258">
        <f t="shared" ca="1" si="280"/>
        <v>104246575.34246574</v>
      </c>
      <c r="EP35" s="258"/>
      <c r="EQ35" s="197">
        <f t="shared" si="226"/>
        <v>334</v>
      </c>
      <c r="ER35" s="1006">
        <f t="shared" si="227"/>
        <v>30</v>
      </c>
      <c r="ES35" s="1007">
        <f t="shared" ca="1" si="228"/>
        <v>4109589.0410958976</v>
      </c>
      <c r="ET35" s="258">
        <f t="shared" ca="1" si="281"/>
        <v>108356164.38356164</v>
      </c>
      <c r="EU35" s="258"/>
      <c r="EV35" s="197">
        <f t="shared" si="229"/>
        <v>304</v>
      </c>
      <c r="EW35" s="1006">
        <f t="shared" si="230"/>
        <v>31</v>
      </c>
      <c r="EX35" s="1007">
        <f t="shared" ca="1" si="231"/>
        <v>4246575.3424657583</v>
      </c>
      <c r="EY35" s="258">
        <f t="shared" ca="1" si="282"/>
        <v>112602739.7260274</v>
      </c>
      <c r="EZ35" s="258"/>
      <c r="FA35" s="197">
        <f t="shared" si="232"/>
        <v>273</v>
      </c>
      <c r="FB35" s="1006">
        <f t="shared" si="233"/>
        <v>30</v>
      </c>
      <c r="FC35" s="1007">
        <f t="shared" ca="1" si="234"/>
        <v>4109589.0410958827</v>
      </c>
      <c r="FD35" s="258">
        <f t="shared" ca="1" si="283"/>
        <v>116712328.76712328</v>
      </c>
      <c r="FE35" s="258"/>
      <c r="FF35" s="197">
        <f t="shared" si="235"/>
        <v>243</v>
      </c>
      <c r="FG35" s="1006">
        <f t="shared" si="236"/>
        <v>31</v>
      </c>
      <c r="FH35" s="1007">
        <f t="shared" ca="1" si="237"/>
        <v>4246575.3424657583</v>
      </c>
      <c r="FI35" s="258">
        <f t="shared" ca="1" si="284"/>
        <v>120958904.10958904</v>
      </c>
      <c r="FJ35" s="258"/>
      <c r="FK35" s="197">
        <f t="shared" si="238"/>
        <v>212</v>
      </c>
      <c r="FL35" s="1006">
        <f t="shared" si="239"/>
        <v>31</v>
      </c>
      <c r="FM35" s="1007">
        <f t="shared" ca="1" si="240"/>
        <v>4246575.3424657434</v>
      </c>
      <c r="FN35" s="258">
        <f t="shared" ca="1" si="285"/>
        <v>125205479.45205478</v>
      </c>
      <c r="FO35" s="258"/>
      <c r="FP35" s="197">
        <f t="shared" si="241"/>
        <v>181</v>
      </c>
      <c r="FQ35" s="1006">
        <f t="shared" si="242"/>
        <v>30</v>
      </c>
      <c r="FR35" s="1007">
        <f t="shared" ca="1" si="243"/>
        <v>4109589.0410958976</v>
      </c>
      <c r="FS35" s="258">
        <f t="shared" ca="1" si="286"/>
        <v>129315068.49315068</v>
      </c>
      <c r="FT35" s="258"/>
      <c r="FU35" s="197">
        <f t="shared" si="244"/>
        <v>151</v>
      </c>
      <c r="FV35" s="1006">
        <f t="shared" si="245"/>
        <v>31</v>
      </c>
      <c r="FW35" s="1007">
        <f t="shared" ca="1" si="246"/>
        <v>4246575.3424657583</v>
      </c>
      <c r="FX35" s="258">
        <f t="shared" ca="1" si="287"/>
        <v>133561643.83561644</v>
      </c>
      <c r="FY35" s="258"/>
      <c r="FZ35" s="197">
        <f t="shared" si="247"/>
        <v>120</v>
      </c>
      <c r="GA35" s="1006">
        <f t="shared" si="248"/>
        <v>30</v>
      </c>
      <c r="GB35" s="1007">
        <f t="shared" ca="1" si="249"/>
        <v>4109589.0410958827</v>
      </c>
      <c r="GC35" s="258">
        <f t="shared" ca="1" si="288"/>
        <v>137671232.87671232</v>
      </c>
      <c r="GD35" s="258"/>
      <c r="GE35" s="197">
        <f t="shared" si="250"/>
        <v>90</v>
      </c>
      <c r="GF35" s="1006">
        <f t="shared" si="251"/>
        <v>31</v>
      </c>
      <c r="GG35" s="1007">
        <f t="shared" ca="1" si="252"/>
        <v>4246575.3424657583</v>
      </c>
      <c r="GH35" s="258">
        <f t="shared" ca="1" si="289"/>
        <v>141917808.21917808</v>
      </c>
      <c r="GI35" s="258"/>
      <c r="GJ35" s="197">
        <f t="shared" si="253"/>
        <v>59</v>
      </c>
      <c r="GK35" s="1340"/>
      <c r="GL35" s="164"/>
      <c r="GM35" s="164"/>
      <c r="GN35" s="164"/>
    </row>
    <row r="36" spans="1:196" ht="12.75" x14ac:dyDescent="0.2">
      <c r="A36" s="1010">
        <f>'Item list'!A36</f>
        <v>45708</v>
      </c>
      <c r="B36" s="243" t="str">
        <f>'Item list'!B36</f>
        <v>Security alarm system (CCTV cameras)</v>
      </c>
      <c r="C36" s="243" t="str">
        <f>'Item list'!C36</f>
        <v>Building</v>
      </c>
      <c r="D36" s="989">
        <f>'Item list'!D36</f>
        <v>90000000</v>
      </c>
      <c r="E36" s="243">
        <f>'Item list'!E36</f>
        <v>5</v>
      </c>
      <c r="F36" s="1004">
        <f>'Item list'!F36</f>
        <v>45717</v>
      </c>
      <c r="G36" s="243" t="str">
        <f>'Item list'!G36</f>
        <v>SLN</v>
      </c>
      <c r="H36" s="1005" t="e">
        <f t="shared" si="144"/>
        <v>#NUM!</v>
      </c>
      <c r="I36" s="243"/>
      <c r="J36" s="243"/>
      <c r="K36" s="243"/>
      <c r="L36" s="197">
        <f t="shared" si="145"/>
        <v>1825</v>
      </c>
      <c r="M36" s="1006">
        <f t="shared" si="146"/>
        <v>0</v>
      </c>
      <c r="N36" s="1007">
        <f t="shared" ca="1" si="147"/>
        <v>0</v>
      </c>
      <c r="O36" s="258">
        <f t="shared" ca="1" si="254"/>
        <v>0</v>
      </c>
      <c r="P36" s="258"/>
      <c r="Q36" s="197">
        <f t="shared" si="148"/>
        <v>1825</v>
      </c>
      <c r="R36" s="1006">
        <f t="shared" si="149"/>
        <v>0</v>
      </c>
      <c r="S36" s="1007">
        <f t="shared" ca="1" si="150"/>
        <v>0</v>
      </c>
      <c r="T36" s="258">
        <f t="shared" ca="1" si="255"/>
        <v>0</v>
      </c>
      <c r="U36" s="258"/>
      <c r="V36" s="197">
        <f t="shared" si="151"/>
        <v>1825</v>
      </c>
      <c r="W36" s="1006">
        <f t="shared" si="152"/>
        <v>31</v>
      </c>
      <c r="X36" s="1007">
        <f t="shared" ca="1" si="153"/>
        <v>1528767.1232876712</v>
      </c>
      <c r="Y36" s="258">
        <f t="shared" ca="1" si="256"/>
        <v>1528767.1232876712</v>
      </c>
      <c r="Z36" s="258"/>
      <c r="AA36" s="197">
        <f t="shared" si="154"/>
        <v>1794</v>
      </c>
      <c r="AB36" s="1006">
        <f t="shared" si="155"/>
        <v>30</v>
      </c>
      <c r="AC36" s="1007">
        <f t="shared" ca="1" si="156"/>
        <v>1479452.0547945206</v>
      </c>
      <c r="AD36" s="258">
        <f t="shared" ca="1" si="257"/>
        <v>3008219.1780821919</v>
      </c>
      <c r="AE36" s="258"/>
      <c r="AF36" s="197">
        <f t="shared" si="157"/>
        <v>1764</v>
      </c>
      <c r="AG36" s="1006">
        <f t="shared" si="158"/>
        <v>31</v>
      </c>
      <c r="AH36" s="1007">
        <f t="shared" ca="1" si="159"/>
        <v>1528767.1232876708</v>
      </c>
      <c r="AI36" s="258">
        <f t="shared" ca="1" si="258"/>
        <v>4536986.3013698626</v>
      </c>
      <c r="AJ36" s="258"/>
      <c r="AK36" s="197">
        <f t="shared" si="160"/>
        <v>1733</v>
      </c>
      <c r="AL36" s="1006">
        <f t="shared" si="161"/>
        <v>30</v>
      </c>
      <c r="AM36" s="1007">
        <f t="shared" ca="1" si="162"/>
        <v>1479452.0547945211</v>
      </c>
      <c r="AN36" s="258">
        <f t="shared" ca="1" si="259"/>
        <v>6016438.3561643837</v>
      </c>
      <c r="AO36" s="258"/>
      <c r="AP36" s="197">
        <f t="shared" si="163"/>
        <v>1703</v>
      </c>
      <c r="AQ36" s="1006">
        <f t="shared" si="164"/>
        <v>31</v>
      </c>
      <c r="AR36" s="1007">
        <f t="shared" ca="1" si="165"/>
        <v>1528767.1232876712</v>
      </c>
      <c r="AS36" s="258">
        <f t="shared" ca="1" si="260"/>
        <v>7545205.4794520549</v>
      </c>
      <c r="AT36" s="258"/>
      <c r="AU36" s="197">
        <f t="shared" si="166"/>
        <v>1672</v>
      </c>
      <c r="AV36" s="1006">
        <f t="shared" si="167"/>
        <v>31</v>
      </c>
      <c r="AW36" s="1007">
        <f t="shared" ca="1" si="168"/>
        <v>1528767.1232876703</v>
      </c>
      <c r="AX36" s="258">
        <f t="shared" ca="1" si="261"/>
        <v>9073972.6027397253</v>
      </c>
      <c r="AY36" s="258"/>
      <c r="AZ36" s="197">
        <f t="shared" si="169"/>
        <v>1641</v>
      </c>
      <c r="BA36" s="1006">
        <f t="shared" si="170"/>
        <v>30</v>
      </c>
      <c r="BB36" s="1007">
        <f t="shared" ca="1" si="171"/>
        <v>1479452.054794522</v>
      </c>
      <c r="BC36" s="258">
        <f t="shared" ca="1" si="262"/>
        <v>10553424.657534247</v>
      </c>
      <c r="BD36" s="258"/>
      <c r="BE36" s="197">
        <f t="shared" si="172"/>
        <v>1611</v>
      </c>
      <c r="BF36" s="1006">
        <f t="shared" si="173"/>
        <v>31</v>
      </c>
      <c r="BG36" s="1007">
        <f t="shared" ca="1" si="174"/>
        <v>1528767.1232876703</v>
      </c>
      <c r="BH36" s="258">
        <f t="shared" ca="1" si="263"/>
        <v>12082191.780821918</v>
      </c>
      <c r="BI36" s="258"/>
      <c r="BJ36" s="197">
        <f t="shared" si="175"/>
        <v>1580</v>
      </c>
      <c r="BK36" s="1006">
        <f t="shared" si="176"/>
        <v>30</v>
      </c>
      <c r="BL36" s="1007">
        <f t="shared" ca="1" si="177"/>
        <v>1479452.0547945201</v>
      </c>
      <c r="BM36" s="258">
        <f t="shared" ca="1" si="264"/>
        <v>13561643.835616438</v>
      </c>
      <c r="BN36" s="258"/>
      <c r="BO36" s="197">
        <f t="shared" si="178"/>
        <v>1550</v>
      </c>
      <c r="BP36" s="1006">
        <f t="shared" si="179"/>
        <v>31</v>
      </c>
      <c r="BQ36" s="1007">
        <f t="shared" ca="1" si="180"/>
        <v>1528767.1232876722</v>
      </c>
      <c r="BR36" s="258">
        <f t="shared" ca="1" si="265"/>
        <v>15090410.95890411</v>
      </c>
      <c r="BS36" s="258"/>
      <c r="BT36" s="197">
        <f t="shared" si="181"/>
        <v>1519</v>
      </c>
      <c r="BU36" s="1006">
        <f t="shared" si="182"/>
        <v>31</v>
      </c>
      <c r="BV36" s="1007">
        <f t="shared" ca="1" si="183"/>
        <v>1528767.1232876703</v>
      </c>
      <c r="BW36" s="258">
        <f t="shared" ca="1" si="266"/>
        <v>16619178.08219178</v>
      </c>
      <c r="BX36" s="258"/>
      <c r="BY36" s="197">
        <f t="shared" si="184"/>
        <v>1488</v>
      </c>
      <c r="BZ36" s="1006">
        <f t="shared" si="185"/>
        <v>28</v>
      </c>
      <c r="CA36" s="1007">
        <f t="shared" ca="1" si="186"/>
        <v>1380821.9178082198</v>
      </c>
      <c r="CB36" s="258">
        <f t="shared" ca="1" si="267"/>
        <v>18000000</v>
      </c>
      <c r="CC36" s="258"/>
      <c r="CD36" s="197">
        <f t="shared" si="187"/>
        <v>1460</v>
      </c>
      <c r="CE36" s="1006">
        <f t="shared" si="188"/>
        <v>31</v>
      </c>
      <c r="CF36" s="1007">
        <f t="shared" ca="1" si="189"/>
        <v>1528767.1232876703</v>
      </c>
      <c r="CG36" s="258">
        <f t="shared" ca="1" si="268"/>
        <v>19528767.12328767</v>
      </c>
      <c r="CH36" s="258"/>
      <c r="CI36" s="197">
        <f t="shared" si="190"/>
        <v>1429</v>
      </c>
      <c r="CJ36" s="1006">
        <f t="shared" si="191"/>
        <v>30</v>
      </c>
      <c r="CK36" s="1007">
        <f t="shared" ca="1" si="192"/>
        <v>1479452.0547945201</v>
      </c>
      <c r="CL36" s="258">
        <f t="shared" ca="1" si="269"/>
        <v>21008219.17808219</v>
      </c>
      <c r="CM36" s="258"/>
      <c r="CN36" s="197">
        <f t="shared" si="193"/>
        <v>1399</v>
      </c>
      <c r="CO36" s="1006">
        <f t="shared" si="194"/>
        <v>31</v>
      </c>
      <c r="CP36" s="1007">
        <f t="shared" ca="1" si="195"/>
        <v>1528767.1232876703</v>
      </c>
      <c r="CQ36" s="258">
        <f t="shared" ca="1" si="270"/>
        <v>22536986.301369861</v>
      </c>
      <c r="CR36" s="258"/>
      <c r="CS36" s="197">
        <f t="shared" si="196"/>
        <v>1368</v>
      </c>
      <c r="CT36" s="1006">
        <f t="shared" si="197"/>
        <v>30</v>
      </c>
      <c r="CU36" s="1007">
        <f t="shared" ca="1" si="198"/>
        <v>1479452.0547945239</v>
      </c>
      <c r="CV36" s="258">
        <f t="shared" ca="1" si="271"/>
        <v>24016438.356164385</v>
      </c>
      <c r="CW36" s="258"/>
      <c r="CX36" s="197">
        <f t="shared" si="199"/>
        <v>1338</v>
      </c>
      <c r="CY36" s="1006">
        <f t="shared" si="200"/>
        <v>31</v>
      </c>
      <c r="CZ36" s="1007">
        <f t="shared" ca="1" si="201"/>
        <v>1528767.1232876703</v>
      </c>
      <c r="DA36" s="258">
        <f t="shared" ca="1" si="272"/>
        <v>25545205.479452055</v>
      </c>
      <c r="DB36" s="258"/>
      <c r="DC36" s="197">
        <f t="shared" si="202"/>
        <v>1307</v>
      </c>
      <c r="DD36" s="1006">
        <f t="shared" si="203"/>
        <v>31</v>
      </c>
      <c r="DE36" s="1007">
        <f t="shared" ca="1" si="204"/>
        <v>1528767.1232876703</v>
      </c>
      <c r="DF36" s="258">
        <f t="shared" ca="1" si="273"/>
        <v>27073972.602739725</v>
      </c>
      <c r="DG36" s="258"/>
      <c r="DH36" s="197">
        <f t="shared" si="205"/>
        <v>1276</v>
      </c>
      <c r="DI36" s="1006">
        <f t="shared" si="206"/>
        <v>30</v>
      </c>
      <c r="DJ36" s="1007">
        <f t="shared" ca="1" si="207"/>
        <v>1479452.0547945201</v>
      </c>
      <c r="DK36" s="258">
        <f t="shared" ca="1" si="274"/>
        <v>28553424.657534245</v>
      </c>
      <c r="DL36" s="258"/>
      <c r="DM36" s="197">
        <f t="shared" si="208"/>
        <v>1246</v>
      </c>
      <c r="DN36" s="1006">
        <f t="shared" si="209"/>
        <v>31</v>
      </c>
      <c r="DO36" s="1007">
        <f t="shared" ca="1" si="210"/>
        <v>1528767.1232876703</v>
      </c>
      <c r="DP36" s="258">
        <f t="shared" ca="1" si="275"/>
        <v>30082191.780821916</v>
      </c>
      <c r="DQ36" s="258"/>
      <c r="DR36" s="197">
        <f t="shared" si="211"/>
        <v>1215</v>
      </c>
      <c r="DS36" s="1006">
        <f t="shared" si="212"/>
        <v>30</v>
      </c>
      <c r="DT36" s="1007">
        <f t="shared" ca="1" si="213"/>
        <v>1479452.0547945239</v>
      </c>
      <c r="DU36" s="258">
        <f t="shared" ca="1" si="276"/>
        <v>31561643.83561644</v>
      </c>
      <c r="DV36" s="258"/>
      <c r="DW36" s="197">
        <f t="shared" si="214"/>
        <v>1185</v>
      </c>
      <c r="DX36" s="1006">
        <f t="shared" si="215"/>
        <v>31</v>
      </c>
      <c r="DY36" s="1007">
        <f t="shared" ca="1" si="216"/>
        <v>1528767.1232876703</v>
      </c>
      <c r="DZ36" s="258">
        <f t="shared" ca="1" si="277"/>
        <v>33090410.95890411</v>
      </c>
      <c r="EA36" s="258"/>
      <c r="EB36" s="197">
        <f t="shared" si="217"/>
        <v>1154</v>
      </c>
      <c r="EC36" s="1006">
        <f t="shared" si="218"/>
        <v>31</v>
      </c>
      <c r="ED36" s="1007">
        <f t="shared" ca="1" si="219"/>
        <v>1528767.1232876703</v>
      </c>
      <c r="EE36" s="258">
        <f t="shared" ca="1" si="278"/>
        <v>34619178.08219178</v>
      </c>
      <c r="EF36" s="258"/>
      <c r="EG36" s="197">
        <f t="shared" si="220"/>
        <v>1123</v>
      </c>
      <c r="EH36" s="1006">
        <f t="shared" si="221"/>
        <v>28</v>
      </c>
      <c r="EI36" s="1007">
        <f t="shared" ca="1" si="222"/>
        <v>1380821.9178082198</v>
      </c>
      <c r="EJ36" s="258">
        <f t="shared" ca="1" si="279"/>
        <v>36000000</v>
      </c>
      <c r="EK36" s="258"/>
      <c r="EL36" s="197">
        <f t="shared" si="223"/>
        <v>1095</v>
      </c>
      <c r="EM36" s="1006">
        <f t="shared" si="224"/>
        <v>31</v>
      </c>
      <c r="EN36" s="1007">
        <f t="shared" ca="1" si="225"/>
        <v>1528767.1232876703</v>
      </c>
      <c r="EO36" s="258">
        <f t="shared" ca="1" si="280"/>
        <v>37528767.12328767</v>
      </c>
      <c r="EP36" s="258"/>
      <c r="EQ36" s="197">
        <f t="shared" si="226"/>
        <v>1064</v>
      </c>
      <c r="ER36" s="1006">
        <f t="shared" si="227"/>
        <v>30</v>
      </c>
      <c r="ES36" s="1007">
        <f t="shared" ca="1" si="228"/>
        <v>1479452.0547945201</v>
      </c>
      <c r="ET36" s="258">
        <f t="shared" ca="1" si="281"/>
        <v>39008219.17808219</v>
      </c>
      <c r="EU36" s="258"/>
      <c r="EV36" s="197">
        <f t="shared" si="229"/>
        <v>1034</v>
      </c>
      <c r="EW36" s="1006">
        <f t="shared" si="230"/>
        <v>31</v>
      </c>
      <c r="EX36" s="1007">
        <f t="shared" ca="1" si="231"/>
        <v>1528767.1232876703</v>
      </c>
      <c r="EY36" s="258">
        <f t="shared" ca="1" si="282"/>
        <v>40536986.301369861</v>
      </c>
      <c r="EZ36" s="258"/>
      <c r="FA36" s="197">
        <f t="shared" si="232"/>
        <v>1003</v>
      </c>
      <c r="FB36" s="1006">
        <f t="shared" si="233"/>
        <v>30</v>
      </c>
      <c r="FC36" s="1007">
        <f t="shared" ca="1" si="234"/>
        <v>1479452.0547945201</v>
      </c>
      <c r="FD36" s="258">
        <f t="shared" ca="1" si="283"/>
        <v>42016438.356164381</v>
      </c>
      <c r="FE36" s="258"/>
      <c r="FF36" s="197">
        <f t="shared" si="235"/>
        <v>973</v>
      </c>
      <c r="FG36" s="1006">
        <f t="shared" si="236"/>
        <v>31</v>
      </c>
      <c r="FH36" s="1007">
        <f t="shared" ca="1" si="237"/>
        <v>1528767.1232876703</v>
      </c>
      <c r="FI36" s="258">
        <f t="shared" ca="1" si="284"/>
        <v>43545205.479452051</v>
      </c>
      <c r="FJ36" s="258"/>
      <c r="FK36" s="197">
        <f t="shared" si="238"/>
        <v>942</v>
      </c>
      <c r="FL36" s="1006">
        <f t="shared" si="239"/>
        <v>31</v>
      </c>
      <c r="FM36" s="1007">
        <f t="shared" ca="1" si="240"/>
        <v>1528767.1232876703</v>
      </c>
      <c r="FN36" s="258">
        <f t="shared" ca="1" si="285"/>
        <v>45073972.602739722</v>
      </c>
      <c r="FO36" s="258"/>
      <c r="FP36" s="197">
        <f t="shared" si="241"/>
        <v>911</v>
      </c>
      <c r="FQ36" s="1006">
        <f t="shared" si="242"/>
        <v>30</v>
      </c>
      <c r="FR36" s="1007">
        <f t="shared" ca="1" si="243"/>
        <v>1479452.0547945276</v>
      </c>
      <c r="FS36" s="258">
        <f t="shared" ca="1" si="286"/>
        <v>46553424.657534249</v>
      </c>
      <c r="FT36" s="258"/>
      <c r="FU36" s="197">
        <f t="shared" si="244"/>
        <v>881</v>
      </c>
      <c r="FV36" s="1006">
        <f t="shared" si="245"/>
        <v>31</v>
      </c>
      <c r="FW36" s="1007">
        <f t="shared" ca="1" si="246"/>
        <v>1528767.1232876703</v>
      </c>
      <c r="FX36" s="258">
        <f t="shared" ca="1" si="287"/>
        <v>48082191.780821919</v>
      </c>
      <c r="FY36" s="258"/>
      <c r="FZ36" s="197">
        <f t="shared" si="247"/>
        <v>850</v>
      </c>
      <c r="GA36" s="1006">
        <f t="shared" si="248"/>
        <v>30</v>
      </c>
      <c r="GB36" s="1007">
        <f t="shared" ca="1" si="249"/>
        <v>1479452.0547945201</v>
      </c>
      <c r="GC36" s="258">
        <f t="shared" ca="1" si="288"/>
        <v>49561643.83561644</v>
      </c>
      <c r="GD36" s="258"/>
      <c r="GE36" s="197">
        <f t="shared" si="250"/>
        <v>820</v>
      </c>
      <c r="GF36" s="1006">
        <f t="shared" si="251"/>
        <v>31</v>
      </c>
      <c r="GG36" s="1007">
        <f t="shared" ca="1" si="252"/>
        <v>1528767.1232876703</v>
      </c>
      <c r="GH36" s="258">
        <f t="shared" ca="1" si="289"/>
        <v>51090410.95890411</v>
      </c>
      <c r="GI36" s="258"/>
      <c r="GJ36" s="197">
        <f t="shared" si="253"/>
        <v>789</v>
      </c>
      <c r="GK36" s="1340"/>
      <c r="GL36" s="164"/>
      <c r="GM36" s="164"/>
      <c r="GN36" s="164"/>
    </row>
    <row r="37" spans="1:196" ht="12.75" x14ac:dyDescent="0.2">
      <c r="A37" s="1010">
        <f>'Item list'!A37</f>
        <v>45713</v>
      </c>
      <c r="B37" s="243" t="str">
        <f>'Item list'!B37</f>
        <v xml:space="preserve">Printer &amp; Scanner (Multi-function)        </v>
      </c>
      <c r="C37" s="243" t="str">
        <f>'Item list'!C37</f>
        <v>Office Equipment</v>
      </c>
      <c r="D37" s="989">
        <f>'Item list'!D37</f>
        <v>35000000</v>
      </c>
      <c r="E37" s="243">
        <f>'Item list'!E37</f>
        <v>5</v>
      </c>
      <c r="F37" s="1004">
        <f>'Item list'!F37</f>
        <v>45717</v>
      </c>
      <c r="G37" s="243" t="str">
        <f>'Item list'!G37</f>
        <v>SLN</v>
      </c>
      <c r="H37" s="1005" t="e">
        <f t="shared" si="144"/>
        <v>#NUM!</v>
      </c>
      <c r="I37" s="243"/>
      <c r="J37" s="243"/>
      <c r="K37" s="243"/>
      <c r="L37" s="197">
        <f t="shared" si="145"/>
        <v>1825</v>
      </c>
      <c r="M37" s="1006">
        <f t="shared" si="146"/>
        <v>0</v>
      </c>
      <c r="N37" s="1007">
        <f t="shared" ca="1" si="147"/>
        <v>0</v>
      </c>
      <c r="O37" s="258">
        <f t="shared" ca="1" si="254"/>
        <v>0</v>
      </c>
      <c r="P37" s="258"/>
      <c r="Q37" s="197">
        <f t="shared" si="148"/>
        <v>1825</v>
      </c>
      <c r="R37" s="1006">
        <f t="shared" si="149"/>
        <v>0</v>
      </c>
      <c r="S37" s="1007">
        <f t="shared" ca="1" si="150"/>
        <v>0</v>
      </c>
      <c r="T37" s="258">
        <f t="shared" ca="1" si="255"/>
        <v>0</v>
      </c>
      <c r="U37" s="258"/>
      <c r="V37" s="197">
        <f t="shared" si="151"/>
        <v>1825</v>
      </c>
      <c r="W37" s="1006">
        <f t="shared" si="152"/>
        <v>31</v>
      </c>
      <c r="X37" s="1007">
        <f t="shared" ca="1" si="153"/>
        <v>594520.54794520547</v>
      </c>
      <c r="Y37" s="258">
        <f t="shared" ca="1" si="256"/>
        <v>594520.54794520547</v>
      </c>
      <c r="Z37" s="258"/>
      <c r="AA37" s="197">
        <f t="shared" si="154"/>
        <v>1794</v>
      </c>
      <c r="AB37" s="1006">
        <f t="shared" si="155"/>
        <v>30</v>
      </c>
      <c r="AC37" s="1007">
        <f t="shared" ca="1" si="156"/>
        <v>575342.46575342456</v>
      </c>
      <c r="AD37" s="258">
        <f t="shared" ca="1" si="257"/>
        <v>1169863.01369863</v>
      </c>
      <c r="AE37" s="258"/>
      <c r="AF37" s="197">
        <f t="shared" si="157"/>
        <v>1764</v>
      </c>
      <c r="AG37" s="1006">
        <f t="shared" si="158"/>
        <v>31</v>
      </c>
      <c r="AH37" s="1007">
        <f t="shared" ca="1" si="159"/>
        <v>594520.54794520559</v>
      </c>
      <c r="AI37" s="258">
        <f t="shared" ca="1" si="258"/>
        <v>1764383.5616438356</v>
      </c>
      <c r="AJ37" s="258"/>
      <c r="AK37" s="197">
        <f t="shared" si="160"/>
        <v>1733</v>
      </c>
      <c r="AL37" s="1006">
        <f t="shared" si="161"/>
        <v>30</v>
      </c>
      <c r="AM37" s="1007">
        <f t="shared" ca="1" si="162"/>
        <v>575342.46575342445</v>
      </c>
      <c r="AN37" s="258">
        <f t="shared" ca="1" si="259"/>
        <v>2339726.0273972601</v>
      </c>
      <c r="AO37" s="258"/>
      <c r="AP37" s="197">
        <f t="shared" si="163"/>
        <v>1703</v>
      </c>
      <c r="AQ37" s="1006">
        <f t="shared" si="164"/>
        <v>31</v>
      </c>
      <c r="AR37" s="1007">
        <f t="shared" ca="1" si="165"/>
        <v>594520.54794520559</v>
      </c>
      <c r="AS37" s="258">
        <f t="shared" ca="1" si="260"/>
        <v>2934246.5753424657</v>
      </c>
      <c r="AT37" s="258"/>
      <c r="AU37" s="197">
        <f t="shared" si="166"/>
        <v>1672</v>
      </c>
      <c r="AV37" s="1006">
        <f t="shared" si="167"/>
        <v>31</v>
      </c>
      <c r="AW37" s="1007">
        <f t="shared" ca="1" si="168"/>
        <v>594520.54794520559</v>
      </c>
      <c r="AX37" s="258">
        <f t="shared" ca="1" si="261"/>
        <v>3528767.1232876712</v>
      </c>
      <c r="AY37" s="258"/>
      <c r="AZ37" s="197">
        <f t="shared" si="169"/>
        <v>1641</v>
      </c>
      <c r="BA37" s="1006">
        <f t="shared" si="170"/>
        <v>30</v>
      </c>
      <c r="BB37" s="1007">
        <f t="shared" ca="1" si="171"/>
        <v>575342.46575342445</v>
      </c>
      <c r="BC37" s="258">
        <f t="shared" ca="1" si="262"/>
        <v>4104109.5890410957</v>
      </c>
      <c r="BD37" s="258"/>
      <c r="BE37" s="197">
        <f t="shared" si="172"/>
        <v>1611</v>
      </c>
      <c r="BF37" s="1006">
        <f t="shared" si="173"/>
        <v>31</v>
      </c>
      <c r="BG37" s="1007">
        <f t="shared" ca="1" si="174"/>
        <v>594520.54794520559</v>
      </c>
      <c r="BH37" s="258">
        <f t="shared" ca="1" si="263"/>
        <v>4698630.1369863013</v>
      </c>
      <c r="BI37" s="258"/>
      <c r="BJ37" s="197">
        <f t="shared" si="175"/>
        <v>1580</v>
      </c>
      <c r="BK37" s="1006">
        <f t="shared" si="176"/>
        <v>30</v>
      </c>
      <c r="BL37" s="1007">
        <f t="shared" ca="1" si="177"/>
        <v>575342.46575342398</v>
      </c>
      <c r="BM37" s="258">
        <f t="shared" ca="1" si="264"/>
        <v>5273972.6027397253</v>
      </c>
      <c r="BN37" s="258"/>
      <c r="BO37" s="197">
        <f t="shared" si="178"/>
        <v>1550</v>
      </c>
      <c r="BP37" s="1006">
        <f t="shared" si="179"/>
        <v>31</v>
      </c>
      <c r="BQ37" s="1007">
        <f t="shared" ca="1" si="180"/>
        <v>594520.54794520605</v>
      </c>
      <c r="BR37" s="258">
        <f t="shared" ca="1" si="265"/>
        <v>5868493.1506849313</v>
      </c>
      <c r="BS37" s="258"/>
      <c r="BT37" s="197">
        <f t="shared" si="181"/>
        <v>1519</v>
      </c>
      <c r="BU37" s="1006">
        <f t="shared" si="182"/>
        <v>31</v>
      </c>
      <c r="BV37" s="1007">
        <f t="shared" ca="1" si="183"/>
        <v>594520.54794520512</v>
      </c>
      <c r="BW37" s="258">
        <f t="shared" ca="1" si="266"/>
        <v>6463013.6986301364</v>
      </c>
      <c r="BX37" s="258"/>
      <c r="BY37" s="197">
        <f t="shared" si="184"/>
        <v>1488</v>
      </c>
      <c r="BZ37" s="1006">
        <f t="shared" si="185"/>
        <v>28</v>
      </c>
      <c r="CA37" s="1007">
        <f t="shared" ca="1" si="186"/>
        <v>536986.30136986356</v>
      </c>
      <c r="CB37" s="258">
        <f t="shared" ca="1" si="267"/>
        <v>7000000</v>
      </c>
      <c r="CC37" s="258"/>
      <c r="CD37" s="197">
        <f t="shared" si="187"/>
        <v>1460</v>
      </c>
      <c r="CE37" s="1006">
        <f t="shared" si="188"/>
        <v>31</v>
      </c>
      <c r="CF37" s="1007">
        <f t="shared" ca="1" si="189"/>
        <v>594520.54794520512</v>
      </c>
      <c r="CG37" s="258">
        <f t="shared" ca="1" si="268"/>
        <v>7594520.5479452051</v>
      </c>
      <c r="CH37" s="258"/>
      <c r="CI37" s="197">
        <f t="shared" si="190"/>
        <v>1429</v>
      </c>
      <c r="CJ37" s="1006">
        <f t="shared" si="191"/>
        <v>30</v>
      </c>
      <c r="CK37" s="1007">
        <f t="shared" ca="1" si="192"/>
        <v>575342.46575342491</v>
      </c>
      <c r="CL37" s="258">
        <f t="shared" ca="1" si="269"/>
        <v>8169863.01369863</v>
      </c>
      <c r="CM37" s="258"/>
      <c r="CN37" s="197">
        <f t="shared" si="193"/>
        <v>1399</v>
      </c>
      <c r="CO37" s="1006">
        <f t="shared" si="194"/>
        <v>31</v>
      </c>
      <c r="CP37" s="1007">
        <f t="shared" ca="1" si="195"/>
        <v>594520.54794520512</v>
      </c>
      <c r="CQ37" s="258">
        <f t="shared" ca="1" si="270"/>
        <v>8764383.5616438352</v>
      </c>
      <c r="CR37" s="258"/>
      <c r="CS37" s="197">
        <f t="shared" si="196"/>
        <v>1368</v>
      </c>
      <c r="CT37" s="1006">
        <f t="shared" si="197"/>
        <v>30</v>
      </c>
      <c r="CU37" s="1007">
        <f t="shared" ca="1" si="198"/>
        <v>575342.46575342491</v>
      </c>
      <c r="CV37" s="258">
        <f t="shared" ca="1" si="271"/>
        <v>9339726.0273972601</v>
      </c>
      <c r="CW37" s="258"/>
      <c r="CX37" s="197">
        <f t="shared" si="199"/>
        <v>1338</v>
      </c>
      <c r="CY37" s="1006">
        <f t="shared" si="200"/>
        <v>31</v>
      </c>
      <c r="CZ37" s="1007">
        <f t="shared" ca="1" si="201"/>
        <v>594520.54794520512</v>
      </c>
      <c r="DA37" s="258">
        <f t="shared" ca="1" si="272"/>
        <v>9934246.5753424652</v>
      </c>
      <c r="DB37" s="258"/>
      <c r="DC37" s="197">
        <f t="shared" si="202"/>
        <v>1307</v>
      </c>
      <c r="DD37" s="1006">
        <f t="shared" si="203"/>
        <v>31</v>
      </c>
      <c r="DE37" s="1007">
        <f t="shared" ca="1" si="204"/>
        <v>594520.54794520512</v>
      </c>
      <c r="DF37" s="258">
        <f t="shared" ca="1" si="273"/>
        <v>10528767.12328767</v>
      </c>
      <c r="DG37" s="258"/>
      <c r="DH37" s="197">
        <f t="shared" si="205"/>
        <v>1276</v>
      </c>
      <c r="DI37" s="1006">
        <f t="shared" si="206"/>
        <v>30</v>
      </c>
      <c r="DJ37" s="1007">
        <f t="shared" ca="1" si="207"/>
        <v>575342.46575342491</v>
      </c>
      <c r="DK37" s="258">
        <f t="shared" ca="1" si="274"/>
        <v>11104109.589041095</v>
      </c>
      <c r="DL37" s="258"/>
      <c r="DM37" s="197">
        <f t="shared" si="208"/>
        <v>1246</v>
      </c>
      <c r="DN37" s="1006">
        <f t="shared" si="209"/>
        <v>31</v>
      </c>
      <c r="DO37" s="1007">
        <f t="shared" ca="1" si="210"/>
        <v>594520.54794520512</v>
      </c>
      <c r="DP37" s="258">
        <f t="shared" ca="1" si="275"/>
        <v>11698630.1369863</v>
      </c>
      <c r="DQ37" s="258"/>
      <c r="DR37" s="197">
        <f t="shared" si="211"/>
        <v>1215</v>
      </c>
      <c r="DS37" s="1006">
        <f t="shared" si="212"/>
        <v>30</v>
      </c>
      <c r="DT37" s="1007">
        <f t="shared" ca="1" si="213"/>
        <v>575342.46575342491</v>
      </c>
      <c r="DU37" s="258">
        <f t="shared" ca="1" si="276"/>
        <v>12273972.602739725</v>
      </c>
      <c r="DV37" s="258"/>
      <c r="DW37" s="197">
        <f t="shared" si="214"/>
        <v>1185</v>
      </c>
      <c r="DX37" s="1006">
        <f t="shared" si="215"/>
        <v>31</v>
      </c>
      <c r="DY37" s="1007">
        <f t="shared" ca="1" si="216"/>
        <v>594520.54794520512</v>
      </c>
      <c r="DZ37" s="258">
        <f t="shared" ca="1" si="277"/>
        <v>12868493.15068493</v>
      </c>
      <c r="EA37" s="258"/>
      <c r="EB37" s="197">
        <f t="shared" si="217"/>
        <v>1154</v>
      </c>
      <c r="EC37" s="1006">
        <f t="shared" si="218"/>
        <v>31</v>
      </c>
      <c r="ED37" s="1007">
        <f t="shared" ca="1" si="219"/>
        <v>594520.54794520512</v>
      </c>
      <c r="EE37" s="258">
        <f t="shared" ca="1" si="278"/>
        <v>13463013.698630136</v>
      </c>
      <c r="EF37" s="258"/>
      <c r="EG37" s="197">
        <f t="shared" si="220"/>
        <v>1123</v>
      </c>
      <c r="EH37" s="1006">
        <f t="shared" si="221"/>
        <v>28</v>
      </c>
      <c r="EI37" s="1007">
        <f t="shared" ca="1" si="222"/>
        <v>536986.30136986449</v>
      </c>
      <c r="EJ37" s="258">
        <f t="shared" ca="1" si="279"/>
        <v>14000000</v>
      </c>
      <c r="EK37" s="258"/>
      <c r="EL37" s="197">
        <f t="shared" si="223"/>
        <v>1095</v>
      </c>
      <c r="EM37" s="1006">
        <f t="shared" si="224"/>
        <v>31</v>
      </c>
      <c r="EN37" s="1007">
        <f t="shared" ca="1" si="225"/>
        <v>594520.54794520512</v>
      </c>
      <c r="EO37" s="258">
        <f t="shared" ca="1" si="280"/>
        <v>14594520.547945205</v>
      </c>
      <c r="EP37" s="258"/>
      <c r="EQ37" s="197">
        <f t="shared" si="226"/>
        <v>1064</v>
      </c>
      <c r="ER37" s="1006">
        <f t="shared" si="227"/>
        <v>30</v>
      </c>
      <c r="ES37" s="1007">
        <f t="shared" ca="1" si="228"/>
        <v>575342.46575342491</v>
      </c>
      <c r="ET37" s="258">
        <f t="shared" ca="1" si="281"/>
        <v>15169863.01369863</v>
      </c>
      <c r="EU37" s="258"/>
      <c r="EV37" s="197">
        <f t="shared" si="229"/>
        <v>1034</v>
      </c>
      <c r="EW37" s="1006">
        <f t="shared" si="230"/>
        <v>31</v>
      </c>
      <c r="EX37" s="1007">
        <f t="shared" ca="1" si="231"/>
        <v>594520.54794520512</v>
      </c>
      <c r="EY37" s="258">
        <f t="shared" ca="1" si="282"/>
        <v>15764383.561643835</v>
      </c>
      <c r="EZ37" s="258"/>
      <c r="FA37" s="197">
        <f t="shared" si="232"/>
        <v>1003</v>
      </c>
      <c r="FB37" s="1006">
        <f t="shared" si="233"/>
        <v>30</v>
      </c>
      <c r="FC37" s="1007">
        <f t="shared" ca="1" si="234"/>
        <v>575342.46575342491</v>
      </c>
      <c r="FD37" s="258">
        <f t="shared" ca="1" si="283"/>
        <v>16339726.02739726</v>
      </c>
      <c r="FE37" s="258"/>
      <c r="FF37" s="197">
        <f t="shared" si="235"/>
        <v>973</v>
      </c>
      <c r="FG37" s="1006">
        <f t="shared" si="236"/>
        <v>31</v>
      </c>
      <c r="FH37" s="1007">
        <f t="shared" ca="1" si="237"/>
        <v>594520.54794520512</v>
      </c>
      <c r="FI37" s="258">
        <f t="shared" ca="1" si="284"/>
        <v>16934246.575342465</v>
      </c>
      <c r="FJ37" s="258"/>
      <c r="FK37" s="197">
        <f t="shared" si="238"/>
        <v>942</v>
      </c>
      <c r="FL37" s="1006">
        <f t="shared" si="239"/>
        <v>31</v>
      </c>
      <c r="FM37" s="1007">
        <f t="shared" ca="1" si="240"/>
        <v>594520.54794520512</v>
      </c>
      <c r="FN37" s="258">
        <f t="shared" ca="1" si="285"/>
        <v>17528767.12328767</v>
      </c>
      <c r="FO37" s="258"/>
      <c r="FP37" s="197">
        <f t="shared" si="241"/>
        <v>911</v>
      </c>
      <c r="FQ37" s="1006">
        <f t="shared" si="242"/>
        <v>30</v>
      </c>
      <c r="FR37" s="1007">
        <f t="shared" ca="1" si="243"/>
        <v>575342.46575342491</v>
      </c>
      <c r="FS37" s="258">
        <f t="shared" ca="1" si="286"/>
        <v>18104109.589041095</v>
      </c>
      <c r="FT37" s="258"/>
      <c r="FU37" s="197">
        <f t="shared" si="244"/>
        <v>881</v>
      </c>
      <c r="FV37" s="1006">
        <f t="shared" si="245"/>
        <v>31</v>
      </c>
      <c r="FW37" s="1007">
        <f t="shared" ca="1" si="246"/>
        <v>594520.54794520512</v>
      </c>
      <c r="FX37" s="258">
        <f t="shared" ca="1" si="287"/>
        <v>18698630.1369863</v>
      </c>
      <c r="FY37" s="258"/>
      <c r="FZ37" s="197">
        <f t="shared" si="247"/>
        <v>850</v>
      </c>
      <c r="GA37" s="1006">
        <f t="shared" si="248"/>
        <v>30</v>
      </c>
      <c r="GB37" s="1007">
        <f t="shared" ca="1" si="249"/>
        <v>575342.46575342491</v>
      </c>
      <c r="GC37" s="258">
        <f t="shared" ca="1" si="288"/>
        <v>19273972.602739725</v>
      </c>
      <c r="GD37" s="258"/>
      <c r="GE37" s="197">
        <f t="shared" si="250"/>
        <v>820</v>
      </c>
      <c r="GF37" s="1006">
        <f t="shared" si="251"/>
        <v>31</v>
      </c>
      <c r="GG37" s="1007">
        <f t="shared" ca="1" si="252"/>
        <v>594520.54794520512</v>
      </c>
      <c r="GH37" s="258">
        <f t="shared" ca="1" si="289"/>
        <v>19868493.15068493</v>
      </c>
      <c r="GI37" s="258"/>
      <c r="GJ37" s="197">
        <f t="shared" si="253"/>
        <v>789</v>
      </c>
      <c r="GK37" s="1340"/>
      <c r="GL37" s="164"/>
      <c r="GM37" s="164"/>
      <c r="GN37" s="164"/>
    </row>
    <row r="38" spans="1:196" ht="12.75" x14ac:dyDescent="0.2">
      <c r="A38" s="1010">
        <f>'Item list'!A38</f>
        <v>45717</v>
      </c>
      <c r="B38" s="243" t="str">
        <f>'Item list'!B38</f>
        <v xml:space="preserve">Server &amp; Networking equipment	</v>
      </c>
      <c r="C38" s="243" t="str">
        <f>'Item list'!C38</f>
        <v>Office Equipment</v>
      </c>
      <c r="D38" s="989">
        <f>'Item list'!D38</f>
        <v>108000000</v>
      </c>
      <c r="E38" s="243">
        <f>'Item list'!E38</f>
        <v>3</v>
      </c>
      <c r="F38" s="1004">
        <f>'Item list'!F38</f>
        <v>45717</v>
      </c>
      <c r="G38" s="243" t="str">
        <f>'Item list'!G38</f>
        <v>SLN</v>
      </c>
      <c r="H38" s="1005" t="e">
        <f t="shared" si="144"/>
        <v>#NUM!</v>
      </c>
      <c r="I38" s="243"/>
      <c r="J38" s="243"/>
      <c r="K38" s="243"/>
      <c r="L38" s="197">
        <f t="shared" si="145"/>
        <v>1095</v>
      </c>
      <c r="M38" s="1006">
        <f t="shared" si="146"/>
        <v>0</v>
      </c>
      <c r="N38" s="1007">
        <f t="shared" ca="1" si="147"/>
        <v>0</v>
      </c>
      <c r="O38" s="258">
        <f t="shared" ca="1" si="254"/>
        <v>0</v>
      </c>
      <c r="P38" s="258"/>
      <c r="Q38" s="197">
        <f t="shared" si="148"/>
        <v>1095</v>
      </c>
      <c r="R38" s="1006">
        <f t="shared" si="149"/>
        <v>0</v>
      </c>
      <c r="S38" s="1007">
        <f t="shared" ca="1" si="150"/>
        <v>0</v>
      </c>
      <c r="T38" s="258">
        <f t="shared" ca="1" si="255"/>
        <v>0</v>
      </c>
      <c r="U38" s="258"/>
      <c r="V38" s="197">
        <f t="shared" si="151"/>
        <v>1095</v>
      </c>
      <c r="W38" s="1006">
        <f t="shared" si="152"/>
        <v>31</v>
      </c>
      <c r="X38" s="1007">
        <f t="shared" ca="1" si="153"/>
        <v>3057534.2465753425</v>
      </c>
      <c r="Y38" s="258">
        <f t="shared" ca="1" si="256"/>
        <v>3057534.2465753425</v>
      </c>
      <c r="Z38" s="258"/>
      <c r="AA38" s="197">
        <f t="shared" si="154"/>
        <v>1064</v>
      </c>
      <c r="AB38" s="1006">
        <f t="shared" si="155"/>
        <v>30</v>
      </c>
      <c r="AC38" s="1007">
        <f t="shared" ca="1" si="156"/>
        <v>2958904.1095890412</v>
      </c>
      <c r="AD38" s="258">
        <f t="shared" ca="1" si="257"/>
        <v>6016438.3561643837</v>
      </c>
      <c r="AE38" s="258"/>
      <c r="AF38" s="197">
        <f t="shared" si="157"/>
        <v>1034</v>
      </c>
      <c r="AG38" s="1006">
        <f t="shared" si="158"/>
        <v>31</v>
      </c>
      <c r="AH38" s="1007">
        <f t="shared" ca="1" si="159"/>
        <v>3057534.2465753416</v>
      </c>
      <c r="AI38" s="258">
        <f t="shared" ca="1" si="258"/>
        <v>9073972.6027397253</v>
      </c>
      <c r="AJ38" s="258"/>
      <c r="AK38" s="197">
        <f t="shared" si="160"/>
        <v>1003</v>
      </c>
      <c r="AL38" s="1006">
        <f t="shared" si="161"/>
        <v>30</v>
      </c>
      <c r="AM38" s="1007">
        <f t="shared" ca="1" si="162"/>
        <v>2958904.1095890421</v>
      </c>
      <c r="AN38" s="258">
        <f t="shared" ca="1" si="259"/>
        <v>12032876.712328767</v>
      </c>
      <c r="AO38" s="258"/>
      <c r="AP38" s="197">
        <f t="shared" si="163"/>
        <v>973</v>
      </c>
      <c r="AQ38" s="1006">
        <f t="shared" si="164"/>
        <v>31</v>
      </c>
      <c r="AR38" s="1007">
        <f t="shared" ca="1" si="165"/>
        <v>3057534.2465753425</v>
      </c>
      <c r="AS38" s="258">
        <f t="shared" ca="1" si="260"/>
        <v>15090410.95890411</v>
      </c>
      <c r="AT38" s="258"/>
      <c r="AU38" s="197">
        <f t="shared" si="166"/>
        <v>942</v>
      </c>
      <c r="AV38" s="1006">
        <f t="shared" si="167"/>
        <v>31</v>
      </c>
      <c r="AW38" s="1007">
        <f t="shared" ca="1" si="168"/>
        <v>3057534.2465753406</v>
      </c>
      <c r="AX38" s="258">
        <f t="shared" ca="1" si="261"/>
        <v>18147945.205479451</v>
      </c>
      <c r="AY38" s="258"/>
      <c r="AZ38" s="197">
        <f t="shared" si="169"/>
        <v>911</v>
      </c>
      <c r="BA38" s="1006">
        <f t="shared" si="170"/>
        <v>30</v>
      </c>
      <c r="BB38" s="1007">
        <f t="shared" ca="1" si="171"/>
        <v>2958904.109589044</v>
      </c>
      <c r="BC38" s="258">
        <f t="shared" ca="1" si="262"/>
        <v>21106849.315068495</v>
      </c>
      <c r="BD38" s="258"/>
      <c r="BE38" s="197">
        <f t="shared" si="172"/>
        <v>881</v>
      </c>
      <c r="BF38" s="1006">
        <f t="shared" si="173"/>
        <v>31</v>
      </c>
      <c r="BG38" s="1007">
        <f t="shared" ca="1" si="174"/>
        <v>3057534.2465753406</v>
      </c>
      <c r="BH38" s="258">
        <f t="shared" ca="1" si="263"/>
        <v>24164383.561643835</v>
      </c>
      <c r="BI38" s="258"/>
      <c r="BJ38" s="197">
        <f t="shared" si="175"/>
        <v>850</v>
      </c>
      <c r="BK38" s="1006">
        <f t="shared" si="176"/>
        <v>30</v>
      </c>
      <c r="BL38" s="1007">
        <f t="shared" ca="1" si="177"/>
        <v>2958904.1095890403</v>
      </c>
      <c r="BM38" s="258">
        <f t="shared" ca="1" si="264"/>
        <v>27123287.671232875</v>
      </c>
      <c r="BN38" s="258"/>
      <c r="BO38" s="197">
        <f t="shared" si="178"/>
        <v>820</v>
      </c>
      <c r="BP38" s="1006">
        <f t="shared" si="179"/>
        <v>31</v>
      </c>
      <c r="BQ38" s="1007">
        <f t="shared" ca="1" si="180"/>
        <v>3057534.2465753444</v>
      </c>
      <c r="BR38" s="258">
        <f t="shared" ca="1" si="265"/>
        <v>30180821.91780822</v>
      </c>
      <c r="BS38" s="258"/>
      <c r="BT38" s="197">
        <f t="shared" si="181"/>
        <v>789</v>
      </c>
      <c r="BU38" s="1006">
        <f t="shared" si="182"/>
        <v>31</v>
      </c>
      <c r="BV38" s="1007">
        <f t="shared" ca="1" si="183"/>
        <v>3057534.2465753406</v>
      </c>
      <c r="BW38" s="258">
        <f t="shared" ca="1" si="266"/>
        <v>33238356.16438356</v>
      </c>
      <c r="BX38" s="258"/>
      <c r="BY38" s="197">
        <f t="shared" si="184"/>
        <v>758</v>
      </c>
      <c r="BZ38" s="1006">
        <f t="shared" si="185"/>
        <v>28</v>
      </c>
      <c r="CA38" s="1007">
        <f t="shared" ca="1" si="186"/>
        <v>2761643.8356164396</v>
      </c>
      <c r="CB38" s="258">
        <f t="shared" ca="1" si="267"/>
        <v>36000000</v>
      </c>
      <c r="CC38" s="258"/>
      <c r="CD38" s="197">
        <f t="shared" si="187"/>
        <v>730</v>
      </c>
      <c r="CE38" s="1006">
        <f t="shared" si="188"/>
        <v>31</v>
      </c>
      <c r="CF38" s="1007">
        <f t="shared" ca="1" si="189"/>
        <v>3057534.2465753406</v>
      </c>
      <c r="CG38" s="258">
        <f t="shared" ca="1" si="268"/>
        <v>39057534.246575341</v>
      </c>
      <c r="CH38" s="258"/>
      <c r="CI38" s="197">
        <f t="shared" si="190"/>
        <v>699</v>
      </c>
      <c r="CJ38" s="1006">
        <f t="shared" si="191"/>
        <v>30</v>
      </c>
      <c r="CK38" s="1007">
        <f t="shared" ca="1" si="192"/>
        <v>2958904.1095890403</v>
      </c>
      <c r="CL38" s="258">
        <f t="shared" ca="1" si="269"/>
        <v>42016438.356164381</v>
      </c>
      <c r="CM38" s="258"/>
      <c r="CN38" s="197">
        <f t="shared" si="193"/>
        <v>669</v>
      </c>
      <c r="CO38" s="1006">
        <f t="shared" si="194"/>
        <v>31</v>
      </c>
      <c r="CP38" s="1007">
        <f t="shared" ca="1" si="195"/>
        <v>3057534.2465753406</v>
      </c>
      <c r="CQ38" s="258">
        <f t="shared" ca="1" si="270"/>
        <v>45073972.602739722</v>
      </c>
      <c r="CR38" s="258"/>
      <c r="CS38" s="197">
        <f t="shared" si="196"/>
        <v>638</v>
      </c>
      <c r="CT38" s="1006">
        <f t="shared" si="197"/>
        <v>30</v>
      </c>
      <c r="CU38" s="1007">
        <f t="shared" ca="1" si="198"/>
        <v>2958904.1095890477</v>
      </c>
      <c r="CV38" s="258">
        <f t="shared" ca="1" si="271"/>
        <v>48032876.712328769</v>
      </c>
      <c r="CW38" s="258"/>
      <c r="CX38" s="197">
        <f t="shared" si="199"/>
        <v>608</v>
      </c>
      <c r="CY38" s="1006">
        <f t="shared" si="200"/>
        <v>31</v>
      </c>
      <c r="CZ38" s="1007">
        <f t="shared" ca="1" si="201"/>
        <v>3057534.2465753406</v>
      </c>
      <c r="DA38" s="258">
        <f t="shared" ca="1" si="272"/>
        <v>51090410.95890411</v>
      </c>
      <c r="DB38" s="258"/>
      <c r="DC38" s="197">
        <f t="shared" si="202"/>
        <v>577</v>
      </c>
      <c r="DD38" s="1006">
        <f t="shared" si="203"/>
        <v>31</v>
      </c>
      <c r="DE38" s="1007">
        <f t="shared" ca="1" si="204"/>
        <v>3057534.2465753406</v>
      </c>
      <c r="DF38" s="258">
        <f t="shared" ca="1" si="273"/>
        <v>54147945.205479451</v>
      </c>
      <c r="DG38" s="258"/>
      <c r="DH38" s="197">
        <f t="shared" si="205"/>
        <v>546</v>
      </c>
      <c r="DI38" s="1006">
        <f t="shared" si="206"/>
        <v>30</v>
      </c>
      <c r="DJ38" s="1007">
        <f t="shared" ca="1" si="207"/>
        <v>2958904.1095890403</v>
      </c>
      <c r="DK38" s="258">
        <f t="shared" ca="1" si="274"/>
        <v>57106849.315068491</v>
      </c>
      <c r="DL38" s="258"/>
      <c r="DM38" s="197">
        <f t="shared" si="208"/>
        <v>516</v>
      </c>
      <c r="DN38" s="1006">
        <f t="shared" si="209"/>
        <v>31</v>
      </c>
      <c r="DO38" s="1007">
        <f t="shared" ca="1" si="210"/>
        <v>3057534.2465753406</v>
      </c>
      <c r="DP38" s="258">
        <f t="shared" ca="1" si="275"/>
        <v>60164383.561643831</v>
      </c>
      <c r="DQ38" s="258"/>
      <c r="DR38" s="197">
        <f t="shared" si="211"/>
        <v>485</v>
      </c>
      <c r="DS38" s="1006">
        <f t="shared" si="212"/>
        <v>30</v>
      </c>
      <c r="DT38" s="1007">
        <f t="shared" ca="1" si="213"/>
        <v>2958904.1095890477</v>
      </c>
      <c r="DU38" s="258">
        <f t="shared" ca="1" si="276"/>
        <v>63123287.671232879</v>
      </c>
      <c r="DV38" s="258"/>
      <c r="DW38" s="197">
        <f t="shared" si="214"/>
        <v>455</v>
      </c>
      <c r="DX38" s="1006">
        <f t="shared" si="215"/>
        <v>31</v>
      </c>
      <c r="DY38" s="1007">
        <f t="shared" ca="1" si="216"/>
        <v>3057534.2465753406</v>
      </c>
      <c r="DZ38" s="258">
        <f t="shared" ca="1" si="277"/>
        <v>66180821.91780822</v>
      </c>
      <c r="EA38" s="258"/>
      <c r="EB38" s="197">
        <f t="shared" si="217"/>
        <v>424</v>
      </c>
      <c r="EC38" s="1006">
        <f t="shared" si="218"/>
        <v>31</v>
      </c>
      <c r="ED38" s="1007">
        <f t="shared" ca="1" si="219"/>
        <v>3057534.2465753406</v>
      </c>
      <c r="EE38" s="258">
        <f t="shared" ca="1" si="278"/>
        <v>69238356.16438356</v>
      </c>
      <c r="EF38" s="258"/>
      <c r="EG38" s="197">
        <f t="shared" si="220"/>
        <v>393</v>
      </c>
      <c r="EH38" s="1006">
        <f t="shared" si="221"/>
        <v>28</v>
      </c>
      <c r="EI38" s="1007">
        <f t="shared" ca="1" si="222"/>
        <v>2761643.8356164396</v>
      </c>
      <c r="EJ38" s="258">
        <f t="shared" ca="1" si="279"/>
        <v>72000000</v>
      </c>
      <c r="EK38" s="258"/>
      <c r="EL38" s="197">
        <f t="shared" si="223"/>
        <v>365</v>
      </c>
      <c r="EM38" s="1006">
        <f t="shared" si="224"/>
        <v>31</v>
      </c>
      <c r="EN38" s="1007">
        <f t="shared" ca="1" si="225"/>
        <v>3057534.2465753406</v>
      </c>
      <c r="EO38" s="258">
        <f t="shared" ca="1" si="280"/>
        <v>75057534.246575341</v>
      </c>
      <c r="EP38" s="258"/>
      <c r="EQ38" s="197">
        <f t="shared" si="226"/>
        <v>334</v>
      </c>
      <c r="ER38" s="1006">
        <f t="shared" si="227"/>
        <v>30</v>
      </c>
      <c r="ES38" s="1007">
        <f t="shared" ca="1" si="228"/>
        <v>2958904.1095890403</v>
      </c>
      <c r="ET38" s="258">
        <f t="shared" ca="1" si="281"/>
        <v>78016438.356164381</v>
      </c>
      <c r="EU38" s="258"/>
      <c r="EV38" s="197">
        <f t="shared" si="229"/>
        <v>304</v>
      </c>
      <c r="EW38" s="1006">
        <f t="shared" si="230"/>
        <v>31</v>
      </c>
      <c r="EX38" s="1007">
        <f t="shared" ca="1" si="231"/>
        <v>3057534.2465753406</v>
      </c>
      <c r="EY38" s="258">
        <f t="shared" ca="1" si="282"/>
        <v>81073972.602739722</v>
      </c>
      <c r="EZ38" s="258"/>
      <c r="FA38" s="197">
        <f t="shared" si="232"/>
        <v>273</v>
      </c>
      <c r="FB38" s="1006">
        <f t="shared" si="233"/>
        <v>30</v>
      </c>
      <c r="FC38" s="1007">
        <f t="shared" ca="1" si="234"/>
        <v>2958904.1095890403</v>
      </c>
      <c r="FD38" s="258">
        <f t="shared" ca="1" si="283"/>
        <v>84032876.712328762</v>
      </c>
      <c r="FE38" s="258"/>
      <c r="FF38" s="197">
        <f t="shared" si="235"/>
        <v>243</v>
      </c>
      <c r="FG38" s="1006">
        <f t="shared" si="236"/>
        <v>31</v>
      </c>
      <c r="FH38" s="1007">
        <f t="shared" ca="1" si="237"/>
        <v>3057534.2465753406</v>
      </c>
      <c r="FI38" s="258">
        <f t="shared" ca="1" si="284"/>
        <v>87090410.958904102</v>
      </c>
      <c r="FJ38" s="258"/>
      <c r="FK38" s="197">
        <f t="shared" si="238"/>
        <v>212</v>
      </c>
      <c r="FL38" s="1006">
        <f t="shared" si="239"/>
        <v>31</v>
      </c>
      <c r="FM38" s="1007">
        <f t="shared" ca="1" si="240"/>
        <v>3057534.2465753406</v>
      </c>
      <c r="FN38" s="258">
        <f t="shared" ca="1" si="285"/>
        <v>90147945.205479443</v>
      </c>
      <c r="FO38" s="258"/>
      <c r="FP38" s="197">
        <f t="shared" si="241"/>
        <v>181</v>
      </c>
      <c r="FQ38" s="1006">
        <f t="shared" si="242"/>
        <v>30</v>
      </c>
      <c r="FR38" s="1007">
        <f t="shared" ca="1" si="243"/>
        <v>2958904.1095890552</v>
      </c>
      <c r="FS38" s="258">
        <f t="shared" ca="1" si="286"/>
        <v>93106849.315068498</v>
      </c>
      <c r="FT38" s="258"/>
      <c r="FU38" s="197">
        <f t="shared" si="244"/>
        <v>151</v>
      </c>
      <c r="FV38" s="1006">
        <f t="shared" si="245"/>
        <v>31</v>
      </c>
      <c r="FW38" s="1007">
        <f t="shared" ca="1" si="246"/>
        <v>3057534.2465753406</v>
      </c>
      <c r="FX38" s="258">
        <f t="shared" ca="1" si="287"/>
        <v>96164383.561643839</v>
      </c>
      <c r="FY38" s="258"/>
      <c r="FZ38" s="197">
        <f t="shared" si="247"/>
        <v>120</v>
      </c>
      <c r="GA38" s="1006">
        <f t="shared" si="248"/>
        <v>30</v>
      </c>
      <c r="GB38" s="1007">
        <f t="shared" ca="1" si="249"/>
        <v>2958904.1095890403</v>
      </c>
      <c r="GC38" s="258">
        <f t="shared" ca="1" si="288"/>
        <v>99123287.671232879</v>
      </c>
      <c r="GD38" s="258"/>
      <c r="GE38" s="197">
        <f t="shared" si="250"/>
        <v>90</v>
      </c>
      <c r="GF38" s="1006">
        <f t="shared" si="251"/>
        <v>31</v>
      </c>
      <c r="GG38" s="1007">
        <f t="shared" ca="1" si="252"/>
        <v>3057534.2465753406</v>
      </c>
      <c r="GH38" s="258">
        <f t="shared" ca="1" si="289"/>
        <v>102180821.91780822</v>
      </c>
      <c r="GI38" s="258"/>
      <c r="GJ38" s="197">
        <f t="shared" si="253"/>
        <v>59</v>
      </c>
      <c r="GK38" s="1340"/>
      <c r="GL38" s="164"/>
      <c r="GM38" s="164"/>
      <c r="GN38" s="164"/>
    </row>
    <row r="39" spans="1:196" ht="12.75" x14ac:dyDescent="0.2">
      <c r="A39" s="1010">
        <f>'Item list'!A39</f>
        <v>45802</v>
      </c>
      <c r="B39" s="243" t="str">
        <f>'Item list'!B39</f>
        <v>2 Point of Sale (POS) system</v>
      </c>
      <c r="C39" s="243" t="str">
        <f>'Item list'!C39</f>
        <v>Office Equipment</v>
      </c>
      <c r="D39" s="989">
        <f>'Item list'!D39</f>
        <v>15000000</v>
      </c>
      <c r="E39" s="243">
        <f>'Item list'!E39</f>
        <v>5</v>
      </c>
      <c r="F39" s="1004">
        <f>'Item list'!F39</f>
        <v>45809</v>
      </c>
      <c r="G39" s="243" t="str">
        <f>'Item list'!G39</f>
        <v>SLN</v>
      </c>
      <c r="H39" s="1005" t="e">
        <f t="shared" si="144"/>
        <v>#NUM!</v>
      </c>
      <c r="I39" s="243"/>
      <c r="J39" s="243"/>
      <c r="K39" s="243"/>
      <c r="L39" s="197">
        <f t="shared" si="145"/>
        <v>1825</v>
      </c>
      <c r="M39" s="1006">
        <f t="shared" si="146"/>
        <v>0</v>
      </c>
      <c r="N39" s="1007">
        <f t="shared" ca="1" si="147"/>
        <v>0</v>
      </c>
      <c r="O39" s="258">
        <f t="shared" ca="1" si="254"/>
        <v>0</v>
      </c>
      <c r="P39" s="258"/>
      <c r="Q39" s="197">
        <f t="shared" si="148"/>
        <v>1825</v>
      </c>
      <c r="R39" s="1006">
        <f t="shared" si="149"/>
        <v>0</v>
      </c>
      <c r="S39" s="1007">
        <f t="shared" ca="1" si="150"/>
        <v>0</v>
      </c>
      <c r="T39" s="258">
        <f t="shared" ca="1" si="255"/>
        <v>0</v>
      </c>
      <c r="U39" s="258"/>
      <c r="V39" s="197">
        <f t="shared" si="151"/>
        <v>1825</v>
      </c>
      <c r="W39" s="1006">
        <f t="shared" si="152"/>
        <v>0</v>
      </c>
      <c r="X39" s="1007">
        <f t="shared" ca="1" si="153"/>
        <v>0</v>
      </c>
      <c r="Y39" s="258">
        <f t="shared" ca="1" si="256"/>
        <v>0</v>
      </c>
      <c r="Z39" s="258"/>
      <c r="AA39" s="197">
        <f t="shared" si="154"/>
        <v>1825</v>
      </c>
      <c r="AB39" s="1006">
        <f t="shared" si="155"/>
        <v>0</v>
      </c>
      <c r="AC39" s="1007">
        <f t="shared" ca="1" si="156"/>
        <v>0</v>
      </c>
      <c r="AD39" s="258">
        <f t="shared" ca="1" si="257"/>
        <v>0</v>
      </c>
      <c r="AE39" s="258"/>
      <c r="AF39" s="197">
        <f t="shared" si="157"/>
        <v>1825</v>
      </c>
      <c r="AG39" s="1006">
        <f t="shared" si="158"/>
        <v>0</v>
      </c>
      <c r="AH39" s="1007">
        <f t="shared" ca="1" si="159"/>
        <v>0</v>
      </c>
      <c r="AI39" s="258">
        <f t="shared" ca="1" si="258"/>
        <v>0</v>
      </c>
      <c r="AJ39" s="258"/>
      <c r="AK39" s="197">
        <f t="shared" si="160"/>
        <v>1825</v>
      </c>
      <c r="AL39" s="1006">
        <f t="shared" si="161"/>
        <v>30</v>
      </c>
      <c r="AM39" s="1007">
        <f t="shared" ca="1" si="162"/>
        <v>246575.34246575341</v>
      </c>
      <c r="AN39" s="258">
        <f t="shared" ca="1" si="259"/>
        <v>246575.34246575341</v>
      </c>
      <c r="AO39" s="258"/>
      <c r="AP39" s="197">
        <f t="shared" si="163"/>
        <v>1795</v>
      </c>
      <c r="AQ39" s="1006">
        <f t="shared" si="164"/>
        <v>31</v>
      </c>
      <c r="AR39" s="1007">
        <f t="shared" ca="1" si="165"/>
        <v>254794.5205479452</v>
      </c>
      <c r="AS39" s="258">
        <f t="shared" ca="1" si="260"/>
        <v>501369.8630136986</v>
      </c>
      <c r="AT39" s="258"/>
      <c r="AU39" s="197">
        <f t="shared" si="166"/>
        <v>1764</v>
      </c>
      <c r="AV39" s="1006">
        <f t="shared" si="167"/>
        <v>31</v>
      </c>
      <c r="AW39" s="1007">
        <f t="shared" ca="1" si="168"/>
        <v>254794.52054794517</v>
      </c>
      <c r="AX39" s="258">
        <f t="shared" ca="1" si="261"/>
        <v>756164.38356164377</v>
      </c>
      <c r="AY39" s="258"/>
      <c r="AZ39" s="197">
        <f t="shared" si="169"/>
        <v>1733</v>
      </c>
      <c r="BA39" s="1006">
        <f t="shared" si="170"/>
        <v>30</v>
      </c>
      <c r="BB39" s="1007">
        <f t="shared" ca="1" si="171"/>
        <v>246575.34246575343</v>
      </c>
      <c r="BC39" s="258">
        <f t="shared" ca="1" si="262"/>
        <v>1002739.7260273972</v>
      </c>
      <c r="BD39" s="258"/>
      <c r="BE39" s="197">
        <f t="shared" si="172"/>
        <v>1703</v>
      </c>
      <c r="BF39" s="1006">
        <f t="shared" si="173"/>
        <v>31</v>
      </c>
      <c r="BG39" s="1007">
        <f t="shared" ca="1" si="174"/>
        <v>254794.52054794505</v>
      </c>
      <c r="BH39" s="258">
        <f t="shared" ca="1" si="263"/>
        <v>1257534.2465753423</v>
      </c>
      <c r="BI39" s="258"/>
      <c r="BJ39" s="197">
        <f t="shared" si="175"/>
        <v>1672</v>
      </c>
      <c r="BK39" s="1006">
        <f t="shared" si="176"/>
        <v>30</v>
      </c>
      <c r="BL39" s="1007">
        <f t="shared" ca="1" si="177"/>
        <v>246575.34246575343</v>
      </c>
      <c r="BM39" s="258">
        <f t="shared" ca="1" si="264"/>
        <v>1504109.5890410957</v>
      </c>
      <c r="BN39" s="258"/>
      <c r="BO39" s="197">
        <f t="shared" si="178"/>
        <v>1642</v>
      </c>
      <c r="BP39" s="1006">
        <f t="shared" si="179"/>
        <v>31</v>
      </c>
      <c r="BQ39" s="1007">
        <f t="shared" ca="1" si="180"/>
        <v>254794.52054794529</v>
      </c>
      <c r="BR39" s="258">
        <f t="shared" ca="1" si="265"/>
        <v>1758904.109589041</v>
      </c>
      <c r="BS39" s="258"/>
      <c r="BT39" s="197">
        <f t="shared" si="181"/>
        <v>1611</v>
      </c>
      <c r="BU39" s="1006">
        <f t="shared" si="182"/>
        <v>31</v>
      </c>
      <c r="BV39" s="1007">
        <f t="shared" ca="1" si="183"/>
        <v>254794.52054794505</v>
      </c>
      <c r="BW39" s="258">
        <f t="shared" ca="1" si="266"/>
        <v>2013698.630136986</v>
      </c>
      <c r="BX39" s="258"/>
      <c r="BY39" s="197">
        <f t="shared" si="184"/>
        <v>1580</v>
      </c>
      <c r="BZ39" s="1006">
        <f t="shared" si="185"/>
        <v>28</v>
      </c>
      <c r="CA39" s="1007">
        <f t="shared" ca="1" si="186"/>
        <v>230136.98630136973</v>
      </c>
      <c r="CB39" s="258">
        <f t="shared" ca="1" si="267"/>
        <v>2243835.6164383558</v>
      </c>
      <c r="CC39" s="258"/>
      <c r="CD39" s="197">
        <f t="shared" si="187"/>
        <v>1552</v>
      </c>
      <c r="CE39" s="1006">
        <f t="shared" si="188"/>
        <v>31</v>
      </c>
      <c r="CF39" s="1007">
        <f t="shared" ca="1" si="189"/>
        <v>254794.52054794552</v>
      </c>
      <c r="CG39" s="258">
        <f t="shared" ca="1" si="268"/>
        <v>2498630.1369863013</v>
      </c>
      <c r="CH39" s="258"/>
      <c r="CI39" s="197">
        <f t="shared" si="190"/>
        <v>1521</v>
      </c>
      <c r="CJ39" s="1006">
        <f t="shared" si="191"/>
        <v>30</v>
      </c>
      <c r="CK39" s="1007">
        <f t="shared" ca="1" si="192"/>
        <v>246575.3424657532</v>
      </c>
      <c r="CL39" s="258">
        <f t="shared" ca="1" si="269"/>
        <v>2745205.4794520545</v>
      </c>
      <c r="CM39" s="258"/>
      <c r="CN39" s="197">
        <f t="shared" si="193"/>
        <v>1491</v>
      </c>
      <c r="CO39" s="1006">
        <f t="shared" si="194"/>
        <v>31</v>
      </c>
      <c r="CP39" s="1007">
        <f t="shared" ca="1" si="195"/>
        <v>254794.52054794505</v>
      </c>
      <c r="CQ39" s="258">
        <f t="shared" ca="1" si="270"/>
        <v>2999999.9999999995</v>
      </c>
      <c r="CR39" s="258"/>
      <c r="CS39" s="197">
        <f t="shared" si="196"/>
        <v>1460</v>
      </c>
      <c r="CT39" s="1006">
        <f t="shared" si="197"/>
        <v>30</v>
      </c>
      <c r="CU39" s="1007">
        <f t="shared" ca="1" si="198"/>
        <v>246575.34246575367</v>
      </c>
      <c r="CV39" s="258">
        <f t="shared" ca="1" si="271"/>
        <v>3246575.3424657532</v>
      </c>
      <c r="CW39" s="258"/>
      <c r="CX39" s="197">
        <f t="shared" si="199"/>
        <v>1430</v>
      </c>
      <c r="CY39" s="1006">
        <f t="shared" si="200"/>
        <v>31</v>
      </c>
      <c r="CZ39" s="1007">
        <f t="shared" ca="1" si="201"/>
        <v>254794.52054794505</v>
      </c>
      <c r="DA39" s="258">
        <f t="shared" ca="1" si="272"/>
        <v>3501369.8630136983</v>
      </c>
      <c r="DB39" s="258"/>
      <c r="DC39" s="197">
        <f t="shared" si="202"/>
        <v>1399</v>
      </c>
      <c r="DD39" s="1006">
        <f t="shared" si="203"/>
        <v>31</v>
      </c>
      <c r="DE39" s="1007">
        <f t="shared" ca="1" si="204"/>
        <v>254794.52054794505</v>
      </c>
      <c r="DF39" s="258">
        <f t="shared" ca="1" si="273"/>
        <v>3756164.3835616433</v>
      </c>
      <c r="DG39" s="258"/>
      <c r="DH39" s="197">
        <f t="shared" si="205"/>
        <v>1368</v>
      </c>
      <c r="DI39" s="1006">
        <f t="shared" si="206"/>
        <v>30</v>
      </c>
      <c r="DJ39" s="1007">
        <f t="shared" ca="1" si="207"/>
        <v>246575.34246575367</v>
      </c>
      <c r="DK39" s="258">
        <f t="shared" ca="1" si="274"/>
        <v>4002739.726027397</v>
      </c>
      <c r="DL39" s="258"/>
      <c r="DM39" s="197">
        <f t="shared" si="208"/>
        <v>1338</v>
      </c>
      <c r="DN39" s="1006">
        <f t="shared" si="209"/>
        <v>31</v>
      </c>
      <c r="DO39" s="1007">
        <f t="shared" ca="1" si="210"/>
        <v>254794.52054794552</v>
      </c>
      <c r="DP39" s="258">
        <f t="shared" ca="1" si="275"/>
        <v>4257534.2465753425</v>
      </c>
      <c r="DQ39" s="258"/>
      <c r="DR39" s="197">
        <f t="shared" si="211"/>
        <v>1307</v>
      </c>
      <c r="DS39" s="1006">
        <f t="shared" si="212"/>
        <v>30</v>
      </c>
      <c r="DT39" s="1007">
        <f t="shared" ca="1" si="213"/>
        <v>246575.34246575274</v>
      </c>
      <c r="DU39" s="258">
        <f t="shared" ca="1" si="276"/>
        <v>4504109.5890410952</v>
      </c>
      <c r="DV39" s="258"/>
      <c r="DW39" s="197">
        <f t="shared" si="214"/>
        <v>1277</v>
      </c>
      <c r="DX39" s="1006">
        <f t="shared" si="215"/>
        <v>31</v>
      </c>
      <c r="DY39" s="1007">
        <f t="shared" ca="1" si="216"/>
        <v>254794.52054794505</v>
      </c>
      <c r="DZ39" s="258">
        <f t="shared" ca="1" si="277"/>
        <v>4758904.1095890403</v>
      </c>
      <c r="EA39" s="258"/>
      <c r="EB39" s="197">
        <f t="shared" si="217"/>
        <v>1246</v>
      </c>
      <c r="EC39" s="1006">
        <f t="shared" si="218"/>
        <v>31</v>
      </c>
      <c r="ED39" s="1007">
        <f t="shared" ca="1" si="219"/>
        <v>254794.52054794598</v>
      </c>
      <c r="EE39" s="258">
        <f t="shared" ca="1" si="278"/>
        <v>5013698.6301369863</v>
      </c>
      <c r="EF39" s="258"/>
      <c r="EG39" s="197">
        <f t="shared" si="220"/>
        <v>1215</v>
      </c>
      <c r="EH39" s="1006">
        <f t="shared" si="221"/>
        <v>28</v>
      </c>
      <c r="EI39" s="1007">
        <f t="shared" ca="1" si="222"/>
        <v>230136.98630136903</v>
      </c>
      <c r="EJ39" s="258">
        <f t="shared" ca="1" si="279"/>
        <v>5243835.6164383553</v>
      </c>
      <c r="EK39" s="258"/>
      <c r="EL39" s="197">
        <f t="shared" si="223"/>
        <v>1187</v>
      </c>
      <c r="EM39" s="1006">
        <f t="shared" si="224"/>
        <v>31</v>
      </c>
      <c r="EN39" s="1007">
        <f t="shared" ca="1" si="225"/>
        <v>254794.52054794598</v>
      </c>
      <c r="EO39" s="258">
        <f t="shared" ca="1" si="280"/>
        <v>5498630.1369863013</v>
      </c>
      <c r="EP39" s="258"/>
      <c r="EQ39" s="197">
        <f t="shared" si="226"/>
        <v>1156</v>
      </c>
      <c r="ER39" s="1006">
        <f t="shared" si="227"/>
        <v>30</v>
      </c>
      <c r="ES39" s="1007">
        <f t="shared" ca="1" si="228"/>
        <v>246575.34246575274</v>
      </c>
      <c r="ET39" s="258">
        <f t="shared" ca="1" si="281"/>
        <v>5745205.479452054</v>
      </c>
      <c r="EU39" s="258"/>
      <c r="EV39" s="197">
        <f t="shared" si="229"/>
        <v>1126</v>
      </c>
      <c r="EW39" s="1006">
        <f t="shared" si="230"/>
        <v>31</v>
      </c>
      <c r="EX39" s="1007">
        <f t="shared" ca="1" si="231"/>
        <v>254794.52054794505</v>
      </c>
      <c r="EY39" s="258">
        <f t="shared" ca="1" si="282"/>
        <v>5999999.9999999991</v>
      </c>
      <c r="EZ39" s="258"/>
      <c r="FA39" s="197">
        <f t="shared" si="232"/>
        <v>1095</v>
      </c>
      <c r="FB39" s="1006">
        <f t="shared" si="233"/>
        <v>30</v>
      </c>
      <c r="FC39" s="1007">
        <f t="shared" ca="1" si="234"/>
        <v>246575.34246575367</v>
      </c>
      <c r="FD39" s="258">
        <f t="shared" ca="1" si="283"/>
        <v>6246575.3424657527</v>
      </c>
      <c r="FE39" s="258"/>
      <c r="FF39" s="197">
        <f t="shared" si="235"/>
        <v>1065</v>
      </c>
      <c r="FG39" s="1006">
        <f t="shared" si="236"/>
        <v>31</v>
      </c>
      <c r="FH39" s="1007">
        <f t="shared" ca="1" si="237"/>
        <v>254794.52054794505</v>
      </c>
      <c r="FI39" s="258">
        <f t="shared" ca="1" si="284"/>
        <v>6501369.8630136978</v>
      </c>
      <c r="FJ39" s="258"/>
      <c r="FK39" s="197">
        <f t="shared" si="238"/>
        <v>1034</v>
      </c>
      <c r="FL39" s="1006">
        <f t="shared" si="239"/>
        <v>31</v>
      </c>
      <c r="FM39" s="1007">
        <f t="shared" ca="1" si="240"/>
        <v>254794.52054794505</v>
      </c>
      <c r="FN39" s="258">
        <f t="shared" ca="1" si="285"/>
        <v>6756164.3835616428</v>
      </c>
      <c r="FO39" s="258"/>
      <c r="FP39" s="197">
        <f t="shared" si="241"/>
        <v>1003</v>
      </c>
      <c r="FQ39" s="1006">
        <f t="shared" si="242"/>
        <v>30</v>
      </c>
      <c r="FR39" s="1007">
        <f t="shared" ca="1" si="243"/>
        <v>246575.34246575367</v>
      </c>
      <c r="FS39" s="258">
        <f t="shared" ca="1" si="286"/>
        <v>7002739.7260273965</v>
      </c>
      <c r="FT39" s="258"/>
      <c r="FU39" s="197">
        <f t="shared" si="244"/>
        <v>973</v>
      </c>
      <c r="FV39" s="1006">
        <f t="shared" si="245"/>
        <v>31</v>
      </c>
      <c r="FW39" s="1007">
        <f t="shared" ca="1" si="246"/>
        <v>254794.52054794505</v>
      </c>
      <c r="FX39" s="258">
        <f t="shared" ca="1" si="287"/>
        <v>7257534.2465753416</v>
      </c>
      <c r="FY39" s="258"/>
      <c r="FZ39" s="197">
        <f t="shared" si="247"/>
        <v>942</v>
      </c>
      <c r="GA39" s="1006">
        <f t="shared" si="248"/>
        <v>30</v>
      </c>
      <c r="GB39" s="1007">
        <f t="shared" ca="1" si="249"/>
        <v>246575.34246575367</v>
      </c>
      <c r="GC39" s="258">
        <f t="shared" ca="1" si="288"/>
        <v>7504109.5890410952</v>
      </c>
      <c r="GD39" s="258"/>
      <c r="GE39" s="197">
        <f t="shared" si="250"/>
        <v>912</v>
      </c>
      <c r="GF39" s="1006">
        <f t="shared" si="251"/>
        <v>31</v>
      </c>
      <c r="GG39" s="1007">
        <f t="shared" ca="1" si="252"/>
        <v>254794.52054794505</v>
      </c>
      <c r="GH39" s="258">
        <f t="shared" ca="1" si="289"/>
        <v>7758904.1095890403</v>
      </c>
      <c r="GI39" s="258"/>
      <c r="GJ39" s="197">
        <f t="shared" si="253"/>
        <v>881</v>
      </c>
      <c r="GK39" s="1340"/>
      <c r="GL39" s="164"/>
      <c r="GM39" s="164"/>
      <c r="GN39" s="164"/>
    </row>
    <row r="40" spans="1:196" ht="12.75" x14ac:dyDescent="0.2">
      <c r="A40" s="1010">
        <f>'Item list'!A40</f>
        <v>45708</v>
      </c>
      <c r="B40" s="243" t="str">
        <f>'Item list'!B40</f>
        <v>Ventilation system</v>
      </c>
      <c r="C40" s="243" t="str">
        <f>'Item list'!C40</f>
        <v>Building</v>
      </c>
      <c r="D40" s="989">
        <f>'Item list'!D40</f>
        <v>300000000</v>
      </c>
      <c r="E40" s="243">
        <f>'Item list'!E40</f>
        <v>10</v>
      </c>
      <c r="F40" s="1004">
        <f>'Item list'!F40</f>
        <v>45809</v>
      </c>
      <c r="G40" s="243" t="str">
        <f>'Item list'!G40</f>
        <v>SLN</v>
      </c>
      <c r="H40" s="1005" t="e">
        <f t="shared" si="144"/>
        <v>#NUM!</v>
      </c>
      <c r="I40" s="243"/>
      <c r="J40" s="243"/>
      <c r="K40" s="243"/>
      <c r="L40" s="197">
        <f t="shared" si="145"/>
        <v>3650</v>
      </c>
      <c r="M40" s="1006">
        <f t="shared" si="146"/>
        <v>0</v>
      </c>
      <c r="N40" s="1007">
        <f t="shared" ca="1" si="147"/>
        <v>0</v>
      </c>
      <c r="O40" s="258">
        <f t="shared" ca="1" si="254"/>
        <v>0</v>
      </c>
      <c r="P40" s="258"/>
      <c r="Q40" s="197">
        <f t="shared" si="148"/>
        <v>3650</v>
      </c>
      <c r="R40" s="1006">
        <f t="shared" si="149"/>
        <v>0</v>
      </c>
      <c r="S40" s="1007">
        <f t="shared" ca="1" si="150"/>
        <v>0</v>
      </c>
      <c r="T40" s="258">
        <f t="shared" ca="1" si="255"/>
        <v>0</v>
      </c>
      <c r="U40" s="258"/>
      <c r="V40" s="197">
        <f t="shared" si="151"/>
        <v>3650</v>
      </c>
      <c r="W40" s="1006">
        <f t="shared" si="152"/>
        <v>0</v>
      </c>
      <c r="X40" s="1007">
        <f t="shared" ca="1" si="153"/>
        <v>0</v>
      </c>
      <c r="Y40" s="258">
        <f t="shared" ca="1" si="256"/>
        <v>0</v>
      </c>
      <c r="Z40" s="258"/>
      <c r="AA40" s="197">
        <f t="shared" si="154"/>
        <v>3650</v>
      </c>
      <c r="AB40" s="1006">
        <f t="shared" si="155"/>
        <v>0</v>
      </c>
      <c r="AC40" s="1007">
        <f t="shared" ca="1" si="156"/>
        <v>0</v>
      </c>
      <c r="AD40" s="258">
        <f t="shared" ca="1" si="257"/>
        <v>0</v>
      </c>
      <c r="AE40" s="258"/>
      <c r="AF40" s="197">
        <f t="shared" si="157"/>
        <v>3650</v>
      </c>
      <c r="AG40" s="1006">
        <f t="shared" si="158"/>
        <v>0</v>
      </c>
      <c r="AH40" s="1007">
        <f t="shared" ca="1" si="159"/>
        <v>0</v>
      </c>
      <c r="AI40" s="258">
        <f t="shared" ca="1" si="258"/>
        <v>0</v>
      </c>
      <c r="AJ40" s="258"/>
      <c r="AK40" s="197">
        <f t="shared" si="160"/>
        <v>3650</v>
      </c>
      <c r="AL40" s="1006">
        <f t="shared" si="161"/>
        <v>30</v>
      </c>
      <c r="AM40" s="1007">
        <f t="shared" ca="1" si="162"/>
        <v>2465753.4246575343</v>
      </c>
      <c r="AN40" s="258">
        <f t="shared" ca="1" si="259"/>
        <v>2465753.4246575343</v>
      </c>
      <c r="AO40" s="258"/>
      <c r="AP40" s="197">
        <f t="shared" si="163"/>
        <v>3620</v>
      </c>
      <c r="AQ40" s="1006">
        <f t="shared" si="164"/>
        <v>31</v>
      </c>
      <c r="AR40" s="1007">
        <f t="shared" ca="1" si="165"/>
        <v>2547945.2054794519</v>
      </c>
      <c r="AS40" s="258">
        <f t="shared" ca="1" si="260"/>
        <v>5013698.6301369863</v>
      </c>
      <c r="AT40" s="258"/>
      <c r="AU40" s="197">
        <f t="shared" si="166"/>
        <v>3589</v>
      </c>
      <c r="AV40" s="1006">
        <f t="shared" si="167"/>
        <v>31</v>
      </c>
      <c r="AW40" s="1007">
        <f t="shared" ca="1" si="168"/>
        <v>2547945.2054794524</v>
      </c>
      <c r="AX40" s="258">
        <f t="shared" ca="1" si="261"/>
        <v>7561643.8356164386</v>
      </c>
      <c r="AY40" s="258"/>
      <c r="AZ40" s="197">
        <f t="shared" si="169"/>
        <v>3558</v>
      </c>
      <c r="BA40" s="1006">
        <f t="shared" si="170"/>
        <v>30</v>
      </c>
      <c r="BB40" s="1007">
        <f t="shared" ca="1" si="171"/>
        <v>2465753.4246575339</v>
      </c>
      <c r="BC40" s="258">
        <f t="shared" ca="1" si="262"/>
        <v>10027397.260273973</v>
      </c>
      <c r="BD40" s="258"/>
      <c r="BE40" s="197">
        <f t="shared" si="172"/>
        <v>3528</v>
      </c>
      <c r="BF40" s="1006">
        <f t="shared" si="173"/>
        <v>31</v>
      </c>
      <c r="BG40" s="1007">
        <f t="shared" ca="1" si="174"/>
        <v>2547945.2054794524</v>
      </c>
      <c r="BH40" s="258">
        <f t="shared" ca="1" si="263"/>
        <v>12575342.465753425</v>
      </c>
      <c r="BI40" s="258"/>
      <c r="BJ40" s="197">
        <f t="shared" si="175"/>
        <v>3497</v>
      </c>
      <c r="BK40" s="1006">
        <f t="shared" si="176"/>
        <v>30</v>
      </c>
      <c r="BL40" s="1007">
        <f t="shared" ca="1" si="177"/>
        <v>2465753.4246575348</v>
      </c>
      <c r="BM40" s="258">
        <f t="shared" ca="1" si="264"/>
        <v>15041095.89041096</v>
      </c>
      <c r="BN40" s="258"/>
      <c r="BO40" s="197">
        <f t="shared" si="178"/>
        <v>3467</v>
      </c>
      <c r="BP40" s="1006">
        <f t="shared" si="179"/>
        <v>31</v>
      </c>
      <c r="BQ40" s="1007">
        <f t="shared" ca="1" si="180"/>
        <v>2547945.2054794505</v>
      </c>
      <c r="BR40" s="258">
        <f t="shared" ca="1" si="265"/>
        <v>17589041.09589041</v>
      </c>
      <c r="BS40" s="258"/>
      <c r="BT40" s="197">
        <f t="shared" si="181"/>
        <v>3436</v>
      </c>
      <c r="BU40" s="1006">
        <f t="shared" si="182"/>
        <v>31</v>
      </c>
      <c r="BV40" s="1007">
        <f t="shared" ca="1" si="183"/>
        <v>2547945.2054794542</v>
      </c>
      <c r="BW40" s="258">
        <f t="shared" ca="1" si="266"/>
        <v>20136986.301369864</v>
      </c>
      <c r="BX40" s="258"/>
      <c r="BY40" s="197">
        <f t="shared" si="184"/>
        <v>3405</v>
      </c>
      <c r="BZ40" s="1006">
        <f t="shared" si="185"/>
        <v>28</v>
      </c>
      <c r="CA40" s="1007">
        <f t="shared" ca="1" si="186"/>
        <v>2301369.8630136997</v>
      </c>
      <c r="CB40" s="258">
        <f t="shared" ca="1" si="267"/>
        <v>22438356.164383564</v>
      </c>
      <c r="CC40" s="258"/>
      <c r="CD40" s="197">
        <f t="shared" si="187"/>
        <v>3377</v>
      </c>
      <c r="CE40" s="1006">
        <f t="shared" si="188"/>
        <v>31</v>
      </c>
      <c r="CF40" s="1007">
        <f t="shared" ca="1" si="189"/>
        <v>2547945.2054794505</v>
      </c>
      <c r="CG40" s="258">
        <f t="shared" ca="1" si="268"/>
        <v>24986301.369863015</v>
      </c>
      <c r="CH40" s="258"/>
      <c r="CI40" s="197">
        <f t="shared" si="190"/>
        <v>3346</v>
      </c>
      <c r="CJ40" s="1006">
        <f t="shared" si="191"/>
        <v>30</v>
      </c>
      <c r="CK40" s="1007">
        <f t="shared" ca="1" si="192"/>
        <v>2465753.4246575348</v>
      </c>
      <c r="CL40" s="258">
        <f t="shared" ca="1" si="269"/>
        <v>27452054.794520549</v>
      </c>
      <c r="CM40" s="258"/>
      <c r="CN40" s="197">
        <f t="shared" si="193"/>
        <v>3316</v>
      </c>
      <c r="CO40" s="1006">
        <f t="shared" si="194"/>
        <v>31</v>
      </c>
      <c r="CP40" s="1007">
        <f t="shared" ca="1" si="195"/>
        <v>2547945.2054794505</v>
      </c>
      <c r="CQ40" s="258">
        <f t="shared" ca="1" si="270"/>
        <v>30000000</v>
      </c>
      <c r="CR40" s="258"/>
      <c r="CS40" s="197">
        <f t="shared" si="196"/>
        <v>3285</v>
      </c>
      <c r="CT40" s="1006">
        <f t="shared" si="197"/>
        <v>30</v>
      </c>
      <c r="CU40" s="1007">
        <f t="shared" ca="1" si="198"/>
        <v>2465753.4246575348</v>
      </c>
      <c r="CV40" s="258">
        <f t="shared" ca="1" si="271"/>
        <v>32465753.424657535</v>
      </c>
      <c r="CW40" s="258"/>
      <c r="CX40" s="197">
        <f t="shared" si="199"/>
        <v>3255</v>
      </c>
      <c r="CY40" s="1006">
        <f t="shared" si="200"/>
        <v>31</v>
      </c>
      <c r="CZ40" s="1007">
        <f t="shared" ca="1" si="201"/>
        <v>2547945.2054794542</v>
      </c>
      <c r="DA40" s="258">
        <f t="shared" ca="1" si="272"/>
        <v>35013698.630136989</v>
      </c>
      <c r="DB40" s="258"/>
      <c r="DC40" s="197">
        <f t="shared" si="202"/>
        <v>3224</v>
      </c>
      <c r="DD40" s="1006">
        <f t="shared" si="203"/>
        <v>31</v>
      </c>
      <c r="DE40" s="1007">
        <f t="shared" ca="1" si="204"/>
        <v>2547945.2054794505</v>
      </c>
      <c r="DF40" s="258">
        <f t="shared" ca="1" si="273"/>
        <v>37561643.83561644</v>
      </c>
      <c r="DG40" s="258"/>
      <c r="DH40" s="197">
        <f t="shared" si="205"/>
        <v>3193</v>
      </c>
      <c r="DI40" s="1006">
        <f t="shared" si="206"/>
        <v>30</v>
      </c>
      <c r="DJ40" s="1007">
        <f t="shared" ca="1" si="207"/>
        <v>2465753.4246575311</v>
      </c>
      <c r="DK40" s="258">
        <f t="shared" ca="1" si="274"/>
        <v>40027397.260273971</v>
      </c>
      <c r="DL40" s="258"/>
      <c r="DM40" s="197">
        <f t="shared" si="208"/>
        <v>3163</v>
      </c>
      <c r="DN40" s="1006">
        <f t="shared" si="209"/>
        <v>31</v>
      </c>
      <c r="DO40" s="1007">
        <f t="shared" ca="1" si="210"/>
        <v>2547945.205479458</v>
      </c>
      <c r="DP40" s="258">
        <f t="shared" ca="1" si="275"/>
        <v>42575342.465753429</v>
      </c>
      <c r="DQ40" s="258"/>
      <c r="DR40" s="197">
        <f t="shared" si="211"/>
        <v>3132</v>
      </c>
      <c r="DS40" s="1006">
        <f t="shared" si="212"/>
        <v>30</v>
      </c>
      <c r="DT40" s="1007">
        <f t="shared" ca="1" si="213"/>
        <v>2465753.4246575311</v>
      </c>
      <c r="DU40" s="258">
        <f t="shared" ca="1" si="276"/>
        <v>45041095.89041096</v>
      </c>
      <c r="DV40" s="258"/>
      <c r="DW40" s="197">
        <f t="shared" si="214"/>
        <v>3102</v>
      </c>
      <c r="DX40" s="1006">
        <f t="shared" si="215"/>
        <v>31</v>
      </c>
      <c r="DY40" s="1007">
        <f t="shared" ca="1" si="216"/>
        <v>2547945.2054794505</v>
      </c>
      <c r="DZ40" s="258">
        <f t="shared" ca="1" si="277"/>
        <v>47589041.09589041</v>
      </c>
      <c r="EA40" s="258"/>
      <c r="EB40" s="197">
        <f t="shared" si="217"/>
        <v>3071</v>
      </c>
      <c r="EC40" s="1006">
        <f t="shared" si="218"/>
        <v>31</v>
      </c>
      <c r="ED40" s="1007">
        <f t="shared" ca="1" si="219"/>
        <v>2547945.205479458</v>
      </c>
      <c r="EE40" s="258">
        <f t="shared" ca="1" si="278"/>
        <v>50136986.301369868</v>
      </c>
      <c r="EF40" s="258"/>
      <c r="EG40" s="197">
        <f t="shared" si="220"/>
        <v>3040</v>
      </c>
      <c r="EH40" s="1006">
        <f t="shared" si="221"/>
        <v>28</v>
      </c>
      <c r="EI40" s="1007">
        <f t="shared" ca="1" si="222"/>
        <v>2301369.8630136922</v>
      </c>
      <c r="EJ40" s="258">
        <f t="shared" ca="1" si="279"/>
        <v>52438356.16438356</v>
      </c>
      <c r="EK40" s="258"/>
      <c r="EL40" s="197">
        <f t="shared" si="223"/>
        <v>3012</v>
      </c>
      <c r="EM40" s="1006">
        <f t="shared" si="224"/>
        <v>31</v>
      </c>
      <c r="EN40" s="1007">
        <f t="shared" ca="1" si="225"/>
        <v>2547945.205479458</v>
      </c>
      <c r="EO40" s="258">
        <f t="shared" ca="1" si="280"/>
        <v>54986301.369863018</v>
      </c>
      <c r="EP40" s="258"/>
      <c r="EQ40" s="197">
        <f t="shared" si="226"/>
        <v>2981</v>
      </c>
      <c r="ER40" s="1006">
        <f t="shared" si="227"/>
        <v>30</v>
      </c>
      <c r="ES40" s="1007">
        <f t="shared" ca="1" si="228"/>
        <v>2465753.4246575311</v>
      </c>
      <c r="ET40" s="258">
        <f t="shared" ca="1" si="281"/>
        <v>57452054.794520549</v>
      </c>
      <c r="EU40" s="258"/>
      <c r="EV40" s="197">
        <f t="shared" si="229"/>
        <v>2951</v>
      </c>
      <c r="EW40" s="1006">
        <f t="shared" si="230"/>
        <v>31</v>
      </c>
      <c r="EX40" s="1007">
        <f t="shared" ca="1" si="231"/>
        <v>2547945.2054794505</v>
      </c>
      <c r="EY40" s="258">
        <f t="shared" ca="1" si="282"/>
        <v>60000000</v>
      </c>
      <c r="EZ40" s="258"/>
      <c r="FA40" s="197">
        <f t="shared" si="232"/>
        <v>2920</v>
      </c>
      <c r="FB40" s="1006">
        <f t="shared" si="233"/>
        <v>30</v>
      </c>
      <c r="FC40" s="1007">
        <f t="shared" ca="1" si="234"/>
        <v>2465753.4246575385</v>
      </c>
      <c r="FD40" s="258">
        <f t="shared" ca="1" si="283"/>
        <v>62465753.424657539</v>
      </c>
      <c r="FE40" s="258"/>
      <c r="FF40" s="197">
        <f t="shared" si="235"/>
        <v>2890</v>
      </c>
      <c r="FG40" s="1006">
        <f t="shared" si="236"/>
        <v>31</v>
      </c>
      <c r="FH40" s="1007">
        <f t="shared" ca="1" si="237"/>
        <v>2547945.2054794505</v>
      </c>
      <c r="FI40" s="258">
        <f t="shared" ca="1" si="284"/>
        <v>65013698.630136989</v>
      </c>
      <c r="FJ40" s="258"/>
      <c r="FK40" s="197">
        <f t="shared" si="238"/>
        <v>2859</v>
      </c>
      <c r="FL40" s="1006">
        <f t="shared" si="239"/>
        <v>31</v>
      </c>
      <c r="FM40" s="1007">
        <f t="shared" ca="1" si="240"/>
        <v>2547945.2054794505</v>
      </c>
      <c r="FN40" s="258">
        <f t="shared" ca="1" si="285"/>
        <v>67561643.83561644</v>
      </c>
      <c r="FO40" s="258"/>
      <c r="FP40" s="197">
        <f t="shared" si="241"/>
        <v>2828</v>
      </c>
      <c r="FQ40" s="1006">
        <f t="shared" si="242"/>
        <v>30</v>
      </c>
      <c r="FR40" s="1007">
        <f t="shared" ca="1" si="243"/>
        <v>2465753.4246575385</v>
      </c>
      <c r="FS40" s="258">
        <f t="shared" ca="1" si="286"/>
        <v>70027397.260273978</v>
      </c>
      <c r="FT40" s="258"/>
      <c r="FU40" s="197">
        <f t="shared" si="244"/>
        <v>2798</v>
      </c>
      <c r="FV40" s="1006">
        <f t="shared" si="245"/>
        <v>31</v>
      </c>
      <c r="FW40" s="1007">
        <f t="shared" ca="1" si="246"/>
        <v>2547945.2054794431</v>
      </c>
      <c r="FX40" s="258">
        <f t="shared" ca="1" si="287"/>
        <v>72575342.465753421</v>
      </c>
      <c r="FY40" s="258"/>
      <c r="FZ40" s="197">
        <f t="shared" si="247"/>
        <v>2767</v>
      </c>
      <c r="GA40" s="1006">
        <f t="shared" si="248"/>
        <v>30</v>
      </c>
      <c r="GB40" s="1007">
        <f t="shared" ca="1" si="249"/>
        <v>2465753.4246575385</v>
      </c>
      <c r="GC40" s="258">
        <f t="shared" ca="1" si="288"/>
        <v>75041095.89041096</v>
      </c>
      <c r="GD40" s="258"/>
      <c r="GE40" s="197">
        <f t="shared" si="250"/>
        <v>2737</v>
      </c>
      <c r="GF40" s="1006">
        <f t="shared" si="251"/>
        <v>31</v>
      </c>
      <c r="GG40" s="1007">
        <f t="shared" ca="1" si="252"/>
        <v>2547945.205479458</v>
      </c>
      <c r="GH40" s="258">
        <f t="shared" ca="1" si="289"/>
        <v>77589041.095890418</v>
      </c>
      <c r="GI40" s="258"/>
      <c r="GJ40" s="197">
        <f t="shared" si="253"/>
        <v>2706</v>
      </c>
      <c r="GK40" s="1340"/>
      <c r="GL40" s="164"/>
      <c r="GM40" s="164"/>
      <c r="GN40" s="164"/>
    </row>
    <row r="41" spans="1:196" ht="12.75" x14ac:dyDescent="0.2">
      <c r="A41" s="1010">
        <f>'Item list'!A41</f>
        <v>45703</v>
      </c>
      <c r="B41" s="243" t="str">
        <f>'Item list'!B41</f>
        <v>Signage</v>
      </c>
      <c r="C41" s="243" t="str">
        <f>'Item list'!C41</f>
        <v>Building</v>
      </c>
      <c r="D41" s="989">
        <f>'Item list'!D41</f>
        <v>10000000</v>
      </c>
      <c r="E41" s="243">
        <f>'Item list'!E41</f>
        <v>7</v>
      </c>
      <c r="F41" s="1004">
        <f>'Item list'!F41</f>
        <v>45703</v>
      </c>
      <c r="G41" s="243" t="str">
        <f>'Item list'!G41</f>
        <v>SLN</v>
      </c>
      <c r="H41" s="1005" t="e">
        <f t="shared" si="144"/>
        <v>#NUM!</v>
      </c>
      <c r="I41" s="243"/>
      <c r="J41" s="243"/>
      <c r="K41" s="243"/>
      <c r="L41" s="197">
        <f t="shared" si="145"/>
        <v>2555</v>
      </c>
      <c r="M41" s="1006">
        <f t="shared" si="146"/>
        <v>0</v>
      </c>
      <c r="N41" s="1007">
        <f t="shared" ca="1" si="147"/>
        <v>0</v>
      </c>
      <c r="O41" s="258">
        <f t="shared" ca="1" si="254"/>
        <v>0</v>
      </c>
      <c r="P41" s="258"/>
      <c r="Q41" s="197">
        <f t="shared" si="148"/>
        <v>2555</v>
      </c>
      <c r="R41" s="1006">
        <f t="shared" si="149"/>
        <v>14</v>
      </c>
      <c r="S41" s="1007">
        <f t="shared" ca="1" si="150"/>
        <v>54794.520547945205</v>
      </c>
      <c r="T41" s="258">
        <f t="shared" ca="1" si="255"/>
        <v>54794.520547945205</v>
      </c>
      <c r="U41" s="258"/>
      <c r="V41" s="197">
        <f t="shared" si="151"/>
        <v>2541</v>
      </c>
      <c r="W41" s="1006">
        <f t="shared" si="152"/>
        <v>31</v>
      </c>
      <c r="X41" s="1007">
        <f t="shared" ca="1" si="153"/>
        <v>121330.72407045012</v>
      </c>
      <c r="Y41" s="258">
        <f t="shared" ca="1" si="256"/>
        <v>176125.24461839531</v>
      </c>
      <c r="Z41" s="258"/>
      <c r="AA41" s="197">
        <f t="shared" si="154"/>
        <v>2510</v>
      </c>
      <c r="AB41" s="1006">
        <f t="shared" si="155"/>
        <v>30</v>
      </c>
      <c r="AC41" s="1007">
        <f t="shared" ca="1" si="156"/>
        <v>117416.82974559689</v>
      </c>
      <c r="AD41" s="258">
        <f t="shared" ca="1" si="257"/>
        <v>293542.0743639922</v>
      </c>
      <c r="AE41" s="258"/>
      <c r="AF41" s="197">
        <f t="shared" si="157"/>
        <v>2480</v>
      </c>
      <c r="AG41" s="1006">
        <f t="shared" si="158"/>
        <v>31</v>
      </c>
      <c r="AH41" s="1007">
        <f t="shared" ca="1" si="159"/>
        <v>121330.72407045012</v>
      </c>
      <c r="AI41" s="258">
        <f t="shared" ca="1" si="258"/>
        <v>414872.79843444232</v>
      </c>
      <c r="AJ41" s="258"/>
      <c r="AK41" s="197">
        <f t="shared" si="160"/>
        <v>2449</v>
      </c>
      <c r="AL41" s="1006">
        <f t="shared" si="161"/>
        <v>30</v>
      </c>
      <c r="AM41" s="1007">
        <f t="shared" ca="1" si="162"/>
        <v>117416.8297455968</v>
      </c>
      <c r="AN41" s="258">
        <f t="shared" ca="1" si="259"/>
        <v>532289.62818003912</v>
      </c>
      <c r="AO41" s="258"/>
      <c r="AP41" s="197">
        <f t="shared" si="163"/>
        <v>2419</v>
      </c>
      <c r="AQ41" s="1006">
        <f t="shared" si="164"/>
        <v>31</v>
      </c>
      <c r="AR41" s="1007">
        <f t="shared" ca="1" si="165"/>
        <v>121330.72407045017</v>
      </c>
      <c r="AS41" s="258">
        <f t="shared" ca="1" si="260"/>
        <v>653620.35225048929</v>
      </c>
      <c r="AT41" s="258"/>
      <c r="AU41" s="197">
        <f t="shared" si="166"/>
        <v>2388</v>
      </c>
      <c r="AV41" s="1006">
        <f t="shared" si="167"/>
        <v>31</v>
      </c>
      <c r="AW41" s="1007">
        <f t="shared" ca="1" si="168"/>
        <v>121330.72407045006</v>
      </c>
      <c r="AX41" s="258">
        <f t="shared" ca="1" si="261"/>
        <v>774951.07632093935</v>
      </c>
      <c r="AY41" s="258"/>
      <c r="AZ41" s="197">
        <f t="shared" si="169"/>
        <v>2357</v>
      </c>
      <c r="BA41" s="1006">
        <f t="shared" si="170"/>
        <v>30</v>
      </c>
      <c r="BB41" s="1007">
        <f t="shared" ca="1" si="171"/>
        <v>117416.82974559686</v>
      </c>
      <c r="BC41" s="258">
        <f t="shared" ca="1" si="262"/>
        <v>892367.9060665362</v>
      </c>
      <c r="BD41" s="258"/>
      <c r="BE41" s="197">
        <f t="shared" si="172"/>
        <v>2327</v>
      </c>
      <c r="BF41" s="1006">
        <f t="shared" si="173"/>
        <v>31</v>
      </c>
      <c r="BG41" s="1007">
        <f t="shared" ca="1" si="174"/>
        <v>121330.72407045017</v>
      </c>
      <c r="BH41" s="258">
        <f t="shared" ca="1" si="263"/>
        <v>1013698.6301369864</v>
      </c>
      <c r="BI41" s="258"/>
      <c r="BJ41" s="197">
        <f t="shared" si="175"/>
        <v>2296</v>
      </c>
      <c r="BK41" s="1006">
        <f t="shared" si="176"/>
        <v>30</v>
      </c>
      <c r="BL41" s="1007">
        <f t="shared" ca="1" si="177"/>
        <v>117416.82974559686</v>
      </c>
      <c r="BM41" s="258">
        <f t="shared" ca="1" si="264"/>
        <v>1131115.4598825832</v>
      </c>
      <c r="BN41" s="258"/>
      <c r="BO41" s="197">
        <f t="shared" si="178"/>
        <v>2266</v>
      </c>
      <c r="BP41" s="1006">
        <f t="shared" si="179"/>
        <v>31</v>
      </c>
      <c r="BQ41" s="1007">
        <f t="shared" ca="1" si="180"/>
        <v>121330.72407045006</v>
      </c>
      <c r="BR41" s="258">
        <f t="shared" ca="1" si="265"/>
        <v>1252446.1839530333</v>
      </c>
      <c r="BS41" s="258"/>
      <c r="BT41" s="197">
        <f t="shared" si="181"/>
        <v>2235</v>
      </c>
      <c r="BU41" s="1006">
        <f t="shared" si="182"/>
        <v>31</v>
      </c>
      <c r="BV41" s="1007">
        <f t="shared" ca="1" si="183"/>
        <v>121330.72407045006</v>
      </c>
      <c r="BW41" s="258">
        <f t="shared" ca="1" si="266"/>
        <v>1373776.9080234834</v>
      </c>
      <c r="BX41" s="258"/>
      <c r="BY41" s="197">
        <f t="shared" si="184"/>
        <v>2204</v>
      </c>
      <c r="BZ41" s="1006">
        <f t="shared" si="185"/>
        <v>28</v>
      </c>
      <c r="CA41" s="1007">
        <f t="shared" ca="1" si="186"/>
        <v>109589.04109589057</v>
      </c>
      <c r="CB41" s="258">
        <f t="shared" ca="1" si="267"/>
        <v>1483365.9491193739</v>
      </c>
      <c r="CC41" s="258"/>
      <c r="CD41" s="197">
        <f t="shared" si="187"/>
        <v>2176</v>
      </c>
      <c r="CE41" s="1006">
        <f t="shared" si="188"/>
        <v>31</v>
      </c>
      <c r="CF41" s="1007">
        <f t="shared" ca="1" si="189"/>
        <v>121330.72407045006</v>
      </c>
      <c r="CG41" s="258">
        <f t="shared" ca="1" si="268"/>
        <v>1604696.673189824</v>
      </c>
      <c r="CH41" s="258"/>
      <c r="CI41" s="197">
        <f t="shared" si="190"/>
        <v>2145</v>
      </c>
      <c r="CJ41" s="1006">
        <f t="shared" si="191"/>
        <v>30</v>
      </c>
      <c r="CK41" s="1007">
        <f t="shared" ca="1" si="192"/>
        <v>117416.82974559674</v>
      </c>
      <c r="CL41" s="258">
        <f t="shared" ca="1" si="269"/>
        <v>1722113.5029354207</v>
      </c>
      <c r="CM41" s="258"/>
      <c r="CN41" s="197">
        <f t="shared" si="193"/>
        <v>2115</v>
      </c>
      <c r="CO41" s="1006">
        <f t="shared" si="194"/>
        <v>31</v>
      </c>
      <c r="CP41" s="1007">
        <f t="shared" ca="1" si="195"/>
        <v>121330.72407045029</v>
      </c>
      <c r="CQ41" s="258">
        <f t="shared" ca="1" si="270"/>
        <v>1843444.227005871</v>
      </c>
      <c r="CR41" s="258"/>
      <c r="CS41" s="197">
        <f t="shared" si="196"/>
        <v>2084</v>
      </c>
      <c r="CT41" s="1006">
        <f t="shared" si="197"/>
        <v>30</v>
      </c>
      <c r="CU41" s="1007">
        <f t="shared" ca="1" si="198"/>
        <v>117416.82974559674</v>
      </c>
      <c r="CV41" s="258">
        <f t="shared" ca="1" si="271"/>
        <v>1960861.0567514678</v>
      </c>
      <c r="CW41" s="258"/>
      <c r="CX41" s="197">
        <f t="shared" si="199"/>
        <v>2054</v>
      </c>
      <c r="CY41" s="1006">
        <f t="shared" si="200"/>
        <v>31</v>
      </c>
      <c r="CZ41" s="1007">
        <f t="shared" ca="1" si="201"/>
        <v>121330.72407045006</v>
      </c>
      <c r="DA41" s="258">
        <f t="shared" ca="1" si="272"/>
        <v>2082191.7808219178</v>
      </c>
      <c r="DB41" s="258"/>
      <c r="DC41" s="197">
        <f t="shared" si="202"/>
        <v>2023</v>
      </c>
      <c r="DD41" s="1006">
        <f t="shared" si="203"/>
        <v>31</v>
      </c>
      <c r="DE41" s="1007">
        <f t="shared" ca="1" si="204"/>
        <v>121330.72407045006</v>
      </c>
      <c r="DF41" s="258">
        <f t="shared" ca="1" si="273"/>
        <v>2203522.5048923679</v>
      </c>
      <c r="DG41" s="258"/>
      <c r="DH41" s="197">
        <f t="shared" si="205"/>
        <v>1992</v>
      </c>
      <c r="DI41" s="1006">
        <f t="shared" si="206"/>
        <v>30</v>
      </c>
      <c r="DJ41" s="1007">
        <f t="shared" ca="1" si="207"/>
        <v>117416.82974559721</v>
      </c>
      <c r="DK41" s="258">
        <f t="shared" ca="1" si="274"/>
        <v>2320939.3346379651</v>
      </c>
      <c r="DL41" s="258"/>
      <c r="DM41" s="197">
        <f t="shared" si="208"/>
        <v>1962</v>
      </c>
      <c r="DN41" s="1006">
        <f t="shared" si="209"/>
        <v>31</v>
      </c>
      <c r="DO41" s="1007">
        <f t="shared" ca="1" si="210"/>
        <v>121330.72407044983</v>
      </c>
      <c r="DP41" s="258">
        <f t="shared" ca="1" si="275"/>
        <v>2442270.0587084149</v>
      </c>
      <c r="DQ41" s="258"/>
      <c r="DR41" s="197">
        <f t="shared" si="211"/>
        <v>1931</v>
      </c>
      <c r="DS41" s="1006">
        <f t="shared" si="212"/>
        <v>30</v>
      </c>
      <c r="DT41" s="1007">
        <f t="shared" ca="1" si="213"/>
        <v>117416.82974559674</v>
      </c>
      <c r="DU41" s="258">
        <f t="shared" ca="1" si="276"/>
        <v>2559686.8884540116</v>
      </c>
      <c r="DV41" s="258"/>
      <c r="DW41" s="197">
        <f t="shared" si="214"/>
        <v>1901</v>
      </c>
      <c r="DX41" s="1006">
        <f t="shared" si="215"/>
        <v>31</v>
      </c>
      <c r="DY41" s="1007">
        <f t="shared" ca="1" si="216"/>
        <v>121330.72407045029</v>
      </c>
      <c r="DZ41" s="258">
        <f t="shared" ca="1" si="277"/>
        <v>2681017.6125244619</v>
      </c>
      <c r="EA41" s="258"/>
      <c r="EB41" s="197">
        <f t="shared" si="217"/>
        <v>1870</v>
      </c>
      <c r="EC41" s="1006">
        <f t="shared" si="218"/>
        <v>31</v>
      </c>
      <c r="ED41" s="1007">
        <f t="shared" ca="1" si="219"/>
        <v>121330.72407045029</v>
      </c>
      <c r="EE41" s="258">
        <f t="shared" ca="1" si="278"/>
        <v>2802348.3365949122</v>
      </c>
      <c r="EF41" s="258"/>
      <c r="EG41" s="197">
        <f t="shared" si="220"/>
        <v>1839</v>
      </c>
      <c r="EH41" s="1006">
        <f t="shared" si="221"/>
        <v>28</v>
      </c>
      <c r="EI41" s="1007">
        <f t="shared" ca="1" si="222"/>
        <v>109589.0410958901</v>
      </c>
      <c r="EJ41" s="258">
        <f t="shared" ca="1" si="279"/>
        <v>2911937.3776908023</v>
      </c>
      <c r="EK41" s="258"/>
      <c r="EL41" s="197">
        <f t="shared" si="223"/>
        <v>1811</v>
      </c>
      <c r="EM41" s="1006">
        <f t="shared" si="224"/>
        <v>31</v>
      </c>
      <c r="EN41" s="1007">
        <f t="shared" ca="1" si="225"/>
        <v>121330.72407045029</v>
      </c>
      <c r="EO41" s="258">
        <f t="shared" ca="1" si="280"/>
        <v>3033268.1017612526</v>
      </c>
      <c r="EP41" s="258"/>
      <c r="EQ41" s="197">
        <f t="shared" si="226"/>
        <v>1780</v>
      </c>
      <c r="ER41" s="1006">
        <f t="shared" si="227"/>
        <v>30</v>
      </c>
      <c r="ES41" s="1007">
        <f t="shared" ca="1" si="228"/>
        <v>117416.82974559674</v>
      </c>
      <c r="ET41" s="258">
        <f t="shared" ca="1" si="281"/>
        <v>3150684.9315068494</v>
      </c>
      <c r="EU41" s="258"/>
      <c r="EV41" s="197">
        <f t="shared" si="229"/>
        <v>1750</v>
      </c>
      <c r="EW41" s="1006">
        <f t="shared" si="230"/>
        <v>31</v>
      </c>
      <c r="EX41" s="1007">
        <f t="shared" ca="1" si="231"/>
        <v>121330.72407045029</v>
      </c>
      <c r="EY41" s="258">
        <f t="shared" ca="1" si="282"/>
        <v>3272015.6555772997</v>
      </c>
      <c r="EZ41" s="258"/>
      <c r="FA41" s="197">
        <f t="shared" si="232"/>
        <v>1719</v>
      </c>
      <c r="FB41" s="1006">
        <f t="shared" si="233"/>
        <v>30</v>
      </c>
      <c r="FC41" s="1007">
        <f t="shared" ca="1" si="234"/>
        <v>117416.82974559674</v>
      </c>
      <c r="FD41" s="258">
        <f t="shared" ca="1" si="283"/>
        <v>3389432.4853228964</v>
      </c>
      <c r="FE41" s="258"/>
      <c r="FF41" s="197">
        <f t="shared" si="235"/>
        <v>1689</v>
      </c>
      <c r="FG41" s="1006">
        <f t="shared" si="236"/>
        <v>31</v>
      </c>
      <c r="FH41" s="1007">
        <f t="shared" ca="1" si="237"/>
        <v>121330.72407045029</v>
      </c>
      <c r="FI41" s="258">
        <f t="shared" ca="1" si="284"/>
        <v>3510763.2093933467</v>
      </c>
      <c r="FJ41" s="258"/>
      <c r="FK41" s="197">
        <f t="shared" si="238"/>
        <v>1658</v>
      </c>
      <c r="FL41" s="1006">
        <f t="shared" si="239"/>
        <v>31</v>
      </c>
      <c r="FM41" s="1007">
        <f t="shared" ca="1" si="240"/>
        <v>121330.72407044983</v>
      </c>
      <c r="FN41" s="258">
        <f t="shared" ca="1" si="285"/>
        <v>3632093.9334637965</v>
      </c>
      <c r="FO41" s="258"/>
      <c r="FP41" s="197">
        <f t="shared" si="241"/>
        <v>1627</v>
      </c>
      <c r="FQ41" s="1006">
        <f t="shared" si="242"/>
        <v>30</v>
      </c>
      <c r="FR41" s="1007">
        <f t="shared" ca="1" si="243"/>
        <v>117416.82974559721</v>
      </c>
      <c r="FS41" s="258">
        <f t="shared" ca="1" si="286"/>
        <v>3749510.7632093937</v>
      </c>
      <c r="FT41" s="258"/>
      <c r="FU41" s="197">
        <f t="shared" si="244"/>
        <v>1597</v>
      </c>
      <c r="FV41" s="1006">
        <f t="shared" si="245"/>
        <v>31</v>
      </c>
      <c r="FW41" s="1007">
        <f t="shared" ca="1" si="246"/>
        <v>121330.72407044983</v>
      </c>
      <c r="FX41" s="258">
        <f t="shared" ca="1" si="287"/>
        <v>3870841.4872798435</v>
      </c>
      <c r="FY41" s="258"/>
      <c r="FZ41" s="197">
        <f t="shared" si="247"/>
        <v>1566</v>
      </c>
      <c r="GA41" s="1006">
        <f t="shared" si="248"/>
        <v>30</v>
      </c>
      <c r="GB41" s="1007">
        <f t="shared" ca="1" si="249"/>
        <v>117416.82974559674</v>
      </c>
      <c r="GC41" s="258">
        <f t="shared" ca="1" si="288"/>
        <v>3988258.3170254403</v>
      </c>
      <c r="GD41" s="258"/>
      <c r="GE41" s="197">
        <f t="shared" si="250"/>
        <v>1536</v>
      </c>
      <c r="GF41" s="1006">
        <f t="shared" si="251"/>
        <v>31</v>
      </c>
      <c r="GG41" s="1007">
        <f t="shared" ca="1" si="252"/>
        <v>121330.72407045029</v>
      </c>
      <c r="GH41" s="258">
        <f t="shared" ca="1" si="289"/>
        <v>4109589.0410958906</v>
      </c>
      <c r="GI41" s="258"/>
      <c r="GJ41" s="197">
        <f t="shared" si="253"/>
        <v>1505</v>
      </c>
      <c r="GK41" s="1340"/>
      <c r="GL41" s="164"/>
      <c r="GM41" s="164"/>
      <c r="GN41" s="164"/>
    </row>
    <row r="42" spans="1:196" ht="12.75" x14ac:dyDescent="0.2">
      <c r="A42" s="1010">
        <f>'Item list'!A42</f>
        <v>45792</v>
      </c>
      <c r="B42" s="243" t="str">
        <f>'Item list'!B42</f>
        <v>Warehouse forklifts</v>
      </c>
      <c r="C42" s="243" t="str">
        <f>'Item list'!C42</f>
        <v>Vehicles</v>
      </c>
      <c r="D42" s="989">
        <f>'Item list'!D42</f>
        <v>1200000000</v>
      </c>
      <c r="E42" s="243">
        <f>'Item list'!E42</f>
        <v>7</v>
      </c>
      <c r="F42" s="1004">
        <f>'Item list'!F42</f>
        <v>45809</v>
      </c>
      <c r="G42" s="243" t="str">
        <f>'Item list'!G42</f>
        <v>SLN</v>
      </c>
      <c r="H42" s="1005" t="e">
        <f t="shared" si="144"/>
        <v>#NUM!</v>
      </c>
      <c r="I42" s="243"/>
      <c r="J42" s="243"/>
      <c r="K42" s="243"/>
      <c r="L42" s="197">
        <f t="shared" si="145"/>
        <v>2555</v>
      </c>
      <c r="M42" s="1006">
        <f t="shared" si="146"/>
        <v>0</v>
      </c>
      <c r="N42" s="1007">
        <f t="shared" ca="1" si="147"/>
        <v>0</v>
      </c>
      <c r="O42" s="258">
        <f t="shared" ca="1" si="254"/>
        <v>0</v>
      </c>
      <c r="P42" s="258"/>
      <c r="Q42" s="197">
        <f t="shared" si="148"/>
        <v>2555</v>
      </c>
      <c r="R42" s="1006">
        <f t="shared" si="149"/>
        <v>0</v>
      </c>
      <c r="S42" s="1007">
        <f t="shared" ca="1" si="150"/>
        <v>0</v>
      </c>
      <c r="T42" s="258">
        <f t="shared" ca="1" si="255"/>
        <v>0</v>
      </c>
      <c r="U42" s="258"/>
      <c r="V42" s="197">
        <f t="shared" si="151"/>
        <v>2555</v>
      </c>
      <c r="W42" s="1006">
        <f t="shared" si="152"/>
        <v>0</v>
      </c>
      <c r="X42" s="1007">
        <f t="shared" ca="1" si="153"/>
        <v>0</v>
      </c>
      <c r="Y42" s="258">
        <f t="shared" ca="1" si="256"/>
        <v>0</v>
      </c>
      <c r="Z42" s="258"/>
      <c r="AA42" s="197">
        <f t="shared" si="154"/>
        <v>2555</v>
      </c>
      <c r="AB42" s="1006">
        <f t="shared" si="155"/>
        <v>0</v>
      </c>
      <c r="AC42" s="1007">
        <f t="shared" ca="1" si="156"/>
        <v>0</v>
      </c>
      <c r="AD42" s="258">
        <f t="shared" ca="1" si="257"/>
        <v>0</v>
      </c>
      <c r="AE42" s="258"/>
      <c r="AF42" s="197">
        <f t="shared" si="157"/>
        <v>2555</v>
      </c>
      <c r="AG42" s="1006">
        <f t="shared" si="158"/>
        <v>0</v>
      </c>
      <c r="AH42" s="1007">
        <f t="shared" ca="1" si="159"/>
        <v>0</v>
      </c>
      <c r="AI42" s="258">
        <f t="shared" ca="1" si="258"/>
        <v>0</v>
      </c>
      <c r="AJ42" s="258"/>
      <c r="AK42" s="197">
        <f t="shared" si="160"/>
        <v>2555</v>
      </c>
      <c r="AL42" s="1006">
        <f t="shared" si="161"/>
        <v>30</v>
      </c>
      <c r="AM42" s="1007">
        <f t="shared" ca="1" si="162"/>
        <v>14090019.569471624</v>
      </c>
      <c r="AN42" s="258">
        <f t="shared" ca="1" si="259"/>
        <v>14090019.569471624</v>
      </c>
      <c r="AO42" s="258"/>
      <c r="AP42" s="197">
        <f t="shared" si="163"/>
        <v>2525</v>
      </c>
      <c r="AQ42" s="1006">
        <f t="shared" si="164"/>
        <v>31</v>
      </c>
      <c r="AR42" s="1007">
        <f t="shared" ca="1" si="165"/>
        <v>14559686.888454013</v>
      </c>
      <c r="AS42" s="258">
        <f t="shared" ca="1" si="260"/>
        <v>28649706.457925636</v>
      </c>
      <c r="AT42" s="258"/>
      <c r="AU42" s="197">
        <f t="shared" si="166"/>
        <v>2494</v>
      </c>
      <c r="AV42" s="1006">
        <f t="shared" si="167"/>
        <v>31</v>
      </c>
      <c r="AW42" s="1007">
        <f t="shared" ca="1" si="168"/>
        <v>14559686.888454009</v>
      </c>
      <c r="AX42" s="258">
        <f t="shared" ca="1" si="261"/>
        <v>43209393.346379645</v>
      </c>
      <c r="AY42" s="258"/>
      <c r="AZ42" s="197">
        <f t="shared" si="169"/>
        <v>2463</v>
      </c>
      <c r="BA42" s="1006">
        <f t="shared" si="170"/>
        <v>30</v>
      </c>
      <c r="BB42" s="1007">
        <f t="shared" ca="1" si="171"/>
        <v>14090019.569471627</v>
      </c>
      <c r="BC42" s="258">
        <f t="shared" ca="1" si="262"/>
        <v>57299412.915851273</v>
      </c>
      <c r="BD42" s="258"/>
      <c r="BE42" s="197">
        <f t="shared" si="172"/>
        <v>2433</v>
      </c>
      <c r="BF42" s="1006">
        <f t="shared" si="173"/>
        <v>31</v>
      </c>
      <c r="BG42" s="1007">
        <f t="shared" ca="1" si="174"/>
        <v>14559686.888454013</v>
      </c>
      <c r="BH42" s="258">
        <f t="shared" ca="1" si="263"/>
        <v>71859099.804305285</v>
      </c>
      <c r="BI42" s="258"/>
      <c r="BJ42" s="197">
        <f t="shared" si="175"/>
        <v>2402</v>
      </c>
      <c r="BK42" s="1006">
        <f t="shared" si="176"/>
        <v>30</v>
      </c>
      <c r="BL42" s="1007">
        <f t="shared" ca="1" si="177"/>
        <v>14090019.569471627</v>
      </c>
      <c r="BM42" s="258">
        <f t="shared" ca="1" si="264"/>
        <v>85949119.373776913</v>
      </c>
      <c r="BN42" s="258"/>
      <c r="BO42" s="197">
        <f t="shared" si="178"/>
        <v>2372</v>
      </c>
      <c r="BP42" s="1006">
        <f t="shared" si="179"/>
        <v>31</v>
      </c>
      <c r="BQ42" s="1007">
        <f t="shared" ca="1" si="180"/>
        <v>14559686.888454005</v>
      </c>
      <c r="BR42" s="258">
        <f t="shared" ca="1" si="265"/>
        <v>100508806.26223092</v>
      </c>
      <c r="BS42" s="258"/>
      <c r="BT42" s="197">
        <f t="shared" si="181"/>
        <v>2341</v>
      </c>
      <c r="BU42" s="1006">
        <f t="shared" si="182"/>
        <v>31</v>
      </c>
      <c r="BV42" s="1007">
        <f t="shared" ca="1" si="183"/>
        <v>14559686.88845402</v>
      </c>
      <c r="BW42" s="258">
        <f t="shared" ca="1" si="266"/>
        <v>115068493.15068494</v>
      </c>
      <c r="BX42" s="258"/>
      <c r="BY42" s="197">
        <f t="shared" si="184"/>
        <v>2310</v>
      </c>
      <c r="BZ42" s="1006">
        <f t="shared" si="185"/>
        <v>28</v>
      </c>
      <c r="CA42" s="1007">
        <f t="shared" ca="1" si="186"/>
        <v>13150684.931506842</v>
      </c>
      <c r="CB42" s="258">
        <f t="shared" ca="1" si="267"/>
        <v>128219178.08219178</v>
      </c>
      <c r="CC42" s="258"/>
      <c r="CD42" s="197">
        <f t="shared" si="187"/>
        <v>2282</v>
      </c>
      <c r="CE42" s="1006">
        <f t="shared" si="188"/>
        <v>31</v>
      </c>
      <c r="CF42" s="1007">
        <f t="shared" ca="1" si="189"/>
        <v>14559686.888454005</v>
      </c>
      <c r="CG42" s="258">
        <f t="shared" ca="1" si="268"/>
        <v>142778864.97064579</v>
      </c>
      <c r="CH42" s="258"/>
      <c r="CI42" s="197">
        <f t="shared" si="190"/>
        <v>2251</v>
      </c>
      <c r="CJ42" s="1006">
        <f t="shared" si="191"/>
        <v>30</v>
      </c>
      <c r="CK42" s="1007">
        <f t="shared" ca="1" si="192"/>
        <v>14090019.569471627</v>
      </c>
      <c r="CL42" s="258">
        <f t="shared" ca="1" si="269"/>
        <v>156868884.54011741</v>
      </c>
      <c r="CM42" s="258"/>
      <c r="CN42" s="197">
        <f t="shared" si="193"/>
        <v>2221</v>
      </c>
      <c r="CO42" s="1006">
        <f t="shared" si="194"/>
        <v>31</v>
      </c>
      <c r="CP42" s="1007">
        <f t="shared" ca="1" si="195"/>
        <v>14559686.88845402</v>
      </c>
      <c r="CQ42" s="258">
        <f t="shared" ca="1" si="270"/>
        <v>171428571.42857143</v>
      </c>
      <c r="CR42" s="258"/>
      <c r="CS42" s="197">
        <f t="shared" si="196"/>
        <v>2190</v>
      </c>
      <c r="CT42" s="1006">
        <f t="shared" si="197"/>
        <v>30</v>
      </c>
      <c r="CU42" s="1007">
        <f t="shared" ca="1" si="198"/>
        <v>14090019.569471627</v>
      </c>
      <c r="CV42" s="258">
        <f t="shared" ca="1" si="271"/>
        <v>185518590.99804306</v>
      </c>
      <c r="CW42" s="258"/>
      <c r="CX42" s="197">
        <f t="shared" si="199"/>
        <v>2160</v>
      </c>
      <c r="CY42" s="1006">
        <f t="shared" si="200"/>
        <v>31</v>
      </c>
      <c r="CZ42" s="1007">
        <f t="shared" ca="1" si="201"/>
        <v>14559686.88845402</v>
      </c>
      <c r="DA42" s="258">
        <f t="shared" ca="1" si="272"/>
        <v>200078277.88649708</v>
      </c>
      <c r="DB42" s="258"/>
      <c r="DC42" s="197">
        <f t="shared" si="202"/>
        <v>2129</v>
      </c>
      <c r="DD42" s="1006">
        <f t="shared" si="203"/>
        <v>31</v>
      </c>
      <c r="DE42" s="1007">
        <f t="shared" ca="1" si="204"/>
        <v>14559686.88845399</v>
      </c>
      <c r="DF42" s="258">
        <f t="shared" ca="1" si="273"/>
        <v>214637964.77495107</v>
      </c>
      <c r="DG42" s="258"/>
      <c r="DH42" s="197">
        <f t="shared" si="205"/>
        <v>2098</v>
      </c>
      <c r="DI42" s="1006">
        <f t="shared" si="206"/>
        <v>30</v>
      </c>
      <c r="DJ42" s="1007">
        <f t="shared" ca="1" si="207"/>
        <v>14090019.569471627</v>
      </c>
      <c r="DK42" s="258">
        <f t="shared" ca="1" si="274"/>
        <v>228727984.3444227</v>
      </c>
      <c r="DL42" s="258"/>
      <c r="DM42" s="197">
        <f t="shared" si="208"/>
        <v>2068</v>
      </c>
      <c r="DN42" s="1006">
        <f t="shared" si="209"/>
        <v>31</v>
      </c>
      <c r="DO42" s="1007">
        <f t="shared" ca="1" si="210"/>
        <v>14559686.88845402</v>
      </c>
      <c r="DP42" s="258">
        <f t="shared" ca="1" si="275"/>
        <v>243287671.23287672</v>
      </c>
      <c r="DQ42" s="258"/>
      <c r="DR42" s="197">
        <f t="shared" si="211"/>
        <v>2037</v>
      </c>
      <c r="DS42" s="1006">
        <f t="shared" si="212"/>
        <v>30</v>
      </c>
      <c r="DT42" s="1007">
        <f t="shared" ca="1" si="213"/>
        <v>14090019.569471627</v>
      </c>
      <c r="DU42" s="258">
        <f t="shared" ca="1" si="276"/>
        <v>257377690.80234835</v>
      </c>
      <c r="DV42" s="258"/>
      <c r="DW42" s="197">
        <f t="shared" si="214"/>
        <v>2007</v>
      </c>
      <c r="DX42" s="1006">
        <f t="shared" si="215"/>
        <v>31</v>
      </c>
      <c r="DY42" s="1007">
        <f t="shared" ca="1" si="216"/>
        <v>14559686.88845399</v>
      </c>
      <c r="DZ42" s="258">
        <f t="shared" ca="1" si="277"/>
        <v>271937377.69080234</v>
      </c>
      <c r="EA42" s="258"/>
      <c r="EB42" s="197">
        <f t="shared" si="217"/>
        <v>1976</v>
      </c>
      <c r="EC42" s="1006">
        <f t="shared" si="218"/>
        <v>31</v>
      </c>
      <c r="ED42" s="1007">
        <f t="shared" ca="1" si="219"/>
        <v>14559686.88845402</v>
      </c>
      <c r="EE42" s="258">
        <f t="shared" ca="1" si="278"/>
        <v>286497064.57925636</v>
      </c>
      <c r="EF42" s="258"/>
      <c r="EG42" s="197">
        <f t="shared" si="220"/>
        <v>1945</v>
      </c>
      <c r="EH42" s="1006">
        <f t="shared" si="221"/>
        <v>28</v>
      </c>
      <c r="EI42" s="1007">
        <f t="shared" ca="1" si="222"/>
        <v>13150684.931506872</v>
      </c>
      <c r="EJ42" s="258">
        <f t="shared" ca="1" si="279"/>
        <v>299647749.51076323</v>
      </c>
      <c r="EK42" s="258"/>
      <c r="EL42" s="197">
        <f t="shared" si="223"/>
        <v>1917</v>
      </c>
      <c r="EM42" s="1006">
        <f t="shared" si="224"/>
        <v>31</v>
      </c>
      <c r="EN42" s="1007">
        <f t="shared" ca="1" si="225"/>
        <v>14559686.88845402</v>
      </c>
      <c r="EO42" s="258">
        <f t="shared" ca="1" si="280"/>
        <v>314207436.39921725</v>
      </c>
      <c r="EP42" s="258"/>
      <c r="EQ42" s="197">
        <f t="shared" si="226"/>
        <v>1886</v>
      </c>
      <c r="ER42" s="1006">
        <f t="shared" si="227"/>
        <v>30</v>
      </c>
      <c r="ES42" s="1007">
        <f t="shared" ca="1" si="228"/>
        <v>14090019.569471598</v>
      </c>
      <c r="ET42" s="258">
        <f t="shared" ca="1" si="281"/>
        <v>328297455.96868885</v>
      </c>
      <c r="EU42" s="258"/>
      <c r="EV42" s="197">
        <f t="shared" si="229"/>
        <v>1856</v>
      </c>
      <c r="EW42" s="1006">
        <f t="shared" si="230"/>
        <v>31</v>
      </c>
      <c r="EX42" s="1007">
        <f t="shared" ca="1" si="231"/>
        <v>14559686.88845402</v>
      </c>
      <c r="EY42" s="258">
        <f t="shared" ca="1" si="282"/>
        <v>342857142.85714287</v>
      </c>
      <c r="EZ42" s="258"/>
      <c r="FA42" s="197">
        <f t="shared" si="232"/>
        <v>1825</v>
      </c>
      <c r="FB42" s="1006">
        <f t="shared" si="233"/>
        <v>30</v>
      </c>
      <c r="FC42" s="1007">
        <f t="shared" ca="1" si="234"/>
        <v>14090019.569471598</v>
      </c>
      <c r="FD42" s="258">
        <f t="shared" ca="1" si="283"/>
        <v>356947162.42661446</v>
      </c>
      <c r="FE42" s="258"/>
      <c r="FF42" s="197">
        <f t="shared" si="235"/>
        <v>1795</v>
      </c>
      <c r="FG42" s="1006">
        <f t="shared" si="236"/>
        <v>31</v>
      </c>
      <c r="FH42" s="1007">
        <f t="shared" ca="1" si="237"/>
        <v>14559686.88845402</v>
      </c>
      <c r="FI42" s="258">
        <f t="shared" ca="1" si="284"/>
        <v>371506849.31506848</v>
      </c>
      <c r="FJ42" s="258"/>
      <c r="FK42" s="197">
        <f t="shared" si="238"/>
        <v>1764</v>
      </c>
      <c r="FL42" s="1006">
        <f t="shared" si="239"/>
        <v>31</v>
      </c>
      <c r="FM42" s="1007">
        <f t="shared" ca="1" si="240"/>
        <v>14559686.88845402</v>
      </c>
      <c r="FN42" s="258">
        <f t="shared" ca="1" si="285"/>
        <v>386066536.2035225</v>
      </c>
      <c r="FO42" s="258"/>
      <c r="FP42" s="197">
        <f t="shared" si="241"/>
        <v>1733</v>
      </c>
      <c r="FQ42" s="1006">
        <f t="shared" si="242"/>
        <v>30</v>
      </c>
      <c r="FR42" s="1007">
        <f t="shared" ca="1" si="243"/>
        <v>14090019.569471657</v>
      </c>
      <c r="FS42" s="258">
        <f t="shared" ca="1" si="286"/>
        <v>400156555.77299416</v>
      </c>
      <c r="FT42" s="258"/>
      <c r="FU42" s="197">
        <f t="shared" si="244"/>
        <v>1703</v>
      </c>
      <c r="FV42" s="1006">
        <f t="shared" si="245"/>
        <v>31</v>
      </c>
      <c r="FW42" s="1007">
        <f t="shared" ca="1" si="246"/>
        <v>14559686.88845396</v>
      </c>
      <c r="FX42" s="258">
        <f t="shared" ca="1" si="287"/>
        <v>414716242.66144812</v>
      </c>
      <c r="FY42" s="258"/>
      <c r="FZ42" s="197">
        <f t="shared" si="247"/>
        <v>1672</v>
      </c>
      <c r="GA42" s="1006">
        <f t="shared" si="248"/>
        <v>30</v>
      </c>
      <c r="GB42" s="1007">
        <f t="shared" ca="1" si="249"/>
        <v>14090019.569471657</v>
      </c>
      <c r="GC42" s="258">
        <f t="shared" ca="1" si="288"/>
        <v>428806262.23091978</v>
      </c>
      <c r="GD42" s="258"/>
      <c r="GE42" s="197">
        <f t="shared" si="250"/>
        <v>1642</v>
      </c>
      <c r="GF42" s="1006">
        <f t="shared" si="251"/>
        <v>31</v>
      </c>
      <c r="GG42" s="1007">
        <f t="shared" ca="1" si="252"/>
        <v>14559686.88845402</v>
      </c>
      <c r="GH42" s="258">
        <f t="shared" ca="1" si="289"/>
        <v>443365949.1193738</v>
      </c>
      <c r="GI42" s="258"/>
      <c r="GJ42" s="197">
        <f t="shared" si="253"/>
        <v>1611</v>
      </c>
      <c r="GK42" s="1340"/>
      <c r="GL42" s="164"/>
      <c r="GM42" s="164"/>
      <c r="GN42" s="164"/>
    </row>
    <row r="43" spans="1:196" ht="12.75" x14ac:dyDescent="0.2">
      <c r="A43" s="243">
        <f>'Item list'!A43</f>
        <v>0</v>
      </c>
      <c r="B43" s="243">
        <f>'Item list'!B43</f>
        <v>0</v>
      </c>
      <c r="C43" s="243">
        <f>'Item list'!C43</f>
        <v>0</v>
      </c>
      <c r="D43" s="989">
        <f>'Item list'!D43</f>
        <v>0</v>
      </c>
      <c r="E43" s="243">
        <f>'Item list'!E43</f>
        <v>0</v>
      </c>
      <c r="F43" s="243">
        <f>'Item list'!F43</f>
        <v>0</v>
      </c>
      <c r="G43" s="243">
        <f>'Item list'!G43</f>
        <v>0</v>
      </c>
      <c r="H43" s="1005" t="e">
        <f t="shared" si="144"/>
        <v>#REF!</v>
      </c>
      <c r="I43" s="243"/>
      <c r="J43" s="243"/>
      <c r="K43" s="243"/>
      <c r="L43" s="197">
        <f t="shared" si="145"/>
        <v>0</v>
      </c>
      <c r="M43" s="1006">
        <f t="shared" si="146"/>
        <v>0</v>
      </c>
      <c r="N43" s="1007" t="e">
        <f t="shared" si="147"/>
        <v>#VALUE!</v>
      </c>
      <c r="O43" s="258" t="str">
        <f t="shared" si="254"/>
        <v>--</v>
      </c>
      <c r="P43" s="258"/>
      <c r="Q43" s="197">
        <f t="shared" si="148"/>
        <v>0</v>
      </c>
      <c r="R43" s="1006">
        <f t="shared" si="149"/>
        <v>0</v>
      </c>
      <c r="S43" s="1007" t="e">
        <f t="shared" si="150"/>
        <v>#VALUE!</v>
      </c>
      <c r="T43" s="258" t="str">
        <f t="shared" si="255"/>
        <v>--</v>
      </c>
      <c r="U43" s="258"/>
      <c r="V43" s="197">
        <f t="shared" si="151"/>
        <v>0</v>
      </c>
      <c r="W43" s="1006">
        <f t="shared" si="152"/>
        <v>0</v>
      </c>
      <c r="X43" s="1007" t="e">
        <f t="shared" si="153"/>
        <v>#VALUE!</v>
      </c>
      <c r="Y43" s="258" t="str">
        <f t="shared" si="256"/>
        <v>--</v>
      </c>
      <c r="Z43" s="258"/>
      <c r="AA43" s="197">
        <f t="shared" si="154"/>
        <v>0</v>
      </c>
      <c r="AB43" s="1006">
        <f t="shared" si="155"/>
        <v>0</v>
      </c>
      <c r="AC43" s="1007" t="e">
        <f t="shared" si="156"/>
        <v>#VALUE!</v>
      </c>
      <c r="AD43" s="258" t="str">
        <f t="shared" si="257"/>
        <v>--</v>
      </c>
      <c r="AE43" s="258"/>
      <c r="AF43" s="197">
        <f t="shared" si="157"/>
        <v>0</v>
      </c>
      <c r="AG43" s="1006">
        <f t="shared" si="158"/>
        <v>0</v>
      </c>
      <c r="AH43" s="1007" t="e">
        <f t="shared" si="159"/>
        <v>#VALUE!</v>
      </c>
      <c r="AI43" s="258" t="str">
        <f t="shared" si="258"/>
        <v>--</v>
      </c>
      <c r="AJ43" s="258"/>
      <c r="AK43" s="197">
        <f t="shared" si="160"/>
        <v>0</v>
      </c>
      <c r="AL43" s="1006">
        <f t="shared" si="161"/>
        <v>0</v>
      </c>
      <c r="AM43" s="1007" t="e">
        <f t="shared" si="162"/>
        <v>#VALUE!</v>
      </c>
      <c r="AN43" s="258" t="str">
        <f t="shared" si="259"/>
        <v>--</v>
      </c>
      <c r="AO43" s="258"/>
      <c r="AP43" s="197">
        <f t="shared" si="163"/>
        <v>0</v>
      </c>
      <c r="AQ43" s="1006">
        <f t="shared" si="164"/>
        <v>0</v>
      </c>
      <c r="AR43" s="1007" t="e">
        <f t="shared" si="165"/>
        <v>#VALUE!</v>
      </c>
      <c r="AS43" s="258" t="str">
        <f t="shared" si="260"/>
        <v>--</v>
      </c>
      <c r="AT43" s="258"/>
      <c r="AU43" s="197">
        <f t="shared" si="166"/>
        <v>0</v>
      </c>
      <c r="AV43" s="1006">
        <f t="shared" si="167"/>
        <v>0</v>
      </c>
      <c r="AW43" s="1007" t="e">
        <f t="shared" si="168"/>
        <v>#VALUE!</v>
      </c>
      <c r="AX43" s="258" t="str">
        <f t="shared" si="261"/>
        <v>--</v>
      </c>
      <c r="AY43" s="258"/>
      <c r="AZ43" s="197">
        <f t="shared" si="169"/>
        <v>0</v>
      </c>
      <c r="BA43" s="1006">
        <f t="shared" si="170"/>
        <v>0</v>
      </c>
      <c r="BB43" s="1007" t="e">
        <f t="shared" si="171"/>
        <v>#VALUE!</v>
      </c>
      <c r="BC43" s="258" t="str">
        <f t="shared" si="262"/>
        <v>--</v>
      </c>
      <c r="BD43" s="258"/>
      <c r="BE43" s="197">
        <f t="shared" si="172"/>
        <v>0</v>
      </c>
      <c r="BF43" s="1006">
        <f t="shared" si="173"/>
        <v>0</v>
      </c>
      <c r="BG43" s="1007" t="e">
        <f t="shared" si="174"/>
        <v>#VALUE!</v>
      </c>
      <c r="BH43" s="258" t="str">
        <f t="shared" si="263"/>
        <v>--</v>
      </c>
      <c r="BI43" s="258"/>
      <c r="BJ43" s="197">
        <f t="shared" si="175"/>
        <v>0</v>
      </c>
      <c r="BK43" s="1006">
        <f t="shared" si="176"/>
        <v>0</v>
      </c>
      <c r="BL43" s="1007" t="e">
        <f t="shared" si="177"/>
        <v>#VALUE!</v>
      </c>
      <c r="BM43" s="258" t="str">
        <f t="shared" si="264"/>
        <v>--</v>
      </c>
      <c r="BN43" s="258"/>
      <c r="BO43" s="197">
        <f t="shared" si="178"/>
        <v>0</v>
      </c>
      <c r="BP43" s="1006">
        <f t="shared" si="179"/>
        <v>0</v>
      </c>
      <c r="BQ43" s="1007" t="e">
        <f t="shared" si="180"/>
        <v>#VALUE!</v>
      </c>
      <c r="BR43" s="258" t="str">
        <f t="shared" si="265"/>
        <v>--</v>
      </c>
      <c r="BS43" s="258"/>
      <c r="BT43" s="197">
        <f t="shared" si="181"/>
        <v>0</v>
      </c>
      <c r="BU43" s="1006">
        <f t="shared" si="182"/>
        <v>0</v>
      </c>
      <c r="BV43" s="1007" t="e">
        <f t="shared" si="183"/>
        <v>#VALUE!</v>
      </c>
      <c r="BW43" s="258" t="str">
        <f t="shared" si="266"/>
        <v>--</v>
      </c>
      <c r="BX43" s="258"/>
      <c r="BY43" s="197">
        <f t="shared" si="184"/>
        <v>0</v>
      </c>
      <c r="BZ43" s="1006">
        <f t="shared" si="185"/>
        <v>0</v>
      </c>
      <c r="CA43" s="1007" t="e">
        <f t="shared" si="186"/>
        <v>#VALUE!</v>
      </c>
      <c r="CB43" s="258" t="str">
        <f t="shared" si="267"/>
        <v>--</v>
      </c>
      <c r="CC43" s="258"/>
      <c r="CD43" s="197">
        <f t="shared" si="187"/>
        <v>0</v>
      </c>
      <c r="CE43" s="1006">
        <f t="shared" si="188"/>
        <v>0</v>
      </c>
      <c r="CF43" s="1007" t="e">
        <f t="shared" si="189"/>
        <v>#VALUE!</v>
      </c>
      <c r="CG43" s="258" t="str">
        <f t="shared" si="268"/>
        <v>--</v>
      </c>
      <c r="CH43" s="258"/>
      <c r="CI43" s="197">
        <f t="shared" si="190"/>
        <v>0</v>
      </c>
      <c r="CJ43" s="1006">
        <f t="shared" si="191"/>
        <v>0</v>
      </c>
      <c r="CK43" s="1007" t="e">
        <f t="shared" si="192"/>
        <v>#VALUE!</v>
      </c>
      <c r="CL43" s="258" t="str">
        <f t="shared" si="269"/>
        <v>--</v>
      </c>
      <c r="CM43" s="258"/>
      <c r="CN43" s="197">
        <f t="shared" si="193"/>
        <v>0</v>
      </c>
      <c r="CO43" s="1006">
        <f t="shared" si="194"/>
        <v>0</v>
      </c>
      <c r="CP43" s="1007" t="e">
        <f t="shared" si="195"/>
        <v>#VALUE!</v>
      </c>
      <c r="CQ43" s="258" t="str">
        <f t="shared" si="270"/>
        <v>--</v>
      </c>
      <c r="CR43" s="258"/>
      <c r="CS43" s="197">
        <f t="shared" si="196"/>
        <v>0</v>
      </c>
      <c r="CT43" s="1006">
        <f t="shared" si="197"/>
        <v>0</v>
      </c>
      <c r="CU43" s="1007" t="e">
        <f t="shared" si="198"/>
        <v>#VALUE!</v>
      </c>
      <c r="CV43" s="258" t="str">
        <f t="shared" si="271"/>
        <v>--</v>
      </c>
      <c r="CW43" s="258"/>
      <c r="CX43" s="197">
        <f t="shared" si="199"/>
        <v>0</v>
      </c>
      <c r="CY43" s="1006">
        <f t="shared" si="200"/>
        <v>0</v>
      </c>
      <c r="CZ43" s="1007" t="e">
        <f t="shared" si="201"/>
        <v>#VALUE!</v>
      </c>
      <c r="DA43" s="258" t="str">
        <f t="shared" si="272"/>
        <v>--</v>
      </c>
      <c r="DB43" s="258"/>
      <c r="DC43" s="197">
        <f t="shared" si="202"/>
        <v>0</v>
      </c>
      <c r="DD43" s="1006">
        <f t="shared" si="203"/>
        <v>0</v>
      </c>
      <c r="DE43" s="1007" t="e">
        <f t="shared" si="204"/>
        <v>#VALUE!</v>
      </c>
      <c r="DF43" s="258" t="str">
        <f t="shared" si="273"/>
        <v>--</v>
      </c>
      <c r="DG43" s="258"/>
      <c r="DH43" s="197">
        <f t="shared" si="205"/>
        <v>0</v>
      </c>
      <c r="DI43" s="1006">
        <f t="shared" si="206"/>
        <v>0</v>
      </c>
      <c r="DJ43" s="1007" t="e">
        <f t="shared" si="207"/>
        <v>#VALUE!</v>
      </c>
      <c r="DK43" s="258" t="str">
        <f t="shared" si="274"/>
        <v>--</v>
      </c>
      <c r="DL43" s="258"/>
      <c r="DM43" s="197">
        <f t="shared" si="208"/>
        <v>0</v>
      </c>
      <c r="DN43" s="1006">
        <f t="shared" si="209"/>
        <v>0</v>
      </c>
      <c r="DO43" s="1007" t="e">
        <f t="shared" si="210"/>
        <v>#VALUE!</v>
      </c>
      <c r="DP43" s="258" t="str">
        <f t="shared" si="275"/>
        <v>--</v>
      </c>
      <c r="DQ43" s="258"/>
      <c r="DR43" s="197">
        <f t="shared" si="211"/>
        <v>0</v>
      </c>
      <c r="DS43" s="1006">
        <f t="shared" si="212"/>
        <v>0</v>
      </c>
      <c r="DT43" s="1007" t="e">
        <f t="shared" si="213"/>
        <v>#VALUE!</v>
      </c>
      <c r="DU43" s="258" t="str">
        <f t="shared" si="276"/>
        <v>--</v>
      </c>
      <c r="DV43" s="258"/>
      <c r="DW43" s="197">
        <f t="shared" si="214"/>
        <v>0</v>
      </c>
      <c r="DX43" s="1006">
        <f t="shared" si="215"/>
        <v>0</v>
      </c>
      <c r="DY43" s="1007" t="e">
        <f t="shared" si="216"/>
        <v>#VALUE!</v>
      </c>
      <c r="DZ43" s="258" t="str">
        <f t="shared" si="277"/>
        <v>--</v>
      </c>
      <c r="EA43" s="258"/>
      <c r="EB43" s="197">
        <f t="shared" si="217"/>
        <v>0</v>
      </c>
      <c r="EC43" s="1006">
        <f t="shared" si="218"/>
        <v>0</v>
      </c>
      <c r="ED43" s="1007" t="e">
        <f t="shared" si="219"/>
        <v>#VALUE!</v>
      </c>
      <c r="EE43" s="258" t="str">
        <f t="shared" si="278"/>
        <v>--</v>
      </c>
      <c r="EF43" s="258"/>
      <c r="EG43" s="197">
        <f t="shared" si="220"/>
        <v>0</v>
      </c>
      <c r="EH43" s="1006">
        <f t="shared" si="221"/>
        <v>0</v>
      </c>
      <c r="EI43" s="1007" t="e">
        <f t="shared" si="222"/>
        <v>#VALUE!</v>
      </c>
      <c r="EJ43" s="258" t="str">
        <f t="shared" si="279"/>
        <v>--</v>
      </c>
      <c r="EK43" s="258"/>
      <c r="EL43" s="197">
        <f t="shared" si="223"/>
        <v>0</v>
      </c>
      <c r="EM43" s="1006">
        <f t="shared" si="224"/>
        <v>0</v>
      </c>
      <c r="EN43" s="1007" t="e">
        <f t="shared" si="225"/>
        <v>#VALUE!</v>
      </c>
      <c r="EO43" s="258" t="str">
        <f t="shared" si="280"/>
        <v>--</v>
      </c>
      <c r="EP43" s="258"/>
      <c r="EQ43" s="197">
        <f t="shared" si="226"/>
        <v>0</v>
      </c>
      <c r="ER43" s="1006">
        <f t="shared" si="227"/>
        <v>0</v>
      </c>
      <c r="ES43" s="1007" t="e">
        <f t="shared" si="228"/>
        <v>#VALUE!</v>
      </c>
      <c r="ET43" s="258" t="str">
        <f t="shared" si="281"/>
        <v>--</v>
      </c>
      <c r="EU43" s="258"/>
      <c r="EV43" s="197">
        <f t="shared" si="229"/>
        <v>0</v>
      </c>
      <c r="EW43" s="1006">
        <f t="shared" si="230"/>
        <v>0</v>
      </c>
      <c r="EX43" s="1007" t="e">
        <f t="shared" si="231"/>
        <v>#VALUE!</v>
      </c>
      <c r="EY43" s="258" t="str">
        <f t="shared" si="282"/>
        <v>--</v>
      </c>
      <c r="EZ43" s="258"/>
      <c r="FA43" s="197">
        <f t="shared" si="232"/>
        <v>0</v>
      </c>
      <c r="FB43" s="1006">
        <f t="shared" si="233"/>
        <v>0</v>
      </c>
      <c r="FC43" s="1007" t="e">
        <f t="shared" si="234"/>
        <v>#VALUE!</v>
      </c>
      <c r="FD43" s="258" t="str">
        <f t="shared" si="283"/>
        <v>--</v>
      </c>
      <c r="FE43" s="258"/>
      <c r="FF43" s="197">
        <f t="shared" si="235"/>
        <v>0</v>
      </c>
      <c r="FG43" s="1006">
        <f t="shared" si="236"/>
        <v>0</v>
      </c>
      <c r="FH43" s="1007" t="e">
        <f t="shared" si="237"/>
        <v>#VALUE!</v>
      </c>
      <c r="FI43" s="258" t="str">
        <f t="shared" si="284"/>
        <v>--</v>
      </c>
      <c r="FJ43" s="258"/>
      <c r="FK43" s="197">
        <f t="shared" si="238"/>
        <v>0</v>
      </c>
      <c r="FL43" s="1006">
        <f t="shared" si="239"/>
        <v>0</v>
      </c>
      <c r="FM43" s="1007" t="e">
        <f t="shared" si="240"/>
        <v>#VALUE!</v>
      </c>
      <c r="FN43" s="258" t="str">
        <f t="shared" si="285"/>
        <v>--</v>
      </c>
      <c r="FO43" s="258"/>
      <c r="FP43" s="197">
        <f t="shared" si="241"/>
        <v>0</v>
      </c>
      <c r="FQ43" s="1006">
        <f t="shared" si="242"/>
        <v>0</v>
      </c>
      <c r="FR43" s="1007" t="e">
        <f t="shared" si="243"/>
        <v>#VALUE!</v>
      </c>
      <c r="FS43" s="258" t="str">
        <f t="shared" si="286"/>
        <v>--</v>
      </c>
      <c r="FT43" s="258"/>
      <c r="FU43" s="197">
        <f t="shared" si="244"/>
        <v>0</v>
      </c>
      <c r="FV43" s="1006">
        <f t="shared" si="245"/>
        <v>0</v>
      </c>
      <c r="FW43" s="1007" t="e">
        <f t="shared" si="246"/>
        <v>#VALUE!</v>
      </c>
      <c r="FX43" s="258" t="str">
        <f t="shared" si="287"/>
        <v>--</v>
      </c>
      <c r="FY43" s="258"/>
      <c r="FZ43" s="197">
        <f t="shared" si="247"/>
        <v>0</v>
      </c>
      <c r="GA43" s="1006">
        <f t="shared" si="248"/>
        <v>0</v>
      </c>
      <c r="GB43" s="1007" t="e">
        <f t="shared" si="249"/>
        <v>#VALUE!</v>
      </c>
      <c r="GC43" s="258" t="str">
        <f t="shared" si="288"/>
        <v>--</v>
      </c>
      <c r="GD43" s="258"/>
      <c r="GE43" s="197">
        <f t="shared" si="250"/>
        <v>0</v>
      </c>
      <c r="GF43" s="1006">
        <f t="shared" si="251"/>
        <v>0</v>
      </c>
      <c r="GG43" s="1007" t="e">
        <f t="shared" si="252"/>
        <v>#VALUE!</v>
      </c>
      <c r="GH43" s="258" t="str">
        <f t="shared" si="289"/>
        <v>--</v>
      </c>
      <c r="GI43" s="258"/>
      <c r="GJ43" s="197">
        <f t="shared" si="253"/>
        <v>0</v>
      </c>
      <c r="GK43" s="1340"/>
      <c r="GL43" s="164"/>
      <c r="GM43" s="164"/>
      <c r="GN43" s="164"/>
    </row>
    <row r="44" spans="1:196" ht="12.75" x14ac:dyDescent="0.2">
      <c r="A44" s="243">
        <f>'Item list'!A44</f>
        <v>0</v>
      </c>
      <c r="B44" s="243">
        <f>'Item list'!B44</f>
        <v>0</v>
      </c>
      <c r="C44" s="243">
        <f>'Item list'!C44</f>
        <v>0</v>
      </c>
      <c r="D44" s="989">
        <f>'Item list'!D44</f>
        <v>0</v>
      </c>
      <c r="E44" s="243">
        <f>'Item list'!E44</f>
        <v>0</v>
      </c>
      <c r="F44" s="243">
        <f>'Item list'!F44</f>
        <v>0</v>
      </c>
      <c r="G44" s="243">
        <f>'Item list'!G44</f>
        <v>0</v>
      </c>
      <c r="H44" s="1005" t="e">
        <f t="shared" si="144"/>
        <v>#REF!</v>
      </c>
      <c r="I44" s="243"/>
      <c r="J44" s="243"/>
      <c r="K44" s="243"/>
      <c r="L44" s="197">
        <f t="shared" si="145"/>
        <v>0</v>
      </c>
      <c r="M44" s="1006">
        <f t="shared" si="146"/>
        <v>0</v>
      </c>
      <c r="N44" s="1007" t="e">
        <f t="shared" si="147"/>
        <v>#VALUE!</v>
      </c>
      <c r="O44" s="258" t="str">
        <f t="shared" si="254"/>
        <v>--</v>
      </c>
      <c r="P44" s="258"/>
      <c r="Q44" s="197">
        <f t="shared" si="148"/>
        <v>0</v>
      </c>
      <c r="R44" s="1006">
        <f t="shared" si="149"/>
        <v>0</v>
      </c>
      <c r="S44" s="1007" t="e">
        <f t="shared" si="150"/>
        <v>#VALUE!</v>
      </c>
      <c r="T44" s="258" t="str">
        <f t="shared" si="255"/>
        <v>--</v>
      </c>
      <c r="U44" s="258"/>
      <c r="V44" s="197">
        <f t="shared" si="151"/>
        <v>0</v>
      </c>
      <c r="W44" s="1006">
        <f t="shared" si="152"/>
        <v>0</v>
      </c>
      <c r="X44" s="1007" t="e">
        <f t="shared" si="153"/>
        <v>#VALUE!</v>
      </c>
      <c r="Y44" s="258" t="str">
        <f t="shared" si="256"/>
        <v>--</v>
      </c>
      <c r="Z44" s="258"/>
      <c r="AA44" s="197">
        <f t="shared" si="154"/>
        <v>0</v>
      </c>
      <c r="AB44" s="1006">
        <f t="shared" si="155"/>
        <v>0</v>
      </c>
      <c r="AC44" s="1007" t="e">
        <f t="shared" si="156"/>
        <v>#VALUE!</v>
      </c>
      <c r="AD44" s="258" t="str">
        <f t="shared" si="257"/>
        <v>--</v>
      </c>
      <c r="AE44" s="258"/>
      <c r="AF44" s="197">
        <f t="shared" si="157"/>
        <v>0</v>
      </c>
      <c r="AG44" s="1006">
        <f t="shared" si="158"/>
        <v>0</v>
      </c>
      <c r="AH44" s="1007" t="e">
        <f t="shared" si="159"/>
        <v>#VALUE!</v>
      </c>
      <c r="AI44" s="258" t="str">
        <f t="shared" si="258"/>
        <v>--</v>
      </c>
      <c r="AJ44" s="258"/>
      <c r="AK44" s="197">
        <f t="shared" si="160"/>
        <v>0</v>
      </c>
      <c r="AL44" s="1006">
        <f t="shared" si="161"/>
        <v>0</v>
      </c>
      <c r="AM44" s="1007" t="e">
        <f t="shared" si="162"/>
        <v>#VALUE!</v>
      </c>
      <c r="AN44" s="258" t="str">
        <f t="shared" si="259"/>
        <v>--</v>
      </c>
      <c r="AO44" s="258"/>
      <c r="AP44" s="197">
        <f t="shared" si="163"/>
        <v>0</v>
      </c>
      <c r="AQ44" s="1006">
        <f t="shared" si="164"/>
        <v>0</v>
      </c>
      <c r="AR44" s="1007" t="e">
        <f t="shared" si="165"/>
        <v>#VALUE!</v>
      </c>
      <c r="AS44" s="258" t="str">
        <f t="shared" si="260"/>
        <v>--</v>
      </c>
      <c r="AT44" s="258"/>
      <c r="AU44" s="197">
        <f t="shared" si="166"/>
        <v>0</v>
      </c>
      <c r="AV44" s="1006">
        <f t="shared" si="167"/>
        <v>0</v>
      </c>
      <c r="AW44" s="1007" t="e">
        <f t="shared" si="168"/>
        <v>#VALUE!</v>
      </c>
      <c r="AX44" s="258" t="str">
        <f t="shared" si="261"/>
        <v>--</v>
      </c>
      <c r="AY44" s="258"/>
      <c r="AZ44" s="197">
        <f t="shared" si="169"/>
        <v>0</v>
      </c>
      <c r="BA44" s="1006">
        <f t="shared" si="170"/>
        <v>0</v>
      </c>
      <c r="BB44" s="1007" t="e">
        <f t="shared" si="171"/>
        <v>#VALUE!</v>
      </c>
      <c r="BC44" s="258" t="str">
        <f t="shared" si="262"/>
        <v>--</v>
      </c>
      <c r="BD44" s="258"/>
      <c r="BE44" s="197">
        <f t="shared" si="172"/>
        <v>0</v>
      </c>
      <c r="BF44" s="1006">
        <f t="shared" si="173"/>
        <v>0</v>
      </c>
      <c r="BG44" s="1007" t="e">
        <f t="shared" si="174"/>
        <v>#VALUE!</v>
      </c>
      <c r="BH44" s="258" t="str">
        <f t="shared" si="263"/>
        <v>--</v>
      </c>
      <c r="BI44" s="258"/>
      <c r="BJ44" s="197">
        <f t="shared" si="175"/>
        <v>0</v>
      </c>
      <c r="BK44" s="1006">
        <f t="shared" si="176"/>
        <v>0</v>
      </c>
      <c r="BL44" s="1007" t="e">
        <f t="shared" si="177"/>
        <v>#VALUE!</v>
      </c>
      <c r="BM44" s="258" t="str">
        <f t="shared" si="264"/>
        <v>--</v>
      </c>
      <c r="BN44" s="258"/>
      <c r="BO44" s="197">
        <f t="shared" si="178"/>
        <v>0</v>
      </c>
      <c r="BP44" s="1006">
        <f t="shared" si="179"/>
        <v>0</v>
      </c>
      <c r="BQ44" s="1007" t="e">
        <f t="shared" si="180"/>
        <v>#VALUE!</v>
      </c>
      <c r="BR44" s="258" t="str">
        <f t="shared" si="265"/>
        <v>--</v>
      </c>
      <c r="BS44" s="258"/>
      <c r="BT44" s="197">
        <f t="shared" si="181"/>
        <v>0</v>
      </c>
      <c r="BU44" s="1006">
        <f t="shared" si="182"/>
        <v>0</v>
      </c>
      <c r="BV44" s="1007" t="e">
        <f t="shared" si="183"/>
        <v>#VALUE!</v>
      </c>
      <c r="BW44" s="258" t="str">
        <f t="shared" si="266"/>
        <v>--</v>
      </c>
      <c r="BX44" s="258"/>
      <c r="BY44" s="197">
        <f t="shared" si="184"/>
        <v>0</v>
      </c>
      <c r="BZ44" s="1006">
        <f t="shared" si="185"/>
        <v>0</v>
      </c>
      <c r="CA44" s="1007" t="e">
        <f t="shared" si="186"/>
        <v>#VALUE!</v>
      </c>
      <c r="CB44" s="258" t="str">
        <f t="shared" si="267"/>
        <v>--</v>
      </c>
      <c r="CC44" s="258"/>
      <c r="CD44" s="197">
        <f t="shared" si="187"/>
        <v>0</v>
      </c>
      <c r="CE44" s="1006">
        <f t="shared" si="188"/>
        <v>0</v>
      </c>
      <c r="CF44" s="1007" t="e">
        <f t="shared" si="189"/>
        <v>#VALUE!</v>
      </c>
      <c r="CG44" s="258" t="str">
        <f t="shared" si="268"/>
        <v>--</v>
      </c>
      <c r="CH44" s="258"/>
      <c r="CI44" s="197">
        <f t="shared" si="190"/>
        <v>0</v>
      </c>
      <c r="CJ44" s="1006">
        <f t="shared" si="191"/>
        <v>0</v>
      </c>
      <c r="CK44" s="1007" t="e">
        <f t="shared" si="192"/>
        <v>#VALUE!</v>
      </c>
      <c r="CL44" s="258" t="str">
        <f t="shared" si="269"/>
        <v>--</v>
      </c>
      <c r="CM44" s="258"/>
      <c r="CN44" s="197">
        <f t="shared" si="193"/>
        <v>0</v>
      </c>
      <c r="CO44" s="1006">
        <f t="shared" si="194"/>
        <v>0</v>
      </c>
      <c r="CP44" s="1007" t="e">
        <f t="shared" si="195"/>
        <v>#VALUE!</v>
      </c>
      <c r="CQ44" s="258" t="str">
        <f t="shared" si="270"/>
        <v>--</v>
      </c>
      <c r="CR44" s="258"/>
      <c r="CS44" s="197">
        <f t="shared" si="196"/>
        <v>0</v>
      </c>
      <c r="CT44" s="1006">
        <f t="shared" si="197"/>
        <v>0</v>
      </c>
      <c r="CU44" s="1007" t="e">
        <f t="shared" si="198"/>
        <v>#VALUE!</v>
      </c>
      <c r="CV44" s="258" t="str">
        <f t="shared" si="271"/>
        <v>--</v>
      </c>
      <c r="CW44" s="258"/>
      <c r="CX44" s="197">
        <f t="shared" si="199"/>
        <v>0</v>
      </c>
      <c r="CY44" s="1006">
        <f t="shared" si="200"/>
        <v>0</v>
      </c>
      <c r="CZ44" s="1007" t="e">
        <f t="shared" si="201"/>
        <v>#VALUE!</v>
      </c>
      <c r="DA44" s="258" t="str">
        <f t="shared" si="272"/>
        <v>--</v>
      </c>
      <c r="DB44" s="258"/>
      <c r="DC44" s="197">
        <f t="shared" si="202"/>
        <v>0</v>
      </c>
      <c r="DD44" s="1006">
        <f t="shared" si="203"/>
        <v>0</v>
      </c>
      <c r="DE44" s="1007" t="e">
        <f t="shared" si="204"/>
        <v>#VALUE!</v>
      </c>
      <c r="DF44" s="258" t="str">
        <f t="shared" si="273"/>
        <v>--</v>
      </c>
      <c r="DG44" s="258"/>
      <c r="DH44" s="197">
        <f t="shared" si="205"/>
        <v>0</v>
      </c>
      <c r="DI44" s="1006">
        <f t="shared" si="206"/>
        <v>0</v>
      </c>
      <c r="DJ44" s="1007" t="e">
        <f t="shared" si="207"/>
        <v>#VALUE!</v>
      </c>
      <c r="DK44" s="258" t="str">
        <f t="shared" si="274"/>
        <v>--</v>
      </c>
      <c r="DL44" s="258"/>
      <c r="DM44" s="197">
        <f t="shared" si="208"/>
        <v>0</v>
      </c>
      <c r="DN44" s="1006">
        <f t="shared" si="209"/>
        <v>0</v>
      </c>
      <c r="DO44" s="1007" t="e">
        <f t="shared" si="210"/>
        <v>#VALUE!</v>
      </c>
      <c r="DP44" s="258" t="str">
        <f t="shared" si="275"/>
        <v>--</v>
      </c>
      <c r="DQ44" s="258"/>
      <c r="DR44" s="197">
        <f t="shared" si="211"/>
        <v>0</v>
      </c>
      <c r="DS44" s="1006">
        <f t="shared" si="212"/>
        <v>0</v>
      </c>
      <c r="DT44" s="1007" t="e">
        <f t="shared" si="213"/>
        <v>#VALUE!</v>
      </c>
      <c r="DU44" s="258" t="str">
        <f t="shared" si="276"/>
        <v>--</v>
      </c>
      <c r="DV44" s="258"/>
      <c r="DW44" s="197">
        <f t="shared" si="214"/>
        <v>0</v>
      </c>
      <c r="DX44" s="1006">
        <f t="shared" si="215"/>
        <v>0</v>
      </c>
      <c r="DY44" s="1007" t="e">
        <f t="shared" si="216"/>
        <v>#VALUE!</v>
      </c>
      <c r="DZ44" s="258" t="str">
        <f t="shared" si="277"/>
        <v>--</v>
      </c>
      <c r="EA44" s="258"/>
      <c r="EB44" s="197">
        <f t="shared" si="217"/>
        <v>0</v>
      </c>
      <c r="EC44" s="1006">
        <f t="shared" si="218"/>
        <v>0</v>
      </c>
      <c r="ED44" s="1007" t="e">
        <f t="shared" si="219"/>
        <v>#VALUE!</v>
      </c>
      <c r="EE44" s="258" t="str">
        <f t="shared" si="278"/>
        <v>--</v>
      </c>
      <c r="EF44" s="258"/>
      <c r="EG44" s="197">
        <f t="shared" si="220"/>
        <v>0</v>
      </c>
      <c r="EH44" s="1006">
        <f t="shared" si="221"/>
        <v>0</v>
      </c>
      <c r="EI44" s="1007" t="e">
        <f t="shared" si="222"/>
        <v>#VALUE!</v>
      </c>
      <c r="EJ44" s="258" t="str">
        <f t="shared" si="279"/>
        <v>--</v>
      </c>
      <c r="EK44" s="258"/>
      <c r="EL44" s="197">
        <f t="shared" si="223"/>
        <v>0</v>
      </c>
      <c r="EM44" s="1006">
        <f t="shared" si="224"/>
        <v>0</v>
      </c>
      <c r="EN44" s="1007" t="e">
        <f t="shared" si="225"/>
        <v>#VALUE!</v>
      </c>
      <c r="EO44" s="258" t="str">
        <f t="shared" si="280"/>
        <v>--</v>
      </c>
      <c r="EP44" s="258"/>
      <c r="EQ44" s="197">
        <f t="shared" si="226"/>
        <v>0</v>
      </c>
      <c r="ER44" s="1006">
        <f t="shared" si="227"/>
        <v>0</v>
      </c>
      <c r="ES44" s="1007" t="e">
        <f t="shared" si="228"/>
        <v>#VALUE!</v>
      </c>
      <c r="ET44" s="258" t="str">
        <f t="shared" si="281"/>
        <v>--</v>
      </c>
      <c r="EU44" s="258"/>
      <c r="EV44" s="197">
        <f t="shared" si="229"/>
        <v>0</v>
      </c>
      <c r="EW44" s="1006">
        <f t="shared" si="230"/>
        <v>0</v>
      </c>
      <c r="EX44" s="1007" t="e">
        <f t="shared" si="231"/>
        <v>#VALUE!</v>
      </c>
      <c r="EY44" s="258" t="str">
        <f t="shared" si="282"/>
        <v>--</v>
      </c>
      <c r="EZ44" s="258"/>
      <c r="FA44" s="197">
        <f t="shared" si="232"/>
        <v>0</v>
      </c>
      <c r="FB44" s="1006">
        <f t="shared" si="233"/>
        <v>0</v>
      </c>
      <c r="FC44" s="1007" t="e">
        <f t="shared" si="234"/>
        <v>#VALUE!</v>
      </c>
      <c r="FD44" s="258" t="str">
        <f t="shared" si="283"/>
        <v>--</v>
      </c>
      <c r="FE44" s="258"/>
      <c r="FF44" s="197">
        <f t="shared" si="235"/>
        <v>0</v>
      </c>
      <c r="FG44" s="1006">
        <f t="shared" si="236"/>
        <v>0</v>
      </c>
      <c r="FH44" s="1007" t="e">
        <f t="shared" si="237"/>
        <v>#VALUE!</v>
      </c>
      <c r="FI44" s="258" t="str">
        <f t="shared" si="284"/>
        <v>--</v>
      </c>
      <c r="FJ44" s="258"/>
      <c r="FK44" s="197">
        <f t="shared" si="238"/>
        <v>0</v>
      </c>
      <c r="FL44" s="1006">
        <f t="shared" si="239"/>
        <v>0</v>
      </c>
      <c r="FM44" s="1007" t="e">
        <f t="shared" si="240"/>
        <v>#VALUE!</v>
      </c>
      <c r="FN44" s="258" t="str">
        <f t="shared" si="285"/>
        <v>--</v>
      </c>
      <c r="FO44" s="258"/>
      <c r="FP44" s="197">
        <f t="shared" si="241"/>
        <v>0</v>
      </c>
      <c r="FQ44" s="1006">
        <f t="shared" si="242"/>
        <v>0</v>
      </c>
      <c r="FR44" s="1007" t="e">
        <f t="shared" si="243"/>
        <v>#VALUE!</v>
      </c>
      <c r="FS44" s="258" t="str">
        <f t="shared" si="286"/>
        <v>--</v>
      </c>
      <c r="FT44" s="258"/>
      <c r="FU44" s="197">
        <f t="shared" si="244"/>
        <v>0</v>
      </c>
      <c r="FV44" s="1006">
        <f t="shared" si="245"/>
        <v>0</v>
      </c>
      <c r="FW44" s="1007" t="e">
        <f t="shared" si="246"/>
        <v>#VALUE!</v>
      </c>
      <c r="FX44" s="258" t="str">
        <f t="shared" si="287"/>
        <v>--</v>
      </c>
      <c r="FY44" s="258"/>
      <c r="FZ44" s="197">
        <f t="shared" si="247"/>
        <v>0</v>
      </c>
      <c r="GA44" s="1006">
        <f t="shared" si="248"/>
        <v>0</v>
      </c>
      <c r="GB44" s="1007" t="e">
        <f t="shared" si="249"/>
        <v>#VALUE!</v>
      </c>
      <c r="GC44" s="258" t="str">
        <f t="shared" si="288"/>
        <v>--</v>
      </c>
      <c r="GD44" s="258"/>
      <c r="GE44" s="197">
        <f t="shared" si="250"/>
        <v>0</v>
      </c>
      <c r="GF44" s="1006">
        <f t="shared" si="251"/>
        <v>0</v>
      </c>
      <c r="GG44" s="1007" t="e">
        <f t="shared" si="252"/>
        <v>#VALUE!</v>
      </c>
      <c r="GH44" s="258" t="str">
        <f t="shared" si="289"/>
        <v>--</v>
      </c>
      <c r="GI44" s="258"/>
      <c r="GJ44" s="197">
        <f t="shared" si="253"/>
        <v>0</v>
      </c>
      <c r="GK44" s="1340"/>
      <c r="GL44" s="164"/>
      <c r="GM44" s="164"/>
      <c r="GN44" s="164"/>
    </row>
    <row r="45" spans="1:196" ht="12.75" x14ac:dyDescent="0.2">
      <c r="A45" s="243">
        <f>'Item list'!A45</f>
        <v>0</v>
      </c>
      <c r="B45" s="243">
        <f>'Item list'!B45</f>
        <v>0</v>
      </c>
      <c r="C45" s="243">
        <f>'Item list'!C45</f>
        <v>0</v>
      </c>
      <c r="D45" s="989">
        <f>'Item list'!D45</f>
        <v>0</v>
      </c>
      <c r="E45" s="243">
        <f>'Item list'!E45</f>
        <v>0</v>
      </c>
      <c r="F45" s="243">
        <f>'Item list'!F45</f>
        <v>0</v>
      </c>
      <c r="G45" s="243">
        <f>'Item list'!G45</f>
        <v>0</v>
      </c>
      <c r="H45" s="1005" t="e">
        <f t="shared" si="144"/>
        <v>#REF!</v>
      </c>
      <c r="I45" s="243"/>
      <c r="J45" s="243"/>
      <c r="K45" s="243"/>
      <c r="L45" s="197">
        <f t="shared" si="145"/>
        <v>0</v>
      </c>
      <c r="M45" s="1006">
        <f t="shared" si="146"/>
        <v>0</v>
      </c>
      <c r="N45" s="1007" t="e">
        <f t="shared" si="147"/>
        <v>#VALUE!</v>
      </c>
      <c r="O45" s="258" t="str">
        <f t="shared" si="254"/>
        <v>--</v>
      </c>
      <c r="P45" s="258"/>
      <c r="Q45" s="197">
        <f t="shared" si="148"/>
        <v>0</v>
      </c>
      <c r="R45" s="1006">
        <f t="shared" si="149"/>
        <v>0</v>
      </c>
      <c r="S45" s="1007" t="e">
        <f t="shared" si="150"/>
        <v>#VALUE!</v>
      </c>
      <c r="T45" s="258" t="str">
        <f t="shared" si="255"/>
        <v>--</v>
      </c>
      <c r="U45" s="258"/>
      <c r="V45" s="197">
        <f t="shared" si="151"/>
        <v>0</v>
      </c>
      <c r="W45" s="1006">
        <f t="shared" si="152"/>
        <v>0</v>
      </c>
      <c r="X45" s="1007" t="e">
        <f t="shared" si="153"/>
        <v>#VALUE!</v>
      </c>
      <c r="Y45" s="258" t="str">
        <f t="shared" si="256"/>
        <v>--</v>
      </c>
      <c r="Z45" s="258"/>
      <c r="AA45" s="197">
        <f t="shared" si="154"/>
        <v>0</v>
      </c>
      <c r="AB45" s="1006">
        <f t="shared" si="155"/>
        <v>0</v>
      </c>
      <c r="AC45" s="1007" t="e">
        <f t="shared" si="156"/>
        <v>#VALUE!</v>
      </c>
      <c r="AD45" s="258" t="str">
        <f t="shared" si="257"/>
        <v>--</v>
      </c>
      <c r="AE45" s="258"/>
      <c r="AF45" s="197">
        <f t="shared" si="157"/>
        <v>0</v>
      </c>
      <c r="AG45" s="1006">
        <f t="shared" si="158"/>
        <v>0</v>
      </c>
      <c r="AH45" s="1007" t="e">
        <f t="shared" si="159"/>
        <v>#VALUE!</v>
      </c>
      <c r="AI45" s="258" t="str">
        <f t="shared" si="258"/>
        <v>--</v>
      </c>
      <c r="AJ45" s="258"/>
      <c r="AK45" s="197">
        <f t="shared" si="160"/>
        <v>0</v>
      </c>
      <c r="AL45" s="1006">
        <f t="shared" si="161"/>
        <v>0</v>
      </c>
      <c r="AM45" s="1007" t="e">
        <f t="shared" si="162"/>
        <v>#VALUE!</v>
      </c>
      <c r="AN45" s="258" t="str">
        <f t="shared" si="259"/>
        <v>--</v>
      </c>
      <c r="AO45" s="258"/>
      <c r="AP45" s="197">
        <f t="shared" si="163"/>
        <v>0</v>
      </c>
      <c r="AQ45" s="1006">
        <f t="shared" si="164"/>
        <v>0</v>
      </c>
      <c r="AR45" s="1007" t="e">
        <f t="shared" si="165"/>
        <v>#VALUE!</v>
      </c>
      <c r="AS45" s="258" t="str">
        <f t="shared" si="260"/>
        <v>--</v>
      </c>
      <c r="AT45" s="258"/>
      <c r="AU45" s="197">
        <f t="shared" si="166"/>
        <v>0</v>
      </c>
      <c r="AV45" s="1006">
        <f t="shared" si="167"/>
        <v>0</v>
      </c>
      <c r="AW45" s="1007" t="e">
        <f t="shared" si="168"/>
        <v>#VALUE!</v>
      </c>
      <c r="AX45" s="258" t="str">
        <f t="shared" si="261"/>
        <v>--</v>
      </c>
      <c r="AY45" s="258"/>
      <c r="AZ45" s="197">
        <f t="shared" si="169"/>
        <v>0</v>
      </c>
      <c r="BA45" s="1006">
        <f t="shared" si="170"/>
        <v>0</v>
      </c>
      <c r="BB45" s="1007" t="e">
        <f t="shared" si="171"/>
        <v>#VALUE!</v>
      </c>
      <c r="BC45" s="258" t="str">
        <f t="shared" si="262"/>
        <v>--</v>
      </c>
      <c r="BD45" s="258"/>
      <c r="BE45" s="197">
        <f t="shared" si="172"/>
        <v>0</v>
      </c>
      <c r="BF45" s="1006">
        <f t="shared" si="173"/>
        <v>0</v>
      </c>
      <c r="BG45" s="1007" t="e">
        <f t="shared" si="174"/>
        <v>#VALUE!</v>
      </c>
      <c r="BH45" s="258" t="str">
        <f t="shared" si="263"/>
        <v>--</v>
      </c>
      <c r="BI45" s="258"/>
      <c r="BJ45" s="197">
        <f t="shared" si="175"/>
        <v>0</v>
      </c>
      <c r="BK45" s="1006">
        <f t="shared" si="176"/>
        <v>0</v>
      </c>
      <c r="BL45" s="1007" t="e">
        <f t="shared" si="177"/>
        <v>#VALUE!</v>
      </c>
      <c r="BM45" s="258" t="str">
        <f t="shared" si="264"/>
        <v>--</v>
      </c>
      <c r="BN45" s="258"/>
      <c r="BO45" s="197">
        <f t="shared" si="178"/>
        <v>0</v>
      </c>
      <c r="BP45" s="1006">
        <f t="shared" si="179"/>
        <v>0</v>
      </c>
      <c r="BQ45" s="1007" t="e">
        <f t="shared" si="180"/>
        <v>#VALUE!</v>
      </c>
      <c r="BR45" s="258" t="str">
        <f t="shared" si="265"/>
        <v>--</v>
      </c>
      <c r="BS45" s="258"/>
      <c r="BT45" s="197">
        <f t="shared" si="181"/>
        <v>0</v>
      </c>
      <c r="BU45" s="1006">
        <f t="shared" si="182"/>
        <v>0</v>
      </c>
      <c r="BV45" s="1007" t="e">
        <f t="shared" si="183"/>
        <v>#VALUE!</v>
      </c>
      <c r="BW45" s="258" t="str">
        <f t="shared" si="266"/>
        <v>--</v>
      </c>
      <c r="BX45" s="258"/>
      <c r="BY45" s="197">
        <f t="shared" si="184"/>
        <v>0</v>
      </c>
      <c r="BZ45" s="1006">
        <f t="shared" si="185"/>
        <v>0</v>
      </c>
      <c r="CA45" s="1007" t="e">
        <f t="shared" si="186"/>
        <v>#VALUE!</v>
      </c>
      <c r="CB45" s="258" t="str">
        <f t="shared" si="267"/>
        <v>--</v>
      </c>
      <c r="CC45" s="258"/>
      <c r="CD45" s="197">
        <f t="shared" si="187"/>
        <v>0</v>
      </c>
      <c r="CE45" s="1006">
        <f t="shared" si="188"/>
        <v>0</v>
      </c>
      <c r="CF45" s="1007" t="e">
        <f t="shared" si="189"/>
        <v>#VALUE!</v>
      </c>
      <c r="CG45" s="258" t="str">
        <f t="shared" si="268"/>
        <v>--</v>
      </c>
      <c r="CH45" s="258"/>
      <c r="CI45" s="197">
        <f t="shared" si="190"/>
        <v>0</v>
      </c>
      <c r="CJ45" s="1006">
        <f t="shared" si="191"/>
        <v>0</v>
      </c>
      <c r="CK45" s="1007" t="e">
        <f t="shared" si="192"/>
        <v>#VALUE!</v>
      </c>
      <c r="CL45" s="258" t="str">
        <f t="shared" si="269"/>
        <v>--</v>
      </c>
      <c r="CM45" s="258"/>
      <c r="CN45" s="197">
        <f t="shared" si="193"/>
        <v>0</v>
      </c>
      <c r="CO45" s="1006">
        <f t="shared" si="194"/>
        <v>0</v>
      </c>
      <c r="CP45" s="1007" t="e">
        <f t="shared" si="195"/>
        <v>#VALUE!</v>
      </c>
      <c r="CQ45" s="258" t="str">
        <f t="shared" si="270"/>
        <v>--</v>
      </c>
      <c r="CR45" s="258"/>
      <c r="CS45" s="197">
        <f t="shared" si="196"/>
        <v>0</v>
      </c>
      <c r="CT45" s="1006">
        <f t="shared" si="197"/>
        <v>0</v>
      </c>
      <c r="CU45" s="1007" t="e">
        <f t="shared" si="198"/>
        <v>#VALUE!</v>
      </c>
      <c r="CV45" s="258" t="str">
        <f t="shared" si="271"/>
        <v>--</v>
      </c>
      <c r="CW45" s="258"/>
      <c r="CX45" s="197">
        <f t="shared" si="199"/>
        <v>0</v>
      </c>
      <c r="CY45" s="1006">
        <f t="shared" si="200"/>
        <v>0</v>
      </c>
      <c r="CZ45" s="1007" t="e">
        <f t="shared" si="201"/>
        <v>#VALUE!</v>
      </c>
      <c r="DA45" s="258" t="str">
        <f t="shared" si="272"/>
        <v>--</v>
      </c>
      <c r="DB45" s="258"/>
      <c r="DC45" s="197">
        <f t="shared" si="202"/>
        <v>0</v>
      </c>
      <c r="DD45" s="1006">
        <f t="shared" si="203"/>
        <v>0</v>
      </c>
      <c r="DE45" s="1007" t="e">
        <f t="shared" si="204"/>
        <v>#VALUE!</v>
      </c>
      <c r="DF45" s="258" t="str">
        <f t="shared" si="273"/>
        <v>--</v>
      </c>
      <c r="DG45" s="258"/>
      <c r="DH45" s="197">
        <f t="shared" si="205"/>
        <v>0</v>
      </c>
      <c r="DI45" s="1006">
        <f t="shared" si="206"/>
        <v>0</v>
      </c>
      <c r="DJ45" s="1007" t="e">
        <f t="shared" si="207"/>
        <v>#VALUE!</v>
      </c>
      <c r="DK45" s="258" t="str">
        <f t="shared" si="274"/>
        <v>--</v>
      </c>
      <c r="DL45" s="258"/>
      <c r="DM45" s="197">
        <f t="shared" si="208"/>
        <v>0</v>
      </c>
      <c r="DN45" s="1006">
        <f t="shared" si="209"/>
        <v>0</v>
      </c>
      <c r="DO45" s="1007" t="e">
        <f t="shared" si="210"/>
        <v>#VALUE!</v>
      </c>
      <c r="DP45" s="258" t="str">
        <f t="shared" si="275"/>
        <v>--</v>
      </c>
      <c r="DQ45" s="258"/>
      <c r="DR45" s="197">
        <f t="shared" si="211"/>
        <v>0</v>
      </c>
      <c r="DS45" s="1006">
        <f t="shared" si="212"/>
        <v>0</v>
      </c>
      <c r="DT45" s="1007" t="e">
        <f t="shared" si="213"/>
        <v>#VALUE!</v>
      </c>
      <c r="DU45" s="258" t="str">
        <f t="shared" si="276"/>
        <v>--</v>
      </c>
      <c r="DV45" s="258"/>
      <c r="DW45" s="197">
        <f t="shared" si="214"/>
        <v>0</v>
      </c>
      <c r="DX45" s="1006">
        <f t="shared" si="215"/>
        <v>0</v>
      </c>
      <c r="DY45" s="1007" t="e">
        <f t="shared" si="216"/>
        <v>#VALUE!</v>
      </c>
      <c r="DZ45" s="258" t="str">
        <f t="shared" si="277"/>
        <v>--</v>
      </c>
      <c r="EA45" s="258"/>
      <c r="EB45" s="197">
        <f t="shared" si="217"/>
        <v>0</v>
      </c>
      <c r="EC45" s="1006">
        <f t="shared" si="218"/>
        <v>0</v>
      </c>
      <c r="ED45" s="1007" t="e">
        <f t="shared" si="219"/>
        <v>#VALUE!</v>
      </c>
      <c r="EE45" s="258" t="str">
        <f t="shared" si="278"/>
        <v>--</v>
      </c>
      <c r="EF45" s="258"/>
      <c r="EG45" s="197">
        <f t="shared" si="220"/>
        <v>0</v>
      </c>
      <c r="EH45" s="1006">
        <f t="shared" si="221"/>
        <v>0</v>
      </c>
      <c r="EI45" s="1007" t="e">
        <f t="shared" si="222"/>
        <v>#VALUE!</v>
      </c>
      <c r="EJ45" s="258" t="str">
        <f t="shared" si="279"/>
        <v>--</v>
      </c>
      <c r="EK45" s="258"/>
      <c r="EL45" s="197">
        <f t="shared" si="223"/>
        <v>0</v>
      </c>
      <c r="EM45" s="1006">
        <f t="shared" si="224"/>
        <v>0</v>
      </c>
      <c r="EN45" s="1007" t="e">
        <f t="shared" si="225"/>
        <v>#VALUE!</v>
      </c>
      <c r="EO45" s="258" t="str">
        <f t="shared" si="280"/>
        <v>--</v>
      </c>
      <c r="EP45" s="258"/>
      <c r="EQ45" s="197">
        <f t="shared" si="226"/>
        <v>0</v>
      </c>
      <c r="ER45" s="1006">
        <f t="shared" si="227"/>
        <v>0</v>
      </c>
      <c r="ES45" s="1007" t="e">
        <f t="shared" si="228"/>
        <v>#VALUE!</v>
      </c>
      <c r="ET45" s="258" t="str">
        <f t="shared" si="281"/>
        <v>--</v>
      </c>
      <c r="EU45" s="258"/>
      <c r="EV45" s="197">
        <f t="shared" si="229"/>
        <v>0</v>
      </c>
      <c r="EW45" s="1006">
        <f t="shared" si="230"/>
        <v>0</v>
      </c>
      <c r="EX45" s="1007" t="e">
        <f t="shared" si="231"/>
        <v>#VALUE!</v>
      </c>
      <c r="EY45" s="258" t="str">
        <f t="shared" si="282"/>
        <v>--</v>
      </c>
      <c r="EZ45" s="258"/>
      <c r="FA45" s="197">
        <f t="shared" si="232"/>
        <v>0</v>
      </c>
      <c r="FB45" s="1006">
        <f t="shared" si="233"/>
        <v>0</v>
      </c>
      <c r="FC45" s="1007" t="e">
        <f t="shared" si="234"/>
        <v>#VALUE!</v>
      </c>
      <c r="FD45" s="258" t="str">
        <f t="shared" si="283"/>
        <v>--</v>
      </c>
      <c r="FE45" s="258"/>
      <c r="FF45" s="197">
        <f t="shared" si="235"/>
        <v>0</v>
      </c>
      <c r="FG45" s="1006">
        <f t="shared" si="236"/>
        <v>0</v>
      </c>
      <c r="FH45" s="1007" t="e">
        <f t="shared" si="237"/>
        <v>#VALUE!</v>
      </c>
      <c r="FI45" s="258" t="str">
        <f t="shared" si="284"/>
        <v>--</v>
      </c>
      <c r="FJ45" s="258"/>
      <c r="FK45" s="197">
        <f t="shared" si="238"/>
        <v>0</v>
      </c>
      <c r="FL45" s="1006">
        <f t="shared" si="239"/>
        <v>0</v>
      </c>
      <c r="FM45" s="1007" t="e">
        <f t="shared" si="240"/>
        <v>#VALUE!</v>
      </c>
      <c r="FN45" s="258" t="str">
        <f t="shared" si="285"/>
        <v>--</v>
      </c>
      <c r="FO45" s="258"/>
      <c r="FP45" s="197">
        <f t="shared" si="241"/>
        <v>0</v>
      </c>
      <c r="FQ45" s="1006">
        <f t="shared" si="242"/>
        <v>0</v>
      </c>
      <c r="FR45" s="1007" t="e">
        <f t="shared" si="243"/>
        <v>#VALUE!</v>
      </c>
      <c r="FS45" s="258" t="str">
        <f t="shared" si="286"/>
        <v>--</v>
      </c>
      <c r="FT45" s="258"/>
      <c r="FU45" s="197">
        <f t="shared" si="244"/>
        <v>0</v>
      </c>
      <c r="FV45" s="1006">
        <f t="shared" si="245"/>
        <v>0</v>
      </c>
      <c r="FW45" s="1007" t="e">
        <f t="shared" si="246"/>
        <v>#VALUE!</v>
      </c>
      <c r="FX45" s="258" t="str">
        <f t="shared" si="287"/>
        <v>--</v>
      </c>
      <c r="FY45" s="258"/>
      <c r="FZ45" s="197">
        <f t="shared" si="247"/>
        <v>0</v>
      </c>
      <c r="GA45" s="1006">
        <f t="shared" si="248"/>
        <v>0</v>
      </c>
      <c r="GB45" s="1007" t="e">
        <f t="shared" si="249"/>
        <v>#VALUE!</v>
      </c>
      <c r="GC45" s="258" t="str">
        <f t="shared" si="288"/>
        <v>--</v>
      </c>
      <c r="GD45" s="258"/>
      <c r="GE45" s="197">
        <f t="shared" si="250"/>
        <v>0</v>
      </c>
      <c r="GF45" s="1006">
        <f t="shared" si="251"/>
        <v>0</v>
      </c>
      <c r="GG45" s="1007" t="e">
        <f t="shared" si="252"/>
        <v>#VALUE!</v>
      </c>
      <c r="GH45" s="258" t="str">
        <f t="shared" si="289"/>
        <v>--</v>
      </c>
      <c r="GI45" s="258"/>
      <c r="GJ45" s="197">
        <f t="shared" si="253"/>
        <v>0</v>
      </c>
      <c r="GK45" s="1340"/>
      <c r="GL45" s="164"/>
      <c r="GM45" s="164"/>
      <c r="GN45" s="164"/>
    </row>
    <row r="46" spans="1:196" ht="12.75" x14ac:dyDescent="0.2">
      <c r="A46" s="243">
        <f>'Item list'!A46</f>
        <v>0</v>
      </c>
      <c r="B46" s="243">
        <f>'Item list'!B46</f>
        <v>0</v>
      </c>
      <c r="C46" s="243">
        <f>'Item list'!C46</f>
        <v>0</v>
      </c>
      <c r="D46" s="989">
        <f>'Item list'!D46</f>
        <v>0</v>
      </c>
      <c r="E46" s="243">
        <f>'Item list'!E46</f>
        <v>0</v>
      </c>
      <c r="F46" s="243">
        <f>'Item list'!F46</f>
        <v>0</v>
      </c>
      <c r="G46" s="243">
        <f>'Item list'!G46</f>
        <v>0</v>
      </c>
      <c r="H46" s="1005" t="e">
        <f t="shared" si="144"/>
        <v>#REF!</v>
      </c>
      <c r="I46" s="243"/>
      <c r="J46" s="243"/>
      <c r="K46" s="243"/>
      <c r="L46" s="197">
        <f t="shared" si="145"/>
        <v>0</v>
      </c>
      <c r="M46" s="1006">
        <f t="shared" si="146"/>
        <v>0</v>
      </c>
      <c r="N46" s="1007" t="e">
        <f t="shared" si="147"/>
        <v>#VALUE!</v>
      </c>
      <c r="O46" s="258" t="str">
        <f t="shared" si="254"/>
        <v>--</v>
      </c>
      <c r="P46" s="258"/>
      <c r="Q46" s="197">
        <f t="shared" si="148"/>
        <v>0</v>
      </c>
      <c r="R46" s="1006">
        <f t="shared" si="149"/>
        <v>0</v>
      </c>
      <c r="S46" s="1007" t="e">
        <f t="shared" si="150"/>
        <v>#VALUE!</v>
      </c>
      <c r="T46" s="258" t="str">
        <f t="shared" si="255"/>
        <v>--</v>
      </c>
      <c r="U46" s="258"/>
      <c r="V46" s="197">
        <f t="shared" si="151"/>
        <v>0</v>
      </c>
      <c r="W46" s="1006">
        <f t="shared" si="152"/>
        <v>0</v>
      </c>
      <c r="X46" s="1007" t="e">
        <f t="shared" si="153"/>
        <v>#VALUE!</v>
      </c>
      <c r="Y46" s="258" t="str">
        <f t="shared" si="256"/>
        <v>--</v>
      </c>
      <c r="Z46" s="258"/>
      <c r="AA46" s="197">
        <f t="shared" si="154"/>
        <v>0</v>
      </c>
      <c r="AB46" s="1006">
        <f t="shared" si="155"/>
        <v>0</v>
      </c>
      <c r="AC46" s="1007" t="e">
        <f t="shared" si="156"/>
        <v>#VALUE!</v>
      </c>
      <c r="AD46" s="258" t="str">
        <f t="shared" si="257"/>
        <v>--</v>
      </c>
      <c r="AE46" s="258"/>
      <c r="AF46" s="197">
        <f t="shared" si="157"/>
        <v>0</v>
      </c>
      <c r="AG46" s="1006">
        <f t="shared" si="158"/>
        <v>0</v>
      </c>
      <c r="AH46" s="1007" t="e">
        <f t="shared" si="159"/>
        <v>#VALUE!</v>
      </c>
      <c r="AI46" s="258" t="str">
        <f t="shared" si="258"/>
        <v>--</v>
      </c>
      <c r="AJ46" s="258"/>
      <c r="AK46" s="197">
        <f t="shared" si="160"/>
        <v>0</v>
      </c>
      <c r="AL46" s="1006">
        <f t="shared" si="161"/>
        <v>0</v>
      </c>
      <c r="AM46" s="1007" t="e">
        <f t="shared" si="162"/>
        <v>#VALUE!</v>
      </c>
      <c r="AN46" s="258" t="str">
        <f t="shared" si="259"/>
        <v>--</v>
      </c>
      <c r="AO46" s="258"/>
      <c r="AP46" s="197">
        <f t="shared" si="163"/>
        <v>0</v>
      </c>
      <c r="AQ46" s="1006">
        <f t="shared" si="164"/>
        <v>0</v>
      </c>
      <c r="AR46" s="1007" t="e">
        <f t="shared" si="165"/>
        <v>#VALUE!</v>
      </c>
      <c r="AS46" s="258" t="str">
        <f t="shared" si="260"/>
        <v>--</v>
      </c>
      <c r="AT46" s="258"/>
      <c r="AU46" s="197">
        <f t="shared" si="166"/>
        <v>0</v>
      </c>
      <c r="AV46" s="1006">
        <f t="shared" si="167"/>
        <v>0</v>
      </c>
      <c r="AW46" s="1007" t="e">
        <f t="shared" si="168"/>
        <v>#VALUE!</v>
      </c>
      <c r="AX46" s="258" t="str">
        <f t="shared" si="261"/>
        <v>--</v>
      </c>
      <c r="AY46" s="258"/>
      <c r="AZ46" s="197">
        <f t="shared" si="169"/>
        <v>0</v>
      </c>
      <c r="BA46" s="1006">
        <f t="shared" si="170"/>
        <v>0</v>
      </c>
      <c r="BB46" s="1007" t="e">
        <f t="shared" si="171"/>
        <v>#VALUE!</v>
      </c>
      <c r="BC46" s="258" t="str">
        <f t="shared" si="262"/>
        <v>--</v>
      </c>
      <c r="BD46" s="258"/>
      <c r="BE46" s="197">
        <f t="shared" si="172"/>
        <v>0</v>
      </c>
      <c r="BF46" s="1006">
        <f t="shared" si="173"/>
        <v>0</v>
      </c>
      <c r="BG46" s="1007" t="e">
        <f t="shared" si="174"/>
        <v>#VALUE!</v>
      </c>
      <c r="BH46" s="258" t="str">
        <f t="shared" si="263"/>
        <v>--</v>
      </c>
      <c r="BI46" s="258"/>
      <c r="BJ46" s="197">
        <f t="shared" si="175"/>
        <v>0</v>
      </c>
      <c r="BK46" s="1006">
        <f t="shared" si="176"/>
        <v>0</v>
      </c>
      <c r="BL46" s="1007" t="e">
        <f t="shared" si="177"/>
        <v>#VALUE!</v>
      </c>
      <c r="BM46" s="258" t="str">
        <f t="shared" si="264"/>
        <v>--</v>
      </c>
      <c r="BN46" s="258"/>
      <c r="BO46" s="197">
        <f t="shared" si="178"/>
        <v>0</v>
      </c>
      <c r="BP46" s="1006">
        <f t="shared" si="179"/>
        <v>0</v>
      </c>
      <c r="BQ46" s="1007" t="e">
        <f t="shared" si="180"/>
        <v>#VALUE!</v>
      </c>
      <c r="BR46" s="258" t="str">
        <f t="shared" si="265"/>
        <v>--</v>
      </c>
      <c r="BS46" s="258"/>
      <c r="BT46" s="197">
        <f t="shared" si="181"/>
        <v>0</v>
      </c>
      <c r="BU46" s="1006">
        <f t="shared" si="182"/>
        <v>0</v>
      </c>
      <c r="BV46" s="1007" t="e">
        <f t="shared" si="183"/>
        <v>#VALUE!</v>
      </c>
      <c r="BW46" s="258" t="str">
        <f t="shared" si="266"/>
        <v>--</v>
      </c>
      <c r="BX46" s="258"/>
      <c r="BY46" s="197">
        <f t="shared" si="184"/>
        <v>0</v>
      </c>
      <c r="BZ46" s="1006">
        <f t="shared" si="185"/>
        <v>0</v>
      </c>
      <c r="CA46" s="1007" t="e">
        <f t="shared" si="186"/>
        <v>#VALUE!</v>
      </c>
      <c r="CB46" s="258" t="str">
        <f t="shared" si="267"/>
        <v>--</v>
      </c>
      <c r="CC46" s="258"/>
      <c r="CD46" s="197">
        <f t="shared" si="187"/>
        <v>0</v>
      </c>
      <c r="CE46" s="1006">
        <f t="shared" si="188"/>
        <v>0</v>
      </c>
      <c r="CF46" s="1007" t="e">
        <f t="shared" si="189"/>
        <v>#VALUE!</v>
      </c>
      <c r="CG46" s="258" t="str">
        <f t="shared" si="268"/>
        <v>--</v>
      </c>
      <c r="CH46" s="258"/>
      <c r="CI46" s="197">
        <f t="shared" si="190"/>
        <v>0</v>
      </c>
      <c r="CJ46" s="1006">
        <f t="shared" si="191"/>
        <v>0</v>
      </c>
      <c r="CK46" s="1007" t="e">
        <f t="shared" si="192"/>
        <v>#VALUE!</v>
      </c>
      <c r="CL46" s="258" t="str">
        <f t="shared" si="269"/>
        <v>--</v>
      </c>
      <c r="CM46" s="258"/>
      <c r="CN46" s="197">
        <f t="shared" si="193"/>
        <v>0</v>
      </c>
      <c r="CO46" s="1006">
        <f t="shared" si="194"/>
        <v>0</v>
      </c>
      <c r="CP46" s="1007" t="e">
        <f t="shared" si="195"/>
        <v>#VALUE!</v>
      </c>
      <c r="CQ46" s="258" t="str">
        <f t="shared" si="270"/>
        <v>--</v>
      </c>
      <c r="CR46" s="258"/>
      <c r="CS46" s="197">
        <f t="shared" si="196"/>
        <v>0</v>
      </c>
      <c r="CT46" s="1006">
        <f t="shared" si="197"/>
        <v>0</v>
      </c>
      <c r="CU46" s="1007" t="e">
        <f t="shared" si="198"/>
        <v>#VALUE!</v>
      </c>
      <c r="CV46" s="258" t="str">
        <f t="shared" si="271"/>
        <v>--</v>
      </c>
      <c r="CW46" s="258"/>
      <c r="CX46" s="197">
        <f t="shared" si="199"/>
        <v>0</v>
      </c>
      <c r="CY46" s="1006">
        <f t="shared" si="200"/>
        <v>0</v>
      </c>
      <c r="CZ46" s="1007" t="e">
        <f t="shared" si="201"/>
        <v>#VALUE!</v>
      </c>
      <c r="DA46" s="258" t="str">
        <f t="shared" si="272"/>
        <v>--</v>
      </c>
      <c r="DB46" s="258"/>
      <c r="DC46" s="197">
        <f t="shared" si="202"/>
        <v>0</v>
      </c>
      <c r="DD46" s="1006">
        <f t="shared" si="203"/>
        <v>0</v>
      </c>
      <c r="DE46" s="1007" t="e">
        <f t="shared" si="204"/>
        <v>#VALUE!</v>
      </c>
      <c r="DF46" s="258" t="str">
        <f t="shared" si="273"/>
        <v>--</v>
      </c>
      <c r="DG46" s="258"/>
      <c r="DH46" s="197">
        <f t="shared" si="205"/>
        <v>0</v>
      </c>
      <c r="DI46" s="1006">
        <f t="shared" si="206"/>
        <v>0</v>
      </c>
      <c r="DJ46" s="1007" t="e">
        <f t="shared" si="207"/>
        <v>#VALUE!</v>
      </c>
      <c r="DK46" s="258" t="str">
        <f t="shared" si="274"/>
        <v>--</v>
      </c>
      <c r="DL46" s="258"/>
      <c r="DM46" s="197">
        <f t="shared" si="208"/>
        <v>0</v>
      </c>
      <c r="DN46" s="1006">
        <f t="shared" si="209"/>
        <v>0</v>
      </c>
      <c r="DO46" s="1007" t="e">
        <f t="shared" si="210"/>
        <v>#VALUE!</v>
      </c>
      <c r="DP46" s="258" t="str">
        <f t="shared" si="275"/>
        <v>--</v>
      </c>
      <c r="DQ46" s="258"/>
      <c r="DR46" s="197">
        <f t="shared" si="211"/>
        <v>0</v>
      </c>
      <c r="DS46" s="1006">
        <f t="shared" si="212"/>
        <v>0</v>
      </c>
      <c r="DT46" s="1007" t="e">
        <f t="shared" si="213"/>
        <v>#VALUE!</v>
      </c>
      <c r="DU46" s="258" t="str">
        <f t="shared" si="276"/>
        <v>--</v>
      </c>
      <c r="DV46" s="258"/>
      <c r="DW46" s="197">
        <f t="shared" si="214"/>
        <v>0</v>
      </c>
      <c r="DX46" s="1006">
        <f t="shared" si="215"/>
        <v>0</v>
      </c>
      <c r="DY46" s="1007" t="e">
        <f t="shared" si="216"/>
        <v>#VALUE!</v>
      </c>
      <c r="DZ46" s="258" t="str">
        <f t="shared" si="277"/>
        <v>--</v>
      </c>
      <c r="EA46" s="258"/>
      <c r="EB46" s="197">
        <f t="shared" si="217"/>
        <v>0</v>
      </c>
      <c r="EC46" s="1006">
        <f t="shared" si="218"/>
        <v>0</v>
      </c>
      <c r="ED46" s="1007" t="e">
        <f t="shared" si="219"/>
        <v>#VALUE!</v>
      </c>
      <c r="EE46" s="258" t="str">
        <f t="shared" si="278"/>
        <v>--</v>
      </c>
      <c r="EF46" s="258"/>
      <c r="EG46" s="197">
        <f t="shared" si="220"/>
        <v>0</v>
      </c>
      <c r="EH46" s="1006">
        <f t="shared" si="221"/>
        <v>0</v>
      </c>
      <c r="EI46" s="1007" t="e">
        <f t="shared" si="222"/>
        <v>#VALUE!</v>
      </c>
      <c r="EJ46" s="258" t="str">
        <f t="shared" si="279"/>
        <v>--</v>
      </c>
      <c r="EK46" s="258"/>
      <c r="EL46" s="197">
        <f t="shared" si="223"/>
        <v>0</v>
      </c>
      <c r="EM46" s="1006">
        <f t="shared" si="224"/>
        <v>0</v>
      </c>
      <c r="EN46" s="1007" t="e">
        <f t="shared" si="225"/>
        <v>#VALUE!</v>
      </c>
      <c r="EO46" s="258" t="str">
        <f t="shared" si="280"/>
        <v>--</v>
      </c>
      <c r="EP46" s="258"/>
      <c r="EQ46" s="197">
        <f t="shared" si="226"/>
        <v>0</v>
      </c>
      <c r="ER46" s="1006">
        <f t="shared" si="227"/>
        <v>0</v>
      </c>
      <c r="ES46" s="1007" t="e">
        <f t="shared" si="228"/>
        <v>#VALUE!</v>
      </c>
      <c r="ET46" s="258" t="str">
        <f t="shared" si="281"/>
        <v>--</v>
      </c>
      <c r="EU46" s="258"/>
      <c r="EV46" s="197">
        <f t="shared" si="229"/>
        <v>0</v>
      </c>
      <c r="EW46" s="1006">
        <f t="shared" si="230"/>
        <v>0</v>
      </c>
      <c r="EX46" s="1007" t="e">
        <f t="shared" si="231"/>
        <v>#VALUE!</v>
      </c>
      <c r="EY46" s="258" t="str">
        <f t="shared" si="282"/>
        <v>--</v>
      </c>
      <c r="EZ46" s="258"/>
      <c r="FA46" s="197">
        <f t="shared" si="232"/>
        <v>0</v>
      </c>
      <c r="FB46" s="1006">
        <f t="shared" si="233"/>
        <v>0</v>
      </c>
      <c r="FC46" s="1007" t="e">
        <f t="shared" si="234"/>
        <v>#VALUE!</v>
      </c>
      <c r="FD46" s="258" t="str">
        <f t="shared" si="283"/>
        <v>--</v>
      </c>
      <c r="FE46" s="258"/>
      <c r="FF46" s="197">
        <f t="shared" si="235"/>
        <v>0</v>
      </c>
      <c r="FG46" s="1006">
        <f t="shared" si="236"/>
        <v>0</v>
      </c>
      <c r="FH46" s="1007" t="e">
        <f t="shared" si="237"/>
        <v>#VALUE!</v>
      </c>
      <c r="FI46" s="258" t="str">
        <f t="shared" si="284"/>
        <v>--</v>
      </c>
      <c r="FJ46" s="258"/>
      <c r="FK46" s="197">
        <f t="shared" si="238"/>
        <v>0</v>
      </c>
      <c r="FL46" s="1006">
        <f t="shared" si="239"/>
        <v>0</v>
      </c>
      <c r="FM46" s="1007" t="e">
        <f t="shared" si="240"/>
        <v>#VALUE!</v>
      </c>
      <c r="FN46" s="258" t="str">
        <f t="shared" si="285"/>
        <v>--</v>
      </c>
      <c r="FO46" s="258"/>
      <c r="FP46" s="197">
        <f t="shared" si="241"/>
        <v>0</v>
      </c>
      <c r="FQ46" s="1006">
        <f t="shared" si="242"/>
        <v>0</v>
      </c>
      <c r="FR46" s="1007" t="e">
        <f t="shared" si="243"/>
        <v>#VALUE!</v>
      </c>
      <c r="FS46" s="258" t="str">
        <f t="shared" si="286"/>
        <v>--</v>
      </c>
      <c r="FT46" s="258"/>
      <c r="FU46" s="197">
        <f t="shared" si="244"/>
        <v>0</v>
      </c>
      <c r="FV46" s="1006">
        <f t="shared" si="245"/>
        <v>0</v>
      </c>
      <c r="FW46" s="1007" t="e">
        <f t="shared" si="246"/>
        <v>#VALUE!</v>
      </c>
      <c r="FX46" s="258" t="str">
        <f t="shared" si="287"/>
        <v>--</v>
      </c>
      <c r="FY46" s="258"/>
      <c r="FZ46" s="197">
        <f t="shared" si="247"/>
        <v>0</v>
      </c>
      <c r="GA46" s="1006">
        <f t="shared" si="248"/>
        <v>0</v>
      </c>
      <c r="GB46" s="1007" t="e">
        <f t="shared" si="249"/>
        <v>#VALUE!</v>
      </c>
      <c r="GC46" s="258" t="str">
        <f t="shared" si="288"/>
        <v>--</v>
      </c>
      <c r="GD46" s="258"/>
      <c r="GE46" s="197">
        <f t="shared" si="250"/>
        <v>0</v>
      </c>
      <c r="GF46" s="1006">
        <f t="shared" si="251"/>
        <v>0</v>
      </c>
      <c r="GG46" s="1007" t="e">
        <f t="shared" si="252"/>
        <v>#VALUE!</v>
      </c>
      <c r="GH46" s="258" t="str">
        <f t="shared" si="289"/>
        <v>--</v>
      </c>
      <c r="GI46" s="258"/>
      <c r="GJ46" s="197">
        <f t="shared" si="253"/>
        <v>0</v>
      </c>
      <c r="GK46" s="1340"/>
      <c r="GL46" s="164"/>
      <c r="GM46" s="164"/>
      <c r="GN46" s="164"/>
    </row>
    <row r="47" spans="1:196" ht="12.75" x14ac:dyDescent="0.2">
      <c r="A47" s="243">
        <f>'Item list'!A47</f>
        <v>0</v>
      </c>
      <c r="B47" s="243">
        <f>'Item list'!B47</f>
        <v>0</v>
      </c>
      <c r="C47" s="243">
        <f>'Item list'!C47</f>
        <v>0</v>
      </c>
      <c r="D47" s="989">
        <f>'Item list'!D47</f>
        <v>0</v>
      </c>
      <c r="E47" s="243">
        <f>'Item list'!E47</f>
        <v>0</v>
      </c>
      <c r="F47" s="243">
        <f>'Item list'!F47</f>
        <v>0</v>
      </c>
      <c r="G47" s="243">
        <f>'Item list'!G47</f>
        <v>0</v>
      </c>
      <c r="H47" s="1005" t="e">
        <f t="shared" si="144"/>
        <v>#REF!</v>
      </c>
      <c r="I47" s="243"/>
      <c r="J47" s="243"/>
      <c r="K47" s="243"/>
      <c r="L47" s="197">
        <f t="shared" si="145"/>
        <v>0</v>
      </c>
      <c r="M47" s="1006">
        <f t="shared" si="146"/>
        <v>0</v>
      </c>
      <c r="N47" s="1007" t="e">
        <f t="shared" si="147"/>
        <v>#VALUE!</v>
      </c>
      <c r="O47" s="258" t="str">
        <f t="shared" si="254"/>
        <v>--</v>
      </c>
      <c r="P47" s="258"/>
      <c r="Q47" s="197">
        <f t="shared" si="148"/>
        <v>0</v>
      </c>
      <c r="R47" s="1006">
        <f t="shared" si="149"/>
        <v>0</v>
      </c>
      <c r="S47" s="1007" t="e">
        <f t="shared" si="150"/>
        <v>#VALUE!</v>
      </c>
      <c r="T47" s="258" t="str">
        <f t="shared" si="255"/>
        <v>--</v>
      </c>
      <c r="U47" s="258"/>
      <c r="V47" s="197">
        <f t="shared" si="151"/>
        <v>0</v>
      </c>
      <c r="W47" s="1006">
        <f t="shared" si="152"/>
        <v>0</v>
      </c>
      <c r="X47" s="1007" t="e">
        <f t="shared" si="153"/>
        <v>#VALUE!</v>
      </c>
      <c r="Y47" s="258" t="str">
        <f t="shared" si="256"/>
        <v>--</v>
      </c>
      <c r="Z47" s="258"/>
      <c r="AA47" s="197">
        <f t="shared" si="154"/>
        <v>0</v>
      </c>
      <c r="AB47" s="1006">
        <f t="shared" si="155"/>
        <v>0</v>
      </c>
      <c r="AC47" s="1007" t="e">
        <f t="shared" si="156"/>
        <v>#VALUE!</v>
      </c>
      <c r="AD47" s="258" t="str">
        <f t="shared" si="257"/>
        <v>--</v>
      </c>
      <c r="AE47" s="258"/>
      <c r="AF47" s="197">
        <f t="shared" si="157"/>
        <v>0</v>
      </c>
      <c r="AG47" s="1006">
        <f t="shared" si="158"/>
        <v>0</v>
      </c>
      <c r="AH47" s="1007" t="e">
        <f t="shared" si="159"/>
        <v>#VALUE!</v>
      </c>
      <c r="AI47" s="258" t="str">
        <f t="shared" si="258"/>
        <v>--</v>
      </c>
      <c r="AJ47" s="258"/>
      <c r="AK47" s="197">
        <f t="shared" si="160"/>
        <v>0</v>
      </c>
      <c r="AL47" s="1006">
        <f t="shared" si="161"/>
        <v>0</v>
      </c>
      <c r="AM47" s="1007" t="e">
        <f t="shared" si="162"/>
        <v>#VALUE!</v>
      </c>
      <c r="AN47" s="258" t="str">
        <f t="shared" si="259"/>
        <v>--</v>
      </c>
      <c r="AO47" s="258"/>
      <c r="AP47" s="197">
        <f t="shared" si="163"/>
        <v>0</v>
      </c>
      <c r="AQ47" s="1006">
        <f t="shared" si="164"/>
        <v>0</v>
      </c>
      <c r="AR47" s="1007" t="e">
        <f t="shared" si="165"/>
        <v>#VALUE!</v>
      </c>
      <c r="AS47" s="258" t="str">
        <f t="shared" si="260"/>
        <v>--</v>
      </c>
      <c r="AT47" s="258"/>
      <c r="AU47" s="197">
        <f t="shared" si="166"/>
        <v>0</v>
      </c>
      <c r="AV47" s="1006">
        <f t="shared" si="167"/>
        <v>0</v>
      </c>
      <c r="AW47" s="1007" t="e">
        <f t="shared" si="168"/>
        <v>#VALUE!</v>
      </c>
      <c r="AX47" s="258" t="str">
        <f t="shared" si="261"/>
        <v>--</v>
      </c>
      <c r="AY47" s="258"/>
      <c r="AZ47" s="197">
        <f t="shared" si="169"/>
        <v>0</v>
      </c>
      <c r="BA47" s="1006">
        <f t="shared" si="170"/>
        <v>0</v>
      </c>
      <c r="BB47" s="1007" t="e">
        <f t="shared" si="171"/>
        <v>#VALUE!</v>
      </c>
      <c r="BC47" s="258" t="str">
        <f t="shared" si="262"/>
        <v>--</v>
      </c>
      <c r="BD47" s="258"/>
      <c r="BE47" s="197">
        <f t="shared" si="172"/>
        <v>0</v>
      </c>
      <c r="BF47" s="1006">
        <f t="shared" si="173"/>
        <v>0</v>
      </c>
      <c r="BG47" s="1007" t="e">
        <f t="shared" si="174"/>
        <v>#VALUE!</v>
      </c>
      <c r="BH47" s="258" t="str">
        <f t="shared" si="263"/>
        <v>--</v>
      </c>
      <c r="BI47" s="258"/>
      <c r="BJ47" s="197">
        <f t="shared" si="175"/>
        <v>0</v>
      </c>
      <c r="BK47" s="1006">
        <f t="shared" si="176"/>
        <v>0</v>
      </c>
      <c r="BL47" s="1007" t="e">
        <f t="shared" si="177"/>
        <v>#VALUE!</v>
      </c>
      <c r="BM47" s="258" t="str">
        <f t="shared" si="264"/>
        <v>--</v>
      </c>
      <c r="BN47" s="258"/>
      <c r="BO47" s="197">
        <f t="shared" si="178"/>
        <v>0</v>
      </c>
      <c r="BP47" s="1006">
        <f t="shared" si="179"/>
        <v>0</v>
      </c>
      <c r="BQ47" s="1007" t="e">
        <f t="shared" si="180"/>
        <v>#VALUE!</v>
      </c>
      <c r="BR47" s="258" t="str">
        <f t="shared" si="265"/>
        <v>--</v>
      </c>
      <c r="BS47" s="258"/>
      <c r="BT47" s="197">
        <f t="shared" si="181"/>
        <v>0</v>
      </c>
      <c r="BU47" s="1006">
        <f t="shared" si="182"/>
        <v>0</v>
      </c>
      <c r="BV47" s="1007" t="e">
        <f t="shared" si="183"/>
        <v>#VALUE!</v>
      </c>
      <c r="BW47" s="258" t="str">
        <f t="shared" si="266"/>
        <v>--</v>
      </c>
      <c r="BX47" s="258"/>
      <c r="BY47" s="197">
        <f t="shared" si="184"/>
        <v>0</v>
      </c>
      <c r="BZ47" s="1006">
        <f t="shared" si="185"/>
        <v>0</v>
      </c>
      <c r="CA47" s="1007" t="e">
        <f t="shared" si="186"/>
        <v>#VALUE!</v>
      </c>
      <c r="CB47" s="258" t="str">
        <f t="shared" si="267"/>
        <v>--</v>
      </c>
      <c r="CC47" s="258"/>
      <c r="CD47" s="197">
        <f t="shared" si="187"/>
        <v>0</v>
      </c>
      <c r="CE47" s="1006">
        <f t="shared" si="188"/>
        <v>0</v>
      </c>
      <c r="CF47" s="1007" t="e">
        <f t="shared" si="189"/>
        <v>#VALUE!</v>
      </c>
      <c r="CG47" s="258" t="str">
        <f t="shared" si="268"/>
        <v>--</v>
      </c>
      <c r="CH47" s="258"/>
      <c r="CI47" s="197">
        <f t="shared" si="190"/>
        <v>0</v>
      </c>
      <c r="CJ47" s="1006">
        <f t="shared" si="191"/>
        <v>0</v>
      </c>
      <c r="CK47" s="1007" t="e">
        <f t="shared" si="192"/>
        <v>#VALUE!</v>
      </c>
      <c r="CL47" s="258" t="str">
        <f t="shared" si="269"/>
        <v>--</v>
      </c>
      <c r="CM47" s="258"/>
      <c r="CN47" s="197">
        <f t="shared" si="193"/>
        <v>0</v>
      </c>
      <c r="CO47" s="1006">
        <f t="shared" si="194"/>
        <v>0</v>
      </c>
      <c r="CP47" s="1007" t="e">
        <f t="shared" si="195"/>
        <v>#VALUE!</v>
      </c>
      <c r="CQ47" s="258" t="str">
        <f t="shared" si="270"/>
        <v>--</v>
      </c>
      <c r="CR47" s="258"/>
      <c r="CS47" s="197">
        <f t="shared" si="196"/>
        <v>0</v>
      </c>
      <c r="CT47" s="1006">
        <f t="shared" si="197"/>
        <v>0</v>
      </c>
      <c r="CU47" s="1007" t="e">
        <f t="shared" si="198"/>
        <v>#VALUE!</v>
      </c>
      <c r="CV47" s="258" t="str">
        <f t="shared" si="271"/>
        <v>--</v>
      </c>
      <c r="CW47" s="258"/>
      <c r="CX47" s="197">
        <f t="shared" si="199"/>
        <v>0</v>
      </c>
      <c r="CY47" s="1006">
        <f t="shared" si="200"/>
        <v>0</v>
      </c>
      <c r="CZ47" s="1007" t="e">
        <f t="shared" si="201"/>
        <v>#VALUE!</v>
      </c>
      <c r="DA47" s="258" t="str">
        <f t="shared" si="272"/>
        <v>--</v>
      </c>
      <c r="DB47" s="258"/>
      <c r="DC47" s="197">
        <f t="shared" si="202"/>
        <v>0</v>
      </c>
      <c r="DD47" s="1006">
        <f t="shared" si="203"/>
        <v>0</v>
      </c>
      <c r="DE47" s="1007" t="e">
        <f t="shared" si="204"/>
        <v>#VALUE!</v>
      </c>
      <c r="DF47" s="258" t="str">
        <f t="shared" si="273"/>
        <v>--</v>
      </c>
      <c r="DG47" s="258"/>
      <c r="DH47" s="197">
        <f t="shared" si="205"/>
        <v>0</v>
      </c>
      <c r="DI47" s="1006">
        <f t="shared" si="206"/>
        <v>0</v>
      </c>
      <c r="DJ47" s="1007" t="e">
        <f t="shared" si="207"/>
        <v>#VALUE!</v>
      </c>
      <c r="DK47" s="258" t="str">
        <f t="shared" si="274"/>
        <v>--</v>
      </c>
      <c r="DL47" s="258"/>
      <c r="DM47" s="197">
        <f t="shared" si="208"/>
        <v>0</v>
      </c>
      <c r="DN47" s="1006">
        <f t="shared" si="209"/>
        <v>0</v>
      </c>
      <c r="DO47" s="1007" t="e">
        <f t="shared" si="210"/>
        <v>#VALUE!</v>
      </c>
      <c r="DP47" s="258" t="str">
        <f t="shared" si="275"/>
        <v>--</v>
      </c>
      <c r="DQ47" s="258"/>
      <c r="DR47" s="197">
        <f t="shared" si="211"/>
        <v>0</v>
      </c>
      <c r="DS47" s="1006">
        <f t="shared" si="212"/>
        <v>0</v>
      </c>
      <c r="DT47" s="1007" t="e">
        <f t="shared" si="213"/>
        <v>#VALUE!</v>
      </c>
      <c r="DU47" s="258" t="str">
        <f t="shared" si="276"/>
        <v>--</v>
      </c>
      <c r="DV47" s="258"/>
      <c r="DW47" s="197">
        <f t="shared" si="214"/>
        <v>0</v>
      </c>
      <c r="DX47" s="1006">
        <f t="shared" si="215"/>
        <v>0</v>
      </c>
      <c r="DY47" s="1007" t="e">
        <f t="shared" si="216"/>
        <v>#VALUE!</v>
      </c>
      <c r="DZ47" s="258" t="str">
        <f t="shared" si="277"/>
        <v>--</v>
      </c>
      <c r="EA47" s="258"/>
      <c r="EB47" s="197">
        <f t="shared" si="217"/>
        <v>0</v>
      </c>
      <c r="EC47" s="1006">
        <f t="shared" si="218"/>
        <v>0</v>
      </c>
      <c r="ED47" s="1007" t="e">
        <f t="shared" si="219"/>
        <v>#VALUE!</v>
      </c>
      <c r="EE47" s="258" t="str">
        <f t="shared" si="278"/>
        <v>--</v>
      </c>
      <c r="EF47" s="258"/>
      <c r="EG47" s="197">
        <f t="shared" si="220"/>
        <v>0</v>
      </c>
      <c r="EH47" s="1006">
        <f t="shared" si="221"/>
        <v>0</v>
      </c>
      <c r="EI47" s="1007" t="e">
        <f t="shared" si="222"/>
        <v>#VALUE!</v>
      </c>
      <c r="EJ47" s="258" t="str">
        <f t="shared" si="279"/>
        <v>--</v>
      </c>
      <c r="EK47" s="258"/>
      <c r="EL47" s="197">
        <f t="shared" si="223"/>
        <v>0</v>
      </c>
      <c r="EM47" s="1006">
        <f t="shared" si="224"/>
        <v>0</v>
      </c>
      <c r="EN47" s="1007" t="e">
        <f t="shared" si="225"/>
        <v>#VALUE!</v>
      </c>
      <c r="EO47" s="258" t="str">
        <f t="shared" si="280"/>
        <v>--</v>
      </c>
      <c r="EP47" s="258"/>
      <c r="EQ47" s="197">
        <f t="shared" si="226"/>
        <v>0</v>
      </c>
      <c r="ER47" s="1006">
        <f t="shared" si="227"/>
        <v>0</v>
      </c>
      <c r="ES47" s="1007" t="e">
        <f t="shared" si="228"/>
        <v>#VALUE!</v>
      </c>
      <c r="ET47" s="258" t="str">
        <f t="shared" si="281"/>
        <v>--</v>
      </c>
      <c r="EU47" s="258"/>
      <c r="EV47" s="197">
        <f t="shared" si="229"/>
        <v>0</v>
      </c>
      <c r="EW47" s="1006">
        <f t="shared" si="230"/>
        <v>0</v>
      </c>
      <c r="EX47" s="1007" t="e">
        <f t="shared" si="231"/>
        <v>#VALUE!</v>
      </c>
      <c r="EY47" s="258" t="str">
        <f t="shared" si="282"/>
        <v>--</v>
      </c>
      <c r="EZ47" s="258"/>
      <c r="FA47" s="197">
        <f t="shared" si="232"/>
        <v>0</v>
      </c>
      <c r="FB47" s="1006">
        <f t="shared" si="233"/>
        <v>0</v>
      </c>
      <c r="FC47" s="1007" t="e">
        <f t="shared" si="234"/>
        <v>#VALUE!</v>
      </c>
      <c r="FD47" s="258" t="str">
        <f t="shared" si="283"/>
        <v>--</v>
      </c>
      <c r="FE47" s="258"/>
      <c r="FF47" s="197">
        <f t="shared" si="235"/>
        <v>0</v>
      </c>
      <c r="FG47" s="1006">
        <f t="shared" si="236"/>
        <v>0</v>
      </c>
      <c r="FH47" s="1007" t="e">
        <f t="shared" si="237"/>
        <v>#VALUE!</v>
      </c>
      <c r="FI47" s="258" t="str">
        <f t="shared" si="284"/>
        <v>--</v>
      </c>
      <c r="FJ47" s="258"/>
      <c r="FK47" s="197">
        <f t="shared" si="238"/>
        <v>0</v>
      </c>
      <c r="FL47" s="1006">
        <f t="shared" si="239"/>
        <v>0</v>
      </c>
      <c r="FM47" s="1007" t="e">
        <f t="shared" si="240"/>
        <v>#VALUE!</v>
      </c>
      <c r="FN47" s="258" t="str">
        <f t="shared" si="285"/>
        <v>--</v>
      </c>
      <c r="FO47" s="258"/>
      <c r="FP47" s="197">
        <f t="shared" si="241"/>
        <v>0</v>
      </c>
      <c r="FQ47" s="1006">
        <f t="shared" si="242"/>
        <v>0</v>
      </c>
      <c r="FR47" s="1007" t="e">
        <f t="shared" si="243"/>
        <v>#VALUE!</v>
      </c>
      <c r="FS47" s="258" t="str">
        <f t="shared" si="286"/>
        <v>--</v>
      </c>
      <c r="FT47" s="258"/>
      <c r="FU47" s="197">
        <f t="shared" si="244"/>
        <v>0</v>
      </c>
      <c r="FV47" s="1006">
        <f t="shared" si="245"/>
        <v>0</v>
      </c>
      <c r="FW47" s="1007" t="e">
        <f t="shared" si="246"/>
        <v>#VALUE!</v>
      </c>
      <c r="FX47" s="258" t="str">
        <f t="shared" si="287"/>
        <v>--</v>
      </c>
      <c r="FY47" s="258"/>
      <c r="FZ47" s="197">
        <f t="shared" si="247"/>
        <v>0</v>
      </c>
      <c r="GA47" s="1006">
        <f t="shared" si="248"/>
        <v>0</v>
      </c>
      <c r="GB47" s="1007" t="e">
        <f t="shared" si="249"/>
        <v>#VALUE!</v>
      </c>
      <c r="GC47" s="258" t="str">
        <f t="shared" si="288"/>
        <v>--</v>
      </c>
      <c r="GD47" s="258"/>
      <c r="GE47" s="197">
        <f t="shared" si="250"/>
        <v>0</v>
      </c>
      <c r="GF47" s="1006">
        <f t="shared" si="251"/>
        <v>0</v>
      </c>
      <c r="GG47" s="1007" t="e">
        <f t="shared" si="252"/>
        <v>#VALUE!</v>
      </c>
      <c r="GH47" s="258" t="str">
        <f t="shared" si="289"/>
        <v>--</v>
      </c>
      <c r="GI47" s="258"/>
      <c r="GJ47" s="197">
        <f t="shared" si="253"/>
        <v>0</v>
      </c>
      <c r="GK47" s="1340"/>
      <c r="GL47" s="164"/>
      <c r="GM47" s="164"/>
      <c r="GN47" s="164"/>
    </row>
    <row r="48" spans="1:196" ht="12.75" x14ac:dyDescent="0.2">
      <c r="A48" s="243">
        <f>'Item list'!A48</f>
        <v>0</v>
      </c>
      <c r="B48" s="243">
        <f>'Item list'!B48</f>
        <v>0</v>
      </c>
      <c r="C48" s="243">
        <f>'Item list'!C48</f>
        <v>0</v>
      </c>
      <c r="D48" s="989">
        <f>'Item list'!D48</f>
        <v>0</v>
      </c>
      <c r="E48" s="243">
        <f>'Item list'!E48</f>
        <v>0</v>
      </c>
      <c r="F48" s="243">
        <f>'Item list'!F48</f>
        <v>0</v>
      </c>
      <c r="G48" s="243">
        <f>'Item list'!G48</f>
        <v>0</v>
      </c>
      <c r="H48" s="1005" t="e">
        <f t="shared" si="144"/>
        <v>#REF!</v>
      </c>
      <c r="I48" s="243"/>
      <c r="J48" s="243"/>
      <c r="K48" s="243"/>
      <c r="L48" s="197">
        <f t="shared" si="145"/>
        <v>0</v>
      </c>
      <c r="M48" s="1006">
        <f t="shared" si="146"/>
        <v>0</v>
      </c>
      <c r="N48" s="1007" t="e">
        <f t="shared" si="147"/>
        <v>#VALUE!</v>
      </c>
      <c r="O48" s="258" t="str">
        <f t="shared" si="254"/>
        <v>--</v>
      </c>
      <c r="P48" s="258"/>
      <c r="Q48" s="197">
        <f t="shared" si="148"/>
        <v>0</v>
      </c>
      <c r="R48" s="1006">
        <f t="shared" si="149"/>
        <v>0</v>
      </c>
      <c r="S48" s="1007" t="e">
        <f t="shared" si="150"/>
        <v>#VALUE!</v>
      </c>
      <c r="T48" s="258" t="str">
        <f t="shared" si="255"/>
        <v>--</v>
      </c>
      <c r="U48" s="258"/>
      <c r="V48" s="197">
        <f t="shared" si="151"/>
        <v>0</v>
      </c>
      <c r="W48" s="1006">
        <f t="shared" si="152"/>
        <v>0</v>
      </c>
      <c r="X48" s="1007" t="e">
        <f t="shared" si="153"/>
        <v>#VALUE!</v>
      </c>
      <c r="Y48" s="258" t="str">
        <f t="shared" si="256"/>
        <v>--</v>
      </c>
      <c r="Z48" s="258"/>
      <c r="AA48" s="197">
        <f t="shared" si="154"/>
        <v>0</v>
      </c>
      <c r="AB48" s="1006">
        <f t="shared" si="155"/>
        <v>0</v>
      </c>
      <c r="AC48" s="1007" t="e">
        <f t="shared" si="156"/>
        <v>#VALUE!</v>
      </c>
      <c r="AD48" s="258" t="str">
        <f t="shared" si="257"/>
        <v>--</v>
      </c>
      <c r="AE48" s="258"/>
      <c r="AF48" s="197">
        <f t="shared" si="157"/>
        <v>0</v>
      </c>
      <c r="AG48" s="1006">
        <f t="shared" si="158"/>
        <v>0</v>
      </c>
      <c r="AH48" s="1007" t="e">
        <f t="shared" si="159"/>
        <v>#VALUE!</v>
      </c>
      <c r="AI48" s="258" t="str">
        <f t="shared" si="258"/>
        <v>--</v>
      </c>
      <c r="AJ48" s="258"/>
      <c r="AK48" s="197">
        <f t="shared" si="160"/>
        <v>0</v>
      </c>
      <c r="AL48" s="1006">
        <f t="shared" si="161"/>
        <v>0</v>
      </c>
      <c r="AM48" s="1007" t="e">
        <f t="shared" si="162"/>
        <v>#VALUE!</v>
      </c>
      <c r="AN48" s="258" t="str">
        <f t="shared" si="259"/>
        <v>--</v>
      </c>
      <c r="AO48" s="258"/>
      <c r="AP48" s="197">
        <f t="shared" si="163"/>
        <v>0</v>
      </c>
      <c r="AQ48" s="1006">
        <f t="shared" si="164"/>
        <v>0</v>
      </c>
      <c r="AR48" s="1007" t="e">
        <f t="shared" si="165"/>
        <v>#VALUE!</v>
      </c>
      <c r="AS48" s="258" t="str">
        <f t="shared" si="260"/>
        <v>--</v>
      </c>
      <c r="AT48" s="258"/>
      <c r="AU48" s="197">
        <f t="shared" si="166"/>
        <v>0</v>
      </c>
      <c r="AV48" s="1006">
        <f t="shared" si="167"/>
        <v>0</v>
      </c>
      <c r="AW48" s="1007" t="e">
        <f t="shared" si="168"/>
        <v>#VALUE!</v>
      </c>
      <c r="AX48" s="258" t="str">
        <f t="shared" si="261"/>
        <v>--</v>
      </c>
      <c r="AY48" s="258"/>
      <c r="AZ48" s="197">
        <f t="shared" si="169"/>
        <v>0</v>
      </c>
      <c r="BA48" s="1006">
        <f t="shared" si="170"/>
        <v>0</v>
      </c>
      <c r="BB48" s="1007" t="e">
        <f t="shared" si="171"/>
        <v>#VALUE!</v>
      </c>
      <c r="BC48" s="258" t="str">
        <f t="shared" si="262"/>
        <v>--</v>
      </c>
      <c r="BD48" s="258"/>
      <c r="BE48" s="197">
        <f t="shared" si="172"/>
        <v>0</v>
      </c>
      <c r="BF48" s="1006">
        <f t="shared" si="173"/>
        <v>0</v>
      </c>
      <c r="BG48" s="1007" t="e">
        <f t="shared" si="174"/>
        <v>#VALUE!</v>
      </c>
      <c r="BH48" s="258" t="str">
        <f t="shared" si="263"/>
        <v>--</v>
      </c>
      <c r="BI48" s="258"/>
      <c r="BJ48" s="197">
        <f t="shared" si="175"/>
        <v>0</v>
      </c>
      <c r="BK48" s="1006">
        <f t="shared" si="176"/>
        <v>0</v>
      </c>
      <c r="BL48" s="1007" t="e">
        <f t="shared" si="177"/>
        <v>#VALUE!</v>
      </c>
      <c r="BM48" s="258" t="str">
        <f t="shared" si="264"/>
        <v>--</v>
      </c>
      <c r="BN48" s="258"/>
      <c r="BO48" s="197">
        <f t="shared" si="178"/>
        <v>0</v>
      </c>
      <c r="BP48" s="1006">
        <f t="shared" si="179"/>
        <v>0</v>
      </c>
      <c r="BQ48" s="1007" t="e">
        <f t="shared" si="180"/>
        <v>#VALUE!</v>
      </c>
      <c r="BR48" s="258" t="str">
        <f t="shared" si="265"/>
        <v>--</v>
      </c>
      <c r="BS48" s="258"/>
      <c r="BT48" s="197">
        <f t="shared" si="181"/>
        <v>0</v>
      </c>
      <c r="BU48" s="1006">
        <f t="shared" si="182"/>
        <v>0</v>
      </c>
      <c r="BV48" s="1007" t="e">
        <f t="shared" si="183"/>
        <v>#VALUE!</v>
      </c>
      <c r="BW48" s="258" t="str">
        <f t="shared" si="266"/>
        <v>--</v>
      </c>
      <c r="BX48" s="258"/>
      <c r="BY48" s="197">
        <f t="shared" si="184"/>
        <v>0</v>
      </c>
      <c r="BZ48" s="1006">
        <f t="shared" si="185"/>
        <v>0</v>
      </c>
      <c r="CA48" s="1007" t="e">
        <f t="shared" si="186"/>
        <v>#VALUE!</v>
      </c>
      <c r="CB48" s="258" t="str">
        <f t="shared" si="267"/>
        <v>--</v>
      </c>
      <c r="CC48" s="258"/>
      <c r="CD48" s="197">
        <f t="shared" si="187"/>
        <v>0</v>
      </c>
      <c r="CE48" s="1006">
        <f t="shared" si="188"/>
        <v>0</v>
      </c>
      <c r="CF48" s="1007" t="e">
        <f t="shared" si="189"/>
        <v>#VALUE!</v>
      </c>
      <c r="CG48" s="258" t="str">
        <f t="shared" si="268"/>
        <v>--</v>
      </c>
      <c r="CH48" s="258"/>
      <c r="CI48" s="197">
        <f t="shared" si="190"/>
        <v>0</v>
      </c>
      <c r="CJ48" s="1006">
        <f t="shared" si="191"/>
        <v>0</v>
      </c>
      <c r="CK48" s="1007" t="e">
        <f t="shared" si="192"/>
        <v>#VALUE!</v>
      </c>
      <c r="CL48" s="258" t="str">
        <f t="shared" si="269"/>
        <v>--</v>
      </c>
      <c r="CM48" s="258"/>
      <c r="CN48" s="197">
        <f t="shared" si="193"/>
        <v>0</v>
      </c>
      <c r="CO48" s="1006">
        <f t="shared" si="194"/>
        <v>0</v>
      </c>
      <c r="CP48" s="1007" t="e">
        <f t="shared" si="195"/>
        <v>#VALUE!</v>
      </c>
      <c r="CQ48" s="258" t="str">
        <f t="shared" si="270"/>
        <v>--</v>
      </c>
      <c r="CR48" s="258"/>
      <c r="CS48" s="197">
        <f t="shared" si="196"/>
        <v>0</v>
      </c>
      <c r="CT48" s="1006">
        <f t="shared" si="197"/>
        <v>0</v>
      </c>
      <c r="CU48" s="1007" t="e">
        <f t="shared" si="198"/>
        <v>#VALUE!</v>
      </c>
      <c r="CV48" s="258" t="str">
        <f t="shared" si="271"/>
        <v>--</v>
      </c>
      <c r="CW48" s="258"/>
      <c r="CX48" s="197">
        <f t="shared" si="199"/>
        <v>0</v>
      </c>
      <c r="CY48" s="1006">
        <f t="shared" si="200"/>
        <v>0</v>
      </c>
      <c r="CZ48" s="1007" t="e">
        <f t="shared" si="201"/>
        <v>#VALUE!</v>
      </c>
      <c r="DA48" s="258" t="str">
        <f t="shared" si="272"/>
        <v>--</v>
      </c>
      <c r="DB48" s="258"/>
      <c r="DC48" s="197">
        <f t="shared" si="202"/>
        <v>0</v>
      </c>
      <c r="DD48" s="1006">
        <f t="shared" si="203"/>
        <v>0</v>
      </c>
      <c r="DE48" s="1007" t="e">
        <f t="shared" si="204"/>
        <v>#VALUE!</v>
      </c>
      <c r="DF48" s="258" t="str">
        <f t="shared" si="273"/>
        <v>--</v>
      </c>
      <c r="DG48" s="258"/>
      <c r="DH48" s="197">
        <f t="shared" si="205"/>
        <v>0</v>
      </c>
      <c r="DI48" s="1006">
        <f t="shared" si="206"/>
        <v>0</v>
      </c>
      <c r="DJ48" s="1007" t="e">
        <f t="shared" si="207"/>
        <v>#VALUE!</v>
      </c>
      <c r="DK48" s="258" t="str">
        <f t="shared" si="274"/>
        <v>--</v>
      </c>
      <c r="DL48" s="258"/>
      <c r="DM48" s="197">
        <f t="shared" si="208"/>
        <v>0</v>
      </c>
      <c r="DN48" s="1006">
        <f t="shared" si="209"/>
        <v>0</v>
      </c>
      <c r="DO48" s="1007" t="e">
        <f t="shared" si="210"/>
        <v>#VALUE!</v>
      </c>
      <c r="DP48" s="258" t="str">
        <f t="shared" si="275"/>
        <v>--</v>
      </c>
      <c r="DQ48" s="258"/>
      <c r="DR48" s="197">
        <f t="shared" si="211"/>
        <v>0</v>
      </c>
      <c r="DS48" s="1006">
        <f t="shared" si="212"/>
        <v>0</v>
      </c>
      <c r="DT48" s="1007" t="e">
        <f t="shared" si="213"/>
        <v>#VALUE!</v>
      </c>
      <c r="DU48" s="258" t="str">
        <f t="shared" si="276"/>
        <v>--</v>
      </c>
      <c r="DV48" s="258"/>
      <c r="DW48" s="197">
        <f t="shared" si="214"/>
        <v>0</v>
      </c>
      <c r="DX48" s="1006">
        <f t="shared" si="215"/>
        <v>0</v>
      </c>
      <c r="DY48" s="1007" t="e">
        <f t="shared" si="216"/>
        <v>#VALUE!</v>
      </c>
      <c r="DZ48" s="258" t="str">
        <f t="shared" si="277"/>
        <v>--</v>
      </c>
      <c r="EA48" s="258"/>
      <c r="EB48" s="197">
        <f t="shared" si="217"/>
        <v>0</v>
      </c>
      <c r="EC48" s="1006">
        <f t="shared" si="218"/>
        <v>0</v>
      </c>
      <c r="ED48" s="1007" t="e">
        <f t="shared" si="219"/>
        <v>#VALUE!</v>
      </c>
      <c r="EE48" s="258" t="str">
        <f t="shared" si="278"/>
        <v>--</v>
      </c>
      <c r="EF48" s="258"/>
      <c r="EG48" s="197">
        <f t="shared" si="220"/>
        <v>0</v>
      </c>
      <c r="EH48" s="1006">
        <f t="shared" si="221"/>
        <v>0</v>
      </c>
      <c r="EI48" s="1007" t="e">
        <f t="shared" si="222"/>
        <v>#VALUE!</v>
      </c>
      <c r="EJ48" s="258" t="str">
        <f t="shared" si="279"/>
        <v>--</v>
      </c>
      <c r="EK48" s="258"/>
      <c r="EL48" s="197">
        <f t="shared" si="223"/>
        <v>0</v>
      </c>
      <c r="EM48" s="1006">
        <f t="shared" si="224"/>
        <v>0</v>
      </c>
      <c r="EN48" s="1007" t="e">
        <f t="shared" si="225"/>
        <v>#VALUE!</v>
      </c>
      <c r="EO48" s="258" t="str">
        <f t="shared" si="280"/>
        <v>--</v>
      </c>
      <c r="EP48" s="258"/>
      <c r="EQ48" s="197">
        <f t="shared" si="226"/>
        <v>0</v>
      </c>
      <c r="ER48" s="1006">
        <f t="shared" si="227"/>
        <v>0</v>
      </c>
      <c r="ES48" s="1007" t="e">
        <f t="shared" si="228"/>
        <v>#VALUE!</v>
      </c>
      <c r="ET48" s="258" t="str">
        <f t="shared" si="281"/>
        <v>--</v>
      </c>
      <c r="EU48" s="258"/>
      <c r="EV48" s="197">
        <f t="shared" si="229"/>
        <v>0</v>
      </c>
      <c r="EW48" s="1006">
        <f t="shared" si="230"/>
        <v>0</v>
      </c>
      <c r="EX48" s="1007" t="e">
        <f t="shared" si="231"/>
        <v>#VALUE!</v>
      </c>
      <c r="EY48" s="258" t="str">
        <f t="shared" si="282"/>
        <v>--</v>
      </c>
      <c r="EZ48" s="258"/>
      <c r="FA48" s="197">
        <f t="shared" si="232"/>
        <v>0</v>
      </c>
      <c r="FB48" s="1006">
        <f t="shared" si="233"/>
        <v>0</v>
      </c>
      <c r="FC48" s="1007" t="e">
        <f t="shared" si="234"/>
        <v>#VALUE!</v>
      </c>
      <c r="FD48" s="258" t="str">
        <f t="shared" si="283"/>
        <v>--</v>
      </c>
      <c r="FE48" s="258"/>
      <c r="FF48" s="197">
        <f t="shared" si="235"/>
        <v>0</v>
      </c>
      <c r="FG48" s="1006">
        <f t="shared" si="236"/>
        <v>0</v>
      </c>
      <c r="FH48" s="1007" t="e">
        <f t="shared" si="237"/>
        <v>#VALUE!</v>
      </c>
      <c r="FI48" s="258" t="str">
        <f t="shared" si="284"/>
        <v>--</v>
      </c>
      <c r="FJ48" s="258"/>
      <c r="FK48" s="197">
        <f t="shared" si="238"/>
        <v>0</v>
      </c>
      <c r="FL48" s="1006">
        <f t="shared" si="239"/>
        <v>0</v>
      </c>
      <c r="FM48" s="1007" t="e">
        <f t="shared" si="240"/>
        <v>#VALUE!</v>
      </c>
      <c r="FN48" s="258" t="str">
        <f t="shared" si="285"/>
        <v>--</v>
      </c>
      <c r="FO48" s="258"/>
      <c r="FP48" s="197">
        <f t="shared" si="241"/>
        <v>0</v>
      </c>
      <c r="FQ48" s="1006">
        <f t="shared" si="242"/>
        <v>0</v>
      </c>
      <c r="FR48" s="1007" t="e">
        <f t="shared" si="243"/>
        <v>#VALUE!</v>
      </c>
      <c r="FS48" s="258" t="str">
        <f t="shared" si="286"/>
        <v>--</v>
      </c>
      <c r="FT48" s="258"/>
      <c r="FU48" s="197">
        <f t="shared" si="244"/>
        <v>0</v>
      </c>
      <c r="FV48" s="1006">
        <f t="shared" si="245"/>
        <v>0</v>
      </c>
      <c r="FW48" s="1007" t="e">
        <f t="shared" si="246"/>
        <v>#VALUE!</v>
      </c>
      <c r="FX48" s="258" t="str">
        <f t="shared" si="287"/>
        <v>--</v>
      </c>
      <c r="FY48" s="258"/>
      <c r="FZ48" s="197">
        <f t="shared" si="247"/>
        <v>0</v>
      </c>
      <c r="GA48" s="1006">
        <f t="shared" si="248"/>
        <v>0</v>
      </c>
      <c r="GB48" s="1007" t="e">
        <f t="shared" si="249"/>
        <v>#VALUE!</v>
      </c>
      <c r="GC48" s="258" t="str">
        <f t="shared" si="288"/>
        <v>--</v>
      </c>
      <c r="GD48" s="258"/>
      <c r="GE48" s="197">
        <f t="shared" si="250"/>
        <v>0</v>
      </c>
      <c r="GF48" s="1006">
        <f t="shared" si="251"/>
        <v>0</v>
      </c>
      <c r="GG48" s="1007" t="e">
        <f t="shared" si="252"/>
        <v>#VALUE!</v>
      </c>
      <c r="GH48" s="258" t="str">
        <f t="shared" si="289"/>
        <v>--</v>
      </c>
      <c r="GI48" s="258"/>
      <c r="GJ48" s="197">
        <f t="shared" si="253"/>
        <v>0</v>
      </c>
      <c r="GK48" s="1340"/>
      <c r="GL48" s="164"/>
      <c r="GM48" s="164"/>
      <c r="GN48" s="164"/>
    </row>
    <row r="49" spans="1:196" ht="12.75" x14ac:dyDescent="0.2">
      <c r="A49" s="243">
        <f>'Item list'!A49</f>
        <v>0</v>
      </c>
      <c r="B49" s="243">
        <f>'Item list'!B49</f>
        <v>0</v>
      </c>
      <c r="C49" s="243">
        <f>'Item list'!C49</f>
        <v>0</v>
      </c>
      <c r="D49" s="989">
        <f>'Item list'!D49</f>
        <v>0</v>
      </c>
      <c r="E49" s="243">
        <f>'Item list'!E49</f>
        <v>0</v>
      </c>
      <c r="F49" s="243">
        <f>'Item list'!F49</f>
        <v>0</v>
      </c>
      <c r="G49" s="243">
        <f>'Item list'!G49</f>
        <v>0</v>
      </c>
      <c r="H49" s="1005" t="e">
        <f t="shared" si="144"/>
        <v>#REF!</v>
      </c>
      <c r="I49" s="243"/>
      <c r="J49" s="243"/>
      <c r="K49" s="243"/>
      <c r="L49" s="197">
        <f t="shared" si="145"/>
        <v>0</v>
      </c>
      <c r="M49" s="1006">
        <f t="shared" si="146"/>
        <v>0</v>
      </c>
      <c r="N49" s="1007" t="e">
        <f t="shared" si="147"/>
        <v>#VALUE!</v>
      </c>
      <c r="O49" s="258" t="str">
        <f t="shared" si="254"/>
        <v>--</v>
      </c>
      <c r="P49" s="258"/>
      <c r="Q49" s="197">
        <f t="shared" si="148"/>
        <v>0</v>
      </c>
      <c r="R49" s="1006">
        <f t="shared" si="149"/>
        <v>0</v>
      </c>
      <c r="S49" s="1007" t="e">
        <f t="shared" si="150"/>
        <v>#VALUE!</v>
      </c>
      <c r="T49" s="258" t="str">
        <f t="shared" si="255"/>
        <v>--</v>
      </c>
      <c r="U49" s="258"/>
      <c r="V49" s="197">
        <f t="shared" si="151"/>
        <v>0</v>
      </c>
      <c r="W49" s="1006">
        <f t="shared" si="152"/>
        <v>0</v>
      </c>
      <c r="X49" s="1007" t="e">
        <f t="shared" si="153"/>
        <v>#VALUE!</v>
      </c>
      <c r="Y49" s="258" t="str">
        <f t="shared" si="256"/>
        <v>--</v>
      </c>
      <c r="Z49" s="258"/>
      <c r="AA49" s="197">
        <f t="shared" si="154"/>
        <v>0</v>
      </c>
      <c r="AB49" s="1006">
        <f t="shared" si="155"/>
        <v>0</v>
      </c>
      <c r="AC49" s="1007" t="e">
        <f t="shared" si="156"/>
        <v>#VALUE!</v>
      </c>
      <c r="AD49" s="258" t="str">
        <f t="shared" si="257"/>
        <v>--</v>
      </c>
      <c r="AE49" s="258"/>
      <c r="AF49" s="197">
        <f t="shared" si="157"/>
        <v>0</v>
      </c>
      <c r="AG49" s="1006">
        <f t="shared" si="158"/>
        <v>0</v>
      </c>
      <c r="AH49" s="1007" t="e">
        <f t="shared" si="159"/>
        <v>#VALUE!</v>
      </c>
      <c r="AI49" s="258" t="str">
        <f t="shared" si="258"/>
        <v>--</v>
      </c>
      <c r="AJ49" s="258"/>
      <c r="AK49" s="197">
        <f t="shared" si="160"/>
        <v>0</v>
      </c>
      <c r="AL49" s="1006">
        <f t="shared" si="161"/>
        <v>0</v>
      </c>
      <c r="AM49" s="1007" t="e">
        <f t="shared" si="162"/>
        <v>#VALUE!</v>
      </c>
      <c r="AN49" s="258" t="str">
        <f t="shared" si="259"/>
        <v>--</v>
      </c>
      <c r="AO49" s="258"/>
      <c r="AP49" s="197">
        <f t="shared" si="163"/>
        <v>0</v>
      </c>
      <c r="AQ49" s="1006">
        <f t="shared" si="164"/>
        <v>0</v>
      </c>
      <c r="AR49" s="1007" t="e">
        <f t="shared" si="165"/>
        <v>#VALUE!</v>
      </c>
      <c r="AS49" s="258" t="str">
        <f t="shared" si="260"/>
        <v>--</v>
      </c>
      <c r="AT49" s="258"/>
      <c r="AU49" s="197">
        <f t="shared" si="166"/>
        <v>0</v>
      </c>
      <c r="AV49" s="1006">
        <f t="shared" si="167"/>
        <v>0</v>
      </c>
      <c r="AW49" s="1007" t="e">
        <f t="shared" si="168"/>
        <v>#VALUE!</v>
      </c>
      <c r="AX49" s="258" t="str">
        <f t="shared" si="261"/>
        <v>--</v>
      </c>
      <c r="AY49" s="258"/>
      <c r="AZ49" s="197">
        <f t="shared" si="169"/>
        <v>0</v>
      </c>
      <c r="BA49" s="1006">
        <f t="shared" si="170"/>
        <v>0</v>
      </c>
      <c r="BB49" s="1007" t="e">
        <f t="shared" si="171"/>
        <v>#VALUE!</v>
      </c>
      <c r="BC49" s="258" t="str">
        <f t="shared" si="262"/>
        <v>--</v>
      </c>
      <c r="BD49" s="258"/>
      <c r="BE49" s="197">
        <f t="shared" si="172"/>
        <v>0</v>
      </c>
      <c r="BF49" s="1006">
        <f t="shared" si="173"/>
        <v>0</v>
      </c>
      <c r="BG49" s="1007" t="e">
        <f t="shared" si="174"/>
        <v>#VALUE!</v>
      </c>
      <c r="BH49" s="258" t="str">
        <f t="shared" si="263"/>
        <v>--</v>
      </c>
      <c r="BI49" s="258"/>
      <c r="BJ49" s="197">
        <f t="shared" si="175"/>
        <v>0</v>
      </c>
      <c r="BK49" s="1006">
        <f t="shared" si="176"/>
        <v>0</v>
      </c>
      <c r="BL49" s="1007" t="e">
        <f t="shared" si="177"/>
        <v>#VALUE!</v>
      </c>
      <c r="BM49" s="258" t="str">
        <f t="shared" si="264"/>
        <v>--</v>
      </c>
      <c r="BN49" s="258"/>
      <c r="BO49" s="197">
        <f t="shared" si="178"/>
        <v>0</v>
      </c>
      <c r="BP49" s="1006">
        <f t="shared" si="179"/>
        <v>0</v>
      </c>
      <c r="BQ49" s="1007" t="e">
        <f t="shared" si="180"/>
        <v>#VALUE!</v>
      </c>
      <c r="BR49" s="258" t="str">
        <f t="shared" si="265"/>
        <v>--</v>
      </c>
      <c r="BS49" s="258"/>
      <c r="BT49" s="197">
        <f t="shared" si="181"/>
        <v>0</v>
      </c>
      <c r="BU49" s="1006">
        <f t="shared" si="182"/>
        <v>0</v>
      </c>
      <c r="BV49" s="1007" t="e">
        <f t="shared" si="183"/>
        <v>#VALUE!</v>
      </c>
      <c r="BW49" s="258" t="str">
        <f t="shared" si="266"/>
        <v>--</v>
      </c>
      <c r="BX49" s="258"/>
      <c r="BY49" s="197">
        <f t="shared" si="184"/>
        <v>0</v>
      </c>
      <c r="BZ49" s="1006">
        <f t="shared" si="185"/>
        <v>0</v>
      </c>
      <c r="CA49" s="1007" t="e">
        <f t="shared" si="186"/>
        <v>#VALUE!</v>
      </c>
      <c r="CB49" s="258" t="str">
        <f t="shared" si="267"/>
        <v>--</v>
      </c>
      <c r="CC49" s="258"/>
      <c r="CD49" s="197">
        <f t="shared" si="187"/>
        <v>0</v>
      </c>
      <c r="CE49" s="1006">
        <f t="shared" si="188"/>
        <v>0</v>
      </c>
      <c r="CF49" s="1007" t="e">
        <f t="shared" si="189"/>
        <v>#VALUE!</v>
      </c>
      <c r="CG49" s="258" t="str">
        <f t="shared" si="268"/>
        <v>--</v>
      </c>
      <c r="CH49" s="258"/>
      <c r="CI49" s="197">
        <f t="shared" si="190"/>
        <v>0</v>
      </c>
      <c r="CJ49" s="1006">
        <f t="shared" si="191"/>
        <v>0</v>
      </c>
      <c r="CK49" s="1007" t="e">
        <f t="shared" si="192"/>
        <v>#VALUE!</v>
      </c>
      <c r="CL49" s="258" t="str">
        <f t="shared" si="269"/>
        <v>--</v>
      </c>
      <c r="CM49" s="258"/>
      <c r="CN49" s="197">
        <f t="shared" si="193"/>
        <v>0</v>
      </c>
      <c r="CO49" s="1006">
        <f t="shared" si="194"/>
        <v>0</v>
      </c>
      <c r="CP49" s="1007" t="e">
        <f t="shared" si="195"/>
        <v>#VALUE!</v>
      </c>
      <c r="CQ49" s="258" t="str">
        <f t="shared" si="270"/>
        <v>--</v>
      </c>
      <c r="CR49" s="258"/>
      <c r="CS49" s="197">
        <f t="shared" si="196"/>
        <v>0</v>
      </c>
      <c r="CT49" s="1006">
        <f t="shared" si="197"/>
        <v>0</v>
      </c>
      <c r="CU49" s="1007" t="e">
        <f t="shared" si="198"/>
        <v>#VALUE!</v>
      </c>
      <c r="CV49" s="258" t="str">
        <f t="shared" si="271"/>
        <v>--</v>
      </c>
      <c r="CW49" s="258"/>
      <c r="CX49" s="197">
        <f t="shared" si="199"/>
        <v>0</v>
      </c>
      <c r="CY49" s="1006">
        <f t="shared" si="200"/>
        <v>0</v>
      </c>
      <c r="CZ49" s="1007" t="e">
        <f t="shared" si="201"/>
        <v>#VALUE!</v>
      </c>
      <c r="DA49" s="258" t="str">
        <f t="shared" si="272"/>
        <v>--</v>
      </c>
      <c r="DB49" s="258"/>
      <c r="DC49" s="197">
        <f t="shared" si="202"/>
        <v>0</v>
      </c>
      <c r="DD49" s="1006">
        <f t="shared" si="203"/>
        <v>0</v>
      </c>
      <c r="DE49" s="1007" t="e">
        <f t="shared" si="204"/>
        <v>#VALUE!</v>
      </c>
      <c r="DF49" s="258" t="str">
        <f t="shared" si="273"/>
        <v>--</v>
      </c>
      <c r="DG49" s="258"/>
      <c r="DH49" s="197">
        <f t="shared" si="205"/>
        <v>0</v>
      </c>
      <c r="DI49" s="1006">
        <f t="shared" si="206"/>
        <v>0</v>
      </c>
      <c r="DJ49" s="1007" t="e">
        <f t="shared" si="207"/>
        <v>#VALUE!</v>
      </c>
      <c r="DK49" s="258" t="str">
        <f t="shared" si="274"/>
        <v>--</v>
      </c>
      <c r="DL49" s="258"/>
      <c r="DM49" s="197">
        <f t="shared" si="208"/>
        <v>0</v>
      </c>
      <c r="DN49" s="1006">
        <f t="shared" si="209"/>
        <v>0</v>
      </c>
      <c r="DO49" s="1007" t="e">
        <f t="shared" si="210"/>
        <v>#VALUE!</v>
      </c>
      <c r="DP49" s="258" t="str">
        <f t="shared" si="275"/>
        <v>--</v>
      </c>
      <c r="DQ49" s="258"/>
      <c r="DR49" s="197">
        <f t="shared" si="211"/>
        <v>0</v>
      </c>
      <c r="DS49" s="1006">
        <f t="shared" si="212"/>
        <v>0</v>
      </c>
      <c r="DT49" s="1007" t="e">
        <f t="shared" si="213"/>
        <v>#VALUE!</v>
      </c>
      <c r="DU49" s="258" t="str">
        <f t="shared" si="276"/>
        <v>--</v>
      </c>
      <c r="DV49" s="258"/>
      <c r="DW49" s="197">
        <f t="shared" si="214"/>
        <v>0</v>
      </c>
      <c r="DX49" s="1006">
        <f t="shared" si="215"/>
        <v>0</v>
      </c>
      <c r="DY49" s="1007" t="e">
        <f t="shared" si="216"/>
        <v>#VALUE!</v>
      </c>
      <c r="DZ49" s="258" t="str">
        <f t="shared" si="277"/>
        <v>--</v>
      </c>
      <c r="EA49" s="258"/>
      <c r="EB49" s="197">
        <f t="shared" si="217"/>
        <v>0</v>
      </c>
      <c r="EC49" s="1006">
        <f t="shared" si="218"/>
        <v>0</v>
      </c>
      <c r="ED49" s="1007" t="e">
        <f t="shared" si="219"/>
        <v>#VALUE!</v>
      </c>
      <c r="EE49" s="258" t="str">
        <f t="shared" si="278"/>
        <v>--</v>
      </c>
      <c r="EF49" s="258"/>
      <c r="EG49" s="197">
        <f t="shared" si="220"/>
        <v>0</v>
      </c>
      <c r="EH49" s="1006">
        <f t="shared" si="221"/>
        <v>0</v>
      </c>
      <c r="EI49" s="1007" t="e">
        <f t="shared" si="222"/>
        <v>#VALUE!</v>
      </c>
      <c r="EJ49" s="258" t="str">
        <f t="shared" si="279"/>
        <v>--</v>
      </c>
      <c r="EK49" s="258"/>
      <c r="EL49" s="197">
        <f t="shared" si="223"/>
        <v>0</v>
      </c>
      <c r="EM49" s="1006">
        <f t="shared" si="224"/>
        <v>0</v>
      </c>
      <c r="EN49" s="1007" t="e">
        <f t="shared" si="225"/>
        <v>#VALUE!</v>
      </c>
      <c r="EO49" s="258" t="str">
        <f t="shared" si="280"/>
        <v>--</v>
      </c>
      <c r="EP49" s="258"/>
      <c r="EQ49" s="197">
        <f t="shared" si="226"/>
        <v>0</v>
      </c>
      <c r="ER49" s="1006">
        <f t="shared" si="227"/>
        <v>0</v>
      </c>
      <c r="ES49" s="1007" t="e">
        <f t="shared" si="228"/>
        <v>#VALUE!</v>
      </c>
      <c r="ET49" s="258" t="str">
        <f t="shared" si="281"/>
        <v>--</v>
      </c>
      <c r="EU49" s="258"/>
      <c r="EV49" s="197">
        <f t="shared" si="229"/>
        <v>0</v>
      </c>
      <c r="EW49" s="1006">
        <f t="shared" si="230"/>
        <v>0</v>
      </c>
      <c r="EX49" s="1007" t="e">
        <f t="shared" si="231"/>
        <v>#VALUE!</v>
      </c>
      <c r="EY49" s="258" t="str">
        <f t="shared" si="282"/>
        <v>--</v>
      </c>
      <c r="EZ49" s="258"/>
      <c r="FA49" s="197">
        <f t="shared" si="232"/>
        <v>0</v>
      </c>
      <c r="FB49" s="1006">
        <f t="shared" si="233"/>
        <v>0</v>
      </c>
      <c r="FC49" s="1007" t="e">
        <f t="shared" si="234"/>
        <v>#VALUE!</v>
      </c>
      <c r="FD49" s="258" t="str">
        <f t="shared" si="283"/>
        <v>--</v>
      </c>
      <c r="FE49" s="258"/>
      <c r="FF49" s="197">
        <f t="shared" si="235"/>
        <v>0</v>
      </c>
      <c r="FG49" s="1006">
        <f t="shared" si="236"/>
        <v>0</v>
      </c>
      <c r="FH49" s="1007" t="e">
        <f t="shared" si="237"/>
        <v>#VALUE!</v>
      </c>
      <c r="FI49" s="258" t="str">
        <f t="shared" si="284"/>
        <v>--</v>
      </c>
      <c r="FJ49" s="258"/>
      <c r="FK49" s="197">
        <f t="shared" si="238"/>
        <v>0</v>
      </c>
      <c r="FL49" s="1006">
        <f t="shared" si="239"/>
        <v>0</v>
      </c>
      <c r="FM49" s="1007" t="e">
        <f t="shared" si="240"/>
        <v>#VALUE!</v>
      </c>
      <c r="FN49" s="258" t="str">
        <f t="shared" si="285"/>
        <v>--</v>
      </c>
      <c r="FO49" s="258"/>
      <c r="FP49" s="197">
        <f t="shared" si="241"/>
        <v>0</v>
      </c>
      <c r="FQ49" s="1006">
        <f t="shared" si="242"/>
        <v>0</v>
      </c>
      <c r="FR49" s="1007" t="e">
        <f t="shared" si="243"/>
        <v>#VALUE!</v>
      </c>
      <c r="FS49" s="258" t="str">
        <f t="shared" si="286"/>
        <v>--</v>
      </c>
      <c r="FT49" s="258"/>
      <c r="FU49" s="197">
        <f t="shared" si="244"/>
        <v>0</v>
      </c>
      <c r="FV49" s="1006">
        <f t="shared" si="245"/>
        <v>0</v>
      </c>
      <c r="FW49" s="1007" t="e">
        <f t="shared" si="246"/>
        <v>#VALUE!</v>
      </c>
      <c r="FX49" s="258" t="str">
        <f t="shared" si="287"/>
        <v>--</v>
      </c>
      <c r="FY49" s="258"/>
      <c r="FZ49" s="197">
        <f t="shared" si="247"/>
        <v>0</v>
      </c>
      <c r="GA49" s="1006">
        <f t="shared" si="248"/>
        <v>0</v>
      </c>
      <c r="GB49" s="1007" t="e">
        <f t="shared" si="249"/>
        <v>#VALUE!</v>
      </c>
      <c r="GC49" s="258" t="str">
        <f t="shared" si="288"/>
        <v>--</v>
      </c>
      <c r="GD49" s="258"/>
      <c r="GE49" s="197">
        <f t="shared" si="250"/>
        <v>0</v>
      </c>
      <c r="GF49" s="1006">
        <f t="shared" si="251"/>
        <v>0</v>
      </c>
      <c r="GG49" s="1007" t="e">
        <f t="shared" si="252"/>
        <v>#VALUE!</v>
      </c>
      <c r="GH49" s="258" t="str">
        <f t="shared" si="289"/>
        <v>--</v>
      </c>
      <c r="GI49" s="258"/>
      <c r="GJ49" s="197">
        <f t="shared" si="253"/>
        <v>0</v>
      </c>
      <c r="GK49" s="1340"/>
      <c r="GL49" s="164"/>
      <c r="GM49" s="164"/>
      <c r="GN49" s="164"/>
    </row>
    <row r="50" spans="1:196" ht="12.75" x14ac:dyDescent="0.2">
      <c r="A50" s="243">
        <f>'Item list'!A50</f>
        <v>0</v>
      </c>
      <c r="B50" s="243">
        <f>'Item list'!B50</f>
        <v>0</v>
      </c>
      <c r="C50" s="243">
        <f>'Item list'!C50</f>
        <v>0</v>
      </c>
      <c r="D50" s="989">
        <f>'Item list'!D50</f>
        <v>0</v>
      </c>
      <c r="E50" s="243">
        <f>'Item list'!E50</f>
        <v>0</v>
      </c>
      <c r="F50" s="243">
        <f>'Item list'!F50</f>
        <v>0</v>
      </c>
      <c r="G50" s="243">
        <f>'Item list'!G50</f>
        <v>0</v>
      </c>
      <c r="H50" s="1005" t="e">
        <f t="shared" si="144"/>
        <v>#REF!</v>
      </c>
      <c r="I50" s="243"/>
      <c r="J50" s="243"/>
      <c r="K50" s="243"/>
      <c r="L50" s="197">
        <f t="shared" si="145"/>
        <v>0</v>
      </c>
      <c r="M50" s="1006">
        <f t="shared" si="146"/>
        <v>0</v>
      </c>
      <c r="N50" s="1007" t="e">
        <f t="shared" si="147"/>
        <v>#VALUE!</v>
      </c>
      <c r="O50" s="258" t="str">
        <f t="shared" si="254"/>
        <v>--</v>
      </c>
      <c r="P50" s="258"/>
      <c r="Q50" s="197">
        <f t="shared" si="148"/>
        <v>0</v>
      </c>
      <c r="R50" s="1006">
        <f t="shared" si="149"/>
        <v>0</v>
      </c>
      <c r="S50" s="1007" t="e">
        <f t="shared" si="150"/>
        <v>#VALUE!</v>
      </c>
      <c r="T50" s="258" t="str">
        <f t="shared" si="255"/>
        <v>--</v>
      </c>
      <c r="U50" s="258"/>
      <c r="V50" s="197">
        <f t="shared" si="151"/>
        <v>0</v>
      </c>
      <c r="W50" s="1006">
        <f t="shared" si="152"/>
        <v>0</v>
      </c>
      <c r="X50" s="1007" t="e">
        <f t="shared" si="153"/>
        <v>#VALUE!</v>
      </c>
      <c r="Y50" s="258" t="str">
        <f t="shared" si="256"/>
        <v>--</v>
      </c>
      <c r="Z50" s="258"/>
      <c r="AA50" s="197">
        <f t="shared" si="154"/>
        <v>0</v>
      </c>
      <c r="AB50" s="1006">
        <f t="shared" si="155"/>
        <v>0</v>
      </c>
      <c r="AC50" s="1007" t="e">
        <f t="shared" si="156"/>
        <v>#VALUE!</v>
      </c>
      <c r="AD50" s="258" t="str">
        <f t="shared" si="257"/>
        <v>--</v>
      </c>
      <c r="AE50" s="258"/>
      <c r="AF50" s="197">
        <f t="shared" si="157"/>
        <v>0</v>
      </c>
      <c r="AG50" s="1006">
        <f t="shared" si="158"/>
        <v>0</v>
      </c>
      <c r="AH50" s="1007" t="e">
        <f t="shared" si="159"/>
        <v>#VALUE!</v>
      </c>
      <c r="AI50" s="258" t="str">
        <f t="shared" si="258"/>
        <v>--</v>
      </c>
      <c r="AJ50" s="258"/>
      <c r="AK50" s="197">
        <f t="shared" si="160"/>
        <v>0</v>
      </c>
      <c r="AL50" s="1006">
        <f t="shared" si="161"/>
        <v>0</v>
      </c>
      <c r="AM50" s="1007" t="e">
        <f t="shared" si="162"/>
        <v>#VALUE!</v>
      </c>
      <c r="AN50" s="258" t="str">
        <f t="shared" si="259"/>
        <v>--</v>
      </c>
      <c r="AO50" s="258"/>
      <c r="AP50" s="197">
        <f t="shared" si="163"/>
        <v>0</v>
      </c>
      <c r="AQ50" s="1006">
        <f t="shared" si="164"/>
        <v>0</v>
      </c>
      <c r="AR50" s="1007" t="e">
        <f t="shared" si="165"/>
        <v>#VALUE!</v>
      </c>
      <c r="AS50" s="258" t="str">
        <f t="shared" si="260"/>
        <v>--</v>
      </c>
      <c r="AT50" s="258"/>
      <c r="AU50" s="197">
        <f t="shared" si="166"/>
        <v>0</v>
      </c>
      <c r="AV50" s="1006">
        <f t="shared" si="167"/>
        <v>0</v>
      </c>
      <c r="AW50" s="1007" t="e">
        <f t="shared" si="168"/>
        <v>#VALUE!</v>
      </c>
      <c r="AX50" s="258" t="str">
        <f t="shared" si="261"/>
        <v>--</v>
      </c>
      <c r="AY50" s="258"/>
      <c r="AZ50" s="197">
        <f t="shared" si="169"/>
        <v>0</v>
      </c>
      <c r="BA50" s="1006">
        <f t="shared" si="170"/>
        <v>0</v>
      </c>
      <c r="BB50" s="1007" t="e">
        <f t="shared" si="171"/>
        <v>#VALUE!</v>
      </c>
      <c r="BC50" s="258" t="str">
        <f t="shared" si="262"/>
        <v>--</v>
      </c>
      <c r="BD50" s="258"/>
      <c r="BE50" s="197">
        <f t="shared" si="172"/>
        <v>0</v>
      </c>
      <c r="BF50" s="1006">
        <f t="shared" si="173"/>
        <v>0</v>
      </c>
      <c r="BG50" s="1007" t="e">
        <f t="shared" si="174"/>
        <v>#VALUE!</v>
      </c>
      <c r="BH50" s="258" t="str">
        <f t="shared" si="263"/>
        <v>--</v>
      </c>
      <c r="BI50" s="258"/>
      <c r="BJ50" s="197">
        <f t="shared" si="175"/>
        <v>0</v>
      </c>
      <c r="BK50" s="1006">
        <f t="shared" si="176"/>
        <v>0</v>
      </c>
      <c r="BL50" s="1007" t="e">
        <f t="shared" si="177"/>
        <v>#VALUE!</v>
      </c>
      <c r="BM50" s="258" t="str">
        <f t="shared" si="264"/>
        <v>--</v>
      </c>
      <c r="BN50" s="258"/>
      <c r="BO50" s="197">
        <f t="shared" si="178"/>
        <v>0</v>
      </c>
      <c r="BP50" s="1006">
        <f t="shared" si="179"/>
        <v>0</v>
      </c>
      <c r="BQ50" s="1007" t="e">
        <f t="shared" si="180"/>
        <v>#VALUE!</v>
      </c>
      <c r="BR50" s="258" t="str">
        <f t="shared" si="265"/>
        <v>--</v>
      </c>
      <c r="BS50" s="258"/>
      <c r="BT50" s="197">
        <f t="shared" si="181"/>
        <v>0</v>
      </c>
      <c r="BU50" s="1006">
        <f t="shared" si="182"/>
        <v>0</v>
      </c>
      <c r="BV50" s="1007" t="e">
        <f t="shared" si="183"/>
        <v>#VALUE!</v>
      </c>
      <c r="BW50" s="258" t="str">
        <f t="shared" si="266"/>
        <v>--</v>
      </c>
      <c r="BX50" s="258"/>
      <c r="BY50" s="197">
        <f t="shared" si="184"/>
        <v>0</v>
      </c>
      <c r="BZ50" s="1006">
        <f t="shared" si="185"/>
        <v>0</v>
      </c>
      <c r="CA50" s="1007" t="e">
        <f t="shared" si="186"/>
        <v>#VALUE!</v>
      </c>
      <c r="CB50" s="258" t="str">
        <f t="shared" si="267"/>
        <v>--</v>
      </c>
      <c r="CC50" s="258"/>
      <c r="CD50" s="197">
        <f t="shared" si="187"/>
        <v>0</v>
      </c>
      <c r="CE50" s="1006">
        <f t="shared" si="188"/>
        <v>0</v>
      </c>
      <c r="CF50" s="1007" t="e">
        <f t="shared" si="189"/>
        <v>#VALUE!</v>
      </c>
      <c r="CG50" s="258" t="str">
        <f t="shared" si="268"/>
        <v>--</v>
      </c>
      <c r="CH50" s="258"/>
      <c r="CI50" s="197">
        <f t="shared" si="190"/>
        <v>0</v>
      </c>
      <c r="CJ50" s="1006">
        <f t="shared" si="191"/>
        <v>0</v>
      </c>
      <c r="CK50" s="1007" t="e">
        <f t="shared" si="192"/>
        <v>#VALUE!</v>
      </c>
      <c r="CL50" s="258" t="str">
        <f t="shared" si="269"/>
        <v>--</v>
      </c>
      <c r="CM50" s="258"/>
      <c r="CN50" s="197">
        <f t="shared" si="193"/>
        <v>0</v>
      </c>
      <c r="CO50" s="1006">
        <f t="shared" si="194"/>
        <v>0</v>
      </c>
      <c r="CP50" s="1007" t="e">
        <f t="shared" si="195"/>
        <v>#VALUE!</v>
      </c>
      <c r="CQ50" s="258" t="str">
        <f t="shared" si="270"/>
        <v>--</v>
      </c>
      <c r="CR50" s="258"/>
      <c r="CS50" s="197">
        <f t="shared" si="196"/>
        <v>0</v>
      </c>
      <c r="CT50" s="1006">
        <f t="shared" si="197"/>
        <v>0</v>
      </c>
      <c r="CU50" s="1007" t="e">
        <f t="shared" si="198"/>
        <v>#VALUE!</v>
      </c>
      <c r="CV50" s="258" t="str">
        <f t="shared" si="271"/>
        <v>--</v>
      </c>
      <c r="CW50" s="258"/>
      <c r="CX50" s="197">
        <f t="shared" si="199"/>
        <v>0</v>
      </c>
      <c r="CY50" s="1006">
        <f t="shared" si="200"/>
        <v>0</v>
      </c>
      <c r="CZ50" s="1007" t="e">
        <f t="shared" si="201"/>
        <v>#VALUE!</v>
      </c>
      <c r="DA50" s="258" t="str">
        <f t="shared" si="272"/>
        <v>--</v>
      </c>
      <c r="DB50" s="258"/>
      <c r="DC50" s="197">
        <f t="shared" si="202"/>
        <v>0</v>
      </c>
      <c r="DD50" s="1006">
        <f t="shared" si="203"/>
        <v>0</v>
      </c>
      <c r="DE50" s="1007" t="e">
        <f t="shared" si="204"/>
        <v>#VALUE!</v>
      </c>
      <c r="DF50" s="258" t="str">
        <f t="shared" si="273"/>
        <v>--</v>
      </c>
      <c r="DG50" s="258"/>
      <c r="DH50" s="197">
        <f t="shared" si="205"/>
        <v>0</v>
      </c>
      <c r="DI50" s="1006">
        <f t="shared" si="206"/>
        <v>0</v>
      </c>
      <c r="DJ50" s="1007" t="e">
        <f t="shared" si="207"/>
        <v>#VALUE!</v>
      </c>
      <c r="DK50" s="258" t="str">
        <f t="shared" si="274"/>
        <v>--</v>
      </c>
      <c r="DL50" s="258"/>
      <c r="DM50" s="197">
        <f t="shared" si="208"/>
        <v>0</v>
      </c>
      <c r="DN50" s="1006">
        <f t="shared" si="209"/>
        <v>0</v>
      </c>
      <c r="DO50" s="1007" t="e">
        <f t="shared" si="210"/>
        <v>#VALUE!</v>
      </c>
      <c r="DP50" s="258" t="str">
        <f t="shared" si="275"/>
        <v>--</v>
      </c>
      <c r="DQ50" s="258"/>
      <c r="DR50" s="197">
        <f t="shared" si="211"/>
        <v>0</v>
      </c>
      <c r="DS50" s="1006">
        <f t="shared" si="212"/>
        <v>0</v>
      </c>
      <c r="DT50" s="1007" t="e">
        <f t="shared" si="213"/>
        <v>#VALUE!</v>
      </c>
      <c r="DU50" s="258" t="str">
        <f t="shared" si="276"/>
        <v>--</v>
      </c>
      <c r="DV50" s="258"/>
      <c r="DW50" s="197">
        <f t="shared" si="214"/>
        <v>0</v>
      </c>
      <c r="DX50" s="1006">
        <f t="shared" si="215"/>
        <v>0</v>
      </c>
      <c r="DY50" s="1007" t="e">
        <f t="shared" si="216"/>
        <v>#VALUE!</v>
      </c>
      <c r="DZ50" s="258" t="str">
        <f t="shared" si="277"/>
        <v>--</v>
      </c>
      <c r="EA50" s="258"/>
      <c r="EB50" s="197">
        <f t="shared" si="217"/>
        <v>0</v>
      </c>
      <c r="EC50" s="1006">
        <f t="shared" si="218"/>
        <v>0</v>
      </c>
      <c r="ED50" s="1007" t="e">
        <f t="shared" si="219"/>
        <v>#VALUE!</v>
      </c>
      <c r="EE50" s="258" t="str">
        <f t="shared" si="278"/>
        <v>--</v>
      </c>
      <c r="EF50" s="258"/>
      <c r="EG50" s="197">
        <f t="shared" si="220"/>
        <v>0</v>
      </c>
      <c r="EH50" s="1006">
        <f t="shared" si="221"/>
        <v>0</v>
      </c>
      <c r="EI50" s="1007" t="e">
        <f t="shared" si="222"/>
        <v>#VALUE!</v>
      </c>
      <c r="EJ50" s="258" t="str">
        <f t="shared" si="279"/>
        <v>--</v>
      </c>
      <c r="EK50" s="258"/>
      <c r="EL50" s="197">
        <f t="shared" si="223"/>
        <v>0</v>
      </c>
      <c r="EM50" s="1006">
        <f t="shared" si="224"/>
        <v>0</v>
      </c>
      <c r="EN50" s="1007" t="e">
        <f t="shared" si="225"/>
        <v>#VALUE!</v>
      </c>
      <c r="EO50" s="258" t="str">
        <f t="shared" si="280"/>
        <v>--</v>
      </c>
      <c r="EP50" s="258"/>
      <c r="EQ50" s="197">
        <f t="shared" si="226"/>
        <v>0</v>
      </c>
      <c r="ER50" s="1006">
        <f t="shared" si="227"/>
        <v>0</v>
      </c>
      <c r="ES50" s="1007" t="e">
        <f t="shared" si="228"/>
        <v>#VALUE!</v>
      </c>
      <c r="ET50" s="258" t="str">
        <f t="shared" si="281"/>
        <v>--</v>
      </c>
      <c r="EU50" s="258"/>
      <c r="EV50" s="197">
        <f t="shared" si="229"/>
        <v>0</v>
      </c>
      <c r="EW50" s="1006">
        <f t="shared" si="230"/>
        <v>0</v>
      </c>
      <c r="EX50" s="1007" t="e">
        <f t="shared" si="231"/>
        <v>#VALUE!</v>
      </c>
      <c r="EY50" s="258" t="str">
        <f t="shared" si="282"/>
        <v>--</v>
      </c>
      <c r="EZ50" s="258"/>
      <c r="FA50" s="197">
        <f t="shared" si="232"/>
        <v>0</v>
      </c>
      <c r="FB50" s="1006">
        <f t="shared" si="233"/>
        <v>0</v>
      </c>
      <c r="FC50" s="1007" t="e">
        <f t="shared" si="234"/>
        <v>#VALUE!</v>
      </c>
      <c r="FD50" s="258" t="str">
        <f t="shared" si="283"/>
        <v>--</v>
      </c>
      <c r="FE50" s="258"/>
      <c r="FF50" s="197">
        <f t="shared" si="235"/>
        <v>0</v>
      </c>
      <c r="FG50" s="1006">
        <f t="shared" si="236"/>
        <v>0</v>
      </c>
      <c r="FH50" s="1007" t="e">
        <f t="shared" si="237"/>
        <v>#VALUE!</v>
      </c>
      <c r="FI50" s="258" t="str">
        <f t="shared" si="284"/>
        <v>--</v>
      </c>
      <c r="FJ50" s="258"/>
      <c r="FK50" s="197">
        <f t="shared" si="238"/>
        <v>0</v>
      </c>
      <c r="FL50" s="1006">
        <f t="shared" si="239"/>
        <v>0</v>
      </c>
      <c r="FM50" s="1007" t="e">
        <f t="shared" si="240"/>
        <v>#VALUE!</v>
      </c>
      <c r="FN50" s="258" t="str">
        <f t="shared" si="285"/>
        <v>--</v>
      </c>
      <c r="FO50" s="258"/>
      <c r="FP50" s="197">
        <f t="shared" si="241"/>
        <v>0</v>
      </c>
      <c r="FQ50" s="1006">
        <f t="shared" si="242"/>
        <v>0</v>
      </c>
      <c r="FR50" s="1007" t="e">
        <f t="shared" si="243"/>
        <v>#VALUE!</v>
      </c>
      <c r="FS50" s="258" t="str">
        <f t="shared" si="286"/>
        <v>--</v>
      </c>
      <c r="FT50" s="258"/>
      <c r="FU50" s="197">
        <f t="shared" si="244"/>
        <v>0</v>
      </c>
      <c r="FV50" s="1006">
        <f t="shared" si="245"/>
        <v>0</v>
      </c>
      <c r="FW50" s="1007" t="e">
        <f t="shared" si="246"/>
        <v>#VALUE!</v>
      </c>
      <c r="FX50" s="258" t="str">
        <f t="shared" si="287"/>
        <v>--</v>
      </c>
      <c r="FY50" s="258"/>
      <c r="FZ50" s="197">
        <f t="shared" si="247"/>
        <v>0</v>
      </c>
      <c r="GA50" s="1006">
        <f t="shared" si="248"/>
        <v>0</v>
      </c>
      <c r="GB50" s="1007" t="e">
        <f t="shared" si="249"/>
        <v>#VALUE!</v>
      </c>
      <c r="GC50" s="258" t="str">
        <f t="shared" si="288"/>
        <v>--</v>
      </c>
      <c r="GD50" s="258"/>
      <c r="GE50" s="197">
        <f t="shared" si="250"/>
        <v>0</v>
      </c>
      <c r="GF50" s="1006">
        <f t="shared" si="251"/>
        <v>0</v>
      </c>
      <c r="GG50" s="1007" t="e">
        <f t="shared" si="252"/>
        <v>#VALUE!</v>
      </c>
      <c r="GH50" s="258" t="str">
        <f t="shared" si="289"/>
        <v>--</v>
      </c>
      <c r="GI50" s="258"/>
      <c r="GJ50" s="197">
        <f t="shared" si="253"/>
        <v>0</v>
      </c>
      <c r="GK50" s="1340"/>
      <c r="GL50" s="164"/>
      <c r="GM50" s="164"/>
      <c r="GN50" s="164"/>
    </row>
    <row r="51" spans="1:196" ht="12.75" x14ac:dyDescent="0.2">
      <c r="A51" s="243">
        <f>'Item list'!A51</f>
        <v>0</v>
      </c>
      <c r="B51" s="243">
        <f>'Item list'!B51</f>
        <v>0</v>
      </c>
      <c r="C51" s="243">
        <f>'Item list'!C51</f>
        <v>0</v>
      </c>
      <c r="D51" s="989">
        <f>'Item list'!D51</f>
        <v>0</v>
      </c>
      <c r="E51" s="243">
        <f>'Item list'!E51</f>
        <v>0</v>
      </c>
      <c r="F51" s="243">
        <f>'Item list'!F51</f>
        <v>0</v>
      </c>
      <c r="G51" s="243">
        <f>'Item list'!G51</f>
        <v>0</v>
      </c>
      <c r="H51" s="1005" t="e">
        <f t="shared" si="144"/>
        <v>#REF!</v>
      </c>
      <c r="I51" s="243"/>
      <c r="J51" s="243"/>
      <c r="K51" s="243"/>
      <c r="L51" s="197">
        <f t="shared" si="145"/>
        <v>0</v>
      </c>
      <c r="M51" s="1006">
        <f t="shared" si="146"/>
        <v>0</v>
      </c>
      <c r="N51" s="1007" t="e">
        <f t="shared" si="147"/>
        <v>#VALUE!</v>
      </c>
      <c r="O51" s="258" t="str">
        <f t="shared" si="254"/>
        <v>--</v>
      </c>
      <c r="P51" s="258"/>
      <c r="Q51" s="197">
        <f t="shared" si="148"/>
        <v>0</v>
      </c>
      <c r="R51" s="1006">
        <f t="shared" si="149"/>
        <v>0</v>
      </c>
      <c r="S51" s="1007" t="e">
        <f t="shared" si="150"/>
        <v>#VALUE!</v>
      </c>
      <c r="T51" s="258" t="str">
        <f t="shared" si="255"/>
        <v>--</v>
      </c>
      <c r="U51" s="258"/>
      <c r="V51" s="197">
        <f t="shared" si="151"/>
        <v>0</v>
      </c>
      <c r="W51" s="1006">
        <f t="shared" si="152"/>
        <v>0</v>
      </c>
      <c r="X51" s="1007" t="e">
        <f t="shared" si="153"/>
        <v>#VALUE!</v>
      </c>
      <c r="Y51" s="258" t="str">
        <f t="shared" si="256"/>
        <v>--</v>
      </c>
      <c r="Z51" s="258"/>
      <c r="AA51" s="197">
        <f t="shared" si="154"/>
        <v>0</v>
      </c>
      <c r="AB51" s="1006">
        <f t="shared" si="155"/>
        <v>0</v>
      </c>
      <c r="AC51" s="1007" t="e">
        <f t="shared" si="156"/>
        <v>#VALUE!</v>
      </c>
      <c r="AD51" s="258" t="str">
        <f t="shared" si="257"/>
        <v>--</v>
      </c>
      <c r="AE51" s="258"/>
      <c r="AF51" s="197">
        <f t="shared" si="157"/>
        <v>0</v>
      </c>
      <c r="AG51" s="1006">
        <f t="shared" si="158"/>
        <v>0</v>
      </c>
      <c r="AH51" s="1007" t="e">
        <f t="shared" si="159"/>
        <v>#VALUE!</v>
      </c>
      <c r="AI51" s="258" t="str">
        <f t="shared" si="258"/>
        <v>--</v>
      </c>
      <c r="AJ51" s="258"/>
      <c r="AK51" s="197">
        <f t="shared" si="160"/>
        <v>0</v>
      </c>
      <c r="AL51" s="1006">
        <f t="shared" si="161"/>
        <v>0</v>
      </c>
      <c r="AM51" s="1007" t="e">
        <f t="shared" si="162"/>
        <v>#VALUE!</v>
      </c>
      <c r="AN51" s="258" t="str">
        <f t="shared" si="259"/>
        <v>--</v>
      </c>
      <c r="AO51" s="258"/>
      <c r="AP51" s="197">
        <f t="shared" si="163"/>
        <v>0</v>
      </c>
      <c r="AQ51" s="1006">
        <f t="shared" si="164"/>
        <v>0</v>
      </c>
      <c r="AR51" s="1007" t="e">
        <f t="shared" si="165"/>
        <v>#VALUE!</v>
      </c>
      <c r="AS51" s="258" t="str">
        <f t="shared" si="260"/>
        <v>--</v>
      </c>
      <c r="AT51" s="258"/>
      <c r="AU51" s="197">
        <f t="shared" si="166"/>
        <v>0</v>
      </c>
      <c r="AV51" s="1006">
        <f t="shared" si="167"/>
        <v>0</v>
      </c>
      <c r="AW51" s="1007" t="e">
        <f t="shared" si="168"/>
        <v>#VALUE!</v>
      </c>
      <c r="AX51" s="258" t="str">
        <f t="shared" si="261"/>
        <v>--</v>
      </c>
      <c r="AY51" s="258"/>
      <c r="AZ51" s="197">
        <f t="shared" si="169"/>
        <v>0</v>
      </c>
      <c r="BA51" s="1006">
        <f t="shared" si="170"/>
        <v>0</v>
      </c>
      <c r="BB51" s="1007" t="e">
        <f t="shared" si="171"/>
        <v>#VALUE!</v>
      </c>
      <c r="BC51" s="258" t="str">
        <f t="shared" si="262"/>
        <v>--</v>
      </c>
      <c r="BD51" s="258"/>
      <c r="BE51" s="197">
        <f t="shared" si="172"/>
        <v>0</v>
      </c>
      <c r="BF51" s="1006">
        <f t="shared" si="173"/>
        <v>0</v>
      </c>
      <c r="BG51" s="1007" t="e">
        <f t="shared" si="174"/>
        <v>#VALUE!</v>
      </c>
      <c r="BH51" s="258" t="str">
        <f t="shared" si="263"/>
        <v>--</v>
      </c>
      <c r="BI51" s="258"/>
      <c r="BJ51" s="197">
        <f t="shared" si="175"/>
        <v>0</v>
      </c>
      <c r="BK51" s="1006">
        <f t="shared" si="176"/>
        <v>0</v>
      </c>
      <c r="BL51" s="1007" t="e">
        <f t="shared" si="177"/>
        <v>#VALUE!</v>
      </c>
      <c r="BM51" s="258" t="str">
        <f t="shared" si="264"/>
        <v>--</v>
      </c>
      <c r="BN51" s="258"/>
      <c r="BO51" s="197">
        <f t="shared" si="178"/>
        <v>0</v>
      </c>
      <c r="BP51" s="1006">
        <f t="shared" si="179"/>
        <v>0</v>
      </c>
      <c r="BQ51" s="1007" t="e">
        <f t="shared" si="180"/>
        <v>#VALUE!</v>
      </c>
      <c r="BR51" s="258" t="str">
        <f t="shared" si="265"/>
        <v>--</v>
      </c>
      <c r="BS51" s="258"/>
      <c r="BT51" s="197">
        <f t="shared" si="181"/>
        <v>0</v>
      </c>
      <c r="BU51" s="1006">
        <f t="shared" si="182"/>
        <v>0</v>
      </c>
      <c r="BV51" s="1007" t="e">
        <f t="shared" si="183"/>
        <v>#VALUE!</v>
      </c>
      <c r="BW51" s="258" t="str">
        <f t="shared" si="266"/>
        <v>--</v>
      </c>
      <c r="BX51" s="258"/>
      <c r="BY51" s="197">
        <f t="shared" si="184"/>
        <v>0</v>
      </c>
      <c r="BZ51" s="1006">
        <f t="shared" si="185"/>
        <v>0</v>
      </c>
      <c r="CA51" s="1007" t="e">
        <f t="shared" si="186"/>
        <v>#VALUE!</v>
      </c>
      <c r="CB51" s="258" t="str">
        <f t="shared" si="267"/>
        <v>--</v>
      </c>
      <c r="CC51" s="258"/>
      <c r="CD51" s="197">
        <f t="shared" si="187"/>
        <v>0</v>
      </c>
      <c r="CE51" s="1006">
        <f t="shared" si="188"/>
        <v>0</v>
      </c>
      <c r="CF51" s="1007" t="e">
        <f t="shared" si="189"/>
        <v>#VALUE!</v>
      </c>
      <c r="CG51" s="258" t="str">
        <f t="shared" si="268"/>
        <v>--</v>
      </c>
      <c r="CH51" s="258"/>
      <c r="CI51" s="197">
        <f t="shared" si="190"/>
        <v>0</v>
      </c>
      <c r="CJ51" s="1006">
        <f t="shared" si="191"/>
        <v>0</v>
      </c>
      <c r="CK51" s="1007" t="e">
        <f t="shared" si="192"/>
        <v>#VALUE!</v>
      </c>
      <c r="CL51" s="258" t="str">
        <f t="shared" si="269"/>
        <v>--</v>
      </c>
      <c r="CM51" s="258"/>
      <c r="CN51" s="197">
        <f t="shared" si="193"/>
        <v>0</v>
      </c>
      <c r="CO51" s="1006">
        <f t="shared" si="194"/>
        <v>0</v>
      </c>
      <c r="CP51" s="1007" t="e">
        <f t="shared" si="195"/>
        <v>#VALUE!</v>
      </c>
      <c r="CQ51" s="258" t="str">
        <f t="shared" si="270"/>
        <v>--</v>
      </c>
      <c r="CR51" s="258"/>
      <c r="CS51" s="197">
        <f t="shared" si="196"/>
        <v>0</v>
      </c>
      <c r="CT51" s="1006">
        <f t="shared" si="197"/>
        <v>0</v>
      </c>
      <c r="CU51" s="1007" t="e">
        <f t="shared" si="198"/>
        <v>#VALUE!</v>
      </c>
      <c r="CV51" s="258" t="str">
        <f t="shared" si="271"/>
        <v>--</v>
      </c>
      <c r="CW51" s="258"/>
      <c r="CX51" s="197">
        <f t="shared" si="199"/>
        <v>0</v>
      </c>
      <c r="CY51" s="1006">
        <f t="shared" si="200"/>
        <v>0</v>
      </c>
      <c r="CZ51" s="1007" t="e">
        <f t="shared" si="201"/>
        <v>#VALUE!</v>
      </c>
      <c r="DA51" s="258" t="str">
        <f t="shared" si="272"/>
        <v>--</v>
      </c>
      <c r="DB51" s="258"/>
      <c r="DC51" s="197">
        <f t="shared" si="202"/>
        <v>0</v>
      </c>
      <c r="DD51" s="1006">
        <f t="shared" si="203"/>
        <v>0</v>
      </c>
      <c r="DE51" s="1007" t="e">
        <f t="shared" si="204"/>
        <v>#VALUE!</v>
      </c>
      <c r="DF51" s="258" t="str">
        <f t="shared" si="273"/>
        <v>--</v>
      </c>
      <c r="DG51" s="258"/>
      <c r="DH51" s="197">
        <f t="shared" si="205"/>
        <v>0</v>
      </c>
      <c r="DI51" s="1006">
        <f t="shared" si="206"/>
        <v>0</v>
      </c>
      <c r="DJ51" s="1007" t="e">
        <f t="shared" si="207"/>
        <v>#VALUE!</v>
      </c>
      <c r="DK51" s="258" t="str">
        <f t="shared" si="274"/>
        <v>--</v>
      </c>
      <c r="DL51" s="258"/>
      <c r="DM51" s="197">
        <f t="shared" si="208"/>
        <v>0</v>
      </c>
      <c r="DN51" s="1006">
        <f t="shared" si="209"/>
        <v>0</v>
      </c>
      <c r="DO51" s="1007" t="e">
        <f t="shared" si="210"/>
        <v>#VALUE!</v>
      </c>
      <c r="DP51" s="258" t="str">
        <f t="shared" si="275"/>
        <v>--</v>
      </c>
      <c r="DQ51" s="258"/>
      <c r="DR51" s="197">
        <f t="shared" si="211"/>
        <v>0</v>
      </c>
      <c r="DS51" s="1006">
        <f t="shared" si="212"/>
        <v>0</v>
      </c>
      <c r="DT51" s="1007" t="e">
        <f t="shared" si="213"/>
        <v>#VALUE!</v>
      </c>
      <c r="DU51" s="258" t="str">
        <f t="shared" si="276"/>
        <v>--</v>
      </c>
      <c r="DV51" s="258"/>
      <c r="DW51" s="197">
        <f t="shared" si="214"/>
        <v>0</v>
      </c>
      <c r="DX51" s="1006">
        <f t="shared" si="215"/>
        <v>0</v>
      </c>
      <c r="DY51" s="1007" t="e">
        <f t="shared" si="216"/>
        <v>#VALUE!</v>
      </c>
      <c r="DZ51" s="258" t="str">
        <f t="shared" si="277"/>
        <v>--</v>
      </c>
      <c r="EA51" s="258"/>
      <c r="EB51" s="197">
        <f t="shared" si="217"/>
        <v>0</v>
      </c>
      <c r="EC51" s="1006">
        <f t="shared" si="218"/>
        <v>0</v>
      </c>
      <c r="ED51" s="1007" t="e">
        <f t="shared" si="219"/>
        <v>#VALUE!</v>
      </c>
      <c r="EE51" s="258" t="str">
        <f t="shared" si="278"/>
        <v>--</v>
      </c>
      <c r="EF51" s="258"/>
      <c r="EG51" s="197">
        <f t="shared" si="220"/>
        <v>0</v>
      </c>
      <c r="EH51" s="1006">
        <f t="shared" si="221"/>
        <v>0</v>
      </c>
      <c r="EI51" s="1007" t="e">
        <f t="shared" si="222"/>
        <v>#VALUE!</v>
      </c>
      <c r="EJ51" s="258" t="str">
        <f t="shared" si="279"/>
        <v>--</v>
      </c>
      <c r="EK51" s="258"/>
      <c r="EL51" s="197">
        <f t="shared" si="223"/>
        <v>0</v>
      </c>
      <c r="EM51" s="1006">
        <f t="shared" si="224"/>
        <v>0</v>
      </c>
      <c r="EN51" s="1007" t="e">
        <f t="shared" si="225"/>
        <v>#VALUE!</v>
      </c>
      <c r="EO51" s="258" t="str">
        <f t="shared" si="280"/>
        <v>--</v>
      </c>
      <c r="EP51" s="258"/>
      <c r="EQ51" s="197">
        <f t="shared" si="226"/>
        <v>0</v>
      </c>
      <c r="ER51" s="1006">
        <f t="shared" si="227"/>
        <v>0</v>
      </c>
      <c r="ES51" s="1007" t="e">
        <f t="shared" si="228"/>
        <v>#VALUE!</v>
      </c>
      <c r="ET51" s="258" t="str">
        <f t="shared" si="281"/>
        <v>--</v>
      </c>
      <c r="EU51" s="258"/>
      <c r="EV51" s="197">
        <f t="shared" si="229"/>
        <v>0</v>
      </c>
      <c r="EW51" s="1006">
        <f t="shared" si="230"/>
        <v>0</v>
      </c>
      <c r="EX51" s="1007" t="e">
        <f t="shared" si="231"/>
        <v>#VALUE!</v>
      </c>
      <c r="EY51" s="258" t="str">
        <f t="shared" si="282"/>
        <v>--</v>
      </c>
      <c r="EZ51" s="258"/>
      <c r="FA51" s="197">
        <f t="shared" si="232"/>
        <v>0</v>
      </c>
      <c r="FB51" s="1006">
        <f t="shared" si="233"/>
        <v>0</v>
      </c>
      <c r="FC51" s="1007" t="e">
        <f t="shared" si="234"/>
        <v>#VALUE!</v>
      </c>
      <c r="FD51" s="258" t="str">
        <f t="shared" si="283"/>
        <v>--</v>
      </c>
      <c r="FE51" s="258"/>
      <c r="FF51" s="197">
        <f t="shared" si="235"/>
        <v>0</v>
      </c>
      <c r="FG51" s="1006">
        <f t="shared" si="236"/>
        <v>0</v>
      </c>
      <c r="FH51" s="1007" t="e">
        <f t="shared" si="237"/>
        <v>#VALUE!</v>
      </c>
      <c r="FI51" s="258" t="str">
        <f t="shared" si="284"/>
        <v>--</v>
      </c>
      <c r="FJ51" s="258"/>
      <c r="FK51" s="197">
        <f t="shared" si="238"/>
        <v>0</v>
      </c>
      <c r="FL51" s="1006">
        <f t="shared" si="239"/>
        <v>0</v>
      </c>
      <c r="FM51" s="1007" t="e">
        <f t="shared" si="240"/>
        <v>#VALUE!</v>
      </c>
      <c r="FN51" s="258" t="str">
        <f t="shared" si="285"/>
        <v>--</v>
      </c>
      <c r="FO51" s="258"/>
      <c r="FP51" s="197">
        <f t="shared" si="241"/>
        <v>0</v>
      </c>
      <c r="FQ51" s="1006">
        <f t="shared" si="242"/>
        <v>0</v>
      </c>
      <c r="FR51" s="1007" t="e">
        <f t="shared" si="243"/>
        <v>#VALUE!</v>
      </c>
      <c r="FS51" s="258" t="str">
        <f t="shared" si="286"/>
        <v>--</v>
      </c>
      <c r="FT51" s="258"/>
      <c r="FU51" s="197">
        <f t="shared" si="244"/>
        <v>0</v>
      </c>
      <c r="FV51" s="1006">
        <f t="shared" si="245"/>
        <v>0</v>
      </c>
      <c r="FW51" s="1007" t="e">
        <f t="shared" si="246"/>
        <v>#VALUE!</v>
      </c>
      <c r="FX51" s="258" t="str">
        <f t="shared" si="287"/>
        <v>--</v>
      </c>
      <c r="FY51" s="258"/>
      <c r="FZ51" s="197">
        <f t="shared" si="247"/>
        <v>0</v>
      </c>
      <c r="GA51" s="1006">
        <f t="shared" si="248"/>
        <v>0</v>
      </c>
      <c r="GB51" s="1007" t="e">
        <f t="shared" si="249"/>
        <v>#VALUE!</v>
      </c>
      <c r="GC51" s="258" t="str">
        <f t="shared" si="288"/>
        <v>--</v>
      </c>
      <c r="GD51" s="258"/>
      <c r="GE51" s="197">
        <f t="shared" si="250"/>
        <v>0</v>
      </c>
      <c r="GF51" s="1006">
        <f t="shared" si="251"/>
        <v>0</v>
      </c>
      <c r="GG51" s="1007" t="e">
        <f t="shared" si="252"/>
        <v>#VALUE!</v>
      </c>
      <c r="GH51" s="258" t="str">
        <f t="shared" si="289"/>
        <v>--</v>
      </c>
      <c r="GI51" s="258"/>
      <c r="GJ51" s="197">
        <f t="shared" si="253"/>
        <v>0</v>
      </c>
      <c r="GK51" s="1340"/>
      <c r="GL51" s="164"/>
      <c r="GM51" s="164"/>
      <c r="GN51" s="164"/>
    </row>
    <row r="52" spans="1:196" ht="12.75" x14ac:dyDescent="0.2">
      <c r="A52" s="243">
        <f>'Item list'!A52</f>
        <v>0</v>
      </c>
      <c r="B52" s="243">
        <f>'Item list'!B52</f>
        <v>0</v>
      </c>
      <c r="C52" s="243">
        <f>'Item list'!C52</f>
        <v>0</v>
      </c>
      <c r="D52" s="989">
        <f>'Item list'!D52</f>
        <v>0</v>
      </c>
      <c r="E52" s="243">
        <f>'Item list'!E52</f>
        <v>0</v>
      </c>
      <c r="F52" s="243">
        <f>'Item list'!F52</f>
        <v>0</v>
      </c>
      <c r="G52" s="243">
        <f>'Item list'!G52</f>
        <v>0</v>
      </c>
      <c r="H52" s="1005" t="e">
        <f t="shared" si="144"/>
        <v>#REF!</v>
      </c>
      <c r="I52" s="243"/>
      <c r="J52" s="243"/>
      <c r="K52" s="243"/>
      <c r="L52" s="197">
        <f t="shared" si="145"/>
        <v>0</v>
      </c>
      <c r="M52" s="1006">
        <f t="shared" si="146"/>
        <v>0</v>
      </c>
      <c r="N52" s="1007" t="e">
        <f t="shared" si="147"/>
        <v>#VALUE!</v>
      </c>
      <c r="O52" s="258" t="str">
        <f t="shared" si="254"/>
        <v>--</v>
      </c>
      <c r="P52" s="258"/>
      <c r="Q52" s="197">
        <f t="shared" si="148"/>
        <v>0</v>
      </c>
      <c r="R52" s="1006">
        <f t="shared" si="149"/>
        <v>0</v>
      </c>
      <c r="S52" s="1007" t="e">
        <f t="shared" si="150"/>
        <v>#VALUE!</v>
      </c>
      <c r="T52" s="258" t="str">
        <f t="shared" si="255"/>
        <v>--</v>
      </c>
      <c r="U52" s="258"/>
      <c r="V52" s="197">
        <f t="shared" si="151"/>
        <v>0</v>
      </c>
      <c r="W52" s="1006">
        <f t="shared" si="152"/>
        <v>0</v>
      </c>
      <c r="X52" s="1007" t="e">
        <f t="shared" si="153"/>
        <v>#VALUE!</v>
      </c>
      <c r="Y52" s="258" t="str">
        <f t="shared" si="256"/>
        <v>--</v>
      </c>
      <c r="Z52" s="258"/>
      <c r="AA52" s="197">
        <f t="shared" si="154"/>
        <v>0</v>
      </c>
      <c r="AB52" s="1006">
        <f t="shared" si="155"/>
        <v>0</v>
      </c>
      <c r="AC52" s="1007" t="e">
        <f t="shared" si="156"/>
        <v>#VALUE!</v>
      </c>
      <c r="AD52" s="258" t="str">
        <f t="shared" si="257"/>
        <v>--</v>
      </c>
      <c r="AE52" s="258"/>
      <c r="AF52" s="197">
        <f t="shared" si="157"/>
        <v>0</v>
      </c>
      <c r="AG52" s="1006">
        <f t="shared" si="158"/>
        <v>0</v>
      </c>
      <c r="AH52" s="1007" t="e">
        <f t="shared" si="159"/>
        <v>#VALUE!</v>
      </c>
      <c r="AI52" s="258" t="str">
        <f t="shared" si="258"/>
        <v>--</v>
      </c>
      <c r="AJ52" s="258"/>
      <c r="AK52" s="197">
        <f t="shared" si="160"/>
        <v>0</v>
      </c>
      <c r="AL52" s="1006">
        <f t="shared" si="161"/>
        <v>0</v>
      </c>
      <c r="AM52" s="1007" t="e">
        <f t="shared" si="162"/>
        <v>#VALUE!</v>
      </c>
      <c r="AN52" s="258" t="str">
        <f t="shared" si="259"/>
        <v>--</v>
      </c>
      <c r="AO52" s="258"/>
      <c r="AP52" s="197">
        <f t="shared" si="163"/>
        <v>0</v>
      </c>
      <c r="AQ52" s="1006">
        <f t="shared" si="164"/>
        <v>0</v>
      </c>
      <c r="AR52" s="1007" t="e">
        <f t="shared" si="165"/>
        <v>#VALUE!</v>
      </c>
      <c r="AS52" s="258" t="str">
        <f t="shared" si="260"/>
        <v>--</v>
      </c>
      <c r="AT52" s="258"/>
      <c r="AU52" s="197">
        <f t="shared" si="166"/>
        <v>0</v>
      </c>
      <c r="AV52" s="1006">
        <f t="shared" si="167"/>
        <v>0</v>
      </c>
      <c r="AW52" s="1007" t="e">
        <f t="shared" si="168"/>
        <v>#VALUE!</v>
      </c>
      <c r="AX52" s="258" t="str">
        <f t="shared" si="261"/>
        <v>--</v>
      </c>
      <c r="AY52" s="258"/>
      <c r="AZ52" s="197">
        <f t="shared" si="169"/>
        <v>0</v>
      </c>
      <c r="BA52" s="1006">
        <f t="shared" si="170"/>
        <v>0</v>
      </c>
      <c r="BB52" s="1007" t="e">
        <f t="shared" si="171"/>
        <v>#VALUE!</v>
      </c>
      <c r="BC52" s="258" t="str">
        <f t="shared" si="262"/>
        <v>--</v>
      </c>
      <c r="BD52" s="258"/>
      <c r="BE52" s="197">
        <f t="shared" si="172"/>
        <v>0</v>
      </c>
      <c r="BF52" s="1006">
        <f t="shared" si="173"/>
        <v>0</v>
      </c>
      <c r="BG52" s="1007" t="e">
        <f t="shared" si="174"/>
        <v>#VALUE!</v>
      </c>
      <c r="BH52" s="258" t="str">
        <f t="shared" si="263"/>
        <v>--</v>
      </c>
      <c r="BI52" s="258"/>
      <c r="BJ52" s="197">
        <f t="shared" si="175"/>
        <v>0</v>
      </c>
      <c r="BK52" s="1006">
        <f t="shared" si="176"/>
        <v>0</v>
      </c>
      <c r="BL52" s="1007" t="e">
        <f t="shared" si="177"/>
        <v>#VALUE!</v>
      </c>
      <c r="BM52" s="258" t="str">
        <f t="shared" si="264"/>
        <v>--</v>
      </c>
      <c r="BN52" s="258"/>
      <c r="BO52" s="197">
        <f t="shared" si="178"/>
        <v>0</v>
      </c>
      <c r="BP52" s="1006">
        <f t="shared" si="179"/>
        <v>0</v>
      </c>
      <c r="BQ52" s="1007" t="e">
        <f t="shared" si="180"/>
        <v>#VALUE!</v>
      </c>
      <c r="BR52" s="258" t="str">
        <f t="shared" si="265"/>
        <v>--</v>
      </c>
      <c r="BS52" s="258"/>
      <c r="BT52" s="197">
        <f t="shared" si="181"/>
        <v>0</v>
      </c>
      <c r="BU52" s="1006">
        <f t="shared" si="182"/>
        <v>0</v>
      </c>
      <c r="BV52" s="1007" t="e">
        <f t="shared" si="183"/>
        <v>#VALUE!</v>
      </c>
      <c r="BW52" s="258" t="str">
        <f t="shared" si="266"/>
        <v>--</v>
      </c>
      <c r="BX52" s="258"/>
      <c r="BY52" s="197">
        <f t="shared" si="184"/>
        <v>0</v>
      </c>
      <c r="BZ52" s="1006">
        <f t="shared" si="185"/>
        <v>0</v>
      </c>
      <c r="CA52" s="1007" t="e">
        <f t="shared" si="186"/>
        <v>#VALUE!</v>
      </c>
      <c r="CB52" s="258" t="str">
        <f t="shared" si="267"/>
        <v>--</v>
      </c>
      <c r="CC52" s="258"/>
      <c r="CD52" s="197">
        <f t="shared" si="187"/>
        <v>0</v>
      </c>
      <c r="CE52" s="1006">
        <f t="shared" si="188"/>
        <v>0</v>
      </c>
      <c r="CF52" s="1007" t="e">
        <f t="shared" si="189"/>
        <v>#VALUE!</v>
      </c>
      <c r="CG52" s="258" t="str">
        <f t="shared" si="268"/>
        <v>--</v>
      </c>
      <c r="CH52" s="258"/>
      <c r="CI52" s="197">
        <f t="shared" si="190"/>
        <v>0</v>
      </c>
      <c r="CJ52" s="1006">
        <f t="shared" si="191"/>
        <v>0</v>
      </c>
      <c r="CK52" s="1007" t="e">
        <f t="shared" si="192"/>
        <v>#VALUE!</v>
      </c>
      <c r="CL52" s="258" t="str">
        <f t="shared" si="269"/>
        <v>--</v>
      </c>
      <c r="CM52" s="258"/>
      <c r="CN52" s="197">
        <f t="shared" si="193"/>
        <v>0</v>
      </c>
      <c r="CO52" s="1006">
        <f t="shared" si="194"/>
        <v>0</v>
      </c>
      <c r="CP52" s="1007" t="e">
        <f t="shared" si="195"/>
        <v>#VALUE!</v>
      </c>
      <c r="CQ52" s="258" t="str">
        <f t="shared" si="270"/>
        <v>--</v>
      </c>
      <c r="CR52" s="258"/>
      <c r="CS52" s="197">
        <f t="shared" si="196"/>
        <v>0</v>
      </c>
      <c r="CT52" s="1006">
        <f t="shared" si="197"/>
        <v>0</v>
      </c>
      <c r="CU52" s="1007" t="e">
        <f t="shared" si="198"/>
        <v>#VALUE!</v>
      </c>
      <c r="CV52" s="258" t="str">
        <f t="shared" si="271"/>
        <v>--</v>
      </c>
      <c r="CW52" s="258"/>
      <c r="CX52" s="197">
        <f t="shared" si="199"/>
        <v>0</v>
      </c>
      <c r="CY52" s="1006">
        <f t="shared" si="200"/>
        <v>0</v>
      </c>
      <c r="CZ52" s="1007" t="e">
        <f t="shared" si="201"/>
        <v>#VALUE!</v>
      </c>
      <c r="DA52" s="258" t="str">
        <f t="shared" si="272"/>
        <v>--</v>
      </c>
      <c r="DB52" s="258"/>
      <c r="DC52" s="197">
        <f t="shared" si="202"/>
        <v>0</v>
      </c>
      <c r="DD52" s="1006">
        <f t="shared" si="203"/>
        <v>0</v>
      </c>
      <c r="DE52" s="1007" t="e">
        <f t="shared" si="204"/>
        <v>#VALUE!</v>
      </c>
      <c r="DF52" s="258" t="str">
        <f t="shared" si="273"/>
        <v>--</v>
      </c>
      <c r="DG52" s="258"/>
      <c r="DH52" s="197">
        <f t="shared" si="205"/>
        <v>0</v>
      </c>
      <c r="DI52" s="1006">
        <f t="shared" si="206"/>
        <v>0</v>
      </c>
      <c r="DJ52" s="1007" t="e">
        <f t="shared" si="207"/>
        <v>#VALUE!</v>
      </c>
      <c r="DK52" s="258" t="str">
        <f t="shared" si="274"/>
        <v>--</v>
      </c>
      <c r="DL52" s="258"/>
      <c r="DM52" s="197">
        <f t="shared" si="208"/>
        <v>0</v>
      </c>
      <c r="DN52" s="1006">
        <f t="shared" si="209"/>
        <v>0</v>
      </c>
      <c r="DO52" s="1007" t="e">
        <f t="shared" si="210"/>
        <v>#VALUE!</v>
      </c>
      <c r="DP52" s="258" t="str">
        <f t="shared" si="275"/>
        <v>--</v>
      </c>
      <c r="DQ52" s="258"/>
      <c r="DR52" s="197">
        <f t="shared" si="211"/>
        <v>0</v>
      </c>
      <c r="DS52" s="1006">
        <f t="shared" si="212"/>
        <v>0</v>
      </c>
      <c r="DT52" s="1007" t="e">
        <f t="shared" si="213"/>
        <v>#VALUE!</v>
      </c>
      <c r="DU52" s="258" t="str">
        <f t="shared" si="276"/>
        <v>--</v>
      </c>
      <c r="DV52" s="258"/>
      <c r="DW52" s="197">
        <f t="shared" si="214"/>
        <v>0</v>
      </c>
      <c r="DX52" s="1006">
        <f t="shared" si="215"/>
        <v>0</v>
      </c>
      <c r="DY52" s="1007" t="e">
        <f t="shared" si="216"/>
        <v>#VALUE!</v>
      </c>
      <c r="DZ52" s="258" t="str">
        <f t="shared" si="277"/>
        <v>--</v>
      </c>
      <c r="EA52" s="258"/>
      <c r="EB52" s="197">
        <f t="shared" si="217"/>
        <v>0</v>
      </c>
      <c r="EC52" s="1006">
        <f t="shared" si="218"/>
        <v>0</v>
      </c>
      <c r="ED52" s="1007" t="e">
        <f t="shared" si="219"/>
        <v>#VALUE!</v>
      </c>
      <c r="EE52" s="258" t="str">
        <f t="shared" si="278"/>
        <v>--</v>
      </c>
      <c r="EF52" s="258"/>
      <c r="EG52" s="197">
        <f t="shared" si="220"/>
        <v>0</v>
      </c>
      <c r="EH52" s="1006">
        <f t="shared" si="221"/>
        <v>0</v>
      </c>
      <c r="EI52" s="1007" t="e">
        <f t="shared" si="222"/>
        <v>#VALUE!</v>
      </c>
      <c r="EJ52" s="258" t="str">
        <f t="shared" si="279"/>
        <v>--</v>
      </c>
      <c r="EK52" s="258"/>
      <c r="EL52" s="197">
        <f t="shared" si="223"/>
        <v>0</v>
      </c>
      <c r="EM52" s="1006">
        <f t="shared" si="224"/>
        <v>0</v>
      </c>
      <c r="EN52" s="1007" t="e">
        <f t="shared" si="225"/>
        <v>#VALUE!</v>
      </c>
      <c r="EO52" s="258" t="str">
        <f t="shared" si="280"/>
        <v>--</v>
      </c>
      <c r="EP52" s="258"/>
      <c r="EQ52" s="197">
        <f t="shared" si="226"/>
        <v>0</v>
      </c>
      <c r="ER52" s="1006">
        <f t="shared" si="227"/>
        <v>0</v>
      </c>
      <c r="ES52" s="1007" t="e">
        <f t="shared" si="228"/>
        <v>#VALUE!</v>
      </c>
      <c r="ET52" s="258" t="str">
        <f t="shared" si="281"/>
        <v>--</v>
      </c>
      <c r="EU52" s="258"/>
      <c r="EV52" s="197">
        <f t="shared" si="229"/>
        <v>0</v>
      </c>
      <c r="EW52" s="1006">
        <f t="shared" si="230"/>
        <v>0</v>
      </c>
      <c r="EX52" s="1007" t="e">
        <f t="shared" si="231"/>
        <v>#VALUE!</v>
      </c>
      <c r="EY52" s="258" t="str">
        <f t="shared" si="282"/>
        <v>--</v>
      </c>
      <c r="EZ52" s="258"/>
      <c r="FA52" s="197">
        <f t="shared" si="232"/>
        <v>0</v>
      </c>
      <c r="FB52" s="1006">
        <f t="shared" si="233"/>
        <v>0</v>
      </c>
      <c r="FC52" s="1007" t="e">
        <f t="shared" si="234"/>
        <v>#VALUE!</v>
      </c>
      <c r="FD52" s="258" t="str">
        <f t="shared" si="283"/>
        <v>--</v>
      </c>
      <c r="FE52" s="258"/>
      <c r="FF52" s="197">
        <f t="shared" si="235"/>
        <v>0</v>
      </c>
      <c r="FG52" s="1006">
        <f t="shared" si="236"/>
        <v>0</v>
      </c>
      <c r="FH52" s="1007" t="e">
        <f t="shared" si="237"/>
        <v>#VALUE!</v>
      </c>
      <c r="FI52" s="258" t="str">
        <f t="shared" si="284"/>
        <v>--</v>
      </c>
      <c r="FJ52" s="258"/>
      <c r="FK52" s="197">
        <f t="shared" si="238"/>
        <v>0</v>
      </c>
      <c r="FL52" s="1006">
        <f t="shared" si="239"/>
        <v>0</v>
      </c>
      <c r="FM52" s="1007" t="e">
        <f t="shared" si="240"/>
        <v>#VALUE!</v>
      </c>
      <c r="FN52" s="258" t="str">
        <f t="shared" si="285"/>
        <v>--</v>
      </c>
      <c r="FO52" s="258"/>
      <c r="FP52" s="197">
        <f t="shared" si="241"/>
        <v>0</v>
      </c>
      <c r="FQ52" s="1006">
        <f t="shared" si="242"/>
        <v>0</v>
      </c>
      <c r="FR52" s="1007" t="e">
        <f t="shared" si="243"/>
        <v>#VALUE!</v>
      </c>
      <c r="FS52" s="258" t="str">
        <f t="shared" si="286"/>
        <v>--</v>
      </c>
      <c r="FT52" s="258"/>
      <c r="FU52" s="197">
        <f t="shared" si="244"/>
        <v>0</v>
      </c>
      <c r="FV52" s="1006">
        <f t="shared" si="245"/>
        <v>0</v>
      </c>
      <c r="FW52" s="1007" t="e">
        <f t="shared" si="246"/>
        <v>#VALUE!</v>
      </c>
      <c r="FX52" s="258" t="str">
        <f t="shared" si="287"/>
        <v>--</v>
      </c>
      <c r="FY52" s="258"/>
      <c r="FZ52" s="197">
        <f t="shared" si="247"/>
        <v>0</v>
      </c>
      <c r="GA52" s="1006">
        <f t="shared" si="248"/>
        <v>0</v>
      </c>
      <c r="GB52" s="1007" t="e">
        <f t="shared" si="249"/>
        <v>#VALUE!</v>
      </c>
      <c r="GC52" s="258" t="str">
        <f t="shared" si="288"/>
        <v>--</v>
      </c>
      <c r="GD52" s="258"/>
      <c r="GE52" s="197">
        <f t="shared" si="250"/>
        <v>0</v>
      </c>
      <c r="GF52" s="1006">
        <f t="shared" si="251"/>
        <v>0</v>
      </c>
      <c r="GG52" s="1007" t="e">
        <f t="shared" si="252"/>
        <v>#VALUE!</v>
      </c>
      <c r="GH52" s="258" t="str">
        <f t="shared" si="289"/>
        <v>--</v>
      </c>
      <c r="GI52" s="258"/>
      <c r="GJ52" s="197">
        <f t="shared" si="253"/>
        <v>0</v>
      </c>
      <c r="GK52" s="1340"/>
      <c r="GL52" s="164"/>
      <c r="GM52" s="164"/>
      <c r="GN52" s="164"/>
    </row>
    <row r="53" spans="1:196" ht="12.75" x14ac:dyDescent="0.2">
      <c r="A53" s="243">
        <f>'Item list'!A53</f>
        <v>0</v>
      </c>
      <c r="B53" s="243">
        <f>'Item list'!B53</f>
        <v>0</v>
      </c>
      <c r="C53" s="243">
        <f>'Item list'!C53</f>
        <v>0</v>
      </c>
      <c r="D53" s="989">
        <f>'Item list'!D53</f>
        <v>0</v>
      </c>
      <c r="E53" s="243">
        <f>'Item list'!E53</f>
        <v>0</v>
      </c>
      <c r="F53" s="243">
        <f>'Item list'!F53</f>
        <v>0</v>
      </c>
      <c r="G53" s="243">
        <f>'Item list'!G53</f>
        <v>0</v>
      </c>
      <c r="H53" s="1005" t="e">
        <f t="shared" si="144"/>
        <v>#REF!</v>
      </c>
      <c r="I53" s="243"/>
      <c r="J53" s="243"/>
      <c r="K53" s="243"/>
      <c r="L53" s="197">
        <f t="shared" si="145"/>
        <v>0</v>
      </c>
      <c r="M53" s="1006">
        <f t="shared" si="146"/>
        <v>0</v>
      </c>
      <c r="N53" s="1007" t="e">
        <f t="shared" si="147"/>
        <v>#VALUE!</v>
      </c>
      <c r="O53" s="258" t="str">
        <f t="shared" si="254"/>
        <v>--</v>
      </c>
      <c r="P53" s="258"/>
      <c r="Q53" s="197">
        <f t="shared" si="148"/>
        <v>0</v>
      </c>
      <c r="R53" s="1006">
        <f t="shared" si="149"/>
        <v>0</v>
      </c>
      <c r="S53" s="1007" t="e">
        <f t="shared" si="150"/>
        <v>#VALUE!</v>
      </c>
      <c r="T53" s="258" t="str">
        <f t="shared" si="255"/>
        <v>--</v>
      </c>
      <c r="U53" s="258"/>
      <c r="V53" s="197">
        <f t="shared" si="151"/>
        <v>0</v>
      </c>
      <c r="W53" s="1006">
        <f t="shared" si="152"/>
        <v>0</v>
      </c>
      <c r="X53" s="1007" t="e">
        <f t="shared" si="153"/>
        <v>#VALUE!</v>
      </c>
      <c r="Y53" s="258" t="str">
        <f t="shared" si="256"/>
        <v>--</v>
      </c>
      <c r="Z53" s="258"/>
      <c r="AA53" s="197">
        <f t="shared" si="154"/>
        <v>0</v>
      </c>
      <c r="AB53" s="1006">
        <f t="shared" si="155"/>
        <v>0</v>
      </c>
      <c r="AC53" s="1007" t="e">
        <f t="shared" si="156"/>
        <v>#VALUE!</v>
      </c>
      <c r="AD53" s="258" t="str">
        <f t="shared" si="257"/>
        <v>--</v>
      </c>
      <c r="AE53" s="258"/>
      <c r="AF53" s="197">
        <f t="shared" si="157"/>
        <v>0</v>
      </c>
      <c r="AG53" s="1006">
        <f t="shared" si="158"/>
        <v>0</v>
      </c>
      <c r="AH53" s="1007" t="e">
        <f t="shared" si="159"/>
        <v>#VALUE!</v>
      </c>
      <c r="AI53" s="258" t="str">
        <f t="shared" si="258"/>
        <v>--</v>
      </c>
      <c r="AJ53" s="258"/>
      <c r="AK53" s="197">
        <f t="shared" si="160"/>
        <v>0</v>
      </c>
      <c r="AL53" s="1006">
        <f t="shared" si="161"/>
        <v>0</v>
      </c>
      <c r="AM53" s="1007" t="e">
        <f t="shared" si="162"/>
        <v>#VALUE!</v>
      </c>
      <c r="AN53" s="258" t="str">
        <f t="shared" si="259"/>
        <v>--</v>
      </c>
      <c r="AO53" s="258"/>
      <c r="AP53" s="197">
        <f t="shared" si="163"/>
        <v>0</v>
      </c>
      <c r="AQ53" s="1006">
        <f t="shared" si="164"/>
        <v>0</v>
      </c>
      <c r="AR53" s="1007" t="e">
        <f t="shared" si="165"/>
        <v>#VALUE!</v>
      </c>
      <c r="AS53" s="258" t="str">
        <f t="shared" si="260"/>
        <v>--</v>
      </c>
      <c r="AT53" s="258"/>
      <c r="AU53" s="197">
        <f t="shared" si="166"/>
        <v>0</v>
      </c>
      <c r="AV53" s="1006">
        <f t="shared" si="167"/>
        <v>0</v>
      </c>
      <c r="AW53" s="1007" t="e">
        <f t="shared" si="168"/>
        <v>#VALUE!</v>
      </c>
      <c r="AX53" s="258" t="str">
        <f t="shared" si="261"/>
        <v>--</v>
      </c>
      <c r="AY53" s="258"/>
      <c r="AZ53" s="197">
        <f t="shared" si="169"/>
        <v>0</v>
      </c>
      <c r="BA53" s="1006">
        <f t="shared" si="170"/>
        <v>0</v>
      </c>
      <c r="BB53" s="1007" t="e">
        <f t="shared" si="171"/>
        <v>#VALUE!</v>
      </c>
      <c r="BC53" s="258" t="str">
        <f t="shared" si="262"/>
        <v>--</v>
      </c>
      <c r="BD53" s="258"/>
      <c r="BE53" s="197">
        <f t="shared" si="172"/>
        <v>0</v>
      </c>
      <c r="BF53" s="1006">
        <f t="shared" si="173"/>
        <v>0</v>
      </c>
      <c r="BG53" s="1007" t="e">
        <f t="shared" si="174"/>
        <v>#VALUE!</v>
      </c>
      <c r="BH53" s="258" t="str">
        <f t="shared" si="263"/>
        <v>--</v>
      </c>
      <c r="BI53" s="258"/>
      <c r="BJ53" s="197">
        <f t="shared" si="175"/>
        <v>0</v>
      </c>
      <c r="BK53" s="1006">
        <f t="shared" si="176"/>
        <v>0</v>
      </c>
      <c r="BL53" s="1007" t="e">
        <f t="shared" si="177"/>
        <v>#VALUE!</v>
      </c>
      <c r="BM53" s="258" t="str">
        <f t="shared" si="264"/>
        <v>--</v>
      </c>
      <c r="BN53" s="258"/>
      <c r="BO53" s="197">
        <f t="shared" si="178"/>
        <v>0</v>
      </c>
      <c r="BP53" s="1006">
        <f t="shared" si="179"/>
        <v>0</v>
      </c>
      <c r="BQ53" s="1007" t="e">
        <f t="shared" si="180"/>
        <v>#VALUE!</v>
      </c>
      <c r="BR53" s="258" t="str">
        <f t="shared" si="265"/>
        <v>--</v>
      </c>
      <c r="BS53" s="258"/>
      <c r="BT53" s="197">
        <f t="shared" si="181"/>
        <v>0</v>
      </c>
      <c r="BU53" s="1006">
        <f t="shared" si="182"/>
        <v>0</v>
      </c>
      <c r="BV53" s="1007" t="e">
        <f t="shared" si="183"/>
        <v>#VALUE!</v>
      </c>
      <c r="BW53" s="258" t="str">
        <f t="shared" si="266"/>
        <v>--</v>
      </c>
      <c r="BX53" s="258"/>
      <c r="BY53" s="197">
        <f t="shared" si="184"/>
        <v>0</v>
      </c>
      <c r="BZ53" s="1006">
        <f t="shared" si="185"/>
        <v>0</v>
      </c>
      <c r="CA53" s="1007" t="e">
        <f t="shared" si="186"/>
        <v>#VALUE!</v>
      </c>
      <c r="CB53" s="258" t="str">
        <f t="shared" si="267"/>
        <v>--</v>
      </c>
      <c r="CC53" s="258"/>
      <c r="CD53" s="197">
        <f t="shared" si="187"/>
        <v>0</v>
      </c>
      <c r="CE53" s="1006">
        <f t="shared" si="188"/>
        <v>0</v>
      </c>
      <c r="CF53" s="1007" t="e">
        <f t="shared" si="189"/>
        <v>#VALUE!</v>
      </c>
      <c r="CG53" s="258" t="str">
        <f t="shared" si="268"/>
        <v>--</v>
      </c>
      <c r="CH53" s="258"/>
      <c r="CI53" s="197">
        <f t="shared" si="190"/>
        <v>0</v>
      </c>
      <c r="CJ53" s="1006">
        <f t="shared" si="191"/>
        <v>0</v>
      </c>
      <c r="CK53" s="1007" t="e">
        <f t="shared" si="192"/>
        <v>#VALUE!</v>
      </c>
      <c r="CL53" s="258" t="str">
        <f t="shared" si="269"/>
        <v>--</v>
      </c>
      <c r="CM53" s="258"/>
      <c r="CN53" s="197">
        <f t="shared" si="193"/>
        <v>0</v>
      </c>
      <c r="CO53" s="1006">
        <f t="shared" si="194"/>
        <v>0</v>
      </c>
      <c r="CP53" s="1007" t="e">
        <f t="shared" si="195"/>
        <v>#VALUE!</v>
      </c>
      <c r="CQ53" s="258" t="str">
        <f t="shared" si="270"/>
        <v>--</v>
      </c>
      <c r="CR53" s="258"/>
      <c r="CS53" s="197">
        <f t="shared" si="196"/>
        <v>0</v>
      </c>
      <c r="CT53" s="1006">
        <f t="shared" si="197"/>
        <v>0</v>
      </c>
      <c r="CU53" s="1007" t="e">
        <f t="shared" si="198"/>
        <v>#VALUE!</v>
      </c>
      <c r="CV53" s="258" t="str">
        <f t="shared" si="271"/>
        <v>--</v>
      </c>
      <c r="CW53" s="258"/>
      <c r="CX53" s="197">
        <f t="shared" si="199"/>
        <v>0</v>
      </c>
      <c r="CY53" s="1006">
        <f t="shared" si="200"/>
        <v>0</v>
      </c>
      <c r="CZ53" s="1007" t="e">
        <f t="shared" si="201"/>
        <v>#VALUE!</v>
      </c>
      <c r="DA53" s="258" t="str">
        <f t="shared" si="272"/>
        <v>--</v>
      </c>
      <c r="DB53" s="258"/>
      <c r="DC53" s="197">
        <f t="shared" si="202"/>
        <v>0</v>
      </c>
      <c r="DD53" s="1006">
        <f t="shared" si="203"/>
        <v>0</v>
      </c>
      <c r="DE53" s="1007" t="e">
        <f t="shared" si="204"/>
        <v>#VALUE!</v>
      </c>
      <c r="DF53" s="258" t="str">
        <f t="shared" si="273"/>
        <v>--</v>
      </c>
      <c r="DG53" s="258"/>
      <c r="DH53" s="197">
        <f t="shared" si="205"/>
        <v>0</v>
      </c>
      <c r="DI53" s="1006">
        <f t="shared" si="206"/>
        <v>0</v>
      </c>
      <c r="DJ53" s="1007" t="e">
        <f t="shared" si="207"/>
        <v>#VALUE!</v>
      </c>
      <c r="DK53" s="258" t="str">
        <f t="shared" si="274"/>
        <v>--</v>
      </c>
      <c r="DL53" s="258"/>
      <c r="DM53" s="197">
        <f t="shared" si="208"/>
        <v>0</v>
      </c>
      <c r="DN53" s="1006">
        <f t="shared" si="209"/>
        <v>0</v>
      </c>
      <c r="DO53" s="1007" t="e">
        <f t="shared" si="210"/>
        <v>#VALUE!</v>
      </c>
      <c r="DP53" s="258" t="str">
        <f t="shared" si="275"/>
        <v>--</v>
      </c>
      <c r="DQ53" s="258"/>
      <c r="DR53" s="197">
        <f t="shared" si="211"/>
        <v>0</v>
      </c>
      <c r="DS53" s="1006">
        <f t="shared" si="212"/>
        <v>0</v>
      </c>
      <c r="DT53" s="1007" t="e">
        <f t="shared" si="213"/>
        <v>#VALUE!</v>
      </c>
      <c r="DU53" s="258" t="str">
        <f t="shared" si="276"/>
        <v>--</v>
      </c>
      <c r="DV53" s="258"/>
      <c r="DW53" s="197">
        <f t="shared" si="214"/>
        <v>0</v>
      </c>
      <c r="DX53" s="1006">
        <f t="shared" si="215"/>
        <v>0</v>
      </c>
      <c r="DY53" s="1007" t="e">
        <f t="shared" si="216"/>
        <v>#VALUE!</v>
      </c>
      <c r="DZ53" s="258" t="str">
        <f t="shared" si="277"/>
        <v>--</v>
      </c>
      <c r="EA53" s="258"/>
      <c r="EB53" s="197">
        <f t="shared" si="217"/>
        <v>0</v>
      </c>
      <c r="EC53" s="1006">
        <f t="shared" si="218"/>
        <v>0</v>
      </c>
      <c r="ED53" s="1007" t="e">
        <f t="shared" si="219"/>
        <v>#VALUE!</v>
      </c>
      <c r="EE53" s="258" t="str">
        <f t="shared" si="278"/>
        <v>--</v>
      </c>
      <c r="EF53" s="258"/>
      <c r="EG53" s="197">
        <f t="shared" si="220"/>
        <v>0</v>
      </c>
      <c r="EH53" s="1006">
        <f t="shared" si="221"/>
        <v>0</v>
      </c>
      <c r="EI53" s="1007" t="e">
        <f t="shared" si="222"/>
        <v>#VALUE!</v>
      </c>
      <c r="EJ53" s="258" t="str">
        <f t="shared" si="279"/>
        <v>--</v>
      </c>
      <c r="EK53" s="258"/>
      <c r="EL53" s="197">
        <f t="shared" si="223"/>
        <v>0</v>
      </c>
      <c r="EM53" s="1006">
        <f t="shared" si="224"/>
        <v>0</v>
      </c>
      <c r="EN53" s="1007" t="e">
        <f t="shared" si="225"/>
        <v>#VALUE!</v>
      </c>
      <c r="EO53" s="258" t="str">
        <f t="shared" si="280"/>
        <v>--</v>
      </c>
      <c r="EP53" s="258"/>
      <c r="EQ53" s="197">
        <f t="shared" si="226"/>
        <v>0</v>
      </c>
      <c r="ER53" s="1006">
        <f t="shared" si="227"/>
        <v>0</v>
      </c>
      <c r="ES53" s="1007" t="e">
        <f t="shared" si="228"/>
        <v>#VALUE!</v>
      </c>
      <c r="ET53" s="258" t="str">
        <f t="shared" si="281"/>
        <v>--</v>
      </c>
      <c r="EU53" s="258"/>
      <c r="EV53" s="197">
        <f t="shared" si="229"/>
        <v>0</v>
      </c>
      <c r="EW53" s="1006">
        <f t="shared" si="230"/>
        <v>0</v>
      </c>
      <c r="EX53" s="1007" t="e">
        <f t="shared" si="231"/>
        <v>#VALUE!</v>
      </c>
      <c r="EY53" s="258" t="str">
        <f t="shared" si="282"/>
        <v>--</v>
      </c>
      <c r="EZ53" s="258"/>
      <c r="FA53" s="197">
        <f t="shared" si="232"/>
        <v>0</v>
      </c>
      <c r="FB53" s="1006">
        <f t="shared" si="233"/>
        <v>0</v>
      </c>
      <c r="FC53" s="1007" t="e">
        <f t="shared" si="234"/>
        <v>#VALUE!</v>
      </c>
      <c r="FD53" s="258" t="str">
        <f t="shared" si="283"/>
        <v>--</v>
      </c>
      <c r="FE53" s="258"/>
      <c r="FF53" s="197">
        <f t="shared" si="235"/>
        <v>0</v>
      </c>
      <c r="FG53" s="1006">
        <f t="shared" si="236"/>
        <v>0</v>
      </c>
      <c r="FH53" s="1007" t="e">
        <f t="shared" si="237"/>
        <v>#VALUE!</v>
      </c>
      <c r="FI53" s="258" t="str">
        <f t="shared" si="284"/>
        <v>--</v>
      </c>
      <c r="FJ53" s="258"/>
      <c r="FK53" s="197">
        <f t="shared" si="238"/>
        <v>0</v>
      </c>
      <c r="FL53" s="1006">
        <f t="shared" si="239"/>
        <v>0</v>
      </c>
      <c r="FM53" s="1007" t="e">
        <f t="shared" si="240"/>
        <v>#VALUE!</v>
      </c>
      <c r="FN53" s="258" t="str">
        <f t="shared" si="285"/>
        <v>--</v>
      </c>
      <c r="FO53" s="258"/>
      <c r="FP53" s="197">
        <f t="shared" si="241"/>
        <v>0</v>
      </c>
      <c r="FQ53" s="1006">
        <f t="shared" si="242"/>
        <v>0</v>
      </c>
      <c r="FR53" s="1007" t="e">
        <f t="shared" si="243"/>
        <v>#VALUE!</v>
      </c>
      <c r="FS53" s="258" t="str">
        <f t="shared" si="286"/>
        <v>--</v>
      </c>
      <c r="FT53" s="258"/>
      <c r="FU53" s="197">
        <f t="shared" si="244"/>
        <v>0</v>
      </c>
      <c r="FV53" s="1006">
        <f t="shared" si="245"/>
        <v>0</v>
      </c>
      <c r="FW53" s="1007" t="e">
        <f t="shared" si="246"/>
        <v>#VALUE!</v>
      </c>
      <c r="FX53" s="258" t="str">
        <f t="shared" si="287"/>
        <v>--</v>
      </c>
      <c r="FY53" s="258"/>
      <c r="FZ53" s="197">
        <f t="shared" si="247"/>
        <v>0</v>
      </c>
      <c r="GA53" s="1006">
        <f t="shared" si="248"/>
        <v>0</v>
      </c>
      <c r="GB53" s="1007" t="e">
        <f t="shared" si="249"/>
        <v>#VALUE!</v>
      </c>
      <c r="GC53" s="258" t="str">
        <f t="shared" si="288"/>
        <v>--</v>
      </c>
      <c r="GD53" s="258"/>
      <c r="GE53" s="197">
        <f t="shared" si="250"/>
        <v>0</v>
      </c>
      <c r="GF53" s="1006">
        <f t="shared" si="251"/>
        <v>0</v>
      </c>
      <c r="GG53" s="1007" t="e">
        <f t="shared" si="252"/>
        <v>#VALUE!</v>
      </c>
      <c r="GH53" s="258" t="str">
        <f t="shared" si="289"/>
        <v>--</v>
      </c>
      <c r="GI53" s="258"/>
      <c r="GJ53" s="197">
        <f t="shared" si="253"/>
        <v>0</v>
      </c>
      <c r="GK53" s="1340"/>
      <c r="GL53" s="164"/>
      <c r="GM53" s="164"/>
      <c r="GN53" s="164"/>
    </row>
    <row r="54" spans="1:196" ht="12.75" x14ac:dyDescent="0.2">
      <c r="A54" s="243">
        <f>'Item list'!A54</f>
        <v>0</v>
      </c>
      <c r="B54" s="243">
        <f>'Item list'!B54</f>
        <v>0</v>
      </c>
      <c r="C54" s="243">
        <f>'Item list'!C54</f>
        <v>0</v>
      </c>
      <c r="D54" s="989">
        <f>'Item list'!D54</f>
        <v>0</v>
      </c>
      <c r="E54" s="243">
        <f>'Item list'!E54</f>
        <v>0</v>
      </c>
      <c r="F54" s="243">
        <f>'Item list'!F54</f>
        <v>0</v>
      </c>
      <c r="G54" s="243">
        <f>'Item list'!G54</f>
        <v>0</v>
      </c>
      <c r="H54" s="1005" t="e">
        <f t="shared" si="144"/>
        <v>#REF!</v>
      </c>
      <c r="I54" s="243"/>
      <c r="J54" s="243"/>
      <c r="K54" s="243"/>
      <c r="L54" s="197">
        <f t="shared" si="145"/>
        <v>0</v>
      </c>
      <c r="M54" s="1006">
        <f t="shared" si="146"/>
        <v>0</v>
      </c>
      <c r="N54" s="1007" t="e">
        <f t="shared" si="147"/>
        <v>#VALUE!</v>
      </c>
      <c r="O54" s="258" t="str">
        <f t="shared" si="254"/>
        <v>--</v>
      </c>
      <c r="P54" s="258"/>
      <c r="Q54" s="197">
        <f t="shared" si="148"/>
        <v>0</v>
      </c>
      <c r="R54" s="1006">
        <f t="shared" si="149"/>
        <v>0</v>
      </c>
      <c r="S54" s="1007" t="e">
        <f t="shared" si="150"/>
        <v>#VALUE!</v>
      </c>
      <c r="T54" s="258" t="str">
        <f t="shared" si="255"/>
        <v>--</v>
      </c>
      <c r="U54" s="258"/>
      <c r="V54" s="197">
        <f t="shared" si="151"/>
        <v>0</v>
      </c>
      <c r="W54" s="1006">
        <f t="shared" si="152"/>
        <v>0</v>
      </c>
      <c r="X54" s="1007" t="e">
        <f t="shared" si="153"/>
        <v>#VALUE!</v>
      </c>
      <c r="Y54" s="258" t="str">
        <f t="shared" si="256"/>
        <v>--</v>
      </c>
      <c r="Z54" s="258"/>
      <c r="AA54" s="197">
        <f t="shared" si="154"/>
        <v>0</v>
      </c>
      <c r="AB54" s="1006">
        <f t="shared" si="155"/>
        <v>0</v>
      </c>
      <c r="AC54" s="1007" t="e">
        <f t="shared" si="156"/>
        <v>#VALUE!</v>
      </c>
      <c r="AD54" s="258" t="str">
        <f t="shared" si="257"/>
        <v>--</v>
      </c>
      <c r="AE54" s="258"/>
      <c r="AF54" s="197">
        <f t="shared" si="157"/>
        <v>0</v>
      </c>
      <c r="AG54" s="1006">
        <f t="shared" si="158"/>
        <v>0</v>
      </c>
      <c r="AH54" s="1007" t="e">
        <f t="shared" si="159"/>
        <v>#VALUE!</v>
      </c>
      <c r="AI54" s="258" t="str">
        <f t="shared" si="258"/>
        <v>--</v>
      </c>
      <c r="AJ54" s="258"/>
      <c r="AK54" s="197">
        <f t="shared" si="160"/>
        <v>0</v>
      </c>
      <c r="AL54" s="1006">
        <f t="shared" si="161"/>
        <v>0</v>
      </c>
      <c r="AM54" s="1007" t="e">
        <f t="shared" si="162"/>
        <v>#VALUE!</v>
      </c>
      <c r="AN54" s="258" t="str">
        <f t="shared" si="259"/>
        <v>--</v>
      </c>
      <c r="AO54" s="258"/>
      <c r="AP54" s="197">
        <f t="shared" si="163"/>
        <v>0</v>
      </c>
      <c r="AQ54" s="1006">
        <f t="shared" si="164"/>
        <v>0</v>
      </c>
      <c r="AR54" s="1007" t="e">
        <f t="shared" si="165"/>
        <v>#VALUE!</v>
      </c>
      <c r="AS54" s="258" t="str">
        <f t="shared" si="260"/>
        <v>--</v>
      </c>
      <c r="AT54" s="258"/>
      <c r="AU54" s="197">
        <f t="shared" si="166"/>
        <v>0</v>
      </c>
      <c r="AV54" s="1006">
        <f t="shared" si="167"/>
        <v>0</v>
      </c>
      <c r="AW54" s="1007" t="e">
        <f t="shared" si="168"/>
        <v>#VALUE!</v>
      </c>
      <c r="AX54" s="258" t="str">
        <f t="shared" si="261"/>
        <v>--</v>
      </c>
      <c r="AY54" s="258"/>
      <c r="AZ54" s="197">
        <f t="shared" si="169"/>
        <v>0</v>
      </c>
      <c r="BA54" s="1006">
        <f t="shared" si="170"/>
        <v>0</v>
      </c>
      <c r="BB54" s="1007" t="e">
        <f t="shared" si="171"/>
        <v>#VALUE!</v>
      </c>
      <c r="BC54" s="258" t="str">
        <f t="shared" si="262"/>
        <v>--</v>
      </c>
      <c r="BD54" s="258"/>
      <c r="BE54" s="197">
        <f t="shared" si="172"/>
        <v>0</v>
      </c>
      <c r="BF54" s="1006">
        <f t="shared" si="173"/>
        <v>0</v>
      </c>
      <c r="BG54" s="1007" t="e">
        <f t="shared" si="174"/>
        <v>#VALUE!</v>
      </c>
      <c r="BH54" s="258" t="str">
        <f t="shared" si="263"/>
        <v>--</v>
      </c>
      <c r="BI54" s="258"/>
      <c r="BJ54" s="197">
        <f t="shared" si="175"/>
        <v>0</v>
      </c>
      <c r="BK54" s="1006">
        <f t="shared" si="176"/>
        <v>0</v>
      </c>
      <c r="BL54" s="1007" t="e">
        <f t="shared" si="177"/>
        <v>#VALUE!</v>
      </c>
      <c r="BM54" s="258" t="str">
        <f t="shared" si="264"/>
        <v>--</v>
      </c>
      <c r="BN54" s="258"/>
      <c r="BO54" s="197">
        <f t="shared" si="178"/>
        <v>0</v>
      </c>
      <c r="BP54" s="1006">
        <f t="shared" si="179"/>
        <v>0</v>
      </c>
      <c r="BQ54" s="1007" t="e">
        <f t="shared" si="180"/>
        <v>#VALUE!</v>
      </c>
      <c r="BR54" s="258" t="str">
        <f t="shared" si="265"/>
        <v>--</v>
      </c>
      <c r="BS54" s="258"/>
      <c r="BT54" s="197">
        <f t="shared" si="181"/>
        <v>0</v>
      </c>
      <c r="BU54" s="1006">
        <f t="shared" si="182"/>
        <v>0</v>
      </c>
      <c r="BV54" s="1007" t="e">
        <f t="shared" si="183"/>
        <v>#VALUE!</v>
      </c>
      <c r="BW54" s="258" t="str">
        <f t="shared" si="266"/>
        <v>--</v>
      </c>
      <c r="BX54" s="258"/>
      <c r="BY54" s="197">
        <f t="shared" si="184"/>
        <v>0</v>
      </c>
      <c r="BZ54" s="1006">
        <f t="shared" si="185"/>
        <v>0</v>
      </c>
      <c r="CA54" s="1007" t="e">
        <f t="shared" si="186"/>
        <v>#VALUE!</v>
      </c>
      <c r="CB54" s="258" t="str">
        <f t="shared" si="267"/>
        <v>--</v>
      </c>
      <c r="CC54" s="258"/>
      <c r="CD54" s="197">
        <f t="shared" si="187"/>
        <v>0</v>
      </c>
      <c r="CE54" s="1006">
        <f t="shared" si="188"/>
        <v>0</v>
      </c>
      <c r="CF54" s="1007" t="e">
        <f t="shared" si="189"/>
        <v>#VALUE!</v>
      </c>
      <c r="CG54" s="258" t="str">
        <f t="shared" si="268"/>
        <v>--</v>
      </c>
      <c r="CH54" s="258"/>
      <c r="CI54" s="197">
        <f t="shared" si="190"/>
        <v>0</v>
      </c>
      <c r="CJ54" s="1006">
        <f t="shared" si="191"/>
        <v>0</v>
      </c>
      <c r="CK54" s="1007" t="e">
        <f t="shared" si="192"/>
        <v>#VALUE!</v>
      </c>
      <c r="CL54" s="258" t="str">
        <f t="shared" si="269"/>
        <v>--</v>
      </c>
      <c r="CM54" s="258"/>
      <c r="CN54" s="197">
        <f t="shared" si="193"/>
        <v>0</v>
      </c>
      <c r="CO54" s="1006">
        <f t="shared" si="194"/>
        <v>0</v>
      </c>
      <c r="CP54" s="1007" t="e">
        <f t="shared" si="195"/>
        <v>#VALUE!</v>
      </c>
      <c r="CQ54" s="258" t="str">
        <f t="shared" si="270"/>
        <v>--</v>
      </c>
      <c r="CR54" s="258"/>
      <c r="CS54" s="197">
        <f t="shared" si="196"/>
        <v>0</v>
      </c>
      <c r="CT54" s="1006">
        <f t="shared" si="197"/>
        <v>0</v>
      </c>
      <c r="CU54" s="1007" t="e">
        <f t="shared" si="198"/>
        <v>#VALUE!</v>
      </c>
      <c r="CV54" s="258" t="str">
        <f t="shared" si="271"/>
        <v>--</v>
      </c>
      <c r="CW54" s="258"/>
      <c r="CX54" s="197">
        <f t="shared" si="199"/>
        <v>0</v>
      </c>
      <c r="CY54" s="1006">
        <f t="shared" si="200"/>
        <v>0</v>
      </c>
      <c r="CZ54" s="1007" t="e">
        <f t="shared" si="201"/>
        <v>#VALUE!</v>
      </c>
      <c r="DA54" s="258" t="str">
        <f t="shared" si="272"/>
        <v>--</v>
      </c>
      <c r="DB54" s="258"/>
      <c r="DC54" s="197">
        <f t="shared" si="202"/>
        <v>0</v>
      </c>
      <c r="DD54" s="1006">
        <f t="shared" si="203"/>
        <v>0</v>
      </c>
      <c r="DE54" s="1007" t="e">
        <f t="shared" si="204"/>
        <v>#VALUE!</v>
      </c>
      <c r="DF54" s="258" t="str">
        <f t="shared" si="273"/>
        <v>--</v>
      </c>
      <c r="DG54" s="258"/>
      <c r="DH54" s="197">
        <f t="shared" si="205"/>
        <v>0</v>
      </c>
      <c r="DI54" s="1006">
        <f t="shared" si="206"/>
        <v>0</v>
      </c>
      <c r="DJ54" s="1007" t="e">
        <f t="shared" si="207"/>
        <v>#VALUE!</v>
      </c>
      <c r="DK54" s="258" t="str">
        <f t="shared" si="274"/>
        <v>--</v>
      </c>
      <c r="DL54" s="258"/>
      <c r="DM54" s="197">
        <f t="shared" si="208"/>
        <v>0</v>
      </c>
      <c r="DN54" s="1006">
        <f t="shared" si="209"/>
        <v>0</v>
      </c>
      <c r="DO54" s="1007" t="e">
        <f t="shared" si="210"/>
        <v>#VALUE!</v>
      </c>
      <c r="DP54" s="258" t="str">
        <f t="shared" si="275"/>
        <v>--</v>
      </c>
      <c r="DQ54" s="258"/>
      <c r="DR54" s="197">
        <f t="shared" si="211"/>
        <v>0</v>
      </c>
      <c r="DS54" s="1006">
        <f t="shared" si="212"/>
        <v>0</v>
      </c>
      <c r="DT54" s="1007" t="e">
        <f t="shared" si="213"/>
        <v>#VALUE!</v>
      </c>
      <c r="DU54" s="258" t="str">
        <f t="shared" si="276"/>
        <v>--</v>
      </c>
      <c r="DV54" s="258"/>
      <c r="DW54" s="197">
        <f t="shared" si="214"/>
        <v>0</v>
      </c>
      <c r="DX54" s="1006">
        <f t="shared" si="215"/>
        <v>0</v>
      </c>
      <c r="DY54" s="1007" t="e">
        <f t="shared" si="216"/>
        <v>#VALUE!</v>
      </c>
      <c r="DZ54" s="258" t="str">
        <f t="shared" si="277"/>
        <v>--</v>
      </c>
      <c r="EA54" s="258"/>
      <c r="EB54" s="197">
        <f t="shared" si="217"/>
        <v>0</v>
      </c>
      <c r="EC54" s="1006">
        <f t="shared" si="218"/>
        <v>0</v>
      </c>
      <c r="ED54" s="1007" t="e">
        <f t="shared" si="219"/>
        <v>#VALUE!</v>
      </c>
      <c r="EE54" s="258" t="str">
        <f t="shared" si="278"/>
        <v>--</v>
      </c>
      <c r="EF54" s="258"/>
      <c r="EG54" s="197">
        <f t="shared" si="220"/>
        <v>0</v>
      </c>
      <c r="EH54" s="1006">
        <f t="shared" si="221"/>
        <v>0</v>
      </c>
      <c r="EI54" s="1007" t="e">
        <f t="shared" si="222"/>
        <v>#VALUE!</v>
      </c>
      <c r="EJ54" s="258" t="str">
        <f t="shared" si="279"/>
        <v>--</v>
      </c>
      <c r="EK54" s="258"/>
      <c r="EL54" s="197">
        <f t="shared" si="223"/>
        <v>0</v>
      </c>
      <c r="EM54" s="1006">
        <f t="shared" si="224"/>
        <v>0</v>
      </c>
      <c r="EN54" s="1007" t="e">
        <f t="shared" si="225"/>
        <v>#VALUE!</v>
      </c>
      <c r="EO54" s="258" t="str">
        <f t="shared" si="280"/>
        <v>--</v>
      </c>
      <c r="EP54" s="258"/>
      <c r="EQ54" s="197">
        <f t="shared" si="226"/>
        <v>0</v>
      </c>
      <c r="ER54" s="1006">
        <f t="shared" si="227"/>
        <v>0</v>
      </c>
      <c r="ES54" s="1007" t="e">
        <f t="shared" si="228"/>
        <v>#VALUE!</v>
      </c>
      <c r="ET54" s="258" t="str">
        <f t="shared" si="281"/>
        <v>--</v>
      </c>
      <c r="EU54" s="258"/>
      <c r="EV54" s="197">
        <f t="shared" si="229"/>
        <v>0</v>
      </c>
      <c r="EW54" s="1006">
        <f t="shared" si="230"/>
        <v>0</v>
      </c>
      <c r="EX54" s="1007" t="e">
        <f t="shared" si="231"/>
        <v>#VALUE!</v>
      </c>
      <c r="EY54" s="258" t="str">
        <f t="shared" si="282"/>
        <v>--</v>
      </c>
      <c r="EZ54" s="258"/>
      <c r="FA54" s="197">
        <f t="shared" si="232"/>
        <v>0</v>
      </c>
      <c r="FB54" s="1006">
        <f t="shared" si="233"/>
        <v>0</v>
      </c>
      <c r="FC54" s="1007" t="e">
        <f t="shared" si="234"/>
        <v>#VALUE!</v>
      </c>
      <c r="FD54" s="258" t="str">
        <f t="shared" si="283"/>
        <v>--</v>
      </c>
      <c r="FE54" s="258"/>
      <c r="FF54" s="197">
        <f t="shared" si="235"/>
        <v>0</v>
      </c>
      <c r="FG54" s="1006">
        <f t="shared" si="236"/>
        <v>0</v>
      </c>
      <c r="FH54" s="1007" t="e">
        <f t="shared" si="237"/>
        <v>#VALUE!</v>
      </c>
      <c r="FI54" s="258" t="str">
        <f t="shared" si="284"/>
        <v>--</v>
      </c>
      <c r="FJ54" s="258"/>
      <c r="FK54" s="197">
        <f t="shared" si="238"/>
        <v>0</v>
      </c>
      <c r="FL54" s="1006">
        <f t="shared" si="239"/>
        <v>0</v>
      </c>
      <c r="FM54" s="1007" t="e">
        <f t="shared" si="240"/>
        <v>#VALUE!</v>
      </c>
      <c r="FN54" s="258" t="str">
        <f t="shared" si="285"/>
        <v>--</v>
      </c>
      <c r="FO54" s="258"/>
      <c r="FP54" s="197">
        <f t="shared" si="241"/>
        <v>0</v>
      </c>
      <c r="FQ54" s="1006">
        <f t="shared" si="242"/>
        <v>0</v>
      </c>
      <c r="FR54" s="1007" t="e">
        <f t="shared" si="243"/>
        <v>#VALUE!</v>
      </c>
      <c r="FS54" s="258" t="str">
        <f t="shared" si="286"/>
        <v>--</v>
      </c>
      <c r="FT54" s="258"/>
      <c r="FU54" s="197">
        <f t="shared" si="244"/>
        <v>0</v>
      </c>
      <c r="FV54" s="1006">
        <f t="shared" si="245"/>
        <v>0</v>
      </c>
      <c r="FW54" s="1007" t="e">
        <f t="shared" si="246"/>
        <v>#VALUE!</v>
      </c>
      <c r="FX54" s="258" t="str">
        <f t="shared" si="287"/>
        <v>--</v>
      </c>
      <c r="FY54" s="258"/>
      <c r="FZ54" s="197">
        <f t="shared" si="247"/>
        <v>0</v>
      </c>
      <c r="GA54" s="1006">
        <f t="shared" si="248"/>
        <v>0</v>
      </c>
      <c r="GB54" s="1007" t="e">
        <f t="shared" si="249"/>
        <v>#VALUE!</v>
      </c>
      <c r="GC54" s="258" t="str">
        <f t="shared" si="288"/>
        <v>--</v>
      </c>
      <c r="GD54" s="258"/>
      <c r="GE54" s="197">
        <f t="shared" si="250"/>
        <v>0</v>
      </c>
      <c r="GF54" s="1006">
        <f t="shared" si="251"/>
        <v>0</v>
      </c>
      <c r="GG54" s="1007" t="e">
        <f t="shared" si="252"/>
        <v>#VALUE!</v>
      </c>
      <c r="GH54" s="258" t="str">
        <f t="shared" si="289"/>
        <v>--</v>
      </c>
      <c r="GI54" s="258"/>
      <c r="GJ54" s="197">
        <f t="shared" si="253"/>
        <v>0</v>
      </c>
      <c r="GK54" s="1340"/>
      <c r="GL54" s="164"/>
      <c r="GM54" s="164"/>
      <c r="GN54" s="164"/>
    </row>
    <row r="55" spans="1:196" ht="12.75" x14ac:dyDescent="0.2">
      <c r="A55" s="243">
        <f>'Item list'!A55</f>
        <v>0</v>
      </c>
      <c r="B55" s="243">
        <f>'Item list'!B55</f>
        <v>0</v>
      </c>
      <c r="C55" s="243">
        <f>'Item list'!C55</f>
        <v>0</v>
      </c>
      <c r="D55" s="989">
        <f>'Item list'!D55</f>
        <v>0</v>
      </c>
      <c r="E55" s="243">
        <f>'Item list'!E55</f>
        <v>0</v>
      </c>
      <c r="F55" s="243">
        <f>'Item list'!F55</f>
        <v>0</v>
      </c>
      <c r="G55" s="243">
        <f>'Item list'!G55</f>
        <v>0</v>
      </c>
      <c r="H55" s="1005" t="e">
        <f t="shared" si="144"/>
        <v>#REF!</v>
      </c>
      <c r="I55" s="243"/>
      <c r="J55" s="243"/>
      <c r="K55" s="243"/>
      <c r="L55" s="197">
        <f t="shared" si="145"/>
        <v>0</v>
      </c>
      <c r="M55" s="1006">
        <f t="shared" si="146"/>
        <v>0</v>
      </c>
      <c r="N55" s="1007" t="e">
        <f t="shared" si="147"/>
        <v>#VALUE!</v>
      </c>
      <c r="O55" s="258" t="str">
        <f t="shared" si="254"/>
        <v>--</v>
      </c>
      <c r="P55" s="258"/>
      <c r="Q55" s="197">
        <f t="shared" si="148"/>
        <v>0</v>
      </c>
      <c r="R55" s="1006">
        <f t="shared" si="149"/>
        <v>0</v>
      </c>
      <c r="S55" s="1007" t="e">
        <f t="shared" si="150"/>
        <v>#VALUE!</v>
      </c>
      <c r="T55" s="258" t="str">
        <f t="shared" si="255"/>
        <v>--</v>
      </c>
      <c r="U55" s="258"/>
      <c r="V55" s="197">
        <f t="shared" si="151"/>
        <v>0</v>
      </c>
      <c r="W55" s="1006">
        <f t="shared" si="152"/>
        <v>0</v>
      </c>
      <c r="X55" s="1007" t="e">
        <f t="shared" si="153"/>
        <v>#VALUE!</v>
      </c>
      <c r="Y55" s="258" t="str">
        <f t="shared" si="256"/>
        <v>--</v>
      </c>
      <c r="Z55" s="258"/>
      <c r="AA55" s="197">
        <f t="shared" si="154"/>
        <v>0</v>
      </c>
      <c r="AB55" s="1006">
        <f t="shared" si="155"/>
        <v>0</v>
      </c>
      <c r="AC55" s="1007" t="e">
        <f t="shared" si="156"/>
        <v>#VALUE!</v>
      </c>
      <c r="AD55" s="258" t="str">
        <f t="shared" si="257"/>
        <v>--</v>
      </c>
      <c r="AE55" s="258"/>
      <c r="AF55" s="197">
        <f t="shared" si="157"/>
        <v>0</v>
      </c>
      <c r="AG55" s="1006">
        <f t="shared" si="158"/>
        <v>0</v>
      </c>
      <c r="AH55" s="1007" t="e">
        <f t="shared" si="159"/>
        <v>#VALUE!</v>
      </c>
      <c r="AI55" s="258" t="str">
        <f t="shared" si="258"/>
        <v>--</v>
      </c>
      <c r="AJ55" s="258"/>
      <c r="AK55" s="197">
        <f t="shared" si="160"/>
        <v>0</v>
      </c>
      <c r="AL55" s="1006">
        <f t="shared" si="161"/>
        <v>0</v>
      </c>
      <c r="AM55" s="1007" t="e">
        <f t="shared" si="162"/>
        <v>#VALUE!</v>
      </c>
      <c r="AN55" s="258" t="str">
        <f t="shared" si="259"/>
        <v>--</v>
      </c>
      <c r="AO55" s="258"/>
      <c r="AP55" s="197">
        <f t="shared" si="163"/>
        <v>0</v>
      </c>
      <c r="AQ55" s="1006">
        <f t="shared" si="164"/>
        <v>0</v>
      </c>
      <c r="AR55" s="1007" t="e">
        <f t="shared" si="165"/>
        <v>#VALUE!</v>
      </c>
      <c r="AS55" s="258" t="str">
        <f t="shared" si="260"/>
        <v>--</v>
      </c>
      <c r="AT55" s="258"/>
      <c r="AU55" s="197">
        <f t="shared" si="166"/>
        <v>0</v>
      </c>
      <c r="AV55" s="1006">
        <f t="shared" si="167"/>
        <v>0</v>
      </c>
      <c r="AW55" s="1007" t="e">
        <f t="shared" si="168"/>
        <v>#VALUE!</v>
      </c>
      <c r="AX55" s="258" t="str">
        <f t="shared" si="261"/>
        <v>--</v>
      </c>
      <c r="AY55" s="258"/>
      <c r="AZ55" s="197">
        <f t="shared" si="169"/>
        <v>0</v>
      </c>
      <c r="BA55" s="1006">
        <f t="shared" si="170"/>
        <v>0</v>
      </c>
      <c r="BB55" s="1007" t="e">
        <f t="shared" si="171"/>
        <v>#VALUE!</v>
      </c>
      <c r="BC55" s="258" t="str">
        <f t="shared" si="262"/>
        <v>--</v>
      </c>
      <c r="BD55" s="258"/>
      <c r="BE55" s="197">
        <f t="shared" si="172"/>
        <v>0</v>
      </c>
      <c r="BF55" s="1006">
        <f t="shared" si="173"/>
        <v>0</v>
      </c>
      <c r="BG55" s="1007" t="e">
        <f t="shared" si="174"/>
        <v>#VALUE!</v>
      </c>
      <c r="BH55" s="258" t="str">
        <f t="shared" si="263"/>
        <v>--</v>
      </c>
      <c r="BI55" s="258"/>
      <c r="BJ55" s="197">
        <f t="shared" si="175"/>
        <v>0</v>
      </c>
      <c r="BK55" s="1006">
        <f t="shared" si="176"/>
        <v>0</v>
      </c>
      <c r="BL55" s="1007" t="e">
        <f t="shared" si="177"/>
        <v>#VALUE!</v>
      </c>
      <c r="BM55" s="258" t="str">
        <f t="shared" si="264"/>
        <v>--</v>
      </c>
      <c r="BN55" s="258"/>
      <c r="BO55" s="197">
        <f t="shared" si="178"/>
        <v>0</v>
      </c>
      <c r="BP55" s="1006">
        <f t="shared" si="179"/>
        <v>0</v>
      </c>
      <c r="BQ55" s="1007" t="e">
        <f t="shared" si="180"/>
        <v>#VALUE!</v>
      </c>
      <c r="BR55" s="258" t="str">
        <f t="shared" si="265"/>
        <v>--</v>
      </c>
      <c r="BS55" s="258"/>
      <c r="BT55" s="197">
        <f t="shared" si="181"/>
        <v>0</v>
      </c>
      <c r="BU55" s="1006">
        <f t="shared" si="182"/>
        <v>0</v>
      </c>
      <c r="BV55" s="1007" t="e">
        <f t="shared" si="183"/>
        <v>#VALUE!</v>
      </c>
      <c r="BW55" s="258" t="str">
        <f t="shared" si="266"/>
        <v>--</v>
      </c>
      <c r="BX55" s="258"/>
      <c r="BY55" s="197">
        <f t="shared" si="184"/>
        <v>0</v>
      </c>
      <c r="BZ55" s="1006">
        <f t="shared" si="185"/>
        <v>0</v>
      </c>
      <c r="CA55" s="1007" t="e">
        <f t="shared" si="186"/>
        <v>#VALUE!</v>
      </c>
      <c r="CB55" s="258" t="str">
        <f t="shared" si="267"/>
        <v>--</v>
      </c>
      <c r="CC55" s="258"/>
      <c r="CD55" s="197">
        <f t="shared" si="187"/>
        <v>0</v>
      </c>
      <c r="CE55" s="1006">
        <f t="shared" si="188"/>
        <v>0</v>
      </c>
      <c r="CF55" s="1007" t="e">
        <f t="shared" si="189"/>
        <v>#VALUE!</v>
      </c>
      <c r="CG55" s="258" t="str">
        <f t="shared" si="268"/>
        <v>--</v>
      </c>
      <c r="CH55" s="258"/>
      <c r="CI55" s="197">
        <f t="shared" si="190"/>
        <v>0</v>
      </c>
      <c r="CJ55" s="1006">
        <f t="shared" si="191"/>
        <v>0</v>
      </c>
      <c r="CK55" s="1007" t="e">
        <f t="shared" si="192"/>
        <v>#VALUE!</v>
      </c>
      <c r="CL55" s="258" t="str">
        <f t="shared" si="269"/>
        <v>--</v>
      </c>
      <c r="CM55" s="258"/>
      <c r="CN55" s="197">
        <f t="shared" si="193"/>
        <v>0</v>
      </c>
      <c r="CO55" s="1006">
        <f t="shared" si="194"/>
        <v>0</v>
      </c>
      <c r="CP55" s="1007" t="e">
        <f t="shared" si="195"/>
        <v>#VALUE!</v>
      </c>
      <c r="CQ55" s="258" t="str">
        <f t="shared" si="270"/>
        <v>--</v>
      </c>
      <c r="CR55" s="258"/>
      <c r="CS55" s="197">
        <f t="shared" si="196"/>
        <v>0</v>
      </c>
      <c r="CT55" s="1006">
        <f t="shared" si="197"/>
        <v>0</v>
      </c>
      <c r="CU55" s="1007" t="e">
        <f t="shared" si="198"/>
        <v>#VALUE!</v>
      </c>
      <c r="CV55" s="258" t="str">
        <f t="shared" si="271"/>
        <v>--</v>
      </c>
      <c r="CW55" s="258"/>
      <c r="CX55" s="197">
        <f t="shared" si="199"/>
        <v>0</v>
      </c>
      <c r="CY55" s="1006">
        <f t="shared" si="200"/>
        <v>0</v>
      </c>
      <c r="CZ55" s="1007" t="e">
        <f t="shared" si="201"/>
        <v>#VALUE!</v>
      </c>
      <c r="DA55" s="258" t="str">
        <f t="shared" si="272"/>
        <v>--</v>
      </c>
      <c r="DB55" s="258"/>
      <c r="DC55" s="197">
        <f t="shared" si="202"/>
        <v>0</v>
      </c>
      <c r="DD55" s="1006">
        <f t="shared" si="203"/>
        <v>0</v>
      </c>
      <c r="DE55" s="1007" t="e">
        <f t="shared" si="204"/>
        <v>#VALUE!</v>
      </c>
      <c r="DF55" s="258" t="str">
        <f t="shared" si="273"/>
        <v>--</v>
      </c>
      <c r="DG55" s="258"/>
      <c r="DH55" s="197">
        <f t="shared" si="205"/>
        <v>0</v>
      </c>
      <c r="DI55" s="1006">
        <f t="shared" si="206"/>
        <v>0</v>
      </c>
      <c r="DJ55" s="1007" t="e">
        <f t="shared" si="207"/>
        <v>#VALUE!</v>
      </c>
      <c r="DK55" s="258" t="str">
        <f t="shared" si="274"/>
        <v>--</v>
      </c>
      <c r="DL55" s="258"/>
      <c r="DM55" s="197">
        <f t="shared" si="208"/>
        <v>0</v>
      </c>
      <c r="DN55" s="1006">
        <f t="shared" si="209"/>
        <v>0</v>
      </c>
      <c r="DO55" s="1007" t="e">
        <f t="shared" si="210"/>
        <v>#VALUE!</v>
      </c>
      <c r="DP55" s="258" t="str">
        <f t="shared" si="275"/>
        <v>--</v>
      </c>
      <c r="DQ55" s="258"/>
      <c r="DR55" s="197">
        <f t="shared" si="211"/>
        <v>0</v>
      </c>
      <c r="DS55" s="1006">
        <f t="shared" si="212"/>
        <v>0</v>
      </c>
      <c r="DT55" s="1007" t="e">
        <f t="shared" si="213"/>
        <v>#VALUE!</v>
      </c>
      <c r="DU55" s="258" t="str">
        <f t="shared" si="276"/>
        <v>--</v>
      </c>
      <c r="DV55" s="258"/>
      <c r="DW55" s="197">
        <f t="shared" si="214"/>
        <v>0</v>
      </c>
      <c r="DX55" s="1006">
        <f t="shared" si="215"/>
        <v>0</v>
      </c>
      <c r="DY55" s="1007" t="e">
        <f t="shared" si="216"/>
        <v>#VALUE!</v>
      </c>
      <c r="DZ55" s="258" t="str">
        <f t="shared" si="277"/>
        <v>--</v>
      </c>
      <c r="EA55" s="258"/>
      <c r="EB55" s="197">
        <f t="shared" si="217"/>
        <v>0</v>
      </c>
      <c r="EC55" s="1006">
        <f t="shared" si="218"/>
        <v>0</v>
      </c>
      <c r="ED55" s="1007" t="e">
        <f t="shared" si="219"/>
        <v>#VALUE!</v>
      </c>
      <c r="EE55" s="258" t="str">
        <f t="shared" si="278"/>
        <v>--</v>
      </c>
      <c r="EF55" s="258"/>
      <c r="EG55" s="197">
        <f t="shared" si="220"/>
        <v>0</v>
      </c>
      <c r="EH55" s="1006">
        <f t="shared" si="221"/>
        <v>0</v>
      </c>
      <c r="EI55" s="1007" t="e">
        <f t="shared" si="222"/>
        <v>#VALUE!</v>
      </c>
      <c r="EJ55" s="258" t="str">
        <f t="shared" si="279"/>
        <v>--</v>
      </c>
      <c r="EK55" s="258"/>
      <c r="EL55" s="197">
        <f t="shared" si="223"/>
        <v>0</v>
      </c>
      <c r="EM55" s="1006">
        <f t="shared" si="224"/>
        <v>0</v>
      </c>
      <c r="EN55" s="1007" t="e">
        <f t="shared" si="225"/>
        <v>#VALUE!</v>
      </c>
      <c r="EO55" s="258" t="str">
        <f t="shared" si="280"/>
        <v>--</v>
      </c>
      <c r="EP55" s="258"/>
      <c r="EQ55" s="197">
        <f t="shared" si="226"/>
        <v>0</v>
      </c>
      <c r="ER55" s="1006">
        <f t="shared" si="227"/>
        <v>0</v>
      </c>
      <c r="ES55" s="1007" t="e">
        <f t="shared" si="228"/>
        <v>#VALUE!</v>
      </c>
      <c r="ET55" s="258" t="str">
        <f t="shared" si="281"/>
        <v>--</v>
      </c>
      <c r="EU55" s="258"/>
      <c r="EV55" s="197">
        <f t="shared" si="229"/>
        <v>0</v>
      </c>
      <c r="EW55" s="1006">
        <f t="shared" si="230"/>
        <v>0</v>
      </c>
      <c r="EX55" s="1007" t="e">
        <f t="shared" si="231"/>
        <v>#VALUE!</v>
      </c>
      <c r="EY55" s="258" t="str">
        <f t="shared" si="282"/>
        <v>--</v>
      </c>
      <c r="EZ55" s="258"/>
      <c r="FA55" s="197">
        <f t="shared" si="232"/>
        <v>0</v>
      </c>
      <c r="FB55" s="1006">
        <f t="shared" si="233"/>
        <v>0</v>
      </c>
      <c r="FC55" s="1007" t="e">
        <f t="shared" si="234"/>
        <v>#VALUE!</v>
      </c>
      <c r="FD55" s="258" t="str">
        <f t="shared" si="283"/>
        <v>--</v>
      </c>
      <c r="FE55" s="258"/>
      <c r="FF55" s="197">
        <f t="shared" si="235"/>
        <v>0</v>
      </c>
      <c r="FG55" s="1006">
        <f t="shared" si="236"/>
        <v>0</v>
      </c>
      <c r="FH55" s="1007" t="e">
        <f t="shared" si="237"/>
        <v>#VALUE!</v>
      </c>
      <c r="FI55" s="258" t="str">
        <f t="shared" si="284"/>
        <v>--</v>
      </c>
      <c r="FJ55" s="258"/>
      <c r="FK55" s="197">
        <f t="shared" si="238"/>
        <v>0</v>
      </c>
      <c r="FL55" s="1006">
        <f t="shared" si="239"/>
        <v>0</v>
      </c>
      <c r="FM55" s="1007" t="e">
        <f t="shared" si="240"/>
        <v>#VALUE!</v>
      </c>
      <c r="FN55" s="258" t="str">
        <f t="shared" si="285"/>
        <v>--</v>
      </c>
      <c r="FO55" s="258"/>
      <c r="FP55" s="197">
        <f t="shared" si="241"/>
        <v>0</v>
      </c>
      <c r="FQ55" s="1006">
        <f t="shared" si="242"/>
        <v>0</v>
      </c>
      <c r="FR55" s="1007" t="e">
        <f t="shared" si="243"/>
        <v>#VALUE!</v>
      </c>
      <c r="FS55" s="258" t="str">
        <f t="shared" si="286"/>
        <v>--</v>
      </c>
      <c r="FT55" s="258"/>
      <c r="FU55" s="197">
        <f t="shared" si="244"/>
        <v>0</v>
      </c>
      <c r="FV55" s="1006">
        <f t="shared" si="245"/>
        <v>0</v>
      </c>
      <c r="FW55" s="1007" t="e">
        <f t="shared" si="246"/>
        <v>#VALUE!</v>
      </c>
      <c r="FX55" s="258" t="str">
        <f t="shared" si="287"/>
        <v>--</v>
      </c>
      <c r="FY55" s="258"/>
      <c r="FZ55" s="197">
        <f t="shared" si="247"/>
        <v>0</v>
      </c>
      <c r="GA55" s="1006">
        <f t="shared" si="248"/>
        <v>0</v>
      </c>
      <c r="GB55" s="1007" t="e">
        <f t="shared" si="249"/>
        <v>#VALUE!</v>
      </c>
      <c r="GC55" s="258" t="str">
        <f t="shared" si="288"/>
        <v>--</v>
      </c>
      <c r="GD55" s="258"/>
      <c r="GE55" s="197">
        <f t="shared" si="250"/>
        <v>0</v>
      </c>
      <c r="GF55" s="1006">
        <f t="shared" si="251"/>
        <v>0</v>
      </c>
      <c r="GG55" s="1007" t="e">
        <f t="shared" si="252"/>
        <v>#VALUE!</v>
      </c>
      <c r="GH55" s="258" t="str">
        <f t="shared" si="289"/>
        <v>--</v>
      </c>
      <c r="GI55" s="258"/>
      <c r="GJ55" s="197">
        <f t="shared" si="253"/>
        <v>0</v>
      </c>
      <c r="GK55" s="1340"/>
      <c r="GL55" s="164"/>
      <c r="GM55" s="164"/>
      <c r="GN55" s="164"/>
    </row>
    <row r="56" spans="1:196" ht="12.75" x14ac:dyDescent="0.2">
      <c r="A56" s="243">
        <f>'Item list'!A56</f>
        <v>0</v>
      </c>
      <c r="B56" s="243">
        <f>'Item list'!B56</f>
        <v>0</v>
      </c>
      <c r="C56" s="243">
        <f>'Item list'!C56</f>
        <v>0</v>
      </c>
      <c r="D56" s="989">
        <f>'Item list'!D56</f>
        <v>0</v>
      </c>
      <c r="E56" s="243">
        <f>'Item list'!E56</f>
        <v>0</v>
      </c>
      <c r="F56" s="243">
        <f>'Item list'!F56</f>
        <v>0</v>
      </c>
      <c r="G56" s="243">
        <f>'Item list'!G56</f>
        <v>0</v>
      </c>
      <c r="H56" s="1005" t="e">
        <f t="shared" si="144"/>
        <v>#REF!</v>
      </c>
      <c r="I56" s="243"/>
      <c r="J56" s="243"/>
      <c r="K56" s="243"/>
      <c r="L56" s="197">
        <f t="shared" si="145"/>
        <v>0</v>
      </c>
      <c r="M56" s="1006">
        <f t="shared" si="146"/>
        <v>0</v>
      </c>
      <c r="N56" s="1007" t="e">
        <f t="shared" si="147"/>
        <v>#VALUE!</v>
      </c>
      <c r="O56" s="258" t="str">
        <f t="shared" si="254"/>
        <v>--</v>
      </c>
      <c r="P56" s="258"/>
      <c r="Q56" s="197">
        <f t="shared" si="148"/>
        <v>0</v>
      </c>
      <c r="R56" s="1006">
        <f t="shared" si="149"/>
        <v>0</v>
      </c>
      <c r="S56" s="1007" t="e">
        <f t="shared" si="150"/>
        <v>#VALUE!</v>
      </c>
      <c r="T56" s="258" t="str">
        <f t="shared" si="255"/>
        <v>--</v>
      </c>
      <c r="U56" s="258"/>
      <c r="V56" s="197">
        <f t="shared" si="151"/>
        <v>0</v>
      </c>
      <c r="W56" s="1006">
        <f t="shared" si="152"/>
        <v>0</v>
      </c>
      <c r="X56" s="1007" t="e">
        <f t="shared" si="153"/>
        <v>#VALUE!</v>
      </c>
      <c r="Y56" s="258" t="str">
        <f t="shared" si="256"/>
        <v>--</v>
      </c>
      <c r="Z56" s="258"/>
      <c r="AA56" s="197">
        <f t="shared" si="154"/>
        <v>0</v>
      </c>
      <c r="AB56" s="1006">
        <f t="shared" si="155"/>
        <v>0</v>
      </c>
      <c r="AC56" s="1007" t="e">
        <f t="shared" si="156"/>
        <v>#VALUE!</v>
      </c>
      <c r="AD56" s="258" t="str">
        <f t="shared" si="257"/>
        <v>--</v>
      </c>
      <c r="AE56" s="258"/>
      <c r="AF56" s="197">
        <f t="shared" si="157"/>
        <v>0</v>
      </c>
      <c r="AG56" s="1006">
        <f t="shared" si="158"/>
        <v>0</v>
      </c>
      <c r="AH56" s="1007" t="e">
        <f t="shared" si="159"/>
        <v>#VALUE!</v>
      </c>
      <c r="AI56" s="258" t="str">
        <f t="shared" si="258"/>
        <v>--</v>
      </c>
      <c r="AJ56" s="258"/>
      <c r="AK56" s="197">
        <f t="shared" si="160"/>
        <v>0</v>
      </c>
      <c r="AL56" s="1006">
        <f t="shared" si="161"/>
        <v>0</v>
      </c>
      <c r="AM56" s="1007" t="e">
        <f t="shared" si="162"/>
        <v>#VALUE!</v>
      </c>
      <c r="AN56" s="258" t="str">
        <f t="shared" si="259"/>
        <v>--</v>
      </c>
      <c r="AO56" s="258"/>
      <c r="AP56" s="197">
        <f t="shared" si="163"/>
        <v>0</v>
      </c>
      <c r="AQ56" s="1006">
        <f t="shared" si="164"/>
        <v>0</v>
      </c>
      <c r="AR56" s="1007" t="e">
        <f t="shared" si="165"/>
        <v>#VALUE!</v>
      </c>
      <c r="AS56" s="258" t="str">
        <f t="shared" si="260"/>
        <v>--</v>
      </c>
      <c r="AT56" s="258"/>
      <c r="AU56" s="197">
        <f t="shared" si="166"/>
        <v>0</v>
      </c>
      <c r="AV56" s="1006">
        <f t="shared" si="167"/>
        <v>0</v>
      </c>
      <c r="AW56" s="1007" t="e">
        <f t="shared" si="168"/>
        <v>#VALUE!</v>
      </c>
      <c r="AX56" s="258" t="str">
        <f t="shared" si="261"/>
        <v>--</v>
      </c>
      <c r="AY56" s="258"/>
      <c r="AZ56" s="197">
        <f t="shared" si="169"/>
        <v>0</v>
      </c>
      <c r="BA56" s="1006">
        <f t="shared" si="170"/>
        <v>0</v>
      </c>
      <c r="BB56" s="1007" t="e">
        <f t="shared" si="171"/>
        <v>#VALUE!</v>
      </c>
      <c r="BC56" s="258" t="str">
        <f t="shared" si="262"/>
        <v>--</v>
      </c>
      <c r="BD56" s="258"/>
      <c r="BE56" s="197">
        <f t="shared" si="172"/>
        <v>0</v>
      </c>
      <c r="BF56" s="1006">
        <f t="shared" si="173"/>
        <v>0</v>
      </c>
      <c r="BG56" s="1007" t="e">
        <f t="shared" si="174"/>
        <v>#VALUE!</v>
      </c>
      <c r="BH56" s="258" t="str">
        <f t="shared" si="263"/>
        <v>--</v>
      </c>
      <c r="BI56" s="258"/>
      <c r="BJ56" s="197">
        <f t="shared" si="175"/>
        <v>0</v>
      </c>
      <c r="BK56" s="1006">
        <f t="shared" si="176"/>
        <v>0</v>
      </c>
      <c r="BL56" s="1007" t="e">
        <f t="shared" si="177"/>
        <v>#VALUE!</v>
      </c>
      <c r="BM56" s="258" t="str">
        <f t="shared" si="264"/>
        <v>--</v>
      </c>
      <c r="BN56" s="258"/>
      <c r="BO56" s="197">
        <f t="shared" si="178"/>
        <v>0</v>
      </c>
      <c r="BP56" s="1006">
        <f t="shared" si="179"/>
        <v>0</v>
      </c>
      <c r="BQ56" s="1007" t="e">
        <f t="shared" si="180"/>
        <v>#VALUE!</v>
      </c>
      <c r="BR56" s="258" t="str">
        <f t="shared" si="265"/>
        <v>--</v>
      </c>
      <c r="BS56" s="258"/>
      <c r="BT56" s="197">
        <f t="shared" si="181"/>
        <v>0</v>
      </c>
      <c r="BU56" s="1006">
        <f t="shared" si="182"/>
        <v>0</v>
      </c>
      <c r="BV56" s="1007" t="e">
        <f t="shared" si="183"/>
        <v>#VALUE!</v>
      </c>
      <c r="BW56" s="258" t="str">
        <f t="shared" si="266"/>
        <v>--</v>
      </c>
      <c r="BX56" s="258"/>
      <c r="BY56" s="197">
        <f t="shared" si="184"/>
        <v>0</v>
      </c>
      <c r="BZ56" s="1006">
        <f t="shared" si="185"/>
        <v>0</v>
      </c>
      <c r="CA56" s="1007" t="e">
        <f t="shared" si="186"/>
        <v>#VALUE!</v>
      </c>
      <c r="CB56" s="258" t="str">
        <f t="shared" si="267"/>
        <v>--</v>
      </c>
      <c r="CC56" s="258"/>
      <c r="CD56" s="197">
        <f t="shared" si="187"/>
        <v>0</v>
      </c>
      <c r="CE56" s="1006">
        <f t="shared" si="188"/>
        <v>0</v>
      </c>
      <c r="CF56" s="1007" t="e">
        <f t="shared" si="189"/>
        <v>#VALUE!</v>
      </c>
      <c r="CG56" s="258" t="str">
        <f t="shared" si="268"/>
        <v>--</v>
      </c>
      <c r="CH56" s="258"/>
      <c r="CI56" s="197">
        <f t="shared" si="190"/>
        <v>0</v>
      </c>
      <c r="CJ56" s="1006">
        <f t="shared" si="191"/>
        <v>0</v>
      </c>
      <c r="CK56" s="1007" t="e">
        <f t="shared" si="192"/>
        <v>#VALUE!</v>
      </c>
      <c r="CL56" s="258" t="str">
        <f t="shared" si="269"/>
        <v>--</v>
      </c>
      <c r="CM56" s="258"/>
      <c r="CN56" s="197">
        <f t="shared" si="193"/>
        <v>0</v>
      </c>
      <c r="CO56" s="1006">
        <f t="shared" si="194"/>
        <v>0</v>
      </c>
      <c r="CP56" s="1007" t="e">
        <f t="shared" si="195"/>
        <v>#VALUE!</v>
      </c>
      <c r="CQ56" s="258" t="str">
        <f t="shared" si="270"/>
        <v>--</v>
      </c>
      <c r="CR56" s="258"/>
      <c r="CS56" s="197">
        <f t="shared" si="196"/>
        <v>0</v>
      </c>
      <c r="CT56" s="1006">
        <f t="shared" si="197"/>
        <v>0</v>
      </c>
      <c r="CU56" s="1007" t="e">
        <f t="shared" si="198"/>
        <v>#VALUE!</v>
      </c>
      <c r="CV56" s="258" t="str">
        <f t="shared" si="271"/>
        <v>--</v>
      </c>
      <c r="CW56" s="258"/>
      <c r="CX56" s="197">
        <f t="shared" si="199"/>
        <v>0</v>
      </c>
      <c r="CY56" s="1006">
        <f t="shared" si="200"/>
        <v>0</v>
      </c>
      <c r="CZ56" s="1007" t="e">
        <f t="shared" si="201"/>
        <v>#VALUE!</v>
      </c>
      <c r="DA56" s="258" t="str">
        <f t="shared" si="272"/>
        <v>--</v>
      </c>
      <c r="DB56" s="258"/>
      <c r="DC56" s="197">
        <f t="shared" si="202"/>
        <v>0</v>
      </c>
      <c r="DD56" s="1006">
        <f t="shared" si="203"/>
        <v>0</v>
      </c>
      <c r="DE56" s="1007" t="e">
        <f t="shared" si="204"/>
        <v>#VALUE!</v>
      </c>
      <c r="DF56" s="258" t="str">
        <f t="shared" si="273"/>
        <v>--</v>
      </c>
      <c r="DG56" s="258"/>
      <c r="DH56" s="197">
        <f t="shared" si="205"/>
        <v>0</v>
      </c>
      <c r="DI56" s="1006">
        <f t="shared" si="206"/>
        <v>0</v>
      </c>
      <c r="DJ56" s="1007" t="e">
        <f t="shared" si="207"/>
        <v>#VALUE!</v>
      </c>
      <c r="DK56" s="258" t="str">
        <f t="shared" si="274"/>
        <v>--</v>
      </c>
      <c r="DL56" s="258"/>
      <c r="DM56" s="197">
        <f t="shared" si="208"/>
        <v>0</v>
      </c>
      <c r="DN56" s="1006">
        <f t="shared" si="209"/>
        <v>0</v>
      </c>
      <c r="DO56" s="1007" t="e">
        <f t="shared" si="210"/>
        <v>#VALUE!</v>
      </c>
      <c r="DP56" s="258" t="str">
        <f t="shared" si="275"/>
        <v>--</v>
      </c>
      <c r="DQ56" s="258"/>
      <c r="DR56" s="197">
        <f t="shared" si="211"/>
        <v>0</v>
      </c>
      <c r="DS56" s="1006">
        <f t="shared" si="212"/>
        <v>0</v>
      </c>
      <c r="DT56" s="1007" t="e">
        <f t="shared" si="213"/>
        <v>#VALUE!</v>
      </c>
      <c r="DU56" s="258" t="str">
        <f t="shared" si="276"/>
        <v>--</v>
      </c>
      <c r="DV56" s="258"/>
      <c r="DW56" s="197">
        <f t="shared" si="214"/>
        <v>0</v>
      </c>
      <c r="DX56" s="1006">
        <f t="shared" si="215"/>
        <v>0</v>
      </c>
      <c r="DY56" s="1007" t="e">
        <f t="shared" si="216"/>
        <v>#VALUE!</v>
      </c>
      <c r="DZ56" s="258" t="str">
        <f t="shared" si="277"/>
        <v>--</v>
      </c>
      <c r="EA56" s="258"/>
      <c r="EB56" s="197">
        <f t="shared" si="217"/>
        <v>0</v>
      </c>
      <c r="EC56" s="1006">
        <f t="shared" si="218"/>
        <v>0</v>
      </c>
      <c r="ED56" s="1007" t="e">
        <f t="shared" si="219"/>
        <v>#VALUE!</v>
      </c>
      <c r="EE56" s="258" t="str">
        <f t="shared" si="278"/>
        <v>--</v>
      </c>
      <c r="EF56" s="258"/>
      <c r="EG56" s="197">
        <f t="shared" si="220"/>
        <v>0</v>
      </c>
      <c r="EH56" s="1006">
        <f t="shared" si="221"/>
        <v>0</v>
      </c>
      <c r="EI56" s="1007" t="e">
        <f t="shared" si="222"/>
        <v>#VALUE!</v>
      </c>
      <c r="EJ56" s="258" t="str">
        <f t="shared" si="279"/>
        <v>--</v>
      </c>
      <c r="EK56" s="258"/>
      <c r="EL56" s="197">
        <f t="shared" si="223"/>
        <v>0</v>
      </c>
      <c r="EM56" s="1006">
        <f t="shared" si="224"/>
        <v>0</v>
      </c>
      <c r="EN56" s="1007" t="e">
        <f t="shared" si="225"/>
        <v>#VALUE!</v>
      </c>
      <c r="EO56" s="258" t="str">
        <f t="shared" si="280"/>
        <v>--</v>
      </c>
      <c r="EP56" s="258"/>
      <c r="EQ56" s="197">
        <f t="shared" si="226"/>
        <v>0</v>
      </c>
      <c r="ER56" s="1006">
        <f t="shared" si="227"/>
        <v>0</v>
      </c>
      <c r="ES56" s="1007" t="e">
        <f t="shared" si="228"/>
        <v>#VALUE!</v>
      </c>
      <c r="ET56" s="258" t="str">
        <f t="shared" si="281"/>
        <v>--</v>
      </c>
      <c r="EU56" s="258"/>
      <c r="EV56" s="197">
        <f t="shared" si="229"/>
        <v>0</v>
      </c>
      <c r="EW56" s="1006">
        <f t="shared" si="230"/>
        <v>0</v>
      </c>
      <c r="EX56" s="1007" t="e">
        <f t="shared" si="231"/>
        <v>#VALUE!</v>
      </c>
      <c r="EY56" s="258" t="str">
        <f t="shared" si="282"/>
        <v>--</v>
      </c>
      <c r="EZ56" s="258"/>
      <c r="FA56" s="197">
        <f t="shared" si="232"/>
        <v>0</v>
      </c>
      <c r="FB56" s="1006">
        <f t="shared" si="233"/>
        <v>0</v>
      </c>
      <c r="FC56" s="1007" t="e">
        <f t="shared" si="234"/>
        <v>#VALUE!</v>
      </c>
      <c r="FD56" s="258" t="str">
        <f t="shared" si="283"/>
        <v>--</v>
      </c>
      <c r="FE56" s="258"/>
      <c r="FF56" s="197">
        <f t="shared" si="235"/>
        <v>0</v>
      </c>
      <c r="FG56" s="1006">
        <f t="shared" si="236"/>
        <v>0</v>
      </c>
      <c r="FH56" s="1007" t="e">
        <f t="shared" si="237"/>
        <v>#VALUE!</v>
      </c>
      <c r="FI56" s="258" t="str">
        <f t="shared" si="284"/>
        <v>--</v>
      </c>
      <c r="FJ56" s="258"/>
      <c r="FK56" s="197">
        <f t="shared" si="238"/>
        <v>0</v>
      </c>
      <c r="FL56" s="1006">
        <f t="shared" si="239"/>
        <v>0</v>
      </c>
      <c r="FM56" s="1007" t="e">
        <f t="shared" si="240"/>
        <v>#VALUE!</v>
      </c>
      <c r="FN56" s="258" t="str">
        <f t="shared" si="285"/>
        <v>--</v>
      </c>
      <c r="FO56" s="258"/>
      <c r="FP56" s="197">
        <f t="shared" si="241"/>
        <v>0</v>
      </c>
      <c r="FQ56" s="1006">
        <f t="shared" si="242"/>
        <v>0</v>
      </c>
      <c r="FR56" s="1007" t="e">
        <f t="shared" si="243"/>
        <v>#VALUE!</v>
      </c>
      <c r="FS56" s="258" t="str">
        <f t="shared" si="286"/>
        <v>--</v>
      </c>
      <c r="FT56" s="258"/>
      <c r="FU56" s="197">
        <f t="shared" si="244"/>
        <v>0</v>
      </c>
      <c r="FV56" s="1006">
        <f t="shared" si="245"/>
        <v>0</v>
      </c>
      <c r="FW56" s="1007" t="e">
        <f t="shared" si="246"/>
        <v>#VALUE!</v>
      </c>
      <c r="FX56" s="258" t="str">
        <f t="shared" si="287"/>
        <v>--</v>
      </c>
      <c r="FY56" s="258"/>
      <c r="FZ56" s="197">
        <f t="shared" si="247"/>
        <v>0</v>
      </c>
      <c r="GA56" s="1006">
        <f t="shared" si="248"/>
        <v>0</v>
      </c>
      <c r="GB56" s="1007" t="e">
        <f t="shared" si="249"/>
        <v>#VALUE!</v>
      </c>
      <c r="GC56" s="258" t="str">
        <f t="shared" si="288"/>
        <v>--</v>
      </c>
      <c r="GD56" s="258"/>
      <c r="GE56" s="197">
        <f t="shared" si="250"/>
        <v>0</v>
      </c>
      <c r="GF56" s="1006">
        <f t="shared" si="251"/>
        <v>0</v>
      </c>
      <c r="GG56" s="1007" t="e">
        <f t="shared" si="252"/>
        <v>#VALUE!</v>
      </c>
      <c r="GH56" s="258" t="str">
        <f t="shared" si="289"/>
        <v>--</v>
      </c>
      <c r="GI56" s="258"/>
      <c r="GJ56" s="197">
        <f t="shared" si="253"/>
        <v>0</v>
      </c>
      <c r="GK56" s="1340"/>
      <c r="GL56" s="164"/>
      <c r="GM56" s="164"/>
      <c r="GN56" s="164"/>
    </row>
    <row r="57" spans="1:196" ht="12.75" x14ac:dyDescent="0.2">
      <c r="A57" s="243">
        <f>'Item list'!A57</f>
        <v>0</v>
      </c>
      <c r="B57" s="243">
        <f>'Item list'!B57</f>
        <v>0</v>
      </c>
      <c r="C57" s="243">
        <f>'Item list'!C57</f>
        <v>0</v>
      </c>
      <c r="D57" s="989">
        <f>'Item list'!D57</f>
        <v>0</v>
      </c>
      <c r="E57" s="243">
        <f>'Item list'!E57</f>
        <v>0</v>
      </c>
      <c r="F57" s="243">
        <f>'Item list'!F57</f>
        <v>0</v>
      </c>
      <c r="G57" s="243">
        <f>'Item list'!G57</f>
        <v>0</v>
      </c>
      <c r="H57" s="1005" t="e">
        <f t="shared" si="144"/>
        <v>#REF!</v>
      </c>
      <c r="I57" s="243"/>
      <c r="J57" s="243"/>
      <c r="K57" s="243"/>
      <c r="L57" s="197">
        <f t="shared" si="145"/>
        <v>0</v>
      </c>
      <c r="M57" s="1006">
        <f t="shared" si="146"/>
        <v>0</v>
      </c>
      <c r="N57" s="1007" t="e">
        <f t="shared" si="147"/>
        <v>#VALUE!</v>
      </c>
      <c r="O57" s="258" t="str">
        <f t="shared" si="254"/>
        <v>--</v>
      </c>
      <c r="P57" s="258"/>
      <c r="Q57" s="197">
        <f t="shared" si="148"/>
        <v>0</v>
      </c>
      <c r="R57" s="1006">
        <f t="shared" si="149"/>
        <v>0</v>
      </c>
      <c r="S57" s="1007" t="e">
        <f t="shared" si="150"/>
        <v>#VALUE!</v>
      </c>
      <c r="T57" s="258" t="str">
        <f t="shared" si="255"/>
        <v>--</v>
      </c>
      <c r="U57" s="258"/>
      <c r="V57" s="197">
        <f t="shared" si="151"/>
        <v>0</v>
      </c>
      <c r="W57" s="1006">
        <f t="shared" si="152"/>
        <v>0</v>
      </c>
      <c r="X57" s="1007" t="e">
        <f t="shared" si="153"/>
        <v>#VALUE!</v>
      </c>
      <c r="Y57" s="258" t="str">
        <f t="shared" si="256"/>
        <v>--</v>
      </c>
      <c r="Z57" s="258"/>
      <c r="AA57" s="197">
        <f t="shared" si="154"/>
        <v>0</v>
      </c>
      <c r="AB57" s="1006">
        <f t="shared" si="155"/>
        <v>0</v>
      </c>
      <c r="AC57" s="1007" t="e">
        <f t="shared" si="156"/>
        <v>#VALUE!</v>
      </c>
      <c r="AD57" s="258" t="str">
        <f t="shared" si="257"/>
        <v>--</v>
      </c>
      <c r="AE57" s="258"/>
      <c r="AF57" s="197">
        <f t="shared" si="157"/>
        <v>0</v>
      </c>
      <c r="AG57" s="1006">
        <f t="shared" si="158"/>
        <v>0</v>
      </c>
      <c r="AH57" s="1007" t="e">
        <f t="shared" si="159"/>
        <v>#VALUE!</v>
      </c>
      <c r="AI57" s="258" t="str">
        <f t="shared" si="258"/>
        <v>--</v>
      </c>
      <c r="AJ57" s="258"/>
      <c r="AK57" s="197">
        <f t="shared" si="160"/>
        <v>0</v>
      </c>
      <c r="AL57" s="1006">
        <f t="shared" si="161"/>
        <v>0</v>
      </c>
      <c r="AM57" s="1007" t="e">
        <f t="shared" si="162"/>
        <v>#VALUE!</v>
      </c>
      <c r="AN57" s="258" t="str">
        <f t="shared" si="259"/>
        <v>--</v>
      </c>
      <c r="AO57" s="258"/>
      <c r="AP57" s="197">
        <f t="shared" si="163"/>
        <v>0</v>
      </c>
      <c r="AQ57" s="1006">
        <f t="shared" si="164"/>
        <v>0</v>
      </c>
      <c r="AR57" s="1007" t="e">
        <f t="shared" si="165"/>
        <v>#VALUE!</v>
      </c>
      <c r="AS57" s="258" t="str">
        <f t="shared" si="260"/>
        <v>--</v>
      </c>
      <c r="AT57" s="258"/>
      <c r="AU57" s="197">
        <f t="shared" si="166"/>
        <v>0</v>
      </c>
      <c r="AV57" s="1006">
        <f t="shared" si="167"/>
        <v>0</v>
      </c>
      <c r="AW57" s="1007" t="e">
        <f t="shared" si="168"/>
        <v>#VALUE!</v>
      </c>
      <c r="AX57" s="258" t="str">
        <f t="shared" si="261"/>
        <v>--</v>
      </c>
      <c r="AY57" s="258"/>
      <c r="AZ57" s="197">
        <f t="shared" si="169"/>
        <v>0</v>
      </c>
      <c r="BA57" s="1006">
        <f t="shared" si="170"/>
        <v>0</v>
      </c>
      <c r="BB57" s="1007" t="e">
        <f t="shared" si="171"/>
        <v>#VALUE!</v>
      </c>
      <c r="BC57" s="258" t="str">
        <f t="shared" si="262"/>
        <v>--</v>
      </c>
      <c r="BD57" s="258"/>
      <c r="BE57" s="197">
        <f t="shared" si="172"/>
        <v>0</v>
      </c>
      <c r="BF57" s="1006">
        <f t="shared" si="173"/>
        <v>0</v>
      </c>
      <c r="BG57" s="1007" t="e">
        <f t="shared" si="174"/>
        <v>#VALUE!</v>
      </c>
      <c r="BH57" s="258" t="str">
        <f t="shared" si="263"/>
        <v>--</v>
      </c>
      <c r="BI57" s="258"/>
      <c r="BJ57" s="197">
        <f t="shared" si="175"/>
        <v>0</v>
      </c>
      <c r="BK57" s="1006">
        <f t="shared" si="176"/>
        <v>0</v>
      </c>
      <c r="BL57" s="1007" t="e">
        <f t="shared" si="177"/>
        <v>#VALUE!</v>
      </c>
      <c r="BM57" s="258" t="str">
        <f t="shared" si="264"/>
        <v>--</v>
      </c>
      <c r="BN57" s="258"/>
      <c r="BO57" s="197">
        <f t="shared" si="178"/>
        <v>0</v>
      </c>
      <c r="BP57" s="1006">
        <f t="shared" si="179"/>
        <v>0</v>
      </c>
      <c r="BQ57" s="1007" t="e">
        <f t="shared" si="180"/>
        <v>#VALUE!</v>
      </c>
      <c r="BR57" s="258" t="str">
        <f t="shared" si="265"/>
        <v>--</v>
      </c>
      <c r="BS57" s="258"/>
      <c r="BT57" s="197">
        <f t="shared" si="181"/>
        <v>0</v>
      </c>
      <c r="BU57" s="1006">
        <f t="shared" si="182"/>
        <v>0</v>
      </c>
      <c r="BV57" s="1007" t="e">
        <f t="shared" si="183"/>
        <v>#VALUE!</v>
      </c>
      <c r="BW57" s="258" t="str">
        <f t="shared" si="266"/>
        <v>--</v>
      </c>
      <c r="BX57" s="258"/>
      <c r="BY57" s="197">
        <f t="shared" si="184"/>
        <v>0</v>
      </c>
      <c r="BZ57" s="1006">
        <f t="shared" si="185"/>
        <v>0</v>
      </c>
      <c r="CA57" s="1007" t="e">
        <f t="shared" si="186"/>
        <v>#VALUE!</v>
      </c>
      <c r="CB57" s="258" t="str">
        <f t="shared" si="267"/>
        <v>--</v>
      </c>
      <c r="CC57" s="258"/>
      <c r="CD57" s="197">
        <f t="shared" si="187"/>
        <v>0</v>
      </c>
      <c r="CE57" s="1006">
        <f t="shared" si="188"/>
        <v>0</v>
      </c>
      <c r="CF57" s="1007" t="e">
        <f t="shared" si="189"/>
        <v>#VALUE!</v>
      </c>
      <c r="CG57" s="258" t="str">
        <f t="shared" si="268"/>
        <v>--</v>
      </c>
      <c r="CH57" s="258"/>
      <c r="CI57" s="197">
        <f t="shared" si="190"/>
        <v>0</v>
      </c>
      <c r="CJ57" s="1006">
        <f t="shared" si="191"/>
        <v>0</v>
      </c>
      <c r="CK57" s="1007" t="e">
        <f t="shared" si="192"/>
        <v>#VALUE!</v>
      </c>
      <c r="CL57" s="258" t="str">
        <f t="shared" si="269"/>
        <v>--</v>
      </c>
      <c r="CM57" s="258"/>
      <c r="CN57" s="197">
        <f t="shared" si="193"/>
        <v>0</v>
      </c>
      <c r="CO57" s="1006">
        <f t="shared" si="194"/>
        <v>0</v>
      </c>
      <c r="CP57" s="1007" t="e">
        <f t="shared" si="195"/>
        <v>#VALUE!</v>
      </c>
      <c r="CQ57" s="258" t="str">
        <f t="shared" si="270"/>
        <v>--</v>
      </c>
      <c r="CR57" s="258"/>
      <c r="CS57" s="197">
        <f t="shared" si="196"/>
        <v>0</v>
      </c>
      <c r="CT57" s="1006">
        <f t="shared" si="197"/>
        <v>0</v>
      </c>
      <c r="CU57" s="1007" t="e">
        <f t="shared" si="198"/>
        <v>#VALUE!</v>
      </c>
      <c r="CV57" s="258" t="str">
        <f t="shared" si="271"/>
        <v>--</v>
      </c>
      <c r="CW57" s="258"/>
      <c r="CX57" s="197">
        <f t="shared" si="199"/>
        <v>0</v>
      </c>
      <c r="CY57" s="1006">
        <f t="shared" si="200"/>
        <v>0</v>
      </c>
      <c r="CZ57" s="1007" t="e">
        <f t="shared" si="201"/>
        <v>#VALUE!</v>
      </c>
      <c r="DA57" s="258" t="str">
        <f t="shared" si="272"/>
        <v>--</v>
      </c>
      <c r="DB57" s="258"/>
      <c r="DC57" s="197">
        <f t="shared" si="202"/>
        <v>0</v>
      </c>
      <c r="DD57" s="1006">
        <f t="shared" si="203"/>
        <v>0</v>
      </c>
      <c r="DE57" s="1007" t="e">
        <f t="shared" si="204"/>
        <v>#VALUE!</v>
      </c>
      <c r="DF57" s="258" t="str">
        <f t="shared" si="273"/>
        <v>--</v>
      </c>
      <c r="DG57" s="258"/>
      <c r="DH57" s="197">
        <f t="shared" si="205"/>
        <v>0</v>
      </c>
      <c r="DI57" s="1006">
        <f t="shared" si="206"/>
        <v>0</v>
      </c>
      <c r="DJ57" s="1007" t="e">
        <f t="shared" si="207"/>
        <v>#VALUE!</v>
      </c>
      <c r="DK57" s="258" t="str">
        <f t="shared" si="274"/>
        <v>--</v>
      </c>
      <c r="DL57" s="258"/>
      <c r="DM57" s="197">
        <f t="shared" si="208"/>
        <v>0</v>
      </c>
      <c r="DN57" s="1006">
        <f t="shared" si="209"/>
        <v>0</v>
      </c>
      <c r="DO57" s="1007" t="e">
        <f t="shared" si="210"/>
        <v>#VALUE!</v>
      </c>
      <c r="DP57" s="258" t="str">
        <f t="shared" si="275"/>
        <v>--</v>
      </c>
      <c r="DQ57" s="258"/>
      <c r="DR57" s="197">
        <f t="shared" si="211"/>
        <v>0</v>
      </c>
      <c r="DS57" s="1006">
        <f t="shared" si="212"/>
        <v>0</v>
      </c>
      <c r="DT57" s="1007" t="e">
        <f t="shared" si="213"/>
        <v>#VALUE!</v>
      </c>
      <c r="DU57" s="258" t="str">
        <f t="shared" si="276"/>
        <v>--</v>
      </c>
      <c r="DV57" s="258"/>
      <c r="DW57" s="197">
        <f t="shared" si="214"/>
        <v>0</v>
      </c>
      <c r="DX57" s="1006">
        <f t="shared" si="215"/>
        <v>0</v>
      </c>
      <c r="DY57" s="1007" t="e">
        <f t="shared" si="216"/>
        <v>#VALUE!</v>
      </c>
      <c r="DZ57" s="258" t="str">
        <f t="shared" si="277"/>
        <v>--</v>
      </c>
      <c r="EA57" s="258"/>
      <c r="EB57" s="197">
        <f t="shared" si="217"/>
        <v>0</v>
      </c>
      <c r="EC57" s="1006">
        <f t="shared" si="218"/>
        <v>0</v>
      </c>
      <c r="ED57" s="1007" t="e">
        <f t="shared" si="219"/>
        <v>#VALUE!</v>
      </c>
      <c r="EE57" s="258" t="str">
        <f t="shared" si="278"/>
        <v>--</v>
      </c>
      <c r="EF57" s="258"/>
      <c r="EG57" s="197">
        <f t="shared" si="220"/>
        <v>0</v>
      </c>
      <c r="EH57" s="1006">
        <f t="shared" si="221"/>
        <v>0</v>
      </c>
      <c r="EI57" s="1007" t="e">
        <f t="shared" si="222"/>
        <v>#VALUE!</v>
      </c>
      <c r="EJ57" s="258" t="str">
        <f t="shared" si="279"/>
        <v>--</v>
      </c>
      <c r="EK57" s="258"/>
      <c r="EL57" s="197">
        <f t="shared" si="223"/>
        <v>0</v>
      </c>
      <c r="EM57" s="1006">
        <f t="shared" si="224"/>
        <v>0</v>
      </c>
      <c r="EN57" s="1007" t="e">
        <f t="shared" si="225"/>
        <v>#VALUE!</v>
      </c>
      <c r="EO57" s="258" t="str">
        <f t="shared" si="280"/>
        <v>--</v>
      </c>
      <c r="EP57" s="258"/>
      <c r="EQ57" s="197">
        <f t="shared" si="226"/>
        <v>0</v>
      </c>
      <c r="ER57" s="1006">
        <f t="shared" si="227"/>
        <v>0</v>
      </c>
      <c r="ES57" s="1007" t="e">
        <f t="shared" si="228"/>
        <v>#VALUE!</v>
      </c>
      <c r="ET57" s="258" t="str">
        <f t="shared" si="281"/>
        <v>--</v>
      </c>
      <c r="EU57" s="258"/>
      <c r="EV57" s="197">
        <f t="shared" si="229"/>
        <v>0</v>
      </c>
      <c r="EW57" s="1006">
        <f t="shared" si="230"/>
        <v>0</v>
      </c>
      <c r="EX57" s="1007" t="e">
        <f t="shared" si="231"/>
        <v>#VALUE!</v>
      </c>
      <c r="EY57" s="258" t="str">
        <f t="shared" si="282"/>
        <v>--</v>
      </c>
      <c r="EZ57" s="258"/>
      <c r="FA57" s="197">
        <f t="shared" si="232"/>
        <v>0</v>
      </c>
      <c r="FB57" s="1006">
        <f t="shared" si="233"/>
        <v>0</v>
      </c>
      <c r="FC57" s="1007" t="e">
        <f t="shared" si="234"/>
        <v>#VALUE!</v>
      </c>
      <c r="FD57" s="258" t="str">
        <f t="shared" si="283"/>
        <v>--</v>
      </c>
      <c r="FE57" s="258"/>
      <c r="FF57" s="197">
        <f t="shared" si="235"/>
        <v>0</v>
      </c>
      <c r="FG57" s="1006">
        <f t="shared" si="236"/>
        <v>0</v>
      </c>
      <c r="FH57" s="1007" t="e">
        <f t="shared" si="237"/>
        <v>#VALUE!</v>
      </c>
      <c r="FI57" s="258" t="str">
        <f t="shared" si="284"/>
        <v>--</v>
      </c>
      <c r="FJ57" s="258"/>
      <c r="FK57" s="197">
        <f t="shared" si="238"/>
        <v>0</v>
      </c>
      <c r="FL57" s="1006">
        <f t="shared" si="239"/>
        <v>0</v>
      </c>
      <c r="FM57" s="1007" t="e">
        <f t="shared" si="240"/>
        <v>#VALUE!</v>
      </c>
      <c r="FN57" s="258" t="str">
        <f t="shared" si="285"/>
        <v>--</v>
      </c>
      <c r="FO57" s="258"/>
      <c r="FP57" s="197">
        <f t="shared" si="241"/>
        <v>0</v>
      </c>
      <c r="FQ57" s="1006">
        <f t="shared" si="242"/>
        <v>0</v>
      </c>
      <c r="FR57" s="1007" t="e">
        <f t="shared" si="243"/>
        <v>#VALUE!</v>
      </c>
      <c r="FS57" s="258" t="str">
        <f t="shared" si="286"/>
        <v>--</v>
      </c>
      <c r="FT57" s="258"/>
      <c r="FU57" s="197">
        <f t="shared" si="244"/>
        <v>0</v>
      </c>
      <c r="FV57" s="1006">
        <f t="shared" si="245"/>
        <v>0</v>
      </c>
      <c r="FW57" s="1007" t="e">
        <f t="shared" si="246"/>
        <v>#VALUE!</v>
      </c>
      <c r="FX57" s="258" t="str">
        <f t="shared" si="287"/>
        <v>--</v>
      </c>
      <c r="FY57" s="258"/>
      <c r="FZ57" s="197">
        <f t="shared" si="247"/>
        <v>0</v>
      </c>
      <c r="GA57" s="1006">
        <f t="shared" si="248"/>
        <v>0</v>
      </c>
      <c r="GB57" s="1007" t="e">
        <f t="shared" si="249"/>
        <v>#VALUE!</v>
      </c>
      <c r="GC57" s="258" t="str">
        <f t="shared" si="288"/>
        <v>--</v>
      </c>
      <c r="GD57" s="258"/>
      <c r="GE57" s="197">
        <f t="shared" si="250"/>
        <v>0</v>
      </c>
      <c r="GF57" s="1006">
        <f t="shared" si="251"/>
        <v>0</v>
      </c>
      <c r="GG57" s="1007" t="e">
        <f t="shared" si="252"/>
        <v>#VALUE!</v>
      </c>
      <c r="GH57" s="258" t="str">
        <f t="shared" si="289"/>
        <v>--</v>
      </c>
      <c r="GI57" s="258"/>
      <c r="GJ57" s="197">
        <f t="shared" si="253"/>
        <v>0</v>
      </c>
      <c r="GK57" s="1340"/>
      <c r="GL57" s="164"/>
      <c r="GM57" s="164"/>
      <c r="GN57" s="164"/>
    </row>
    <row r="58" spans="1:196" ht="12.75" x14ac:dyDescent="0.2">
      <c r="A58" s="243">
        <f>'Item list'!A58</f>
        <v>0</v>
      </c>
      <c r="B58" s="243">
        <f>'Item list'!B58</f>
        <v>0</v>
      </c>
      <c r="C58" s="243">
        <f>'Item list'!C58</f>
        <v>0</v>
      </c>
      <c r="D58" s="989">
        <f>'Item list'!D58</f>
        <v>0</v>
      </c>
      <c r="E58" s="243">
        <f>'Item list'!E58</f>
        <v>0</v>
      </c>
      <c r="F58" s="243">
        <f>'Item list'!F58</f>
        <v>0</v>
      </c>
      <c r="G58" s="243">
        <f>'Item list'!G58</f>
        <v>0</v>
      </c>
      <c r="H58" s="1005" t="e">
        <f t="shared" si="144"/>
        <v>#REF!</v>
      </c>
      <c r="I58" s="243"/>
      <c r="J58" s="243"/>
      <c r="K58" s="243"/>
      <c r="L58" s="197">
        <f t="shared" si="145"/>
        <v>0</v>
      </c>
      <c r="M58" s="1006">
        <f t="shared" si="146"/>
        <v>0</v>
      </c>
      <c r="N58" s="1007" t="e">
        <f t="shared" si="147"/>
        <v>#VALUE!</v>
      </c>
      <c r="O58" s="258" t="str">
        <f t="shared" si="254"/>
        <v>--</v>
      </c>
      <c r="P58" s="258"/>
      <c r="Q58" s="197">
        <f t="shared" si="148"/>
        <v>0</v>
      </c>
      <c r="R58" s="1006">
        <f t="shared" si="149"/>
        <v>0</v>
      </c>
      <c r="S58" s="1007" t="e">
        <f t="shared" si="150"/>
        <v>#VALUE!</v>
      </c>
      <c r="T58" s="258" t="str">
        <f t="shared" si="255"/>
        <v>--</v>
      </c>
      <c r="U58" s="258"/>
      <c r="V58" s="197">
        <f t="shared" si="151"/>
        <v>0</v>
      </c>
      <c r="W58" s="1006">
        <f t="shared" si="152"/>
        <v>0</v>
      </c>
      <c r="X58" s="1007" t="e">
        <f t="shared" si="153"/>
        <v>#VALUE!</v>
      </c>
      <c r="Y58" s="258" t="str">
        <f t="shared" si="256"/>
        <v>--</v>
      </c>
      <c r="Z58" s="258"/>
      <c r="AA58" s="197">
        <f t="shared" si="154"/>
        <v>0</v>
      </c>
      <c r="AB58" s="1006">
        <f t="shared" si="155"/>
        <v>0</v>
      </c>
      <c r="AC58" s="1007" t="e">
        <f t="shared" si="156"/>
        <v>#VALUE!</v>
      </c>
      <c r="AD58" s="258" t="str">
        <f t="shared" si="257"/>
        <v>--</v>
      </c>
      <c r="AE58" s="258"/>
      <c r="AF58" s="197">
        <f t="shared" si="157"/>
        <v>0</v>
      </c>
      <c r="AG58" s="1006">
        <f t="shared" si="158"/>
        <v>0</v>
      </c>
      <c r="AH58" s="1007" t="e">
        <f t="shared" si="159"/>
        <v>#VALUE!</v>
      </c>
      <c r="AI58" s="258" t="str">
        <f t="shared" si="258"/>
        <v>--</v>
      </c>
      <c r="AJ58" s="258"/>
      <c r="AK58" s="197">
        <f t="shared" si="160"/>
        <v>0</v>
      </c>
      <c r="AL58" s="1006">
        <f t="shared" si="161"/>
        <v>0</v>
      </c>
      <c r="AM58" s="1007" t="e">
        <f t="shared" si="162"/>
        <v>#VALUE!</v>
      </c>
      <c r="AN58" s="258" t="str">
        <f t="shared" si="259"/>
        <v>--</v>
      </c>
      <c r="AO58" s="258"/>
      <c r="AP58" s="197">
        <f t="shared" si="163"/>
        <v>0</v>
      </c>
      <c r="AQ58" s="1006">
        <f t="shared" si="164"/>
        <v>0</v>
      </c>
      <c r="AR58" s="1007" t="e">
        <f t="shared" si="165"/>
        <v>#VALUE!</v>
      </c>
      <c r="AS58" s="258" t="str">
        <f t="shared" si="260"/>
        <v>--</v>
      </c>
      <c r="AT58" s="258"/>
      <c r="AU58" s="197">
        <f t="shared" si="166"/>
        <v>0</v>
      </c>
      <c r="AV58" s="1006">
        <f t="shared" si="167"/>
        <v>0</v>
      </c>
      <c r="AW58" s="1007" t="e">
        <f t="shared" si="168"/>
        <v>#VALUE!</v>
      </c>
      <c r="AX58" s="258" t="str">
        <f t="shared" si="261"/>
        <v>--</v>
      </c>
      <c r="AY58" s="258"/>
      <c r="AZ58" s="197">
        <f t="shared" si="169"/>
        <v>0</v>
      </c>
      <c r="BA58" s="1006">
        <f t="shared" si="170"/>
        <v>0</v>
      </c>
      <c r="BB58" s="1007" t="e">
        <f t="shared" si="171"/>
        <v>#VALUE!</v>
      </c>
      <c r="BC58" s="258" t="str">
        <f t="shared" si="262"/>
        <v>--</v>
      </c>
      <c r="BD58" s="258"/>
      <c r="BE58" s="197">
        <f t="shared" si="172"/>
        <v>0</v>
      </c>
      <c r="BF58" s="1006">
        <f t="shared" si="173"/>
        <v>0</v>
      </c>
      <c r="BG58" s="1007" t="e">
        <f t="shared" si="174"/>
        <v>#VALUE!</v>
      </c>
      <c r="BH58" s="258" t="str">
        <f t="shared" si="263"/>
        <v>--</v>
      </c>
      <c r="BI58" s="258"/>
      <c r="BJ58" s="197">
        <f t="shared" si="175"/>
        <v>0</v>
      </c>
      <c r="BK58" s="1006">
        <f t="shared" si="176"/>
        <v>0</v>
      </c>
      <c r="BL58" s="1007" t="e">
        <f t="shared" si="177"/>
        <v>#VALUE!</v>
      </c>
      <c r="BM58" s="258" t="str">
        <f t="shared" si="264"/>
        <v>--</v>
      </c>
      <c r="BN58" s="258"/>
      <c r="BO58" s="197">
        <f t="shared" si="178"/>
        <v>0</v>
      </c>
      <c r="BP58" s="1006">
        <f t="shared" si="179"/>
        <v>0</v>
      </c>
      <c r="BQ58" s="1007" t="e">
        <f t="shared" si="180"/>
        <v>#VALUE!</v>
      </c>
      <c r="BR58" s="258" t="str">
        <f t="shared" si="265"/>
        <v>--</v>
      </c>
      <c r="BS58" s="258"/>
      <c r="BT58" s="197">
        <f t="shared" si="181"/>
        <v>0</v>
      </c>
      <c r="BU58" s="1006">
        <f t="shared" si="182"/>
        <v>0</v>
      </c>
      <c r="BV58" s="1007" t="e">
        <f t="shared" si="183"/>
        <v>#VALUE!</v>
      </c>
      <c r="BW58" s="258" t="str">
        <f t="shared" si="266"/>
        <v>--</v>
      </c>
      <c r="BX58" s="258"/>
      <c r="BY58" s="197">
        <f t="shared" si="184"/>
        <v>0</v>
      </c>
      <c r="BZ58" s="1006">
        <f t="shared" si="185"/>
        <v>0</v>
      </c>
      <c r="CA58" s="1007" t="e">
        <f t="shared" si="186"/>
        <v>#VALUE!</v>
      </c>
      <c r="CB58" s="258" t="str">
        <f t="shared" si="267"/>
        <v>--</v>
      </c>
      <c r="CC58" s="258"/>
      <c r="CD58" s="197">
        <f t="shared" si="187"/>
        <v>0</v>
      </c>
      <c r="CE58" s="1006">
        <f t="shared" si="188"/>
        <v>0</v>
      </c>
      <c r="CF58" s="1007" t="e">
        <f t="shared" si="189"/>
        <v>#VALUE!</v>
      </c>
      <c r="CG58" s="258" t="str">
        <f t="shared" si="268"/>
        <v>--</v>
      </c>
      <c r="CH58" s="258"/>
      <c r="CI58" s="197">
        <f t="shared" si="190"/>
        <v>0</v>
      </c>
      <c r="CJ58" s="1006">
        <f t="shared" si="191"/>
        <v>0</v>
      </c>
      <c r="CK58" s="1007" t="e">
        <f t="shared" si="192"/>
        <v>#VALUE!</v>
      </c>
      <c r="CL58" s="258" t="str">
        <f t="shared" si="269"/>
        <v>--</v>
      </c>
      <c r="CM58" s="258"/>
      <c r="CN58" s="197">
        <f t="shared" si="193"/>
        <v>0</v>
      </c>
      <c r="CO58" s="1006">
        <f t="shared" si="194"/>
        <v>0</v>
      </c>
      <c r="CP58" s="1007" t="e">
        <f t="shared" si="195"/>
        <v>#VALUE!</v>
      </c>
      <c r="CQ58" s="258" t="str">
        <f t="shared" si="270"/>
        <v>--</v>
      </c>
      <c r="CR58" s="258"/>
      <c r="CS58" s="197">
        <f t="shared" si="196"/>
        <v>0</v>
      </c>
      <c r="CT58" s="1006">
        <f t="shared" si="197"/>
        <v>0</v>
      </c>
      <c r="CU58" s="1007" t="e">
        <f t="shared" si="198"/>
        <v>#VALUE!</v>
      </c>
      <c r="CV58" s="258" t="str">
        <f t="shared" si="271"/>
        <v>--</v>
      </c>
      <c r="CW58" s="258"/>
      <c r="CX58" s="197">
        <f t="shared" si="199"/>
        <v>0</v>
      </c>
      <c r="CY58" s="1006">
        <f t="shared" si="200"/>
        <v>0</v>
      </c>
      <c r="CZ58" s="1007" t="e">
        <f t="shared" si="201"/>
        <v>#VALUE!</v>
      </c>
      <c r="DA58" s="258" t="str">
        <f t="shared" si="272"/>
        <v>--</v>
      </c>
      <c r="DB58" s="258"/>
      <c r="DC58" s="197">
        <f t="shared" si="202"/>
        <v>0</v>
      </c>
      <c r="DD58" s="1006">
        <f t="shared" si="203"/>
        <v>0</v>
      </c>
      <c r="DE58" s="1007" t="e">
        <f t="shared" si="204"/>
        <v>#VALUE!</v>
      </c>
      <c r="DF58" s="258" t="str">
        <f t="shared" si="273"/>
        <v>--</v>
      </c>
      <c r="DG58" s="258"/>
      <c r="DH58" s="197">
        <f t="shared" si="205"/>
        <v>0</v>
      </c>
      <c r="DI58" s="1006">
        <f t="shared" si="206"/>
        <v>0</v>
      </c>
      <c r="DJ58" s="1007" t="e">
        <f t="shared" si="207"/>
        <v>#VALUE!</v>
      </c>
      <c r="DK58" s="258" t="str">
        <f t="shared" si="274"/>
        <v>--</v>
      </c>
      <c r="DL58" s="258"/>
      <c r="DM58" s="197">
        <f t="shared" si="208"/>
        <v>0</v>
      </c>
      <c r="DN58" s="1006">
        <f t="shared" si="209"/>
        <v>0</v>
      </c>
      <c r="DO58" s="1007" t="e">
        <f t="shared" si="210"/>
        <v>#VALUE!</v>
      </c>
      <c r="DP58" s="258" t="str">
        <f t="shared" si="275"/>
        <v>--</v>
      </c>
      <c r="DQ58" s="258"/>
      <c r="DR58" s="197">
        <f t="shared" si="211"/>
        <v>0</v>
      </c>
      <c r="DS58" s="1006">
        <f t="shared" si="212"/>
        <v>0</v>
      </c>
      <c r="DT58" s="1007" t="e">
        <f t="shared" si="213"/>
        <v>#VALUE!</v>
      </c>
      <c r="DU58" s="258" t="str">
        <f t="shared" si="276"/>
        <v>--</v>
      </c>
      <c r="DV58" s="258"/>
      <c r="DW58" s="197">
        <f t="shared" si="214"/>
        <v>0</v>
      </c>
      <c r="DX58" s="1006">
        <f t="shared" si="215"/>
        <v>0</v>
      </c>
      <c r="DY58" s="1007" t="e">
        <f t="shared" si="216"/>
        <v>#VALUE!</v>
      </c>
      <c r="DZ58" s="258" t="str">
        <f t="shared" si="277"/>
        <v>--</v>
      </c>
      <c r="EA58" s="258"/>
      <c r="EB58" s="197">
        <f t="shared" si="217"/>
        <v>0</v>
      </c>
      <c r="EC58" s="1006">
        <f t="shared" si="218"/>
        <v>0</v>
      </c>
      <c r="ED58" s="1007" t="e">
        <f t="shared" si="219"/>
        <v>#VALUE!</v>
      </c>
      <c r="EE58" s="258" t="str">
        <f t="shared" si="278"/>
        <v>--</v>
      </c>
      <c r="EF58" s="258"/>
      <c r="EG58" s="197">
        <f t="shared" si="220"/>
        <v>0</v>
      </c>
      <c r="EH58" s="1006">
        <f t="shared" si="221"/>
        <v>0</v>
      </c>
      <c r="EI58" s="1007" t="e">
        <f t="shared" si="222"/>
        <v>#VALUE!</v>
      </c>
      <c r="EJ58" s="258" t="str">
        <f t="shared" si="279"/>
        <v>--</v>
      </c>
      <c r="EK58" s="258"/>
      <c r="EL58" s="197">
        <f t="shared" si="223"/>
        <v>0</v>
      </c>
      <c r="EM58" s="1006">
        <f t="shared" si="224"/>
        <v>0</v>
      </c>
      <c r="EN58" s="1007" t="e">
        <f t="shared" si="225"/>
        <v>#VALUE!</v>
      </c>
      <c r="EO58" s="258" t="str">
        <f t="shared" si="280"/>
        <v>--</v>
      </c>
      <c r="EP58" s="258"/>
      <c r="EQ58" s="197">
        <f t="shared" si="226"/>
        <v>0</v>
      </c>
      <c r="ER58" s="1006">
        <f t="shared" si="227"/>
        <v>0</v>
      </c>
      <c r="ES58" s="1007" t="e">
        <f t="shared" si="228"/>
        <v>#VALUE!</v>
      </c>
      <c r="ET58" s="258" t="str">
        <f t="shared" si="281"/>
        <v>--</v>
      </c>
      <c r="EU58" s="258"/>
      <c r="EV58" s="197">
        <f t="shared" si="229"/>
        <v>0</v>
      </c>
      <c r="EW58" s="1006">
        <f t="shared" si="230"/>
        <v>0</v>
      </c>
      <c r="EX58" s="1007" t="e">
        <f t="shared" si="231"/>
        <v>#VALUE!</v>
      </c>
      <c r="EY58" s="258" t="str">
        <f t="shared" si="282"/>
        <v>--</v>
      </c>
      <c r="EZ58" s="258"/>
      <c r="FA58" s="197">
        <f t="shared" si="232"/>
        <v>0</v>
      </c>
      <c r="FB58" s="1006">
        <f t="shared" si="233"/>
        <v>0</v>
      </c>
      <c r="FC58" s="1007" t="e">
        <f t="shared" si="234"/>
        <v>#VALUE!</v>
      </c>
      <c r="FD58" s="258" t="str">
        <f t="shared" si="283"/>
        <v>--</v>
      </c>
      <c r="FE58" s="258"/>
      <c r="FF58" s="197">
        <f t="shared" si="235"/>
        <v>0</v>
      </c>
      <c r="FG58" s="1006">
        <f t="shared" si="236"/>
        <v>0</v>
      </c>
      <c r="FH58" s="1007" t="e">
        <f t="shared" si="237"/>
        <v>#VALUE!</v>
      </c>
      <c r="FI58" s="258" t="str">
        <f t="shared" si="284"/>
        <v>--</v>
      </c>
      <c r="FJ58" s="258"/>
      <c r="FK58" s="197">
        <f t="shared" si="238"/>
        <v>0</v>
      </c>
      <c r="FL58" s="1006">
        <f t="shared" si="239"/>
        <v>0</v>
      </c>
      <c r="FM58" s="1007" t="e">
        <f t="shared" si="240"/>
        <v>#VALUE!</v>
      </c>
      <c r="FN58" s="258" t="str">
        <f t="shared" si="285"/>
        <v>--</v>
      </c>
      <c r="FO58" s="258"/>
      <c r="FP58" s="197">
        <f t="shared" si="241"/>
        <v>0</v>
      </c>
      <c r="FQ58" s="1006">
        <f t="shared" si="242"/>
        <v>0</v>
      </c>
      <c r="FR58" s="1007" t="e">
        <f t="shared" si="243"/>
        <v>#VALUE!</v>
      </c>
      <c r="FS58" s="258" t="str">
        <f t="shared" si="286"/>
        <v>--</v>
      </c>
      <c r="FT58" s="258"/>
      <c r="FU58" s="197">
        <f t="shared" si="244"/>
        <v>0</v>
      </c>
      <c r="FV58" s="1006">
        <f t="shared" si="245"/>
        <v>0</v>
      </c>
      <c r="FW58" s="1007" t="e">
        <f t="shared" si="246"/>
        <v>#VALUE!</v>
      </c>
      <c r="FX58" s="258" t="str">
        <f t="shared" si="287"/>
        <v>--</v>
      </c>
      <c r="FY58" s="258"/>
      <c r="FZ58" s="197">
        <f t="shared" si="247"/>
        <v>0</v>
      </c>
      <c r="GA58" s="1006">
        <f t="shared" si="248"/>
        <v>0</v>
      </c>
      <c r="GB58" s="1007" t="e">
        <f t="shared" si="249"/>
        <v>#VALUE!</v>
      </c>
      <c r="GC58" s="258" t="str">
        <f t="shared" si="288"/>
        <v>--</v>
      </c>
      <c r="GD58" s="258"/>
      <c r="GE58" s="197">
        <f t="shared" si="250"/>
        <v>0</v>
      </c>
      <c r="GF58" s="1006">
        <f t="shared" si="251"/>
        <v>0</v>
      </c>
      <c r="GG58" s="1007" t="e">
        <f t="shared" si="252"/>
        <v>#VALUE!</v>
      </c>
      <c r="GH58" s="258" t="str">
        <f t="shared" si="289"/>
        <v>--</v>
      </c>
      <c r="GI58" s="258"/>
      <c r="GJ58" s="197">
        <f t="shared" si="253"/>
        <v>0</v>
      </c>
      <c r="GK58" s="1340"/>
      <c r="GL58" s="164"/>
      <c r="GM58" s="164"/>
      <c r="GN58" s="164"/>
    </row>
    <row r="59" spans="1:196" ht="12.75" x14ac:dyDescent="0.2">
      <c r="A59" s="243">
        <f>'Item list'!A59</f>
        <v>0</v>
      </c>
      <c r="B59" s="243">
        <f>'Item list'!B59</f>
        <v>0</v>
      </c>
      <c r="C59" s="243">
        <f>'Item list'!C59</f>
        <v>0</v>
      </c>
      <c r="D59" s="989">
        <f>'Item list'!D59</f>
        <v>0</v>
      </c>
      <c r="E59" s="243">
        <f>'Item list'!E59</f>
        <v>0</v>
      </c>
      <c r="F59" s="243">
        <f>'Item list'!F59</f>
        <v>0</v>
      </c>
      <c r="G59" s="243">
        <f>'Item list'!G59</f>
        <v>0</v>
      </c>
      <c r="H59" s="1005" t="e">
        <f t="shared" si="144"/>
        <v>#REF!</v>
      </c>
      <c r="I59" s="243"/>
      <c r="J59" s="243"/>
      <c r="K59" s="243"/>
      <c r="L59" s="197">
        <f t="shared" si="145"/>
        <v>0</v>
      </c>
      <c r="M59" s="1006">
        <f t="shared" si="146"/>
        <v>0</v>
      </c>
      <c r="N59" s="1007" t="e">
        <f t="shared" si="147"/>
        <v>#VALUE!</v>
      </c>
      <c r="O59" s="258" t="str">
        <f t="shared" si="254"/>
        <v>--</v>
      </c>
      <c r="P59" s="258"/>
      <c r="Q59" s="197">
        <f t="shared" si="148"/>
        <v>0</v>
      </c>
      <c r="R59" s="1006">
        <f t="shared" si="149"/>
        <v>0</v>
      </c>
      <c r="S59" s="1007" t="e">
        <f t="shared" si="150"/>
        <v>#VALUE!</v>
      </c>
      <c r="T59" s="258" t="str">
        <f t="shared" si="255"/>
        <v>--</v>
      </c>
      <c r="U59" s="258"/>
      <c r="V59" s="197">
        <f t="shared" si="151"/>
        <v>0</v>
      </c>
      <c r="W59" s="1006">
        <f t="shared" si="152"/>
        <v>0</v>
      </c>
      <c r="X59" s="1007" t="e">
        <f t="shared" si="153"/>
        <v>#VALUE!</v>
      </c>
      <c r="Y59" s="258" t="str">
        <f t="shared" si="256"/>
        <v>--</v>
      </c>
      <c r="Z59" s="258"/>
      <c r="AA59" s="197">
        <f t="shared" si="154"/>
        <v>0</v>
      </c>
      <c r="AB59" s="1006">
        <f t="shared" si="155"/>
        <v>0</v>
      </c>
      <c r="AC59" s="1007" t="e">
        <f t="shared" si="156"/>
        <v>#VALUE!</v>
      </c>
      <c r="AD59" s="258" t="str">
        <f t="shared" si="257"/>
        <v>--</v>
      </c>
      <c r="AE59" s="258"/>
      <c r="AF59" s="197">
        <f t="shared" si="157"/>
        <v>0</v>
      </c>
      <c r="AG59" s="1006">
        <f t="shared" si="158"/>
        <v>0</v>
      </c>
      <c r="AH59" s="1007" t="e">
        <f t="shared" si="159"/>
        <v>#VALUE!</v>
      </c>
      <c r="AI59" s="258" t="str">
        <f t="shared" si="258"/>
        <v>--</v>
      </c>
      <c r="AJ59" s="258"/>
      <c r="AK59" s="197">
        <f t="shared" si="160"/>
        <v>0</v>
      </c>
      <c r="AL59" s="1006">
        <f t="shared" si="161"/>
        <v>0</v>
      </c>
      <c r="AM59" s="1007" t="e">
        <f t="shared" si="162"/>
        <v>#VALUE!</v>
      </c>
      <c r="AN59" s="258" t="str">
        <f t="shared" si="259"/>
        <v>--</v>
      </c>
      <c r="AO59" s="258"/>
      <c r="AP59" s="197">
        <f t="shared" si="163"/>
        <v>0</v>
      </c>
      <c r="AQ59" s="1006">
        <f t="shared" si="164"/>
        <v>0</v>
      </c>
      <c r="AR59" s="1007" t="e">
        <f t="shared" si="165"/>
        <v>#VALUE!</v>
      </c>
      <c r="AS59" s="258" t="str">
        <f t="shared" si="260"/>
        <v>--</v>
      </c>
      <c r="AT59" s="258"/>
      <c r="AU59" s="197">
        <f t="shared" si="166"/>
        <v>0</v>
      </c>
      <c r="AV59" s="1006">
        <f t="shared" si="167"/>
        <v>0</v>
      </c>
      <c r="AW59" s="1007" t="e">
        <f t="shared" si="168"/>
        <v>#VALUE!</v>
      </c>
      <c r="AX59" s="258" t="str">
        <f t="shared" si="261"/>
        <v>--</v>
      </c>
      <c r="AY59" s="258"/>
      <c r="AZ59" s="197">
        <f t="shared" si="169"/>
        <v>0</v>
      </c>
      <c r="BA59" s="1006">
        <f t="shared" si="170"/>
        <v>0</v>
      </c>
      <c r="BB59" s="1007" t="e">
        <f t="shared" si="171"/>
        <v>#VALUE!</v>
      </c>
      <c r="BC59" s="258" t="str">
        <f t="shared" si="262"/>
        <v>--</v>
      </c>
      <c r="BD59" s="258"/>
      <c r="BE59" s="197">
        <f t="shared" si="172"/>
        <v>0</v>
      </c>
      <c r="BF59" s="1006">
        <f t="shared" si="173"/>
        <v>0</v>
      </c>
      <c r="BG59" s="1007" t="e">
        <f t="shared" si="174"/>
        <v>#VALUE!</v>
      </c>
      <c r="BH59" s="258" t="str">
        <f t="shared" si="263"/>
        <v>--</v>
      </c>
      <c r="BI59" s="258"/>
      <c r="BJ59" s="197">
        <f t="shared" si="175"/>
        <v>0</v>
      </c>
      <c r="BK59" s="1006">
        <f t="shared" si="176"/>
        <v>0</v>
      </c>
      <c r="BL59" s="1007" t="e">
        <f t="shared" si="177"/>
        <v>#VALUE!</v>
      </c>
      <c r="BM59" s="258" t="str">
        <f t="shared" si="264"/>
        <v>--</v>
      </c>
      <c r="BN59" s="258"/>
      <c r="BO59" s="197">
        <f t="shared" si="178"/>
        <v>0</v>
      </c>
      <c r="BP59" s="1006">
        <f t="shared" si="179"/>
        <v>0</v>
      </c>
      <c r="BQ59" s="1007" t="e">
        <f t="shared" si="180"/>
        <v>#VALUE!</v>
      </c>
      <c r="BR59" s="258" t="str">
        <f t="shared" si="265"/>
        <v>--</v>
      </c>
      <c r="BS59" s="258"/>
      <c r="BT59" s="197">
        <f t="shared" si="181"/>
        <v>0</v>
      </c>
      <c r="BU59" s="1006">
        <f t="shared" si="182"/>
        <v>0</v>
      </c>
      <c r="BV59" s="1007" t="e">
        <f t="shared" si="183"/>
        <v>#VALUE!</v>
      </c>
      <c r="BW59" s="258" t="str">
        <f t="shared" si="266"/>
        <v>--</v>
      </c>
      <c r="BX59" s="258"/>
      <c r="BY59" s="197">
        <f t="shared" si="184"/>
        <v>0</v>
      </c>
      <c r="BZ59" s="1006">
        <f t="shared" si="185"/>
        <v>0</v>
      </c>
      <c r="CA59" s="1007" t="e">
        <f t="shared" si="186"/>
        <v>#VALUE!</v>
      </c>
      <c r="CB59" s="258" t="str">
        <f t="shared" si="267"/>
        <v>--</v>
      </c>
      <c r="CC59" s="258"/>
      <c r="CD59" s="197">
        <f t="shared" si="187"/>
        <v>0</v>
      </c>
      <c r="CE59" s="1006">
        <f t="shared" si="188"/>
        <v>0</v>
      </c>
      <c r="CF59" s="1007" t="e">
        <f t="shared" si="189"/>
        <v>#VALUE!</v>
      </c>
      <c r="CG59" s="258" t="str">
        <f t="shared" si="268"/>
        <v>--</v>
      </c>
      <c r="CH59" s="258"/>
      <c r="CI59" s="197">
        <f t="shared" si="190"/>
        <v>0</v>
      </c>
      <c r="CJ59" s="1006">
        <f t="shared" si="191"/>
        <v>0</v>
      </c>
      <c r="CK59" s="1007" t="e">
        <f t="shared" si="192"/>
        <v>#VALUE!</v>
      </c>
      <c r="CL59" s="258" t="str">
        <f t="shared" si="269"/>
        <v>--</v>
      </c>
      <c r="CM59" s="258"/>
      <c r="CN59" s="197">
        <f t="shared" si="193"/>
        <v>0</v>
      </c>
      <c r="CO59" s="1006">
        <f t="shared" si="194"/>
        <v>0</v>
      </c>
      <c r="CP59" s="1007" t="e">
        <f t="shared" si="195"/>
        <v>#VALUE!</v>
      </c>
      <c r="CQ59" s="258" t="str">
        <f t="shared" si="270"/>
        <v>--</v>
      </c>
      <c r="CR59" s="258"/>
      <c r="CS59" s="197">
        <f t="shared" si="196"/>
        <v>0</v>
      </c>
      <c r="CT59" s="1006">
        <f t="shared" si="197"/>
        <v>0</v>
      </c>
      <c r="CU59" s="1007" t="e">
        <f t="shared" si="198"/>
        <v>#VALUE!</v>
      </c>
      <c r="CV59" s="258" t="str">
        <f t="shared" si="271"/>
        <v>--</v>
      </c>
      <c r="CW59" s="258"/>
      <c r="CX59" s="197">
        <f t="shared" si="199"/>
        <v>0</v>
      </c>
      <c r="CY59" s="1006">
        <f t="shared" si="200"/>
        <v>0</v>
      </c>
      <c r="CZ59" s="1007" t="e">
        <f t="shared" si="201"/>
        <v>#VALUE!</v>
      </c>
      <c r="DA59" s="258" t="str">
        <f t="shared" si="272"/>
        <v>--</v>
      </c>
      <c r="DB59" s="258"/>
      <c r="DC59" s="197">
        <f t="shared" si="202"/>
        <v>0</v>
      </c>
      <c r="DD59" s="1006">
        <f t="shared" si="203"/>
        <v>0</v>
      </c>
      <c r="DE59" s="1007" t="e">
        <f t="shared" si="204"/>
        <v>#VALUE!</v>
      </c>
      <c r="DF59" s="258" t="str">
        <f t="shared" si="273"/>
        <v>--</v>
      </c>
      <c r="DG59" s="258"/>
      <c r="DH59" s="197">
        <f t="shared" si="205"/>
        <v>0</v>
      </c>
      <c r="DI59" s="1006">
        <f t="shared" si="206"/>
        <v>0</v>
      </c>
      <c r="DJ59" s="1007" t="e">
        <f t="shared" si="207"/>
        <v>#VALUE!</v>
      </c>
      <c r="DK59" s="258" t="str">
        <f t="shared" si="274"/>
        <v>--</v>
      </c>
      <c r="DL59" s="258"/>
      <c r="DM59" s="197">
        <f t="shared" si="208"/>
        <v>0</v>
      </c>
      <c r="DN59" s="1006">
        <f t="shared" si="209"/>
        <v>0</v>
      </c>
      <c r="DO59" s="1007" t="e">
        <f t="shared" si="210"/>
        <v>#VALUE!</v>
      </c>
      <c r="DP59" s="258" t="str">
        <f t="shared" si="275"/>
        <v>--</v>
      </c>
      <c r="DQ59" s="258"/>
      <c r="DR59" s="197">
        <f t="shared" si="211"/>
        <v>0</v>
      </c>
      <c r="DS59" s="1006">
        <f t="shared" si="212"/>
        <v>0</v>
      </c>
      <c r="DT59" s="1007" t="e">
        <f t="shared" si="213"/>
        <v>#VALUE!</v>
      </c>
      <c r="DU59" s="258" t="str">
        <f t="shared" si="276"/>
        <v>--</v>
      </c>
      <c r="DV59" s="258"/>
      <c r="DW59" s="197">
        <f t="shared" si="214"/>
        <v>0</v>
      </c>
      <c r="DX59" s="1006">
        <f t="shared" si="215"/>
        <v>0</v>
      </c>
      <c r="DY59" s="1007" t="e">
        <f t="shared" si="216"/>
        <v>#VALUE!</v>
      </c>
      <c r="DZ59" s="258" t="str">
        <f t="shared" si="277"/>
        <v>--</v>
      </c>
      <c r="EA59" s="258"/>
      <c r="EB59" s="197">
        <f t="shared" si="217"/>
        <v>0</v>
      </c>
      <c r="EC59" s="1006">
        <f t="shared" si="218"/>
        <v>0</v>
      </c>
      <c r="ED59" s="1007" t="e">
        <f t="shared" si="219"/>
        <v>#VALUE!</v>
      </c>
      <c r="EE59" s="258" t="str">
        <f t="shared" si="278"/>
        <v>--</v>
      </c>
      <c r="EF59" s="258"/>
      <c r="EG59" s="197">
        <f t="shared" si="220"/>
        <v>0</v>
      </c>
      <c r="EH59" s="1006">
        <f t="shared" si="221"/>
        <v>0</v>
      </c>
      <c r="EI59" s="1007" t="e">
        <f t="shared" si="222"/>
        <v>#VALUE!</v>
      </c>
      <c r="EJ59" s="258" t="str">
        <f t="shared" si="279"/>
        <v>--</v>
      </c>
      <c r="EK59" s="258"/>
      <c r="EL59" s="197">
        <f t="shared" si="223"/>
        <v>0</v>
      </c>
      <c r="EM59" s="1006">
        <f t="shared" si="224"/>
        <v>0</v>
      </c>
      <c r="EN59" s="1007" t="e">
        <f t="shared" si="225"/>
        <v>#VALUE!</v>
      </c>
      <c r="EO59" s="258" t="str">
        <f t="shared" si="280"/>
        <v>--</v>
      </c>
      <c r="EP59" s="258"/>
      <c r="EQ59" s="197">
        <f t="shared" si="226"/>
        <v>0</v>
      </c>
      <c r="ER59" s="1006">
        <f t="shared" si="227"/>
        <v>0</v>
      </c>
      <c r="ES59" s="1007" t="e">
        <f t="shared" si="228"/>
        <v>#VALUE!</v>
      </c>
      <c r="ET59" s="258" t="str">
        <f t="shared" si="281"/>
        <v>--</v>
      </c>
      <c r="EU59" s="258"/>
      <c r="EV59" s="197">
        <f t="shared" si="229"/>
        <v>0</v>
      </c>
      <c r="EW59" s="1006">
        <f t="shared" si="230"/>
        <v>0</v>
      </c>
      <c r="EX59" s="1007" t="e">
        <f t="shared" si="231"/>
        <v>#VALUE!</v>
      </c>
      <c r="EY59" s="258" t="str">
        <f t="shared" si="282"/>
        <v>--</v>
      </c>
      <c r="EZ59" s="258"/>
      <c r="FA59" s="197">
        <f t="shared" si="232"/>
        <v>0</v>
      </c>
      <c r="FB59" s="1006">
        <f t="shared" si="233"/>
        <v>0</v>
      </c>
      <c r="FC59" s="1007" t="e">
        <f t="shared" si="234"/>
        <v>#VALUE!</v>
      </c>
      <c r="FD59" s="258" t="str">
        <f t="shared" si="283"/>
        <v>--</v>
      </c>
      <c r="FE59" s="258"/>
      <c r="FF59" s="197">
        <f t="shared" si="235"/>
        <v>0</v>
      </c>
      <c r="FG59" s="1006">
        <f t="shared" si="236"/>
        <v>0</v>
      </c>
      <c r="FH59" s="1007" t="e">
        <f t="shared" si="237"/>
        <v>#VALUE!</v>
      </c>
      <c r="FI59" s="258" t="str">
        <f t="shared" si="284"/>
        <v>--</v>
      </c>
      <c r="FJ59" s="258"/>
      <c r="FK59" s="197">
        <f t="shared" si="238"/>
        <v>0</v>
      </c>
      <c r="FL59" s="1006">
        <f t="shared" si="239"/>
        <v>0</v>
      </c>
      <c r="FM59" s="1007" t="e">
        <f t="shared" si="240"/>
        <v>#VALUE!</v>
      </c>
      <c r="FN59" s="258" t="str">
        <f t="shared" si="285"/>
        <v>--</v>
      </c>
      <c r="FO59" s="258"/>
      <c r="FP59" s="197">
        <f t="shared" si="241"/>
        <v>0</v>
      </c>
      <c r="FQ59" s="1006">
        <f t="shared" si="242"/>
        <v>0</v>
      </c>
      <c r="FR59" s="1007" t="e">
        <f t="shared" si="243"/>
        <v>#VALUE!</v>
      </c>
      <c r="FS59" s="258" t="str">
        <f t="shared" si="286"/>
        <v>--</v>
      </c>
      <c r="FT59" s="258"/>
      <c r="FU59" s="197">
        <f t="shared" si="244"/>
        <v>0</v>
      </c>
      <c r="FV59" s="1006">
        <f t="shared" si="245"/>
        <v>0</v>
      </c>
      <c r="FW59" s="1007" t="e">
        <f t="shared" si="246"/>
        <v>#VALUE!</v>
      </c>
      <c r="FX59" s="258" t="str">
        <f t="shared" si="287"/>
        <v>--</v>
      </c>
      <c r="FY59" s="258"/>
      <c r="FZ59" s="197">
        <f t="shared" si="247"/>
        <v>0</v>
      </c>
      <c r="GA59" s="1006">
        <f t="shared" si="248"/>
        <v>0</v>
      </c>
      <c r="GB59" s="1007" t="e">
        <f t="shared" si="249"/>
        <v>#VALUE!</v>
      </c>
      <c r="GC59" s="258" t="str">
        <f t="shared" si="288"/>
        <v>--</v>
      </c>
      <c r="GD59" s="258"/>
      <c r="GE59" s="197">
        <f t="shared" si="250"/>
        <v>0</v>
      </c>
      <c r="GF59" s="1006">
        <f t="shared" si="251"/>
        <v>0</v>
      </c>
      <c r="GG59" s="1007" t="e">
        <f t="shared" si="252"/>
        <v>#VALUE!</v>
      </c>
      <c r="GH59" s="258" t="str">
        <f t="shared" si="289"/>
        <v>--</v>
      </c>
      <c r="GI59" s="258"/>
      <c r="GJ59" s="197">
        <f t="shared" si="253"/>
        <v>0</v>
      </c>
      <c r="GK59" s="1340"/>
      <c r="GL59" s="164"/>
      <c r="GM59" s="164"/>
      <c r="GN59" s="164"/>
    </row>
    <row r="60" spans="1:196" ht="12.75" x14ac:dyDescent="0.2">
      <c r="A60" s="243">
        <f>'Item list'!A60</f>
        <v>0</v>
      </c>
      <c r="B60" s="243">
        <f>'Item list'!B60</f>
        <v>0</v>
      </c>
      <c r="C60" s="243">
        <f>'Item list'!C60</f>
        <v>0</v>
      </c>
      <c r="D60" s="989">
        <f>'Item list'!D60</f>
        <v>0</v>
      </c>
      <c r="E60" s="243">
        <f>'Item list'!E60</f>
        <v>0</v>
      </c>
      <c r="F60" s="243">
        <f>'Item list'!F60</f>
        <v>0</v>
      </c>
      <c r="G60" s="243">
        <f>'Item list'!G60</f>
        <v>0</v>
      </c>
      <c r="H60" s="1005" t="e">
        <f t="shared" si="144"/>
        <v>#REF!</v>
      </c>
      <c r="I60" s="243"/>
      <c r="J60" s="243"/>
      <c r="K60" s="243"/>
      <c r="L60" s="197">
        <f t="shared" si="145"/>
        <v>0</v>
      </c>
      <c r="M60" s="1006">
        <f t="shared" si="146"/>
        <v>0</v>
      </c>
      <c r="N60" s="1007" t="e">
        <f t="shared" si="147"/>
        <v>#VALUE!</v>
      </c>
      <c r="O60" s="258" t="str">
        <f t="shared" si="254"/>
        <v>--</v>
      </c>
      <c r="P60" s="258"/>
      <c r="Q60" s="197">
        <f t="shared" si="148"/>
        <v>0</v>
      </c>
      <c r="R60" s="1006">
        <f t="shared" si="149"/>
        <v>0</v>
      </c>
      <c r="S60" s="1007" t="e">
        <f t="shared" si="150"/>
        <v>#VALUE!</v>
      </c>
      <c r="T60" s="258" t="str">
        <f t="shared" si="255"/>
        <v>--</v>
      </c>
      <c r="U60" s="258"/>
      <c r="V60" s="197">
        <f t="shared" si="151"/>
        <v>0</v>
      </c>
      <c r="W60" s="1006">
        <f t="shared" si="152"/>
        <v>0</v>
      </c>
      <c r="X60" s="1007" t="e">
        <f t="shared" si="153"/>
        <v>#VALUE!</v>
      </c>
      <c r="Y60" s="258" t="str">
        <f t="shared" si="256"/>
        <v>--</v>
      </c>
      <c r="Z60" s="258"/>
      <c r="AA60" s="197">
        <f t="shared" si="154"/>
        <v>0</v>
      </c>
      <c r="AB60" s="1006">
        <f t="shared" si="155"/>
        <v>0</v>
      </c>
      <c r="AC60" s="1007" t="e">
        <f t="shared" si="156"/>
        <v>#VALUE!</v>
      </c>
      <c r="AD60" s="258" t="str">
        <f t="shared" si="257"/>
        <v>--</v>
      </c>
      <c r="AE60" s="258"/>
      <c r="AF60" s="197">
        <f t="shared" si="157"/>
        <v>0</v>
      </c>
      <c r="AG60" s="1006">
        <f t="shared" si="158"/>
        <v>0</v>
      </c>
      <c r="AH60" s="1007" t="e">
        <f t="shared" si="159"/>
        <v>#VALUE!</v>
      </c>
      <c r="AI60" s="258" t="str">
        <f t="shared" si="258"/>
        <v>--</v>
      </c>
      <c r="AJ60" s="258"/>
      <c r="AK60" s="197">
        <f t="shared" si="160"/>
        <v>0</v>
      </c>
      <c r="AL60" s="1006">
        <f t="shared" si="161"/>
        <v>0</v>
      </c>
      <c r="AM60" s="1007" t="e">
        <f t="shared" si="162"/>
        <v>#VALUE!</v>
      </c>
      <c r="AN60" s="258" t="str">
        <f t="shared" si="259"/>
        <v>--</v>
      </c>
      <c r="AO60" s="258"/>
      <c r="AP60" s="197">
        <f t="shared" si="163"/>
        <v>0</v>
      </c>
      <c r="AQ60" s="1006">
        <f t="shared" si="164"/>
        <v>0</v>
      </c>
      <c r="AR60" s="1007" t="e">
        <f t="shared" si="165"/>
        <v>#VALUE!</v>
      </c>
      <c r="AS60" s="258" t="str">
        <f t="shared" si="260"/>
        <v>--</v>
      </c>
      <c r="AT60" s="258"/>
      <c r="AU60" s="197">
        <f t="shared" si="166"/>
        <v>0</v>
      </c>
      <c r="AV60" s="1006">
        <f t="shared" si="167"/>
        <v>0</v>
      </c>
      <c r="AW60" s="1007" t="e">
        <f t="shared" si="168"/>
        <v>#VALUE!</v>
      </c>
      <c r="AX60" s="258" t="str">
        <f t="shared" si="261"/>
        <v>--</v>
      </c>
      <c r="AY60" s="258"/>
      <c r="AZ60" s="197">
        <f t="shared" si="169"/>
        <v>0</v>
      </c>
      <c r="BA60" s="1006">
        <f t="shared" si="170"/>
        <v>0</v>
      </c>
      <c r="BB60" s="1007" t="e">
        <f t="shared" si="171"/>
        <v>#VALUE!</v>
      </c>
      <c r="BC60" s="258" t="str">
        <f t="shared" si="262"/>
        <v>--</v>
      </c>
      <c r="BD60" s="258"/>
      <c r="BE60" s="197">
        <f t="shared" si="172"/>
        <v>0</v>
      </c>
      <c r="BF60" s="1006">
        <f t="shared" si="173"/>
        <v>0</v>
      </c>
      <c r="BG60" s="1007" t="e">
        <f t="shared" si="174"/>
        <v>#VALUE!</v>
      </c>
      <c r="BH60" s="258" t="str">
        <f t="shared" si="263"/>
        <v>--</v>
      </c>
      <c r="BI60" s="258"/>
      <c r="BJ60" s="197">
        <f t="shared" si="175"/>
        <v>0</v>
      </c>
      <c r="BK60" s="1006">
        <f t="shared" si="176"/>
        <v>0</v>
      </c>
      <c r="BL60" s="1007" t="e">
        <f t="shared" si="177"/>
        <v>#VALUE!</v>
      </c>
      <c r="BM60" s="258" t="str">
        <f t="shared" si="264"/>
        <v>--</v>
      </c>
      <c r="BN60" s="258"/>
      <c r="BO60" s="197">
        <f t="shared" si="178"/>
        <v>0</v>
      </c>
      <c r="BP60" s="1006">
        <f t="shared" si="179"/>
        <v>0</v>
      </c>
      <c r="BQ60" s="1007" t="e">
        <f t="shared" si="180"/>
        <v>#VALUE!</v>
      </c>
      <c r="BR60" s="258" t="str">
        <f t="shared" si="265"/>
        <v>--</v>
      </c>
      <c r="BS60" s="258"/>
      <c r="BT60" s="197">
        <f t="shared" si="181"/>
        <v>0</v>
      </c>
      <c r="BU60" s="1006">
        <f t="shared" si="182"/>
        <v>0</v>
      </c>
      <c r="BV60" s="1007" t="e">
        <f t="shared" si="183"/>
        <v>#VALUE!</v>
      </c>
      <c r="BW60" s="258" t="str">
        <f t="shared" si="266"/>
        <v>--</v>
      </c>
      <c r="BX60" s="258"/>
      <c r="BY60" s="197">
        <f t="shared" si="184"/>
        <v>0</v>
      </c>
      <c r="BZ60" s="1006">
        <f t="shared" si="185"/>
        <v>0</v>
      </c>
      <c r="CA60" s="1007" t="e">
        <f t="shared" si="186"/>
        <v>#VALUE!</v>
      </c>
      <c r="CB60" s="258" t="str">
        <f t="shared" si="267"/>
        <v>--</v>
      </c>
      <c r="CC60" s="258"/>
      <c r="CD60" s="197">
        <f t="shared" si="187"/>
        <v>0</v>
      </c>
      <c r="CE60" s="1006">
        <f t="shared" si="188"/>
        <v>0</v>
      </c>
      <c r="CF60" s="1007" t="e">
        <f t="shared" si="189"/>
        <v>#VALUE!</v>
      </c>
      <c r="CG60" s="258" t="str">
        <f t="shared" si="268"/>
        <v>--</v>
      </c>
      <c r="CH60" s="258"/>
      <c r="CI60" s="197">
        <f t="shared" si="190"/>
        <v>0</v>
      </c>
      <c r="CJ60" s="1006">
        <f t="shared" si="191"/>
        <v>0</v>
      </c>
      <c r="CK60" s="1007" t="e">
        <f t="shared" si="192"/>
        <v>#VALUE!</v>
      </c>
      <c r="CL60" s="258" t="str">
        <f t="shared" si="269"/>
        <v>--</v>
      </c>
      <c r="CM60" s="258"/>
      <c r="CN60" s="197">
        <f t="shared" si="193"/>
        <v>0</v>
      </c>
      <c r="CO60" s="1006">
        <f t="shared" si="194"/>
        <v>0</v>
      </c>
      <c r="CP60" s="1007" t="e">
        <f t="shared" si="195"/>
        <v>#VALUE!</v>
      </c>
      <c r="CQ60" s="258" t="str">
        <f t="shared" si="270"/>
        <v>--</v>
      </c>
      <c r="CR60" s="258"/>
      <c r="CS60" s="197">
        <f t="shared" si="196"/>
        <v>0</v>
      </c>
      <c r="CT60" s="1006">
        <f t="shared" si="197"/>
        <v>0</v>
      </c>
      <c r="CU60" s="1007" t="e">
        <f t="shared" si="198"/>
        <v>#VALUE!</v>
      </c>
      <c r="CV60" s="258" t="str">
        <f t="shared" si="271"/>
        <v>--</v>
      </c>
      <c r="CW60" s="258"/>
      <c r="CX60" s="197">
        <f t="shared" si="199"/>
        <v>0</v>
      </c>
      <c r="CY60" s="1006">
        <f t="shared" si="200"/>
        <v>0</v>
      </c>
      <c r="CZ60" s="1007" t="e">
        <f t="shared" si="201"/>
        <v>#VALUE!</v>
      </c>
      <c r="DA60" s="258" t="str">
        <f t="shared" si="272"/>
        <v>--</v>
      </c>
      <c r="DB60" s="258"/>
      <c r="DC60" s="197">
        <f t="shared" si="202"/>
        <v>0</v>
      </c>
      <c r="DD60" s="1006">
        <f t="shared" si="203"/>
        <v>0</v>
      </c>
      <c r="DE60" s="1007" t="e">
        <f t="shared" si="204"/>
        <v>#VALUE!</v>
      </c>
      <c r="DF60" s="258" t="str">
        <f t="shared" si="273"/>
        <v>--</v>
      </c>
      <c r="DG60" s="258"/>
      <c r="DH60" s="197">
        <f t="shared" si="205"/>
        <v>0</v>
      </c>
      <c r="DI60" s="1006">
        <f t="shared" si="206"/>
        <v>0</v>
      </c>
      <c r="DJ60" s="1007" t="e">
        <f t="shared" si="207"/>
        <v>#VALUE!</v>
      </c>
      <c r="DK60" s="258" t="str">
        <f t="shared" si="274"/>
        <v>--</v>
      </c>
      <c r="DL60" s="258"/>
      <c r="DM60" s="197">
        <f t="shared" si="208"/>
        <v>0</v>
      </c>
      <c r="DN60" s="1006">
        <f t="shared" si="209"/>
        <v>0</v>
      </c>
      <c r="DO60" s="1007" t="e">
        <f t="shared" si="210"/>
        <v>#VALUE!</v>
      </c>
      <c r="DP60" s="258" t="str">
        <f t="shared" si="275"/>
        <v>--</v>
      </c>
      <c r="DQ60" s="258"/>
      <c r="DR60" s="197">
        <f t="shared" si="211"/>
        <v>0</v>
      </c>
      <c r="DS60" s="1006">
        <f t="shared" si="212"/>
        <v>0</v>
      </c>
      <c r="DT60" s="1007" t="e">
        <f t="shared" si="213"/>
        <v>#VALUE!</v>
      </c>
      <c r="DU60" s="258" t="str">
        <f t="shared" si="276"/>
        <v>--</v>
      </c>
      <c r="DV60" s="258"/>
      <c r="DW60" s="197">
        <f t="shared" si="214"/>
        <v>0</v>
      </c>
      <c r="DX60" s="1006">
        <f t="shared" si="215"/>
        <v>0</v>
      </c>
      <c r="DY60" s="1007" t="e">
        <f t="shared" si="216"/>
        <v>#VALUE!</v>
      </c>
      <c r="DZ60" s="258" t="str">
        <f t="shared" si="277"/>
        <v>--</v>
      </c>
      <c r="EA60" s="258"/>
      <c r="EB60" s="197">
        <f t="shared" si="217"/>
        <v>0</v>
      </c>
      <c r="EC60" s="1006">
        <f t="shared" si="218"/>
        <v>0</v>
      </c>
      <c r="ED60" s="1007" t="e">
        <f t="shared" si="219"/>
        <v>#VALUE!</v>
      </c>
      <c r="EE60" s="258" t="str">
        <f t="shared" si="278"/>
        <v>--</v>
      </c>
      <c r="EF60" s="258"/>
      <c r="EG60" s="197">
        <f t="shared" si="220"/>
        <v>0</v>
      </c>
      <c r="EH60" s="1006">
        <f t="shared" si="221"/>
        <v>0</v>
      </c>
      <c r="EI60" s="1007" t="e">
        <f t="shared" si="222"/>
        <v>#VALUE!</v>
      </c>
      <c r="EJ60" s="258" t="str">
        <f t="shared" si="279"/>
        <v>--</v>
      </c>
      <c r="EK60" s="258"/>
      <c r="EL60" s="197">
        <f t="shared" si="223"/>
        <v>0</v>
      </c>
      <c r="EM60" s="1006">
        <f t="shared" si="224"/>
        <v>0</v>
      </c>
      <c r="EN60" s="1007" t="e">
        <f t="shared" si="225"/>
        <v>#VALUE!</v>
      </c>
      <c r="EO60" s="258" t="str">
        <f t="shared" si="280"/>
        <v>--</v>
      </c>
      <c r="EP60" s="258"/>
      <c r="EQ60" s="197">
        <f t="shared" si="226"/>
        <v>0</v>
      </c>
      <c r="ER60" s="1006">
        <f t="shared" si="227"/>
        <v>0</v>
      </c>
      <c r="ES60" s="1007" t="e">
        <f t="shared" si="228"/>
        <v>#VALUE!</v>
      </c>
      <c r="ET60" s="258" t="str">
        <f t="shared" si="281"/>
        <v>--</v>
      </c>
      <c r="EU60" s="258"/>
      <c r="EV60" s="197">
        <f t="shared" si="229"/>
        <v>0</v>
      </c>
      <c r="EW60" s="1006">
        <f t="shared" si="230"/>
        <v>0</v>
      </c>
      <c r="EX60" s="1007" t="e">
        <f t="shared" si="231"/>
        <v>#VALUE!</v>
      </c>
      <c r="EY60" s="258" t="str">
        <f t="shared" si="282"/>
        <v>--</v>
      </c>
      <c r="EZ60" s="258"/>
      <c r="FA60" s="197">
        <f t="shared" si="232"/>
        <v>0</v>
      </c>
      <c r="FB60" s="1006">
        <f t="shared" si="233"/>
        <v>0</v>
      </c>
      <c r="FC60" s="1007" t="e">
        <f t="shared" si="234"/>
        <v>#VALUE!</v>
      </c>
      <c r="FD60" s="258" t="str">
        <f t="shared" si="283"/>
        <v>--</v>
      </c>
      <c r="FE60" s="258"/>
      <c r="FF60" s="197">
        <f t="shared" si="235"/>
        <v>0</v>
      </c>
      <c r="FG60" s="1006">
        <f t="shared" si="236"/>
        <v>0</v>
      </c>
      <c r="FH60" s="1007" t="e">
        <f t="shared" si="237"/>
        <v>#VALUE!</v>
      </c>
      <c r="FI60" s="258" t="str">
        <f t="shared" si="284"/>
        <v>--</v>
      </c>
      <c r="FJ60" s="258"/>
      <c r="FK60" s="197">
        <f t="shared" si="238"/>
        <v>0</v>
      </c>
      <c r="FL60" s="1006">
        <f t="shared" si="239"/>
        <v>0</v>
      </c>
      <c r="FM60" s="1007" t="e">
        <f t="shared" si="240"/>
        <v>#VALUE!</v>
      </c>
      <c r="FN60" s="258" t="str">
        <f t="shared" si="285"/>
        <v>--</v>
      </c>
      <c r="FO60" s="258"/>
      <c r="FP60" s="197">
        <f t="shared" si="241"/>
        <v>0</v>
      </c>
      <c r="FQ60" s="1006">
        <f t="shared" si="242"/>
        <v>0</v>
      </c>
      <c r="FR60" s="1007" t="e">
        <f t="shared" si="243"/>
        <v>#VALUE!</v>
      </c>
      <c r="FS60" s="258" t="str">
        <f t="shared" si="286"/>
        <v>--</v>
      </c>
      <c r="FT60" s="258"/>
      <c r="FU60" s="197">
        <f t="shared" si="244"/>
        <v>0</v>
      </c>
      <c r="FV60" s="1006">
        <f t="shared" si="245"/>
        <v>0</v>
      </c>
      <c r="FW60" s="1007" t="e">
        <f t="shared" si="246"/>
        <v>#VALUE!</v>
      </c>
      <c r="FX60" s="258" t="str">
        <f t="shared" si="287"/>
        <v>--</v>
      </c>
      <c r="FY60" s="258"/>
      <c r="FZ60" s="197">
        <f t="shared" si="247"/>
        <v>0</v>
      </c>
      <c r="GA60" s="1006">
        <f t="shared" si="248"/>
        <v>0</v>
      </c>
      <c r="GB60" s="1007" t="e">
        <f t="shared" si="249"/>
        <v>#VALUE!</v>
      </c>
      <c r="GC60" s="258" t="str">
        <f t="shared" si="288"/>
        <v>--</v>
      </c>
      <c r="GD60" s="258"/>
      <c r="GE60" s="197">
        <f t="shared" si="250"/>
        <v>0</v>
      </c>
      <c r="GF60" s="1006">
        <f t="shared" si="251"/>
        <v>0</v>
      </c>
      <c r="GG60" s="1007" t="e">
        <f t="shared" si="252"/>
        <v>#VALUE!</v>
      </c>
      <c r="GH60" s="258" t="str">
        <f t="shared" si="289"/>
        <v>--</v>
      </c>
      <c r="GI60" s="258"/>
      <c r="GJ60" s="197">
        <f t="shared" si="253"/>
        <v>0</v>
      </c>
      <c r="GK60" s="1340"/>
      <c r="GL60" s="164"/>
      <c r="GM60" s="164"/>
      <c r="GN60" s="164"/>
    </row>
    <row r="61" spans="1:196" ht="12.75" x14ac:dyDescent="0.2">
      <c r="A61" s="243">
        <f>'Item list'!A61</f>
        <v>0</v>
      </c>
      <c r="B61" s="243">
        <f>'Item list'!B61</f>
        <v>0</v>
      </c>
      <c r="C61" s="243">
        <f>'Item list'!C61</f>
        <v>0</v>
      </c>
      <c r="D61" s="989">
        <f>'Item list'!D61</f>
        <v>0</v>
      </c>
      <c r="E61" s="243">
        <f>'Item list'!E61</f>
        <v>0</v>
      </c>
      <c r="F61" s="243">
        <f>'Item list'!F61</f>
        <v>0</v>
      </c>
      <c r="G61" s="243">
        <f>'Item list'!G61</f>
        <v>0</v>
      </c>
      <c r="H61" s="1005" t="e">
        <f t="shared" si="144"/>
        <v>#REF!</v>
      </c>
      <c r="I61" s="243"/>
      <c r="J61" s="243"/>
      <c r="K61" s="243"/>
      <c r="L61" s="197">
        <f t="shared" si="145"/>
        <v>0</v>
      </c>
      <c r="M61" s="1006">
        <f t="shared" si="146"/>
        <v>0</v>
      </c>
      <c r="N61" s="1007" t="e">
        <f t="shared" si="147"/>
        <v>#VALUE!</v>
      </c>
      <c r="O61" s="258" t="str">
        <f t="shared" si="254"/>
        <v>--</v>
      </c>
      <c r="P61" s="258"/>
      <c r="Q61" s="197">
        <f t="shared" si="148"/>
        <v>0</v>
      </c>
      <c r="R61" s="1006">
        <f t="shared" si="149"/>
        <v>0</v>
      </c>
      <c r="S61" s="1007" t="e">
        <f t="shared" si="150"/>
        <v>#VALUE!</v>
      </c>
      <c r="T61" s="258" t="str">
        <f t="shared" si="255"/>
        <v>--</v>
      </c>
      <c r="U61" s="258"/>
      <c r="V61" s="197">
        <f t="shared" si="151"/>
        <v>0</v>
      </c>
      <c r="W61" s="1006">
        <f t="shared" si="152"/>
        <v>0</v>
      </c>
      <c r="X61" s="1007" t="e">
        <f t="shared" si="153"/>
        <v>#VALUE!</v>
      </c>
      <c r="Y61" s="258" t="str">
        <f t="shared" si="256"/>
        <v>--</v>
      </c>
      <c r="Z61" s="258"/>
      <c r="AA61" s="197">
        <f t="shared" si="154"/>
        <v>0</v>
      </c>
      <c r="AB61" s="1006">
        <f t="shared" si="155"/>
        <v>0</v>
      </c>
      <c r="AC61" s="1007" t="e">
        <f t="shared" si="156"/>
        <v>#VALUE!</v>
      </c>
      <c r="AD61" s="258" t="str">
        <f t="shared" si="257"/>
        <v>--</v>
      </c>
      <c r="AE61" s="258"/>
      <c r="AF61" s="197">
        <f t="shared" si="157"/>
        <v>0</v>
      </c>
      <c r="AG61" s="1006">
        <f t="shared" si="158"/>
        <v>0</v>
      </c>
      <c r="AH61" s="1007" t="e">
        <f t="shared" si="159"/>
        <v>#VALUE!</v>
      </c>
      <c r="AI61" s="258" t="str">
        <f t="shared" si="258"/>
        <v>--</v>
      </c>
      <c r="AJ61" s="258"/>
      <c r="AK61" s="197">
        <f t="shared" si="160"/>
        <v>0</v>
      </c>
      <c r="AL61" s="1006">
        <f t="shared" si="161"/>
        <v>0</v>
      </c>
      <c r="AM61" s="1007" t="e">
        <f t="shared" si="162"/>
        <v>#VALUE!</v>
      </c>
      <c r="AN61" s="258" t="str">
        <f t="shared" si="259"/>
        <v>--</v>
      </c>
      <c r="AO61" s="258"/>
      <c r="AP61" s="197">
        <f t="shared" si="163"/>
        <v>0</v>
      </c>
      <c r="AQ61" s="1006">
        <f t="shared" si="164"/>
        <v>0</v>
      </c>
      <c r="AR61" s="1007" t="e">
        <f t="shared" si="165"/>
        <v>#VALUE!</v>
      </c>
      <c r="AS61" s="258" t="str">
        <f t="shared" si="260"/>
        <v>--</v>
      </c>
      <c r="AT61" s="258"/>
      <c r="AU61" s="197">
        <f t="shared" si="166"/>
        <v>0</v>
      </c>
      <c r="AV61" s="1006">
        <f t="shared" si="167"/>
        <v>0</v>
      </c>
      <c r="AW61" s="1007" t="e">
        <f t="shared" si="168"/>
        <v>#VALUE!</v>
      </c>
      <c r="AX61" s="258" t="str">
        <f t="shared" si="261"/>
        <v>--</v>
      </c>
      <c r="AY61" s="258"/>
      <c r="AZ61" s="197">
        <f t="shared" si="169"/>
        <v>0</v>
      </c>
      <c r="BA61" s="1006">
        <f t="shared" si="170"/>
        <v>0</v>
      </c>
      <c r="BB61" s="1007" t="e">
        <f t="shared" si="171"/>
        <v>#VALUE!</v>
      </c>
      <c r="BC61" s="258" t="str">
        <f t="shared" si="262"/>
        <v>--</v>
      </c>
      <c r="BD61" s="258"/>
      <c r="BE61" s="197">
        <f t="shared" si="172"/>
        <v>0</v>
      </c>
      <c r="BF61" s="1006">
        <f t="shared" si="173"/>
        <v>0</v>
      </c>
      <c r="BG61" s="1007" t="e">
        <f t="shared" si="174"/>
        <v>#VALUE!</v>
      </c>
      <c r="BH61" s="258" t="str">
        <f t="shared" si="263"/>
        <v>--</v>
      </c>
      <c r="BI61" s="258"/>
      <c r="BJ61" s="197">
        <f t="shared" si="175"/>
        <v>0</v>
      </c>
      <c r="BK61" s="1006">
        <f t="shared" si="176"/>
        <v>0</v>
      </c>
      <c r="BL61" s="1007" t="e">
        <f t="shared" si="177"/>
        <v>#VALUE!</v>
      </c>
      <c r="BM61" s="258" t="str">
        <f t="shared" si="264"/>
        <v>--</v>
      </c>
      <c r="BN61" s="258"/>
      <c r="BO61" s="197">
        <f t="shared" si="178"/>
        <v>0</v>
      </c>
      <c r="BP61" s="1006">
        <f t="shared" si="179"/>
        <v>0</v>
      </c>
      <c r="BQ61" s="1007" t="e">
        <f t="shared" si="180"/>
        <v>#VALUE!</v>
      </c>
      <c r="BR61" s="258" t="str">
        <f t="shared" si="265"/>
        <v>--</v>
      </c>
      <c r="BS61" s="258"/>
      <c r="BT61" s="197">
        <f t="shared" si="181"/>
        <v>0</v>
      </c>
      <c r="BU61" s="1006">
        <f t="shared" si="182"/>
        <v>0</v>
      </c>
      <c r="BV61" s="1007" t="e">
        <f t="shared" si="183"/>
        <v>#VALUE!</v>
      </c>
      <c r="BW61" s="258" t="str">
        <f t="shared" si="266"/>
        <v>--</v>
      </c>
      <c r="BX61" s="258"/>
      <c r="BY61" s="197">
        <f t="shared" si="184"/>
        <v>0</v>
      </c>
      <c r="BZ61" s="1006">
        <f t="shared" si="185"/>
        <v>0</v>
      </c>
      <c r="CA61" s="1007" t="e">
        <f t="shared" si="186"/>
        <v>#VALUE!</v>
      </c>
      <c r="CB61" s="258" t="str">
        <f t="shared" si="267"/>
        <v>--</v>
      </c>
      <c r="CC61" s="258"/>
      <c r="CD61" s="197">
        <f t="shared" si="187"/>
        <v>0</v>
      </c>
      <c r="CE61" s="1006">
        <f t="shared" si="188"/>
        <v>0</v>
      </c>
      <c r="CF61" s="1007" t="e">
        <f t="shared" si="189"/>
        <v>#VALUE!</v>
      </c>
      <c r="CG61" s="258" t="str">
        <f t="shared" si="268"/>
        <v>--</v>
      </c>
      <c r="CH61" s="258"/>
      <c r="CI61" s="197">
        <f t="shared" si="190"/>
        <v>0</v>
      </c>
      <c r="CJ61" s="1006">
        <f t="shared" si="191"/>
        <v>0</v>
      </c>
      <c r="CK61" s="1007" t="e">
        <f t="shared" si="192"/>
        <v>#VALUE!</v>
      </c>
      <c r="CL61" s="258" t="str">
        <f t="shared" si="269"/>
        <v>--</v>
      </c>
      <c r="CM61" s="258"/>
      <c r="CN61" s="197">
        <f t="shared" si="193"/>
        <v>0</v>
      </c>
      <c r="CO61" s="1006">
        <f t="shared" si="194"/>
        <v>0</v>
      </c>
      <c r="CP61" s="1007" t="e">
        <f t="shared" si="195"/>
        <v>#VALUE!</v>
      </c>
      <c r="CQ61" s="258" t="str">
        <f t="shared" si="270"/>
        <v>--</v>
      </c>
      <c r="CR61" s="258"/>
      <c r="CS61" s="197">
        <f t="shared" si="196"/>
        <v>0</v>
      </c>
      <c r="CT61" s="1006">
        <f t="shared" si="197"/>
        <v>0</v>
      </c>
      <c r="CU61" s="1007" t="e">
        <f t="shared" si="198"/>
        <v>#VALUE!</v>
      </c>
      <c r="CV61" s="258" t="str">
        <f t="shared" si="271"/>
        <v>--</v>
      </c>
      <c r="CW61" s="258"/>
      <c r="CX61" s="197">
        <f t="shared" si="199"/>
        <v>0</v>
      </c>
      <c r="CY61" s="1006">
        <f t="shared" si="200"/>
        <v>0</v>
      </c>
      <c r="CZ61" s="1007" t="e">
        <f t="shared" si="201"/>
        <v>#VALUE!</v>
      </c>
      <c r="DA61" s="258" t="str">
        <f t="shared" si="272"/>
        <v>--</v>
      </c>
      <c r="DB61" s="258"/>
      <c r="DC61" s="197">
        <f t="shared" si="202"/>
        <v>0</v>
      </c>
      <c r="DD61" s="1006">
        <f t="shared" si="203"/>
        <v>0</v>
      </c>
      <c r="DE61" s="1007" t="e">
        <f t="shared" si="204"/>
        <v>#VALUE!</v>
      </c>
      <c r="DF61" s="258" t="str">
        <f t="shared" si="273"/>
        <v>--</v>
      </c>
      <c r="DG61" s="258"/>
      <c r="DH61" s="197">
        <f t="shared" si="205"/>
        <v>0</v>
      </c>
      <c r="DI61" s="1006">
        <f t="shared" si="206"/>
        <v>0</v>
      </c>
      <c r="DJ61" s="1007" t="e">
        <f t="shared" si="207"/>
        <v>#VALUE!</v>
      </c>
      <c r="DK61" s="258" t="str">
        <f t="shared" si="274"/>
        <v>--</v>
      </c>
      <c r="DL61" s="258"/>
      <c r="DM61" s="197">
        <f t="shared" si="208"/>
        <v>0</v>
      </c>
      <c r="DN61" s="1006">
        <f t="shared" si="209"/>
        <v>0</v>
      </c>
      <c r="DO61" s="1007" t="e">
        <f t="shared" si="210"/>
        <v>#VALUE!</v>
      </c>
      <c r="DP61" s="258" t="str">
        <f t="shared" si="275"/>
        <v>--</v>
      </c>
      <c r="DQ61" s="258"/>
      <c r="DR61" s="197">
        <f t="shared" si="211"/>
        <v>0</v>
      </c>
      <c r="DS61" s="1006">
        <f t="shared" si="212"/>
        <v>0</v>
      </c>
      <c r="DT61" s="1007" t="e">
        <f t="shared" si="213"/>
        <v>#VALUE!</v>
      </c>
      <c r="DU61" s="258" t="str">
        <f t="shared" si="276"/>
        <v>--</v>
      </c>
      <c r="DV61" s="258"/>
      <c r="DW61" s="197">
        <f t="shared" si="214"/>
        <v>0</v>
      </c>
      <c r="DX61" s="1006">
        <f t="shared" si="215"/>
        <v>0</v>
      </c>
      <c r="DY61" s="1007" t="e">
        <f t="shared" si="216"/>
        <v>#VALUE!</v>
      </c>
      <c r="DZ61" s="258" t="str">
        <f t="shared" si="277"/>
        <v>--</v>
      </c>
      <c r="EA61" s="258"/>
      <c r="EB61" s="197">
        <f t="shared" si="217"/>
        <v>0</v>
      </c>
      <c r="EC61" s="1006">
        <f t="shared" si="218"/>
        <v>0</v>
      </c>
      <c r="ED61" s="1007" t="e">
        <f t="shared" si="219"/>
        <v>#VALUE!</v>
      </c>
      <c r="EE61" s="258" t="str">
        <f t="shared" si="278"/>
        <v>--</v>
      </c>
      <c r="EF61" s="258"/>
      <c r="EG61" s="197">
        <f t="shared" si="220"/>
        <v>0</v>
      </c>
      <c r="EH61" s="1006">
        <f t="shared" si="221"/>
        <v>0</v>
      </c>
      <c r="EI61" s="1007" t="e">
        <f t="shared" si="222"/>
        <v>#VALUE!</v>
      </c>
      <c r="EJ61" s="258" t="str">
        <f t="shared" si="279"/>
        <v>--</v>
      </c>
      <c r="EK61" s="258"/>
      <c r="EL61" s="197">
        <f t="shared" si="223"/>
        <v>0</v>
      </c>
      <c r="EM61" s="1006">
        <f t="shared" si="224"/>
        <v>0</v>
      </c>
      <c r="EN61" s="1007" t="e">
        <f t="shared" si="225"/>
        <v>#VALUE!</v>
      </c>
      <c r="EO61" s="258" t="str">
        <f t="shared" si="280"/>
        <v>--</v>
      </c>
      <c r="EP61" s="258"/>
      <c r="EQ61" s="197">
        <f t="shared" si="226"/>
        <v>0</v>
      </c>
      <c r="ER61" s="1006">
        <f t="shared" si="227"/>
        <v>0</v>
      </c>
      <c r="ES61" s="1007" t="e">
        <f t="shared" si="228"/>
        <v>#VALUE!</v>
      </c>
      <c r="ET61" s="258" t="str">
        <f t="shared" si="281"/>
        <v>--</v>
      </c>
      <c r="EU61" s="258"/>
      <c r="EV61" s="197">
        <f t="shared" si="229"/>
        <v>0</v>
      </c>
      <c r="EW61" s="1006">
        <f t="shared" si="230"/>
        <v>0</v>
      </c>
      <c r="EX61" s="1007" t="e">
        <f t="shared" si="231"/>
        <v>#VALUE!</v>
      </c>
      <c r="EY61" s="258" t="str">
        <f t="shared" si="282"/>
        <v>--</v>
      </c>
      <c r="EZ61" s="258"/>
      <c r="FA61" s="197">
        <f t="shared" si="232"/>
        <v>0</v>
      </c>
      <c r="FB61" s="1006">
        <f t="shared" si="233"/>
        <v>0</v>
      </c>
      <c r="FC61" s="1007" t="e">
        <f t="shared" si="234"/>
        <v>#VALUE!</v>
      </c>
      <c r="FD61" s="258" t="str">
        <f t="shared" si="283"/>
        <v>--</v>
      </c>
      <c r="FE61" s="258"/>
      <c r="FF61" s="197">
        <f t="shared" si="235"/>
        <v>0</v>
      </c>
      <c r="FG61" s="1006">
        <f t="shared" si="236"/>
        <v>0</v>
      </c>
      <c r="FH61" s="1007" t="e">
        <f t="shared" si="237"/>
        <v>#VALUE!</v>
      </c>
      <c r="FI61" s="258" t="str">
        <f t="shared" si="284"/>
        <v>--</v>
      </c>
      <c r="FJ61" s="258"/>
      <c r="FK61" s="197">
        <f t="shared" si="238"/>
        <v>0</v>
      </c>
      <c r="FL61" s="1006">
        <f t="shared" si="239"/>
        <v>0</v>
      </c>
      <c r="FM61" s="1007" t="e">
        <f t="shared" si="240"/>
        <v>#VALUE!</v>
      </c>
      <c r="FN61" s="258" t="str">
        <f t="shared" si="285"/>
        <v>--</v>
      </c>
      <c r="FO61" s="258"/>
      <c r="FP61" s="197">
        <f t="shared" si="241"/>
        <v>0</v>
      </c>
      <c r="FQ61" s="1006">
        <f t="shared" si="242"/>
        <v>0</v>
      </c>
      <c r="FR61" s="1007" t="e">
        <f t="shared" si="243"/>
        <v>#VALUE!</v>
      </c>
      <c r="FS61" s="258" t="str">
        <f t="shared" si="286"/>
        <v>--</v>
      </c>
      <c r="FT61" s="258"/>
      <c r="FU61" s="197">
        <f t="shared" si="244"/>
        <v>0</v>
      </c>
      <c r="FV61" s="1006">
        <f t="shared" si="245"/>
        <v>0</v>
      </c>
      <c r="FW61" s="1007" t="e">
        <f t="shared" si="246"/>
        <v>#VALUE!</v>
      </c>
      <c r="FX61" s="258" t="str">
        <f t="shared" si="287"/>
        <v>--</v>
      </c>
      <c r="FY61" s="258"/>
      <c r="FZ61" s="197">
        <f t="shared" si="247"/>
        <v>0</v>
      </c>
      <c r="GA61" s="1006">
        <f t="shared" si="248"/>
        <v>0</v>
      </c>
      <c r="GB61" s="1007" t="e">
        <f t="shared" si="249"/>
        <v>#VALUE!</v>
      </c>
      <c r="GC61" s="258" t="str">
        <f t="shared" si="288"/>
        <v>--</v>
      </c>
      <c r="GD61" s="258"/>
      <c r="GE61" s="197">
        <f t="shared" si="250"/>
        <v>0</v>
      </c>
      <c r="GF61" s="1006">
        <f t="shared" si="251"/>
        <v>0</v>
      </c>
      <c r="GG61" s="1007" t="e">
        <f t="shared" si="252"/>
        <v>#VALUE!</v>
      </c>
      <c r="GH61" s="258" t="str">
        <f t="shared" si="289"/>
        <v>--</v>
      </c>
      <c r="GI61" s="258"/>
      <c r="GJ61" s="197">
        <f t="shared" si="253"/>
        <v>0</v>
      </c>
      <c r="GK61" s="1340"/>
      <c r="GL61" s="164"/>
      <c r="GM61" s="164"/>
      <c r="GN61" s="164"/>
    </row>
    <row r="62" spans="1:196" ht="12.75" x14ac:dyDescent="0.2">
      <c r="A62" s="243">
        <f>'Item list'!A62</f>
        <v>0</v>
      </c>
      <c r="B62" s="243">
        <f>'Item list'!B62</f>
        <v>0</v>
      </c>
      <c r="C62" s="243">
        <f>'Item list'!C62</f>
        <v>0</v>
      </c>
      <c r="D62" s="989">
        <f>'Item list'!D62</f>
        <v>0</v>
      </c>
      <c r="E62" s="243">
        <f>'Item list'!E62</f>
        <v>0</v>
      </c>
      <c r="F62" s="243">
        <f>'Item list'!F62</f>
        <v>0</v>
      </c>
      <c r="G62" s="243">
        <f>'Item list'!G62</f>
        <v>0</v>
      </c>
      <c r="H62" s="1005" t="e">
        <f t="shared" si="144"/>
        <v>#REF!</v>
      </c>
      <c r="I62" s="243"/>
      <c r="J62" s="243"/>
      <c r="K62" s="243"/>
      <c r="L62" s="197">
        <f t="shared" si="145"/>
        <v>0</v>
      </c>
      <c r="M62" s="1006">
        <f t="shared" si="146"/>
        <v>0</v>
      </c>
      <c r="N62" s="1007" t="e">
        <f t="shared" si="147"/>
        <v>#VALUE!</v>
      </c>
      <c r="O62" s="258" t="str">
        <f t="shared" si="254"/>
        <v>--</v>
      </c>
      <c r="P62" s="258"/>
      <c r="Q62" s="197">
        <f t="shared" si="148"/>
        <v>0</v>
      </c>
      <c r="R62" s="1006">
        <f t="shared" si="149"/>
        <v>0</v>
      </c>
      <c r="S62" s="1007" t="e">
        <f t="shared" si="150"/>
        <v>#VALUE!</v>
      </c>
      <c r="T62" s="258" t="str">
        <f t="shared" si="255"/>
        <v>--</v>
      </c>
      <c r="U62" s="258"/>
      <c r="V62" s="197">
        <f t="shared" si="151"/>
        <v>0</v>
      </c>
      <c r="W62" s="1006">
        <f t="shared" si="152"/>
        <v>0</v>
      </c>
      <c r="X62" s="1007" t="e">
        <f t="shared" si="153"/>
        <v>#VALUE!</v>
      </c>
      <c r="Y62" s="258" t="str">
        <f t="shared" si="256"/>
        <v>--</v>
      </c>
      <c r="Z62" s="258"/>
      <c r="AA62" s="197">
        <f t="shared" si="154"/>
        <v>0</v>
      </c>
      <c r="AB62" s="1006">
        <f t="shared" si="155"/>
        <v>0</v>
      </c>
      <c r="AC62" s="1007" t="e">
        <f t="shared" si="156"/>
        <v>#VALUE!</v>
      </c>
      <c r="AD62" s="258" t="str">
        <f t="shared" si="257"/>
        <v>--</v>
      </c>
      <c r="AE62" s="258"/>
      <c r="AF62" s="197">
        <f t="shared" si="157"/>
        <v>0</v>
      </c>
      <c r="AG62" s="1006">
        <f t="shared" si="158"/>
        <v>0</v>
      </c>
      <c r="AH62" s="1007" t="e">
        <f t="shared" si="159"/>
        <v>#VALUE!</v>
      </c>
      <c r="AI62" s="258" t="str">
        <f t="shared" si="258"/>
        <v>--</v>
      </c>
      <c r="AJ62" s="258"/>
      <c r="AK62" s="197">
        <f t="shared" si="160"/>
        <v>0</v>
      </c>
      <c r="AL62" s="1006">
        <f t="shared" si="161"/>
        <v>0</v>
      </c>
      <c r="AM62" s="1007" t="e">
        <f t="shared" si="162"/>
        <v>#VALUE!</v>
      </c>
      <c r="AN62" s="258" t="str">
        <f t="shared" si="259"/>
        <v>--</v>
      </c>
      <c r="AO62" s="258"/>
      <c r="AP62" s="197">
        <f t="shared" si="163"/>
        <v>0</v>
      </c>
      <c r="AQ62" s="1006">
        <f t="shared" si="164"/>
        <v>0</v>
      </c>
      <c r="AR62" s="1007" t="e">
        <f t="shared" si="165"/>
        <v>#VALUE!</v>
      </c>
      <c r="AS62" s="258" t="str">
        <f t="shared" si="260"/>
        <v>--</v>
      </c>
      <c r="AT62" s="258"/>
      <c r="AU62" s="197">
        <f t="shared" si="166"/>
        <v>0</v>
      </c>
      <c r="AV62" s="1006">
        <f t="shared" si="167"/>
        <v>0</v>
      </c>
      <c r="AW62" s="1007" t="e">
        <f t="shared" si="168"/>
        <v>#VALUE!</v>
      </c>
      <c r="AX62" s="258" t="str">
        <f t="shared" si="261"/>
        <v>--</v>
      </c>
      <c r="AY62" s="258"/>
      <c r="AZ62" s="197">
        <f t="shared" si="169"/>
        <v>0</v>
      </c>
      <c r="BA62" s="1006">
        <f t="shared" si="170"/>
        <v>0</v>
      </c>
      <c r="BB62" s="1007" t="e">
        <f t="shared" si="171"/>
        <v>#VALUE!</v>
      </c>
      <c r="BC62" s="258" t="str">
        <f t="shared" si="262"/>
        <v>--</v>
      </c>
      <c r="BD62" s="258"/>
      <c r="BE62" s="197">
        <f t="shared" si="172"/>
        <v>0</v>
      </c>
      <c r="BF62" s="1006">
        <f t="shared" si="173"/>
        <v>0</v>
      </c>
      <c r="BG62" s="1007" t="e">
        <f t="shared" si="174"/>
        <v>#VALUE!</v>
      </c>
      <c r="BH62" s="258" t="str">
        <f t="shared" si="263"/>
        <v>--</v>
      </c>
      <c r="BI62" s="258"/>
      <c r="BJ62" s="197">
        <f t="shared" si="175"/>
        <v>0</v>
      </c>
      <c r="BK62" s="1006">
        <f t="shared" si="176"/>
        <v>0</v>
      </c>
      <c r="BL62" s="1007" t="e">
        <f t="shared" si="177"/>
        <v>#VALUE!</v>
      </c>
      <c r="BM62" s="258" t="str">
        <f t="shared" si="264"/>
        <v>--</v>
      </c>
      <c r="BN62" s="258"/>
      <c r="BO62" s="197">
        <f t="shared" si="178"/>
        <v>0</v>
      </c>
      <c r="BP62" s="1006">
        <f t="shared" si="179"/>
        <v>0</v>
      </c>
      <c r="BQ62" s="1007" t="e">
        <f t="shared" si="180"/>
        <v>#VALUE!</v>
      </c>
      <c r="BR62" s="258" t="str">
        <f t="shared" si="265"/>
        <v>--</v>
      </c>
      <c r="BS62" s="258"/>
      <c r="BT62" s="197">
        <f t="shared" si="181"/>
        <v>0</v>
      </c>
      <c r="BU62" s="1006">
        <f t="shared" si="182"/>
        <v>0</v>
      </c>
      <c r="BV62" s="1007" t="e">
        <f t="shared" si="183"/>
        <v>#VALUE!</v>
      </c>
      <c r="BW62" s="258" t="str">
        <f t="shared" si="266"/>
        <v>--</v>
      </c>
      <c r="BX62" s="258"/>
      <c r="BY62" s="197">
        <f t="shared" si="184"/>
        <v>0</v>
      </c>
      <c r="BZ62" s="1006">
        <f t="shared" si="185"/>
        <v>0</v>
      </c>
      <c r="CA62" s="1007" t="e">
        <f t="shared" si="186"/>
        <v>#VALUE!</v>
      </c>
      <c r="CB62" s="258" t="str">
        <f t="shared" si="267"/>
        <v>--</v>
      </c>
      <c r="CC62" s="258"/>
      <c r="CD62" s="197">
        <f t="shared" si="187"/>
        <v>0</v>
      </c>
      <c r="CE62" s="1006">
        <f t="shared" si="188"/>
        <v>0</v>
      </c>
      <c r="CF62" s="1007" t="e">
        <f t="shared" si="189"/>
        <v>#VALUE!</v>
      </c>
      <c r="CG62" s="258" t="str">
        <f t="shared" si="268"/>
        <v>--</v>
      </c>
      <c r="CH62" s="258"/>
      <c r="CI62" s="197">
        <f t="shared" si="190"/>
        <v>0</v>
      </c>
      <c r="CJ62" s="1006">
        <f t="shared" si="191"/>
        <v>0</v>
      </c>
      <c r="CK62" s="1007" t="e">
        <f t="shared" si="192"/>
        <v>#VALUE!</v>
      </c>
      <c r="CL62" s="258" t="str">
        <f t="shared" si="269"/>
        <v>--</v>
      </c>
      <c r="CM62" s="258"/>
      <c r="CN62" s="197">
        <f t="shared" si="193"/>
        <v>0</v>
      </c>
      <c r="CO62" s="1006">
        <f t="shared" si="194"/>
        <v>0</v>
      </c>
      <c r="CP62" s="1007" t="e">
        <f t="shared" si="195"/>
        <v>#VALUE!</v>
      </c>
      <c r="CQ62" s="258" t="str">
        <f t="shared" si="270"/>
        <v>--</v>
      </c>
      <c r="CR62" s="258"/>
      <c r="CS62" s="197">
        <f t="shared" si="196"/>
        <v>0</v>
      </c>
      <c r="CT62" s="1006">
        <f t="shared" si="197"/>
        <v>0</v>
      </c>
      <c r="CU62" s="1007" t="e">
        <f t="shared" si="198"/>
        <v>#VALUE!</v>
      </c>
      <c r="CV62" s="258" t="str">
        <f t="shared" si="271"/>
        <v>--</v>
      </c>
      <c r="CW62" s="258"/>
      <c r="CX62" s="197">
        <f t="shared" si="199"/>
        <v>0</v>
      </c>
      <c r="CY62" s="1006">
        <f t="shared" si="200"/>
        <v>0</v>
      </c>
      <c r="CZ62" s="1007" t="e">
        <f t="shared" si="201"/>
        <v>#VALUE!</v>
      </c>
      <c r="DA62" s="258" t="str">
        <f t="shared" si="272"/>
        <v>--</v>
      </c>
      <c r="DB62" s="258"/>
      <c r="DC62" s="197">
        <f t="shared" si="202"/>
        <v>0</v>
      </c>
      <c r="DD62" s="1006">
        <f t="shared" si="203"/>
        <v>0</v>
      </c>
      <c r="DE62" s="1007" t="e">
        <f t="shared" si="204"/>
        <v>#VALUE!</v>
      </c>
      <c r="DF62" s="258" t="str">
        <f t="shared" si="273"/>
        <v>--</v>
      </c>
      <c r="DG62" s="258"/>
      <c r="DH62" s="197">
        <f t="shared" si="205"/>
        <v>0</v>
      </c>
      <c r="DI62" s="1006">
        <f t="shared" si="206"/>
        <v>0</v>
      </c>
      <c r="DJ62" s="1007" t="e">
        <f t="shared" si="207"/>
        <v>#VALUE!</v>
      </c>
      <c r="DK62" s="258" t="str">
        <f t="shared" si="274"/>
        <v>--</v>
      </c>
      <c r="DL62" s="258"/>
      <c r="DM62" s="197">
        <f t="shared" si="208"/>
        <v>0</v>
      </c>
      <c r="DN62" s="1006">
        <f t="shared" si="209"/>
        <v>0</v>
      </c>
      <c r="DO62" s="1007" t="e">
        <f t="shared" si="210"/>
        <v>#VALUE!</v>
      </c>
      <c r="DP62" s="258" t="str">
        <f t="shared" si="275"/>
        <v>--</v>
      </c>
      <c r="DQ62" s="258"/>
      <c r="DR62" s="197">
        <f t="shared" si="211"/>
        <v>0</v>
      </c>
      <c r="DS62" s="1006">
        <f t="shared" si="212"/>
        <v>0</v>
      </c>
      <c r="DT62" s="1007" t="e">
        <f t="shared" si="213"/>
        <v>#VALUE!</v>
      </c>
      <c r="DU62" s="258" t="str">
        <f t="shared" si="276"/>
        <v>--</v>
      </c>
      <c r="DV62" s="258"/>
      <c r="DW62" s="197">
        <f t="shared" si="214"/>
        <v>0</v>
      </c>
      <c r="DX62" s="1006">
        <f t="shared" si="215"/>
        <v>0</v>
      </c>
      <c r="DY62" s="1007" t="e">
        <f t="shared" si="216"/>
        <v>#VALUE!</v>
      </c>
      <c r="DZ62" s="258" t="str">
        <f t="shared" si="277"/>
        <v>--</v>
      </c>
      <c r="EA62" s="258"/>
      <c r="EB62" s="197">
        <f t="shared" si="217"/>
        <v>0</v>
      </c>
      <c r="EC62" s="1006">
        <f t="shared" si="218"/>
        <v>0</v>
      </c>
      <c r="ED62" s="1007" t="e">
        <f t="shared" si="219"/>
        <v>#VALUE!</v>
      </c>
      <c r="EE62" s="258" t="str">
        <f t="shared" si="278"/>
        <v>--</v>
      </c>
      <c r="EF62" s="258"/>
      <c r="EG62" s="197">
        <f t="shared" si="220"/>
        <v>0</v>
      </c>
      <c r="EH62" s="1006">
        <f t="shared" si="221"/>
        <v>0</v>
      </c>
      <c r="EI62" s="1007" t="e">
        <f t="shared" si="222"/>
        <v>#VALUE!</v>
      </c>
      <c r="EJ62" s="258" t="str">
        <f t="shared" si="279"/>
        <v>--</v>
      </c>
      <c r="EK62" s="258"/>
      <c r="EL62" s="197">
        <f t="shared" si="223"/>
        <v>0</v>
      </c>
      <c r="EM62" s="1006">
        <f t="shared" si="224"/>
        <v>0</v>
      </c>
      <c r="EN62" s="1007" t="e">
        <f t="shared" si="225"/>
        <v>#VALUE!</v>
      </c>
      <c r="EO62" s="258" t="str">
        <f t="shared" si="280"/>
        <v>--</v>
      </c>
      <c r="EP62" s="258"/>
      <c r="EQ62" s="197">
        <f t="shared" si="226"/>
        <v>0</v>
      </c>
      <c r="ER62" s="1006">
        <f t="shared" si="227"/>
        <v>0</v>
      </c>
      <c r="ES62" s="1007" t="e">
        <f t="shared" si="228"/>
        <v>#VALUE!</v>
      </c>
      <c r="ET62" s="258" t="str">
        <f t="shared" si="281"/>
        <v>--</v>
      </c>
      <c r="EU62" s="258"/>
      <c r="EV62" s="197">
        <f t="shared" si="229"/>
        <v>0</v>
      </c>
      <c r="EW62" s="1006">
        <f t="shared" si="230"/>
        <v>0</v>
      </c>
      <c r="EX62" s="1007" t="e">
        <f t="shared" si="231"/>
        <v>#VALUE!</v>
      </c>
      <c r="EY62" s="258" t="str">
        <f t="shared" si="282"/>
        <v>--</v>
      </c>
      <c r="EZ62" s="258"/>
      <c r="FA62" s="197">
        <f t="shared" si="232"/>
        <v>0</v>
      </c>
      <c r="FB62" s="1006">
        <f t="shared" si="233"/>
        <v>0</v>
      </c>
      <c r="FC62" s="1007" t="e">
        <f t="shared" si="234"/>
        <v>#VALUE!</v>
      </c>
      <c r="FD62" s="258" t="str">
        <f t="shared" si="283"/>
        <v>--</v>
      </c>
      <c r="FE62" s="258"/>
      <c r="FF62" s="197">
        <f t="shared" si="235"/>
        <v>0</v>
      </c>
      <c r="FG62" s="1006">
        <f t="shared" si="236"/>
        <v>0</v>
      </c>
      <c r="FH62" s="1007" t="e">
        <f t="shared" si="237"/>
        <v>#VALUE!</v>
      </c>
      <c r="FI62" s="258" t="str">
        <f t="shared" si="284"/>
        <v>--</v>
      </c>
      <c r="FJ62" s="258"/>
      <c r="FK62" s="197">
        <f t="shared" si="238"/>
        <v>0</v>
      </c>
      <c r="FL62" s="1006">
        <f t="shared" si="239"/>
        <v>0</v>
      </c>
      <c r="FM62" s="1007" t="e">
        <f t="shared" si="240"/>
        <v>#VALUE!</v>
      </c>
      <c r="FN62" s="258" t="str">
        <f t="shared" si="285"/>
        <v>--</v>
      </c>
      <c r="FO62" s="258"/>
      <c r="FP62" s="197">
        <f t="shared" si="241"/>
        <v>0</v>
      </c>
      <c r="FQ62" s="1006">
        <f t="shared" si="242"/>
        <v>0</v>
      </c>
      <c r="FR62" s="1007" t="e">
        <f t="shared" si="243"/>
        <v>#VALUE!</v>
      </c>
      <c r="FS62" s="258" t="str">
        <f t="shared" si="286"/>
        <v>--</v>
      </c>
      <c r="FT62" s="258"/>
      <c r="FU62" s="197">
        <f t="shared" si="244"/>
        <v>0</v>
      </c>
      <c r="FV62" s="1006">
        <f t="shared" si="245"/>
        <v>0</v>
      </c>
      <c r="FW62" s="1007" t="e">
        <f t="shared" si="246"/>
        <v>#VALUE!</v>
      </c>
      <c r="FX62" s="258" t="str">
        <f t="shared" si="287"/>
        <v>--</v>
      </c>
      <c r="FY62" s="258"/>
      <c r="FZ62" s="197">
        <f t="shared" si="247"/>
        <v>0</v>
      </c>
      <c r="GA62" s="1006">
        <f t="shared" si="248"/>
        <v>0</v>
      </c>
      <c r="GB62" s="1007" t="e">
        <f t="shared" si="249"/>
        <v>#VALUE!</v>
      </c>
      <c r="GC62" s="258" t="str">
        <f t="shared" si="288"/>
        <v>--</v>
      </c>
      <c r="GD62" s="258"/>
      <c r="GE62" s="197">
        <f t="shared" si="250"/>
        <v>0</v>
      </c>
      <c r="GF62" s="1006">
        <f t="shared" si="251"/>
        <v>0</v>
      </c>
      <c r="GG62" s="1007" t="e">
        <f t="shared" si="252"/>
        <v>#VALUE!</v>
      </c>
      <c r="GH62" s="258" t="str">
        <f t="shared" si="289"/>
        <v>--</v>
      </c>
      <c r="GI62" s="258"/>
      <c r="GJ62" s="197">
        <f t="shared" si="253"/>
        <v>0</v>
      </c>
      <c r="GK62" s="1340"/>
      <c r="GL62" s="164"/>
      <c r="GM62" s="164"/>
      <c r="GN62" s="164"/>
    </row>
    <row r="63" spans="1:196" ht="12.75" x14ac:dyDescent="0.2">
      <c r="A63" s="243">
        <f>'Item list'!A63</f>
        <v>0</v>
      </c>
      <c r="B63" s="243">
        <f>'Item list'!B63</f>
        <v>0</v>
      </c>
      <c r="C63" s="243">
        <f>'Item list'!C63</f>
        <v>0</v>
      </c>
      <c r="D63" s="989">
        <f>'Item list'!D63</f>
        <v>0</v>
      </c>
      <c r="E63" s="243">
        <f>'Item list'!E63</f>
        <v>0</v>
      </c>
      <c r="F63" s="243">
        <f>'Item list'!F63</f>
        <v>0</v>
      </c>
      <c r="G63" s="243">
        <f>'Item list'!G63</f>
        <v>0</v>
      </c>
      <c r="H63" s="1005" t="e">
        <f t="shared" si="144"/>
        <v>#REF!</v>
      </c>
      <c r="I63" s="243"/>
      <c r="J63" s="243"/>
      <c r="K63" s="243"/>
      <c r="L63" s="197">
        <f t="shared" si="145"/>
        <v>0</v>
      </c>
      <c r="M63" s="1006">
        <f t="shared" si="146"/>
        <v>0</v>
      </c>
      <c r="N63" s="1007" t="e">
        <f t="shared" si="147"/>
        <v>#VALUE!</v>
      </c>
      <c r="O63" s="258" t="str">
        <f t="shared" si="254"/>
        <v>--</v>
      </c>
      <c r="P63" s="258"/>
      <c r="Q63" s="197">
        <f t="shared" si="148"/>
        <v>0</v>
      </c>
      <c r="R63" s="1006">
        <f t="shared" si="149"/>
        <v>0</v>
      </c>
      <c r="S63" s="1007" t="e">
        <f t="shared" si="150"/>
        <v>#VALUE!</v>
      </c>
      <c r="T63" s="258" t="str">
        <f t="shared" si="255"/>
        <v>--</v>
      </c>
      <c r="U63" s="258"/>
      <c r="V63" s="197">
        <f t="shared" si="151"/>
        <v>0</v>
      </c>
      <c r="W63" s="1006">
        <f t="shared" si="152"/>
        <v>0</v>
      </c>
      <c r="X63" s="1007" t="e">
        <f t="shared" si="153"/>
        <v>#VALUE!</v>
      </c>
      <c r="Y63" s="258" t="str">
        <f t="shared" si="256"/>
        <v>--</v>
      </c>
      <c r="Z63" s="258"/>
      <c r="AA63" s="197">
        <f t="shared" si="154"/>
        <v>0</v>
      </c>
      <c r="AB63" s="1006">
        <f t="shared" si="155"/>
        <v>0</v>
      </c>
      <c r="AC63" s="1007" t="e">
        <f t="shared" si="156"/>
        <v>#VALUE!</v>
      </c>
      <c r="AD63" s="258" t="str">
        <f t="shared" si="257"/>
        <v>--</v>
      </c>
      <c r="AE63" s="258"/>
      <c r="AF63" s="197">
        <f t="shared" si="157"/>
        <v>0</v>
      </c>
      <c r="AG63" s="1006">
        <f t="shared" si="158"/>
        <v>0</v>
      </c>
      <c r="AH63" s="1007" t="e">
        <f t="shared" si="159"/>
        <v>#VALUE!</v>
      </c>
      <c r="AI63" s="258" t="str">
        <f t="shared" si="258"/>
        <v>--</v>
      </c>
      <c r="AJ63" s="258"/>
      <c r="AK63" s="197">
        <f t="shared" si="160"/>
        <v>0</v>
      </c>
      <c r="AL63" s="1006">
        <f t="shared" si="161"/>
        <v>0</v>
      </c>
      <c r="AM63" s="1007" t="e">
        <f t="shared" si="162"/>
        <v>#VALUE!</v>
      </c>
      <c r="AN63" s="258" t="str">
        <f t="shared" si="259"/>
        <v>--</v>
      </c>
      <c r="AO63" s="258"/>
      <c r="AP63" s="197">
        <f t="shared" si="163"/>
        <v>0</v>
      </c>
      <c r="AQ63" s="1006">
        <f t="shared" si="164"/>
        <v>0</v>
      </c>
      <c r="AR63" s="1007" t="e">
        <f t="shared" si="165"/>
        <v>#VALUE!</v>
      </c>
      <c r="AS63" s="258" t="str">
        <f t="shared" si="260"/>
        <v>--</v>
      </c>
      <c r="AT63" s="258"/>
      <c r="AU63" s="197">
        <f t="shared" si="166"/>
        <v>0</v>
      </c>
      <c r="AV63" s="1006">
        <f t="shared" si="167"/>
        <v>0</v>
      </c>
      <c r="AW63" s="1007" t="e">
        <f t="shared" si="168"/>
        <v>#VALUE!</v>
      </c>
      <c r="AX63" s="258" t="str">
        <f t="shared" si="261"/>
        <v>--</v>
      </c>
      <c r="AY63" s="258"/>
      <c r="AZ63" s="197">
        <f t="shared" si="169"/>
        <v>0</v>
      </c>
      <c r="BA63" s="1006">
        <f t="shared" si="170"/>
        <v>0</v>
      </c>
      <c r="BB63" s="1007" t="e">
        <f t="shared" si="171"/>
        <v>#VALUE!</v>
      </c>
      <c r="BC63" s="258" t="str">
        <f t="shared" si="262"/>
        <v>--</v>
      </c>
      <c r="BD63" s="258"/>
      <c r="BE63" s="197">
        <f t="shared" si="172"/>
        <v>0</v>
      </c>
      <c r="BF63" s="1006">
        <f t="shared" si="173"/>
        <v>0</v>
      </c>
      <c r="BG63" s="1007" t="e">
        <f t="shared" si="174"/>
        <v>#VALUE!</v>
      </c>
      <c r="BH63" s="258" t="str">
        <f t="shared" si="263"/>
        <v>--</v>
      </c>
      <c r="BI63" s="258"/>
      <c r="BJ63" s="197">
        <f t="shared" si="175"/>
        <v>0</v>
      </c>
      <c r="BK63" s="1006">
        <f t="shared" si="176"/>
        <v>0</v>
      </c>
      <c r="BL63" s="1007" t="e">
        <f t="shared" si="177"/>
        <v>#VALUE!</v>
      </c>
      <c r="BM63" s="258" t="str">
        <f t="shared" si="264"/>
        <v>--</v>
      </c>
      <c r="BN63" s="258"/>
      <c r="BO63" s="197">
        <f t="shared" si="178"/>
        <v>0</v>
      </c>
      <c r="BP63" s="1006">
        <f t="shared" si="179"/>
        <v>0</v>
      </c>
      <c r="BQ63" s="1007" t="e">
        <f t="shared" si="180"/>
        <v>#VALUE!</v>
      </c>
      <c r="BR63" s="258" t="str">
        <f t="shared" si="265"/>
        <v>--</v>
      </c>
      <c r="BS63" s="258"/>
      <c r="BT63" s="197">
        <f t="shared" si="181"/>
        <v>0</v>
      </c>
      <c r="BU63" s="1006">
        <f t="shared" si="182"/>
        <v>0</v>
      </c>
      <c r="BV63" s="1007" t="e">
        <f t="shared" si="183"/>
        <v>#VALUE!</v>
      </c>
      <c r="BW63" s="258" t="str">
        <f t="shared" si="266"/>
        <v>--</v>
      </c>
      <c r="BX63" s="258"/>
      <c r="BY63" s="197">
        <f t="shared" si="184"/>
        <v>0</v>
      </c>
      <c r="BZ63" s="1006">
        <f t="shared" si="185"/>
        <v>0</v>
      </c>
      <c r="CA63" s="1007" t="e">
        <f t="shared" si="186"/>
        <v>#VALUE!</v>
      </c>
      <c r="CB63" s="258" t="str">
        <f t="shared" si="267"/>
        <v>--</v>
      </c>
      <c r="CC63" s="258"/>
      <c r="CD63" s="197">
        <f t="shared" si="187"/>
        <v>0</v>
      </c>
      <c r="CE63" s="1006">
        <f t="shared" si="188"/>
        <v>0</v>
      </c>
      <c r="CF63" s="1007" t="e">
        <f t="shared" si="189"/>
        <v>#VALUE!</v>
      </c>
      <c r="CG63" s="258" t="str">
        <f t="shared" si="268"/>
        <v>--</v>
      </c>
      <c r="CH63" s="258"/>
      <c r="CI63" s="197">
        <f t="shared" si="190"/>
        <v>0</v>
      </c>
      <c r="CJ63" s="1006">
        <f t="shared" si="191"/>
        <v>0</v>
      </c>
      <c r="CK63" s="1007" t="e">
        <f t="shared" si="192"/>
        <v>#VALUE!</v>
      </c>
      <c r="CL63" s="258" t="str">
        <f t="shared" si="269"/>
        <v>--</v>
      </c>
      <c r="CM63" s="258"/>
      <c r="CN63" s="197">
        <f t="shared" si="193"/>
        <v>0</v>
      </c>
      <c r="CO63" s="1006">
        <f t="shared" si="194"/>
        <v>0</v>
      </c>
      <c r="CP63" s="1007" t="e">
        <f t="shared" si="195"/>
        <v>#VALUE!</v>
      </c>
      <c r="CQ63" s="258" t="str">
        <f t="shared" si="270"/>
        <v>--</v>
      </c>
      <c r="CR63" s="258"/>
      <c r="CS63" s="197">
        <f t="shared" si="196"/>
        <v>0</v>
      </c>
      <c r="CT63" s="1006">
        <f t="shared" si="197"/>
        <v>0</v>
      </c>
      <c r="CU63" s="1007" t="e">
        <f t="shared" si="198"/>
        <v>#VALUE!</v>
      </c>
      <c r="CV63" s="258" t="str">
        <f t="shared" si="271"/>
        <v>--</v>
      </c>
      <c r="CW63" s="258"/>
      <c r="CX63" s="197">
        <f t="shared" si="199"/>
        <v>0</v>
      </c>
      <c r="CY63" s="1006">
        <f t="shared" si="200"/>
        <v>0</v>
      </c>
      <c r="CZ63" s="1007" t="e">
        <f t="shared" si="201"/>
        <v>#VALUE!</v>
      </c>
      <c r="DA63" s="258" t="str">
        <f t="shared" si="272"/>
        <v>--</v>
      </c>
      <c r="DB63" s="258"/>
      <c r="DC63" s="197">
        <f t="shared" si="202"/>
        <v>0</v>
      </c>
      <c r="DD63" s="1006">
        <f t="shared" si="203"/>
        <v>0</v>
      </c>
      <c r="DE63" s="1007" t="e">
        <f t="shared" si="204"/>
        <v>#VALUE!</v>
      </c>
      <c r="DF63" s="258" t="str">
        <f t="shared" si="273"/>
        <v>--</v>
      </c>
      <c r="DG63" s="258"/>
      <c r="DH63" s="197">
        <f t="shared" si="205"/>
        <v>0</v>
      </c>
      <c r="DI63" s="1006">
        <f t="shared" si="206"/>
        <v>0</v>
      </c>
      <c r="DJ63" s="1007" t="e">
        <f t="shared" si="207"/>
        <v>#VALUE!</v>
      </c>
      <c r="DK63" s="258" t="str">
        <f t="shared" si="274"/>
        <v>--</v>
      </c>
      <c r="DL63" s="258"/>
      <c r="DM63" s="197">
        <f t="shared" si="208"/>
        <v>0</v>
      </c>
      <c r="DN63" s="1006">
        <f t="shared" si="209"/>
        <v>0</v>
      </c>
      <c r="DO63" s="1007" t="e">
        <f t="shared" si="210"/>
        <v>#VALUE!</v>
      </c>
      <c r="DP63" s="258" t="str">
        <f t="shared" si="275"/>
        <v>--</v>
      </c>
      <c r="DQ63" s="258"/>
      <c r="DR63" s="197">
        <f t="shared" si="211"/>
        <v>0</v>
      </c>
      <c r="DS63" s="1006">
        <f t="shared" si="212"/>
        <v>0</v>
      </c>
      <c r="DT63" s="1007" t="e">
        <f t="shared" si="213"/>
        <v>#VALUE!</v>
      </c>
      <c r="DU63" s="258" t="str">
        <f t="shared" si="276"/>
        <v>--</v>
      </c>
      <c r="DV63" s="258"/>
      <c r="DW63" s="197">
        <f t="shared" si="214"/>
        <v>0</v>
      </c>
      <c r="DX63" s="1006">
        <f t="shared" si="215"/>
        <v>0</v>
      </c>
      <c r="DY63" s="1007" t="e">
        <f t="shared" si="216"/>
        <v>#VALUE!</v>
      </c>
      <c r="DZ63" s="258" t="str">
        <f t="shared" si="277"/>
        <v>--</v>
      </c>
      <c r="EA63" s="258"/>
      <c r="EB63" s="197">
        <f t="shared" si="217"/>
        <v>0</v>
      </c>
      <c r="EC63" s="1006">
        <f t="shared" si="218"/>
        <v>0</v>
      </c>
      <c r="ED63" s="1007" t="e">
        <f t="shared" si="219"/>
        <v>#VALUE!</v>
      </c>
      <c r="EE63" s="258" t="str">
        <f t="shared" si="278"/>
        <v>--</v>
      </c>
      <c r="EF63" s="258"/>
      <c r="EG63" s="197">
        <f t="shared" si="220"/>
        <v>0</v>
      </c>
      <c r="EH63" s="1006">
        <f t="shared" si="221"/>
        <v>0</v>
      </c>
      <c r="EI63" s="1007" t="e">
        <f t="shared" si="222"/>
        <v>#VALUE!</v>
      </c>
      <c r="EJ63" s="258" t="str">
        <f t="shared" si="279"/>
        <v>--</v>
      </c>
      <c r="EK63" s="258"/>
      <c r="EL63" s="197">
        <f t="shared" si="223"/>
        <v>0</v>
      </c>
      <c r="EM63" s="1006">
        <f t="shared" si="224"/>
        <v>0</v>
      </c>
      <c r="EN63" s="1007" t="e">
        <f t="shared" si="225"/>
        <v>#VALUE!</v>
      </c>
      <c r="EO63" s="258" t="str">
        <f t="shared" si="280"/>
        <v>--</v>
      </c>
      <c r="EP63" s="258"/>
      <c r="EQ63" s="197">
        <f t="shared" si="226"/>
        <v>0</v>
      </c>
      <c r="ER63" s="1006">
        <f t="shared" si="227"/>
        <v>0</v>
      </c>
      <c r="ES63" s="1007" t="e">
        <f t="shared" si="228"/>
        <v>#VALUE!</v>
      </c>
      <c r="ET63" s="258" t="str">
        <f t="shared" si="281"/>
        <v>--</v>
      </c>
      <c r="EU63" s="258"/>
      <c r="EV63" s="197">
        <f t="shared" si="229"/>
        <v>0</v>
      </c>
      <c r="EW63" s="1006">
        <f t="shared" si="230"/>
        <v>0</v>
      </c>
      <c r="EX63" s="1007" t="e">
        <f t="shared" si="231"/>
        <v>#VALUE!</v>
      </c>
      <c r="EY63" s="258" t="str">
        <f t="shared" si="282"/>
        <v>--</v>
      </c>
      <c r="EZ63" s="258"/>
      <c r="FA63" s="197">
        <f t="shared" si="232"/>
        <v>0</v>
      </c>
      <c r="FB63" s="1006">
        <f t="shared" si="233"/>
        <v>0</v>
      </c>
      <c r="FC63" s="1007" t="e">
        <f t="shared" si="234"/>
        <v>#VALUE!</v>
      </c>
      <c r="FD63" s="258" t="str">
        <f t="shared" si="283"/>
        <v>--</v>
      </c>
      <c r="FE63" s="258"/>
      <c r="FF63" s="197">
        <f t="shared" si="235"/>
        <v>0</v>
      </c>
      <c r="FG63" s="1006">
        <f t="shared" si="236"/>
        <v>0</v>
      </c>
      <c r="FH63" s="1007" t="e">
        <f t="shared" si="237"/>
        <v>#VALUE!</v>
      </c>
      <c r="FI63" s="258" t="str">
        <f t="shared" si="284"/>
        <v>--</v>
      </c>
      <c r="FJ63" s="258"/>
      <c r="FK63" s="197">
        <f t="shared" si="238"/>
        <v>0</v>
      </c>
      <c r="FL63" s="1006">
        <f t="shared" si="239"/>
        <v>0</v>
      </c>
      <c r="FM63" s="1007" t="e">
        <f t="shared" si="240"/>
        <v>#VALUE!</v>
      </c>
      <c r="FN63" s="258" t="str">
        <f t="shared" si="285"/>
        <v>--</v>
      </c>
      <c r="FO63" s="258"/>
      <c r="FP63" s="197">
        <f t="shared" si="241"/>
        <v>0</v>
      </c>
      <c r="FQ63" s="1006">
        <f t="shared" si="242"/>
        <v>0</v>
      </c>
      <c r="FR63" s="1007" t="e">
        <f t="shared" si="243"/>
        <v>#VALUE!</v>
      </c>
      <c r="FS63" s="258" t="str">
        <f t="shared" si="286"/>
        <v>--</v>
      </c>
      <c r="FT63" s="258"/>
      <c r="FU63" s="197">
        <f t="shared" si="244"/>
        <v>0</v>
      </c>
      <c r="FV63" s="1006">
        <f t="shared" si="245"/>
        <v>0</v>
      </c>
      <c r="FW63" s="1007" t="e">
        <f t="shared" si="246"/>
        <v>#VALUE!</v>
      </c>
      <c r="FX63" s="258" t="str">
        <f t="shared" si="287"/>
        <v>--</v>
      </c>
      <c r="FY63" s="258"/>
      <c r="FZ63" s="197">
        <f t="shared" si="247"/>
        <v>0</v>
      </c>
      <c r="GA63" s="1006">
        <f t="shared" si="248"/>
        <v>0</v>
      </c>
      <c r="GB63" s="1007" t="e">
        <f t="shared" si="249"/>
        <v>#VALUE!</v>
      </c>
      <c r="GC63" s="258" t="str">
        <f t="shared" si="288"/>
        <v>--</v>
      </c>
      <c r="GD63" s="258"/>
      <c r="GE63" s="197">
        <f t="shared" si="250"/>
        <v>0</v>
      </c>
      <c r="GF63" s="1006">
        <f t="shared" si="251"/>
        <v>0</v>
      </c>
      <c r="GG63" s="1007" t="e">
        <f t="shared" si="252"/>
        <v>#VALUE!</v>
      </c>
      <c r="GH63" s="258" t="str">
        <f t="shared" si="289"/>
        <v>--</v>
      </c>
      <c r="GI63" s="258"/>
      <c r="GJ63" s="197">
        <f t="shared" si="253"/>
        <v>0</v>
      </c>
      <c r="GK63" s="1340"/>
      <c r="GL63" s="164"/>
      <c r="GM63" s="164"/>
      <c r="GN63" s="164"/>
    </row>
    <row r="64" spans="1:196" ht="12.75" x14ac:dyDescent="0.2">
      <c r="A64" s="243">
        <f>'Item list'!A64</f>
        <v>0</v>
      </c>
      <c r="B64" s="243">
        <f>'Item list'!B64</f>
        <v>0</v>
      </c>
      <c r="C64" s="243">
        <f>'Item list'!C64</f>
        <v>0</v>
      </c>
      <c r="D64" s="989">
        <f>'Item list'!D64</f>
        <v>0</v>
      </c>
      <c r="E64" s="243">
        <f>'Item list'!E64</f>
        <v>0</v>
      </c>
      <c r="F64" s="243">
        <f>'Item list'!F64</f>
        <v>0</v>
      </c>
      <c r="G64" s="243">
        <f>'Item list'!G64</f>
        <v>0</v>
      </c>
      <c r="H64" s="1005" t="e">
        <f t="shared" si="144"/>
        <v>#REF!</v>
      </c>
      <c r="I64" s="243"/>
      <c r="J64" s="243"/>
      <c r="K64" s="243"/>
      <c r="L64" s="197">
        <f t="shared" si="145"/>
        <v>0</v>
      </c>
      <c r="M64" s="1006">
        <f t="shared" si="146"/>
        <v>0</v>
      </c>
      <c r="N64" s="1007" t="e">
        <f t="shared" si="147"/>
        <v>#VALUE!</v>
      </c>
      <c r="O64" s="258" t="str">
        <f t="shared" si="254"/>
        <v>--</v>
      </c>
      <c r="P64" s="258"/>
      <c r="Q64" s="197">
        <f t="shared" si="148"/>
        <v>0</v>
      </c>
      <c r="R64" s="1006">
        <f t="shared" si="149"/>
        <v>0</v>
      </c>
      <c r="S64" s="1007" t="e">
        <f t="shared" si="150"/>
        <v>#VALUE!</v>
      </c>
      <c r="T64" s="258" t="str">
        <f t="shared" si="255"/>
        <v>--</v>
      </c>
      <c r="U64" s="258"/>
      <c r="V64" s="197">
        <f t="shared" si="151"/>
        <v>0</v>
      </c>
      <c r="W64" s="1006">
        <f t="shared" si="152"/>
        <v>0</v>
      </c>
      <c r="X64" s="1007" t="e">
        <f t="shared" si="153"/>
        <v>#VALUE!</v>
      </c>
      <c r="Y64" s="258" t="str">
        <f t="shared" si="256"/>
        <v>--</v>
      </c>
      <c r="Z64" s="258"/>
      <c r="AA64" s="197">
        <f t="shared" si="154"/>
        <v>0</v>
      </c>
      <c r="AB64" s="1006">
        <f t="shared" si="155"/>
        <v>0</v>
      </c>
      <c r="AC64" s="1007" t="e">
        <f t="shared" si="156"/>
        <v>#VALUE!</v>
      </c>
      <c r="AD64" s="258" t="str">
        <f t="shared" si="257"/>
        <v>--</v>
      </c>
      <c r="AE64" s="258"/>
      <c r="AF64" s="197">
        <f t="shared" si="157"/>
        <v>0</v>
      </c>
      <c r="AG64" s="1006">
        <f t="shared" si="158"/>
        <v>0</v>
      </c>
      <c r="AH64" s="1007" t="e">
        <f t="shared" si="159"/>
        <v>#VALUE!</v>
      </c>
      <c r="AI64" s="258" t="str">
        <f t="shared" si="258"/>
        <v>--</v>
      </c>
      <c r="AJ64" s="258"/>
      <c r="AK64" s="197">
        <f t="shared" si="160"/>
        <v>0</v>
      </c>
      <c r="AL64" s="1006">
        <f t="shared" si="161"/>
        <v>0</v>
      </c>
      <c r="AM64" s="1007" t="e">
        <f t="shared" si="162"/>
        <v>#VALUE!</v>
      </c>
      <c r="AN64" s="258" t="str">
        <f t="shared" si="259"/>
        <v>--</v>
      </c>
      <c r="AO64" s="258"/>
      <c r="AP64" s="197">
        <f t="shared" si="163"/>
        <v>0</v>
      </c>
      <c r="AQ64" s="1006">
        <f t="shared" si="164"/>
        <v>0</v>
      </c>
      <c r="AR64" s="1007" t="e">
        <f t="shared" si="165"/>
        <v>#VALUE!</v>
      </c>
      <c r="AS64" s="258" t="str">
        <f t="shared" si="260"/>
        <v>--</v>
      </c>
      <c r="AT64" s="258"/>
      <c r="AU64" s="197">
        <f t="shared" si="166"/>
        <v>0</v>
      </c>
      <c r="AV64" s="1006">
        <f t="shared" si="167"/>
        <v>0</v>
      </c>
      <c r="AW64" s="1007" t="e">
        <f t="shared" si="168"/>
        <v>#VALUE!</v>
      </c>
      <c r="AX64" s="258" t="str">
        <f t="shared" si="261"/>
        <v>--</v>
      </c>
      <c r="AY64" s="258"/>
      <c r="AZ64" s="197">
        <f t="shared" si="169"/>
        <v>0</v>
      </c>
      <c r="BA64" s="1006">
        <f t="shared" si="170"/>
        <v>0</v>
      </c>
      <c r="BB64" s="1007" t="e">
        <f t="shared" si="171"/>
        <v>#VALUE!</v>
      </c>
      <c r="BC64" s="258" t="str">
        <f t="shared" si="262"/>
        <v>--</v>
      </c>
      <c r="BD64" s="258"/>
      <c r="BE64" s="197">
        <f t="shared" si="172"/>
        <v>0</v>
      </c>
      <c r="BF64" s="1006">
        <f t="shared" si="173"/>
        <v>0</v>
      </c>
      <c r="BG64" s="1007" t="e">
        <f t="shared" si="174"/>
        <v>#VALUE!</v>
      </c>
      <c r="BH64" s="258" t="str">
        <f t="shared" si="263"/>
        <v>--</v>
      </c>
      <c r="BI64" s="258"/>
      <c r="BJ64" s="197">
        <f t="shared" si="175"/>
        <v>0</v>
      </c>
      <c r="BK64" s="1006">
        <f t="shared" si="176"/>
        <v>0</v>
      </c>
      <c r="BL64" s="1007" t="e">
        <f t="shared" si="177"/>
        <v>#VALUE!</v>
      </c>
      <c r="BM64" s="258" t="str">
        <f t="shared" si="264"/>
        <v>--</v>
      </c>
      <c r="BN64" s="258"/>
      <c r="BO64" s="197">
        <f t="shared" si="178"/>
        <v>0</v>
      </c>
      <c r="BP64" s="1006">
        <f t="shared" si="179"/>
        <v>0</v>
      </c>
      <c r="BQ64" s="1007" t="e">
        <f t="shared" si="180"/>
        <v>#VALUE!</v>
      </c>
      <c r="BR64" s="258" t="str">
        <f t="shared" si="265"/>
        <v>--</v>
      </c>
      <c r="BS64" s="258"/>
      <c r="BT64" s="197">
        <f t="shared" si="181"/>
        <v>0</v>
      </c>
      <c r="BU64" s="1006">
        <f t="shared" si="182"/>
        <v>0</v>
      </c>
      <c r="BV64" s="1007" t="e">
        <f t="shared" si="183"/>
        <v>#VALUE!</v>
      </c>
      <c r="BW64" s="258" t="str">
        <f t="shared" si="266"/>
        <v>--</v>
      </c>
      <c r="BX64" s="258"/>
      <c r="BY64" s="197">
        <f t="shared" si="184"/>
        <v>0</v>
      </c>
      <c r="BZ64" s="1006">
        <f t="shared" si="185"/>
        <v>0</v>
      </c>
      <c r="CA64" s="1007" t="e">
        <f t="shared" si="186"/>
        <v>#VALUE!</v>
      </c>
      <c r="CB64" s="258" t="str">
        <f t="shared" si="267"/>
        <v>--</v>
      </c>
      <c r="CC64" s="258"/>
      <c r="CD64" s="197">
        <f t="shared" si="187"/>
        <v>0</v>
      </c>
      <c r="CE64" s="1006">
        <f t="shared" si="188"/>
        <v>0</v>
      </c>
      <c r="CF64" s="1007" t="e">
        <f t="shared" si="189"/>
        <v>#VALUE!</v>
      </c>
      <c r="CG64" s="258" t="str">
        <f t="shared" si="268"/>
        <v>--</v>
      </c>
      <c r="CH64" s="258"/>
      <c r="CI64" s="197">
        <f t="shared" si="190"/>
        <v>0</v>
      </c>
      <c r="CJ64" s="1006">
        <f t="shared" si="191"/>
        <v>0</v>
      </c>
      <c r="CK64" s="1007" t="e">
        <f t="shared" si="192"/>
        <v>#VALUE!</v>
      </c>
      <c r="CL64" s="258" t="str">
        <f t="shared" si="269"/>
        <v>--</v>
      </c>
      <c r="CM64" s="258"/>
      <c r="CN64" s="197">
        <f t="shared" si="193"/>
        <v>0</v>
      </c>
      <c r="CO64" s="1006">
        <f t="shared" si="194"/>
        <v>0</v>
      </c>
      <c r="CP64" s="1007" t="e">
        <f t="shared" si="195"/>
        <v>#VALUE!</v>
      </c>
      <c r="CQ64" s="258" t="str">
        <f t="shared" si="270"/>
        <v>--</v>
      </c>
      <c r="CR64" s="258"/>
      <c r="CS64" s="197">
        <f t="shared" si="196"/>
        <v>0</v>
      </c>
      <c r="CT64" s="1006">
        <f t="shared" si="197"/>
        <v>0</v>
      </c>
      <c r="CU64" s="1007" t="e">
        <f t="shared" si="198"/>
        <v>#VALUE!</v>
      </c>
      <c r="CV64" s="258" t="str">
        <f t="shared" si="271"/>
        <v>--</v>
      </c>
      <c r="CW64" s="258"/>
      <c r="CX64" s="197">
        <f t="shared" si="199"/>
        <v>0</v>
      </c>
      <c r="CY64" s="1006">
        <f t="shared" si="200"/>
        <v>0</v>
      </c>
      <c r="CZ64" s="1007" t="e">
        <f t="shared" si="201"/>
        <v>#VALUE!</v>
      </c>
      <c r="DA64" s="258" t="str">
        <f t="shared" si="272"/>
        <v>--</v>
      </c>
      <c r="DB64" s="258"/>
      <c r="DC64" s="197">
        <f t="shared" si="202"/>
        <v>0</v>
      </c>
      <c r="DD64" s="1006">
        <f t="shared" si="203"/>
        <v>0</v>
      </c>
      <c r="DE64" s="1007" t="e">
        <f t="shared" si="204"/>
        <v>#VALUE!</v>
      </c>
      <c r="DF64" s="258" t="str">
        <f t="shared" si="273"/>
        <v>--</v>
      </c>
      <c r="DG64" s="258"/>
      <c r="DH64" s="197">
        <f t="shared" si="205"/>
        <v>0</v>
      </c>
      <c r="DI64" s="1006">
        <f t="shared" si="206"/>
        <v>0</v>
      </c>
      <c r="DJ64" s="1007" t="e">
        <f t="shared" si="207"/>
        <v>#VALUE!</v>
      </c>
      <c r="DK64" s="258" t="str">
        <f t="shared" si="274"/>
        <v>--</v>
      </c>
      <c r="DL64" s="258"/>
      <c r="DM64" s="197">
        <f t="shared" si="208"/>
        <v>0</v>
      </c>
      <c r="DN64" s="1006">
        <f t="shared" si="209"/>
        <v>0</v>
      </c>
      <c r="DO64" s="1007" t="e">
        <f t="shared" si="210"/>
        <v>#VALUE!</v>
      </c>
      <c r="DP64" s="258" t="str">
        <f t="shared" si="275"/>
        <v>--</v>
      </c>
      <c r="DQ64" s="258"/>
      <c r="DR64" s="197">
        <f t="shared" si="211"/>
        <v>0</v>
      </c>
      <c r="DS64" s="1006">
        <f t="shared" si="212"/>
        <v>0</v>
      </c>
      <c r="DT64" s="1007" t="e">
        <f t="shared" si="213"/>
        <v>#VALUE!</v>
      </c>
      <c r="DU64" s="258" t="str">
        <f t="shared" si="276"/>
        <v>--</v>
      </c>
      <c r="DV64" s="258"/>
      <c r="DW64" s="197">
        <f t="shared" si="214"/>
        <v>0</v>
      </c>
      <c r="DX64" s="1006">
        <f t="shared" si="215"/>
        <v>0</v>
      </c>
      <c r="DY64" s="1007" t="e">
        <f t="shared" si="216"/>
        <v>#VALUE!</v>
      </c>
      <c r="DZ64" s="258" t="str">
        <f t="shared" si="277"/>
        <v>--</v>
      </c>
      <c r="EA64" s="258"/>
      <c r="EB64" s="197">
        <f t="shared" si="217"/>
        <v>0</v>
      </c>
      <c r="EC64" s="1006">
        <f t="shared" si="218"/>
        <v>0</v>
      </c>
      <c r="ED64" s="1007" t="e">
        <f t="shared" si="219"/>
        <v>#VALUE!</v>
      </c>
      <c r="EE64" s="258" t="str">
        <f t="shared" si="278"/>
        <v>--</v>
      </c>
      <c r="EF64" s="258"/>
      <c r="EG64" s="197">
        <f t="shared" si="220"/>
        <v>0</v>
      </c>
      <c r="EH64" s="1006">
        <f t="shared" si="221"/>
        <v>0</v>
      </c>
      <c r="EI64" s="1007" t="e">
        <f t="shared" si="222"/>
        <v>#VALUE!</v>
      </c>
      <c r="EJ64" s="258" t="str">
        <f t="shared" si="279"/>
        <v>--</v>
      </c>
      <c r="EK64" s="258"/>
      <c r="EL64" s="197">
        <f t="shared" si="223"/>
        <v>0</v>
      </c>
      <c r="EM64" s="1006">
        <f t="shared" si="224"/>
        <v>0</v>
      </c>
      <c r="EN64" s="1007" t="e">
        <f t="shared" si="225"/>
        <v>#VALUE!</v>
      </c>
      <c r="EO64" s="258" t="str">
        <f t="shared" si="280"/>
        <v>--</v>
      </c>
      <c r="EP64" s="258"/>
      <c r="EQ64" s="197">
        <f t="shared" si="226"/>
        <v>0</v>
      </c>
      <c r="ER64" s="1006">
        <f t="shared" si="227"/>
        <v>0</v>
      </c>
      <c r="ES64" s="1007" t="e">
        <f t="shared" si="228"/>
        <v>#VALUE!</v>
      </c>
      <c r="ET64" s="258" t="str">
        <f t="shared" si="281"/>
        <v>--</v>
      </c>
      <c r="EU64" s="258"/>
      <c r="EV64" s="197">
        <f t="shared" si="229"/>
        <v>0</v>
      </c>
      <c r="EW64" s="1006">
        <f t="shared" si="230"/>
        <v>0</v>
      </c>
      <c r="EX64" s="1007" t="e">
        <f t="shared" si="231"/>
        <v>#VALUE!</v>
      </c>
      <c r="EY64" s="258" t="str">
        <f t="shared" si="282"/>
        <v>--</v>
      </c>
      <c r="EZ64" s="258"/>
      <c r="FA64" s="197">
        <f t="shared" si="232"/>
        <v>0</v>
      </c>
      <c r="FB64" s="1006">
        <f t="shared" si="233"/>
        <v>0</v>
      </c>
      <c r="FC64" s="1007" t="e">
        <f t="shared" si="234"/>
        <v>#VALUE!</v>
      </c>
      <c r="FD64" s="258" t="str">
        <f t="shared" si="283"/>
        <v>--</v>
      </c>
      <c r="FE64" s="258"/>
      <c r="FF64" s="197">
        <f t="shared" si="235"/>
        <v>0</v>
      </c>
      <c r="FG64" s="1006">
        <f t="shared" si="236"/>
        <v>0</v>
      </c>
      <c r="FH64" s="1007" t="e">
        <f t="shared" si="237"/>
        <v>#VALUE!</v>
      </c>
      <c r="FI64" s="258" t="str">
        <f t="shared" si="284"/>
        <v>--</v>
      </c>
      <c r="FJ64" s="258"/>
      <c r="FK64" s="197">
        <f t="shared" si="238"/>
        <v>0</v>
      </c>
      <c r="FL64" s="1006">
        <f t="shared" si="239"/>
        <v>0</v>
      </c>
      <c r="FM64" s="1007" t="e">
        <f t="shared" si="240"/>
        <v>#VALUE!</v>
      </c>
      <c r="FN64" s="258" t="str">
        <f t="shared" si="285"/>
        <v>--</v>
      </c>
      <c r="FO64" s="258"/>
      <c r="FP64" s="197">
        <f t="shared" si="241"/>
        <v>0</v>
      </c>
      <c r="FQ64" s="1006">
        <f t="shared" si="242"/>
        <v>0</v>
      </c>
      <c r="FR64" s="1007" t="e">
        <f t="shared" si="243"/>
        <v>#VALUE!</v>
      </c>
      <c r="FS64" s="258" t="str">
        <f t="shared" si="286"/>
        <v>--</v>
      </c>
      <c r="FT64" s="258"/>
      <c r="FU64" s="197">
        <f t="shared" si="244"/>
        <v>0</v>
      </c>
      <c r="FV64" s="1006">
        <f t="shared" si="245"/>
        <v>0</v>
      </c>
      <c r="FW64" s="1007" t="e">
        <f t="shared" si="246"/>
        <v>#VALUE!</v>
      </c>
      <c r="FX64" s="258" t="str">
        <f t="shared" si="287"/>
        <v>--</v>
      </c>
      <c r="FY64" s="258"/>
      <c r="FZ64" s="197">
        <f t="shared" si="247"/>
        <v>0</v>
      </c>
      <c r="GA64" s="1006">
        <f t="shared" si="248"/>
        <v>0</v>
      </c>
      <c r="GB64" s="1007" t="e">
        <f t="shared" si="249"/>
        <v>#VALUE!</v>
      </c>
      <c r="GC64" s="258" t="str">
        <f t="shared" si="288"/>
        <v>--</v>
      </c>
      <c r="GD64" s="258"/>
      <c r="GE64" s="197">
        <f t="shared" si="250"/>
        <v>0</v>
      </c>
      <c r="GF64" s="1006">
        <f t="shared" si="251"/>
        <v>0</v>
      </c>
      <c r="GG64" s="1007" t="e">
        <f t="shared" si="252"/>
        <v>#VALUE!</v>
      </c>
      <c r="GH64" s="258" t="str">
        <f t="shared" si="289"/>
        <v>--</v>
      </c>
      <c r="GI64" s="258"/>
      <c r="GJ64" s="197">
        <f t="shared" si="253"/>
        <v>0</v>
      </c>
      <c r="GK64" s="1340"/>
      <c r="GL64" s="164"/>
      <c r="GM64" s="164"/>
      <c r="GN64" s="164"/>
    </row>
    <row r="65" spans="1:196" ht="12.75" x14ac:dyDescent="0.2">
      <c r="A65" s="243">
        <f>'Item list'!A65</f>
        <v>0</v>
      </c>
      <c r="B65" s="243">
        <f>'Item list'!B65</f>
        <v>0</v>
      </c>
      <c r="C65" s="243">
        <f>'Item list'!C65</f>
        <v>0</v>
      </c>
      <c r="D65" s="989">
        <f>'Item list'!D65</f>
        <v>0</v>
      </c>
      <c r="E65" s="243">
        <f>'Item list'!E65</f>
        <v>0</v>
      </c>
      <c r="F65" s="243">
        <f>'Item list'!F65</f>
        <v>0</v>
      </c>
      <c r="G65" s="243">
        <f>'Item list'!G65</f>
        <v>0</v>
      </c>
      <c r="H65" s="1005" t="e">
        <f t="shared" si="144"/>
        <v>#REF!</v>
      </c>
      <c r="I65" s="243"/>
      <c r="J65" s="243"/>
      <c r="K65" s="243"/>
      <c r="L65" s="197">
        <f t="shared" si="145"/>
        <v>0</v>
      </c>
      <c r="M65" s="1006">
        <f t="shared" si="146"/>
        <v>0</v>
      </c>
      <c r="N65" s="1007" t="e">
        <f t="shared" si="147"/>
        <v>#VALUE!</v>
      </c>
      <c r="O65" s="258" t="str">
        <f t="shared" si="254"/>
        <v>--</v>
      </c>
      <c r="P65" s="258"/>
      <c r="Q65" s="197">
        <f t="shared" si="148"/>
        <v>0</v>
      </c>
      <c r="R65" s="1006">
        <f t="shared" si="149"/>
        <v>0</v>
      </c>
      <c r="S65" s="1007" t="e">
        <f t="shared" si="150"/>
        <v>#VALUE!</v>
      </c>
      <c r="T65" s="258" t="str">
        <f t="shared" si="255"/>
        <v>--</v>
      </c>
      <c r="U65" s="258"/>
      <c r="V65" s="197">
        <f t="shared" si="151"/>
        <v>0</v>
      </c>
      <c r="W65" s="1006">
        <f t="shared" si="152"/>
        <v>0</v>
      </c>
      <c r="X65" s="1007" t="e">
        <f t="shared" si="153"/>
        <v>#VALUE!</v>
      </c>
      <c r="Y65" s="258" t="str">
        <f t="shared" si="256"/>
        <v>--</v>
      </c>
      <c r="Z65" s="258"/>
      <c r="AA65" s="197">
        <f t="shared" si="154"/>
        <v>0</v>
      </c>
      <c r="AB65" s="1006">
        <f t="shared" si="155"/>
        <v>0</v>
      </c>
      <c r="AC65" s="1007" t="e">
        <f t="shared" si="156"/>
        <v>#VALUE!</v>
      </c>
      <c r="AD65" s="258" t="str">
        <f t="shared" si="257"/>
        <v>--</v>
      </c>
      <c r="AE65" s="258"/>
      <c r="AF65" s="197">
        <f t="shared" si="157"/>
        <v>0</v>
      </c>
      <c r="AG65" s="1006">
        <f t="shared" si="158"/>
        <v>0</v>
      </c>
      <c r="AH65" s="1007" t="e">
        <f t="shared" si="159"/>
        <v>#VALUE!</v>
      </c>
      <c r="AI65" s="258" t="str">
        <f t="shared" si="258"/>
        <v>--</v>
      </c>
      <c r="AJ65" s="258"/>
      <c r="AK65" s="197">
        <f t="shared" si="160"/>
        <v>0</v>
      </c>
      <c r="AL65" s="1006">
        <f t="shared" si="161"/>
        <v>0</v>
      </c>
      <c r="AM65" s="1007" t="e">
        <f t="shared" si="162"/>
        <v>#VALUE!</v>
      </c>
      <c r="AN65" s="258" t="str">
        <f t="shared" si="259"/>
        <v>--</v>
      </c>
      <c r="AO65" s="258"/>
      <c r="AP65" s="197">
        <f t="shared" si="163"/>
        <v>0</v>
      </c>
      <c r="AQ65" s="1006">
        <f t="shared" si="164"/>
        <v>0</v>
      </c>
      <c r="AR65" s="1007" t="e">
        <f t="shared" si="165"/>
        <v>#VALUE!</v>
      </c>
      <c r="AS65" s="258" t="str">
        <f t="shared" si="260"/>
        <v>--</v>
      </c>
      <c r="AT65" s="258"/>
      <c r="AU65" s="197">
        <f t="shared" si="166"/>
        <v>0</v>
      </c>
      <c r="AV65" s="1006">
        <f t="shared" si="167"/>
        <v>0</v>
      </c>
      <c r="AW65" s="1007" t="e">
        <f t="shared" si="168"/>
        <v>#VALUE!</v>
      </c>
      <c r="AX65" s="258" t="str">
        <f t="shared" si="261"/>
        <v>--</v>
      </c>
      <c r="AY65" s="258"/>
      <c r="AZ65" s="197">
        <f t="shared" si="169"/>
        <v>0</v>
      </c>
      <c r="BA65" s="1006">
        <f t="shared" si="170"/>
        <v>0</v>
      </c>
      <c r="BB65" s="1007" t="e">
        <f t="shared" si="171"/>
        <v>#VALUE!</v>
      </c>
      <c r="BC65" s="258" t="str">
        <f t="shared" si="262"/>
        <v>--</v>
      </c>
      <c r="BD65" s="258"/>
      <c r="BE65" s="197">
        <f t="shared" si="172"/>
        <v>0</v>
      </c>
      <c r="BF65" s="1006">
        <f t="shared" si="173"/>
        <v>0</v>
      </c>
      <c r="BG65" s="1007" t="e">
        <f t="shared" si="174"/>
        <v>#VALUE!</v>
      </c>
      <c r="BH65" s="258" t="str">
        <f t="shared" si="263"/>
        <v>--</v>
      </c>
      <c r="BI65" s="258"/>
      <c r="BJ65" s="197">
        <f t="shared" si="175"/>
        <v>0</v>
      </c>
      <c r="BK65" s="1006">
        <f t="shared" si="176"/>
        <v>0</v>
      </c>
      <c r="BL65" s="1007" t="e">
        <f t="shared" si="177"/>
        <v>#VALUE!</v>
      </c>
      <c r="BM65" s="258" t="str">
        <f t="shared" si="264"/>
        <v>--</v>
      </c>
      <c r="BN65" s="258"/>
      <c r="BO65" s="197">
        <f t="shared" si="178"/>
        <v>0</v>
      </c>
      <c r="BP65" s="1006">
        <f t="shared" si="179"/>
        <v>0</v>
      </c>
      <c r="BQ65" s="1007" t="e">
        <f t="shared" si="180"/>
        <v>#VALUE!</v>
      </c>
      <c r="BR65" s="258" t="str">
        <f t="shared" si="265"/>
        <v>--</v>
      </c>
      <c r="BS65" s="258"/>
      <c r="BT65" s="197">
        <f t="shared" si="181"/>
        <v>0</v>
      </c>
      <c r="BU65" s="1006">
        <f t="shared" si="182"/>
        <v>0</v>
      </c>
      <c r="BV65" s="1007" t="e">
        <f t="shared" si="183"/>
        <v>#VALUE!</v>
      </c>
      <c r="BW65" s="258" t="str">
        <f t="shared" si="266"/>
        <v>--</v>
      </c>
      <c r="BX65" s="258"/>
      <c r="BY65" s="197">
        <f t="shared" si="184"/>
        <v>0</v>
      </c>
      <c r="BZ65" s="1006">
        <f t="shared" si="185"/>
        <v>0</v>
      </c>
      <c r="CA65" s="1007" t="e">
        <f t="shared" si="186"/>
        <v>#VALUE!</v>
      </c>
      <c r="CB65" s="258" t="str">
        <f t="shared" si="267"/>
        <v>--</v>
      </c>
      <c r="CC65" s="258"/>
      <c r="CD65" s="197">
        <f t="shared" si="187"/>
        <v>0</v>
      </c>
      <c r="CE65" s="1006">
        <f t="shared" si="188"/>
        <v>0</v>
      </c>
      <c r="CF65" s="1007" t="e">
        <f t="shared" si="189"/>
        <v>#VALUE!</v>
      </c>
      <c r="CG65" s="258" t="str">
        <f t="shared" si="268"/>
        <v>--</v>
      </c>
      <c r="CH65" s="258"/>
      <c r="CI65" s="197">
        <f t="shared" si="190"/>
        <v>0</v>
      </c>
      <c r="CJ65" s="1006">
        <f t="shared" si="191"/>
        <v>0</v>
      </c>
      <c r="CK65" s="1007" t="e">
        <f t="shared" si="192"/>
        <v>#VALUE!</v>
      </c>
      <c r="CL65" s="258" t="str">
        <f t="shared" si="269"/>
        <v>--</v>
      </c>
      <c r="CM65" s="258"/>
      <c r="CN65" s="197">
        <f t="shared" si="193"/>
        <v>0</v>
      </c>
      <c r="CO65" s="1006">
        <f t="shared" si="194"/>
        <v>0</v>
      </c>
      <c r="CP65" s="1007" t="e">
        <f t="shared" si="195"/>
        <v>#VALUE!</v>
      </c>
      <c r="CQ65" s="258" t="str">
        <f t="shared" si="270"/>
        <v>--</v>
      </c>
      <c r="CR65" s="258"/>
      <c r="CS65" s="197">
        <f t="shared" si="196"/>
        <v>0</v>
      </c>
      <c r="CT65" s="1006">
        <f t="shared" si="197"/>
        <v>0</v>
      </c>
      <c r="CU65" s="1007" t="e">
        <f t="shared" si="198"/>
        <v>#VALUE!</v>
      </c>
      <c r="CV65" s="258" t="str">
        <f t="shared" si="271"/>
        <v>--</v>
      </c>
      <c r="CW65" s="258"/>
      <c r="CX65" s="197">
        <f t="shared" si="199"/>
        <v>0</v>
      </c>
      <c r="CY65" s="1006">
        <f t="shared" si="200"/>
        <v>0</v>
      </c>
      <c r="CZ65" s="1007" t="e">
        <f t="shared" si="201"/>
        <v>#VALUE!</v>
      </c>
      <c r="DA65" s="258" t="str">
        <f t="shared" si="272"/>
        <v>--</v>
      </c>
      <c r="DB65" s="258"/>
      <c r="DC65" s="197">
        <f t="shared" si="202"/>
        <v>0</v>
      </c>
      <c r="DD65" s="1006">
        <f t="shared" si="203"/>
        <v>0</v>
      </c>
      <c r="DE65" s="1007" t="e">
        <f t="shared" si="204"/>
        <v>#VALUE!</v>
      </c>
      <c r="DF65" s="258" t="str">
        <f t="shared" si="273"/>
        <v>--</v>
      </c>
      <c r="DG65" s="258"/>
      <c r="DH65" s="197">
        <f t="shared" si="205"/>
        <v>0</v>
      </c>
      <c r="DI65" s="1006">
        <f t="shared" si="206"/>
        <v>0</v>
      </c>
      <c r="DJ65" s="1007" t="e">
        <f t="shared" si="207"/>
        <v>#VALUE!</v>
      </c>
      <c r="DK65" s="258" t="str">
        <f t="shared" si="274"/>
        <v>--</v>
      </c>
      <c r="DL65" s="258"/>
      <c r="DM65" s="197">
        <f t="shared" si="208"/>
        <v>0</v>
      </c>
      <c r="DN65" s="1006">
        <f t="shared" si="209"/>
        <v>0</v>
      </c>
      <c r="DO65" s="1007" t="e">
        <f t="shared" si="210"/>
        <v>#VALUE!</v>
      </c>
      <c r="DP65" s="258" t="str">
        <f t="shared" si="275"/>
        <v>--</v>
      </c>
      <c r="DQ65" s="258"/>
      <c r="DR65" s="197">
        <f t="shared" si="211"/>
        <v>0</v>
      </c>
      <c r="DS65" s="1006">
        <f t="shared" si="212"/>
        <v>0</v>
      </c>
      <c r="DT65" s="1007" t="e">
        <f t="shared" si="213"/>
        <v>#VALUE!</v>
      </c>
      <c r="DU65" s="258" t="str">
        <f t="shared" si="276"/>
        <v>--</v>
      </c>
      <c r="DV65" s="258"/>
      <c r="DW65" s="197">
        <f t="shared" si="214"/>
        <v>0</v>
      </c>
      <c r="DX65" s="1006">
        <f t="shared" si="215"/>
        <v>0</v>
      </c>
      <c r="DY65" s="1007" t="e">
        <f t="shared" si="216"/>
        <v>#VALUE!</v>
      </c>
      <c r="DZ65" s="258" t="str">
        <f t="shared" si="277"/>
        <v>--</v>
      </c>
      <c r="EA65" s="258"/>
      <c r="EB65" s="197">
        <f t="shared" si="217"/>
        <v>0</v>
      </c>
      <c r="EC65" s="1006">
        <f t="shared" si="218"/>
        <v>0</v>
      </c>
      <c r="ED65" s="1007" t="e">
        <f t="shared" si="219"/>
        <v>#VALUE!</v>
      </c>
      <c r="EE65" s="258" t="str">
        <f t="shared" si="278"/>
        <v>--</v>
      </c>
      <c r="EF65" s="258"/>
      <c r="EG65" s="197">
        <f t="shared" si="220"/>
        <v>0</v>
      </c>
      <c r="EH65" s="1006">
        <f t="shared" si="221"/>
        <v>0</v>
      </c>
      <c r="EI65" s="1007" t="e">
        <f t="shared" si="222"/>
        <v>#VALUE!</v>
      </c>
      <c r="EJ65" s="258" t="str">
        <f t="shared" si="279"/>
        <v>--</v>
      </c>
      <c r="EK65" s="258"/>
      <c r="EL65" s="197">
        <f t="shared" si="223"/>
        <v>0</v>
      </c>
      <c r="EM65" s="1006">
        <f t="shared" si="224"/>
        <v>0</v>
      </c>
      <c r="EN65" s="1007" t="e">
        <f t="shared" si="225"/>
        <v>#VALUE!</v>
      </c>
      <c r="EO65" s="258" t="str">
        <f t="shared" si="280"/>
        <v>--</v>
      </c>
      <c r="EP65" s="258"/>
      <c r="EQ65" s="197">
        <f t="shared" si="226"/>
        <v>0</v>
      </c>
      <c r="ER65" s="1006">
        <f t="shared" si="227"/>
        <v>0</v>
      </c>
      <c r="ES65" s="1007" t="e">
        <f t="shared" si="228"/>
        <v>#VALUE!</v>
      </c>
      <c r="ET65" s="258" t="str">
        <f t="shared" si="281"/>
        <v>--</v>
      </c>
      <c r="EU65" s="258"/>
      <c r="EV65" s="197">
        <f t="shared" si="229"/>
        <v>0</v>
      </c>
      <c r="EW65" s="1006">
        <f t="shared" si="230"/>
        <v>0</v>
      </c>
      <c r="EX65" s="1007" t="e">
        <f t="shared" si="231"/>
        <v>#VALUE!</v>
      </c>
      <c r="EY65" s="258" t="str">
        <f t="shared" si="282"/>
        <v>--</v>
      </c>
      <c r="EZ65" s="258"/>
      <c r="FA65" s="197">
        <f t="shared" si="232"/>
        <v>0</v>
      </c>
      <c r="FB65" s="1006">
        <f t="shared" si="233"/>
        <v>0</v>
      </c>
      <c r="FC65" s="1007" t="e">
        <f t="shared" si="234"/>
        <v>#VALUE!</v>
      </c>
      <c r="FD65" s="258" t="str">
        <f t="shared" si="283"/>
        <v>--</v>
      </c>
      <c r="FE65" s="258"/>
      <c r="FF65" s="197">
        <f t="shared" si="235"/>
        <v>0</v>
      </c>
      <c r="FG65" s="1006">
        <f t="shared" si="236"/>
        <v>0</v>
      </c>
      <c r="FH65" s="1007" t="e">
        <f t="shared" si="237"/>
        <v>#VALUE!</v>
      </c>
      <c r="FI65" s="258" t="str">
        <f t="shared" si="284"/>
        <v>--</v>
      </c>
      <c r="FJ65" s="258"/>
      <c r="FK65" s="197">
        <f t="shared" si="238"/>
        <v>0</v>
      </c>
      <c r="FL65" s="1006">
        <f t="shared" si="239"/>
        <v>0</v>
      </c>
      <c r="FM65" s="1007" t="e">
        <f t="shared" si="240"/>
        <v>#VALUE!</v>
      </c>
      <c r="FN65" s="258" t="str">
        <f t="shared" si="285"/>
        <v>--</v>
      </c>
      <c r="FO65" s="258"/>
      <c r="FP65" s="197">
        <f t="shared" si="241"/>
        <v>0</v>
      </c>
      <c r="FQ65" s="1006">
        <f t="shared" si="242"/>
        <v>0</v>
      </c>
      <c r="FR65" s="1007" t="e">
        <f t="shared" si="243"/>
        <v>#VALUE!</v>
      </c>
      <c r="FS65" s="258" t="str">
        <f t="shared" si="286"/>
        <v>--</v>
      </c>
      <c r="FT65" s="258"/>
      <c r="FU65" s="197">
        <f t="shared" si="244"/>
        <v>0</v>
      </c>
      <c r="FV65" s="1006">
        <f t="shared" si="245"/>
        <v>0</v>
      </c>
      <c r="FW65" s="1007" t="e">
        <f t="shared" si="246"/>
        <v>#VALUE!</v>
      </c>
      <c r="FX65" s="258" t="str">
        <f t="shared" si="287"/>
        <v>--</v>
      </c>
      <c r="FY65" s="258"/>
      <c r="FZ65" s="197">
        <f t="shared" si="247"/>
        <v>0</v>
      </c>
      <c r="GA65" s="1006">
        <f t="shared" si="248"/>
        <v>0</v>
      </c>
      <c r="GB65" s="1007" t="e">
        <f t="shared" si="249"/>
        <v>#VALUE!</v>
      </c>
      <c r="GC65" s="258" t="str">
        <f t="shared" si="288"/>
        <v>--</v>
      </c>
      <c r="GD65" s="258"/>
      <c r="GE65" s="197">
        <f t="shared" si="250"/>
        <v>0</v>
      </c>
      <c r="GF65" s="1006">
        <f t="shared" si="251"/>
        <v>0</v>
      </c>
      <c r="GG65" s="1007" t="e">
        <f t="shared" si="252"/>
        <v>#VALUE!</v>
      </c>
      <c r="GH65" s="258" t="str">
        <f t="shared" si="289"/>
        <v>--</v>
      </c>
      <c r="GI65" s="258"/>
      <c r="GJ65" s="197">
        <f t="shared" si="253"/>
        <v>0</v>
      </c>
      <c r="GK65" s="1340"/>
      <c r="GL65" s="164"/>
      <c r="GM65" s="164"/>
      <c r="GN65" s="164"/>
    </row>
    <row r="66" spans="1:196" ht="12.75" x14ac:dyDescent="0.2">
      <c r="A66" s="243">
        <f>'Item list'!A66</f>
        <v>0</v>
      </c>
      <c r="B66" s="243">
        <f>'Item list'!B66</f>
        <v>0</v>
      </c>
      <c r="C66" s="243">
        <f>'Item list'!C66</f>
        <v>0</v>
      </c>
      <c r="D66" s="989">
        <f>'Item list'!D66</f>
        <v>0</v>
      </c>
      <c r="E66" s="243">
        <f>'Item list'!E66</f>
        <v>0</v>
      </c>
      <c r="F66" s="243">
        <f>'Item list'!F66</f>
        <v>0</v>
      </c>
      <c r="G66" s="243">
        <f>'Item list'!G66</f>
        <v>0</v>
      </c>
      <c r="H66" s="1005" t="e">
        <f t="shared" si="144"/>
        <v>#REF!</v>
      </c>
      <c r="I66" s="243"/>
      <c r="J66" s="243"/>
      <c r="K66" s="243"/>
      <c r="L66" s="197">
        <f t="shared" si="145"/>
        <v>0</v>
      </c>
      <c r="M66" s="1006">
        <f t="shared" si="146"/>
        <v>0</v>
      </c>
      <c r="N66" s="1007" t="e">
        <f t="shared" si="147"/>
        <v>#VALUE!</v>
      </c>
      <c r="O66" s="258" t="str">
        <f t="shared" si="254"/>
        <v>--</v>
      </c>
      <c r="P66" s="258"/>
      <c r="Q66" s="197">
        <f t="shared" si="148"/>
        <v>0</v>
      </c>
      <c r="R66" s="1006">
        <f t="shared" si="149"/>
        <v>0</v>
      </c>
      <c r="S66" s="1007" t="e">
        <f t="shared" si="150"/>
        <v>#VALUE!</v>
      </c>
      <c r="T66" s="258" t="str">
        <f t="shared" si="255"/>
        <v>--</v>
      </c>
      <c r="U66" s="258"/>
      <c r="V66" s="197">
        <f t="shared" si="151"/>
        <v>0</v>
      </c>
      <c r="W66" s="1006">
        <f t="shared" si="152"/>
        <v>0</v>
      </c>
      <c r="X66" s="1007" t="e">
        <f t="shared" si="153"/>
        <v>#VALUE!</v>
      </c>
      <c r="Y66" s="258" t="str">
        <f t="shared" si="256"/>
        <v>--</v>
      </c>
      <c r="Z66" s="258"/>
      <c r="AA66" s="197">
        <f t="shared" si="154"/>
        <v>0</v>
      </c>
      <c r="AB66" s="1006">
        <f t="shared" si="155"/>
        <v>0</v>
      </c>
      <c r="AC66" s="1007" t="e">
        <f t="shared" si="156"/>
        <v>#VALUE!</v>
      </c>
      <c r="AD66" s="258" t="str">
        <f t="shared" si="257"/>
        <v>--</v>
      </c>
      <c r="AE66" s="258"/>
      <c r="AF66" s="197">
        <f t="shared" si="157"/>
        <v>0</v>
      </c>
      <c r="AG66" s="1006">
        <f t="shared" si="158"/>
        <v>0</v>
      </c>
      <c r="AH66" s="1007" t="e">
        <f t="shared" si="159"/>
        <v>#VALUE!</v>
      </c>
      <c r="AI66" s="258" t="str">
        <f t="shared" si="258"/>
        <v>--</v>
      </c>
      <c r="AJ66" s="258"/>
      <c r="AK66" s="197">
        <f t="shared" si="160"/>
        <v>0</v>
      </c>
      <c r="AL66" s="1006">
        <f t="shared" si="161"/>
        <v>0</v>
      </c>
      <c r="AM66" s="1007" t="e">
        <f t="shared" si="162"/>
        <v>#VALUE!</v>
      </c>
      <c r="AN66" s="258" t="str">
        <f t="shared" si="259"/>
        <v>--</v>
      </c>
      <c r="AO66" s="258"/>
      <c r="AP66" s="197">
        <f t="shared" si="163"/>
        <v>0</v>
      </c>
      <c r="AQ66" s="1006">
        <f t="shared" si="164"/>
        <v>0</v>
      </c>
      <c r="AR66" s="1007" t="e">
        <f t="shared" si="165"/>
        <v>#VALUE!</v>
      </c>
      <c r="AS66" s="258" t="str">
        <f t="shared" si="260"/>
        <v>--</v>
      </c>
      <c r="AT66" s="258"/>
      <c r="AU66" s="197">
        <f t="shared" si="166"/>
        <v>0</v>
      </c>
      <c r="AV66" s="1006">
        <f t="shared" si="167"/>
        <v>0</v>
      </c>
      <c r="AW66" s="1007" t="e">
        <f t="shared" si="168"/>
        <v>#VALUE!</v>
      </c>
      <c r="AX66" s="258" t="str">
        <f t="shared" si="261"/>
        <v>--</v>
      </c>
      <c r="AY66" s="258"/>
      <c r="AZ66" s="197">
        <f t="shared" si="169"/>
        <v>0</v>
      </c>
      <c r="BA66" s="1006">
        <f t="shared" si="170"/>
        <v>0</v>
      </c>
      <c r="BB66" s="1007" t="e">
        <f t="shared" si="171"/>
        <v>#VALUE!</v>
      </c>
      <c r="BC66" s="258" t="str">
        <f t="shared" si="262"/>
        <v>--</v>
      </c>
      <c r="BD66" s="258"/>
      <c r="BE66" s="197">
        <f t="shared" si="172"/>
        <v>0</v>
      </c>
      <c r="BF66" s="1006">
        <f t="shared" si="173"/>
        <v>0</v>
      </c>
      <c r="BG66" s="1007" t="e">
        <f t="shared" si="174"/>
        <v>#VALUE!</v>
      </c>
      <c r="BH66" s="258" t="str">
        <f t="shared" si="263"/>
        <v>--</v>
      </c>
      <c r="BI66" s="258"/>
      <c r="BJ66" s="197">
        <f t="shared" si="175"/>
        <v>0</v>
      </c>
      <c r="BK66" s="1006">
        <f t="shared" si="176"/>
        <v>0</v>
      </c>
      <c r="BL66" s="1007" t="e">
        <f t="shared" si="177"/>
        <v>#VALUE!</v>
      </c>
      <c r="BM66" s="258" t="str">
        <f t="shared" si="264"/>
        <v>--</v>
      </c>
      <c r="BN66" s="258"/>
      <c r="BO66" s="197">
        <f t="shared" si="178"/>
        <v>0</v>
      </c>
      <c r="BP66" s="1006">
        <f t="shared" si="179"/>
        <v>0</v>
      </c>
      <c r="BQ66" s="1007" t="e">
        <f t="shared" si="180"/>
        <v>#VALUE!</v>
      </c>
      <c r="BR66" s="258" t="str">
        <f t="shared" si="265"/>
        <v>--</v>
      </c>
      <c r="BS66" s="258"/>
      <c r="BT66" s="197">
        <f t="shared" si="181"/>
        <v>0</v>
      </c>
      <c r="BU66" s="1006">
        <f t="shared" si="182"/>
        <v>0</v>
      </c>
      <c r="BV66" s="1007" t="e">
        <f t="shared" si="183"/>
        <v>#VALUE!</v>
      </c>
      <c r="BW66" s="258" t="str">
        <f t="shared" si="266"/>
        <v>--</v>
      </c>
      <c r="BX66" s="258"/>
      <c r="BY66" s="197">
        <f t="shared" si="184"/>
        <v>0</v>
      </c>
      <c r="BZ66" s="1006">
        <f t="shared" si="185"/>
        <v>0</v>
      </c>
      <c r="CA66" s="1007" t="e">
        <f t="shared" si="186"/>
        <v>#VALUE!</v>
      </c>
      <c r="CB66" s="258" t="str">
        <f t="shared" si="267"/>
        <v>--</v>
      </c>
      <c r="CC66" s="258"/>
      <c r="CD66" s="197">
        <f t="shared" si="187"/>
        <v>0</v>
      </c>
      <c r="CE66" s="1006">
        <f t="shared" si="188"/>
        <v>0</v>
      </c>
      <c r="CF66" s="1007" t="e">
        <f t="shared" si="189"/>
        <v>#VALUE!</v>
      </c>
      <c r="CG66" s="258" t="str">
        <f t="shared" si="268"/>
        <v>--</v>
      </c>
      <c r="CH66" s="258"/>
      <c r="CI66" s="197">
        <f t="shared" si="190"/>
        <v>0</v>
      </c>
      <c r="CJ66" s="1006">
        <f t="shared" si="191"/>
        <v>0</v>
      </c>
      <c r="CK66" s="1007" t="e">
        <f t="shared" si="192"/>
        <v>#VALUE!</v>
      </c>
      <c r="CL66" s="258" t="str">
        <f t="shared" si="269"/>
        <v>--</v>
      </c>
      <c r="CM66" s="258"/>
      <c r="CN66" s="197">
        <f t="shared" si="193"/>
        <v>0</v>
      </c>
      <c r="CO66" s="1006">
        <f t="shared" si="194"/>
        <v>0</v>
      </c>
      <c r="CP66" s="1007" t="e">
        <f t="shared" si="195"/>
        <v>#VALUE!</v>
      </c>
      <c r="CQ66" s="258" t="str">
        <f t="shared" si="270"/>
        <v>--</v>
      </c>
      <c r="CR66" s="258"/>
      <c r="CS66" s="197">
        <f t="shared" si="196"/>
        <v>0</v>
      </c>
      <c r="CT66" s="1006">
        <f t="shared" si="197"/>
        <v>0</v>
      </c>
      <c r="CU66" s="1007" t="e">
        <f t="shared" si="198"/>
        <v>#VALUE!</v>
      </c>
      <c r="CV66" s="258" t="str">
        <f t="shared" si="271"/>
        <v>--</v>
      </c>
      <c r="CW66" s="258"/>
      <c r="CX66" s="197">
        <f t="shared" si="199"/>
        <v>0</v>
      </c>
      <c r="CY66" s="1006">
        <f t="shared" si="200"/>
        <v>0</v>
      </c>
      <c r="CZ66" s="1007" t="e">
        <f t="shared" si="201"/>
        <v>#VALUE!</v>
      </c>
      <c r="DA66" s="258" t="str">
        <f t="shared" si="272"/>
        <v>--</v>
      </c>
      <c r="DB66" s="258"/>
      <c r="DC66" s="197">
        <f t="shared" si="202"/>
        <v>0</v>
      </c>
      <c r="DD66" s="1006">
        <f t="shared" si="203"/>
        <v>0</v>
      </c>
      <c r="DE66" s="1007" t="e">
        <f t="shared" si="204"/>
        <v>#VALUE!</v>
      </c>
      <c r="DF66" s="258" t="str">
        <f t="shared" si="273"/>
        <v>--</v>
      </c>
      <c r="DG66" s="258"/>
      <c r="DH66" s="197">
        <f t="shared" si="205"/>
        <v>0</v>
      </c>
      <c r="DI66" s="1006">
        <f t="shared" si="206"/>
        <v>0</v>
      </c>
      <c r="DJ66" s="1007" t="e">
        <f t="shared" si="207"/>
        <v>#VALUE!</v>
      </c>
      <c r="DK66" s="258" t="str">
        <f t="shared" si="274"/>
        <v>--</v>
      </c>
      <c r="DL66" s="258"/>
      <c r="DM66" s="197">
        <f t="shared" si="208"/>
        <v>0</v>
      </c>
      <c r="DN66" s="1006">
        <f t="shared" si="209"/>
        <v>0</v>
      </c>
      <c r="DO66" s="1007" t="e">
        <f t="shared" si="210"/>
        <v>#VALUE!</v>
      </c>
      <c r="DP66" s="258" t="str">
        <f t="shared" si="275"/>
        <v>--</v>
      </c>
      <c r="DQ66" s="258"/>
      <c r="DR66" s="197">
        <f t="shared" si="211"/>
        <v>0</v>
      </c>
      <c r="DS66" s="1006">
        <f t="shared" si="212"/>
        <v>0</v>
      </c>
      <c r="DT66" s="1007" t="e">
        <f t="shared" si="213"/>
        <v>#VALUE!</v>
      </c>
      <c r="DU66" s="258" t="str">
        <f t="shared" si="276"/>
        <v>--</v>
      </c>
      <c r="DV66" s="258"/>
      <c r="DW66" s="197">
        <f t="shared" si="214"/>
        <v>0</v>
      </c>
      <c r="DX66" s="1006">
        <f t="shared" si="215"/>
        <v>0</v>
      </c>
      <c r="DY66" s="1007" t="e">
        <f t="shared" si="216"/>
        <v>#VALUE!</v>
      </c>
      <c r="DZ66" s="258" t="str">
        <f t="shared" si="277"/>
        <v>--</v>
      </c>
      <c r="EA66" s="258"/>
      <c r="EB66" s="197">
        <f t="shared" si="217"/>
        <v>0</v>
      </c>
      <c r="EC66" s="1006">
        <f t="shared" si="218"/>
        <v>0</v>
      </c>
      <c r="ED66" s="1007" t="e">
        <f t="shared" si="219"/>
        <v>#VALUE!</v>
      </c>
      <c r="EE66" s="258" t="str">
        <f t="shared" si="278"/>
        <v>--</v>
      </c>
      <c r="EF66" s="258"/>
      <c r="EG66" s="197">
        <f t="shared" si="220"/>
        <v>0</v>
      </c>
      <c r="EH66" s="1006">
        <f t="shared" si="221"/>
        <v>0</v>
      </c>
      <c r="EI66" s="1007" t="e">
        <f t="shared" si="222"/>
        <v>#VALUE!</v>
      </c>
      <c r="EJ66" s="258" t="str">
        <f t="shared" si="279"/>
        <v>--</v>
      </c>
      <c r="EK66" s="258"/>
      <c r="EL66" s="197">
        <f t="shared" si="223"/>
        <v>0</v>
      </c>
      <c r="EM66" s="1006">
        <f t="shared" si="224"/>
        <v>0</v>
      </c>
      <c r="EN66" s="1007" t="e">
        <f t="shared" si="225"/>
        <v>#VALUE!</v>
      </c>
      <c r="EO66" s="258" t="str">
        <f t="shared" si="280"/>
        <v>--</v>
      </c>
      <c r="EP66" s="258"/>
      <c r="EQ66" s="197">
        <f t="shared" si="226"/>
        <v>0</v>
      </c>
      <c r="ER66" s="1006">
        <f t="shared" si="227"/>
        <v>0</v>
      </c>
      <c r="ES66" s="1007" t="e">
        <f t="shared" si="228"/>
        <v>#VALUE!</v>
      </c>
      <c r="ET66" s="258" t="str">
        <f t="shared" si="281"/>
        <v>--</v>
      </c>
      <c r="EU66" s="258"/>
      <c r="EV66" s="197">
        <f t="shared" si="229"/>
        <v>0</v>
      </c>
      <c r="EW66" s="1006">
        <f t="shared" si="230"/>
        <v>0</v>
      </c>
      <c r="EX66" s="1007" t="e">
        <f t="shared" si="231"/>
        <v>#VALUE!</v>
      </c>
      <c r="EY66" s="258" t="str">
        <f t="shared" si="282"/>
        <v>--</v>
      </c>
      <c r="EZ66" s="258"/>
      <c r="FA66" s="197">
        <f t="shared" si="232"/>
        <v>0</v>
      </c>
      <c r="FB66" s="1006">
        <f t="shared" si="233"/>
        <v>0</v>
      </c>
      <c r="FC66" s="1007" t="e">
        <f t="shared" si="234"/>
        <v>#VALUE!</v>
      </c>
      <c r="FD66" s="258" t="str">
        <f t="shared" si="283"/>
        <v>--</v>
      </c>
      <c r="FE66" s="258"/>
      <c r="FF66" s="197">
        <f t="shared" si="235"/>
        <v>0</v>
      </c>
      <c r="FG66" s="1006">
        <f t="shared" si="236"/>
        <v>0</v>
      </c>
      <c r="FH66" s="1007" t="e">
        <f t="shared" si="237"/>
        <v>#VALUE!</v>
      </c>
      <c r="FI66" s="258" t="str">
        <f t="shared" si="284"/>
        <v>--</v>
      </c>
      <c r="FJ66" s="258"/>
      <c r="FK66" s="197">
        <f t="shared" si="238"/>
        <v>0</v>
      </c>
      <c r="FL66" s="1006">
        <f t="shared" si="239"/>
        <v>0</v>
      </c>
      <c r="FM66" s="1007" t="e">
        <f t="shared" si="240"/>
        <v>#VALUE!</v>
      </c>
      <c r="FN66" s="258" t="str">
        <f t="shared" si="285"/>
        <v>--</v>
      </c>
      <c r="FO66" s="258"/>
      <c r="FP66" s="197">
        <f t="shared" si="241"/>
        <v>0</v>
      </c>
      <c r="FQ66" s="1006">
        <f t="shared" si="242"/>
        <v>0</v>
      </c>
      <c r="FR66" s="1007" t="e">
        <f t="shared" si="243"/>
        <v>#VALUE!</v>
      </c>
      <c r="FS66" s="258" t="str">
        <f t="shared" si="286"/>
        <v>--</v>
      </c>
      <c r="FT66" s="258"/>
      <c r="FU66" s="197">
        <f t="shared" si="244"/>
        <v>0</v>
      </c>
      <c r="FV66" s="1006">
        <f t="shared" si="245"/>
        <v>0</v>
      </c>
      <c r="FW66" s="1007" t="e">
        <f t="shared" si="246"/>
        <v>#VALUE!</v>
      </c>
      <c r="FX66" s="258" t="str">
        <f t="shared" si="287"/>
        <v>--</v>
      </c>
      <c r="FY66" s="258"/>
      <c r="FZ66" s="197">
        <f t="shared" si="247"/>
        <v>0</v>
      </c>
      <c r="GA66" s="1006">
        <f t="shared" si="248"/>
        <v>0</v>
      </c>
      <c r="GB66" s="1007" t="e">
        <f t="shared" si="249"/>
        <v>#VALUE!</v>
      </c>
      <c r="GC66" s="258" t="str">
        <f t="shared" si="288"/>
        <v>--</v>
      </c>
      <c r="GD66" s="258"/>
      <c r="GE66" s="197">
        <f t="shared" si="250"/>
        <v>0</v>
      </c>
      <c r="GF66" s="1006">
        <f t="shared" si="251"/>
        <v>0</v>
      </c>
      <c r="GG66" s="1007" t="e">
        <f t="shared" si="252"/>
        <v>#VALUE!</v>
      </c>
      <c r="GH66" s="258" t="str">
        <f t="shared" si="289"/>
        <v>--</v>
      </c>
      <c r="GI66" s="258"/>
      <c r="GJ66" s="197">
        <f t="shared" si="253"/>
        <v>0</v>
      </c>
      <c r="GK66" s="1340"/>
      <c r="GL66" s="164"/>
      <c r="GM66" s="164"/>
      <c r="GN66" s="164"/>
    </row>
    <row r="67" spans="1:196" ht="12.75" x14ac:dyDescent="0.2">
      <c r="A67" s="243">
        <f>'Item list'!A67</f>
        <v>0</v>
      </c>
      <c r="B67" s="243">
        <f>'Item list'!B67</f>
        <v>0</v>
      </c>
      <c r="C67" s="243">
        <f>'Item list'!C67</f>
        <v>0</v>
      </c>
      <c r="D67" s="989">
        <f>'Item list'!D67</f>
        <v>0</v>
      </c>
      <c r="E67" s="243">
        <f>'Item list'!E67</f>
        <v>0</v>
      </c>
      <c r="F67" s="243">
        <f>'Item list'!F67</f>
        <v>0</v>
      </c>
      <c r="G67" s="243">
        <f>'Item list'!G67</f>
        <v>0</v>
      </c>
      <c r="H67" s="1005" t="e">
        <f t="shared" si="144"/>
        <v>#REF!</v>
      </c>
      <c r="I67" s="243"/>
      <c r="J67" s="243"/>
      <c r="K67" s="243"/>
      <c r="L67" s="197">
        <f t="shared" si="145"/>
        <v>0</v>
      </c>
      <c r="M67" s="1006">
        <f t="shared" si="146"/>
        <v>0</v>
      </c>
      <c r="N67" s="1007" t="e">
        <f t="shared" si="147"/>
        <v>#VALUE!</v>
      </c>
      <c r="O67" s="258" t="str">
        <f t="shared" si="254"/>
        <v>--</v>
      </c>
      <c r="P67" s="258"/>
      <c r="Q67" s="197">
        <f t="shared" si="148"/>
        <v>0</v>
      </c>
      <c r="R67" s="1006">
        <f t="shared" si="149"/>
        <v>0</v>
      </c>
      <c r="S67" s="1007" t="e">
        <f t="shared" si="150"/>
        <v>#VALUE!</v>
      </c>
      <c r="T67" s="258" t="str">
        <f t="shared" si="255"/>
        <v>--</v>
      </c>
      <c r="U67" s="258"/>
      <c r="V67" s="197">
        <f t="shared" si="151"/>
        <v>0</v>
      </c>
      <c r="W67" s="1006">
        <f t="shared" si="152"/>
        <v>0</v>
      </c>
      <c r="X67" s="1007" t="e">
        <f t="shared" si="153"/>
        <v>#VALUE!</v>
      </c>
      <c r="Y67" s="258" t="str">
        <f t="shared" si="256"/>
        <v>--</v>
      </c>
      <c r="Z67" s="258"/>
      <c r="AA67" s="197">
        <f t="shared" si="154"/>
        <v>0</v>
      </c>
      <c r="AB67" s="1006">
        <f t="shared" si="155"/>
        <v>0</v>
      </c>
      <c r="AC67" s="1007" t="e">
        <f t="shared" si="156"/>
        <v>#VALUE!</v>
      </c>
      <c r="AD67" s="258" t="str">
        <f t="shared" si="257"/>
        <v>--</v>
      </c>
      <c r="AE67" s="258"/>
      <c r="AF67" s="197">
        <f t="shared" si="157"/>
        <v>0</v>
      </c>
      <c r="AG67" s="1006">
        <f t="shared" si="158"/>
        <v>0</v>
      </c>
      <c r="AH67" s="1007" t="e">
        <f t="shared" si="159"/>
        <v>#VALUE!</v>
      </c>
      <c r="AI67" s="258" t="str">
        <f t="shared" si="258"/>
        <v>--</v>
      </c>
      <c r="AJ67" s="258"/>
      <c r="AK67" s="197">
        <f t="shared" si="160"/>
        <v>0</v>
      </c>
      <c r="AL67" s="1006">
        <f t="shared" si="161"/>
        <v>0</v>
      </c>
      <c r="AM67" s="1007" t="e">
        <f t="shared" si="162"/>
        <v>#VALUE!</v>
      </c>
      <c r="AN67" s="258" t="str">
        <f t="shared" si="259"/>
        <v>--</v>
      </c>
      <c r="AO67" s="258"/>
      <c r="AP67" s="197">
        <f t="shared" si="163"/>
        <v>0</v>
      </c>
      <c r="AQ67" s="1006">
        <f t="shared" si="164"/>
        <v>0</v>
      </c>
      <c r="AR67" s="1007" t="e">
        <f t="shared" si="165"/>
        <v>#VALUE!</v>
      </c>
      <c r="AS67" s="258" t="str">
        <f t="shared" si="260"/>
        <v>--</v>
      </c>
      <c r="AT67" s="258"/>
      <c r="AU67" s="197">
        <f t="shared" si="166"/>
        <v>0</v>
      </c>
      <c r="AV67" s="1006">
        <f t="shared" si="167"/>
        <v>0</v>
      </c>
      <c r="AW67" s="1007" t="e">
        <f t="shared" si="168"/>
        <v>#VALUE!</v>
      </c>
      <c r="AX67" s="258" t="str">
        <f t="shared" si="261"/>
        <v>--</v>
      </c>
      <c r="AY67" s="258"/>
      <c r="AZ67" s="197">
        <f t="shared" si="169"/>
        <v>0</v>
      </c>
      <c r="BA67" s="1006">
        <f t="shared" si="170"/>
        <v>0</v>
      </c>
      <c r="BB67" s="1007" t="e">
        <f t="shared" si="171"/>
        <v>#VALUE!</v>
      </c>
      <c r="BC67" s="258" t="str">
        <f t="shared" si="262"/>
        <v>--</v>
      </c>
      <c r="BD67" s="258"/>
      <c r="BE67" s="197">
        <f t="shared" si="172"/>
        <v>0</v>
      </c>
      <c r="BF67" s="1006">
        <f t="shared" si="173"/>
        <v>0</v>
      </c>
      <c r="BG67" s="1007" t="e">
        <f t="shared" si="174"/>
        <v>#VALUE!</v>
      </c>
      <c r="BH67" s="258" t="str">
        <f t="shared" si="263"/>
        <v>--</v>
      </c>
      <c r="BI67" s="258"/>
      <c r="BJ67" s="197">
        <f t="shared" si="175"/>
        <v>0</v>
      </c>
      <c r="BK67" s="1006">
        <f t="shared" si="176"/>
        <v>0</v>
      </c>
      <c r="BL67" s="1007" t="e">
        <f t="shared" si="177"/>
        <v>#VALUE!</v>
      </c>
      <c r="BM67" s="258" t="str">
        <f t="shared" si="264"/>
        <v>--</v>
      </c>
      <c r="BN67" s="258"/>
      <c r="BO67" s="197">
        <f t="shared" si="178"/>
        <v>0</v>
      </c>
      <c r="BP67" s="1006">
        <f t="shared" si="179"/>
        <v>0</v>
      </c>
      <c r="BQ67" s="1007" t="e">
        <f t="shared" si="180"/>
        <v>#VALUE!</v>
      </c>
      <c r="BR67" s="258" t="str">
        <f t="shared" si="265"/>
        <v>--</v>
      </c>
      <c r="BS67" s="258"/>
      <c r="BT67" s="197">
        <f t="shared" si="181"/>
        <v>0</v>
      </c>
      <c r="BU67" s="1006">
        <f t="shared" si="182"/>
        <v>0</v>
      </c>
      <c r="BV67" s="1007" t="e">
        <f t="shared" si="183"/>
        <v>#VALUE!</v>
      </c>
      <c r="BW67" s="258" t="str">
        <f t="shared" si="266"/>
        <v>--</v>
      </c>
      <c r="BX67" s="258"/>
      <c r="BY67" s="197">
        <f t="shared" si="184"/>
        <v>0</v>
      </c>
      <c r="BZ67" s="1006">
        <f t="shared" si="185"/>
        <v>0</v>
      </c>
      <c r="CA67" s="1007" t="e">
        <f t="shared" si="186"/>
        <v>#VALUE!</v>
      </c>
      <c r="CB67" s="258" t="str">
        <f t="shared" si="267"/>
        <v>--</v>
      </c>
      <c r="CC67" s="258"/>
      <c r="CD67" s="197">
        <f t="shared" si="187"/>
        <v>0</v>
      </c>
      <c r="CE67" s="1006">
        <f t="shared" si="188"/>
        <v>0</v>
      </c>
      <c r="CF67" s="1007" t="e">
        <f t="shared" si="189"/>
        <v>#VALUE!</v>
      </c>
      <c r="CG67" s="258" t="str">
        <f t="shared" si="268"/>
        <v>--</v>
      </c>
      <c r="CH67" s="258"/>
      <c r="CI67" s="197">
        <f t="shared" si="190"/>
        <v>0</v>
      </c>
      <c r="CJ67" s="1006">
        <f t="shared" si="191"/>
        <v>0</v>
      </c>
      <c r="CK67" s="1007" t="e">
        <f t="shared" si="192"/>
        <v>#VALUE!</v>
      </c>
      <c r="CL67" s="258" t="str">
        <f t="shared" si="269"/>
        <v>--</v>
      </c>
      <c r="CM67" s="258"/>
      <c r="CN67" s="197">
        <f t="shared" si="193"/>
        <v>0</v>
      </c>
      <c r="CO67" s="1006">
        <f t="shared" si="194"/>
        <v>0</v>
      </c>
      <c r="CP67" s="1007" t="e">
        <f t="shared" si="195"/>
        <v>#VALUE!</v>
      </c>
      <c r="CQ67" s="258" t="str">
        <f t="shared" si="270"/>
        <v>--</v>
      </c>
      <c r="CR67" s="258"/>
      <c r="CS67" s="197">
        <f t="shared" si="196"/>
        <v>0</v>
      </c>
      <c r="CT67" s="1006">
        <f t="shared" si="197"/>
        <v>0</v>
      </c>
      <c r="CU67" s="1007" t="e">
        <f t="shared" si="198"/>
        <v>#VALUE!</v>
      </c>
      <c r="CV67" s="258" t="str">
        <f t="shared" si="271"/>
        <v>--</v>
      </c>
      <c r="CW67" s="258"/>
      <c r="CX67" s="197">
        <f t="shared" si="199"/>
        <v>0</v>
      </c>
      <c r="CY67" s="1006">
        <f t="shared" si="200"/>
        <v>0</v>
      </c>
      <c r="CZ67" s="1007" t="e">
        <f t="shared" si="201"/>
        <v>#VALUE!</v>
      </c>
      <c r="DA67" s="258" t="str">
        <f t="shared" si="272"/>
        <v>--</v>
      </c>
      <c r="DB67" s="258"/>
      <c r="DC67" s="197">
        <f t="shared" si="202"/>
        <v>0</v>
      </c>
      <c r="DD67" s="1006">
        <f t="shared" si="203"/>
        <v>0</v>
      </c>
      <c r="DE67" s="1007" t="e">
        <f t="shared" si="204"/>
        <v>#VALUE!</v>
      </c>
      <c r="DF67" s="258" t="str">
        <f t="shared" si="273"/>
        <v>--</v>
      </c>
      <c r="DG67" s="258"/>
      <c r="DH67" s="197">
        <f t="shared" si="205"/>
        <v>0</v>
      </c>
      <c r="DI67" s="1006">
        <f t="shared" si="206"/>
        <v>0</v>
      </c>
      <c r="DJ67" s="1007" t="e">
        <f t="shared" si="207"/>
        <v>#VALUE!</v>
      </c>
      <c r="DK67" s="258" t="str">
        <f t="shared" si="274"/>
        <v>--</v>
      </c>
      <c r="DL67" s="258"/>
      <c r="DM67" s="197">
        <f t="shared" si="208"/>
        <v>0</v>
      </c>
      <c r="DN67" s="1006">
        <f t="shared" si="209"/>
        <v>0</v>
      </c>
      <c r="DO67" s="1007" t="e">
        <f t="shared" si="210"/>
        <v>#VALUE!</v>
      </c>
      <c r="DP67" s="258" t="str">
        <f t="shared" si="275"/>
        <v>--</v>
      </c>
      <c r="DQ67" s="258"/>
      <c r="DR67" s="197">
        <f t="shared" si="211"/>
        <v>0</v>
      </c>
      <c r="DS67" s="1006">
        <f t="shared" si="212"/>
        <v>0</v>
      </c>
      <c r="DT67" s="1007" t="e">
        <f t="shared" si="213"/>
        <v>#VALUE!</v>
      </c>
      <c r="DU67" s="258" t="str">
        <f t="shared" si="276"/>
        <v>--</v>
      </c>
      <c r="DV67" s="258"/>
      <c r="DW67" s="197">
        <f t="shared" si="214"/>
        <v>0</v>
      </c>
      <c r="DX67" s="1006">
        <f t="shared" si="215"/>
        <v>0</v>
      </c>
      <c r="DY67" s="1007" t="e">
        <f t="shared" si="216"/>
        <v>#VALUE!</v>
      </c>
      <c r="DZ67" s="258" t="str">
        <f t="shared" si="277"/>
        <v>--</v>
      </c>
      <c r="EA67" s="258"/>
      <c r="EB67" s="197">
        <f t="shared" si="217"/>
        <v>0</v>
      </c>
      <c r="EC67" s="1006">
        <f t="shared" si="218"/>
        <v>0</v>
      </c>
      <c r="ED67" s="1007" t="e">
        <f t="shared" si="219"/>
        <v>#VALUE!</v>
      </c>
      <c r="EE67" s="258" t="str">
        <f t="shared" si="278"/>
        <v>--</v>
      </c>
      <c r="EF67" s="258"/>
      <c r="EG67" s="197">
        <f t="shared" si="220"/>
        <v>0</v>
      </c>
      <c r="EH67" s="1006">
        <f t="shared" si="221"/>
        <v>0</v>
      </c>
      <c r="EI67" s="1007" t="e">
        <f t="shared" si="222"/>
        <v>#VALUE!</v>
      </c>
      <c r="EJ67" s="258" t="str">
        <f t="shared" si="279"/>
        <v>--</v>
      </c>
      <c r="EK67" s="258"/>
      <c r="EL67" s="197">
        <f t="shared" si="223"/>
        <v>0</v>
      </c>
      <c r="EM67" s="1006">
        <f t="shared" si="224"/>
        <v>0</v>
      </c>
      <c r="EN67" s="1007" t="e">
        <f t="shared" si="225"/>
        <v>#VALUE!</v>
      </c>
      <c r="EO67" s="258" t="str">
        <f t="shared" si="280"/>
        <v>--</v>
      </c>
      <c r="EP67" s="258"/>
      <c r="EQ67" s="197">
        <f t="shared" si="226"/>
        <v>0</v>
      </c>
      <c r="ER67" s="1006">
        <f t="shared" si="227"/>
        <v>0</v>
      </c>
      <c r="ES67" s="1007" t="e">
        <f t="shared" si="228"/>
        <v>#VALUE!</v>
      </c>
      <c r="ET67" s="258" t="str">
        <f t="shared" si="281"/>
        <v>--</v>
      </c>
      <c r="EU67" s="258"/>
      <c r="EV67" s="197">
        <f t="shared" si="229"/>
        <v>0</v>
      </c>
      <c r="EW67" s="1006">
        <f t="shared" si="230"/>
        <v>0</v>
      </c>
      <c r="EX67" s="1007" t="e">
        <f t="shared" si="231"/>
        <v>#VALUE!</v>
      </c>
      <c r="EY67" s="258" t="str">
        <f t="shared" si="282"/>
        <v>--</v>
      </c>
      <c r="EZ67" s="258"/>
      <c r="FA67" s="197">
        <f t="shared" si="232"/>
        <v>0</v>
      </c>
      <c r="FB67" s="1006">
        <f t="shared" si="233"/>
        <v>0</v>
      </c>
      <c r="FC67" s="1007" t="e">
        <f t="shared" si="234"/>
        <v>#VALUE!</v>
      </c>
      <c r="FD67" s="258" t="str">
        <f t="shared" si="283"/>
        <v>--</v>
      </c>
      <c r="FE67" s="258"/>
      <c r="FF67" s="197">
        <f t="shared" si="235"/>
        <v>0</v>
      </c>
      <c r="FG67" s="1006">
        <f t="shared" si="236"/>
        <v>0</v>
      </c>
      <c r="FH67" s="1007" t="e">
        <f t="shared" si="237"/>
        <v>#VALUE!</v>
      </c>
      <c r="FI67" s="258" t="str">
        <f t="shared" si="284"/>
        <v>--</v>
      </c>
      <c r="FJ67" s="258"/>
      <c r="FK67" s="197">
        <f t="shared" si="238"/>
        <v>0</v>
      </c>
      <c r="FL67" s="1006">
        <f t="shared" si="239"/>
        <v>0</v>
      </c>
      <c r="FM67" s="1007" t="e">
        <f t="shared" si="240"/>
        <v>#VALUE!</v>
      </c>
      <c r="FN67" s="258" t="str">
        <f t="shared" si="285"/>
        <v>--</v>
      </c>
      <c r="FO67" s="258"/>
      <c r="FP67" s="197">
        <f t="shared" si="241"/>
        <v>0</v>
      </c>
      <c r="FQ67" s="1006">
        <f t="shared" si="242"/>
        <v>0</v>
      </c>
      <c r="FR67" s="1007" t="e">
        <f t="shared" si="243"/>
        <v>#VALUE!</v>
      </c>
      <c r="FS67" s="258" t="str">
        <f t="shared" si="286"/>
        <v>--</v>
      </c>
      <c r="FT67" s="258"/>
      <c r="FU67" s="197">
        <f t="shared" si="244"/>
        <v>0</v>
      </c>
      <c r="FV67" s="1006">
        <f t="shared" si="245"/>
        <v>0</v>
      </c>
      <c r="FW67" s="1007" t="e">
        <f t="shared" si="246"/>
        <v>#VALUE!</v>
      </c>
      <c r="FX67" s="258" t="str">
        <f t="shared" si="287"/>
        <v>--</v>
      </c>
      <c r="FY67" s="258"/>
      <c r="FZ67" s="197">
        <f t="shared" si="247"/>
        <v>0</v>
      </c>
      <c r="GA67" s="1006">
        <f t="shared" si="248"/>
        <v>0</v>
      </c>
      <c r="GB67" s="1007" t="e">
        <f t="shared" si="249"/>
        <v>#VALUE!</v>
      </c>
      <c r="GC67" s="258" t="str">
        <f t="shared" si="288"/>
        <v>--</v>
      </c>
      <c r="GD67" s="258"/>
      <c r="GE67" s="197">
        <f t="shared" si="250"/>
        <v>0</v>
      </c>
      <c r="GF67" s="1006">
        <f t="shared" si="251"/>
        <v>0</v>
      </c>
      <c r="GG67" s="1007" t="e">
        <f t="shared" si="252"/>
        <v>#VALUE!</v>
      </c>
      <c r="GH67" s="258" t="str">
        <f t="shared" si="289"/>
        <v>--</v>
      </c>
      <c r="GI67" s="258"/>
      <c r="GJ67" s="197">
        <f t="shared" si="253"/>
        <v>0</v>
      </c>
      <c r="GK67" s="1340"/>
      <c r="GL67" s="164"/>
      <c r="GM67" s="164"/>
      <c r="GN67" s="164"/>
    </row>
    <row r="68" spans="1:196" ht="12.75" x14ac:dyDescent="0.2">
      <c r="A68" s="243">
        <f>'Item list'!A68</f>
        <v>0</v>
      </c>
      <c r="B68" s="243">
        <f>'Item list'!B68</f>
        <v>0</v>
      </c>
      <c r="C68" s="243">
        <f>'Item list'!C68</f>
        <v>0</v>
      </c>
      <c r="D68" s="989">
        <f>'Item list'!D68</f>
        <v>0</v>
      </c>
      <c r="E68" s="243">
        <f>'Item list'!E68</f>
        <v>0</v>
      </c>
      <c r="F68" s="243">
        <f>'Item list'!F68</f>
        <v>0</v>
      </c>
      <c r="G68" s="243">
        <f>'Item list'!G68</f>
        <v>0</v>
      </c>
      <c r="H68" s="1005" t="e">
        <f t="shared" si="144"/>
        <v>#REF!</v>
      </c>
      <c r="I68" s="243"/>
      <c r="J68" s="243"/>
      <c r="K68" s="243"/>
      <c r="L68" s="197">
        <f t="shared" si="145"/>
        <v>0</v>
      </c>
      <c r="M68" s="1006">
        <f t="shared" si="146"/>
        <v>0</v>
      </c>
      <c r="N68" s="1007" t="e">
        <f t="shared" si="147"/>
        <v>#VALUE!</v>
      </c>
      <c r="O68" s="258" t="str">
        <f t="shared" si="254"/>
        <v>--</v>
      </c>
      <c r="P68" s="258"/>
      <c r="Q68" s="197">
        <f t="shared" si="148"/>
        <v>0</v>
      </c>
      <c r="R68" s="1006">
        <f t="shared" si="149"/>
        <v>0</v>
      </c>
      <c r="S68" s="1007" t="e">
        <f t="shared" si="150"/>
        <v>#VALUE!</v>
      </c>
      <c r="T68" s="258" t="str">
        <f t="shared" si="255"/>
        <v>--</v>
      </c>
      <c r="U68" s="258"/>
      <c r="V68" s="197">
        <f t="shared" si="151"/>
        <v>0</v>
      </c>
      <c r="W68" s="1006">
        <f t="shared" si="152"/>
        <v>0</v>
      </c>
      <c r="X68" s="1007" t="e">
        <f t="shared" si="153"/>
        <v>#VALUE!</v>
      </c>
      <c r="Y68" s="258" t="str">
        <f t="shared" si="256"/>
        <v>--</v>
      </c>
      <c r="Z68" s="258"/>
      <c r="AA68" s="197">
        <f t="shared" si="154"/>
        <v>0</v>
      </c>
      <c r="AB68" s="1006">
        <f t="shared" si="155"/>
        <v>0</v>
      </c>
      <c r="AC68" s="1007" t="e">
        <f t="shared" si="156"/>
        <v>#VALUE!</v>
      </c>
      <c r="AD68" s="258" t="str">
        <f t="shared" si="257"/>
        <v>--</v>
      </c>
      <c r="AE68" s="258"/>
      <c r="AF68" s="197">
        <f t="shared" si="157"/>
        <v>0</v>
      </c>
      <c r="AG68" s="1006">
        <f t="shared" si="158"/>
        <v>0</v>
      </c>
      <c r="AH68" s="1007" t="e">
        <f t="shared" si="159"/>
        <v>#VALUE!</v>
      </c>
      <c r="AI68" s="258" t="str">
        <f t="shared" si="258"/>
        <v>--</v>
      </c>
      <c r="AJ68" s="258"/>
      <c r="AK68" s="197">
        <f t="shared" si="160"/>
        <v>0</v>
      </c>
      <c r="AL68" s="1006">
        <f t="shared" si="161"/>
        <v>0</v>
      </c>
      <c r="AM68" s="1007" t="e">
        <f t="shared" si="162"/>
        <v>#VALUE!</v>
      </c>
      <c r="AN68" s="258" t="str">
        <f t="shared" si="259"/>
        <v>--</v>
      </c>
      <c r="AO68" s="258"/>
      <c r="AP68" s="197">
        <f t="shared" si="163"/>
        <v>0</v>
      </c>
      <c r="AQ68" s="1006">
        <f t="shared" si="164"/>
        <v>0</v>
      </c>
      <c r="AR68" s="1007" t="e">
        <f t="shared" si="165"/>
        <v>#VALUE!</v>
      </c>
      <c r="AS68" s="258" t="str">
        <f t="shared" si="260"/>
        <v>--</v>
      </c>
      <c r="AT68" s="258"/>
      <c r="AU68" s="197">
        <f t="shared" si="166"/>
        <v>0</v>
      </c>
      <c r="AV68" s="1006">
        <f t="shared" si="167"/>
        <v>0</v>
      </c>
      <c r="AW68" s="1007" t="e">
        <f t="shared" si="168"/>
        <v>#VALUE!</v>
      </c>
      <c r="AX68" s="258" t="str">
        <f t="shared" si="261"/>
        <v>--</v>
      </c>
      <c r="AY68" s="258"/>
      <c r="AZ68" s="197">
        <f t="shared" si="169"/>
        <v>0</v>
      </c>
      <c r="BA68" s="1006">
        <f t="shared" si="170"/>
        <v>0</v>
      </c>
      <c r="BB68" s="1007" t="e">
        <f t="shared" si="171"/>
        <v>#VALUE!</v>
      </c>
      <c r="BC68" s="258" t="str">
        <f t="shared" si="262"/>
        <v>--</v>
      </c>
      <c r="BD68" s="258"/>
      <c r="BE68" s="197">
        <f t="shared" si="172"/>
        <v>0</v>
      </c>
      <c r="BF68" s="1006">
        <f t="shared" si="173"/>
        <v>0</v>
      </c>
      <c r="BG68" s="1007" t="e">
        <f t="shared" si="174"/>
        <v>#VALUE!</v>
      </c>
      <c r="BH68" s="258" t="str">
        <f t="shared" si="263"/>
        <v>--</v>
      </c>
      <c r="BI68" s="258"/>
      <c r="BJ68" s="197">
        <f t="shared" si="175"/>
        <v>0</v>
      </c>
      <c r="BK68" s="1006">
        <f t="shared" si="176"/>
        <v>0</v>
      </c>
      <c r="BL68" s="1007" t="e">
        <f t="shared" si="177"/>
        <v>#VALUE!</v>
      </c>
      <c r="BM68" s="258" t="str">
        <f t="shared" si="264"/>
        <v>--</v>
      </c>
      <c r="BN68" s="258"/>
      <c r="BO68" s="197">
        <f t="shared" si="178"/>
        <v>0</v>
      </c>
      <c r="BP68" s="1006">
        <f t="shared" si="179"/>
        <v>0</v>
      </c>
      <c r="BQ68" s="1007" t="e">
        <f t="shared" si="180"/>
        <v>#VALUE!</v>
      </c>
      <c r="BR68" s="258" t="str">
        <f t="shared" si="265"/>
        <v>--</v>
      </c>
      <c r="BS68" s="258"/>
      <c r="BT68" s="197">
        <f t="shared" si="181"/>
        <v>0</v>
      </c>
      <c r="BU68" s="1006">
        <f t="shared" si="182"/>
        <v>0</v>
      </c>
      <c r="BV68" s="1007" t="e">
        <f t="shared" si="183"/>
        <v>#VALUE!</v>
      </c>
      <c r="BW68" s="258" t="str">
        <f t="shared" si="266"/>
        <v>--</v>
      </c>
      <c r="BX68" s="258"/>
      <c r="BY68" s="197">
        <f t="shared" si="184"/>
        <v>0</v>
      </c>
      <c r="BZ68" s="1006">
        <f t="shared" si="185"/>
        <v>0</v>
      </c>
      <c r="CA68" s="1007" t="e">
        <f t="shared" si="186"/>
        <v>#VALUE!</v>
      </c>
      <c r="CB68" s="258" t="str">
        <f t="shared" si="267"/>
        <v>--</v>
      </c>
      <c r="CC68" s="258"/>
      <c r="CD68" s="197">
        <f t="shared" si="187"/>
        <v>0</v>
      </c>
      <c r="CE68" s="1006">
        <f t="shared" si="188"/>
        <v>0</v>
      </c>
      <c r="CF68" s="1007" t="e">
        <f t="shared" si="189"/>
        <v>#VALUE!</v>
      </c>
      <c r="CG68" s="258" t="str">
        <f t="shared" si="268"/>
        <v>--</v>
      </c>
      <c r="CH68" s="258"/>
      <c r="CI68" s="197">
        <f t="shared" si="190"/>
        <v>0</v>
      </c>
      <c r="CJ68" s="1006">
        <f t="shared" si="191"/>
        <v>0</v>
      </c>
      <c r="CK68" s="1007" t="e">
        <f t="shared" si="192"/>
        <v>#VALUE!</v>
      </c>
      <c r="CL68" s="258" t="str">
        <f t="shared" si="269"/>
        <v>--</v>
      </c>
      <c r="CM68" s="258"/>
      <c r="CN68" s="197">
        <f t="shared" si="193"/>
        <v>0</v>
      </c>
      <c r="CO68" s="1006">
        <f t="shared" si="194"/>
        <v>0</v>
      </c>
      <c r="CP68" s="1007" t="e">
        <f t="shared" si="195"/>
        <v>#VALUE!</v>
      </c>
      <c r="CQ68" s="258" t="str">
        <f t="shared" si="270"/>
        <v>--</v>
      </c>
      <c r="CR68" s="258"/>
      <c r="CS68" s="197">
        <f t="shared" si="196"/>
        <v>0</v>
      </c>
      <c r="CT68" s="1006">
        <f t="shared" si="197"/>
        <v>0</v>
      </c>
      <c r="CU68" s="1007" t="e">
        <f t="shared" si="198"/>
        <v>#VALUE!</v>
      </c>
      <c r="CV68" s="258" t="str">
        <f t="shared" si="271"/>
        <v>--</v>
      </c>
      <c r="CW68" s="258"/>
      <c r="CX68" s="197">
        <f t="shared" si="199"/>
        <v>0</v>
      </c>
      <c r="CY68" s="1006">
        <f t="shared" si="200"/>
        <v>0</v>
      </c>
      <c r="CZ68" s="1007" t="e">
        <f t="shared" si="201"/>
        <v>#VALUE!</v>
      </c>
      <c r="DA68" s="258" t="str">
        <f t="shared" si="272"/>
        <v>--</v>
      </c>
      <c r="DB68" s="258"/>
      <c r="DC68" s="197">
        <f t="shared" si="202"/>
        <v>0</v>
      </c>
      <c r="DD68" s="1006">
        <f t="shared" si="203"/>
        <v>0</v>
      </c>
      <c r="DE68" s="1007" t="e">
        <f t="shared" si="204"/>
        <v>#VALUE!</v>
      </c>
      <c r="DF68" s="258" t="str">
        <f t="shared" si="273"/>
        <v>--</v>
      </c>
      <c r="DG68" s="258"/>
      <c r="DH68" s="197">
        <f t="shared" si="205"/>
        <v>0</v>
      </c>
      <c r="DI68" s="1006">
        <f t="shared" si="206"/>
        <v>0</v>
      </c>
      <c r="DJ68" s="1007" t="e">
        <f t="shared" si="207"/>
        <v>#VALUE!</v>
      </c>
      <c r="DK68" s="258" t="str">
        <f t="shared" si="274"/>
        <v>--</v>
      </c>
      <c r="DL68" s="258"/>
      <c r="DM68" s="197">
        <f t="shared" si="208"/>
        <v>0</v>
      </c>
      <c r="DN68" s="1006">
        <f t="shared" si="209"/>
        <v>0</v>
      </c>
      <c r="DO68" s="1007" t="e">
        <f t="shared" si="210"/>
        <v>#VALUE!</v>
      </c>
      <c r="DP68" s="258" t="str">
        <f t="shared" si="275"/>
        <v>--</v>
      </c>
      <c r="DQ68" s="258"/>
      <c r="DR68" s="197">
        <f t="shared" si="211"/>
        <v>0</v>
      </c>
      <c r="DS68" s="1006">
        <f t="shared" si="212"/>
        <v>0</v>
      </c>
      <c r="DT68" s="1007" t="e">
        <f t="shared" si="213"/>
        <v>#VALUE!</v>
      </c>
      <c r="DU68" s="258" t="str">
        <f t="shared" si="276"/>
        <v>--</v>
      </c>
      <c r="DV68" s="258"/>
      <c r="DW68" s="197">
        <f t="shared" si="214"/>
        <v>0</v>
      </c>
      <c r="DX68" s="1006">
        <f t="shared" si="215"/>
        <v>0</v>
      </c>
      <c r="DY68" s="1007" t="e">
        <f t="shared" si="216"/>
        <v>#VALUE!</v>
      </c>
      <c r="DZ68" s="258" t="str">
        <f t="shared" si="277"/>
        <v>--</v>
      </c>
      <c r="EA68" s="258"/>
      <c r="EB68" s="197">
        <f t="shared" si="217"/>
        <v>0</v>
      </c>
      <c r="EC68" s="1006">
        <f t="shared" si="218"/>
        <v>0</v>
      </c>
      <c r="ED68" s="1007" t="e">
        <f t="shared" si="219"/>
        <v>#VALUE!</v>
      </c>
      <c r="EE68" s="258" t="str">
        <f t="shared" si="278"/>
        <v>--</v>
      </c>
      <c r="EF68" s="258"/>
      <c r="EG68" s="197">
        <f t="shared" si="220"/>
        <v>0</v>
      </c>
      <c r="EH68" s="1006">
        <f t="shared" si="221"/>
        <v>0</v>
      </c>
      <c r="EI68" s="1007" t="e">
        <f t="shared" si="222"/>
        <v>#VALUE!</v>
      </c>
      <c r="EJ68" s="258" t="str">
        <f t="shared" si="279"/>
        <v>--</v>
      </c>
      <c r="EK68" s="258"/>
      <c r="EL68" s="197">
        <f t="shared" si="223"/>
        <v>0</v>
      </c>
      <c r="EM68" s="1006">
        <f t="shared" si="224"/>
        <v>0</v>
      </c>
      <c r="EN68" s="1007" t="e">
        <f t="shared" si="225"/>
        <v>#VALUE!</v>
      </c>
      <c r="EO68" s="258" t="str">
        <f t="shared" si="280"/>
        <v>--</v>
      </c>
      <c r="EP68" s="258"/>
      <c r="EQ68" s="197">
        <f t="shared" si="226"/>
        <v>0</v>
      </c>
      <c r="ER68" s="1006">
        <f t="shared" si="227"/>
        <v>0</v>
      </c>
      <c r="ES68" s="1007" t="e">
        <f t="shared" si="228"/>
        <v>#VALUE!</v>
      </c>
      <c r="ET68" s="258" t="str">
        <f t="shared" si="281"/>
        <v>--</v>
      </c>
      <c r="EU68" s="258"/>
      <c r="EV68" s="197">
        <f t="shared" si="229"/>
        <v>0</v>
      </c>
      <c r="EW68" s="1006">
        <f t="shared" si="230"/>
        <v>0</v>
      </c>
      <c r="EX68" s="1007" t="e">
        <f t="shared" si="231"/>
        <v>#VALUE!</v>
      </c>
      <c r="EY68" s="258" t="str">
        <f t="shared" si="282"/>
        <v>--</v>
      </c>
      <c r="EZ68" s="258"/>
      <c r="FA68" s="197">
        <f t="shared" si="232"/>
        <v>0</v>
      </c>
      <c r="FB68" s="1006">
        <f t="shared" si="233"/>
        <v>0</v>
      </c>
      <c r="FC68" s="1007" t="e">
        <f t="shared" si="234"/>
        <v>#VALUE!</v>
      </c>
      <c r="FD68" s="258" t="str">
        <f t="shared" si="283"/>
        <v>--</v>
      </c>
      <c r="FE68" s="258"/>
      <c r="FF68" s="197">
        <f t="shared" si="235"/>
        <v>0</v>
      </c>
      <c r="FG68" s="1006">
        <f t="shared" si="236"/>
        <v>0</v>
      </c>
      <c r="FH68" s="1007" t="e">
        <f t="shared" si="237"/>
        <v>#VALUE!</v>
      </c>
      <c r="FI68" s="258" t="str">
        <f t="shared" si="284"/>
        <v>--</v>
      </c>
      <c r="FJ68" s="258"/>
      <c r="FK68" s="197">
        <f t="shared" si="238"/>
        <v>0</v>
      </c>
      <c r="FL68" s="1006">
        <f t="shared" si="239"/>
        <v>0</v>
      </c>
      <c r="FM68" s="1007" t="e">
        <f t="shared" si="240"/>
        <v>#VALUE!</v>
      </c>
      <c r="FN68" s="258" t="str">
        <f t="shared" si="285"/>
        <v>--</v>
      </c>
      <c r="FO68" s="258"/>
      <c r="FP68" s="197">
        <f t="shared" si="241"/>
        <v>0</v>
      </c>
      <c r="FQ68" s="1006">
        <f t="shared" si="242"/>
        <v>0</v>
      </c>
      <c r="FR68" s="1007" t="e">
        <f t="shared" si="243"/>
        <v>#VALUE!</v>
      </c>
      <c r="FS68" s="258" t="str">
        <f t="shared" si="286"/>
        <v>--</v>
      </c>
      <c r="FT68" s="258"/>
      <c r="FU68" s="197">
        <f t="shared" si="244"/>
        <v>0</v>
      </c>
      <c r="FV68" s="1006">
        <f t="shared" si="245"/>
        <v>0</v>
      </c>
      <c r="FW68" s="1007" t="e">
        <f t="shared" si="246"/>
        <v>#VALUE!</v>
      </c>
      <c r="FX68" s="258" t="str">
        <f t="shared" si="287"/>
        <v>--</v>
      </c>
      <c r="FY68" s="258"/>
      <c r="FZ68" s="197">
        <f t="shared" si="247"/>
        <v>0</v>
      </c>
      <c r="GA68" s="1006">
        <f t="shared" si="248"/>
        <v>0</v>
      </c>
      <c r="GB68" s="1007" t="e">
        <f t="shared" si="249"/>
        <v>#VALUE!</v>
      </c>
      <c r="GC68" s="258" t="str">
        <f t="shared" si="288"/>
        <v>--</v>
      </c>
      <c r="GD68" s="258"/>
      <c r="GE68" s="197">
        <f t="shared" si="250"/>
        <v>0</v>
      </c>
      <c r="GF68" s="1006">
        <f t="shared" si="251"/>
        <v>0</v>
      </c>
      <c r="GG68" s="1007" t="e">
        <f t="shared" si="252"/>
        <v>#VALUE!</v>
      </c>
      <c r="GH68" s="258" t="str">
        <f t="shared" si="289"/>
        <v>--</v>
      </c>
      <c r="GI68" s="258"/>
      <c r="GJ68" s="197">
        <f t="shared" si="253"/>
        <v>0</v>
      </c>
      <c r="GK68" s="1340"/>
      <c r="GL68" s="164"/>
      <c r="GM68" s="164"/>
      <c r="GN68" s="164"/>
    </row>
    <row r="69" spans="1:196" ht="12.75" x14ac:dyDescent="0.2">
      <c r="A69" s="243">
        <f>'Item list'!A69</f>
        <v>0</v>
      </c>
      <c r="B69" s="243">
        <f>'Item list'!B69</f>
        <v>0</v>
      </c>
      <c r="C69" s="243">
        <f>'Item list'!C69</f>
        <v>0</v>
      </c>
      <c r="D69" s="989">
        <f>'Item list'!D69</f>
        <v>0</v>
      </c>
      <c r="E69" s="243">
        <f>'Item list'!E69</f>
        <v>0</v>
      </c>
      <c r="F69" s="243">
        <f>'Item list'!F69</f>
        <v>0</v>
      </c>
      <c r="G69" s="243">
        <f>'Item list'!G69</f>
        <v>0</v>
      </c>
      <c r="H69" s="1005" t="e">
        <f t="shared" si="144"/>
        <v>#REF!</v>
      </c>
      <c r="I69" s="243"/>
      <c r="J69" s="243"/>
      <c r="K69" s="243"/>
      <c r="L69" s="197">
        <f t="shared" si="145"/>
        <v>0</v>
      </c>
      <c r="M69" s="1006">
        <f t="shared" si="146"/>
        <v>0</v>
      </c>
      <c r="N69" s="1007" t="e">
        <f t="shared" si="147"/>
        <v>#VALUE!</v>
      </c>
      <c r="O69" s="258" t="str">
        <f t="shared" si="254"/>
        <v>--</v>
      </c>
      <c r="P69" s="258"/>
      <c r="Q69" s="197">
        <f t="shared" si="148"/>
        <v>0</v>
      </c>
      <c r="R69" s="1006">
        <f t="shared" si="149"/>
        <v>0</v>
      </c>
      <c r="S69" s="1007" t="e">
        <f t="shared" si="150"/>
        <v>#VALUE!</v>
      </c>
      <c r="T69" s="258" t="str">
        <f t="shared" si="255"/>
        <v>--</v>
      </c>
      <c r="U69" s="258"/>
      <c r="V69" s="197">
        <f t="shared" si="151"/>
        <v>0</v>
      </c>
      <c r="W69" s="1006">
        <f t="shared" si="152"/>
        <v>0</v>
      </c>
      <c r="X69" s="1007" t="e">
        <f t="shared" si="153"/>
        <v>#VALUE!</v>
      </c>
      <c r="Y69" s="258" t="str">
        <f t="shared" si="256"/>
        <v>--</v>
      </c>
      <c r="Z69" s="258"/>
      <c r="AA69" s="197">
        <f t="shared" si="154"/>
        <v>0</v>
      </c>
      <c r="AB69" s="1006">
        <f t="shared" si="155"/>
        <v>0</v>
      </c>
      <c r="AC69" s="1007" t="e">
        <f t="shared" si="156"/>
        <v>#VALUE!</v>
      </c>
      <c r="AD69" s="258" t="str">
        <f t="shared" si="257"/>
        <v>--</v>
      </c>
      <c r="AE69" s="258"/>
      <c r="AF69" s="197">
        <f t="shared" si="157"/>
        <v>0</v>
      </c>
      <c r="AG69" s="1006">
        <f t="shared" si="158"/>
        <v>0</v>
      </c>
      <c r="AH69" s="1007" t="e">
        <f t="shared" si="159"/>
        <v>#VALUE!</v>
      </c>
      <c r="AI69" s="258" t="str">
        <f t="shared" si="258"/>
        <v>--</v>
      </c>
      <c r="AJ69" s="258"/>
      <c r="AK69" s="197">
        <f t="shared" si="160"/>
        <v>0</v>
      </c>
      <c r="AL69" s="1006">
        <f t="shared" si="161"/>
        <v>0</v>
      </c>
      <c r="AM69" s="1007" t="e">
        <f t="shared" si="162"/>
        <v>#VALUE!</v>
      </c>
      <c r="AN69" s="258" t="str">
        <f t="shared" si="259"/>
        <v>--</v>
      </c>
      <c r="AO69" s="258"/>
      <c r="AP69" s="197">
        <f t="shared" si="163"/>
        <v>0</v>
      </c>
      <c r="AQ69" s="1006">
        <f t="shared" si="164"/>
        <v>0</v>
      </c>
      <c r="AR69" s="1007" t="e">
        <f t="shared" si="165"/>
        <v>#VALUE!</v>
      </c>
      <c r="AS69" s="258" t="str">
        <f t="shared" si="260"/>
        <v>--</v>
      </c>
      <c r="AT69" s="258"/>
      <c r="AU69" s="197">
        <f t="shared" si="166"/>
        <v>0</v>
      </c>
      <c r="AV69" s="1006">
        <f t="shared" si="167"/>
        <v>0</v>
      </c>
      <c r="AW69" s="1007" t="e">
        <f t="shared" si="168"/>
        <v>#VALUE!</v>
      </c>
      <c r="AX69" s="258" t="str">
        <f t="shared" si="261"/>
        <v>--</v>
      </c>
      <c r="AY69" s="258"/>
      <c r="AZ69" s="197">
        <f t="shared" si="169"/>
        <v>0</v>
      </c>
      <c r="BA69" s="1006">
        <f t="shared" si="170"/>
        <v>0</v>
      </c>
      <c r="BB69" s="1007" t="e">
        <f t="shared" si="171"/>
        <v>#VALUE!</v>
      </c>
      <c r="BC69" s="258" t="str">
        <f t="shared" si="262"/>
        <v>--</v>
      </c>
      <c r="BD69" s="258"/>
      <c r="BE69" s="197">
        <f t="shared" si="172"/>
        <v>0</v>
      </c>
      <c r="BF69" s="1006">
        <f t="shared" si="173"/>
        <v>0</v>
      </c>
      <c r="BG69" s="1007" t="e">
        <f t="shared" si="174"/>
        <v>#VALUE!</v>
      </c>
      <c r="BH69" s="258" t="str">
        <f t="shared" si="263"/>
        <v>--</v>
      </c>
      <c r="BI69" s="258"/>
      <c r="BJ69" s="197">
        <f t="shared" si="175"/>
        <v>0</v>
      </c>
      <c r="BK69" s="1006">
        <f t="shared" si="176"/>
        <v>0</v>
      </c>
      <c r="BL69" s="1007" t="e">
        <f t="shared" si="177"/>
        <v>#VALUE!</v>
      </c>
      <c r="BM69" s="258" t="str">
        <f t="shared" si="264"/>
        <v>--</v>
      </c>
      <c r="BN69" s="258"/>
      <c r="BO69" s="197">
        <f t="shared" si="178"/>
        <v>0</v>
      </c>
      <c r="BP69" s="1006">
        <f t="shared" si="179"/>
        <v>0</v>
      </c>
      <c r="BQ69" s="1007" t="e">
        <f t="shared" si="180"/>
        <v>#VALUE!</v>
      </c>
      <c r="BR69" s="258" t="str">
        <f t="shared" si="265"/>
        <v>--</v>
      </c>
      <c r="BS69" s="258"/>
      <c r="BT69" s="197">
        <f t="shared" si="181"/>
        <v>0</v>
      </c>
      <c r="BU69" s="1006">
        <f t="shared" si="182"/>
        <v>0</v>
      </c>
      <c r="BV69" s="1007" t="e">
        <f t="shared" si="183"/>
        <v>#VALUE!</v>
      </c>
      <c r="BW69" s="258" t="str">
        <f t="shared" si="266"/>
        <v>--</v>
      </c>
      <c r="BX69" s="258"/>
      <c r="BY69" s="197">
        <f t="shared" si="184"/>
        <v>0</v>
      </c>
      <c r="BZ69" s="1006">
        <f t="shared" si="185"/>
        <v>0</v>
      </c>
      <c r="CA69" s="1007" t="e">
        <f t="shared" si="186"/>
        <v>#VALUE!</v>
      </c>
      <c r="CB69" s="258" t="str">
        <f t="shared" si="267"/>
        <v>--</v>
      </c>
      <c r="CC69" s="258"/>
      <c r="CD69" s="197">
        <f t="shared" si="187"/>
        <v>0</v>
      </c>
      <c r="CE69" s="1006">
        <f t="shared" si="188"/>
        <v>0</v>
      </c>
      <c r="CF69" s="1007" t="e">
        <f t="shared" si="189"/>
        <v>#VALUE!</v>
      </c>
      <c r="CG69" s="258" t="str">
        <f t="shared" si="268"/>
        <v>--</v>
      </c>
      <c r="CH69" s="258"/>
      <c r="CI69" s="197">
        <f t="shared" si="190"/>
        <v>0</v>
      </c>
      <c r="CJ69" s="1006">
        <f t="shared" si="191"/>
        <v>0</v>
      </c>
      <c r="CK69" s="1007" t="e">
        <f t="shared" si="192"/>
        <v>#VALUE!</v>
      </c>
      <c r="CL69" s="258" t="str">
        <f t="shared" si="269"/>
        <v>--</v>
      </c>
      <c r="CM69" s="258"/>
      <c r="CN69" s="197">
        <f t="shared" si="193"/>
        <v>0</v>
      </c>
      <c r="CO69" s="1006">
        <f t="shared" si="194"/>
        <v>0</v>
      </c>
      <c r="CP69" s="1007" t="e">
        <f t="shared" si="195"/>
        <v>#VALUE!</v>
      </c>
      <c r="CQ69" s="258" t="str">
        <f t="shared" si="270"/>
        <v>--</v>
      </c>
      <c r="CR69" s="258"/>
      <c r="CS69" s="197">
        <f t="shared" si="196"/>
        <v>0</v>
      </c>
      <c r="CT69" s="1006">
        <f t="shared" si="197"/>
        <v>0</v>
      </c>
      <c r="CU69" s="1007" t="e">
        <f t="shared" si="198"/>
        <v>#VALUE!</v>
      </c>
      <c r="CV69" s="258" t="str">
        <f t="shared" si="271"/>
        <v>--</v>
      </c>
      <c r="CW69" s="258"/>
      <c r="CX69" s="197">
        <f t="shared" si="199"/>
        <v>0</v>
      </c>
      <c r="CY69" s="1006">
        <f t="shared" si="200"/>
        <v>0</v>
      </c>
      <c r="CZ69" s="1007" t="e">
        <f t="shared" si="201"/>
        <v>#VALUE!</v>
      </c>
      <c r="DA69" s="258" t="str">
        <f t="shared" si="272"/>
        <v>--</v>
      </c>
      <c r="DB69" s="258"/>
      <c r="DC69" s="197">
        <f t="shared" si="202"/>
        <v>0</v>
      </c>
      <c r="DD69" s="1006">
        <f t="shared" si="203"/>
        <v>0</v>
      </c>
      <c r="DE69" s="1007" t="e">
        <f t="shared" si="204"/>
        <v>#VALUE!</v>
      </c>
      <c r="DF69" s="258" t="str">
        <f t="shared" si="273"/>
        <v>--</v>
      </c>
      <c r="DG69" s="258"/>
      <c r="DH69" s="197">
        <f t="shared" si="205"/>
        <v>0</v>
      </c>
      <c r="DI69" s="1006">
        <f t="shared" si="206"/>
        <v>0</v>
      </c>
      <c r="DJ69" s="1007" t="e">
        <f t="shared" si="207"/>
        <v>#VALUE!</v>
      </c>
      <c r="DK69" s="258" t="str">
        <f t="shared" si="274"/>
        <v>--</v>
      </c>
      <c r="DL69" s="258"/>
      <c r="DM69" s="197">
        <f t="shared" si="208"/>
        <v>0</v>
      </c>
      <c r="DN69" s="1006">
        <f t="shared" si="209"/>
        <v>0</v>
      </c>
      <c r="DO69" s="1007" t="e">
        <f t="shared" si="210"/>
        <v>#VALUE!</v>
      </c>
      <c r="DP69" s="258" t="str">
        <f t="shared" si="275"/>
        <v>--</v>
      </c>
      <c r="DQ69" s="258"/>
      <c r="DR69" s="197">
        <f t="shared" si="211"/>
        <v>0</v>
      </c>
      <c r="DS69" s="1006">
        <f t="shared" si="212"/>
        <v>0</v>
      </c>
      <c r="DT69" s="1007" t="e">
        <f t="shared" si="213"/>
        <v>#VALUE!</v>
      </c>
      <c r="DU69" s="258" t="str">
        <f t="shared" si="276"/>
        <v>--</v>
      </c>
      <c r="DV69" s="258"/>
      <c r="DW69" s="197">
        <f t="shared" si="214"/>
        <v>0</v>
      </c>
      <c r="DX69" s="1006">
        <f t="shared" si="215"/>
        <v>0</v>
      </c>
      <c r="DY69" s="1007" t="e">
        <f t="shared" si="216"/>
        <v>#VALUE!</v>
      </c>
      <c r="DZ69" s="258" t="str">
        <f t="shared" si="277"/>
        <v>--</v>
      </c>
      <c r="EA69" s="258"/>
      <c r="EB69" s="197">
        <f t="shared" si="217"/>
        <v>0</v>
      </c>
      <c r="EC69" s="1006">
        <f t="shared" si="218"/>
        <v>0</v>
      </c>
      <c r="ED69" s="1007" t="e">
        <f t="shared" si="219"/>
        <v>#VALUE!</v>
      </c>
      <c r="EE69" s="258" t="str">
        <f t="shared" si="278"/>
        <v>--</v>
      </c>
      <c r="EF69" s="258"/>
      <c r="EG69" s="197">
        <f t="shared" si="220"/>
        <v>0</v>
      </c>
      <c r="EH69" s="1006">
        <f t="shared" si="221"/>
        <v>0</v>
      </c>
      <c r="EI69" s="1007" t="e">
        <f t="shared" si="222"/>
        <v>#VALUE!</v>
      </c>
      <c r="EJ69" s="258" t="str">
        <f t="shared" si="279"/>
        <v>--</v>
      </c>
      <c r="EK69" s="258"/>
      <c r="EL69" s="197">
        <f t="shared" si="223"/>
        <v>0</v>
      </c>
      <c r="EM69" s="1006">
        <f t="shared" si="224"/>
        <v>0</v>
      </c>
      <c r="EN69" s="1007" t="e">
        <f t="shared" si="225"/>
        <v>#VALUE!</v>
      </c>
      <c r="EO69" s="258" t="str">
        <f t="shared" si="280"/>
        <v>--</v>
      </c>
      <c r="EP69" s="258"/>
      <c r="EQ69" s="197">
        <f t="shared" si="226"/>
        <v>0</v>
      </c>
      <c r="ER69" s="1006">
        <f t="shared" si="227"/>
        <v>0</v>
      </c>
      <c r="ES69" s="1007" t="e">
        <f t="shared" si="228"/>
        <v>#VALUE!</v>
      </c>
      <c r="ET69" s="258" t="str">
        <f t="shared" si="281"/>
        <v>--</v>
      </c>
      <c r="EU69" s="258"/>
      <c r="EV69" s="197">
        <f t="shared" si="229"/>
        <v>0</v>
      </c>
      <c r="EW69" s="1006">
        <f t="shared" si="230"/>
        <v>0</v>
      </c>
      <c r="EX69" s="1007" t="e">
        <f t="shared" si="231"/>
        <v>#VALUE!</v>
      </c>
      <c r="EY69" s="258" t="str">
        <f t="shared" si="282"/>
        <v>--</v>
      </c>
      <c r="EZ69" s="258"/>
      <c r="FA69" s="197">
        <f t="shared" si="232"/>
        <v>0</v>
      </c>
      <c r="FB69" s="1006">
        <f t="shared" si="233"/>
        <v>0</v>
      </c>
      <c r="FC69" s="1007" t="e">
        <f t="shared" si="234"/>
        <v>#VALUE!</v>
      </c>
      <c r="FD69" s="258" t="str">
        <f t="shared" si="283"/>
        <v>--</v>
      </c>
      <c r="FE69" s="258"/>
      <c r="FF69" s="197">
        <f t="shared" si="235"/>
        <v>0</v>
      </c>
      <c r="FG69" s="1006">
        <f t="shared" si="236"/>
        <v>0</v>
      </c>
      <c r="FH69" s="1007" t="e">
        <f t="shared" si="237"/>
        <v>#VALUE!</v>
      </c>
      <c r="FI69" s="258" t="str">
        <f t="shared" si="284"/>
        <v>--</v>
      </c>
      <c r="FJ69" s="258"/>
      <c r="FK69" s="197">
        <f t="shared" si="238"/>
        <v>0</v>
      </c>
      <c r="FL69" s="1006">
        <f t="shared" si="239"/>
        <v>0</v>
      </c>
      <c r="FM69" s="1007" t="e">
        <f t="shared" si="240"/>
        <v>#VALUE!</v>
      </c>
      <c r="FN69" s="258" t="str">
        <f t="shared" si="285"/>
        <v>--</v>
      </c>
      <c r="FO69" s="258"/>
      <c r="FP69" s="197">
        <f t="shared" si="241"/>
        <v>0</v>
      </c>
      <c r="FQ69" s="1006">
        <f t="shared" si="242"/>
        <v>0</v>
      </c>
      <c r="FR69" s="1007" t="e">
        <f t="shared" si="243"/>
        <v>#VALUE!</v>
      </c>
      <c r="FS69" s="258" t="str">
        <f t="shared" si="286"/>
        <v>--</v>
      </c>
      <c r="FT69" s="258"/>
      <c r="FU69" s="197">
        <f t="shared" si="244"/>
        <v>0</v>
      </c>
      <c r="FV69" s="1006">
        <f t="shared" si="245"/>
        <v>0</v>
      </c>
      <c r="FW69" s="1007" t="e">
        <f t="shared" si="246"/>
        <v>#VALUE!</v>
      </c>
      <c r="FX69" s="258" t="str">
        <f t="shared" si="287"/>
        <v>--</v>
      </c>
      <c r="FY69" s="258"/>
      <c r="FZ69" s="197">
        <f t="shared" si="247"/>
        <v>0</v>
      </c>
      <c r="GA69" s="1006">
        <f t="shared" si="248"/>
        <v>0</v>
      </c>
      <c r="GB69" s="1007" t="e">
        <f t="shared" si="249"/>
        <v>#VALUE!</v>
      </c>
      <c r="GC69" s="258" t="str">
        <f t="shared" si="288"/>
        <v>--</v>
      </c>
      <c r="GD69" s="258"/>
      <c r="GE69" s="197">
        <f t="shared" si="250"/>
        <v>0</v>
      </c>
      <c r="GF69" s="1006">
        <f t="shared" si="251"/>
        <v>0</v>
      </c>
      <c r="GG69" s="1007" t="e">
        <f t="shared" si="252"/>
        <v>#VALUE!</v>
      </c>
      <c r="GH69" s="258" t="str">
        <f t="shared" si="289"/>
        <v>--</v>
      </c>
      <c r="GI69" s="258"/>
      <c r="GJ69" s="197">
        <f t="shared" si="253"/>
        <v>0</v>
      </c>
      <c r="GK69" s="1340"/>
      <c r="GL69" s="164"/>
      <c r="GM69" s="164"/>
      <c r="GN69" s="164"/>
    </row>
    <row r="70" spans="1:196" ht="12.75" x14ac:dyDescent="0.2">
      <c r="A70" s="243">
        <f>'Item list'!A70</f>
        <v>0</v>
      </c>
      <c r="B70" s="243">
        <f>'Item list'!B70</f>
        <v>0</v>
      </c>
      <c r="C70" s="243">
        <f>'Item list'!C70</f>
        <v>0</v>
      </c>
      <c r="D70" s="989">
        <f>'Item list'!D70</f>
        <v>0</v>
      </c>
      <c r="E70" s="243">
        <f>'Item list'!E70</f>
        <v>0</v>
      </c>
      <c r="F70" s="243">
        <f>'Item list'!F70</f>
        <v>0</v>
      </c>
      <c r="G70" s="243">
        <f>'Item list'!G70</f>
        <v>0</v>
      </c>
      <c r="H70" s="1005" t="e">
        <f t="shared" si="144"/>
        <v>#REF!</v>
      </c>
      <c r="I70" s="243"/>
      <c r="J70" s="243"/>
      <c r="K70" s="243"/>
      <c r="L70" s="197">
        <f t="shared" si="145"/>
        <v>0</v>
      </c>
      <c r="M70" s="1006">
        <f t="shared" si="146"/>
        <v>0</v>
      </c>
      <c r="N70" s="1007" t="e">
        <f t="shared" si="147"/>
        <v>#VALUE!</v>
      </c>
      <c r="O70" s="258" t="str">
        <f t="shared" si="254"/>
        <v>--</v>
      </c>
      <c r="P70" s="258"/>
      <c r="Q70" s="197">
        <f t="shared" si="148"/>
        <v>0</v>
      </c>
      <c r="R70" s="1006">
        <f t="shared" si="149"/>
        <v>0</v>
      </c>
      <c r="S70" s="1007" t="e">
        <f t="shared" si="150"/>
        <v>#VALUE!</v>
      </c>
      <c r="T70" s="258" t="str">
        <f t="shared" si="255"/>
        <v>--</v>
      </c>
      <c r="U70" s="258"/>
      <c r="V70" s="197">
        <f t="shared" si="151"/>
        <v>0</v>
      </c>
      <c r="W70" s="1006">
        <f t="shared" si="152"/>
        <v>0</v>
      </c>
      <c r="X70" s="1007" t="e">
        <f t="shared" si="153"/>
        <v>#VALUE!</v>
      </c>
      <c r="Y70" s="258" t="str">
        <f t="shared" si="256"/>
        <v>--</v>
      </c>
      <c r="Z70" s="258"/>
      <c r="AA70" s="197">
        <f t="shared" si="154"/>
        <v>0</v>
      </c>
      <c r="AB70" s="1006">
        <f t="shared" si="155"/>
        <v>0</v>
      </c>
      <c r="AC70" s="1007" t="e">
        <f t="shared" si="156"/>
        <v>#VALUE!</v>
      </c>
      <c r="AD70" s="258" t="str">
        <f t="shared" si="257"/>
        <v>--</v>
      </c>
      <c r="AE70" s="258"/>
      <c r="AF70" s="197">
        <f t="shared" si="157"/>
        <v>0</v>
      </c>
      <c r="AG70" s="1006">
        <f t="shared" si="158"/>
        <v>0</v>
      </c>
      <c r="AH70" s="1007" t="e">
        <f t="shared" si="159"/>
        <v>#VALUE!</v>
      </c>
      <c r="AI70" s="258" t="str">
        <f t="shared" si="258"/>
        <v>--</v>
      </c>
      <c r="AJ70" s="258"/>
      <c r="AK70" s="197">
        <f t="shared" si="160"/>
        <v>0</v>
      </c>
      <c r="AL70" s="1006">
        <f t="shared" si="161"/>
        <v>0</v>
      </c>
      <c r="AM70" s="1007" t="e">
        <f t="shared" si="162"/>
        <v>#VALUE!</v>
      </c>
      <c r="AN70" s="258" t="str">
        <f t="shared" si="259"/>
        <v>--</v>
      </c>
      <c r="AO70" s="258"/>
      <c r="AP70" s="197">
        <f t="shared" si="163"/>
        <v>0</v>
      </c>
      <c r="AQ70" s="1006">
        <f t="shared" si="164"/>
        <v>0</v>
      </c>
      <c r="AR70" s="1007" t="e">
        <f t="shared" si="165"/>
        <v>#VALUE!</v>
      </c>
      <c r="AS70" s="258" t="str">
        <f t="shared" si="260"/>
        <v>--</v>
      </c>
      <c r="AT70" s="258"/>
      <c r="AU70" s="197">
        <f t="shared" si="166"/>
        <v>0</v>
      </c>
      <c r="AV70" s="1006">
        <f t="shared" si="167"/>
        <v>0</v>
      </c>
      <c r="AW70" s="1007" t="e">
        <f t="shared" si="168"/>
        <v>#VALUE!</v>
      </c>
      <c r="AX70" s="258" t="str">
        <f t="shared" si="261"/>
        <v>--</v>
      </c>
      <c r="AY70" s="258"/>
      <c r="AZ70" s="197">
        <f t="shared" si="169"/>
        <v>0</v>
      </c>
      <c r="BA70" s="1006">
        <f t="shared" si="170"/>
        <v>0</v>
      </c>
      <c r="BB70" s="1007" t="e">
        <f t="shared" si="171"/>
        <v>#VALUE!</v>
      </c>
      <c r="BC70" s="258" t="str">
        <f t="shared" si="262"/>
        <v>--</v>
      </c>
      <c r="BD70" s="258"/>
      <c r="BE70" s="197">
        <f t="shared" si="172"/>
        <v>0</v>
      </c>
      <c r="BF70" s="1006">
        <f t="shared" si="173"/>
        <v>0</v>
      </c>
      <c r="BG70" s="1007" t="e">
        <f t="shared" si="174"/>
        <v>#VALUE!</v>
      </c>
      <c r="BH70" s="258" t="str">
        <f t="shared" si="263"/>
        <v>--</v>
      </c>
      <c r="BI70" s="258"/>
      <c r="BJ70" s="197">
        <f t="shared" si="175"/>
        <v>0</v>
      </c>
      <c r="BK70" s="1006">
        <f t="shared" si="176"/>
        <v>0</v>
      </c>
      <c r="BL70" s="1007" t="e">
        <f t="shared" si="177"/>
        <v>#VALUE!</v>
      </c>
      <c r="BM70" s="258" t="str">
        <f t="shared" si="264"/>
        <v>--</v>
      </c>
      <c r="BN70" s="258"/>
      <c r="BO70" s="197">
        <f t="shared" si="178"/>
        <v>0</v>
      </c>
      <c r="BP70" s="1006">
        <f t="shared" si="179"/>
        <v>0</v>
      </c>
      <c r="BQ70" s="1007" t="e">
        <f t="shared" si="180"/>
        <v>#VALUE!</v>
      </c>
      <c r="BR70" s="258" t="str">
        <f t="shared" si="265"/>
        <v>--</v>
      </c>
      <c r="BS70" s="258"/>
      <c r="BT70" s="197">
        <f t="shared" si="181"/>
        <v>0</v>
      </c>
      <c r="BU70" s="1006">
        <f t="shared" si="182"/>
        <v>0</v>
      </c>
      <c r="BV70" s="1007" t="e">
        <f t="shared" si="183"/>
        <v>#VALUE!</v>
      </c>
      <c r="BW70" s="258" t="str">
        <f t="shared" si="266"/>
        <v>--</v>
      </c>
      <c r="BX70" s="258"/>
      <c r="BY70" s="197">
        <f t="shared" si="184"/>
        <v>0</v>
      </c>
      <c r="BZ70" s="1006">
        <f t="shared" si="185"/>
        <v>0</v>
      </c>
      <c r="CA70" s="1007" t="e">
        <f t="shared" si="186"/>
        <v>#VALUE!</v>
      </c>
      <c r="CB70" s="258" t="str">
        <f t="shared" si="267"/>
        <v>--</v>
      </c>
      <c r="CC70" s="258"/>
      <c r="CD70" s="197">
        <f t="shared" si="187"/>
        <v>0</v>
      </c>
      <c r="CE70" s="1006">
        <f t="shared" si="188"/>
        <v>0</v>
      </c>
      <c r="CF70" s="1007" t="e">
        <f t="shared" si="189"/>
        <v>#VALUE!</v>
      </c>
      <c r="CG70" s="258" t="str">
        <f t="shared" si="268"/>
        <v>--</v>
      </c>
      <c r="CH70" s="258"/>
      <c r="CI70" s="197">
        <f t="shared" si="190"/>
        <v>0</v>
      </c>
      <c r="CJ70" s="1006">
        <f t="shared" si="191"/>
        <v>0</v>
      </c>
      <c r="CK70" s="1007" t="e">
        <f t="shared" si="192"/>
        <v>#VALUE!</v>
      </c>
      <c r="CL70" s="258" t="str">
        <f t="shared" si="269"/>
        <v>--</v>
      </c>
      <c r="CM70" s="258"/>
      <c r="CN70" s="197">
        <f t="shared" si="193"/>
        <v>0</v>
      </c>
      <c r="CO70" s="1006">
        <f t="shared" si="194"/>
        <v>0</v>
      </c>
      <c r="CP70" s="1007" t="e">
        <f t="shared" si="195"/>
        <v>#VALUE!</v>
      </c>
      <c r="CQ70" s="258" t="str">
        <f t="shared" si="270"/>
        <v>--</v>
      </c>
      <c r="CR70" s="258"/>
      <c r="CS70" s="197">
        <f t="shared" si="196"/>
        <v>0</v>
      </c>
      <c r="CT70" s="1006">
        <f t="shared" si="197"/>
        <v>0</v>
      </c>
      <c r="CU70" s="1007" t="e">
        <f t="shared" si="198"/>
        <v>#VALUE!</v>
      </c>
      <c r="CV70" s="258" t="str">
        <f t="shared" si="271"/>
        <v>--</v>
      </c>
      <c r="CW70" s="258"/>
      <c r="CX70" s="197">
        <f t="shared" si="199"/>
        <v>0</v>
      </c>
      <c r="CY70" s="1006">
        <f t="shared" si="200"/>
        <v>0</v>
      </c>
      <c r="CZ70" s="1007" t="e">
        <f t="shared" si="201"/>
        <v>#VALUE!</v>
      </c>
      <c r="DA70" s="258" t="str">
        <f t="shared" si="272"/>
        <v>--</v>
      </c>
      <c r="DB70" s="258"/>
      <c r="DC70" s="197">
        <f t="shared" si="202"/>
        <v>0</v>
      </c>
      <c r="DD70" s="1006">
        <f t="shared" si="203"/>
        <v>0</v>
      </c>
      <c r="DE70" s="1007" t="e">
        <f t="shared" si="204"/>
        <v>#VALUE!</v>
      </c>
      <c r="DF70" s="258" t="str">
        <f t="shared" si="273"/>
        <v>--</v>
      </c>
      <c r="DG70" s="258"/>
      <c r="DH70" s="197">
        <f t="shared" si="205"/>
        <v>0</v>
      </c>
      <c r="DI70" s="1006">
        <f t="shared" si="206"/>
        <v>0</v>
      </c>
      <c r="DJ70" s="1007" t="e">
        <f t="shared" si="207"/>
        <v>#VALUE!</v>
      </c>
      <c r="DK70" s="258" t="str">
        <f t="shared" si="274"/>
        <v>--</v>
      </c>
      <c r="DL70" s="258"/>
      <c r="DM70" s="197">
        <f t="shared" si="208"/>
        <v>0</v>
      </c>
      <c r="DN70" s="1006">
        <f t="shared" si="209"/>
        <v>0</v>
      </c>
      <c r="DO70" s="1007" t="e">
        <f t="shared" si="210"/>
        <v>#VALUE!</v>
      </c>
      <c r="DP70" s="258" t="str">
        <f t="shared" si="275"/>
        <v>--</v>
      </c>
      <c r="DQ70" s="258"/>
      <c r="DR70" s="197">
        <f t="shared" si="211"/>
        <v>0</v>
      </c>
      <c r="DS70" s="1006">
        <f t="shared" si="212"/>
        <v>0</v>
      </c>
      <c r="DT70" s="1007" t="e">
        <f t="shared" si="213"/>
        <v>#VALUE!</v>
      </c>
      <c r="DU70" s="258" t="str">
        <f t="shared" si="276"/>
        <v>--</v>
      </c>
      <c r="DV70" s="258"/>
      <c r="DW70" s="197">
        <f t="shared" si="214"/>
        <v>0</v>
      </c>
      <c r="DX70" s="1006">
        <f t="shared" si="215"/>
        <v>0</v>
      </c>
      <c r="DY70" s="1007" t="e">
        <f t="shared" si="216"/>
        <v>#VALUE!</v>
      </c>
      <c r="DZ70" s="258" t="str">
        <f t="shared" si="277"/>
        <v>--</v>
      </c>
      <c r="EA70" s="258"/>
      <c r="EB70" s="197">
        <f t="shared" si="217"/>
        <v>0</v>
      </c>
      <c r="EC70" s="1006">
        <f t="shared" si="218"/>
        <v>0</v>
      </c>
      <c r="ED70" s="1007" t="e">
        <f t="shared" si="219"/>
        <v>#VALUE!</v>
      </c>
      <c r="EE70" s="258" t="str">
        <f t="shared" si="278"/>
        <v>--</v>
      </c>
      <c r="EF70" s="258"/>
      <c r="EG70" s="197">
        <f t="shared" si="220"/>
        <v>0</v>
      </c>
      <c r="EH70" s="1006">
        <f t="shared" si="221"/>
        <v>0</v>
      </c>
      <c r="EI70" s="1007" t="e">
        <f t="shared" si="222"/>
        <v>#VALUE!</v>
      </c>
      <c r="EJ70" s="258" t="str">
        <f t="shared" si="279"/>
        <v>--</v>
      </c>
      <c r="EK70" s="258"/>
      <c r="EL70" s="197">
        <f t="shared" si="223"/>
        <v>0</v>
      </c>
      <c r="EM70" s="1006">
        <f t="shared" si="224"/>
        <v>0</v>
      </c>
      <c r="EN70" s="1007" t="e">
        <f t="shared" si="225"/>
        <v>#VALUE!</v>
      </c>
      <c r="EO70" s="258" t="str">
        <f t="shared" si="280"/>
        <v>--</v>
      </c>
      <c r="EP70" s="258"/>
      <c r="EQ70" s="197">
        <f t="shared" si="226"/>
        <v>0</v>
      </c>
      <c r="ER70" s="1006">
        <f t="shared" si="227"/>
        <v>0</v>
      </c>
      <c r="ES70" s="1007" t="e">
        <f t="shared" si="228"/>
        <v>#VALUE!</v>
      </c>
      <c r="ET70" s="258" t="str">
        <f t="shared" si="281"/>
        <v>--</v>
      </c>
      <c r="EU70" s="258"/>
      <c r="EV70" s="197">
        <f t="shared" si="229"/>
        <v>0</v>
      </c>
      <c r="EW70" s="1006">
        <f t="shared" si="230"/>
        <v>0</v>
      </c>
      <c r="EX70" s="1007" t="e">
        <f t="shared" si="231"/>
        <v>#VALUE!</v>
      </c>
      <c r="EY70" s="258" t="str">
        <f t="shared" si="282"/>
        <v>--</v>
      </c>
      <c r="EZ70" s="258"/>
      <c r="FA70" s="197">
        <f t="shared" si="232"/>
        <v>0</v>
      </c>
      <c r="FB70" s="1006">
        <f t="shared" si="233"/>
        <v>0</v>
      </c>
      <c r="FC70" s="1007" t="e">
        <f t="shared" si="234"/>
        <v>#VALUE!</v>
      </c>
      <c r="FD70" s="258" t="str">
        <f t="shared" si="283"/>
        <v>--</v>
      </c>
      <c r="FE70" s="258"/>
      <c r="FF70" s="197">
        <f t="shared" si="235"/>
        <v>0</v>
      </c>
      <c r="FG70" s="1006">
        <f t="shared" si="236"/>
        <v>0</v>
      </c>
      <c r="FH70" s="1007" t="e">
        <f t="shared" si="237"/>
        <v>#VALUE!</v>
      </c>
      <c r="FI70" s="258" t="str">
        <f t="shared" si="284"/>
        <v>--</v>
      </c>
      <c r="FJ70" s="258"/>
      <c r="FK70" s="197">
        <f t="shared" si="238"/>
        <v>0</v>
      </c>
      <c r="FL70" s="1006">
        <f t="shared" si="239"/>
        <v>0</v>
      </c>
      <c r="FM70" s="1007" t="e">
        <f t="shared" si="240"/>
        <v>#VALUE!</v>
      </c>
      <c r="FN70" s="258" t="str">
        <f t="shared" si="285"/>
        <v>--</v>
      </c>
      <c r="FO70" s="258"/>
      <c r="FP70" s="197">
        <f t="shared" si="241"/>
        <v>0</v>
      </c>
      <c r="FQ70" s="1006">
        <f t="shared" si="242"/>
        <v>0</v>
      </c>
      <c r="FR70" s="1007" t="e">
        <f t="shared" si="243"/>
        <v>#VALUE!</v>
      </c>
      <c r="FS70" s="258" t="str">
        <f t="shared" si="286"/>
        <v>--</v>
      </c>
      <c r="FT70" s="258"/>
      <c r="FU70" s="197">
        <f t="shared" si="244"/>
        <v>0</v>
      </c>
      <c r="FV70" s="1006">
        <f t="shared" si="245"/>
        <v>0</v>
      </c>
      <c r="FW70" s="1007" t="e">
        <f t="shared" si="246"/>
        <v>#VALUE!</v>
      </c>
      <c r="FX70" s="258" t="str">
        <f t="shared" si="287"/>
        <v>--</v>
      </c>
      <c r="FY70" s="258"/>
      <c r="FZ70" s="197">
        <f t="shared" si="247"/>
        <v>0</v>
      </c>
      <c r="GA70" s="1006">
        <f t="shared" si="248"/>
        <v>0</v>
      </c>
      <c r="GB70" s="1007" t="e">
        <f t="shared" si="249"/>
        <v>#VALUE!</v>
      </c>
      <c r="GC70" s="258" t="str">
        <f t="shared" si="288"/>
        <v>--</v>
      </c>
      <c r="GD70" s="258"/>
      <c r="GE70" s="197">
        <f t="shared" si="250"/>
        <v>0</v>
      </c>
      <c r="GF70" s="1006">
        <f t="shared" si="251"/>
        <v>0</v>
      </c>
      <c r="GG70" s="1007" t="e">
        <f t="shared" si="252"/>
        <v>#VALUE!</v>
      </c>
      <c r="GH70" s="258" t="str">
        <f t="shared" si="289"/>
        <v>--</v>
      </c>
      <c r="GI70" s="258"/>
      <c r="GJ70" s="197">
        <f t="shared" si="253"/>
        <v>0</v>
      </c>
      <c r="GK70" s="1340"/>
      <c r="GL70" s="164"/>
      <c r="GM70" s="164"/>
      <c r="GN70" s="164"/>
    </row>
    <row r="71" spans="1:196" ht="12.75" x14ac:dyDescent="0.2">
      <c r="A71" s="243">
        <f>'Item list'!A71</f>
        <v>0</v>
      </c>
      <c r="B71" s="243">
        <f>'Item list'!B71</f>
        <v>0</v>
      </c>
      <c r="C71" s="243">
        <f>'Item list'!C71</f>
        <v>0</v>
      </c>
      <c r="D71" s="989">
        <f>'Item list'!D71</f>
        <v>0</v>
      </c>
      <c r="E71" s="243">
        <f>'Item list'!E71</f>
        <v>0</v>
      </c>
      <c r="F71" s="243">
        <f>'Item list'!F71</f>
        <v>0</v>
      </c>
      <c r="G71" s="243">
        <f>'Item list'!G71</f>
        <v>0</v>
      </c>
      <c r="H71" s="1005" t="e">
        <f t="shared" si="144"/>
        <v>#REF!</v>
      </c>
      <c r="I71" s="243"/>
      <c r="J71" s="243"/>
      <c r="K71" s="243"/>
      <c r="L71" s="197">
        <f t="shared" si="145"/>
        <v>0</v>
      </c>
      <c r="M71" s="1006">
        <f t="shared" si="146"/>
        <v>0</v>
      </c>
      <c r="N71" s="1007" t="e">
        <f t="shared" si="147"/>
        <v>#VALUE!</v>
      </c>
      <c r="O71" s="258" t="str">
        <f t="shared" si="254"/>
        <v>--</v>
      </c>
      <c r="P71" s="258"/>
      <c r="Q71" s="197">
        <f t="shared" si="148"/>
        <v>0</v>
      </c>
      <c r="R71" s="1006">
        <f t="shared" si="149"/>
        <v>0</v>
      </c>
      <c r="S71" s="1007" t="e">
        <f t="shared" si="150"/>
        <v>#VALUE!</v>
      </c>
      <c r="T71" s="258" t="str">
        <f t="shared" si="255"/>
        <v>--</v>
      </c>
      <c r="U71" s="258"/>
      <c r="V71" s="197">
        <f t="shared" si="151"/>
        <v>0</v>
      </c>
      <c r="W71" s="1006">
        <f t="shared" si="152"/>
        <v>0</v>
      </c>
      <c r="X71" s="1007" t="e">
        <f t="shared" si="153"/>
        <v>#VALUE!</v>
      </c>
      <c r="Y71" s="258" t="str">
        <f t="shared" si="256"/>
        <v>--</v>
      </c>
      <c r="Z71" s="258"/>
      <c r="AA71" s="197">
        <f t="shared" si="154"/>
        <v>0</v>
      </c>
      <c r="AB71" s="1006">
        <f t="shared" si="155"/>
        <v>0</v>
      </c>
      <c r="AC71" s="1007" t="e">
        <f t="shared" si="156"/>
        <v>#VALUE!</v>
      </c>
      <c r="AD71" s="258" t="str">
        <f t="shared" si="257"/>
        <v>--</v>
      </c>
      <c r="AE71" s="258"/>
      <c r="AF71" s="197">
        <f t="shared" si="157"/>
        <v>0</v>
      </c>
      <c r="AG71" s="1006">
        <f t="shared" si="158"/>
        <v>0</v>
      </c>
      <c r="AH71" s="1007" t="e">
        <f t="shared" si="159"/>
        <v>#VALUE!</v>
      </c>
      <c r="AI71" s="258" t="str">
        <f t="shared" si="258"/>
        <v>--</v>
      </c>
      <c r="AJ71" s="258"/>
      <c r="AK71" s="197">
        <f t="shared" si="160"/>
        <v>0</v>
      </c>
      <c r="AL71" s="1006">
        <f t="shared" si="161"/>
        <v>0</v>
      </c>
      <c r="AM71" s="1007" t="e">
        <f t="shared" si="162"/>
        <v>#VALUE!</v>
      </c>
      <c r="AN71" s="258" t="str">
        <f t="shared" si="259"/>
        <v>--</v>
      </c>
      <c r="AO71" s="258"/>
      <c r="AP71" s="197">
        <f t="shared" si="163"/>
        <v>0</v>
      </c>
      <c r="AQ71" s="1006">
        <f t="shared" si="164"/>
        <v>0</v>
      </c>
      <c r="AR71" s="1007" t="e">
        <f t="shared" si="165"/>
        <v>#VALUE!</v>
      </c>
      <c r="AS71" s="258" t="str">
        <f t="shared" si="260"/>
        <v>--</v>
      </c>
      <c r="AT71" s="258"/>
      <c r="AU71" s="197">
        <f t="shared" si="166"/>
        <v>0</v>
      </c>
      <c r="AV71" s="1006">
        <f t="shared" si="167"/>
        <v>0</v>
      </c>
      <c r="AW71" s="1007" t="e">
        <f t="shared" si="168"/>
        <v>#VALUE!</v>
      </c>
      <c r="AX71" s="258" t="str">
        <f t="shared" si="261"/>
        <v>--</v>
      </c>
      <c r="AY71" s="258"/>
      <c r="AZ71" s="197">
        <f t="shared" si="169"/>
        <v>0</v>
      </c>
      <c r="BA71" s="1006">
        <f t="shared" si="170"/>
        <v>0</v>
      </c>
      <c r="BB71" s="1007" t="e">
        <f t="shared" si="171"/>
        <v>#VALUE!</v>
      </c>
      <c r="BC71" s="258" t="str">
        <f t="shared" si="262"/>
        <v>--</v>
      </c>
      <c r="BD71" s="258"/>
      <c r="BE71" s="197">
        <f t="shared" si="172"/>
        <v>0</v>
      </c>
      <c r="BF71" s="1006">
        <f t="shared" si="173"/>
        <v>0</v>
      </c>
      <c r="BG71" s="1007" t="e">
        <f t="shared" si="174"/>
        <v>#VALUE!</v>
      </c>
      <c r="BH71" s="258" t="str">
        <f t="shared" si="263"/>
        <v>--</v>
      </c>
      <c r="BI71" s="258"/>
      <c r="BJ71" s="197">
        <f t="shared" si="175"/>
        <v>0</v>
      </c>
      <c r="BK71" s="1006">
        <f t="shared" si="176"/>
        <v>0</v>
      </c>
      <c r="BL71" s="1007" t="e">
        <f t="shared" si="177"/>
        <v>#VALUE!</v>
      </c>
      <c r="BM71" s="258" t="str">
        <f t="shared" si="264"/>
        <v>--</v>
      </c>
      <c r="BN71" s="258"/>
      <c r="BO71" s="197">
        <f t="shared" si="178"/>
        <v>0</v>
      </c>
      <c r="BP71" s="1006">
        <f t="shared" si="179"/>
        <v>0</v>
      </c>
      <c r="BQ71" s="1007" t="e">
        <f t="shared" si="180"/>
        <v>#VALUE!</v>
      </c>
      <c r="BR71" s="258" t="str">
        <f t="shared" si="265"/>
        <v>--</v>
      </c>
      <c r="BS71" s="258"/>
      <c r="BT71" s="197">
        <f t="shared" si="181"/>
        <v>0</v>
      </c>
      <c r="BU71" s="1006">
        <f t="shared" si="182"/>
        <v>0</v>
      </c>
      <c r="BV71" s="1007" t="e">
        <f t="shared" si="183"/>
        <v>#VALUE!</v>
      </c>
      <c r="BW71" s="258" t="str">
        <f t="shared" si="266"/>
        <v>--</v>
      </c>
      <c r="BX71" s="258"/>
      <c r="BY71" s="197">
        <f t="shared" si="184"/>
        <v>0</v>
      </c>
      <c r="BZ71" s="1006">
        <f t="shared" si="185"/>
        <v>0</v>
      </c>
      <c r="CA71" s="1007" t="e">
        <f t="shared" si="186"/>
        <v>#VALUE!</v>
      </c>
      <c r="CB71" s="258" t="str">
        <f t="shared" si="267"/>
        <v>--</v>
      </c>
      <c r="CC71" s="258"/>
      <c r="CD71" s="197">
        <f t="shared" si="187"/>
        <v>0</v>
      </c>
      <c r="CE71" s="1006">
        <f t="shared" si="188"/>
        <v>0</v>
      </c>
      <c r="CF71" s="1007" t="e">
        <f t="shared" si="189"/>
        <v>#VALUE!</v>
      </c>
      <c r="CG71" s="258" t="str">
        <f t="shared" si="268"/>
        <v>--</v>
      </c>
      <c r="CH71" s="258"/>
      <c r="CI71" s="197">
        <f t="shared" si="190"/>
        <v>0</v>
      </c>
      <c r="CJ71" s="1006">
        <f t="shared" si="191"/>
        <v>0</v>
      </c>
      <c r="CK71" s="1007" t="e">
        <f t="shared" si="192"/>
        <v>#VALUE!</v>
      </c>
      <c r="CL71" s="258" t="str">
        <f t="shared" si="269"/>
        <v>--</v>
      </c>
      <c r="CM71" s="258"/>
      <c r="CN71" s="197">
        <f t="shared" si="193"/>
        <v>0</v>
      </c>
      <c r="CO71" s="1006">
        <f t="shared" si="194"/>
        <v>0</v>
      </c>
      <c r="CP71" s="1007" t="e">
        <f t="shared" si="195"/>
        <v>#VALUE!</v>
      </c>
      <c r="CQ71" s="258" t="str">
        <f t="shared" si="270"/>
        <v>--</v>
      </c>
      <c r="CR71" s="258"/>
      <c r="CS71" s="197">
        <f t="shared" si="196"/>
        <v>0</v>
      </c>
      <c r="CT71" s="1006">
        <f t="shared" si="197"/>
        <v>0</v>
      </c>
      <c r="CU71" s="1007" t="e">
        <f t="shared" si="198"/>
        <v>#VALUE!</v>
      </c>
      <c r="CV71" s="258" t="str">
        <f t="shared" si="271"/>
        <v>--</v>
      </c>
      <c r="CW71" s="258"/>
      <c r="CX71" s="197">
        <f t="shared" si="199"/>
        <v>0</v>
      </c>
      <c r="CY71" s="1006">
        <f t="shared" si="200"/>
        <v>0</v>
      </c>
      <c r="CZ71" s="1007" t="e">
        <f t="shared" si="201"/>
        <v>#VALUE!</v>
      </c>
      <c r="DA71" s="258" t="str">
        <f t="shared" si="272"/>
        <v>--</v>
      </c>
      <c r="DB71" s="258"/>
      <c r="DC71" s="197">
        <f t="shared" si="202"/>
        <v>0</v>
      </c>
      <c r="DD71" s="1006">
        <f t="shared" si="203"/>
        <v>0</v>
      </c>
      <c r="DE71" s="1007" t="e">
        <f t="shared" si="204"/>
        <v>#VALUE!</v>
      </c>
      <c r="DF71" s="258" t="str">
        <f t="shared" si="273"/>
        <v>--</v>
      </c>
      <c r="DG71" s="258"/>
      <c r="DH71" s="197">
        <f t="shared" si="205"/>
        <v>0</v>
      </c>
      <c r="DI71" s="1006">
        <f t="shared" si="206"/>
        <v>0</v>
      </c>
      <c r="DJ71" s="1007" t="e">
        <f t="shared" si="207"/>
        <v>#VALUE!</v>
      </c>
      <c r="DK71" s="258" t="str">
        <f t="shared" si="274"/>
        <v>--</v>
      </c>
      <c r="DL71" s="258"/>
      <c r="DM71" s="197">
        <f t="shared" si="208"/>
        <v>0</v>
      </c>
      <c r="DN71" s="1006">
        <f t="shared" si="209"/>
        <v>0</v>
      </c>
      <c r="DO71" s="1007" t="e">
        <f t="shared" si="210"/>
        <v>#VALUE!</v>
      </c>
      <c r="DP71" s="258" t="str">
        <f t="shared" si="275"/>
        <v>--</v>
      </c>
      <c r="DQ71" s="258"/>
      <c r="DR71" s="197">
        <f t="shared" si="211"/>
        <v>0</v>
      </c>
      <c r="DS71" s="1006">
        <f t="shared" si="212"/>
        <v>0</v>
      </c>
      <c r="DT71" s="1007" t="e">
        <f t="shared" si="213"/>
        <v>#VALUE!</v>
      </c>
      <c r="DU71" s="258" t="str">
        <f t="shared" si="276"/>
        <v>--</v>
      </c>
      <c r="DV71" s="258"/>
      <c r="DW71" s="197">
        <f t="shared" si="214"/>
        <v>0</v>
      </c>
      <c r="DX71" s="1006">
        <f t="shared" si="215"/>
        <v>0</v>
      </c>
      <c r="DY71" s="1007" t="e">
        <f t="shared" si="216"/>
        <v>#VALUE!</v>
      </c>
      <c r="DZ71" s="258" t="str">
        <f t="shared" si="277"/>
        <v>--</v>
      </c>
      <c r="EA71" s="258"/>
      <c r="EB71" s="197">
        <f t="shared" si="217"/>
        <v>0</v>
      </c>
      <c r="EC71" s="1006">
        <f t="shared" si="218"/>
        <v>0</v>
      </c>
      <c r="ED71" s="1007" t="e">
        <f t="shared" si="219"/>
        <v>#VALUE!</v>
      </c>
      <c r="EE71" s="258" t="str">
        <f t="shared" si="278"/>
        <v>--</v>
      </c>
      <c r="EF71" s="258"/>
      <c r="EG71" s="197">
        <f t="shared" si="220"/>
        <v>0</v>
      </c>
      <c r="EH71" s="1006">
        <f t="shared" si="221"/>
        <v>0</v>
      </c>
      <c r="EI71" s="1007" t="e">
        <f t="shared" si="222"/>
        <v>#VALUE!</v>
      </c>
      <c r="EJ71" s="258" t="str">
        <f t="shared" si="279"/>
        <v>--</v>
      </c>
      <c r="EK71" s="258"/>
      <c r="EL71" s="197">
        <f t="shared" si="223"/>
        <v>0</v>
      </c>
      <c r="EM71" s="1006">
        <f t="shared" si="224"/>
        <v>0</v>
      </c>
      <c r="EN71" s="1007" t="e">
        <f t="shared" si="225"/>
        <v>#VALUE!</v>
      </c>
      <c r="EO71" s="258" t="str">
        <f t="shared" si="280"/>
        <v>--</v>
      </c>
      <c r="EP71" s="258"/>
      <c r="EQ71" s="197">
        <f t="shared" si="226"/>
        <v>0</v>
      </c>
      <c r="ER71" s="1006">
        <f t="shared" si="227"/>
        <v>0</v>
      </c>
      <c r="ES71" s="1007" t="e">
        <f t="shared" si="228"/>
        <v>#VALUE!</v>
      </c>
      <c r="ET71" s="258" t="str">
        <f t="shared" si="281"/>
        <v>--</v>
      </c>
      <c r="EU71" s="258"/>
      <c r="EV71" s="197">
        <f t="shared" si="229"/>
        <v>0</v>
      </c>
      <c r="EW71" s="1006">
        <f t="shared" si="230"/>
        <v>0</v>
      </c>
      <c r="EX71" s="1007" t="e">
        <f t="shared" si="231"/>
        <v>#VALUE!</v>
      </c>
      <c r="EY71" s="258" t="str">
        <f t="shared" si="282"/>
        <v>--</v>
      </c>
      <c r="EZ71" s="258"/>
      <c r="FA71" s="197">
        <f t="shared" si="232"/>
        <v>0</v>
      </c>
      <c r="FB71" s="1006">
        <f t="shared" si="233"/>
        <v>0</v>
      </c>
      <c r="FC71" s="1007" t="e">
        <f t="shared" si="234"/>
        <v>#VALUE!</v>
      </c>
      <c r="FD71" s="258" t="str">
        <f t="shared" si="283"/>
        <v>--</v>
      </c>
      <c r="FE71" s="258"/>
      <c r="FF71" s="197">
        <f t="shared" si="235"/>
        <v>0</v>
      </c>
      <c r="FG71" s="1006">
        <f t="shared" si="236"/>
        <v>0</v>
      </c>
      <c r="FH71" s="1007" t="e">
        <f t="shared" si="237"/>
        <v>#VALUE!</v>
      </c>
      <c r="FI71" s="258" t="str">
        <f t="shared" si="284"/>
        <v>--</v>
      </c>
      <c r="FJ71" s="258"/>
      <c r="FK71" s="197">
        <f t="shared" si="238"/>
        <v>0</v>
      </c>
      <c r="FL71" s="1006">
        <f t="shared" si="239"/>
        <v>0</v>
      </c>
      <c r="FM71" s="1007" t="e">
        <f t="shared" si="240"/>
        <v>#VALUE!</v>
      </c>
      <c r="FN71" s="258" t="str">
        <f t="shared" si="285"/>
        <v>--</v>
      </c>
      <c r="FO71" s="258"/>
      <c r="FP71" s="197">
        <f t="shared" si="241"/>
        <v>0</v>
      </c>
      <c r="FQ71" s="1006">
        <f t="shared" si="242"/>
        <v>0</v>
      </c>
      <c r="FR71" s="1007" t="e">
        <f t="shared" si="243"/>
        <v>#VALUE!</v>
      </c>
      <c r="FS71" s="258" t="str">
        <f t="shared" si="286"/>
        <v>--</v>
      </c>
      <c r="FT71" s="258"/>
      <c r="FU71" s="197">
        <f t="shared" si="244"/>
        <v>0</v>
      </c>
      <c r="FV71" s="1006">
        <f t="shared" si="245"/>
        <v>0</v>
      </c>
      <c r="FW71" s="1007" t="e">
        <f t="shared" si="246"/>
        <v>#VALUE!</v>
      </c>
      <c r="FX71" s="258" t="str">
        <f t="shared" si="287"/>
        <v>--</v>
      </c>
      <c r="FY71" s="258"/>
      <c r="FZ71" s="197">
        <f t="shared" si="247"/>
        <v>0</v>
      </c>
      <c r="GA71" s="1006">
        <f t="shared" si="248"/>
        <v>0</v>
      </c>
      <c r="GB71" s="1007" t="e">
        <f t="shared" si="249"/>
        <v>#VALUE!</v>
      </c>
      <c r="GC71" s="258" t="str">
        <f t="shared" si="288"/>
        <v>--</v>
      </c>
      <c r="GD71" s="258"/>
      <c r="GE71" s="197">
        <f t="shared" si="250"/>
        <v>0</v>
      </c>
      <c r="GF71" s="1006">
        <f t="shared" si="251"/>
        <v>0</v>
      </c>
      <c r="GG71" s="1007" t="e">
        <f t="shared" si="252"/>
        <v>#VALUE!</v>
      </c>
      <c r="GH71" s="258" t="str">
        <f t="shared" si="289"/>
        <v>--</v>
      </c>
      <c r="GI71" s="258"/>
      <c r="GJ71" s="197">
        <f t="shared" si="253"/>
        <v>0</v>
      </c>
      <c r="GK71" s="1340"/>
      <c r="GL71" s="164"/>
      <c r="GM71" s="164"/>
      <c r="GN71" s="164"/>
    </row>
    <row r="72" spans="1:196" ht="12.75" x14ac:dyDescent="0.2">
      <c r="A72" s="243">
        <f>'Item list'!A72</f>
        <v>0</v>
      </c>
      <c r="B72" s="243">
        <f>'Item list'!B72</f>
        <v>0</v>
      </c>
      <c r="C72" s="243">
        <f>'Item list'!C72</f>
        <v>0</v>
      </c>
      <c r="D72" s="989">
        <f>'Item list'!D72</f>
        <v>0</v>
      </c>
      <c r="E72" s="243">
        <f>'Item list'!E72</f>
        <v>0</v>
      </c>
      <c r="F72" s="243">
        <f>'Item list'!F72</f>
        <v>0</v>
      </c>
      <c r="G72" s="243">
        <f>'Item list'!G72</f>
        <v>0</v>
      </c>
      <c r="H72" s="1005" t="e">
        <f t="shared" si="144"/>
        <v>#REF!</v>
      </c>
      <c r="I72" s="243"/>
      <c r="J72" s="243"/>
      <c r="K72" s="243"/>
      <c r="L72" s="197">
        <f t="shared" si="145"/>
        <v>0</v>
      </c>
      <c r="M72" s="1006">
        <f t="shared" si="146"/>
        <v>0</v>
      </c>
      <c r="N72" s="1007" t="e">
        <f t="shared" si="147"/>
        <v>#VALUE!</v>
      </c>
      <c r="O72" s="258" t="str">
        <f t="shared" si="254"/>
        <v>--</v>
      </c>
      <c r="P72" s="258"/>
      <c r="Q72" s="197">
        <f t="shared" si="148"/>
        <v>0</v>
      </c>
      <c r="R72" s="1006">
        <f t="shared" si="149"/>
        <v>0</v>
      </c>
      <c r="S72" s="1007" t="e">
        <f t="shared" si="150"/>
        <v>#VALUE!</v>
      </c>
      <c r="T72" s="258" t="str">
        <f t="shared" si="255"/>
        <v>--</v>
      </c>
      <c r="U72" s="258"/>
      <c r="V72" s="197">
        <f t="shared" si="151"/>
        <v>0</v>
      </c>
      <c r="W72" s="1006">
        <f t="shared" si="152"/>
        <v>0</v>
      </c>
      <c r="X72" s="1007" t="e">
        <f t="shared" si="153"/>
        <v>#VALUE!</v>
      </c>
      <c r="Y72" s="258" t="str">
        <f t="shared" si="256"/>
        <v>--</v>
      </c>
      <c r="Z72" s="258"/>
      <c r="AA72" s="197">
        <f t="shared" si="154"/>
        <v>0</v>
      </c>
      <c r="AB72" s="1006">
        <f t="shared" si="155"/>
        <v>0</v>
      </c>
      <c r="AC72" s="1007" t="e">
        <f t="shared" si="156"/>
        <v>#VALUE!</v>
      </c>
      <c r="AD72" s="258" t="str">
        <f t="shared" si="257"/>
        <v>--</v>
      </c>
      <c r="AE72" s="258"/>
      <c r="AF72" s="197">
        <f t="shared" si="157"/>
        <v>0</v>
      </c>
      <c r="AG72" s="1006">
        <f t="shared" si="158"/>
        <v>0</v>
      </c>
      <c r="AH72" s="1007" t="e">
        <f t="shared" si="159"/>
        <v>#VALUE!</v>
      </c>
      <c r="AI72" s="258" t="str">
        <f t="shared" si="258"/>
        <v>--</v>
      </c>
      <c r="AJ72" s="258"/>
      <c r="AK72" s="197">
        <f t="shared" si="160"/>
        <v>0</v>
      </c>
      <c r="AL72" s="1006">
        <f t="shared" si="161"/>
        <v>0</v>
      </c>
      <c r="AM72" s="1007" t="e">
        <f t="shared" si="162"/>
        <v>#VALUE!</v>
      </c>
      <c r="AN72" s="258" t="str">
        <f t="shared" si="259"/>
        <v>--</v>
      </c>
      <c r="AO72" s="258"/>
      <c r="AP72" s="197">
        <f t="shared" si="163"/>
        <v>0</v>
      </c>
      <c r="AQ72" s="1006">
        <f t="shared" si="164"/>
        <v>0</v>
      </c>
      <c r="AR72" s="1007" t="e">
        <f t="shared" si="165"/>
        <v>#VALUE!</v>
      </c>
      <c r="AS72" s="258" t="str">
        <f t="shared" si="260"/>
        <v>--</v>
      </c>
      <c r="AT72" s="258"/>
      <c r="AU72" s="197">
        <f t="shared" si="166"/>
        <v>0</v>
      </c>
      <c r="AV72" s="1006">
        <f t="shared" si="167"/>
        <v>0</v>
      </c>
      <c r="AW72" s="1007" t="e">
        <f t="shared" si="168"/>
        <v>#VALUE!</v>
      </c>
      <c r="AX72" s="258" t="str">
        <f t="shared" si="261"/>
        <v>--</v>
      </c>
      <c r="AY72" s="258"/>
      <c r="AZ72" s="197">
        <f t="shared" si="169"/>
        <v>0</v>
      </c>
      <c r="BA72" s="1006">
        <f t="shared" si="170"/>
        <v>0</v>
      </c>
      <c r="BB72" s="1007" t="e">
        <f t="shared" si="171"/>
        <v>#VALUE!</v>
      </c>
      <c r="BC72" s="258" t="str">
        <f t="shared" si="262"/>
        <v>--</v>
      </c>
      <c r="BD72" s="258"/>
      <c r="BE72" s="197">
        <f t="shared" si="172"/>
        <v>0</v>
      </c>
      <c r="BF72" s="1006">
        <f t="shared" si="173"/>
        <v>0</v>
      </c>
      <c r="BG72" s="1007" t="e">
        <f t="shared" si="174"/>
        <v>#VALUE!</v>
      </c>
      <c r="BH72" s="258" t="str">
        <f t="shared" si="263"/>
        <v>--</v>
      </c>
      <c r="BI72" s="258"/>
      <c r="BJ72" s="197">
        <f t="shared" si="175"/>
        <v>0</v>
      </c>
      <c r="BK72" s="1006">
        <f t="shared" si="176"/>
        <v>0</v>
      </c>
      <c r="BL72" s="1007" t="e">
        <f t="shared" si="177"/>
        <v>#VALUE!</v>
      </c>
      <c r="BM72" s="258" t="str">
        <f t="shared" si="264"/>
        <v>--</v>
      </c>
      <c r="BN72" s="258"/>
      <c r="BO72" s="197">
        <f t="shared" si="178"/>
        <v>0</v>
      </c>
      <c r="BP72" s="1006">
        <f t="shared" si="179"/>
        <v>0</v>
      </c>
      <c r="BQ72" s="1007" t="e">
        <f t="shared" si="180"/>
        <v>#VALUE!</v>
      </c>
      <c r="BR72" s="258" t="str">
        <f t="shared" si="265"/>
        <v>--</v>
      </c>
      <c r="BS72" s="258"/>
      <c r="BT72" s="197">
        <f t="shared" si="181"/>
        <v>0</v>
      </c>
      <c r="BU72" s="1006">
        <f t="shared" si="182"/>
        <v>0</v>
      </c>
      <c r="BV72" s="1007" t="e">
        <f t="shared" si="183"/>
        <v>#VALUE!</v>
      </c>
      <c r="BW72" s="258" t="str">
        <f t="shared" si="266"/>
        <v>--</v>
      </c>
      <c r="BX72" s="258"/>
      <c r="BY72" s="197">
        <f t="shared" si="184"/>
        <v>0</v>
      </c>
      <c r="BZ72" s="1006">
        <f t="shared" si="185"/>
        <v>0</v>
      </c>
      <c r="CA72" s="1007" t="e">
        <f t="shared" si="186"/>
        <v>#VALUE!</v>
      </c>
      <c r="CB72" s="258" t="str">
        <f t="shared" si="267"/>
        <v>--</v>
      </c>
      <c r="CC72" s="258"/>
      <c r="CD72" s="197">
        <f t="shared" si="187"/>
        <v>0</v>
      </c>
      <c r="CE72" s="1006">
        <f t="shared" si="188"/>
        <v>0</v>
      </c>
      <c r="CF72" s="1007" t="e">
        <f t="shared" si="189"/>
        <v>#VALUE!</v>
      </c>
      <c r="CG72" s="258" t="str">
        <f t="shared" si="268"/>
        <v>--</v>
      </c>
      <c r="CH72" s="258"/>
      <c r="CI72" s="197">
        <f t="shared" si="190"/>
        <v>0</v>
      </c>
      <c r="CJ72" s="1006">
        <f t="shared" si="191"/>
        <v>0</v>
      </c>
      <c r="CK72" s="1007" t="e">
        <f t="shared" si="192"/>
        <v>#VALUE!</v>
      </c>
      <c r="CL72" s="258" t="str">
        <f t="shared" si="269"/>
        <v>--</v>
      </c>
      <c r="CM72" s="258"/>
      <c r="CN72" s="197">
        <f t="shared" si="193"/>
        <v>0</v>
      </c>
      <c r="CO72" s="1006">
        <f t="shared" si="194"/>
        <v>0</v>
      </c>
      <c r="CP72" s="1007" t="e">
        <f t="shared" si="195"/>
        <v>#VALUE!</v>
      </c>
      <c r="CQ72" s="258" t="str">
        <f t="shared" si="270"/>
        <v>--</v>
      </c>
      <c r="CR72" s="258"/>
      <c r="CS72" s="197">
        <f t="shared" si="196"/>
        <v>0</v>
      </c>
      <c r="CT72" s="1006">
        <f t="shared" si="197"/>
        <v>0</v>
      </c>
      <c r="CU72" s="1007" t="e">
        <f t="shared" si="198"/>
        <v>#VALUE!</v>
      </c>
      <c r="CV72" s="258" t="str">
        <f t="shared" si="271"/>
        <v>--</v>
      </c>
      <c r="CW72" s="258"/>
      <c r="CX72" s="197">
        <f t="shared" si="199"/>
        <v>0</v>
      </c>
      <c r="CY72" s="1006">
        <f t="shared" si="200"/>
        <v>0</v>
      </c>
      <c r="CZ72" s="1007" t="e">
        <f t="shared" si="201"/>
        <v>#VALUE!</v>
      </c>
      <c r="DA72" s="258" t="str">
        <f t="shared" si="272"/>
        <v>--</v>
      </c>
      <c r="DB72" s="258"/>
      <c r="DC72" s="197">
        <f t="shared" si="202"/>
        <v>0</v>
      </c>
      <c r="DD72" s="1006">
        <f t="shared" si="203"/>
        <v>0</v>
      </c>
      <c r="DE72" s="1007" t="e">
        <f t="shared" si="204"/>
        <v>#VALUE!</v>
      </c>
      <c r="DF72" s="258" t="str">
        <f t="shared" si="273"/>
        <v>--</v>
      </c>
      <c r="DG72" s="258"/>
      <c r="DH72" s="197">
        <f t="shared" si="205"/>
        <v>0</v>
      </c>
      <c r="DI72" s="1006">
        <f t="shared" si="206"/>
        <v>0</v>
      </c>
      <c r="DJ72" s="1007" t="e">
        <f t="shared" si="207"/>
        <v>#VALUE!</v>
      </c>
      <c r="DK72" s="258" t="str">
        <f t="shared" si="274"/>
        <v>--</v>
      </c>
      <c r="DL72" s="258"/>
      <c r="DM72" s="197">
        <f t="shared" si="208"/>
        <v>0</v>
      </c>
      <c r="DN72" s="1006">
        <f t="shared" si="209"/>
        <v>0</v>
      </c>
      <c r="DO72" s="1007" t="e">
        <f t="shared" si="210"/>
        <v>#VALUE!</v>
      </c>
      <c r="DP72" s="258" t="str">
        <f t="shared" si="275"/>
        <v>--</v>
      </c>
      <c r="DQ72" s="258"/>
      <c r="DR72" s="197">
        <f t="shared" si="211"/>
        <v>0</v>
      </c>
      <c r="DS72" s="1006">
        <f t="shared" si="212"/>
        <v>0</v>
      </c>
      <c r="DT72" s="1007" t="e">
        <f t="shared" si="213"/>
        <v>#VALUE!</v>
      </c>
      <c r="DU72" s="258" t="str">
        <f t="shared" si="276"/>
        <v>--</v>
      </c>
      <c r="DV72" s="258"/>
      <c r="DW72" s="197">
        <f t="shared" si="214"/>
        <v>0</v>
      </c>
      <c r="DX72" s="1006">
        <f t="shared" si="215"/>
        <v>0</v>
      </c>
      <c r="DY72" s="1007" t="e">
        <f t="shared" si="216"/>
        <v>#VALUE!</v>
      </c>
      <c r="DZ72" s="258" t="str">
        <f t="shared" si="277"/>
        <v>--</v>
      </c>
      <c r="EA72" s="258"/>
      <c r="EB72" s="197">
        <f t="shared" si="217"/>
        <v>0</v>
      </c>
      <c r="EC72" s="1006">
        <f t="shared" si="218"/>
        <v>0</v>
      </c>
      <c r="ED72" s="1007" t="e">
        <f t="shared" si="219"/>
        <v>#VALUE!</v>
      </c>
      <c r="EE72" s="258" t="str">
        <f t="shared" si="278"/>
        <v>--</v>
      </c>
      <c r="EF72" s="258"/>
      <c r="EG72" s="197">
        <f t="shared" si="220"/>
        <v>0</v>
      </c>
      <c r="EH72" s="1006">
        <f t="shared" si="221"/>
        <v>0</v>
      </c>
      <c r="EI72" s="1007" t="e">
        <f t="shared" si="222"/>
        <v>#VALUE!</v>
      </c>
      <c r="EJ72" s="258" t="str">
        <f t="shared" si="279"/>
        <v>--</v>
      </c>
      <c r="EK72" s="258"/>
      <c r="EL72" s="197">
        <f t="shared" si="223"/>
        <v>0</v>
      </c>
      <c r="EM72" s="1006">
        <f t="shared" si="224"/>
        <v>0</v>
      </c>
      <c r="EN72" s="1007" t="e">
        <f t="shared" si="225"/>
        <v>#VALUE!</v>
      </c>
      <c r="EO72" s="258" t="str">
        <f t="shared" si="280"/>
        <v>--</v>
      </c>
      <c r="EP72" s="258"/>
      <c r="EQ72" s="197">
        <f t="shared" si="226"/>
        <v>0</v>
      </c>
      <c r="ER72" s="1006">
        <f t="shared" si="227"/>
        <v>0</v>
      </c>
      <c r="ES72" s="1007" t="e">
        <f t="shared" si="228"/>
        <v>#VALUE!</v>
      </c>
      <c r="ET72" s="258" t="str">
        <f t="shared" si="281"/>
        <v>--</v>
      </c>
      <c r="EU72" s="258"/>
      <c r="EV72" s="197">
        <f t="shared" si="229"/>
        <v>0</v>
      </c>
      <c r="EW72" s="1006">
        <f t="shared" si="230"/>
        <v>0</v>
      </c>
      <c r="EX72" s="1007" t="e">
        <f t="shared" si="231"/>
        <v>#VALUE!</v>
      </c>
      <c r="EY72" s="258" t="str">
        <f t="shared" si="282"/>
        <v>--</v>
      </c>
      <c r="EZ72" s="258"/>
      <c r="FA72" s="197">
        <f t="shared" si="232"/>
        <v>0</v>
      </c>
      <c r="FB72" s="1006">
        <f t="shared" si="233"/>
        <v>0</v>
      </c>
      <c r="FC72" s="1007" t="e">
        <f t="shared" si="234"/>
        <v>#VALUE!</v>
      </c>
      <c r="FD72" s="258" t="str">
        <f t="shared" si="283"/>
        <v>--</v>
      </c>
      <c r="FE72" s="258"/>
      <c r="FF72" s="197">
        <f t="shared" si="235"/>
        <v>0</v>
      </c>
      <c r="FG72" s="1006">
        <f t="shared" si="236"/>
        <v>0</v>
      </c>
      <c r="FH72" s="1007" t="e">
        <f t="shared" si="237"/>
        <v>#VALUE!</v>
      </c>
      <c r="FI72" s="258" t="str">
        <f t="shared" si="284"/>
        <v>--</v>
      </c>
      <c r="FJ72" s="258"/>
      <c r="FK72" s="197">
        <f t="shared" si="238"/>
        <v>0</v>
      </c>
      <c r="FL72" s="1006">
        <f t="shared" si="239"/>
        <v>0</v>
      </c>
      <c r="FM72" s="1007" t="e">
        <f t="shared" si="240"/>
        <v>#VALUE!</v>
      </c>
      <c r="FN72" s="258" t="str">
        <f t="shared" si="285"/>
        <v>--</v>
      </c>
      <c r="FO72" s="258"/>
      <c r="FP72" s="197">
        <f t="shared" si="241"/>
        <v>0</v>
      </c>
      <c r="FQ72" s="1006">
        <f t="shared" si="242"/>
        <v>0</v>
      </c>
      <c r="FR72" s="1007" t="e">
        <f t="shared" si="243"/>
        <v>#VALUE!</v>
      </c>
      <c r="FS72" s="258" t="str">
        <f t="shared" si="286"/>
        <v>--</v>
      </c>
      <c r="FT72" s="258"/>
      <c r="FU72" s="197">
        <f t="shared" si="244"/>
        <v>0</v>
      </c>
      <c r="FV72" s="1006">
        <f t="shared" si="245"/>
        <v>0</v>
      </c>
      <c r="FW72" s="1007" t="e">
        <f t="shared" si="246"/>
        <v>#VALUE!</v>
      </c>
      <c r="FX72" s="258" t="str">
        <f t="shared" si="287"/>
        <v>--</v>
      </c>
      <c r="FY72" s="258"/>
      <c r="FZ72" s="197">
        <f t="shared" si="247"/>
        <v>0</v>
      </c>
      <c r="GA72" s="1006">
        <f t="shared" si="248"/>
        <v>0</v>
      </c>
      <c r="GB72" s="1007" t="e">
        <f t="shared" si="249"/>
        <v>#VALUE!</v>
      </c>
      <c r="GC72" s="258" t="str">
        <f t="shared" si="288"/>
        <v>--</v>
      </c>
      <c r="GD72" s="258"/>
      <c r="GE72" s="197">
        <f t="shared" si="250"/>
        <v>0</v>
      </c>
      <c r="GF72" s="1006">
        <f t="shared" si="251"/>
        <v>0</v>
      </c>
      <c r="GG72" s="1007" t="e">
        <f t="shared" si="252"/>
        <v>#VALUE!</v>
      </c>
      <c r="GH72" s="258" t="str">
        <f t="shared" si="289"/>
        <v>--</v>
      </c>
      <c r="GI72" s="258"/>
      <c r="GJ72" s="197">
        <f t="shared" si="253"/>
        <v>0</v>
      </c>
      <c r="GK72" s="1340"/>
      <c r="GL72" s="164"/>
      <c r="GM72" s="164"/>
      <c r="GN72" s="164"/>
    </row>
    <row r="73" spans="1:196" ht="12.75" x14ac:dyDescent="0.2">
      <c r="A73" s="243">
        <f>'Item list'!A73</f>
        <v>0</v>
      </c>
      <c r="B73" s="243">
        <f>'Item list'!B73</f>
        <v>0</v>
      </c>
      <c r="C73" s="243">
        <f>'Item list'!C73</f>
        <v>0</v>
      </c>
      <c r="D73" s="989">
        <f>'Item list'!D73</f>
        <v>0</v>
      </c>
      <c r="E73" s="243">
        <f>'Item list'!E73</f>
        <v>0</v>
      </c>
      <c r="F73" s="243">
        <f>'Item list'!F73</f>
        <v>0</v>
      </c>
      <c r="G73" s="243">
        <f>'Item list'!G73</f>
        <v>0</v>
      </c>
      <c r="H73" s="1005" t="e">
        <f t="shared" si="144"/>
        <v>#REF!</v>
      </c>
      <c r="I73" s="243"/>
      <c r="J73" s="243"/>
      <c r="K73" s="243"/>
      <c r="L73" s="197">
        <f t="shared" si="145"/>
        <v>0</v>
      </c>
      <c r="M73" s="1006">
        <f t="shared" si="146"/>
        <v>0</v>
      </c>
      <c r="N73" s="1007" t="e">
        <f t="shared" si="147"/>
        <v>#VALUE!</v>
      </c>
      <c r="O73" s="258" t="str">
        <f t="shared" si="254"/>
        <v>--</v>
      </c>
      <c r="P73" s="258"/>
      <c r="Q73" s="197">
        <f t="shared" si="148"/>
        <v>0</v>
      </c>
      <c r="R73" s="1006">
        <f t="shared" si="149"/>
        <v>0</v>
      </c>
      <c r="S73" s="1007" t="e">
        <f t="shared" si="150"/>
        <v>#VALUE!</v>
      </c>
      <c r="T73" s="258" t="str">
        <f t="shared" si="255"/>
        <v>--</v>
      </c>
      <c r="U73" s="258"/>
      <c r="V73" s="197">
        <f t="shared" si="151"/>
        <v>0</v>
      </c>
      <c r="W73" s="1006">
        <f t="shared" si="152"/>
        <v>0</v>
      </c>
      <c r="X73" s="1007" t="e">
        <f t="shared" si="153"/>
        <v>#VALUE!</v>
      </c>
      <c r="Y73" s="258" t="str">
        <f t="shared" si="256"/>
        <v>--</v>
      </c>
      <c r="Z73" s="258"/>
      <c r="AA73" s="197">
        <f t="shared" si="154"/>
        <v>0</v>
      </c>
      <c r="AB73" s="1006">
        <f t="shared" si="155"/>
        <v>0</v>
      </c>
      <c r="AC73" s="1007" t="e">
        <f t="shared" si="156"/>
        <v>#VALUE!</v>
      </c>
      <c r="AD73" s="258" t="str">
        <f t="shared" si="257"/>
        <v>--</v>
      </c>
      <c r="AE73" s="258"/>
      <c r="AF73" s="197">
        <f t="shared" si="157"/>
        <v>0</v>
      </c>
      <c r="AG73" s="1006">
        <f t="shared" si="158"/>
        <v>0</v>
      </c>
      <c r="AH73" s="1007" t="e">
        <f t="shared" si="159"/>
        <v>#VALUE!</v>
      </c>
      <c r="AI73" s="258" t="str">
        <f t="shared" si="258"/>
        <v>--</v>
      </c>
      <c r="AJ73" s="258"/>
      <c r="AK73" s="197">
        <f t="shared" si="160"/>
        <v>0</v>
      </c>
      <c r="AL73" s="1006">
        <f t="shared" si="161"/>
        <v>0</v>
      </c>
      <c r="AM73" s="1007" t="e">
        <f t="shared" si="162"/>
        <v>#VALUE!</v>
      </c>
      <c r="AN73" s="258" t="str">
        <f t="shared" si="259"/>
        <v>--</v>
      </c>
      <c r="AO73" s="258"/>
      <c r="AP73" s="197">
        <f t="shared" si="163"/>
        <v>0</v>
      </c>
      <c r="AQ73" s="1006">
        <f t="shared" si="164"/>
        <v>0</v>
      </c>
      <c r="AR73" s="1007" t="e">
        <f t="shared" si="165"/>
        <v>#VALUE!</v>
      </c>
      <c r="AS73" s="258" t="str">
        <f t="shared" si="260"/>
        <v>--</v>
      </c>
      <c r="AT73" s="258"/>
      <c r="AU73" s="197">
        <f t="shared" si="166"/>
        <v>0</v>
      </c>
      <c r="AV73" s="1006">
        <f t="shared" si="167"/>
        <v>0</v>
      </c>
      <c r="AW73" s="1007" t="e">
        <f t="shared" si="168"/>
        <v>#VALUE!</v>
      </c>
      <c r="AX73" s="258" t="str">
        <f t="shared" si="261"/>
        <v>--</v>
      </c>
      <c r="AY73" s="258"/>
      <c r="AZ73" s="197">
        <f t="shared" si="169"/>
        <v>0</v>
      </c>
      <c r="BA73" s="1006">
        <f t="shared" si="170"/>
        <v>0</v>
      </c>
      <c r="BB73" s="1007" t="e">
        <f t="shared" si="171"/>
        <v>#VALUE!</v>
      </c>
      <c r="BC73" s="258" t="str">
        <f t="shared" si="262"/>
        <v>--</v>
      </c>
      <c r="BD73" s="258"/>
      <c r="BE73" s="197">
        <f t="shared" si="172"/>
        <v>0</v>
      </c>
      <c r="BF73" s="1006">
        <f t="shared" si="173"/>
        <v>0</v>
      </c>
      <c r="BG73" s="1007" t="e">
        <f t="shared" si="174"/>
        <v>#VALUE!</v>
      </c>
      <c r="BH73" s="258" t="str">
        <f t="shared" si="263"/>
        <v>--</v>
      </c>
      <c r="BI73" s="258"/>
      <c r="BJ73" s="197">
        <f t="shared" si="175"/>
        <v>0</v>
      </c>
      <c r="BK73" s="1006">
        <f t="shared" si="176"/>
        <v>0</v>
      </c>
      <c r="BL73" s="1007" t="e">
        <f t="shared" si="177"/>
        <v>#VALUE!</v>
      </c>
      <c r="BM73" s="258" t="str">
        <f t="shared" si="264"/>
        <v>--</v>
      </c>
      <c r="BN73" s="258"/>
      <c r="BO73" s="197">
        <f t="shared" si="178"/>
        <v>0</v>
      </c>
      <c r="BP73" s="1006">
        <f t="shared" si="179"/>
        <v>0</v>
      </c>
      <c r="BQ73" s="1007" t="e">
        <f t="shared" si="180"/>
        <v>#VALUE!</v>
      </c>
      <c r="BR73" s="258" t="str">
        <f t="shared" si="265"/>
        <v>--</v>
      </c>
      <c r="BS73" s="258"/>
      <c r="BT73" s="197">
        <f t="shared" si="181"/>
        <v>0</v>
      </c>
      <c r="BU73" s="1006">
        <f t="shared" si="182"/>
        <v>0</v>
      </c>
      <c r="BV73" s="1007" t="e">
        <f t="shared" si="183"/>
        <v>#VALUE!</v>
      </c>
      <c r="BW73" s="258" t="str">
        <f t="shared" si="266"/>
        <v>--</v>
      </c>
      <c r="BX73" s="258"/>
      <c r="BY73" s="197">
        <f t="shared" si="184"/>
        <v>0</v>
      </c>
      <c r="BZ73" s="1006">
        <f t="shared" si="185"/>
        <v>0</v>
      </c>
      <c r="CA73" s="1007" t="e">
        <f t="shared" si="186"/>
        <v>#VALUE!</v>
      </c>
      <c r="CB73" s="258" t="str">
        <f t="shared" si="267"/>
        <v>--</v>
      </c>
      <c r="CC73" s="258"/>
      <c r="CD73" s="197">
        <f t="shared" si="187"/>
        <v>0</v>
      </c>
      <c r="CE73" s="1006">
        <f t="shared" si="188"/>
        <v>0</v>
      </c>
      <c r="CF73" s="1007" t="e">
        <f t="shared" si="189"/>
        <v>#VALUE!</v>
      </c>
      <c r="CG73" s="258" t="str">
        <f t="shared" si="268"/>
        <v>--</v>
      </c>
      <c r="CH73" s="258"/>
      <c r="CI73" s="197">
        <f t="shared" si="190"/>
        <v>0</v>
      </c>
      <c r="CJ73" s="1006">
        <f t="shared" si="191"/>
        <v>0</v>
      </c>
      <c r="CK73" s="1007" t="e">
        <f t="shared" si="192"/>
        <v>#VALUE!</v>
      </c>
      <c r="CL73" s="258" t="str">
        <f t="shared" si="269"/>
        <v>--</v>
      </c>
      <c r="CM73" s="258"/>
      <c r="CN73" s="197">
        <f t="shared" si="193"/>
        <v>0</v>
      </c>
      <c r="CO73" s="1006">
        <f t="shared" si="194"/>
        <v>0</v>
      </c>
      <c r="CP73" s="1007" t="e">
        <f t="shared" si="195"/>
        <v>#VALUE!</v>
      </c>
      <c r="CQ73" s="258" t="str">
        <f t="shared" si="270"/>
        <v>--</v>
      </c>
      <c r="CR73" s="258"/>
      <c r="CS73" s="197">
        <f t="shared" si="196"/>
        <v>0</v>
      </c>
      <c r="CT73" s="1006">
        <f t="shared" si="197"/>
        <v>0</v>
      </c>
      <c r="CU73" s="1007" t="e">
        <f t="shared" si="198"/>
        <v>#VALUE!</v>
      </c>
      <c r="CV73" s="258" t="str">
        <f t="shared" si="271"/>
        <v>--</v>
      </c>
      <c r="CW73" s="258"/>
      <c r="CX73" s="197">
        <f t="shared" si="199"/>
        <v>0</v>
      </c>
      <c r="CY73" s="1006">
        <f t="shared" si="200"/>
        <v>0</v>
      </c>
      <c r="CZ73" s="1007" t="e">
        <f t="shared" si="201"/>
        <v>#VALUE!</v>
      </c>
      <c r="DA73" s="258" t="str">
        <f t="shared" si="272"/>
        <v>--</v>
      </c>
      <c r="DB73" s="258"/>
      <c r="DC73" s="197">
        <f t="shared" si="202"/>
        <v>0</v>
      </c>
      <c r="DD73" s="1006">
        <f t="shared" si="203"/>
        <v>0</v>
      </c>
      <c r="DE73" s="1007" t="e">
        <f t="shared" si="204"/>
        <v>#VALUE!</v>
      </c>
      <c r="DF73" s="258" t="str">
        <f t="shared" si="273"/>
        <v>--</v>
      </c>
      <c r="DG73" s="258"/>
      <c r="DH73" s="197">
        <f t="shared" si="205"/>
        <v>0</v>
      </c>
      <c r="DI73" s="1006">
        <f t="shared" si="206"/>
        <v>0</v>
      </c>
      <c r="DJ73" s="1007" t="e">
        <f t="shared" si="207"/>
        <v>#VALUE!</v>
      </c>
      <c r="DK73" s="258" t="str">
        <f t="shared" si="274"/>
        <v>--</v>
      </c>
      <c r="DL73" s="258"/>
      <c r="DM73" s="197">
        <f t="shared" si="208"/>
        <v>0</v>
      </c>
      <c r="DN73" s="1006">
        <f t="shared" si="209"/>
        <v>0</v>
      </c>
      <c r="DO73" s="1007" t="e">
        <f t="shared" si="210"/>
        <v>#VALUE!</v>
      </c>
      <c r="DP73" s="258" t="str">
        <f t="shared" si="275"/>
        <v>--</v>
      </c>
      <c r="DQ73" s="258"/>
      <c r="DR73" s="197">
        <f t="shared" si="211"/>
        <v>0</v>
      </c>
      <c r="DS73" s="1006">
        <f t="shared" si="212"/>
        <v>0</v>
      </c>
      <c r="DT73" s="1007" t="e">
        <f t="shared" si="213"/>
        <v>#VALUE!</v>
      </c>
      <c r="DU73" s="258" t="str">
        <f t="shared" si="276"/>
        <v>--</v>
      </c>
      <c r="DV73" s="258"/>
      <c r="DW73" s="197">
        <f t="shared" si="214"/>
        <v>0</v>
      </c>
      <c r="DX73" s="1006">
        <f t="shared" si="215"/>
        <v>0</v>
      </c>
      <c r="DY73" s="1007" t="e">
        <f t="shared" si="216"/>
        <v>#VALUE!</v>
      </c>
      <c r="DZ73" s="258" t="str">
        <f t="shared" si="277"/>
        <v>--</v>
      </c>
      <c r="EA73" s="258"/>
      <c r="EB73" s="197">
        <f t="shared" si="217"/>
        <v>0</v>
      </c>
      <c r="EC73" s="1006">
        <f t="shared" si="218"/>
        <v>0</v>
      </c>
      <c r="ED73" s="1007" t="e">
        <f t="shared" si="219"/>
        <v>#VALUE!</v>
      </c>
      <c r="EE73" s="258" t="str">
        <f t="shared" si="278"/>
        <v>--</v>
      </c>
      <c r="EF73" s="258"/>
      <c r="EG73" s="197">
        <f t="shared" si="220"/>
        <v>0</v>
      </c>
      <c r="EH73" s="1006">
        <f t="shared" si="221"/>
        <v>0</v>
      </c>
      <c r="EI73" s="1007" t="e">
        <f t="shared" si="222"/>
        <v>#VALUE!</v>
      </c>
      <c r="EJ73" s="258" t="str">
        <f t="shared" si="279"/>
        <v>--</v>
      </c>
      <c r="EK73" s="258"/>
      <c r="EL73" s="197">
        <f t="shared" si="223"/>
        <v>0</v>
      </c>
      <c r="EM73" s="1006">
        <f t="shared" si="224"/>
        <v>0</v>
      </c>
      <c r="EN73" s="1007" t="e">
        <f t="shared" si="225"/>
        <v>#VALUE!</v>
      </c>
      <c r="EO73" s="258" t="str">
        <f t="shared" si="280"/>
        <v>--</v>
      </c>
      <c r="EP73" s="258"/>
      <c r="EQ73" s="197">
        <f t="shared" si="226"/>
        <v>0</v>
      </c>
      <c r="ER73" s="1006">
        <f t="shared" si="227"/>
        <v>0</v>
      </c>
      <c r="ES73" s="1007" t="e">
        <f t="shared" si="228"/>
        <v>#VALUE!</v>
      </c>
      <c r="ET73" s="258" t="str">
        <f t="shared" si="281"/>
        <v>--</v>
      </c>
      <c r="EU73" s="258"/>
      <c r="EV73" s="197">
        <f t="shared" si="229"/>
        <v>0</v>
      </c>
      <c r="EW73" s="1006">
        <f t="shared" si="230"/>
        <v>0</v>
      </c>
      <c r="EX73" s="1007" t="e">
        <f t="shared" si="231"/>
        <v>#VALUE!</v>
      </c>
      <c r="EY73" s="258" t="str">
        <f t="shared" si="282"/>
        <v>--</v>
      </c>
      <c r="EZ73" s="258"/>
      <c r="FA73" s="197">
        <f t="shared" si="232"/>
        <v>0</v>
      </c>
      <c r="FB73" s="1006">
        <f t="shared" si="233"/>
        <v>0</v>
      </c>
      <c r="FC73" s="1007" t="e">
        <f t="shared" si="234"/>
        <v>#VALUE!</v>
      </c>
      <c r="FD73" s="258" t="str">
        <f t="shared" si="283"/>
        <v>--</v>
      </c>
      <c r="FE73" s="258"/>
      <c r="FF73" s="197">
        <f t="shared" si="235"/>
        <v>0</v>
      </c>
      <c r="FG73" s="1006">
        <f t="shared" si="236"/>
        <v>0</v>
      </c>
      <c r="FH73" s="1007" t="e">
        <f t="shared" si="237"/>
        <v>#VALUE!</v>
      </c>
      <c r="FI73" s="258" t="str">
        <f t="shared" si="284"/>
        <v>--</v>
      </c>
      <c r="FJ73" s="258"/>
      <c r="FK73" s="197">
        <f t="shared" si="238"/>
        <v>0</v>
      </c>
      <c r="FL73" s="1006">
        <f t="shared" si="239"/>
        <v>0</v>
      </c>
      <c r="FM73" s="1007" t="e">
        <f t="shared" si="240"/>
        <v>#VALUE!</v>
      </c>
      <c r="FN73" s="258" t="str">
        <f t="shared" si="285"/>
        <v>--</v>
      </c>
      <c r="FO73" s="258"/>
      <c r="FP73" s="197">
        <f t="shared" si="241"/>
        <v>0</v>
      </c>
      <c r="FQ73" s="1006">
        <f t="shared" si="242"/>
        <v>0</v>
      </c>
      <c r="FR73" s="1007" t="e">
        <f t="shared" si="243"/>
        <v>#VALUE!</v>
      </c>
      <c r="FS73" s="258" t="str">
        <f t="shared" si="286"/>
        <v>--</v>
      </c>
      <c r="FT73" s="258"/>
      <c r="FU73" s="197">
        <f t="shared" si="244"/>
        <v>0</v>
      </c>
      <c r="FV73" s="1006">
        <f t="shared" si="245"/>
        <v>0</v>
      </c>
      <c r="FW73" s="1007" t="e">
        <f t="shared" si="246"/>
        <v>#VALUE!</v>
      </c>
      <c r="FX73" s="258" t="str">
        <f t="shared" si="287"/>
        <v>--</v>
      </c>
      <c r="FY73" s="258"/>
      <c r="FZ73" s="197">
        <f t="shared" si="247"/>
        <v>0</v>
      </c>
      <c r="GA73" s="1006">
        <f t="shared" si="248"/>
        <v>0</v>
      </c>
      <c r="GB73" s="1007" t="e">
        <f t="shared" si="249"/>
        <v>#VALUE!</v>
      </c>
      <c r="GC73" s="258" t="str">
        <f t="shared" si="288"/>
        <v>--</v>
      </c>
      <c r="GD73" s="258"/>
      <c r="GE73" s="197">
        <f t="shared" si="250"/>
        <v>0</v>
      </c>
      <c r="GF73" s="1006">
        <f t="shared" si="251"/>
        <v>0</v>
      </c>
      <c r="GG73" s="1007" t="e">
        <f t="shared" si="252"/>
        <v>#VALUE!</v>
      </c>
      <c r="GH73" s="258" t="str">
        <f t="shared" si="289"/>
        <v>--</v>
      </c>
      <c r="GI73" s="258"/>
      <c r="GJ73" s="197">
        <f t="shared" si="253"/>
        <v>0</v>
      </c>
      <c r="GK73" s="1340"/>
      <c r="GL73" s="164"/>
      <c r="GM73" s="164"/>
      <c r="GN73" s="164"/>
    </row>
    <row r="74" spans="1:196" ht="12.75" x14ac:dyDescent="0.2">
      <c r="A74" s="243">
        <f>'Item list'!A74</f>
        <v>0</v>
      </c>
      <c r="B74" s="243">
        <f>'Item list'!B74</f>
        <v>0</v>
      </c>
      <c r="C74" s="243">
        <f>'Item list'!C74</f>
        <v>0</v>
      </c>
      <c r="D74" s="989">
        <f>'Item list'!D74</f>
        <v>0</v>
      </c>
      <c r="E74" s="243">
        <f>'Item list'!E74</f>
        <v>0</v>
      </c>
      <c r="F74" s="243">
        <f>'Item list'!F74</f>
        <v>0</v>
      </c>
      <c r="G74" s="243">
        <f>'Item list'!G74</f>
        <v>0</v>
      </c>
      <c r="H74" s="1005" t="e">
        <f t="shared" si="144"/>
        <v>#REF!</v>
      </c>
      <c r="I74" s="243"/>
      <c r="J74" s="243"/>
      <c r="K74" s="243"/>
      <c r="L74" s="197">
        <f t="shared" si="145"/>
        <v>0</v>
      </c>
      <c r="M74" s="1006">
        <f t="shared" si="146"/>
        <v>0</v>
      </c>
      <c r="N74" s="1007" t="e">
        <f t="shared" si="147"/>
        <v>#VALUE!</v>
      </c>
      <c r="O74" s="258" t="str">
        <f t="shared" si="254"/>
        <v>--</v>
      </c>
      <c r="P74" s="258"/>
      <c r="Q74" s="197">
        <f t="shared" si="148"/>
        <v>0</v>
      </c>
      <c r="R74" s="1006">
        <f t="shared" si="149"/>
        <v>0</v>
      </c>
      <c r="S74" s="1007" t="e">
        <f t="shared" si="150"/>
        <v>#VALUE!</v>
      </c>
      <c r="T74" s="258" t="str">
        <f t="shared" si="255"/>
        <v>--</v>
      </c>
      <c r="U74" s="258"/>
      <c r="V74" s="197">
        <f t="shared" si="151"/>
        <v>0</v>
      </c>
      <c r="W74" s="1006">
        <f t="shared" si="152"/>
        <v>0</v>
      </c>
      <c r="X74" s="1007" t="e">
        <f t="shared" si="153"/>
        <v>#VALUE!</v>
      </c>
      <c r="Y74" s="258" t="str">
        <f t="shared" si="256"/>
        <v>--</v>
      </c>
      <c r="Z74" s="258"/>
      <c r="AA74" s="197">
        <f t="shared" si="154"/>
        <v>0</v>
      </c>
      <c r="AB74" s="1006">
        <f t="shared" si="155"/>
        <v>0</v>
      </c>
      <c r="AC74" s="1007" t="e">
        <f t="shared" si="156"/>
        <v>#VALUE!</v>
      </c>
      <c r="AD74" s="258" t="str">
        <f t="shared" si="257"/>
        <v>--</v>
      </c>
      <c r="AE74" s="258"/>
      <c r="AF74" s="197">
        <f t="shared" si="157"/>
        <v>0</v>
      </c>
      <c r="AG74" s="1006">
        <f t="shared" si="158"/>
        <v>0</v>
      </c>
      <c r="AH74" s="1007" t="e">
        <f t="shared" si="159"/>
        <v>#VALUE!</v>
      </c>
      <c r="AI74" s="258" t="str">
        <f t="shared" si="258"/>
        <v>--</v>
      </c>
      <c r="AJ74" s="258"/>
      <c r="AK74" s="197">
        <f t="shared" si="160"/>
        <v>0</v>
      </c>
      <c r="AL74" s="1006">
        <f t="shared" si="161"/>
        <v>0</v>
      </c>
      <c r="AM74" s="1007" t="e">
        <f t="shared" si="162"/>
        <v>#VALUE!</v>
      </c>
      <c r="AN74" s="258" t="str">
        <f t="shared" si="259"/>
        <v>--</v>
      </c>
      <c r="AO74" s="258"/>
      <c r="AP74" s="197">
        <f t="shared" si="163"/>
        <v>0</v>
      </c>
      <c r="AQ74" s="1006">
        <f t="shared" si="164"/>
        <v>0</v>
      </c>
      <c r="AR74" s="1007" t="e">
        <f t="shared" si="165"/>
        <v>#VALUE!</v>
      </c>
      <c r="AS74" s="258" t="str">
        <f t="shared" si="260"/>
        <v>--</v>
      </c>
      <c r="AT74" s="258"/>
      <c r="AU74" s="197">
        <f t="shared" si="166"/>
        <v>0</v>
      </c>
      <c r="AV74" s="1006">
        <f t="shared" si="167"/>
        <v>0</v>
      </c>
      <c r="AW74" s="1007" t="e">
        <f t="shared" si="168"/>
        <v>#VALUE!</v>
      </c>
      <c r="AX74" s="258" t="str">
        <f t="shared" si="261"/>
        <v>--</v>
      </c>
      <c r="AY74" s="258"/>
      <c r="AZ74" s="197">
        <f t="shared" si="169"/>
        <v>0</v>
      </c>
      <c r="BA74" s="1006">
        <f t="shared" si="170"/>
        <v>0</v>
      </c>
      <c r="BB74" s="1007" t="e">
        <f t="shared" si="171"/>
        <v>#VALUE!</v>
      </c>
      <c r="BC74" s="258" t="str">
        <f t="shared" si="262"/>
        <v>--</v>
      </c>
      <c r="BD74" s="258"/>
      <c r="BE74" s="197">
        <f t="shared" si="172"/>
        <v>0</v>
      </c>
      <c r="BF74" s="1006">
        <f t="shared" si="173"/>
        <v>0</v>
      </c>
      <c r="BG74" s="1007" t="e">
        <f t="shared" si="174"/>
        <v>#VALUE!</v>
      </c>
      <c r="BH74" s="258" t="str">
        <f t="shared" si="263"/>
        <v>--</v>
      </c>
      <c r="BI74" s="258"/>
      <c r="BJ74" s="197">
        <f t="shared" si="175"/>
        <v>0</v>
      </c>
      <c r="BK74" s="1006">
        <f t="shared" si="176"/>
        <v>0</v>
      </c>
      <c r="BL74" s="1007" t="e">
        <f t="shared" si="177"/>
        <v>#VALUE!</v>
      </c>
      <c r="BM74" s="258" t="str">
        <f t="shared" si="264"/>
        <v>--</v>
      </c>
      <c r="BN74" s="258"/>
      <c r="BO74" s="197">
        <f t="shared" si="178"/>
        <v>0</v>
      </c>
      <c r="BP74" s="1006">
        <f t="shared" si="179"/>
        <v>0</v>
      </c>
      <c r="BQ74" s="1007" t="e">
        <f t="shared" si="180"/>
        <v>#VALUE!</v>
      </c>
      <c r="BR74" s="258" t="str">
        <f t="shared" si="265"/>
        <v>--</v>
      </c>
      <c r="BS74" s="258"/>
      <c r="BT74" s="197">
        <f t="shared" si="181"/>
        <v>0</v>
      </c>
      <c r="BU74" s="1006">
        <f t="shared" si="182"/>
        <v>0</v>
      </c>
      <c r="BV74" s="1007" t="e">
        <f t="shared" si="183"/>
        <v>#VALUE!</v>
      </c>
      <c r="BW74" s="258" t="str">
        <f t="shared" si="266"/>
        <v>--</v>
      </c>
      <c r="BX74" s="258"/>
      <c r="BY74" s="197">
        <f t="shared" si="184"/>
        <v>0</v>
      </c>
      <c r="BZ74" s="1006">
        <f t="shared" si="185"/>
        <v>0</v>
      </c>
      <c r="CA74" s="1007" t="e">
        <f t="shared" si="186"/>
        <v>#VALUE!</v>
      </c>
      <c r="CB74" s="258" t="str">
        <f t="shared" si="267"/>
        <v>--</v>
      </c>
      <c r="CC74" s="258"/>
      <c r="CD74" s="197">
        <f t="shared" si="187"/>
        <v>0</v>
      </c>
      <c r="CE74" s="1006">
        <f t="shared" si="188"/>
        <v>0</v>
      </c>
      <c r="CF74" s="1007" t="e">
        <f t="shared" si="189"/>
        <v>#VALUE!</v>
      </c>
      <c r="CG74" s="258" t="str">
        <f t="shared" si="268"/>
        <v>--</v>
      </c>
      <c r="CH74" s="258"/>
      <c r="CI74" s="197">
        <f t="shared" si="190"/>
        <v>0</v>
      </c>
      <c r="CJ74" s="1006">
        <f t="shared" si="191"/>
        <v>0</v>
      </c>
      <c r="CK74" s="1007" t="e">
        <f t="shared" si="192"/>
        <v>#VALUE!</v>
      </c>
      <c r="CL74" s="258" t="str">
        <f t="shared" si="269"/>
        <v>--</v>
      </c>
      <c r="CM74" s="258"/>
      <c r="CN74" s="197">
        <f t="shared" si="193"/>
        <v>0</v>
      </c>
      <c r="CO74" s="1006">
        <f t="shared" si="194"/>
        <v>0</v>
      </c>
      <c r="CP74" s="1007" t="e">
        <f t="shared" si="195"/>
        <v>#VALUE!</v>
      </c>
      <c r="CQ74" s="258" t="str">
        <f t="shared" si="270"/>
        <v>--</v>
      </c>
      <c r="CR74" s="258"/>
      <c r="CS74" s="197">
        <f t="shared" si="196"/>
        <v>0</v>
      </c>
      <c r="CT74" s="1006">
        <f t="shared" si="197"/>
        <v>0</v>
      </c>
      <c r="CU74" s="1007" t="e">
        <f t="shared" si="198"/>
        <v>#VALUE!</v>
      </c>
      <c r="CV74" s="258" t="str">
        <f t="shared" si="271"/>
        <v>--</v>
      </c>
      <c r="CW74" s="258"/>
      <c r="CX74" s="197">
        <f t="shared" si="199"/>
        <v>0</v>
      </c>
      <c r="CY74" s="1006">
        <f t="shared" si="200"/>
        <v>0</v>
      </c>
      <c r="CZ74" s="1007" t="e">
        <f t="shared" si="201"/>
        <v>#VALUE!</v>
      </c>
      <c r="DA74" s="258" t="str">
        <f t="shared" si="272"/>
        <v>--</v>
      </c>
      <c r="DB74" s="258"/>
      <c r="DC74" s="197">
        <f t="shared" si="202"/>
        <v>0</v>
      </c>
      <c r="DD74" s="1006">
        <f t="shared" si="203"/>
        <v>0</v>
      </c>
      <c r="DE74" s="1007" t="e">
        <f t="shared" si="204"/>
        <v>#VALUE!</v>
      </c>
      <c r="DF74" s="258" t="str">
        <f t="shared" si="273"/>
        <v>--</v>
      </c>
      <c r="DG74" s="258"/>
      <c r="DH74" s="197">
        <f t="shared" si="205"/>
        <v>0</v>
      </c>
      <c r="DI74" s="1006">
        <f t="shared" si="206"/>
        <v>0</v>
      </c>
      <c r="DJ74" s="1007" t="e">
        <f t="shared" si="207"/>
        <v>#VALUE!</v>
      </c>
      <c r="DK74" s="258" t="str">
        <f t="shared" si="274"/>
        <v>--</v>
      </c>
      <c r="DL74" s="258"/>
      <c r="DM74" s="197">
        <f t="shared" si="208"/>
        <v>0</v>
      </c>
      <c r="DN74" s="1006">
        <f t="shared" si="209"/>
        <v>0</v>
      </c>
      <c r="DO74" s="1007" t="e">
        <f t="shared" si="210"/>
        <v>#VALUE!</v>
      </c>
      <c r="DP74" s="258" t="str">
        <f t="shared" si="275"/>
        <v>--</v>
      </c>
      <c r="DQ74" s="258"/>
      <c r="DR74" s="197">
        <f t="shared" si="211"/>
        <v>0</v>
      </c>
      <c r="DS74" s="1006">
        <f t="shared" si="212"/>
        <v>0</v>
      </c>
      <c r="DT74" s="1007" t="e">
        <f t="shared" si="213"/>
        <v>#VALUE!</v>
      </c>
      <c r="DU74" s="258" t="str">
        <f t="shared" si="276"/>
        <v>--</v>
      </c>
      <c r="DV74" s="258"/>
      <c r="DW74" s="197">
        <f t="shared" si="214"/>
        <v>0</v>
      </c>
      <c r="DX74" s="1006">
        <f t="shared" si="215"/>
        <v>0</v>
      </c>
      <c r="DY74" s="1007" t="e">
        <f t="shared" si="216"/>
        <v>#VALUE!</v>
      </c>
      <c r="DZ74" s="258" t="str">
        <f t="shared" si="277"/>
        <v>--</v>
      </c>
      <c r="EA74" s="258"/>
      <c r="EB74" s="197">
        <f t="shared" si="217"/>
        <v>0</v>
      </c>
      <c r="EC74" s="1006">
        <f t="shared" si="218"/>
        <v>0</v>
      </c>
      <c r="ED74" s="1007" t="e">
        <f t="shared" si="219"/>
        <v>#VALUE!</v>
      </c>
      <c r="EE74" s="258" t="str">
        <f t="shared" si="278"/>
        <v>--</v>
      </c>
      <c r="EF74" s="258"/>
      <c r="EG74" s="197">
        <f t="shared" si="220"/>
        <v>0</v>
      </c>
      <c r="EH74" s="1006">
        <f t="shared" si="221"/>
        <v>0</v>
      </c>
      <c r="EI74" s="1007" t="e">
        <f t="shared" si="222"/>
        <v>#VALUE!</v>
      </c>
      <c r="EJ74" s="258" t="str">
        <f t="shared" si="279"/>
        <v>--</v>
      </c>
      <c r="EK74" s="258"/>
      <c r="EL74" s="197">
        <f t="shared" si="223"/>
        <v>0</v>
      </c>
      <c r="EM74" s="1006">
        <f t="shared" si="224"/>
        <v>0</v>
      </c>
      <c r="EN74" s="1007" t="e">
        <f t="shared" si="225"/>
        <v>#VALUE!</v>
      </c>
      <c r="EO74" s="258" t="str">
        <f t="shared" si="280"/>
        <v>--</v>
      </c>
      <c r="EP74" s="258"/>
      <c r="EQ74" s="197">
        <f t="shared" si="226"/>
        <v>0</v>
      </c>
      <c r="ER74" s="1006">
        <f t="shared" si="227"/>
        <v>0</v>
      </c>
      <c r="ES74" s="1007" t="e">
        <f t="shared" si="228"/>
        <v>#VALUE!</v>
      </c>
      <c r="ET74" s="258" t="str">
        <f t="shared" si="281"/>
        <v>--</v>
      </c>
      <c r="EU74" s="258"/>
      <c r="EV74" s="197">
        <f t="shared" si="229"/>
        <v>0</v>
      </c>
      <c r="EW74" s="1006">
        <f t="shared" si="230"/>
        <v>0</v>
      </c>
      <c r="EX74" s="1007" t="e">
        <f t="shared" si="231"/>
        <v>#VALUE!</v>
      </c>
      <c r="EY74" s="258" t="str">
        <f t="shared" si="282"/>
        <v>--</v>
      </c>
      <c r="EZ74" s="258"/>
      <c r="FA74" s="197">
        <f t="shared" si="232"/>
        <v>0</v>
      </c>
      <c r="FB74" s="1006">
        <f t="shared" si="233"/>
        <v>0</v>
      </c>
      <c r="FC74" s="1007" t="e">
        <f t="shared" si="234"/>
        <v>#VALUE!</v>
      </c>
      <c r="FD74" s="258" t="str">
        <f t="shared" si="283"/>
        <v>--</v>
      </c>
      <c r="FE74" s="258"/>
      <c r="FF74" s="197">
        <f t="shared" si="235"/>
        <v>0</v>
      </c>
      <c r="FG74" s="1006">
        <f t="shared" si="236"/>
        <v>0</v>
      </c>
      <c r="FH74" s="1007" t="e">
        <f t="shared" si="237"/>
        <v>#VALUE!</v>
      </c>
      <c r="FI74" s="258" t="str">
        <f t="shared" si="284"/>
        <v>--</v>
      </c>
      <c r="FJ74" s="258"/>
      <c r="FK74" s="197">
        <f t="shared" si="238"/>
        <v>0</v>
      </c>
      <c r="FL74" s="1006">
        <f t="shared" si="239"/>
        <v>0</v>
      </c>
      <c r="FM74" s="1007" t="e">
        <f t="shared" si="240"/>
        <v>#VALUE!</v>
      </c>
      <c r="FN74" s="258" t="str">
        <f t="shared" si="285"/>
        <v>--</v>
      </c>
      <c r="FO74" s="258"/>
      <c r="FP74" s="197">
        <f t="shared" si="241"/>
        <v>0</v>
      </c>
      <c r="FQ74" s="1006">
        <f t="shared" si="242"/>
        <v>0</v>
      </c>
      <c r="FR74" s="1007" t="e">
        <f t="shared" si="243"/>
        <v>#VALUE!</v>
      </c>
      <c r="FS74" s="258" t="str">
        <f t="shared" si="286"/>
        <v>--</v>
      </c>
      <c r="FT74" s="258"/>
      <c r="FU74" s="197">
        <f t="shared" si="244"/>
        <v>0</v>
      </c>
      <c r="FV74" s="1006">
        <f t="shared" si="245"/>
        <v>0</v>
      </c>
      <c r="FW74" s="1007" t="e">
        <f t="shared" si="246"/>
        <v>#VALUE!</v>
      </c>
      <c r="FX74" s="258" t="str">
        <f t="shared" si="287"/>
        <v>--</v>
      </c>
      <c r="FY74" s="258"/>
      <c r="FZ74" s="197">
        <f t="shared" si="247"/>
        <v>0</v>
      </c>
      <c r="GA74" s="1006">
        <f t="shared" si="248"/>
        <v>0</v>
      </c>
      <c r="GB74" s="1007" t="e">
        <f t="shared" si="249"/>
        <v>#VALUE!</v>
      </c>
      <c r="GC74" s="258" t="str">
        <f t="shared" si="288"/>
        <v>--</v>
      </c>
      <c r="GD74" s="258"/>
      <c r="GE74" s="197">
        <f t="shared" si="250"/>
        <v>0</v>
      </c>
      <c r="GF74" s="1006">
        <f t="shared" si="251"/>
        <v>0</v>
      </c>
      <c r="GG74" s="1007" t="e">
        <f t="shared" si="252"/>
        <v>#VALUE!</v>
      </c>
      <c r="GH74" s="258" t="str">
        <f t="shared" si="289"/>
        <v>--</v>
      </c>
      <c r="GI74" s="258"/>
      <c r="GJ74" s="197">
        <f t="shared" si="253"/>
        <v>0</v>
      </c>
      <c r="GK74" s="1340"/>
      <c r="GL74" s="164"/>
      <c r="GM74" s="164"/>
      <c r="GN74" s="164"/>
    </row>
    <row r="75" spans="1:196" ht="12.75" x14ac:dyDescent="0.2">
      <c r="A75" s="243">
        <f>'Item list'!A75</f>
        <v>0</v>
      </c>
      <c r="B75" s="243">
        <f>'Item list'!B75</f>
        <v>0</v>
      </c>
      <c r="C75" s="243">
        <f>'Item list'!C75</f>
        <v>0</v>
      </c>
      <c r="D75" s="989">
        <f>'Item list'!D75</f>
        <v>0</v>
      </c>
      <c r="E75" s="243">
        <f>'Item list'!E75</f>
        <v>0</v>
      </c>
      <c r="F75" s="243">
        <f>'Item list'!F75</f>
        <v>0</v>
      </c>
      <c r="G75" s="243">
        <f>'Item list'!G75</f>
        <v>0</v>
      </c>
      <c r="H75" s="1005" t="e">
        <f t="shared" si="144"/>
        <v>#REF!</v>
      </c>
      <c r="I75" s="243"/>
      <c r="J75" s="243"/>
      <c r="K75" s="243"/>
      <c r="L75" s="197">
        <f t="shared" si="145"/>
        <v>0</v>
      </c>
      <c r="M75" s="1006">
        <f t="shared" si="146"/>
        <v>0</v>
      </c>
      <c r="N75" s="1007" t="e">
        <f t="shared" si="147"/>
        <v>#VALUE!</v>
      </c>
      <c r="O75" s="258" t="str">
        <f t="shared" si="254"/>
        <v>--</v>
      </c>
      <c r="P75" s="258"/>
      <c r="Q75" s="197">
        <f t="shared" si="148"/>
        <v>0</v>
      </c>
      <c r="R75" s="1006">
        <f t="shared" si="149"/>
        <v>0</v>
      </c>
      <c r="S75" s="1007" t="e">
        <f t="shared" si="150"/>
        <v>#VALUE!</v>
      </c>
      <c r="T75" s="258" t="str">
        <f t="shared" si="255"/>
        <v>--</v>
      </c>
      <c r="U75" s="258"/>
      <c r="V75" s="197">
        <f t="shared" si="151"/>
        <v>0</v>
      </c>
      <c r="W75" s="1006">
        <f t="shared" si="152"/>
        <v>0</v>
      </c>
      <c r="X75" s="1007" t="e">
        <f t="shared" si="153"/>
        <v>#VALUE!</v>
      </c>
      <c r="Y75" s="258" t="str">
        <f t="shared" si="256"/>
        <v>--</v>
      </c>
      <c r="Z75" s="258"/>
      <c r="AA75" s="197">
        <f t="shared" si="154"/>
        <v>0</v>
      </c>
      <c r="AB75" s="1006">
        <f t="shared" si="155"/>
        <v>0</v>
      </c>
      <c r="AC75" s="1007" t="e">
        <f t="shared" si="156"/>
        <v>#VALUE!</v>
      </c>
      <c r="AD75" s="258" t="str">
        <f t="shared" si="257"/>
        <v>--</v>
      </c>
      <c r="AE75" s="258"/>
      <c r="AF75" s="197">
        <f t="shared" si="157"/>
        <v>0</v>
      </c>
      <c r="AG75" s="1006">
        <f t="shared" si="158"/>
        <v>0</v>
      </c>
      <c r="AH75" s="1007" t="e">
        <f t="shared" si="159"/>
        <v>#VALUE!</v>
      </c>
      <c r="AI75" s="258" t="str">
        <f t="shared" si="258"/>
        <v>--</v>
      </c>
      <c r="AJ75" s="258"/>
      <c r="AK75" s="197">
        <f t="shared" si="160"/>
        <v>0</v>
      </c>
      <c r="AL75" s="1006">
        <f t="shared" si="161"/>
        <v>0</v>
      </c>
      <c r="AM75" s="1007" t="e">
        <f t="shared" si="162"/>
        <v>#VALUE!</v>
      </c>
      <c r="AN75" s="258" t="str">
        <f t="shared" si="259"/>
        <v>--</v>
      </c>
      <c r="AO75" s="258"/>
      <c r="AP75" s="197">
        <f t="shared" si="163"/>
        <v>0</v>
      </c>
      <c r="AQ75" s="1006">
        <f t="shared" si="164"/>
        <v>0</v>
      </c>
      <c r="AR75" s="1007" t="e">
        <f t="shared" si="165"/>
        <v>#VALUE!</v>
      </c>
      <c r="AS75" s="258" t="str">
        <f t="shared" si="260"/>
        <v>--</v>
      </c>
      <c r="AT75" s="258"/>
      <c r="AU75" s="197">
        <f t="shared" si="166"/>
        <v>0</v>
      </c>
      <c r="AV75" s="1006">
        <f t="shared" si="167"/>
        <v>0</v>
      </c>
      <c r="AW75" s="1007" t="e">
        <f t="shared" si="168"/>
        <v>#VALUE!</v>
      </c>
      <c r="AX75" s="258" t="str">
        <f t="shared" si="261"/>
        <v>--</v>
      </c>
      <c r="AY75" s="258"/>
      <c r="AZ75" s="197">
        <f t="shared" si="169"/>
        <v>0</v>
      </c>
      <c r="BA75" s="1006">
        <f t="shared" si="170"/>
        <v>0</v>
      </c>
      <c r="BB75" s="1007" t="e">
        <f t="shared" si="171"/>
        <v>#VALUE!</v>
      </c>
      <c r="BC75" s="258" t="str">
        <f t="shared" si="262"/>
        <v>--</v>
      </c>
      <c r="BD75" s="258"/>
      <c r="BE75" s="197">
        <f t="shared" si="172"/>
        <v>0</v>
      </c>
      <c r="BF75" s="1006">
        <f t="shared" si="173"/>
        <v>0</v>
      </c>
      <c r="BG75" s="1007" t="e">
        <f t="shared" si="174"/>
        <v>#VALUE!</v>
      </c>
      <c r="BH75" s="258" t="str">
        <f t="shared" si="263"/>
        <v>--</v>
      </c>
      <c r="BI75" s="258"/>
      <c r="BJ75" s="197">
        <f t="shared" si="175"/>
        <v>0</v>
      </c>
      <c r="BK75" s="1006">
        <f t="shared" si="176"/>
        <v>0</v>
      </c>
      <c r="BL75" s="1007" t="e">
        <f t="shared" si="177"/>
        <v>#VALUE!</v>
      </c>
      <c r="BM75" s="258" t="str">
        <f t="shared" si="264"/>
        <v>--</v>
      </c>
      <c r="BN75" s="258"/>
      <c r="BO75" s="197">
        <f t="shared" si="178"/>
        <v>0</v>
      </c>
      <c r="BP75" s="1006">
        <f t="shared" si="179"/>
        <v>0</v>
      </c>
      <c r="BQ75" s="1007" t="e">
        <f t="shared" si="180"/>
        <v>#VALUE!</v>
      </c>
      <c r="BR75" s="258" t="str">
        <f t="shared" si="265"/>
        <v>--</v>
      </c>
      <c r="BS75" s="258"/>
      <c r="BT75" s="197">
        <f t="shared" si="181"/>
        <v>0</v>
      </c>
      <c r="BU75" s="1006">
        <f t="shared" si="182"/>
        <v>0</v>
      </c>
      <c r="BV75" s="1007" t="e">
        <f t="shared" si="183"/>
        <v>#VALUE!</v>
      </c>
      <c r="BW75" s="258" t="str">
        <f t="shared" si="266"/>
        <v>--</v>
      </c>
      <c r="BX75" s="258"/>
      <c r="BY75" s="197">
        <f t="shared" si="184"/>
        <v>0</v>
      </c>
      <c r="BZ75" s="1006">
        <f t="shared" si="185"/>
        <v>0</v>
      </c>
      <c r="CA75" s="1007" t="e">
        <f t="shared" si="186"/>
        <v>#VALUE!</v>
      </c>
      <c r="CB75" s="258" t="str">
        <f t="shared" si="267"/>
        <v>--</v>
      </c>
      <c r="CC75" s="258"/>
      <c r="CD75" s="197">
        <f t="shared" si="187"/>
        <v>0</v>
      </c>
      <c r="CE75" s="1006">
        <f t="shared" si="188"/>
        <v>0</v>
      </c>
      <c r="CF75" s="1007" t="e">
        <f t="shared" si="189"/>
        <v>#VALUE!</v>
      </c>
      <c r="CG75" s="258" t="str">
        <f t="shared" si="268"/>
        <v>--</v>
      </c>
      <c r="CH75" s="258"/>
      <c r="CI75" s="197">
        <f t="shared" si="190"/>
        <v>0</v>
      </c>
      <c r="CJ75" s="1006">
        <f t="shared" si="191"/>
        <v>0</v>
      </c>
      <c r="CK75" s="1007" t="e">
        <f t="shared" si="192"/>
        <v>#VALUE!</v>
      </c>
      <c r="CL75" s="258" t="str">
        <f t="shared" si="269"/>
        <v>--</v>
      </c>
      <c r="CM75" s="258"/>
      <c r="CN75" s="197">
        <f t="shared" si="193"/>
        <v>0</v>
      </c>
      <c r="CO75" s="1006">
        <f t="shared" si="194"/>
        <v>0</v>
      </c>
      <c r="CP75" s="1007" t="e">
        <f t="shared" si="195"/>
        <v>#VALUE!</v>
      </c>
      <c r="CQ75" s="258" t="str">
        <f t="shared" si="270"/>
        <v>--</v>
      </c>
      <c r="CR75" s="258"/>
      <c r="CS75" s="197">
        <f t="shared" si="196"/>
        <v>0</v>
      </c>
      <c r="CT75" s="1006">
        <f t="shared" si="197"/>
        <v>0</v>
      </c>
      <c r="CU75" s="1007" t="e">
        <f t="shared" si="198"/>
        <v>#VALUE!</v>
      </c>
      <c r="CV75" s="258" t="str">
        <f t="shared" si="271"/>
        <v>--</v>
      </c>
      <c r="CW75" s="258"/>
      <c r="CX75" s="197">
        <f t="shared" si="199"/>
        <v>0</v>
      </c>
      <c r="CY75" s="1006">
        <f t="shared" si="200"/>
        <v>0</v>
      </c>
      <c r="CZ75" s="1007" t="e">
        <f t="shared" si="201"/>
        <v>#VALUE!</v>
      </c>
      <c r="DA75" s="258" t="str">
        <f t="shared" si="272"/>
        <v>--</v>
      </c>
      <c r="DB75" s="258"/>
      <c r="DC75" s="197">
        <f t="shared" si="202"/>
        <v>0</v>
      </c>
      <c r="DD75" s="1006">
        <f t="shared" si="203"/>
        <v>0</v>
      </c>
      <c r="DE75" s="1007" t="e">
        <f t="shared" si="204"/>
        <v>#VALUE!</v>
      </c>
      <c r="DF75" s="258" t="str">
        <f t="shared" si="273"/>
        <v>--</v>
      </c>
      <c r="DG75" s="258"/>
      <c r="DH75" s="197">
        <f t="shared" si="205"/>
        <v>0</v>
      </c>
      <c r="DI75" s="1006">
        <f t="shared" si="206"/>
        <v>0</v>
      </c>
      <c r="DJ75" s="1007" t="e">
        <f t="shared" si="207"/>
        <v>#VALUE!</v>
      </c>
      <c r="DK75" s="258" t="str">
        <f t="shared" si="274"/>
        <v>--</v>
      </c>
      <c r="DL75" s="258"/>
      <c r="DM75" s="197">
        <f t="shared" si="208"/>
        <v>0</v>
      </c>
      <c r="DN75" s="1006">
        <f t="shared" si="209"/>
        <v>0</v>
      </c>
      <c r="DO75" s="1007" t="e">
        <f t="shared" si="210"/>
        <v>#VALUE!</v>
      </c>
      <c r="DP75" s="258" t="str">
        <f t="shared" si="275"/>
        <v>--</v>
      </c>
      <c r="DQ75" s="258"/>
      <c r="DR75" s="197">
        <f t="shared" si="211"/>
        <v>0</v>
      </c>
      <c r="DS75" s="1006">
        <f t="shared" si="212"/>
        <v>0</v>
      </c>
      <c r="DT75" s="1007" t="e">
        <f t="shared" si="213"/>
        <v>#VALUE!</v>
      </c>
      <c r="DU75" s="258" t="str">
        <f t="shared" si="276"/>
        <v>--</v>
      </c>
      <c r="DV75" s="258"/>
      <c r="DW75" s="197">
        <f t="shared" si="214"/>
        <v>0</v>
      </c>
      <c r="DX75" s="1006">
        <f t="shared" si="215"/>
        <v>0</v>
      </c>
      <c r="DY75" s="1007" t="e">
        <f t="shared" si="216"/>
        <v>#VALUE!</v>
      </c>
      <c r="DZ75" s="258" t="str">
        <f t="shared" si="277"/>
        <v>--</v>
      </c>
      <c r="EA75" s="258"/>
      <c r="EB75" s="197">
        <f t="shared" si="217"/>
        <v>0</v>
      </c>
      <c r="EC75" s="1006">
        <f t="shared" si="218"/>
        <v>0</v>
      </c>
      <c r="ED75" s="1007" t="e">
        <f t="shared" si="219"/>
        <v>#VALUE!</v>
      </c>
      <c r="EE75" s="258" t="str">
        <f t="shared" si="278"/>
        <v>--</v>
      </c>
      <c r="EF75" s="258"/>
      <c r="EG75" s="197">
        <f t="shared" si="220"/>
        <v>0</v>
      </c>
      <c r="EH75" s="1006">
        <f t="shared" si="221"/>
        <v>0</v>
      </c>
      <c r="EI75" s="1007" t="e">
        <f t="shared" si="222"/>
        <v>#VALUE!</v>
      </c>
      <c r="EJ75" s="258" t="str">
        <f t="shared" si="279"/>
        <v>--</v>
      </c>
      <c r="EK75" s="258"/>
      <c r="EL75" s="197">
        <f t="shared" si="223"/>
        <v>0</v>
      </c>
      <c r="EM75" s="1006">
        <f t="shared" si="224"/>
        <v>0</v>
      </c>
      <c r="EN75" s="1007" t="e">
        <f t="shared" si="225"/>
        <v>#VALUE!</v>
      </c>
      <c r="EO75" s="258" t="str">
        <f t="shared" si="280"/>
        <v>--</v>
      </c>
      <c r="EP75" s="258"/>
      <c r="EQ75" s="197">
        <f t="shared" si="226"/>
        <v>0</v>
      </c>
      <c r="ER75" s="1006">
        <f t="shared" si="227"/>
        <v>0</v>
      </c>
      <c r="ES75" s="1007" t="e">
        <f t="shared" si="228"/>
        <v>#VALUE!</v>
      </c>
      <c r="ET75" s="258" t="str">
        <f t="shared" si="281"/>
        <v>--</v>
      </c>
      <c r="EU75" s="258"/>
      <c r="EV75" s="197">
        <f t="shared" si="229"/>
        <v>0</v>
      </c>
      <c r="EW75" s="1006">
        <f t="shared" si="230"/>
        <v>0</v>
      </c>
      <c r="EX75" s="1007" t="e">
        <f t="shared" si="231"/>
        <v>#VALUE!</v>
      </c>
      <c r="EY75" s="258" t="str">
        <f t="shared" si="282"/>
        <v>--</v>
      </c>
      <c r="EZ75" s="258"/>
      <c r="FA75" s="197">
        <f t="shared" si="232"/>
        <v>0</v>
      </c>
      <c r="FB75" s="1006">
        <f t="shared" si="233"/>
        <v>0</v>
      </c>
      <c r="FC75" s="1007" t="e">
        <f t="shared" si="234"/>
        <v>#VALUE!</v>
      </c>
      <c r="FD75" s="258" t="str">
        <f t="shared" si="283"/>
        <v>--</v>
      </c>
      <c r="FE75" s="258"/>
      <c r="FF75" s="197">
        <f t="shared" si="235"/>
        <v>0</v>
      </c>
      <c r="FG75" s="1006">
        <f t="shared" si="236"/>
        <v>0</v>
      </c>
      <c r="FH75" s="1007" t="e">
        <f t="shared" si="237"/>
        <v>#VALUE!</v>
      </c>
      <c r="FI75" s="258" t="str">
        <f t="shared" si="284"/>
        <v>--</v>
      </c>
      <c r="FJ75" s="258"/>
      <c r="FK75" s="197">
        <f t="shared" si="238"/>
        <v>0</v>
      </c>
      <c r="FL75" s="1006">
        <f t="shared" si="239"/>
        <v>0</v>
      </c>
      <c r="FM75" s="1007" t="e">
        <f t="shared" si="240"/>
        <v>#VALUE!</v>
      </c>
      <c r="FN75" s="258" t="str">
        <f t="shared" si="285"/>
        <v>--</v>
      </c>
      <c r="FO75" s="258"/>
      <c r="FP75" s="197">
        <f t="shared" si="241"/>
        <v>0</v>
      </c>
      <c r="FQ75" s="1006">
        <f t="shared" si="242"/>
        <v>0</v>
      </c>
      <c r="FR75" s="1007" t="e">
        <f t="shared" si="243"/>
        <v>#VALUE!</v>
      </c>
      <c r="FS75" s="258" t="str">
        <f t="shared" si="286"/>
        <v>--</v>
      </c>
      <c r="FT75" s="258"/>
      <c r="FU75" s="197">
        <f t="shared" si="244"/>
        <v>0</v>
      </c>
      <c r="FV75" s="1006">
        <f t="shared" si="245"/>
        <v>0</v>
      </c>
      <c r="FW75" s="1007" t="e">
        <f t="shared" si="246"/>
        <v>#VALUE!</v>
      </c>
      <c r="FX75" s="258" t="str">
        <f t="shared" si="287"/>
        <v>--</v>
      </c>
      <c r="FY75" s="258"/>
      <c r="FZ75" s="197">
        <f t="shared" si="247"/>
        <v>0</v>
      </c>
      <c r="GA75" s="1006">
        <f t="shared" si="248"/>
        <v>0</v>
      </c>
      <c r="GB75" s="1007" t="e">
        <f t="shared" si="249"/>
        <v>#VALUE!</v>
      </c>
      <c r="GC75" s="258" t="str">
        <f t="shared" si="288"/>
        <v>--</v>
      </c>
      <c r="GD75" s="258"/>
      <c r="GE75" s="197">
        <f t="shared" si="250"/>
        <v>0</v>
      </c>
      <c r="GF75" s="1006">
        <f t="shared" si="251"/>
        <v>0</v>
      </c>
      <c r="GG75" s="1007" t="e">
        <f t="shared" si="252"/>
        <v>#VALUE!</v>
      </c>
      <c r="GH75" s="258" t="str">
        <f t="shared" si="289"/>
        <v>--</v>
      </c>
      <c r="GI75" s="258"/>
      <c r="GJ75" s="197">
        <f t="shared" si="253"/>
        <v>0</v>
      </c>
      <c r="GK75" s="1340"/>
      <c r="GL75" s="164"/>
      <c r="GM75" s="164"/>
      <c r="GN75" s="164"/>
    </row>
    <row r="76" spans="1:196" ht="12.75" x14ac:dyDescent="0.2">
      <c r="A76" s="243">
        <f>'Item list'!A76</f>
        <v>0</v>
      </c>
      <c r="B76" s="243">
        <f>'Item list'!B76</f>
        <v>0</v>
      </c>
      <c r="C76" s="243">
        <f>'Item list'!C76</f>
        <v>0</v>
      </c>
      <c r="D76" s="989">
        <f>'Item list'!D76</f>
        <v>0</v>
      </c>
      <c r="E76" s="243">
        <f>'Item list'!E76</f>
        <v>0</v>
      </c>
      <c r="F76" s="243">
        <f>'Item list'!F76</f>
        <v>0</v>
      </c>
      <c r="G76" s="243">
        <f>'Item list'!G76</f>
        <v>0</v>
      </c>
      <c r="H76" s="1005" t="e">
        <f t="shared" si="144"/>
        <v>#REF!</v>
      </c>
      <c r="I76" s="243"/>
      <c r="J76" s="243"/>
      <c r="K76" s="243"/>
      <c r="L76" s="197">
        <f t="shared" si="145"/>
        <v>0</v>
      </c>
      <c r="M76" s="1006">
        <f t="shared" si="146"/>
        <v>0</v>
      </c>
      <c r="N76" s="1007" t="e">
        <f t="shared" si="147"/>
        <v>#VALUE!</v>
      </c>
      <c r="O76" s="258" t="str">
        <f t="shared" si="254"/>
        <v>--</v>
      </c>
      <c r="P76" s="258"/>
      <c r="Q76" s="197">
        <f t="shared" si="148"/>
        <v>0</v>
      </c>
      <c r="R76" s="1006">
        <f t="shared" si="149"/>
        <v>0</v>
      </c>
      <c r="S76" s="1007" t="e">
        <f t="shared" si="150"/>
        <v>#VALUE!</v>
      </c>
      <c r="T76" s="258" t="str">
        <f t="shared" si="255"/>
        <v>--</v>
      </c>
      <c r="U76" s="258"/>
      <c r="V76" s="197">
        <f t="shared" si="151"/>
        <v>0</v>
      </c>
      <c r="W76" s="1006">
        <f t="shared" si="152"/>
        <v>0</v>
      </c>
      <c r="X76" s="1007" t="e">
        <f t="shared" si="153"/>
        <v>#VALUE!</v>
      </c>
      <c r="Y76" s="258" t="str">
        <f t="shared" si="256"/>
        <v>--</v>
      </c>
      <c r="Z76" s="258"/>
      <c r="AA76" s="197">
        <f t="shared" si="154"/>
        <v>0</v>
      </c>
      <c r="AB76" s="1006">
        <f t="shared" si="155"/>
        <v>0</v>
      </c>
      <c r="AC76" s="1007" t="e">
        <f t="shared" si="156"/>
        <v>#VALUE!</v>
      </c>
      <c r="AD76" s="258" t="str">
        <f t="shared" si="257"/>
        <v>--</v>
      </c>
      <c r="AE76" s="258"/>
      <c r="AF76" s="197">
        <f t="shared" si="157"/>
        <v>0</v>
      </c>
      <c r="AG76" s="1006">
        <f t="shared" si="158"/>
        <v>0</v>
      </c>
      <c r="AH76" s="1007" t="e">
        <f t="shared" si="159"/>
        <v>#VALUE!</v>
      </c>
      <c r="AI76" s="258" t="str">
        <f t="shared" si="258"/>
        <v>--</v>
      </c>
      <c r="AJ76" s="258"/>
      <c r="AK76" s="197">
        <f t="shared" si="160"/>
        <v>0</v>
      </c>
      <c r="AL76" s="1006">
        <f t="shared" si="161"/>
        <v>0</v>
      </c>
      <c r="AM76" s="1007" t="e">
        <f t="shared" si="162"/>
        <v>#VALUE!</v>
      </c>
      <c r="AN76" s="258" t="str">
        <f t="shared" si="259"/>
        <v>--</v>
      </c>
      <c r="AO76" s="258"/>
      <c r="AP76" s="197">
        <f t="shared" si="163"/>
        <v>0</v>
      </c>
      <c r="AQ76" s="1006">
        <f t="shared" si="164"/>
        <v>0</v>
      </c>
      <c r="AR76" s="1007" t="e">
        <f t="shared" si="165"/>
        <v>#VALUE!</v>
      </c>
      <c r="AS76" s="258" t="str">
        <f t="shared" si="260"/>
        <v>--</v>
      </c>
      <c r="AT76" s="258"/>
      <c r="AU76" s="197">
        <f t="shared" si="166"/>
        <v>0</v>
      </c>
      <c r="AV76" s="1006">
        <f t="shared" si="167"/>
        <v>0</v>
      </c>
      <c r="AW76" s="1007" t="e">
        <f t="shared" si="168"/>
        <v>#VALUE!</v>
      </c>
      <c r="AX76" s="258" t="str">
        <f t="shared" si="261"/>
        <v>--</v>
      </c>
      <c r="AY76" s="258"/>
      <c r="AZ76" s="197">
        <f t="shared" si="169"/>
        <v>0</v>
      </c>
      <c r="BA76" s="1006">
        <f t="shared" si="170"/>
        <v>0</v>
      </c>
      <c r="BB76" s="1007" t="e">
        <f t="shared" si="171"/>
        <v>#VALUE!</v>
      </c>
      <c r="BC76" s="258" t="str">
        <f t="shared" si="262"/>
        <v>--</v>
      </c>
      <c r="BD76" s="258"/>
      <c r="BE76" s="197">
        <f t="shared" si="172"/>
        <v>0</v>
      </c>
      <c r="BF76" s="1006">
        <f t="shared" si="173"/>
        <v>0</v>
      </c>
      <c r="BG76" s="1007" t="e">
        <f t="shared" si="174"/>
        <v>#VALUE!</v>
      </c>
      <c r="BH76" s="258" t="str">
        <f t="shared" si="263"/>
        <v>--</v>
      </c>
      <c r="BI76" s="258"/>
      <c r="BJ76" s="197">
        <f t="shared" si="175"/>
        <v>0</v>
      </c>
      <c r="BK76" s="1006">
        <f t="shared" si="176"/>
        <v>0</v>
      </c>
      <c r="BL76" s="1007" t="e">
        <f t="shared" si="177"/>
        <v>#VALUE!</v>
      </c>
      <c r="BM76" s="258" t="str">
        <f t="shared" si="264"/>
        <v>--</v>
      </c>
      <c r="BN76" s="258"/>
      <c r="BO76" s="197">
        <f t="shared" si="178"/>
        <v>0</v>
      </c>
      <c r="BP76" s="1006">
        <f t="shared" si="179"/>
        <v>0</v>
      </c>
      <c r="BQ76" s="1007" t="e">
        <f t="shared" si="180"/>
        <v>#VALUE!</v>
      </c>
      <c r="BR76" s="258" t="str">
        <f t="shared" si="265"/>
        <v>--</v>
      </c>
      <c r="BS76" s="258"/>
      <c r="BT76" s="197">
        <f t="shared" si="181"/>
        <v>0</v>
      </c>
      <c r="BU76" s="1006">
        <f t="shared" si="182"/>
        <v>0</v>
      </c>
      <c r="BV76" s="1007" t="e">
        <f t="shared" si="183"/>
        <v>#VALUE!</v>
      </c>
      <c r="BW76" s="258" t="str">
        <f t="shared" si="266"/>
        <v>--</v>
      </c>
      <c r="BX76" s="258"/>
      <c r="BY76" s="197">
        <f t="shared" si="184"/>
        <v>0</v>
      </c>
      <c r="BZ76" s="1006">
        <f t="shared" si="185"/>
        <v>0</v>
      </c>
      <c r="CA76" s="1007" t="e">
        <f t="shared" si="186"/>
        <v>#VALUE!</v>
      </c>
      <c r="CB76" s="258" t="str">
        <f t="shared" si="267"/>
        <v>--</v>
      </c>
      <c r="CC76" s="258"/>
      <c r="CD76" s="197">
        <f t="shared" si="187"/>
        <v>0</v>
      </c>
      <c r="CE76" s="1006">
        <f t="shared" si="188"/>
        <v>0</v>
      </c>
      <c r="CF76" s="1007" t="e">
        <f t="shared" si="189"/>
        <v>#VALUE!</v>
      </c>
      <c r="CG76" s="258" t="str">
        <f t="shared" si="268"/>
        <v>--</v>
      </c>
      <c r="CH76" s="258"/>
      <c r="CI76" s="197">
        <f t="shared" si="190"/>
        <v>0</v>
      </c>
      <c r="CJ76" s="1006">
        <f t="shared" si="191"/>
        <v>0</v>
      </c>
      <c r="CK76" s="1007" t="e">
        <f t="shared" si="192"/>
        <v>#VALUE!</v>
      </c>
      <c r="CL76" s="258" t="str">
        <f t="shared" si="269"/>
        <v>--</v>
      </c>
      <c r="CM76" s="258"/>
      <c r="CN76" s="197">
        <f t="shared" si="193"/>
        <v>0</v>
      </c>
      <c r="CO76" s="1006">
        <f t="shared" si="194"/>
        <v>0</v>
      </c>
      <c r="CP76" s="1007" t="e">
        <f t="shared" si="195"/>
        <v>#VALUE!</v>
      </c>
      <c r="CQ76" s="258" t="str">
        <f t="shared" si="270"/>
        <v>--</v>
      </c>
      <c r="CR76" s="258"/>
      <c r="CS76" s="197">
        <f t="shared" si="196"/>
        <v>0</v>
      </c>
      <c r="CT76" s="1006">
        <f t="shared" si="197"/>
        <v>0</v>
      </c>
      <c r="CU76" s="1007" t="e">
        <f t="shared" si="198"/>
        <v>#VALUE!</v>
      </c>
      <c r="CV76" s="258" t="str">
        <f t="shared" si="271"/>
        <v>--</v>
      </c>
      <c r="CW76" s="258"/>
      <c r="CX76" s="197">
        <f t="shared" si="199"/>
        <v>0</v>
      </c>
      <c r="CY76" s="1006">
        <f t="shared" si="200"/>
        <v>0</v>
      </c>
      <c r="CZ76" s="1007" t="e">
        <f t="shared" si="201"/>
        <v>#VALUE!</v>
      </c>
      <c r="DA76" s="258" t="str">
        <f t="shared" si="272"/>
        <v>--</v>
      </c>
      <c r="DB76" s="258"/>
      <c r="DC76" s="197">
        <f t="shared" si="202"/>
        <v>0</v>
      </c>
      <c r="DD76" s="1006">
        <f t="shared" si="203"/>
        <v>0</v>
      </c>
      <c r="DE76" s="1007" t="e">
        <f t="shared" si="204"/>
        <v>#VALUE!</v>
      </c>
      <c r="DF76" s="258" t="str">
        <f t="shared" si="273"/>
        <v>--</v>
      </c>
      <c r="DG76" s="258"/>
      <c r="DH76" s="197">
        <f t="shared" si="205"/>
        <v>0</v>
      </c>
      <c r="DI76" s="1006">
        <f t="shared" si="206"/>
        <v>0</v>
      </c>
      <c r="DJ76" s="1007" t="e">
        <f t="shared" si="207"/>
        <v>#VALUE!</v>
      </c>
      <c r="DK76" s="258" t="str">
        <f t="shared" si="274"/>
        <v>--</v>
      </c>
      <c r="DL76" s="258"/>
      <c r="DM76" s="197">
        <f t="shared" si="208"/>
        <v>0</v>
      </c>
      <c r="DN76" s="1006">
        <f t="shared" si="209"/>
        <v>0</v>
      </c>
      <c r="DO76" s="1007" t="e">
        <f t="shared" si="210"/>
        <v>#VALUE!</v>
      </c>
      <c r="DP76" s="258" t="str">
        <f t="shared" si="275"/>
        <v>--</v>
      </c>
      <c r="DQ76" s="258"/>
      <c r="DR76" s="197">
        <f t="shared" si="211"/>
        <v>0</v>
      </c>
      <c r="DS76" s="1006">
        <f t="shared" si="212"/>
        <v>0</v>
      </c>
      <c r="DT76" s="1007" t="e">
        <f t="shared" si="213"/>
        <v>#VALUE!</v>
      </c>
      <c r="DU76" s="258" t="str">
        <f t="shared" si="276"/>
        <v>--</v>
      </c>
      <c r="DV76" s="258"/>
      <c r="DW76" s="197">
        <f t="shared" si="214"/>
        <v>0</v>
      </c>
      <c r="DX76" s="1006">
        <f t="shared" si="215"/>
        <v>0</v>
      </c>
      <c r="DY76" s="1007" t="e">
        <f t="shared" si="216"/>
        <v>#VALUE!</v>
      </c>
      <c r="DZ76" s="258" t="str">
        <f t="shared" si="277"/>
        <v>--</v>
      </c>
      <c r="EA76" s="258"/>
      <c r="EB76" s="197">
        <f t="shared" si="217"/>
        <v>0</v>
      </c>
      <c r="EC76" s="1006">
        <f t="shared" si="218"/>
        <v>0</v>
      </c>
      <c r="ED76" s="1007" t="e">
        <f t="shared" si="219"/>
        <v>#VALUE!</v>
      </c>
      <c r="EE76" s="258" t="str">
        <f t="shared" si="278"/>
        <v>--</v>
      </c>
      <c r="EF76" s="258"/>
      <c r="EG76" s="197">
        <f t="shared" si="220"/>
        <v>0</v>
      </c>
      <c r="EH76" s="1006">
        <f t="shared" si="221"/>
        <v>0</v>
      </c>
      <c r="EI76" s="1007" t="e">
        <f t="shared" si="222"/>
        <v>#VALUE!</v>
      </c>
      <c r="EJ76" s="258" t="str">
        <f t="shared" si="279"/>
        <v>--</v>
      </c>
      <c r="EK76" s="258"/>
      <c r="EL76" s="197">
        <f t="shared" si="223"/>
        <v>0</v>
      </c>
      <c r="EM76" s="1006">
        <f t="shared" si="224"/>
        <v>0</v>
      </c>
      <c r="EN76" s="1007" t="e">
        <f t="shared" si="225"/>
        <v>#VALUE!</v>
      </c>
      <c r="EO76" s="258" t="str">
        <f t="shared" si="280"/>
        <v>--</v>
      </c>
      <c r="EP76" s="258"/>
      <c r="EQ76" s="197">
        <f t="shared" si="226"/>
        <v>0</v>
      </c>
      <c r="ER76" s="1006">
        <f t="shared" si="227"/>
        <v>0</v>
      </c>
      <c r="ES76" s="1007" t="e">
        <f t="shared" si="228"/>
        <v>#VALUE!</v>
      </c>
      <c r="ET76" s="258" t="str">
        <f t="shared" si="281"/>
        <v>--</v>
      </c>
      <c r="EU76" s="258"/>
      <c r="EV76" s="197">
        <f t="shared" si="229"/>
        <v>0</v>
      </c>
      <c r="EW76" s="1006">
        <f t="shared" si="230"/>
        <v>0</v>
      </c>
      <c r="EX76" s="1007" t="e">
        <f t="shared" si="231"/>
        <v>#VALUE!</v>
      </c>
      <c r="EY76" s="258" t="str">
        <f t="shared" si="282"/>
        <v>--</v>
      </c>
      <c r="EZ76" s="258"/>
      <c r="FA76" s="197">
        <f t="shared" si="232"/>
        <v>0</v>
      </c>
      <c r="FB76" s="1006">
        <f t="shared" si="233"/>
        <v>0</v>
      </c>
      <c r="FC76" s="1007" t="e">
        <f t="shared" si="234"/>
        <v>#VALUE!</v>
      </c>
      <c r="FD76" s="258" t="str">
        <f t="shared" si="283"/>
        <v>--</v>
      </c>
      <c r="FE76" s="258"/>
      <c r="FF76" s="197">
        <f t="shared" si="235"/>
        <v>0</v>
      </c>
      <c r="FG76" s="1006">
        <f t="shared" si="236"/>
        <v>0</v>
      </c>
      <c r="FH76" s="1007" t="e">
        <f t="shared" si="237"/>
        <v>#VALUE!</v>
      </c>
      <c r="FI76" s="258" t="str">
        <f t="shared" si="284"/>
        <v>--</v>
      </c>
      <c r="FJ76" s="258"/>
      <c r="FK76" s="197">
        <f t="shared" si="238"/>
        <v>0</v>
      </c>
      <c r="FL76" s="1006">
        <f t="shared" si="239"/>
        <v>0</v>
      </c>
      <c r="FM76" s="1007" t="e">
        <f t="shared" si="240"/>
        <v>#VALUE!</v>
      </c>
      <c r="FN76" s="258" t="str">
        <f t="shared" si="285"/>
        <v>--</v>
      </c>
      <c r="FO76" s="258"/>
      <c r="FP76" s="197">
        <f t="shared" si="241"/>
        <v>0</v>
      </c>
      <c r="FQ76" s="1006">
        <f t="shared" si="242"/>
        <v>0</v>
      </c>
      <c r="FR76" s="1007" t="e">
        <f t="shared" si="243"/>
        <v>#VALUE!</v>
      </c>
      <c r="FS76" s="258" t="str">
        <f t="shared" si="286"/>
        <v>--</v>
      </c>
      <c r="FT76" s="258"/>
      <c r="FU76" s="197">
        <f t="shared" si="244"/>
        <v>0</v>
      </c>
      <c r="FV76" s="1006">
        <f t="shared" si="245"/>
        <v>0</v>
      </c>
      <c r="FW76" s="1007" t="e">
        <f t="shared" si="246"/>
        <v>#VALUE!</v>
      </c>
      <c r="FX76" s="258" t="str">
        <f t="shared" si="287"/>
        <v>--</v>
      </c>
      <c r="FY76" s="258"/>
      <c r="FZ76" s="197">
        <f t="shared" si="247"/>
        <v>0</v>
      </c>
      <c r="GA76" s="1006">
        <f t="shared" si="248"/>
        <v>0</v>
      </c>
      <c r="GB76" s="1007" t="e">
        <f t="shared" si="249"/>
        <v>#VALUE!</v>
      </c>
      <c r="GC76" s="258" t="str">
        <f t="shared" si="288"/>
        <v>--</v>
      </c>
      <c r="GD76" s="258"/>
      <c r="GE76" s="197">
        <f t="shared" si="250"/>
        <v>0</v>
      </c>
      <c r="GF76" s="1006">
        <f t="shared" si="251"/>
        <v>0</v>
      </c>
      <c r="GG76" s="1007" t="e">
        <f t="shared" si="252"/>
        <v>#VALUE!</v>
      </c>
      <c r="GH76" s="258" t="str">
        <f t="shared" si="289"/>
        <v>--</v>
      </c>
      <c r="GI76" s="258"/>
      <c r="GJ76" s="197">
        <f t="shared" si="253"/>
        <v>0</v>
      </c>
      <c r="GK76" s="1340"/>
      <c r="GL76" s="164"/>
      <c r="GM76" s="164"/>
      <c r="GN76" s="164"/>
    </row>
    <row r="77" spans="1:196" ht="12.75" x14ac:dyDescent="0.2">
      <c r="A77" s="243">
        <f>'Item list'!A77</f>
        <v>0</v>
      </c>
      <c r="B77" s="243">
        <f>'Item list'!B77</f>
        <v>0</v>
      </c>
      <c r="C77" s="243">
        <f>'Item list'!C77</f>
        <v>0</v>
      </c>
      <c r="D77" s="989">
        <f>'Item list'!D77</f>
        <v>0</v>
      </c>
      <c r="E77" s="243">
        <f>'Item list'!E77</f>
        <v>0</v>
      </c>
      <c r="F77" s="243">
        <f>'Item list'!F77</f>
        <v>0</v>
      </c>
      <c r="G77" s="243">
        <f>'Item list'!G77</f>
        <v>0</v>
      </c>
      <c r="H77" s="1005" t="e">
        <f t="shared" si="144"/>
        <v>#REF!</v>
      </c>
      <c r="I77" s="243"/>
      <c r="J77" s="243"/>
      <c r="K77" s="243"/>
      <c r="L77" s="197">
        <f t="shared" si="145"/>
        <v>0</v>
      </c>
      <c r="M77" s="1006">
        <f t="shared" si="146"/>
        <v>0</v>
      </c>
      <c r="N77" s="1007" t="e">
        <f t="shared" si="147"/>
        <v>#VALUE!</v>
      </c>
      <c r="O77" s="258" t="str">
        <f t="shared" si="254"/>
        <v>--</v>
      </c>
      <c r="P77" s="258"/>
      <c r="Q77" s="197">
        <f t="shared" si="148"/>
        <v>0</v>
      </c>
      <c r="R77" s="1006">
        <f t="shared" si="149"/>
        <v>0</v>
      </c>
      <c r="S77" s="1007" t="e">
        <f t="shared" si="150"/>
        <v>#VALUE!</v>
      </c>
      <c r="T77" s="258" t="str">
        <f t="shared" si="255"/>
        <v>--</v>
      </c>
      <c r="U77" s="258"/>
      <c r="V77" s="197">
        <f t="shared" si="151"/>
        <v>0</v>
      </c>
      <c r="W77" s="1006">
        <f t="shared" si="152"/>
        <v>0</v>
      </c>
      <c r="X77" s="1007" t="e">
        <f t="shared" si="153"/>
        <v>#VALUE!</v>
      </c>
      <c r="Y77" s="258" t="str">
        <f t="shared" si="256"/>
        <v>--</v>
      </c>
      <c r="Z77" s="258"/>
      <c r="AA77" s="197">
        <f t="shared" si="154"/>
        <v>0</v>
      </c>
      <c r="AB77" s="1006">
        <f t="shared" si="155"/>
        <v>0</v>
      </c>
      <c r="AC77" s="1007" t="e">
        <f t="shared" si="156"/>
        <v>#VALUE!</v>
      </c>
      <c r="AD77" s="258" t="str">
        <f t="shared" si="257"/>
        <v>--</v>
      </c>
      <c r="AE77" s="258"/>
      <c r="AF77" s="197">
        <f t="shared" si="157"/>
        <v>0</v>
      </c>
      <c r="AG77" s="1006">
        <f t="shared" si="158"/>
        <v>0</v>
      </c>
      <c r="AH77" s="1007" t="e">
        <f t="shared" si="159"/>
        <v>#VALUE!</v>
      </c>
      <c r="AI77" s="258" t="str">
        <f t="shared" si="258"/>
        <v>--</v>
      </c>
      <c r="AJ77" s="258"/>
      <c r="AK77" s="197">
        <f t="shared" si="160"/>
        <v>0</v>
      </c>
      <c r="AL77" s="1006">
        <f t="shared" si="161"/>
        <v>0</v>
      </c>
      <c r="AM77" s="1007" t="e">
        <f t="shared" si="162"/>
        <v>#VALUE!</v>
      </c>
      <c r="AN77" s="258" t="str">
        <f t="shared" si="259"/>
        <v>--</v>
      </c>
      <c r="AO77" s="258"/>
      <c r="AP77" s="197">
        <f t="shared" si="163"/>
        <v>0</v>
      </c>
      <c r="AQ77" s="1006">
        <f t="shared" si="164"/>
        <v>0</v>
      </c>
      <c r="AR77" s="1007" t="e">
        <f t="shared" si="165"/>
        <v>#VALUE!</v>
      </c>
      <c r="AS77" s="258" t="str">
        <f t="shared" si="260"/>
        <v>--</v>
      </c>
      <c r="AT77" s="258"/>
      <c r="AU77" s="197">
        <f t="shared" si="166"/>
        <v>0</v>
      </c>
      <c r="AV77" s="1006">
        <f t="shared" si="167"/>
        <v>0</v>
      </c>
      <c r="AW77" s="1007" t="e">
        <f t="shared" si="168"/>
        <v>#VALUE!</v>
      </c>
      <c r="AX77" s="258" t="str">
        <f t="shared" si="261"/>
        <v>--</v>
      </c>
      <c r="AY77" s="258"/>
      <c r="AZ77" s="197">
        <f t="shared" si="169"/>
        <v>0</v>
      </c>
      <c r="BA77" s="1006">
        <f t="shared" si="170"/>
        <v>0</v>
      </c>
      <c r="BB77" s="1007" t="e">
        <f t="shared" si="171"/>
        <v>#VALUE!</v>
      </c>
      <c r="BC77" s="258" t="str">
        <f t="shared" si="262"/>
        <v>--</v>
      </c>
      <c r="BD77" s="258"/>
      <c r="BE77" s="197">
        <f t="shared" si="172"/>
        <v>0</v>
      </c>
      <c r="BF77" s="1006">
        <f t="shared" si="173"/>
        <v>0</v>
      </c>
      <c r="BG77" s="1007" t="e">
        <f t="shared" si="174"/>
        <v>#VALUE!</v>
      </c>
      <c r="BH77" s="258" t="str">
        <f t="shared" si="263"/>
        <v>--</v>
      </c>
      <c r="BI77" s="258"/>
      <c r="BJ77" s="197">
        <f t="shared" si="175"/>
        <v>0</v>
      </c>
      <c r="BK77" s="1006">
        <f t="shared" si="176"/>
        <v>0</v>
      </c>
      <c r="BL77" s="1007" t="e">
        <f t="shared" si="177"/>
        <v>#VALUE!</v>
      </c>
      <c r="BM77" s="258" t="str">
        <f t="shared" si="264"/>
        <v>--</v>
      </c>
      <c r="BN77" s="258"/>
      <c r="BO77" s="197">
        <f t="shared" si="178"/>
        <v>0</v>
      </c>
      <c r="BP77" s="1006">
        <f t="shared" si="179"/>
        <v>0</v>
      </c>
      <c r="BQ77" s="1007" t="e">
        <f t="shared" si="180"/>
        <v>#VALUE!</v>
      </c>
      <c r="BR77" s="258" t="str">
        <f t="shared" si="265"/>
        <v>--</v>
      </c>
      <c r="BS77" s="258"/>
      <c r="BT77" s="197">
        <f t="shared" si="181"/>
        <v>0</v>
      </c>
      <c r="BU77" s="1006">
        <f t="shared" si="182"/>
        <v>0</v>
      </c>
      <c r="BV77" s="1007" t="e">
        <f t="shared" si="183"/>
        <v>#VALUE!</v>
      </c>
      <c r="BW77" s="258" t="str">
        <f t="shared" si="266"/>
        <v>--</v>
      </c>
      <c r="BX77" s="258"/>
      <c r="BY77" s="197">
        <f t="shared" si="184"/>
        <v>0</v>
      </c>
      <c r="BZ77" s="1006">
        <f t="shared" si="185"/>
        <v>0</v>
      </c>
      <c r="CA77" s="1007" t="e">
        <f t="shared" si="186"/>
        <v>#VALUE!</v>
      </c>
      <c r="CB77" s="258" t="str">
        <f t="shared" si="267"/>
        <v>--</v>
      </c>
      <c r="CC77" s="258"/>
      <c r="CD77" s="197">
        <f t="shared" si="187"/>
        <v>0</v>
      </c>
      <c r="CE77" s="1006">
        <f t="shared" si="188"/>
        <v>0</v>
      </c>
      <c r="CF77" s="1007" t="e">
        <f t="shared" si="189"/>
        <v>#VALUE!</v>
      </c>
      <c r="CG77" s="258" t="str">
        <f t="shared" si="268"/>
        <v>--</v>
      </c>
      <c r="CH77" s="258"/>
      <c r="CI77" s="197">
        <f t="shared" si="190"/>
        <v>0</v>
      </c>
      <c r="CJ77" s="1006">
        <f t="shared" si="191"/>
        <v>0</v>
      </c>
      <c r="CK77" s="1007" t="e">
        <f t="shared" si="192"/>
        <v>#VALUE!</v>
      </c>
      <c r="CL77" s="258" t="str">
        <f t="shared" si="269"/>
        <v>--</v>
      </c>
      <c r="CM77" s="258"/>
      <c r="CN77" s="197">
        <f t="shared" si="193"/>
        <v>0</v>
      </c>
      <c r="CO77" s="1006">
        <f t="shared" si="194"/>
        <v>0</v>
      </c>
      <c r="CP77" s="1007" t="e">
        <f t="shared" si="195"/>
        <v>#VALUE!</v>
      </c>
      <c r="CQ77" s="258" t="str">
        <f t="shared" si="270"/>
        <v>--</v>
      </c>
      <c r="CR77" s="258"/>
      <c r="CS77" s="197">
        <f t="shared" si="196"/>
        <v>0</v>
      </c>
      <c r="CT77" s="1006">
        <f t="shared" si="197"/>
        <v>0</v>
      </c>
      <c r="CU77" s="1007" t="e">
        <f t="shared" si="198"/>
        <v>#VALUE!</v>
      </c>
      <c r="CV77" s="258" t="str">
        <f t="shared" si="271"/>
        <v>--</v>
      </c>
      <c r="CW77" s="258"/>
      <c r="CX77" s="197">
        <f t="shared" si="199"/>
        <v>0</v>
      </c>
      <c r="CY77" s="1006">
        <f t="shared" si="200"/>
        <v>0</v>
      </c>
      <c r="CZ77" s="1007" t="e">
        <f t="shared" si="201"/>
        <v>#VALUE!</v>
      </c>
      <c r="DA77" s="258" t="str">
        <f t="shared" si="272"/>
        <v>--</v>
      </c>
      <c r="DB77" s="258"/>
      <c r="DC77" s="197">
        <f t="shared" si="202"/>
        <v>0</v>
      </c>
      <c r="DD77" s="1006">
        <f t="shared" si="203"/>
        <v>0</v>
      </c>
      <c r="DE77" s="1007" t="e">
        <f t="shared" si="204"/>
        <v>#VALUE!</v>
      </c>
      <c r="DF77" s="258" t="str">
        <f t="shared" si="273"/>
        <v>--</v>
      </c>
      <c r="DG77" s="258"/>
      <c r="DH77" s="197">
        <f t="shared" si="205"/>
        <v>0</v>
      </c>
      <c r="DI77" s="1006">
        <f t="shared" si="206"/>
        <v>0</v>
      </c>
      <c r="DJ77" s="1007" t="e">
        <f t="shared" si="207"/>
        <v>#VALUE!</v>
      </c>
      <c r="DK77" s="258" t="str">
        <f t="shared" si="274"/>
        <v>--</v>
      </c>
      <c r="DL77" s="258"/>
      <c r="DM77" s="197">
        <f t="shared" si="208"/>
        <v>0</v>
      </c>
      <c r="DN77" s="1006">
        <f t="shared" si="209"/>
        <v>0</v>
      </c>
      <c r="DO77" s="1007" t="e">
        <f t="shared" si="210"/>
        <v>#VALUE!</v>
      </c>
      <c r="DP77" s="258" t="str">
        <f t="shared" si="275"/>
        <v>--</v>
      </c>
      <c r="DQ77" s="258"/>
      <c r="DR77" s="197">
        <f t="shared" si="211"/>
        <v>0</v>
      </c>
      <c r="DS77" s="1006">
        <f t="shared" si="212"/>
        <v>0</v>
      </c>
      <c r="DT77" s="1007" t="e">
        <f t="shared" si="213"/>
        <v>#VALUE!</v>
      </c>
      <c r="DU77" s="258" t="str">
        <f t="shared" si="276"/>
        <v>--</v>
      </c>
      <c r="DV77" s="258"/>
      <c r="DW77" s="197">
        <f t="shared" si="214"/>
        <v>0</v>
      </c>
      <c r="DX77" s="1006">
        <f t="shared" si="215"/>
        <v>0</v>
      </c>
      <c r="DY77" s="1007" t="e">
        <f t="shared" si="216"/>
        <v>#VALUE!</v>
      </c>
      <c r="DZ77" s="258" t="str">
        <f t="shared" si="277"/>
        <v>--</v>
      </c>
      <c r="EA77" s="258"/>
      <c r="EB77" s="197">
        <f t="shared" si="217"/>
        <v>0</v>
      </c>
      <c r="EC77" s="1006">
        <f t="shared" si="218"/>
        <v>0</v>
      </c>
      <c r="ED77" s="1007" t="e">
        <f t="shared" si="219"/>
        <v>#VALUE!</v>
      </c>
      <c r="EE77" s="258" t="str">
        <f t="shared" si="278"/>
        <v>--</v>
      </c>
      <c r="EF77" s="258"/>
      <c r="EG77" s="197">
        <f t="shared" si="220"/>
        <v>0</v>
      </c>
      <c r="EH77" s="1006">
        <f t="shared" si="221"/>
        <v>0</v>
      </c>
      <c r="EI77" s="1007" t="e">
        <f t="shared" si="222"/>
        <v>#VALUE!</v>
      </c>
      <c r="EJ77" s="258" t="str">
        <f t="shared" si="279"/>
        <v>--</v>
      </c>
      <c r="EK77" s="258"/>
      <c r="EL77" s="197">
        <f t="shared" si="223"/>
        <v>0</v>
      </c>
      <c r="EM77" s="1006">
        <f t="shared" si="224"/>
        <v>0</v>
      </c>
      <c r="EN77" s="1007" t="e">
        <f t="shared" si="225"/>
        <v>#VALUE!</v>
      </c>
      <c r="EO77" s="258" t="str">
        <f t="shared" si="280"/>
        <v>--</v>
      </c>
      <c r="EP77" s="258"/>
      <c r="EQ77" s="197">
        <f t="shared" si="226"/>
        <v>0</v>
      </c>
      <c r="ER77" s="1006">
        <f t="shared" si="227"/>
        <v>0</v>
      </c>
      <c r="ES77" s="1007" t="e">
        <f t="shared" si="228"/>
        <v>#VALUE!</v>
      </c>
      <c r="ET77" s="258" t="str">
        <f t="shared" si="281"/>
        <v>--</v>
      </c>
      <c r="EU77" s="258"/>
      <c r="EV77" s="197">
        <f t="shared" si="229"/>
        <v>0</v>
      </c>
      <c r="EW77" s="1006">
        <f t="shared" si="230"/>
        <v>0</v>
      </c>
      <c r="EX77" s="1007" t="e">
        <f t="shared" si="231"/>
        <v>#VALUE!</v>
      </c>
      <c r="EY77" s="258" t="str">
        <f t="shared" si="282"/>
        <v>--</v>
      </c>
      <c r="EZ77" s="258"/>
      <c r="FA77" s="197">
        <f t="shared" si="232"/>
        <v>0</v>
      </c>
      <c r="FB77" s="1006">
        <f t="shared" si="233"/>
        <v>0</v>
      </c>
      <c r="FC77" s="1007" t="e">
        <f t="shared" si="234"/>
        <v>#VALUE!</v>
      </c>
      <c r="FD77" s="258" t="str">
        <f t="shared" si="283"/>
        <v>--</v>
      </c>
      <c r="FE77" s="258"/>
      <c r="FF77" s="197">
        <f t="shared" si="235"/>
        <v>0</v>
      </c>
      <c r="FG77" s="1006">
        <f t="shared" si="236"/>
        <v>0</v>
      </c>
      <c r="FH77" s="1007" t="e">
        <f t="shared" si="237"/>
        <v>#VALUE!</v>
      </c>
      <c r="FI77" s="258" t="str">
        <f t="shared" si="284"/>
        <v>--</v>
      </c>
      <c r="FJ77" s="258"/>
      <c r="FK77" s="197">
        <f t="shared" si="238"/>
        <v>0</v>
      </c>
      <c r="FL77" s="1006">
        <f t="shared" si="239"/>
        <v>0</v>
      </c>
      <c r="FM77" s="1007" t="e">
        <f t="shared" si="240"/>
        <v>#VALUE!</v>
      </c>
      <c r="FN77" s="258" t="str">
        <f t="shared" si="285"/>
        <v>--</v>
      </c>
      <c r="FO77" s="258"/>
      <c r="FP77" s="197">
        <f t="shared" si="241"/>
        <v>0</v>
      </c>
      <c r="FQ77" s="1006">
        <f t="shared" si="242"/>
        <v>0</v>
      </c>
      <c r="FR77" s="1007" t="e">
        <f t="shared" si="243"/>
        <v>#VALUE!</v>
      </c>
      <c r="FS77" s="258" t="str">
        <f t="shared" si="286"/>
        <v>--</v>
      </c>
      <c r="FT77" s="258"/>
      <c r="FU77" s="197">
        <f t="shared" si="244"/>
        <v>0</v>
      </c>
      <c r="FV77" s="1006">
        <f t="shared" si="245"/>
        <v>0</v>
      </c>
      <c r="FW77" s="1007" t="e">
        <f t="shared" si="246"/>
        <v>#VALUE!</v>
      </c>
      <c r="FX77" s="258" t="str">
        <f t="shared" si="287"/>
        <v>--</v>
      </c>
      <c r="FY77" s="258"/>
      <c r="FZ77" s="197">
        <f t="shared" si="247"/>
        <v>0</v>
      </c>
      <c r="GA77" s="1006">
        <f t="shared" si="248"/>
        <v>0</v>
      </c>
      <c r="GB77" s="1007" t="e">
        <f t="shared" si="249"/>
        <v>#VALUE!</v>
      </c>
      <c r="GC77" s="258" t="str">
        <f t="shared" si="288"/>
        <v>--</v>
      </c>
      <c r="GD77" s="258"/>
      <c r="GE77" s="197">
        <f t="shared" si="250"/>
        <v>0</v>
      </c>
      <c r="GF77" s="1006">
        <f t="shared" si="251"/>
        <v>0</v>
      </c>
      <c r="GG77" s="1007" t="e">
        <f t="shared" si="252"/>
        <v>#VALUE!</v>
      </c>
      <c r="GH77" s="258" t="str">
        <f t="shared" si="289"/>
        <v>--</v>
      </c>
      <c r="GI77" s="258"/>
      <c r="GJ77" s="197">
        <f t="shared" si="253"/>
        <v>0</v>
      </c>
      <c r="GK77" s="1340"/>
      <c r="GL77" s="164"/>
      <c r="GM77" s="164"/>
      <c r="GN77" s="164"/>
    </row>
    <row r="78" spans="1:196" ht="12.75" x14ac:dyDescent="0.2">
      <c r="A78" s="243">
        <f>'Item list'!A78</f>
        <v>0</v>
      </c>
      <c r="B78" s="243">
        <f>'Item list'!B78</f>
        <v>0</v>
      </c>
      <c r="C78" s="243">
        <f>'Item list'!C78</f>
        <v>0</v>
      </c>
      <c r="D78" s="989">
        <f>'Item list'!D78</f>
        <v>0</v>
      </c>
      <c r="E78" s="243">
        <f>'Item list'!E78</f>
        <v>0</v>
      </c>
      <c r="F78" s="243">
        <f>'Item list'!F78</f>
        <v>0</v>
      </c>
      <c r="G78" s="243">
        <f>'Item list'!G78</f>
        <v>0</v>
      </c>
      <c r="H78" s="1005" t="e">
        <f t="shared" si="144"/>
        <v>#REF!</v>
      </c>
      <c r="I78" s="243"/>
      <c r="J78" s="243"/>
      <c r="K78" s="243"/>
      <c r="L78" s="197">
        <f t="shared" si="145"/>
        <v>0</v>
      </c>
      <c r="M78" s="1006">
        <f t="shared" si="146"/>
        <v>0</v>
      </c>
      <c r="N78" s="1007" t="e">
        <f t="shared" si="147"/>
        <v>#VALUE!</v>
      </c>
      <c r="O78" s="258" t="str">
        <f t="shared" si="254"/>
        <v>--</v>
      </c>
      <c r="P78" s="258"/>
      <c r="Q78" s="197">
        <f t="shared" si="148"/>
        <v>0</v>
      </c>
      <c r="R78" s="1006">
        <f t="shared" si="149"/>
        <v>0</v>
      </c>
      <c r="S78" s="1007" t="e">
        <f t="shared" si="150"/>
        <v>#VALUE!</v>
      </c>
      <c r="T78" s="258" t="str">
        <f t="shared" si="255"/>
        <v>--</v>
      </c>
      <c r="U78" s="258"/>
      <c r="V78" s="197">
        <f t="shared" si="151"/>
        <v>0</v>
      </c>
      <c r="W78" s="1006">
        <f t="shared" si="152"/>
        <v>0</v>
      </c>
      <c r="X78" s="1007" t="e">
        <f t="shared" si="153"/>
        <v>#VALUE!</v>
      </c>
      <c r="Y78" s="258" t="str">
        <f t="shared" si="256"/>
        <v>--</v>
      </c>
      <c r="Z78" s="258"/>
      <c r="AA78" s="197">
        <f t="shared" si="154"/>
        <v>0</v>
      </c>
      <c r="AB78" s="1006">
        <f t="shared" si="155"/>
        <v>0</v>
      </c>
      <c r="AC78" s="1007" t="e">
        <f t="shared" si="156"/>
        <v>#VALUE!</v>
      </c>
      <c r="AD78" s="258" t="str">
        <f t="shared" si="257"/>
        <v>--</v>
      </c>
      <c r="AE78" s="258"/>
      <c r="AF78" s="197">
        <f t="shared" si="157"/>
        <v>0</v>
      </c>
      <c r="AG78" s="1006">
        <f t="shared" si="158"/>
        <v>0</v>
      </c>
      <c r="AH78" s="1007" t="e">
        <f t="shared" si="159"/>
        <v>#VALUE!</v>
      </c>
      <c r="AI78" s="258" t="str">
        <f t="shared" si="258"/>
        <v>--</v>
      </c>
      <c r="AJ78" s="258"/>
      <c r="AK78" s="197">
        <f t="shared" si="160"/>
        <v>0</v>
      </c>
      <c r="AL78" s="1006">
        <f t="shared" si="161"/>
        <v>0</v>
      </c>
      <c r="AM78" s="1007" t="e">
        <f t="shared" si="162"/>
        <v>#VALUE!</v>
      </c>
      <c r="AN78" s="258" t="str">
        <f t="shared" si="259"/>
        <v>--</v>
      </c>
      <c r="AO78" s="258"/>
      <c r="AP78" s="197">
        <f t="shared" si="163"/>
        <v>0</v>
      </c>
      <c r="AQ78" s="1006">
        <f t="shared" si="164"/>
        <v>0</v>
      </c>
      <c r="AR78" s="1007" t="e">
        <f t="shared" si="165"/>
        <v>#VALUE!</v>
      </c>
      <c r="AS78" s="258" t="str">
        <f t="shared" si="260"/>
        <v>--</v>
      </c>
      <c r="AT78" s="258"/>
      <c r="AU78" s="197">
        <f t="shared" si="166"/>
        <v>0</v>
      </c>
      <c r="AV78" s="1006">
        <f t="shared" si="167"/>
        <v>0</v>
      </c>
      <c r="AW78" s="1007" t="e">
        <f t="shared" si="168"/>
        <v>#VALUE!</v>
      </c>
      <c r="AX78" s="258" t="str">
        <f t="shared" si="261"/>
        <v>--</v>
      </c>
      <c r="AY78" s="258"/>
      <c r="AZ78" s="197">
        <f t="shared" si="169"/>
        <v>0</v>
      </c>
      <c r="BA78" s="1006">
        <f t="shared" si="170"/>
        <v>0</v>
      </c>
      <c r="BB78" s="1007" t="e">
        <f t="shared" si="171"/>
        <v>#VALUE!</v>
      </c>
      <c r="BC78" s="258" t="str">
        <f t="shared" si="262"/>
        <v>--</v>
      </c>
      <c r="BD78" s="258"/>
      <c r="BE78" s="197">
        <f t="shared" si="172"/>
        <v>0</v>
      </c>
      <c r="BF78" s="1006">
        <f t="shared" si="173"/>
        <v>0</v>
      </c>
      <c r="BG78" s="1007" t="e">
        <f t="shared" si="174"/>
        <v>#VALUE!</v>
      </c>
      <c r="BH78" s="258" t="str">
        <f t="shared" si="263"/>
        <v>--</v>
      </c>
      <c r="BI78" s="258"/>
      <c r="BJ78" s="197">
        <f t="shared" si="175"/>
        <v>0</v>
      </c>
      <c r="BK78" s="1006">
        <f t="shared" si="176"/>
        <v>0</v>
      </c>
      <c r="BL78" s="1007" t="e">
        <f t="shared" si="177"/>
        <v>#VALUE!</v>
      </c>
      <c r="BM78" s="258" t="str">
        <f t="shared" si="264"/>
        <v>--</v>
      </c>
      <c r="BN78" s="258"/>
      <c r="BO78" s="197">
        <f t="shared" si="178"/>
        <v>0</v>
      </c>
      <c r="BP78" s="1006">
        <f t="shared" si="179"/>
        <v>0</v>
      </c>
      <c r="BQ78" s="1007" t="e">
        <f t="shared" si="180"/>
        <v>#VALUE!</v>
      </c>
      <c r="BR78" s="258" t="str">
        <f t="shared" si="265"/>
        <v>--</v>
      </c>
      <c r="BS78" s="258"/>
      <c r="BT78" s="197">
        <f t="shared" si="181"/>
        <v>0</v>
      </c>
      <c r="BU78" s="1006">
        <f t="shared" si="182"/>
        <v>0</v>
      </c>
      <c r="BV78" s="1007" t="e">
        <f t="shared" si="183"/>
        <v>#VALUE!</v>
      </c>
      <c r="BW78" s="258" t="str">
        <f t="shared" si="266"/>
        <v>--</v>
      </c>
      <c r="BX78" s="258"/>
      <c r="BY78" s="197">
        <f t="shared" si="184"/>
        <v>0</v>
      </c>
      <c r="BZ78" s="1006">
        <f t="shared" si="185"/>
        <v>0</v>
      </c>
      <c r="CA78" s="1007" t="e">
        <f t="shared" si="186"/>
        <v>#VALUE!</v>
      </c>
      <c r="CB78" s="258" t="str">
        <f t="shared" si="267"/>
        <v>--</v>
      </c>
      <c r="CC78" s="258"/>
      <c r="CD78" s="197">
        <f t="shared" si="187"/>
        <v>0</v>
      </c>
      <c r="CE78" s="1006">
        <f t="shared" si="188"/>
        <v>0</v>
      </c>
      <c r="CF78" s="1007" t="e">
        <f t="shared" si="189"/>
        <v>#VALUE!</v>
      </c>
      <c r="CG78" s="258" t="str">
        <f t="shared" si="268"/>
        <v>--</v>
      </c>
      <c r="CH78" s="258"/>
      <c r="CI78" s="197">
        <f t="shared" si="190"/>
        <v>0</v>
      </c>
      <c r="CJ78" s="1006">
        <f t="shared" si="191"/>
        <v>0</v>
      </c>
      <c r="CK78" s="1007" t="e">
        <f t="shared" si="192"/>
        <v>#VALUE!</v>
      </c>
      <c r="CL78" s="258" t="str">
        <f t="shared" si="269"/>
        <v>--</v>
      </c>
      <c r="CM78" s="258"/>
      <c r="CN78" s="197">
        <f t="shared" si="193"/>
        <v>0</v>
      </c>
      <c r="CO78" s="1006">
        <f t="shared" si="194"/>
        <v>0</v>
      </c>
      <c r="CP78" s="1007" t="e">
        <f t="shared" si="195"/>
        <v>#VALUE!</v>
      </c>
      <c r="CQ78" s="258" t="str">
        <f t="shared" si="270"/>
        <v>--</v>
      </c>
      <c r="CR78" s="258"/>
      <c r="CS78" s="197">
        <f t="shared" si="196"/>
        <v>0</v>
      </c>
      <c r="CT78" s="1006">
        <f t="shared" si="197"/>
        <v>0</v>
      </c>
      <c r="CU78" s="1007" t="e">
        <f t="shared" si="198"/>
        <v>#VALUE!</v>
      </c>
      <c r="CV78" s="258" t="str">
        <f t="shared" si="271"/>
        <v>--</v>
      </c>
      <c r="CW78" s="258"/>
      <c r="CX78" s="197">
        <f t="shared" si="199"/>
        <v>0</v>
      </c>
      <c r="CY78" s="1006">
        <f t="shared" si="200"/>
        <v>0</v>
      </c>
      <c r="CZ78" s="1007" t="e">
        <f t="shared" si="201"/>
        <v>#VALUE!</v>
      </c>
      <c r="DA78" s="258" t="str">
        <f t="shared" si="272"/>
        <v>--</v>
      </c>
      <c r="DB78" s="258"/>
      <c r="DC78" s="197">
        <f t="shared" si="202"/>
        <v>0</v>
      </c>
      <c r="DD78" s="1006">
        <f t="shared" si="203"/>
        <v>0</v>
      </c>
      <c r="DE78" s="1007" t="e">
        <f t="shared" si="204"/>
        <v>#VALUE!</v>
      </c>
      <c r="DF78" s="258" t="str">
        <f t="shared" si="273"/>
        <v>--</v>
      </c>
      <c r="DG78" s="258"/>
      <c r="DH78" s="197">
        <f t="shared" si="205"/>
        <v>0</v>
      </c>
      <c r="DI78" s="1006">
        <f t="shared" si="206"/>
        <v>0</v>
      </c>
      <c r="DJ78" s="1007" t="e">
        <f t="shared" si="207"/>
        <v>#VALUE!</v>
      </c>
      <c r="DK78" s="258" t="str">
        <f t="shared" si="274"/>
        <v>--</v>
      </c>
      <c r="DL78" s="258"/>
      <c r="DM78" s="197">
        <f t="shared" si="208"/>
        <v>0</v>
      </c>
      <c r="DN78" s="1006">
        <f t="shared" si="209"/>
        <v>0</v>
      </c>
      <c r="DO78" s="1007" t="e">
        <f t="shared" si="210"/>
        <v>#VALUE!</v>
      </c>
      <c r="DP78" s="258" t="str">
        <f t="shared" si="275"/>
        <v>--</v>
      </c>
      <c r="DQ78" s="258"/>
      <c r="DR78" s="197">
        <f t="shared" si="211"/>
        <v>0</v>
      </c>
      <c r="DS78" s="1006">
        <f t="shared" si="212"/>
        <v>0</v>
      </c>
      <c r="DT78" s="1007" t="e">
        <f t="shared" si="213"/>
        <v>#VALUE!</v>
      </c>
      <c r="DU78" s="258" t="str">
        <f t="shared" si="276"/>
        <v>--</v>
      </c>
      <c r="DV78" s="258"/>
      <c r="DW78" s="197">
        <f t="shared" si="214"/>
        <v>0</v>
      </c>
      <c r="DX78" s="1006">
        <f t="shared" si="215"/>
        <v>0</v>
      </c>
      <c r="DY78" s="1007" t="e">
        <f t="shared" si="216"/>
        <v>#VALUE!</v>
      </c>
      <c r="DZ78" s="258" t="str">
        <f t="shared" si="277"/>
        <v>--</v>
      </c>
      <c r="EA78" s="258"/>
      <c r="EB78" s="197">
        <f t="shared" si="217"/>
        <v>0</v>
      </c>
      <c r="EC78" s="1006">
        <f t="shared" si="218"/>
        <v>0</v>
      </c>
      <c r="ED78" s="1007" t="e">
        <f t="shared" si="219"/>
        <v>#VALUE!</v>
      </c>
      <c r="EE78" s="258" t="str">
        <f t="shared" si="278"/>
        <v>--</v>
      </c>
      <c r="EF78" s="258"/>
      <c r="EG78" s="197">
        <f t="shared" si="220"/>
        <v>0</v>
      </c>
      <c r="EH78" s="1006">
        <f t="shared" si="221"/>
        <v>0</v>
      </c>
      <c r="EI78" s="1007" t="e">
        <f t="shared" si="222"/>
        <v>#VALUE!</v>
      </c>
      <c r="EJ78" s="258" t="str">
        <f t="shared" si="279"/>
        <v>--</v>
      </c>
      <c r="EK78" s="258"/>
      <c r="EL78" s="197">
        <f t="shared" si="223"/>
        <v>0</v>
      </c>
      <c r="EM78" s="1006">
        <f t="shared" si="224"/>
        <v>0</v>
      </c>
      <c r="EN78" s="1007" t="e">
        <f t="shared" si="225"/>
        <v>#VALUE!</v>
      </c>
      <c r="EO78" s="258" t="str">
        <f t="shared" si="280"/>
        <v>--</v>
      </c>
      <c r="EP78" s="258"/>
      <c r="EQ78" s="197">
        <f t="shared" si="226"/>
        <v>0</v>
      </c>
      <c r="ER78" s="1006">
        <f t="shared" si="227"/>
        <v>0</v>
      </c>
      <c r="ES78" s="1007" t="e">
        <f t="shared" si="228"/>
        <v>#VALUE!</v>
      </c>
      <c r="ET78" s="258" t="str">
        <f t="shared" si="281"/>
        <v>--</v>
      </c>
      <c r="EU78" s="258"/>
      <c r="EV78" s="197">
        <f t="shared" si="229"/>
        <v>0</v>
      </c>
      <c r="EW78" s="1006">
        <f t="shared" si="230"/>
        <v>0</v>
      </c>
      <c r="EX78" s="1007" t="e">
        <f t="shared" si="231"/>
        <v>#VALUE!</v>
      </c>
      <c r="EY78" s="258" t="str">
        <f t="shared" si="282"/>
        <v>--</v>
      </c>
      <c r="EZ78" s="258"/>
      <c r="FA78" s="197">
        <f t="shared" si="232"/>
        <v>0</v>
      </c>
      <c r="FB78" s="1006">
        <f t="shared" si="233"/>
        <v>0</v>
      </c>
      <c r="FC78" s="1007" t="e">
        <f t="shared" si="234"/>
        <v>#VALUE!</v>
      </c>
      <c r="FD78" s="258" t="str">
        <f t="shared" si="283"/>
        <v>--</v>
      </c>
      <c r="FE78" s="258"/>
      <c r="FF78" s="197">
        <f t="shared" si="235"/>
        <v>0</v>
      </c>
      <c r="FG78" s="1006">
        <f t="shared" si="236"/>
        <v>0</v>
      </c>
      <c r="FH78" s="1007" t="e">
        <f t="shared" si="237"/>
        <v>#VALUE!</v>
      </c>
      <c r="FI78" s="258" t="str">
        <f t="shared" si="284"/>
        <v>--</v>
      </c>
      <c r="FJ78" s="258"/>
      <c r="FK78" s="197">
        <f t="shared" si="238"/>
        <v>0</v>
      </c>
      <c r="FL78" s="1006">
        <f t="shared" si="239"/>
        <v>0</v>
      </c>
      <c r="FM78" s="1007" t="e">
        <f t="shared" si="240"/>
        <v>#VALUE!</v>
      </c>
      <c r="FN78" s="258" t="str">
        <f t="shared" si="285"/>
        <v>--</v>
      </c>
      <c r="FO78" s="258"/>
      <c r="FP78" s="197">
        <f t="shared" si="241"/>
        <v>0</v>
      </c>
      <c r="FQ78" s="1006">
        <f t="shared" si="242"/>
        <v>0</v>
      </c>
      <c r="FR78" s="1007" t="e">
        <f t="shared" si="243"/>
        <v>#VALUE!</v>
      </c>
      <c r="FS78" s="258" t="str">
        <f t="shared" si="286"/>
        <v>--</v>
      </c>
      <c r="FT78" s="258"/>
      <c r="FU78" s="197">
        <f t="shared" si="244"/>
        <v>0</v>
      </c>
      <c r="FV78" s="1006">
        <f t="shared" si="245"/>
        <v>0</v>
      </c>
      <c r="FW78" s="1007" t="e">
        <f t="shared" si="246"/>
        <v>#VALUE!</v>
      </c>
      <c r="FX78" s="258" t="str">
        <f t="shared" si="287"/>
        <v>--</v>
      </c>
      <c r="FY78" s="258"/>
      <c r="FZ78" s="197">
        <f t="shared" si="247"/>
        <v>0</v>
      </c>
      <c r="GA78" s="1006">
        <f t="shared" si="248"/>
        <v>0</v>
      </c>
      <c r="GB78" s="1007" t="e">
        <f t="shared" si="249"/>
        <v>#VALUE!</v>
      </c>
      <c r="GC78" s="258" t="str">
        <f t="shared" si="288"/>
        <v>--</v>
      </c>
      <c r="GD78" s="258"/>
      <c r="GE78" s="197">
        <f t="shared" si="250"/>
        <v>0</v>
      </c>
      <c r="GF78" s="1006">
        <f t="shared" si="251"/>
        <v>0</v>
      </c>
      <c r="GG78" s="1007" t="e">
        <f t="shared" si="252"/>
        <v>#VALUE!</v>
      </c>
      <c r="GH78" s="258" t="str">
        <f t="shared" si="289"/>
        <v>--</v>
      </c>
      <c r="GI78" s="258"/>
      <c r="GJ78" s="197">
        <f t="shared" si="253"/>
        <v>0</v>
      </c>
      <c r="GK78" s="1340"/>
      <c r="GL78" s="164"/>
      <c r="GM78" s="164"/>
      <c r="GN78" s="164"/>
    </row>
    <row r="79" spans="1:196" ht="12.75" x14ac:dyDescent="0.2">
      <c r="A79" s="243">
        <f>'Item list'!A79</f>
        <v>0</v>
      </c>
      <c r="B79" s="243">
        <f>'Item list'!B79</f>
        <v>0</v>
      </c>
      <c r="C79" s="243">
        <f>'Item list'!C79</f>
        <v>0</v>
      </c>
      <c r="D79" s="989">
        <f>'Item list'!D79</f>
        <v>0</v>
      </c>
      <c r="E79" s="243">
        <f>'Item list'!E79</f>
        <v>0</v>
      </c>
      <c r="F79" s="243">
        <f>'Item list'!F79</f>
        <v>0</v>
      </c>
      <c r="G79" s="243">
        <f>'Item list'!G79</f>
        <v>0</v>
      </c>
      <c r="H79" s="1005" t="e">
        <f t="shared" si="144"/>
        <v>#REF!</v>
      </c>
      <c r="I79" s="243"/>
      <c r="J79" s="243"/>
      <c r="K79" s="243"/>
      <c r="L79" s="197">
        <f t="shared" si="145"/>
        <v>0</v>
      </c>
      <c r="M79" s="1006">
        <f t="shared" si="146"/>
        <v>0</v>
      </c>
      <c r="N79" s="1007" t="e">
        <f t="shared" si="147"/>
        <v>#VALUE!</v>
      </c>
      <c r="O79" s="258" t="str">
        <f t="shared" si="254"/>
        <v>--</v>
      </c>
      <c r="P79" s="258"/>
      <c r="Q79" s="197">
        <f t="shared" si="148"/>
        <v>0</v>
      </c>
      <c r="R79" s="1006">
        <f t="shared" si="149"/>
        <v>0</v>
      </c>
      <c r="S79" s="1007" t="e">
        <f t="shared" si="150"/>
        <v>#VALUE!</v>
      </c>
      <c r="T79" s="258" t="str">
        <f t="shared" si="255"/>
        <v>--</v>
      </c>
      <c r="U79" s="258"/>
      <c r="V79" s="197">
        <f t="shared" si="151"/>
        <v>0</v>
      </c>
      <c r="W79" s="1006">
        <f t="shared" si="152"/>
        <v>0</v>
      </c>
      <c r="X79" s="1007" t="e">
        <f t="shared" si="153"/>
        <v>#VALUE!</v>
      </c>
      <c r="Y79" s="258" t="str">
        <f t="shared" si="256"/>
        <v>--</v>
      </c>
      <c r="Z79" s="258"/>
      <c r="AA79" s="197">
        <f t="shared" si="154"/>
        <v>0</v>
      </c>
      <c r="AB79" s="1006">
        <f t="shared" si="155"/>
        <v>0</v>
      </c>
      <c r="AC79" s="1007" t="e">
        <f t="shared" si="156"/>
        <v>#VALUE!</v>
      </c>
      <c r="AD79" s="258" t="str">
        <f t="shared" si="257"/>
        <v>--</v>
      </c>
      <c r="AE79" s="258"/>
      <c r="AF79" s="197">
        <f t="shared" si="157"/>
        <v>0</v>
      </c>
      <c r="AG79" s="1006">
        <f t="shared" si="158"/>
        <v>0</v>
      </c>
      <c r="AH79" s="1007" t="e">
        <f t="shared" si="159"/>
        <v>#VALUE!</v>
      </c>
      <c r="AI79" s="258" t="str">
        <f t="shared" si="258"/>
        <v>--</v>
      </c>
      <c r="AJ79" s="258"/>
      <c r="AK79" s="197">
        <f t="shared" si="160"/>
        <v>0</v>
      </c>
      <c r="AL79" s="1006">
        <f t="shared" si="161"/>
        <v>0</v>
      </c>
      <c r="AM79" s="1007" t="e">
        <f t="shared" si="162"/>
        <v>#VALUE!</v>
      </c>
      <c r="AN79" s="258" t="str">
        <f t="shared" si="259"/>
        <v>--</v>
      </c>
      <c r="AO79" s="258"/>
      <c r="AP79" s="197">
        <f t="shared" si="163"/>
        <v>0</v>
      </c>
      <c r="AQ79" s="1006">
        <f t="shared" si="164"/>
        <v>0</v>
      </c>
      <c r="AR79" s="1007" t="e">
        <f t="shared" si="165"/>
        <v>#VALUE!</v>
      </c>
      <c r="AS79" s="258" t="str">
        <f t="shared" si="260"/>
        <v>--</v>
      </c>
      <c r="AT79" s="258"/>
      <c r="AU79" s="197">
        <f t="shared" si="166"/>
        <v>0</v>
      </c>
      <c r="AV79" s="1006">
        <f t="shared" si="167"/>
        <v>0</v>
      </c>
      <c r="AW79" s="1007" t="e">
        <f t="shared" si="168"/>
        <v>#VALUE!</v>
      </c>
      <c r="AX79" s="258" t="str">
        <f t="shared" si="261"/>
        <v>--</v>
      </c>
      <c r="AY79" s="258"/>
      <c r="AZ79" s="197">
        <f t="shared" si="169"/>
        <v>0</v>
      </c>
      <c r="BA79" s="1006">
        <f t="shared" si="170"/>
        <v>0</v>
      </c>
      <c r="BB79" s="1007" t="e">
        <f t="shared" si="171"/>
        <v>#VALUE!</v>
      </c>
      <c r="BC79" s="258" t="str">
        <f t="shared" si="262"/>
        <v>--</v>
      </c>
      <c r="BD79" s="258"/>
      <c r="BE79" s="197">
        <f t="shared" si="172"/>
        <v>0</v>
      </c>
      <c r="BF79" s="1006">
        <f t="shared" si="173"/>
        <v>0</v>
      </c>
      <c r="BG79" s="1007" t="e">
        <f t="shared" si="174"/>
        <v>#VALUE!</v>
      </c>
      <c r="BH79" s="258" t="str">
        <f t="shared" si="263"/>
        <v>--</v>
      </c>
      <c r="BI79" s="258"/>
      <c r="BJ79" s="197">
        <f t="shared" si="175"/>
        <v>0</v>
      </c>
      <c r="BK79" s="1006">
        <f t="shared" si="176"/>
        <v>0</v>
      </c>
      <c r="BL79" s="1007" t="e">
        <f t="shared" si="177"/>
        <v>#VALUE!</v>
      </c>
      <c r="BM79" s="258" t="str">
        <f t="shared" si="264"/>
        <v>--</v>
      </c>
      <c r="BN79" s="258"/>
      <c r="BO79" s="197">
        <f t="shared" si="178"/>
        <v>0</v>
      </c>
      <c r="BP79" s="1006">
        <f t="shared" si="179"/>
        <v>0</v>
      </c>
      <c r="BQ79" s="1007" t="e">
        <f t="shared" si="180"/>
        <v>#VALUE!</v>
      </c>
      <c r="BR79" s="258" t="str">
        <f t="shared" si="265"/>
        <v>--</v>
      </c>
      <c r="BS79" s="258"/>
      <c r="BT79" s="197">
        <f t="shared" si="181"/>
        <v>0</v>
      </c>
      <c r="BU79" s="1006">
        <f t="shared" si="182"/>
        <v>0</v>
      </c>
      <c r="BV79" s="1007" t="e">
        <f t="shared" si="183"/>
        <v>#VALUE!</v>
      </c>
      <c r="BW79" s="258" t="str">
        <f t="shared" si="266"/>
        <v>--</v>
      </c>
      <c r="BX79" s="258"/>
      <c r="BY79" s="197">
        <f t="shared" si="184"/>
        <v>0</v>
      </c>
      <c r="BZ79" s="1006">
        <f t="shared" si="185"/>
        <v>0</v>
      </c>
      <c r="CA79" s="1007" t="e">
        <f t="shared" si="186"/>
        <v>#VALUE!</v>
      </c>
      <c r="CB79" s="258" t="str">
        <f t="shared" si="267"/>
        <v>--</v>
      </c>
      <c r="CC79" s="258"/>
      <c r="CD79" s="197">
        <f t="shared" si="187"/>
        <v>0</v>
      </c>
      <c r="CE79" s="1006">
        <f t="shared" si="188"/>
        <v>0</v>
      </c>
      <c r="CF79" s="1007" t="e">
        <f t="shared" si="189"/>
        <v>#VALUE!</v>
      </c>
      <c r="CG79" s="258" t="str">
        <f t="shared" si="268"/>
        <v>--</v>
      </c>
      <c r="CH79" s="258"/>
      <c r="CI79" s="197">
        <f t="shared" si="190"/>
        <v>0</v>
      </c>
      <c r="CJ79" s="1006">
        <f t="shared" si="191"/>
        <v>0</v>
      </c>
      <c r="CK79" s="1007" t="e">
        <f t="shared" si="192"/>
        <v>#VALUE!</v>
      </c>
      <c r="CL79" s="258" t="str">
        <f t="shared" si="269"/>
        <v>--</v>
      </c>
      <c r="CM79" s="258"/>
      <c r="CN79" s="197">
        <f t="shared" si="193"/>
        <v>0</v>
      </c>
      <c r="CO79" s="1006">
        <f t="shared" si="194"/>
        <v>0</v>
      </c>
      <c r="CP79" s="1007" t="e">
        <f t="shared" si="195"/>
        <v>#VALUE!</v>
      </c>
      <c r="CQ79" s="258" t="str">
        <f t="shared" si="270"/>
        <v>--</v>
      </c>
      <c r="CR79" s="258"/>
      <c r="CS79" s="197">
        <f t="shared" si="196"/>
        <v>0</v>
      </c>
      <c r="CT79" s="1006">
        <f t="shared" si="197"/>
        <v>0</v>
      </c>
      <c r="CU79" s="1007" t="e">
        <f t="shared" si="198"/>
        <v>#VALUE!</v>
      </c>
      <c r="CV79" s="258" t="str">
        <f t="shared" si="271"/>
        <v>--</v>
      </c>
      <c r="CW79" s="258"/>
      <c r="CX79" s="197">
        <f t="shared" si="199"/>
        <v>0</v>
      </c>
      <c r="CY79" s="1006">
        <f t="shared" si="200"/>
        <v>0</v>
      </c>
      <c r="CZ79" s="1007" t="e">
        <f t="shared" si="201"/>
        <v>#VALUE!</v>
      </c>
      <c r="DA79" s="258" t="str">
        <f t="shared" si="272"/>
        <v>--</v>
      </c>
      <c r="DB79" s="258"/>
      <c r="DC79" s="197">
        <f t="shared" si="202"/>
        <v>0</v>
      </c>
      <c r="DD79" s="1006">
        <f t="shared" si="203"/>
        <v>0</v>
      </c>
      <c r="DE79" s="1007" t="e">
        <f t="shared" si="204"/>
        <v>#VALUE!</v>
      </c>
      <c r="DF79" s="258" t="str">
        <f t="shared" si="273"/>
        <v>--</v>
      </c>
      <c r="DG79" s="258"/>
      <c r="DH79" s="197">
        <f t="shared" si="205"/>
        <v>0</v>
      </c>
      <c r="DI79" s="1006">
        <f t="shared" si="206"/>
        <v>0</v>
      </c>
      <c r="DJ79" s="1007" t="e">
        <f t="shared" si="207"/>
        <v>#VALUE!</v>
      </c>
      <c r="DK79" s="258" t="str">
        <f t="shared" si="274"/>
        <v>--</v>
      </c>
      <c r="DL79" s="258"/>
      <c r="DM79" s="197">
        <f t="shared" si="208"/>
        <v>0</v>
      </c>
      <c r="DN79" s="1006">
        <f t="shared" si="209"/>
        <v>0</v>
      </c>
      <c r="DO79" s="1007" t="e">
        <f t="shared" si="210"/>
        <v>#VALUE!</v>
      </c>
      <c r="DP79" s="258" t="str">
        <f t="shared" si="275"/>
        <v>--</v>
      </c>
      <c r="DQ79" s="258"/>
      <c r="DR79" s="197">
        <f t="shared" si="211"/>
        <v>0</v>
      </c>
      <c r="DS79" s="1006">
        <f t="shared" si="212"/>
        <v>0</v>
      </c>
      <c r="DT79" s="1007" t="e">
        <f t="shared" si="213"/>
        <v>#VALUE!</v>
      </c>
      <c r="DU79" s="258" t="str">
        <f t="shared" si="276"/>
        <v>--</v>
      </c>
      <c r="DV79" s="258"/>
      <c r="DW79" s="197">
        <f t="shared" si="214"/>
        <v>0</v>
      </c>
      <c r="DX79" s="1006">
        <f t="shared" si="215"/>
        <v>0</v>
      </c>
      <c r="DY79" s="1007" t="e">
        <f t="shared" si="216"/>
        <v>#VALUE!</v>
      </c>
      <c r="DZ79" s="258" t="str">
        <f t="shared" si="277"/>
        <v>--</v>
      </c>
      <c r="EA79" s="258"/>
      <c r="EB79" s="197">
        <f t="shared" si="217"/>
        <v>0</v>
      </c>
      <c r="EC79" s="1006">
        <f t="shared" si="218"/>
        <v>0</v>
      </c>
      <c r="ED79" s="1007" t="e">
        <f t="shared" si="219"/>
        <v>#VALUE!</v>
      </c>
      <c r="EE79" s="258" t="str">
        <f t="shared" si="278"/>
        <v>--</v>
      </c>
      <c r="EF79" s="258"/>
      <c r="EG79" s="197">
        <f t="shared" si="220"/>
        <v>0</v>
      </c>
      <c r="EH79" s="1006">
        <f t="shared" si="221"/>
        <v>0</v>
      </c>
      <c r="EI79" s="1007" t="e">
        <f t="shared" si="222"/>
        <v>#VALUE!</v>
      </c>
      <c r="EJ79" s="258" t="str">
        <f t="shared" si="279"/>
        <v>--</v>
      </c>
      <c r="EK79" s="258"/>
      <c r="EL79" s="197">
        <f t="shared" si="223"/>
        <v>0</v>
      </c>
      <c r="EM79" s="1006">
        <f t="shared" si="224"/>
        <v>0</v>
      </c>
      <c r="EN79" s="1007" t="e">
        <f t="shared" si="225"/>
        <v>#VALUE!</v>
      </c>
      <c r="EO79" s="258" t="str">
        <f t="shared" si="280"/>
        <v>--</v>
      </c>
      <c r="EP79" s="258"/>
      <c r="EQ79" s="197">
        <f t="shared" si="226"/>
        <v>0</v>
      </c>
      <c r="ER79" s="1006">
        <f t="shared" si="227"/>
        <v>0</v>
      </c>
      <c r="ES79" s="1007" t="e">
        <f t="shared" si="228"/>
        <v>#VALUE!</v>
      </c>
      <c r="ET79" s="258" t="str">
        <f t="shared" si="281"/>
        <v>--</v>
      </c>
      <c r="EU79" s="258"/>
      <c r="EV79" s="197">
        <f t="shared" si="229"/>
        <v>0</v>
      </c>
      <c r="EW79" s="1006">
        <f t="shared" si="230"/>
        <v>0</v>
      </c>
      <c r="EX79" s="1007" t="e">
        <f t="shared" si="231"/>
        <v>#VALUE!</v>
      </c>
      <c r="EY79" s="258" t="str">
        <f t="shared" si="282"/>
        <v>--</v>
      </c>
      <c r="EZ79" s="258"/>
      <c r="FA79" s="197">
        <f t="shared" si="232"/>
        <v>0</v>
      </c>
      <c r="FB79" s="1006">
        <f t="shared" si="233"/>
        <v>0</v>
      </c>
      <c r="FC79" s="1007" t="e">
        <f t="shared" si="234"/>
        <v>#VALUE!</v>
      </c>
      <c r="FD79" s="258" t="str">
        <f t="shared" si="283"/>
        <v>--</v>
      </c>
      <c r="FE79" s="258"/>
      <c r="FF79" s="197">
        <f t="shared" si="235"/>
        <v>0</v>
      </c>
      <c r="FG79" s="1006">
        <f t="shared" si="236"/>
        <v>0</v>
      </c>
      <c r="FH79" s="1007" t="e">
        <f t="shared" si="237"/>
        <v>#VALUE!</v>
      </c>
      <c r="FI79" s="258" t="str">
        <f t="shared" si="284"/>
        <v>--</v>
      </c>
      <c r="FJ79" s="258"/>
      <c r="FK79" s="197">
        <f t="shared" si="238"/>
        <v>0</v>
      </c>
      <c r="FL79" s="1006">
        <f t="shared" si="239"/>
        <v>0</v>
      </c>
      <c r="FM79" s="1007" t="e">
        <f t="shared" si="240"/>
        <v>#VALUE!</v>
      </c>
      <c r="FN79" s="258" t="str">
        <f t="shared" si="285"/>
        <v>--</v>
      </c>
      <c r="FO79" s="258"/>
      <c r="FP79" s="197">
        <f t="shared" si="241"/>
        <v>0</v>
      </c>
      <c r="FQ79" s="1006">
        <f t="shared" si="242"/>
        <v>0</v>
      </c>
      <c r="FR79" s="1007" t="e">
        <f t="shared" si="243"/>
        <v>#VALUE!</v>
      </c>
      <c r="FS79" s="258" t="str">
        <f t="shared" si="286"/>
        <v>--</v>
      </c>
      <c r="FT79" s="258"/>
      <c r="FU79" s="197">
        <f t="shared" si="244"/>
        <v>0</v>
      </c>
      <c r="FV79" s="1006">
        <f t="shared" si="245"/>
        <v>0</v>
      </c>
      <c r="FW79" s="1007" t="e">
        <f t="shared" si="246"/>
        <v>#VALUE!</v>
      </c>
      <c r="FX79" s="258" t="str">
        <f t="shared" si="287"/>
        <v>--</v>
      </c>
      <c r="FY79" s="258"/>
      <c r="FZ79" s="197">
        <f t="shared" si="247"/>
        <v>0</v>
      </c>
      <c r="GA79" s="1006">
        <f t="shared" si="248"/>
        <v>0</v>
      </c>
      <c r="GB79" s="1007" t="e">
        <f t="shared" si="249"/>
        <v>#VALUE!</v>
      </c>
      <c r="GC79" s="258" t="str">
        <f t="shared" si="288"/>
        <v>--</v>
      </c>
      <c r="GD79" s="258"/>
      <c r="GE79" s="197">
        <f t="shared" si="250"/>
        <v>0</v>
      </c>
      <c r="GF79" s="1006">
        <f t="shared" si="251"/>
        <v>0</v>
      </c>
      <c r="GG79" s="1007" t="e">
        <f t="shared" si="252"/>
        <v>#VALUE!</v>
      </c>
      <c r="GH79" s="258" t="str">
        <f t="shared" si="289"/>
        <v>--</v>
      </c>
      <c r="GI79" s="258"/>
      <c r="GJ79" s="197">
        <f t="shared" si="253"/>
        <v>0</v>
      </c>
      <c r="GK79" s="1340"/>
      <c r="GL79" s="164"/>
      <c r="GM79" s="164"/>
      <c r="GN79" s="164"/>
    </row>
    <row r="80" spans="1:196" ht="12.75" x14ac:dyDescent="0.2">
      <c r="A80" s="243">
        <f>'Item list'!A80</f>
        <v>0</v>
      </c>
      <c r="B80" s="243">
        <f>'Item list'!B80</f>
        <v>0</v>
      </c>
      <c r="C80" s="243">
        <f>'Item list'!C80</f>
        <v>0</v>
      </c>
      <c r="D80" s="989">
        <f>'Item list'!D80</f>
        <v>0</v>
      </c>
      <c r="E80" s="243">
        <f>'Item list'!E80</f>
        <v>0</v>
      </c>
      <c r="F80" s="243">
        <f>'Item list'!F80</f>
        <v>0</v>
      </c>
      <c r="G80" s="243">
        <f>'Item list'!G80</f>
        <v>0</v>
      </c>
      <c r="H80" s="1005" t="e">
        <f t="shared" si="144"/>
        <v>#REF!</v>
      </c>
      <c r="I80" s="243"/>
      <c r="J80" s="243"/>
      <c r="K80" s="243"/>
      <c r="L80" s="197">
        <f t="shared" si="145"/>
        <v>0</v>
      </c>
      <c r="M80" s="1006">
        <f t="shared" si="146"/>
        <v>0</v>
      </c>
      <c r="N80" s="1007" t="e">
        <f t="shared" si="147"/>
        <v>#VALUE!</v>
      </c>
      <c r="O80" s="258" t="str">
        <f t="shared" si="254"/>
        <v>--</v>
      </c>
      <c r="P80" s="258"/>
      <c r="Q80" s="197">
        <f t="shared" si="148"/>
        <v>0</v>
      </c>
      <c r="R80" s="1006">
        <f t="shared" si="149"/>
        <v>0</v>
      </c>
      <c r="S80" s="1007" t="e">
        <f t="shared" si="150"/>
        <v>#VALUE!</v>
      </c>
      <c r="T80" s="258" t="str">
        <f t="shared" si="255"/>
        <v>--</v>
      </c>
      <c r="U80" s="258"/>
      <c r="V80" s="197">
        <f t="shared" si="151"/>
        <v>0</v>
      </c>
      <c r="W80" s="1006">
        <f t="shared" si="152"/>
        <v>0</v>
      </c>
      <c r="X80" s="1007" t="e">
        <f t="shared" si="153"/>
        <v>#VALUE!</v>
      </c>
      <c r="Y80" s="258" t="str">
        <f t="shared" si="256"/>
        <v>--</v>
      </c>
      <c r="Z80" s="258"/>
      <c r="AA80" s="197">
        <f t="shared" si="154"/>
        <v>0</v>
      </c>
      <c r="AB80" s="1006">
        <f t="shared" si="155"/>
        <v>0</v>
      </c>
      <c r="AC80" s="1007" t="e">
        <f t="shared" si="156"/>
        <v>#VALUE!</v>
      </c>
      <c r="AD80" s="258" t="str">
        <f t="shared" si="257"/>
        <v>--</v>
      </c>
      <c r="AE80" s="258"/>
      <c r="AF80" s="197">
        <f t="shared" si="157"/>
        <v>0</v>
      </c>
      <c r="AG80" s="1006">
        <f t="shared" si="158"/>
        <v>0</v>
      </c>
      <c r="AH80" s="1007" t="e">
        <f t="shared" si="159"/>
        <v>#VALUE!</v>
      </c>
      <c r="AI80" s="258" t="str">
        <f t="shared" si="258"/>
        <v>--</v>
      </c>
      <c r="AJ80" s="258"/>
      <c r="AK80" s="197">
        <f t="shared" si="160"/>
        <v>0</v>
      </c>
      <c r="AL80" s="1006">
        <f t="shared" si="161"/>
        <v>0</v>
      </c>
      <c r="AM80" s="1007" t="e">
        <f t="shared" si="162"/>
        <v>#VALUE!</v>
      </c>
      <c r="AN80" s="258" t="str">
        <f t="shared" si="259"/>
        <v>--</v>
      </c>
      <c r="AO80" s="258"/>
      <c r="AP80" s="197">
        <f t="shared" si="163"/>
        <v>0</v>
      </c>
      <c r="AQ80" s="1006">
        <f t="shared" si="164"/>
        <v>0</v>
      </c>
      <c r="AR80" s="1007" t="e">
        <f t="shared" si="165"/>
        <v>#VALUE!</v>
      </c>
      <c r="AS80" s="258" t="str">
        <f t="shared" si="260"/>
        <v>--</v>
      </c>
      <c r="AT80" s="258"/>
      <c r="AU80" s="197">
        <f t="shared" si="166"/>
        <v>0</v>
      </c>
      <c r="AV80" s="1006">
        <f t="shared" si="167"/>
        <v>0</v>
      </c>
      <c r="AW80" s="1007" t="e">
        <f t="shared" si="168"/>
        <v>#VALUE!</v>
      </c>
      <c r="AX80" s="258" t="str">
        <f t="shared" si="261"/>
        <v>--</v>
      </c>
      <c r="AY80" s="258"/>
      <c r="AZ80" s="197">
        <f t="shared" si="169"/>
        <v>0</v>
      </c>
      <c r="BA80" s="1006">
        <f t="shared" si="170"/>
        <v>0</v>
      </c>
      <c r="BB80" s="1007" t="e">
        <f t="shared" si="171"/>
        <v>#VALUE!</v>
      </c>
      <c r="BC80" s="258" t="str">
        <f t="shared" si="262"/>
        <v>--</v>
      </c>
      <c r="BD80" s="258"/>
      <c r="BE80" s="197">
        <f t="shared" si="172"/>
        <v>0</v>
      </c>
      <c r="BF80" s="1006">
        <f t="shared" si="173"/>
        <v>0</v>
      </c>
      <c r="BG80" s="1007" t="e">
        <f t="shared" si="174"/>
        <v>#VALUE!</v>
      </c>
      <c r="BH80" s="258" t="str">
        <f t="shared" si="263"/>
        <v>--</v>
      </c>
      <c r="BI80" s="258"/>
      <c r="BJ80" s="197">
        <f t="shared" si="175"/>
        <v>0</v>
      </c>
      <c r="BK80" s="1006">
        <f t="shared" si="176"/>
        <v>0</v>
      </c>
      <c r="BL80" s="1007" t="e">
        <f t="shared" si="177"/>
        <v>#VALUE!</v>
      </c>
      <c r="BM80" s="258" t="str">
        <f t="shared" si="264"/>
        <v>--</v>
      </c>
      <c r="BN80" s="258"/>
      <c r="BO80" s="197">
        <f t="shared" si="178"/>
        <v>0</v>
      </c>
      <c r="BP80" s="1006">
        <f t="shared" si="179"/>
        <v>0</v>
      </c>
      <c r="BQ80" s="1007" t="e">
        <f t="shared" si="180"/>
        <v>#VALUE!</v>
      </c>
      <c r="BR80" s="258" t="str">
        <f t="shared" si="265"/>
        <v>--</v>
      </c>
      <c r="BS80" s="258"/>
      <c r="BT80" s="197">
        <f t="shared" si="181"/>
        <v>0</v>
      </c>
      <c r="BU80" s="1006">
        <f t="shared" si="182"/>
        <v>0</v>
      </c>
      <c r="BV80" s="1007" t="e">
        <f t="shared" si="183"/>
        <v>#VALUE!</v>
      </c>
      <c r="BW80" s="258" t="str">
        <f t="shared" si="266"/>
        <v>--</v>
      </c>
      <c r="BX80" s="258"/>
      <c r="BY80" s="197">
        <f t="shared" si="184"/>
        <v>0</v>
      </c>
      <c r="BZ80" s="1006">
        <f t="shared" si="185"/>
        <v>0</v>
      </c>
      <c r="CA80" s="1007" t="e">
        <f t="shared" si="186"/>
        <v>#VALUE!</v>
      </c>
      <c r="CB80" s="258" t="str">
        <f t="shared" si="267"/>
        <v>--</v>
      </c>
      <c r="CC80" s="258"/>
      <c r="CD80" s="197">
        <f t="shared" si="187"/>
        <v>0</v>
      </c>
      <c r="CE80" s="1006">
        <f t="shared" si="188"/>
        <v>0</v>
      </c>
      <c r="CF80" s="1007" t="e">
        <f t="shared" si="189"/>
        <v>#VALUE!</v>
      </c>
      <c r="CG80" s="258" t="str">
        <f t="shared" si="268"/>
        <v>--</v>
      </c>
      <c r="CH80" s="258"/>
      <c r="CI80" s="197">
        <f t="shared" si="190"/>
        <v>0</v>
      </c>
      <c r="CJ80" s="1006">
        <f t="shared" si="191"/>
        <v>0</v>
      </c>
      <c r="CK80" s="1007" t="e">
        <f t="shared" si="192"/>
        <v>#VALUE!</v>
      </c>
      <c r="CL80" s="258" t="str">
        <f t="shared" si="269"/>
        <v>--</v>
      </c>
      <c r="CM80" s="258"/>
      <c r="CN80" s="197">
        <f t="shared" si="193"/>
        <v>0</v>
      </c>
      <c r="CO80" s="1006">
        <f t="shared" si="194"/>
        <v>0</v>
      </c>
      <c r="CP80" s="1007" t="e">
        <f t="shared" si="195"/>
        <v>#VALUE!</v>
      </c>
      <c r="CQ80" s="258" t="str">
        <f t="shared" si="270"/>
        <v>--</v>
      </c>
      <c r="CR80" s="258"/>
      <c r="CS80" s="197">
        <f t="shared" si="196"/>
        <v>0</v>
      </c>
      <c r="CT80" s="1006">
        <f t="shared" si="197"/>
        <v>0</v>
      </c>
      <c r="CU80" s="1007" t="e">
        <f t="shared" si="198"/>
        <v>#VALUE!</v>
      </c>
      <c r="CV80" s="258" t="str">
        <f t="shared" si="271"/>
        <v>--</v>
      </c>
      <c r="CW80" s="258"/>
      <c r="CX80" s="197">
        <f t="shared" si="199"/>
        <v>0</v>
      </c>
      <c r="CY80" s="1006">
        <f t="shared" si="200"/>
        <v>0</v>
      </c>
      <c r="CZ80" s="1007" t="e">
        <f t="shared" si="201"/>
        <v>#VALUE!</v>
      </c>
      <c r="DA80" s="258" t="str">
        <f t="shared" si="272"/>
        <v>--</v>
      </c>
      <c r="DB80" s="258"/>
      <c r="DC80" s="197">
        <f t="shared" si="202"/>
        <v>0</v>
      </c>
      <c r="DD80" s="1006">
        <f t="shared" si="203"/>
        <v>0</v>
      </c>
      <c r="DE80" s="1007" t="e">
        <f t="shared" si="204"/>
        <v>#VALUE!</v>
      </c>
      <c r="DF80" s="258" t="str">
        <f t="shared" si="273"/>
        <v>--</v>
      </c>
      <c r="DG80" s="258"/>
      <c r="DH80" s="197">
        <f t="shared" si="205"/>
        <v>0</v>
      </c>
      <c r="DI80" s="1006">
        <f t="shared" si="206"/>
        <v>0</v>
      </c>
      <c r="DJ80" s="1007" t="e">
        <f t="shared" si="207"/>
        <v>#VALUE!</v>
      </c>
      <c r="DK80" s="258" t="str">
        <f t="shared" si="274"/>
        <v>--</v>
      </c>
      <c r="DL80" s="258"/>
      <c r="DM80" s="197">
        <f t="shared" si="208"/>
        <v>0</v>
      </c>
      <c r="DN80" s="1006">
        <f t="shared" si="209"/>
        <v>0</v>
      </c>
      <c r="DO80" s="1007" t="e">
        <f t="shared" si="210"/>
        <v>#VALUE!</v>
      </c>
      <c r="DP80" s="258" t="str">
        <f t="shared" si="275"/>
        <v>--</v>
      </c>
      <c r="DQ80" s="258"/>
      <c r="DR80" s="197">
        <f t="shared" si="211"/>
        <v>0</v>
      </c>
      <c r="DS80" s="1006">
        <f t="shared" si="212"/>
        <v>0</v>
      </c>
      <c r="DT80" s="1007" t="e">
        <f t="shared" si="213"/>
        <v>#VALUE!</v>
      </c>
      <c r="DU80" s="258" t="str">
        <f t="shared" si="276"/>
        <v>--</v>
      </c>
      <c r="DV80" s="258"/>
      <c r="DW80" s="197">
        <f t="shared" si="214"/>
        <v>0</v>
      </c>
      <c r="DX80" s="1006">
        <f t="shared" si="215"/>
        <v>0</v>
      </c>
      <c r="DY80" s="1007" t="e">
        <f t="shared" si="216"/>
        <v>#VALUE!</v>
      </c>
      <c r="DZ80" s="258" t="str">
        <f t="shared" si="277"/>
        <v>--</v>
      </c>
      <c r="EA80" s="258"/>
      <c r="EB80" s="197">
        <f t="shared" si="217"/>
        <v>0</v>
      </c>
      <c r="EC80" s="1006">
        <f t="shared" si="218"/>
        <v>0</v>
      </c>
      <c r="ED80" s="1007" t="e">
        <f t="shared" si="219"/>
        <v>#VALUE!</v>
      </c>
      <c r="EE80" s="258" t="str">
        <f t="shared" si="278"/>
        <v>--</v>
      </c>
      <c r="EF80" s="258"/>
      <c r="EG80" s="197">
        <f t="shared" si="220"/>
        <v>0</v>
      </c>
      <c r="EH80" s="1006">
        <f t="shared" si="221"/>
        <v>0</v>
      </c>
      <c r="EI80" s="1007" t="e">
        <f t="shared" si="222"/>
        <v>#VALUE!</v>
      </c>
      <c r="EJ80" s="258" t="str">
        <f t="shared" si="279"/>
        <v>--</v>
      </c>
      <c r="EK80" s="258"/>
      <c r="EL80" s="197">
        <f t="shared" si="223"/>
        <v>0</v>
      </c>
      <c r="EM80" s="1006">
        <f t="shared" si="224"/>
        <v>0</v>
      </c>
      <c r="EN80" s="1007" t="e">
        <f t="shared" si="225"/>
        <v>#VALUE!</v>
      </c>
      <c r="EO80" s="258" t="str">
        <f t="shared" si="280"/>
        <v>--</v>
      </c>
      <c r="EP80" s="258"/>
      <c r="EQ80" s="197">
        <f t="shared" si="226"/>
        <v>0</v>
      </c>
      <c r="ER80" s="1006">
        <f t="shared" si="227"/>
        <v>0</v>
      </c>
      <c r="ES80" s="1007" t="e">
        <f t="shared" si="228"/>
        <v>#VALUE!</v>
      </c>
      <c r="ET80" s="258" t="str">
        <f t="shared" si="281"/>
        <v>--</v>
      </c>
      <c r="EU80" s="258"/>
      <c r="EV80" s="197">
        <f t="shared" si="229"/>
        <v>0</v>
      </c>
      <c r="EW80" s="1006">
        <f t="shared" si="230"/>
        <v>0</v>
      </c>
      <c r="EX80" s="1007" t="e">
        <f t="shared" si="231"/>
        <v>#VALUE!</v>
      </c>
      <c r="EY80" s="258" t="str">
        <f t="shared" si="282"/>
        <v>--</v>
      </c>
      <c r="EZ80" s="258"/>
      <c r="FA80" s="197">
        <f t="shared" si="232"/>
        <v>0</v>
      </c>
      <c r="FB80" s="1006">
        <f t="shared" si="233"/>
        <v>0</v>
      </c>
      <c r="FC80" s="1007" t="e">
        <f t="shared" si="234"/>
        <v>#VALUE!</v>
      </c>
      <c r="FD80" s="258" t="str">
        <f t="shared" si="283"/>
        <v>--</v>
      </c>
      <c r="FE80" s="258"/>
      <c r="FF80" s="197">
        <f t="shared" si="235"/>
        <v>0</v>
      </c>
      <c r="FG80" s="1006">
        <f t="shared" si="236"/>
        <v>0</v>
      </c>
      <c r="FH80" s="1007" t="e">
        <f t="shared" si="237"/>
        <v>#VALUE!</v>
      </c>
      <c r="FI80" s="258" t="str">
        <f t="shared" si="284"/>
        <v>--</v>
      </c>
      <c r="FJ80" s="258"/>
      <c r="FK80" s="197">
        <f t="shared" si="238"/>
        <v>0</v>
      </c>
      <c r="FL80" s="1006">
        <f t="shared" si="239"/>
        <v>0</v>
      </c>
      <c r="FM80" s="1007" t="e">
        <f t="shared" si="240"/>
        <v>#VALUE!</v>
      </c>
      <c r="FN80" s="258" t="str">
        <f t="shared" si="285"/>
        <v>--</v>
      </c>
      <c r="FO80" s="258"/>
      <c r="FP80" s="197">
        <f t="shared" si="241"/>
        <v>0</v>
      </c>
      <c r="FQ80" s="1006">
        <f t="shared" si="242"/>
        <v>0</v>
      </c>
      <c r="FR80" s="1007" t="e">
        <f t="shared" si="243"/>
        <v>#VALUE!</v>
      </c>
      <c r="FS80" s="258" t="str">
        <f t="shared" si="286"/>
        <v>--</v>
      </c>
      <c r="FT80" s="258"/>
      <c r="FU80" s="197">
        <f t="shared" si="244"/>
        <v>0</v>
      </c>
      <c r="FV80" s="1006">
        <f t="shared" si="245"/>
        <v>0</v>
      </c>
      <c r="FW80" s="1007" t="e">
        <f t="shared" si="246"/>
        <v>#VALUE!</v>
      </c>
      <c r="FX80" s="258" t="str">
        <f t="shared" si="287"/>
        <v>--</v>
      </c>
      <c r="FY80" s="258"/>
      <c r="FZ80" s="197">
        <f t="shared" si="247"/>
        <v>0</v>
      </c>
      <c r="GA80" s="1006">
        <f t="shared" si="248"/>
        <v>0</v>
      </c>
      <c r="GB80" s="1007" t="e">
        <f t="shared" si="249"/>
        <v>#VALUE!</v>
      </c>
      <c r="GC80" s="258" t="str">
        <f t="shared" si="288"/>
        <v>--</v>
      </c>
      <c r="GD80" s="258"/>
      <c r="GE80" s="197">
        <f t="shared" si="250"/>
        <v>0</v>
      </c>
      <c r="GF80" s="1006">
        <f t="shared" si="251"/>
        <v>0</v>
      </c>
      <c r="GG80" s="1007" t="e">
        <f t="shared" si="252"/>
        <v>#VALUE!</v>
      </c>
      <c r="GH80" s="258" t="str">
        <f t="shared" si="289"/>
        <v>--</v>
      </c>
      <c r="GI80" s="258"/>
      <c r="GJ80" s="197">
        <f t="shared" si="253"/>
        <v>0</v>
      </c>
      <c r="GK80" s="1340"/>
      <c r="GL80" s="164"/>
      <c r="GM80" s="164"/>
      <c r="GN80" s="164"/>
    </row>
    <row r="81" spans="1:196" ht="12.75" x14ac:dyDescent="0.2">
      <c r="A81" s="243">
        <f>'Item list'!A81</f>
        <v>0</v>
      </c>
      <c r="B81" s="243">
        <f>'Item list'!B81</f>
        <v>0</v>
      </c>
      <c r="C81" s="243">
        <f>'Item list'!C81</f>
        <v>0</v>
      </c>
      <c r="D81" s="989">
        <f>'Item list'!D81</f>
        <v>0</v>
      </c>
      <c r="E81" s="243">
        <f>'Item list'!E81</f>
        <v>0</v>
      </c>
      <c r="F81" s="243">
        <f>'Item list'!F81</f>
        <v>0</v>
      </c>
      <c r="G81" s="243">
        <f>'Item list'!G81</f>
        <v>0</v>
      </c>
      <c r="H81" s="1005" t="e">
        <f t="shared" si="144"/>
        <v>#REF!</v>
      </c>
      <c r="I81" s="243"/>
      <c r="J81" s="243"/>
      <c r="K81" s="243"/>
      <c r="L81" s="197">
        <f t="shared" si="145"/>
        <v>0</v>
      </c>
      <c r="M81" s="1006">
        <f t="shared" si="146"/>
        <v>0</v>
      </c>
      <c r="N81" s="1007" t="e">
        <f t="shared" si="147"/>
        <v>#VALUE!</v>
      </c>
      <c r="O81" s="258" t="str">
        <f t="shared" si="254"/>
        <v>--</v>
      </c>
      <c r="P81" s="258"/>
      <c r="Q81" s="197">
        <f t="shared" si="148"/>
        <v>0</v>
      </c>
      <c r="R81" s="1006">
        <f t="shared" si="149"/>
        <v>0</v>
      </c>
      <c r="S81" s="1007" t="e">
        <f t="shared" si="150"/>
        <v>#VALUE!</v>
      </c>
      <c r="T81" s="258" t="str">
        <f t="shared" si="255"/>
        <v>--</v>
      </c>
      <c r="U81" s="258"/>
      <c r="V81" s="197">
        <f t="shared" si="151"/>
        <v>0</v>
      </c>
      <c r="W81" s="1006">
        <f t="shared" si="152"/>
        <v>0</v>
      </c>
      <c r="X81" s="1007" t="e">
        <f t="shared" si="153"/>
        <v>#VALUE!</v>
      </c>
      <c r="Y81" s="258" t="str">
        <f t="shared" si="256"/>
        <v>--</v>
      </c>
      <c r="Z81" s="258"/>
      <c r="AA81" s="197">
        <f t="shared" si="154"/>
        <v>0</v>
      </c>
      <c r="AB81" s="1006">
        <f t="shared" si="155"/>
        <v>0</v>
      </c>
      <c r="AC81" s="1007" t="e">
        <f t="shared" si="156"/>
        <v>#VALUE!</v>
      </c>
      <c r="AD81" s="258" t="str">
        <f t="shared" si="257"/>
        <v>--</v>
      </c>
      <c r="AE81" s="258"/>
      <c r="AF81" s="197">
        <f t="shared" si="157"/>
        <v>0</v>
      </c>
      <c r="AG81" s="1006">
        <f t="shared" si="158"/>
        <v>0</v>
      </c>
      <c r="AH81" s="1007" t="e">
        <f t="shared" si="159"/>
        <v>#VALUE!</v>
      </c>
      <c r="AI81" s="258" t="str">
        <f t="shared" si="258"/>
        <v>--</v>
      </c>
      <c r="AJ81" s="258"/>
      <c r="AK81" s="197">
        <f t="shared" si="160"/>
        <v>0</v>
      </c>
      <c r="AL81" s="1006">
        <f t="shared" si="161"/>
        <v>0</v>
      </c>
      <c r="AM81" s="1007" t="e">
        <f t="shared" si="162"/>
        <v>#VALUE!</v>
      </c>
      <c r="AN81" s="258" t="str">
        <f t="shared" si="259"/>
        <v>--</v>
      </c>
      <c r="AO81" s="258"/>
      <c r="AP81" s="197">
        <f t="shared" si="163"/>
        <v>0</v>
      </c>
      <c r="AQ81" s="1006">
        <f t="shared" si="164"/>
        <v>0</v>
      </c>
      <c r="AR81" s="1007" t="e">
        <f t="shared" si="165"/>
        <v>#VALUE!</v>
      </c>
      <c r="AS81" s="258" t="str">
        <f t="shared" si="260"/>
        <v>--</v>
      </c>
      <c r="AT81" s="258"/>
      <c r="AU81" s="197">
        <f t="shared" si="166"/>
        <v>0</v>
      </c>
      <c r="AV81" s="1006">
        <f t="shared" si="167"/>
        <v>0</v>
      </c>
      <c r="AW81" s="1007" t="e">
        <f t="shared" si="168"/>
        <v>#VALUE!</v>
      </c>
      <c r="AX81" s="258" t="str">
        <f t="shared" si="261"/>
        <v>--</v>
      </c>
      <c r="AY81" s="258"/>
      <c r="AZ81" s="197">
        <f t="shared" si="169"/>
        <v>0</v>
      </c>
      <c r="BA81" s="1006">
        <f t="shared" si="170"/>
        <v>0</v>
      </c>
      <c r="BB81" s="1007" t="e">
        <f t="shared" si="171"/>
        <v>#VALUE!</v>
      </c>
      <c r="BC81" s="258" t="str">
        <f t="shared" si="262"/>
        <v>--</v>
      </c>
      <c r="BD81" s="258"/>
      <c r="BE81" s="197">
        <f t="shared" si="172"/>
        <v>0</v>
      </c>
      <c r="BF81" s="1006">
        <f t="shared" si="173"/>
        <v>0</v>
      </c>
      <c r="BG81" s="1007" t="e">
        <f t="shared" si="174"/>
        <v>#VALUE!</v>
      </c>
      <c r="BH81" s="258" t="str">
        <f t="shared" si="263"/>
        <v>--</v>
      </c>
      <c r="BI81" s="258"/>
      <c r="BJ81" s="197">
        <f t="shared" si="175"/>
        <v>0</v>
      </c>
      <c r="BK81" s="1006">
        <f t="shared" si="176"/>
        <v>0</v>
      </c>
      <c r="BL81" s="1007" t="e">
        <f t="shared" si="177"/>
        <v>#VALUE!</v>
      </c>
      <c r="BM81" s="258" t="str">
        <f t="shared" si="264"/>
        <v>--</v>
      </c>
      <c r="BN81" s="258"/>
      <c r="BO81" s="197">
        <f t="shared" si="178"/>
        <v>0</v>
      </c>
      <c r="BP81" s="1006">
        <f t="shared" si="179"/>
        <v>0</v>
      </c>
      <c r="BQ81" s="1007" t="e">
        <f t="shared" si="180"/>
        <v>#VALUE!</v>
      </c>
      <c r="BR81" s="258" t="str">
        <f t="shared" si="265"/>
        <v>--</v>
      </c>
      <c r="BS81" s="258"/>
      <c r="BT81" s="197">
        <f t="shared" si="181"/>
        <v>0</v>
      </c>
      <c r="BU81" s="1006">
        <f t="shared" si="182"/>
        <v>0</v>
      </c>
      <c r="BV81" s="1007" t="e">
        <f t="shared" si="183"/>
        <v>#VALUE!</v>
      </c>
      <c r="BW81" s="258" t="str">
        <f t="shared" si="266"/>
        <v>--</v>
      </c>
      <c r="BX81" s="258"/>
      <c r="BY81" s="197">
        <f t="shared" si="184"/>
        <v>0</v>
      </c>
      <c r="BZ81" s="1006">
        <f t="shared" si="185"/>
        <v>0</v>
      </c>
      <c r="CA81" s="1007" t="e">
        <f t="shared" si="186"/>
        <v>#VALUE!</v>
      </c>
      <c r="CB81" s="258" t="str">
        <f t="shared" si="267"/>
        <v>--</v>
      </c>
      <c r="CC81" s="258"/>
      <c r="CD81" s="197">
        <f t="shared" si="187"/>
        <v>0</v>
      </c>
      <c r="CE81" s="1006">
        <f t="shared" si="188"/>
        <v>0</v>
      </c>
      <c r="CF81" s="1007" t="e">
        <f t="shared" si="189"/>
        <v>#VALUE!</v>
      </c>
      <c r="CG81" s="258" t="str">
        <f t="shared" si="268"/>
        <v>--</v>
      </c>
      <c r="CH81" s="258"/>
      <c r="CI81" s="197">
        <f t="shared" si="190"/>
        <v>0</v>
      </c>
      <c r="CJ81" s="1006">
        <f t="shared" si="191"/>
        <v>0</v>
      </c>
      <c r="CK81" s="1007" t="e">
        <f t="shared" si="192"/>
        <v>#VALUE!</v>
      </c>
      <c r="CL81" s="258" t="str">
        <f t="shared" si="269"/>
        <v>--</v>
      </c>
      <c r="CM81" s="258"/>
      <c r="CN81" s="197">
        <f t="shared" si="193"/>
        <v>0</v>
      </c>
      <c r="CO81" s="1006">
        <f t="shared" si="194"/>
        <v>0</v>
      </c>
      <c r="CP81" s="1007" t="e">
        <f t="shared" si="195"/>
        <v>#VALUE!</v>
      </c>
      <c r="CQ81" s="258" t="str">
        <f t="shared" si="270"/>
        <v>--</v>
      </c>
      <c r="CR81" s="258"/>
      <c r="CS81" s="197">
        <f t="shared" si="196"/>
        <v>0</v>
      </c>
      <c r="CT81" s="1006">
        <f t="shared" si="197"/>
        <v>0</v>
      </c>
      <c r="CU81" s="1007" t="e">
        <f t="shared" si="198"/>
        <v>#VALUE!</v>
      </c>
      <c r="CV81" s="258" t="str">
        <f t="shared" si="271"/>
        <v>--</v>
      </c>
      <c r="CW81" s="258"/>
      <c r="CX81" s="197">
        <f t="shared" si="199"/>
        <v>0</v>
      </c>
      <c r="CY81" s="1006">
        <f t="shared" si="200"/>
        <v>0</v>
      </c>
      <c r="CZ81" s="1007" t="e">
        <f t="shared" si="201"/>
        <v>#VALUE!</v>
      </c>
      <c r="DA81" s="258" t="str">
        <f t="shared" si="272"/>
        <v>--</v>
      </c>
      <c r="DB81" s="258"/>
      <c r="DC81" s="197">
        <f t="shared" si="202"/>
        <v>0</v>
      </c>
      <c r="DD81" s="1006">
        <f t="shared" si="203"/>
        <v>0</v>
      </c>
      <c r="DE81" s="1007" t="e">
        <f t="shared" si="204"/>
        <v>#VALUE!</v>
      </c>
      <c r="DF81" s="258" t="str">
        <f t="shared" si="273"/>
        <v>--</v>
      </c>
      <c r="DG81" s="258"/>
      <c r="DH81" s="197">
        <f t="shared" si="205"/>
        <v>0</v>
      </c>
      <c r="DI81" s="1006">
        <f t="shared" si="206"/>
        <v>0</v>
      </c>
      <c r="DJ81" s="1007" t="e">
        <f t="shared" si="207"/>
        <v>#VALUE!</v>
      </c>
      <c r="DK81" s="258" t="str">
        <f t="shared" si="274"/>
        <v>--</v>
      </c>
      <c r="DL81" s="258"/>
      <c r="DM81" s="197">
        <f t="shared" si="208"/>
        <v>0</v>
      </c>
      <c r="DN81" s="1006">
        <f t="shared" si="209"/>
        <v>0</v>
      </c>
      <c r="DO81" s="1007" t="e">
        <f t="shared" si="210"/>
        <v>#VALUE!</v>
      </c>
      <c r="DP81" s="258" t="str">
        <f t="shared" si="275"/>
        <v>--</v>
      </c>
      <c r="DQ81" s="258"/>
      <c r="DR81" s="197">
        <f t="shared" si="211"/>
        <v>0</v>
      </c>
      <c r="DS81" s="1006">
        <f t="shared" si="212"/>
        <v>0</v>
      </c>
      <c r="DT81" s="1007" t="e">
        <f t="shared" si="213"/>
        <v>#VALUE!</v>
      </c>
      <c r="DU81" s="258" t="str">
        <f t="shared" si="276"/>
        <v>--</v>
      </c>
      <c r="DV81" s="258"/>
      <c r="DW81" s="197">
        <f t="shared" si="214"/>
        <v>0</v>
      </c>
      <c r="DX81" s="1006">
        <f t="shared" si="215"/>
        <v>0</v>
      </c>
      <c r="DY81" s="1007" t="e">
        <f t="shared" si="216"/>
        <v>#VALUE!</v>
      </c>
      <c r="DZ81" s="258" t="str">
        <f t="shared" si="277"/>
        <v>--</v>
      </c>
      <c r="EA81" s="258"/>
      <c r="EB81" s="197">
        <f t="shared" si="217"/>
        <v>0</v>
      </c>
      <c r="EC81" s="1006">
        <f t="shared" si="218"/>
        <v>0</v>
      </c>
      <c r="ED81" s="1007" t="e">
        <f t="shared" si="219"/>
        <v>#VALUE!</v>
      </c>
      <c r="EE81" s="258" t="str">
        <f t="shared" si="278"/>
        <v>--</v>
      </c>
      <c r="EF81" s="258"/>
      <c r="EG81" s="197">
        <f t="shared" si="220"/>
        <v>0</v>
      </c>
      <c r="EH81" s="1006">
        <f t="shared" si="221"/>
        <v>0</v>
      </c>
      <c r="EI81" s="1007" t="e">
        <f t="shared" si="222"/>
        <v>#VALUE!</v>
      </c>
      <c r="EJ81" s="258" t="str">
        <f t="shared" si="279"/>
        <v>--</v>
      </c>
      <c r="EK81" s="258"/>
      <c r="EL81" s="197">
        <f t="shared" si="223"/>
        <v>0</v>
      </c>
      <c r="EM81" s="1006">
        <f t="shared" si="224"/>
        <v>0</v>
      </c>
      <c r="EN81" s="1007" t="e">
        <f t="shared" si="225"/>
        <v>#VALUE!</v>
      </c>
      <c r="EO81" s="258" t="str">
        <f t="shared" si="280"/>
        <v>--</v>
      </c>
      <c r="EP81" s="258"/>
      <c r="EQ81" s="197">
        <f t="shared" si="226"/>
        <v>0</v>
      </c>
      <c r="ER81" s="1006">
        <f t="shared" si="227"/>
        <v>0</v>
      </c>
      <c r="ES81" s="1007" t="e">
        <f t="shared" si="228"/>
        <v>#VALUE!</v>
      </c>
      <c r="ET81" s="258" t="str">
        <f t="shared" si="281"/>
        <v>--</v>
      </c>
      <c r="EU81" s="258"/>
      <c r="EV81" s="197">
        <f t="shared" si="229"/>
        <v>0</v>
      </c>
      <c r="EW81" s="1006">
        <f t="shared" si="230"/>
        <v>0</v>
      </c>
      <c r="EX81" s="1007" t="e">
        <f t="shared" si="231"/>
        <v>#VALUE!</v>
      </c>
      <c r="EY81" s="258" t="str">
        <f t="shared" si="282"/>
        <v>--</v>
      </c>
      <c r="EZ81" s="258"/>
      <c r="FA81" s="197">
        <f t="shared" si="232"/>
        <v>0</v>
      </c>
      <c r="FB81" s="1006">
        <f t="shared" si="233"/>
        <v>0</v>
      </c>
      <c r="FC81" s="1007" t="e">
        <f t="shared" si="234"/>
        <v>#VALUE!</v>
      </c>
      <c r="FD81" s="258" t="str">
        <f t="shared" si="283"/>
        <v>--</v>
      </c>
      <c r="FE81" s="258"/>
      <c r="FF81" s="197">
        <f t="shared" si="235"/>
        <v>0</v>
      </c>
      <c r="FG81" s="1006">
        <f t="shared" si="236"/>
        <v>0</v>
      </c>
      <c r="FH81" s="1007" t="e">
        <f t="shared" si="237"/>
        <v>#VALUE!</v>
      </c>
      <c r="FI81" s="258" t="str">
        <f t="shared" si="284"/>
        <v>--</v>
      </c>
      <c r="FJ81" s="258"/>
      <c r="FK81" s="197">
        <f t="shared" si="238"/>
        <v>0</v>
      </c>
      <c r="FL81" s="1006">
        <f t="shared" si="239"/>
        <v>0</v>
      </c>
      <c r="FM81" s="1007" t="e">
        <f t="shared" si="240"/>
        <v>#VALUE!</v>
      </c>
      <c r="FN81" s="258" t="str">
        <f t="shared" si="285"/>
        <v>--</v>
      </c>
      <c r="FO81" s="258"/>
      <c r="FP81" s="197">
        <f t="shared" si="241"/>
        <v>0</v>
      </c>
      <c r="FQ81" s="1006">
        <f t="shared" si="242"/>
        <v>0</v>
      </c>
      <c r="FR81" s="1007" t="e">
        <f t="shared" si="243"/>
        <v>#VALUE!</v>
      </c>
      <c r="FS81" s="258" t="str">
        <f t="shared" si="286"/>
        <v>--</v>
      </c>
      <c r="FT81" s="258"/>
      <c r="FU81" s="197">
        <f t="shared" si="244"/>
        <v>0</v>
      </c>
      <c r="FV81" s="1006">
        <f t="shared" si="245"/>
        <v>0</v>
      </c>
      <c r="FW81" s="1007" t="e">
        <f t="shared" si="246"/>
        <v>#VALUE!</v>
      </c>
      <c r="FX81" s="258" t="str">
        <f t="shared" si="287"/>
        <v>--</v>
      </c>
      <c r="FY81" s="258"/>
      <c r="FZ81" s="197">
        <f t="shared" si="247"/>
        <v>0</v>
      </c>
      <c r="GA81" s="1006">
        <f t="shared" si="248"/>
        <v>0</v>
      </c>
      <c r="GB81" s="1007" t="e">
        <f t="shared" si="249"/>
        <v>#VALUE!</v>
      </c>
      <c r="GC81" s="258" t="str">
        <f t="shared" si="288"/>
        <v>--</v>
      </c>
      <c r="GD81" s="258"/>
      <c r="GE81" s="197">
        <f t="shared" si="250"/>
        <v>0</v>
      </c>
      <c r="GF81" s="1006">
        <f t="shared" si="251"/>
        <v>0</v>
      </c>
      <c r="GG81" s="1007" t="e">
        <f t="shared" si="252"/>
        <v>#VALUE!</v>
      </c>
      <c r="GH81" s="258" t="str">
        <f t="shared" si="289"/>
        <v>--</v>
      </c>
      <c r="GI81" s="258"/>
      <c r="GJ81" s="197">
        <f t="shared" si="253"/>
        <v>0</v>
      </c>
      <c r="GK81" s="1340"/>
      <c r="GL81" s="164"/>
      <c r="GM81" s="164"/>
      <c r="GN81" s="164"/>
    </row>
    <row r="82" spans="1:196" ht="12.75" x14ac:dyDescent="0.2">
      <c r="A82" s="243">
        <f>'Item list'!A82</f>
        <v>0</v>
      </c>
      <c r="B82" s="243">
        <f>'Item list'!B82</f>
        <v>0</v>
      </c>
      <c r="C82" s="243">
        <f>'Item list'!C82</f>
        <v>0</v>
      </c>
      <c r="D82" s="989">
        <f>'Item list'!D82</f>
        <v>0</v>
      </c>
      <c r="E82" s="243">
        <f>'Item list'!E82</f>
        <v>0</v>
      </c>
      <c r="F82" s="243">
        <f>'Item list'!F82</f>
        <v>0</v>
      </c>
      <c r="G82" s="243">
        <f>'Item list'!G82</f>
        <v>0</v>
      </c>
      <c r="H82" s="1005" t="e">
        <f t="shared" si="144"/>
        <v>#REF!</v>
      </c>
      <c r="I82" s="243"/>
      <c r="J82" s="243"/>
      <c r="K82" s="243"/>
      <c r="L82" s="197">
        <f t="shared" si="145"/>
        <v>0</v>
      </c>
      <c r="M82" s="1006">
        <f t="shared" si="146"/>
        <v>0</v>
      </c>
      <c r="N82" s="1007" t="e">
        <f t="shared" si="147"/>
        <v>#VALUE!</v>
      </c>
      <c r="O82" s="258" t="str">
        <f t="shared" si="254"/>
        <v>--</v>
      </c>
      <c r="P82" s="258"/>
      <c r="Q82" s="197">
        <f t="shared" si="148"/>
        <v>0</v>
      </c>
      <c r="R82" s="1006">
        <f t="shared" si="149"/>
        <v>0</v>
      </c>
      <c r="S82" s="1007" t="e">
        <f t="shared" si="150"/>
        <v>#VALUE!</v>
      </c>
      <c r="T82" s="258" t="str">
        <f t="shared" si="255"/>
        <v>--</v>
      </c>
      <c r="U82" s="258"/>
      <c r="V82" s="197">
        <f t="shared" si="151"/>
        <v>0</v>
      </c>
      <c r="W82" s="1006">
        <f t="shared" si="152"/>
        <v>0</v>
      </c>
      <c r="X82" s="1007" t="e">
        <f t="shared" si="153"/>
        <v>#VALUE!</v>
      </c>
      <c r="Y82" s="258" t="str">
        <f t="shared" si="256"/>
        <v>--</v>
      </c>
      <c r="Z82" s="258"/>
      <c r="AA82" s="197">
        <f t="shared" si="154"/>
        <v>0</v>
      </c>
      <c r="AB82" s="1006">
        <f t="shared" si="155"/>
        <v>0</v>
      </c>
      <c r="AC82" s="1007" t="e">
        <f t="shared" si="156"/>
        <v>#VALUE!</v>
      </c>
      <c r="AD82" s="258" t="str">
        <f t="shared" si="257"/>
        <v>--</v>
      </c>
      <c r="AE82" s="258"/>
      <c r="AF82" s="197">
        <f t="shared" si="157"/>
        <v>0</v>
      </c>
      <c r="AG82" s="1006">
        <f t="shared" si="158"/>
        <v>0</v>
      </c>
      <c r="AH82" s="1007" t="e">
        <f t="shared" si="159"/>
        <v>#VALUE!</v>
      </c>
      <c r="AI82" s="258" t="str">
        <f t="shared" si="258"/>
        <v>--</v>
      </c>
      <c r="AJ82" s="258"/>
      <c r="AK82" s="197">
        <f t="shared" si="160"/>
        <v>0</v>
      </c>
      <c r="AL82" s="1006">
        <f t="shared" si="161"/>
        <v>0</v>
      </c>
      <c r="AM82" s="1007" t="e">
        <f t="shared" si="162"/>
        <v>#VALUE!</v>
      </c>
      <c r="AN82" s="258" t="str">
        <f t="shared" si="259"/>
        <v>--</v>
      </c>
      <c r="AO82" s="258"/>
      <c r="AP82" s="197">
        <f t="shared" si="163"/>
        <v>0</v>
      </c>
      <c r="AQ82" s="1006">
        <f t="shared" si="164"/>
        <v>0</v>
      </c>
      <c r="AR82" s="1007" t="e">
        <f t="shared" si="165"/>
        <v>#VALUE!</v>
      </c>
      <c r="AS82" s="258" t="str">
        <f t="shared" si="260"/>
        <v>--</v>
      </c>
      <c r="AT82" s="258"/>
      <c r="AU82" s="197">
        <f t="shared" si="166"/>
        <v>0</v>
      </c>
      <c r="AV82" s="1006">
        <f t="shared" si="167"/>
        <v>0</v>
      </c>
      <c r="AW82" s="1007" t="e">
        <f t="shared" si="168"/>
        <v>#VALUE!</v>
      </c>
      <c r="AX82" s="258" t="str">
        <f t="shared" si="261"/>
        <v>--</v>
      </c>
      <c r="AY82" s="258"/>
      <c r="AZ82" s="197">
        <f t="shared" si="169"/>
        <v>0</v>
      </c>
      <c r="BA82" s="1006">
        <f t="shared" si="170"/>
        <v>0</v>
      </c>
      <c r="BB82" s="1007" t="e">
        <f t="shared" si="171"/>
        <v>#VALUE!</v>
      </c>
      <c r="BC82" s="258" t="str">
        <f t="shared" si="262"/>
        <v>--</v>
      </c>
      <c r="BD82" s="258"/>
      <c r="BE82" s="197">
        <f t="shared" si="172"/>
        <v>0</v>
      </c>
      <c r="BF82" s="1006">
        <f t="shared" si="173"/>
        <v>0</v>
      </c>
      <c r="BG82" s="1007" t="e">
        <f t="shared" si="174"/>
        <v>#VALUE!</v>
      </c>
      <c r="BH82" s="258" t="str">
        <f t="shared" si="263"/>
        <v>--</v>
      </c>
      <c r="BI82" s="258"/>
      <c r="BJ82" s="197">
        <f t="shared" si="175"/>
        <v>0</v>
      </c>
      <c r="BK82" s="1006">
        <f t="shared" si="176"/>
        <v>0</v>
      </c>
      <c r="BL82" s="1007" t="e">
        <f t="shared" si="177"/>
        <v>#VALUE!</v>
      </c>
      <c r="BM82" s="258" t="str">
        <f t="shared" si="264"/>
        <v>--</v>
      </c>
      <c r="BN82" s="258"/>
      <c r="BO82" s="197">
        <f t="shared" si="178"/>
        <v>0</v>
      </c>
      <c r="BP82" s="1006">
        <f t="shared" si="179"/>
        <v>0</v>
      </c>
      <c r="BQ82" s="1007" t="e">
        <f t="shared" si="180"/>
        <v>#VALUE!</v>
      </c>
      <c r="BR82" s="258" t="str">
        <f t="shared" si="265"/>
        <v>--</v>
      </c>
      <c r="BS82" s="258"/>
      <c r="BT82" s="197">
        <f t="shared" si="181"/>
        <v>0</v>
      </c>
      <c r="BU82" s="1006">
        <f t="shared" si="182"/>
        <v>0</v>
      </c>
      <c r="BV82" s="1007" t="e">
        <f t="shared" si="183"/>
        <v>#VALUE!</v>
      </c>
      <c r="BW82" s="258" t="str">
        <f t="shared" si="266"/>
        <v>--</v>
      </c>
      <c r="BX82" s="258"/>
      <c r="BY82" s="197">
        <f t="shared" si="184"/>
        <v>0</v>
      </c>
      <c r="BZ82" s="1006">
        <f t="shared" si="185"/>
        <v>0</v>
      </c>
      <c r="CA82" s="1007" t="e">
        <f t="shared" si="186"/>
        <v>#VALUE!</v>
      </c>
      <c r="CB82" s="258" t="str">
        <f t="shared" si="267"/>
        <v>--</v>
      </c>
      <c r="CC82" s="258"/>
      <c r="CD82" s="197">
        <f t="shared" si="187"/>
        <v>0</v>
      </c>
      <c r="CE82" s="1006">
        <f t="shared" si="188"/>
        <v>0</v>
      </c>
      <c r="CF82" s="1007" t="e">
        <f t="shared" si="189"/>
        <v>#VALUE!</v>
      </c>
      <c r="CG82" s="258" t="str">
        <f t="shared" si="268"/>
        <v>--</v>
      </c>
      <c r="CH82" s="258"/>
      <c r="CI82" s="197">
        <f t="shared" si="190"/>
        <v>0</v>
      </c>
      <c r="CJ82" s="1006">
        <f t="shared" si="191"/>
        <v>0</v>
      </c>
      <c r="CK82" s="1007" t="e">
        <f t="shared" si="192"/>
        <v>#VALUE!</v>
      </c>
      <c r="CL82" s="258" t="str">
        <f t="shared" si="269"/>
        <v>--</v>
      </c>
      <c r="CM82" s="258"/>
      <c r="CN82" s="197">
        <f t="shared" si="193"/>
        <v>0</v>
      </c>
      <c r="CO82" s="1006">
        <f t="shared" si="194"/>
        <v>0</v>
      </c>
      <c r="CP82" s="1007" t="e">
        <f t="shared" si="195"/>
        <v>#VALUE!</v>
      </c>
      <c r="CQ82" s="258" t="str">
        <f t="shared" si="270"/>
        <v>--</v>
      </c>
      <c r="CR82" s="258"/>
      <c r="CS82" s="197">
        <f t="shared" si="196"/>
        <v>0</v>
      </c>
      <c r="CT82" s="1006">
        <f t="shared" si="197"/>
        <v>0</v>
      </c>
      <c r="CU82" s="1007" t="e">
        <f t="shared" si="198"/>
        <v>#VALUE!</v>
      </c>
      <c r="CV82" s="258" t="str">
        <f t="shared" si="271"/>
        <v>--</v>
      </c>
      <c r="CW82" s="258"/>
      <c r="CX82" s="197">
        <f t="shared" si="199"/>
        <v>0</v>
      </c>
      <c r="CY82" s="1006">
        <f t="shared" si="200"/>
        <v>0</v>
      </c>
      <c r="CZ82" s="1007" t="e">
        <f t="shared" si="201"/>
        <v>#VALUE!</v>
      </c>
      <c r="DA82" s="258" t="str">
        <f t="shared" si="272"/>
        <v>--</v>
      </c>
      <c r="DB82" s="258"/>
      <c r="DC82" s="197">
        <f t="shared" si="202"/>
        <v>0</v>
      </c>
      <c r="DD82" s="1006">
        <f t="shared" si="203"/>
        <v>0</v>
      </c>
      <c r="DE82" s="1007" t="e">
        <f t="shared" si="204"/>
        <v>#VALUE!</v>
      </c>
      <c r="DF82" s="258" t="str">
        <f t="shared" si="273"/>
        <v>--</v>
      </c>
      <c r="DG82" s="258"/>
      <c r="DH82" s="197">
        <f t="shared" si="205"/>
        <v>0</v>
      </c>
      <c r="DI82" s="1006">
        <f t="shared" si="206"/>
        <v>0</v>
      </c>
      <c r="DJ82" s="1007" t="e">
        <f t="shared" si="207"/>
        <v>#VALUE!</v>
      </c>
      <c r="DK82" s="258" t="str">
        <f t="shared" si="274"/>
        <v>--</v>
      </c>
      <c r="DL82" s="258"/>
      <c r="DM82" s="197">
        <f t="shared" si="208"/>
        <v>0</v>
      </c>
      <c r="DN82" s="1006">
        <f t="shared" si="209"/>
        <v>0</v>
      </c>
      <c r="DO82" s="1007" t="e">
        <f t="shared" si="210"/>
        <v>#VALUE!</v>
      </c>
      <c r="DP82" s="258" t="str">
        <f t="shared" si="275"/>
        <v>--</v>
      </c>
      <c r="DQ82" s="258"/>
      <c r="DR82" s="197">
        <f t="shared" si="211"/>
        <v>0</v>
      </c>
      <c r="DS82" s="1006">
        <f t="shared" si="212"/>
        <v>0</v>
      </c>
      <c r="DT82" s="1007" t="e">
        <f t="shared" si="213"/>
        <v>#VALUE!</v>
      </c>
      <c r="DU82" s="258" t="str">
        <f t="shared" si="276"/>
        <v>--</v>
      </c>
      <c r="DV82" s="258"/>
      <c r="DW82" s="197">
        <f t="shared" si="214"/>
        <v>0</v>
      </c>
      <c r="DX82" s="1006">
        <f t="shared" si="215"/>
        <v>0</v>
      </c>
      <c r="DY82" s="1007" t="e">
        <f t="shared" si="216"/>
        <v>#VALUE!</v>
      </c>
      <c r="DZ82" s="258" t="str">
        <f t="shared" si="277"/>
        <v>--</v>
      </c>
      <c r="EA82" s="258"/>
      <c r="EB82" s="197">
        <f t="shared" si="217"/>
        <v>0</v>
      </c>
      <c r="EC82" s="1006">
        <f t="shared" si="218"/>
        <v>0</v>
      </c>
      <c r="ED82" s="1007" t="e">
        <f t="shared" si="219"/>
        <v>#VALUE!</v>
      </c>
      <c r="EE82" s="258" t="str">
        <f t="shared" si="278"/>
        <v>--</v>
      </c>
      <c r="EF82" s="258"/>
      <c r="EG82" s="197">
        <f t="shared" si="220"/>
        <v>0</v>
      </c>
      <c r="EH82" s="1006">
        <f t="shared" si="221"/>
        <v>0</v>
      </c>
      <c r="EI82" s="1007" t="e">
        <f t="shared" si="222"/>
        <v>#VALUE!</v>
      </c>
      <c r="EJ82" s="258" t="str">
        <f t="shared" si="279"/>
        <v>--</v>
      </c>
      <c r="EK82" s="258"/>
      <c r="EL82" s="197">
        <f t="shared" si="223"/>
        <v>0</v>
      </c>
      <c r="EM82" s="1006">
        <f t="shared" si="224"/>
        <v>0</v>
      </c>
      <c r="EN82" s="1007" t="e">
        <f t="shared" si="225"/>
        <v>#VALUE!</v>
      </c>
      <c r="EO82" s="258" t="str">
        <f t="shared" si="280"/>
        <v>--</v>
      </c>
      <c r="EP82" s="258"/>
      <c r="EQ82" s="197">
        <f t="shared" si="226"/>
        <v>0</v>
      </c>
      <c r="ER82" s="1006">
        <f t="shared" si="227"/>
        <v>0</v>
      </c>
      <c r="ES82" s="1007" t="e">
        <f t="shared" si="228"/>
        <v>#VALUE!</v>
      </c>
      <c r="ET82" s="258" t="str">
        <f t="shared" si="281"/>
        <v>--</v>
      </c>
      <c r="EU82" s="258"/>
      <c r="EV82" s="197">
        <f t="shared" si="229"/>
        <v>0</v>
      </c>
      <c r="EW82" s="1006">
        <f t="shared" si="230"/>
        <v>0</v>
      </c>
      <c r="EX82" s="1007" t="e">
        <f t="shared" si="231"/>
        <v>#VALUE!</v>
      </c>
      <c r="EY82" s="258" t="str">
        <f t="shared" si="282"/>
        <v>--</v>
      </c>
      <c r="EZ82" s="258"/>
      <c r="FA82" s="197">
        <f t="shared" si="232"/>
        <v>0</v>
      </c>
      <c r="FB82" s="1006">
        <f t="shared" si="233"/>
        <v>0</v>
      </c>
      <c r="FC82" s="1007" t="e">
        <f t="shared" si="234"/>
        <v>#VALUE!</v>
      </c>
      <c r="FD82" s="258" t="str">
        <f t="shared" si="283"/>
        <v>--</v>
      </c>
      <c r="FE82" s="258"/>
      <c r="FF82" s="197">
        <f t="shared" si="235"/>
        <v>0</v>
      </c>
      <c r="FG82" s="1006">
        <f t="shared" si="236"/>
        <v>0</v>
      </c>
      <c r="FH82" s="1007" t="e">
        <f t="shared" si="237"/>
        <v>#VALUE!</v>
      </c>
      <c r="FI82" s="258" t="str">
        <f t="shared" si="284"/>
        <v>--</v>
      </c>
      <c r="FJ82" s="258"/>
      <c r="FK82" s="197">
        <f t="shared" si="238"/>
        <v>0</v>
      </c>
      <c r="FL82" s="1006">
        <f t="shared" si="239"/>
        <v>0</v>
      </c>
      <c r="FM82" s="1007" t="e">
        <f t="shared" si="240"/>
        <v>#VALUE!</v>
      </c>
      <c r="FN82" s="258" t="str">
        <f t="shared" si="285"/>
        <v>--</v>
      </c>
      <c r="FO82" s="258"/>
      <c r="FP82" s="197">
        <f t="shared" si="241"/>
        <v>0</v>
      </c>
      <c r="FQ82" s="1006">
        <f t="shared" si="242"/>
        <v>0</v>
      </c>
      <c r="FR82" s="1007" t="e">
        <f t="shared" si="243"/>
        <v>#VALUE!</v>
      </c>
      <c r="FS82" s="258" t="str">
        <f t="shared" si="286"/>
        <v>--</v>
      </c>
      <c r="FT82" s="258"/>
      <c r="FU82" s="197">
        <f t="shared" si="244"/>
        <v>0</v>
      </c>
      <c r="FV82" s="1006">
        <f t="shared" si="245"/>
        <v>0</v>
      </c>
      <c r="FW82" s="1007" t="e">
        <f t="shared" si="246"/>
        <v>#VALUE!</v>
      </c>
      <c r="FX82" s="258" t="str">
        <f t="shared" si="287"/>
        <v>--</v>
      </c>
      <c r="FY82" s="258"/>
      <c r="FZ82" s="197">
        <f t="shared" si="247"/>
        <v>0</v>
      </c>
      <c r="GA82" s="1006">
        <f t="shared" si="248"/>
        <v>0</v>
      </c>
      <c r="GB82" s="1007" t="e">
        <f t="shared" si="249"/>
        <v>#VALUE!</v>
      </c>
      <c r="GC82" s="258" t="str">
        <f t="shared" si="288"/>
        <v>--</v>
      </c>
      <c r="GD82" s="258"/>
      <c r="GE82" s="197">
        <f t="shared" si="250"/>
        <v>0</v>
      </c>
      <c r="GF82" s="1006">
        <f t="shared" si="251"/>
        <v>0</v>
      </c>
      <c r="GG82" s="1007" t="e">
        <f t="shared" si="252"/>
        <v>#VALUE!</v>
      </c>
      <c r="GH82" s="258" t="str">
        <f t="shared" si="289"/>
        <v>--</v>
      </c>
      <c r="GI82" s="258"/>
      <c r="GJ82" s="197">
        <f t="shared" si="253"/>
        <v>0</v>
      </c>
      <c r="GK82" s="1340"/>
      <c r="GL82" s="164"/>
      <c r="GM82" s="164"/>
      <c r="GN82" s="164"/>
    </row>
    <row r="83" spans="1:196" ht="12.75" x14ac:dyDescent="0.2">
      <c r="A83" s="243">
        <f>'Item list'!A83</f>
        <v>0</v>
      </c>
      <c r="B83" s="243">
        <f>'Item list'!B83</f>
        <v>0</v>
      </c>
      <c r="C83" s="243">
        <f>'Item list'!C83</f>
        <v>0</v>
      </c>
      <c r="D83" s="989">
        <f>'Item list'!D83</f>
        <v>0</v>
      </c>
      <c r="E83" s="243">
        <f>'Item list'!E83</f>
        <v>0</v>
      </c>
      <c r="F83" s="243">
        <f>'Item list'!F83</f>
        <v>0</v>
      </c>
      <c r="G83" s="243">
        <f>'Item list'!G83</f>
        <v>0</v>
      </c>
      <c r="H83" s="1005" t="e">
        <f t="shared" si="144"/>
        <v>#REF!</v>
      </c>
      <c r="I83" s="243"/>
      <c r="J83" s="243"/>
      <c r="K83" s="243"/>
      <c r="L83" s="197">
        <f t="shared" si="145"/>
        <v>0</v>
      </c>
      <c r="M83" s="1006">
        <f t="shared" si="146"/>
        <v>0</v>
      </c>
      <c r="N83" s="1007" t="e">
        <f t="shared" si="147"/>
        <v>#VALUE!</v>
      </c>
      <c r="O83" s="258" t="str">
        <f t="shared" si="254"/>
        <v>--</v>
      </c>
      <c r="P83" s="258"/>
      <c r="Q83" s="197">
        <f t="shared" si="148"/>
        <v>0</v>
      </c>
      <c r="R83" s="1006">
        <f t="shared" si="149"/>
        <v>0</v>
      </c>
      <c r="S83" s="1007" t="e">
        <f t="shared" si="150"/>
        <v>#VALUE!</v>
      </c>
      <c r="T83" s="258" t="str">
        <f t="shared" si="255"/>
        <v>--</v>
      </c>
      <c r="U83" s="258"/>
      <c r="V83" s="197">
        <f t="shared" si="151"/>
        <v>0</v>
      </c>
      <c r="W83" s="1006">
        <f t="shared" si="152"/>
        <v>0</v>
      </c>
      <c r="X83" s="1007" t="e">
        <f t="shared" si="153"/>
        <v>#VALUE!</v>
      </c>
      <c r="Y83" s="258" t="str">
        <f t="shared" si="256"/>
        <v>--</v>
      </c>
      <c r="Z83" s="258"/>
      <c r="AA83" s="197">
        <f t="shared" si="154"/>
        <v>0</v>
      </c>
      <c r="AB83" s="1006">
        <f t="shared" si="155"/>
        <v>0</v>
      </c>
      <c r="AC83" s="1007" t="e">
        <f t="shared" si="156"/>
        <v>#VALUE!</v>
      </c>
      <c r="AD83" s="258" t="str">
        <f t="shared" si="257"/>
        <v>--</v>
      </c>
      <c r="AE83" s="258"/>
      <c r="AF83" s="197">
        <f t="shared" si="157"/>
        <v>0</v>
      </c>
      <c r="AG83" s="1006">
        <f t="shared" si="158"/>
        <v>0</v>
      </c>
      <c r="AH83" s="1007" t="e">
        <f t="shared" si="159"/>
        <v>#VALUE!</v>
      </c>
      <c r="AI83" s="258" t="str">
        <f t="shared" si="258"/>
        <v>--</v>
      </c>
      <c r="AJ83" s="258"/>
      <c r="AK83" s="197">
        <f t="shared" si="160"/>
        <v>0</v>
      </c>
      <c r="AL83" s="1006">
        <f t="shared" si="161"/>
        <v>0</v>
      </c>
      <c r="AM83" s="1007" t="e">
        <f t="shared" si="162"/>
        <v>#VALUE!</v>
      </c>
      <c r="AN83" s="258" t="str">
        <f t="shared" si="259"/>
        <v>--</v>
      </c>
      <c r="AO83" s="258"/>
      <c r="AP83" s="197">
        <f t="shared" si="163"/>
        <v>0</v>
      </c>
      <c r="AQ83" s="1006">
        <f t="shared" si="164"/>
        <v>0</v>
      </c>
      <c r="AR83" s="1007" t="e">
        <f t="shared" si="165"/>
        <v>#VALUE!</v>
      </c>
      <c r="AS83" s="258" t="str">
        <f t="shared" si="260"/>
        <v>--</v>
      </c>
      <c r="AT83" s="258"/>
      <c r="AU83" s="197">
        <f t="shared" si="166"/>
        <v>0</v>
      </c>
      <c r="AV83" s="1006">
        <f t="shared" si="167"/>
        <v>0</v>
      </c>
      <c r="AW83" s="1007" t="e">
        <f t="shared" si="168"/>
        <v>#VALUE!</v>
      </c>
      <c r="AX83" s="258" t="str">
        <f t="shared" si="261"/>
        <v>--</v>
      </c>
      <c r="AY83" s="258"/>
      <c r="AZ83" s="197">
        <f t="shared" si="169"/>
        <v>0</v>
      </c>
      <c r="BA83" s="1006">
        <f t="shared" si="170"/>
        <v>0</v>
      </c>
      <c r="BB83" s="1007" t="e">
        <f t="shared" si="171"/>
        <v>#VALUE!</v>
      </c>
      <c r="BC83" s="258" t="str">
        <f t="shared" si="262"/>
        <v>--</v>
      </c>
      <c r="BD83" s="258"/>
      <c r="BE83" s="197">
        <f t="shared" si="172"/>
        <v>0</v>
      </c>
      <c r="BF83" s="1006">
        <f t="shared" si="173"/>
        <v>0</v>
      </c>
      <c r="BG83" s="1007" t="e">
        <f t="shared" si="174"/>
        <v>#VALUE!</v>
      </c>
      <c r="BH83" s="258" t="str">
        <f t="shared" si="263"/>
        <v>--</v>
      </c>
      <c r="BI83" s="258"/>
      <c r="BJ83" s="197">
        <f t="shared" si="175"/>
        <v>0</v>
      </c>
      <c r="BK83" s="1006">
        <f t="shared" si="176"/>
        <v>0</v>
      </c>
      <c r="BL83" s="1007" t="e">
        <f t="shared" si="177"/>
        <v>#VALUE!</v>
      </c>
      <c r="BM83" s="258" t="str">
        <f t="shared" si="264"/>
        <v>--</v>
      </c>
      <c r="BN83" s="258"/>
      <c r="BO83" s="197">
        <f t="shared" si="178"/>
        <v>0</v>
      </c>
      <c r="BP83" s="1006">
        <f t="shared" si="179"/>
        <v>0</v>
      </c>
      <c r="BQ83" s="1007" t="e">
        <f t="shared" si="180"/>
        <v>#VALUE!</v>
      </c>
      <c r="BR83" s="258" t="str">
        <f t="shared" si="265"/>
        <v>--</v>
      </c>
      <c r="BS83" s="258"/>
      <c r="BT83" s="197">
        <f t="shared" si="181"/>
        <v>0</v>
      </c>
      <c r="BU83" s="1006">
        <f t="shared" si="182"/>
        <v>0</v>
      </c>
      <c r="BV83" s="1007" t="e">
        <f t="shared" si="183"/>
        <v>#VALUE!</v>
      </c>
      <c r="BW83" s="258" t="str">
        <f t="shared" si="266"/>
        <v>--</v>
      </c>
      <c r="BX83" s="258"/>
      <c r="BY83" s="197">
        <f t="shared" si="184"/>
        <v>0</v>
      </c>
      <c r="BZ83" s="1006">
        <f t="shared" si="185"/>
        <v>0</v>
      </c>
      <c r="CA83" s="1007" t="e">
        <f t="shared" si="186"/>
        <v>#VALUE!</v>
      </c>
      <c r="CB83" s="258" t="str">
        <f t="shared" si="267"/>
        <v>--</v>
      </c>
      <c r="CC83" s="258"/>
      <c r="CD83" s="197">
        <f t="shared" si="187"/>
        <v>0</v>
      </c>
      <c r="CE83" s="1006">
        <f t="shared" si="188"/>
        <v>0</v>
      </c>
      <c r="CF83" s="1007" t="e">
        <f t="shared" si="189"/>
        <v>#VALUE!</v>
      </c>
      <c r="CG83" s="258" t="str">
        <f t="shared" si="268"/>
        <v>--</v>
      </c>
      <c r="CH83" s="258"/>
      <c r="CI83" s="197">
        <f t="shared" si="190"/>
        <v>0</v>
      </c>
      <c r="CJ83" s="1006">
        <f t="shared" si="191"/>
        <v>0</v>
      </c>
      <c r="CK83" s="1007" t="e">
        <f t="shared" si="192"/>
        <v>#VALUE!</v>
      </c>
      <c r="CL83" s="258" t="str">
        <f t="shared" si="269"/>
        <v>--</v>
      </c>
      <c r="CM83" s="258"/>
      <c r="CN83" s="197">
        <f t="shared" si="193"/>
        <v>0</v>
      </c>
      <c r="CO83" s="1006">
        <f t="shared" si="194"/>
        <v>0</v>
      </c>
      <c r="CP83" s="1007" t="e">
        <f t="shared" si="195"/>
        <v>#VALUE!</v>
      </c>
      <c r="CQ83" s="258" t="str">
        <f t="shared" si="270"/>
        <v>--</v>
      </c>
      <c r="CR83" s="258"/>
      <c r="CS83" s="197">
        <f t="shared" si="196"/>
        <v>0</v>
      </c>
      <c r="CT83" s="1006">
        <f t="shared" si="197"/>
        <v>0</v>
      </c>
      <c r="CU83" s="1007" t="e">
        <f t="shared" si="198"/>
        <v>#VALUE!</v>
      </c>
      <c r="CV83" s="258" t="str">
        <f t="shared" si="271"/>
        <v>--</v>
      </c>
      <c r="CW83" s="258"/>
      <c r="CX83" s="197">
        <f t="shared" si="199"/>
        <v>0</v>
      </c>
      <c r="CY83" s="1006">
        <f t="shared" si="200"/>
        <v>0</v>
      </c>
      <c r="CZ83" s="1007" t="e">
        <f t="shared" si="201"/>
        <v>#VALUE!</v>
      </c>
      <c r="DA83" s="258" t="str">
        <f t="shared" si="272"/>
        <v>--</v>
      </c>
      <c r="DB83" s="258"/>
      <c r="DC83" s="197">
        <f t="shared" si="202"/>
        <v>0</v>
      </c>
      <c r="DD83" s="1006">
        <f t="shared" si="203"/>
        <v>0</v>
      </c>
      <c r="DE83" s="1007" t="e">
        <f t="shared" si="204"/>
        <v>#VALUE!</v>
      </c>
      <c r="DF83" s="258" t="str">
        <f t="shared" si="273"/>
        <v>--</v>
      </c>
      <c r="DG83" s="258"/>
      <c r="DH83" s="197">
        <f t="shared" si="205"/>
        <v>0</v>
      </c>
      <c r="DI83" s="1006">
        <f t="shared" si="206"/>
        <v>0</v>
      </c>
      <c r="DJ83" s="1007" t="e">
        <f t="shared" si="207"/>
        <v>#VALUE!</v>
      </c>
      <c r="DK83" s="258" t="str">
        <f t="shared" si="274"/>
        <v>--</v>
      </c>
      <c r="DL83" s="258"/>
      <c r="DM83" s="197">
        <f t="shared" si="208"/>
        <v>0</v>
      </c>
      <c r="DN83" s="1006">
        <f t="shared" si="209"/>
        <v>0</v>
      </c>
      <c r="DO83" s="1007" t="e">
        <f t="shared" si="210"/>
        <v>#VALUE!</v>
      </c>
      <c r="DP83" s="258" t="str">
        <f t="shared" si="275"/>
        <v>--</v>
      </c>
      <c r="DQ83" s="258"/>
      <c r="DR83" s="197">
        <f t="shared" si="211"/>
        <v>0</v>
      </c>
      <c r="DS83" s="1006">
        <f t="shared" si="212"/>
        <v>0</v>
      </c>
      <c r="DT83" s="1007" t="e">
        <f t="shared" si="213"/>
        <v>#VALUE!</v>
      </c>
      <c r="DU83" s="258" t="str">
        <f t="shared" si="276"/>
        <v>--</v>
      </c>
      <c r="DV83" s="258"/>
      <c r="DW83" s="197">
        <f t="shared" si="214"/>
        <v>0</v>
      </c>
      <c r="DX83" s="1006">
        <f t="shared" si="215"/>
        <v>0</v>
      </c>
      <c r="DY83" s="1007" t="e">
        <f t="shared" si="216"/>
        <v>#VALUE!</v>
      </c>
      <c r="DZ83" s="258" t="str">
        <f t="shared" si="277"/>
        <v>--</v>
      </c>
      <c r="EA83" s="258"/>
      <c r="EB83" s="197">
        <f t="shared" si="217"/>
        <v>0</v>
      </c>
      <c r="EC83" s="1006">
        <f t="shared" si="218"/>
        <v>0</v>
      </c>
      <c r="ED83" s="1007" t="e">
        <f t="shared" si="219"/>
        <v>#VALUE!</v>
      </c>
      <c r="EE83" s="258" t="str">
        <f t="shared" si="278"/>
        <v>--</v>
      </c>
      <c r="EF83" s="258"/>
      <c r="EG83" s="197">
        <f t="shared" si="220"/>
        <v>0</v>
      </c>
      <c r="EH83" s="1006">
        <f t="shared" si="221"/>
        <v>0</v>
      </c>
      <c r="EI83" s="1007" t="e">
        <f t="shared" si="222"/>
        <v>#VALUE!</v>
      </c>
      <c r="EJ83" s="258" t="str">
        <f t="shared" si="279"/>
        <v>--</v>
      </c>
      <c r="EK83" s="258"/>
      <c r="EL83" s="197">
        <f t="shared" si="223"/>
        <v>0</v>
      </c>
      <c r="EM83" s="1006">
        <f t="shared" si="224"/>
        <v>0</v>
      </c>
      <c r="EN83" s="1007" t="e">
        <f t="shared" si="225"/>
        <v>#VALUE!</v>
      </c>
      <c r="EO83" s="258" t="str">
        <f t="shared" si="280"/>
        <v>--</v>
      </c>
      <c r="EP83" s="258"/>
      <c r="EQ83" s="197">
        <f t="shared" si="226"/>
        <v>0</v>
      </c>
      <c r="ER83" s="1006">
        <f t="shared" si="227"/>
        <v>0</v>
      </c>
      <c r="ES83" s="1007" t="e">
        <f t="shared" si="228"/>
        <v>#VALUE!</v>
      </c>
      <c r="ET83" s="258" t="str">
        <f t="shared" si="281"/>
        <v>--</v>
      </c>
      <c r="EU83" s="258"/>
      <c r="EV83" s="197">
        <f t="shared" si="229"/>
        <v>0</v>
      </c>
      <c r="EW83" s="1006">
        <f t="shared" si="230"/>
        <v>0</v>
      </c>
      <c r="EX83" s="1007" t="e">
        <f t="shared" si="231"/>
        <v>#VALUE!</v>
      </c>
      <c r="EY83" s="258" t="str">
        <f t="shared" si="282"/>
        <v>--</v>
      </c>
      <c r="EZ83" s="258"/>
      <c r="FA83" s="197">
        <f t="shared" si="232"/>
        <v>0</v>
      </c>
      <c r="FB83" s="1006">
        <f t="shared" si="233"/>
        <v>0</v>
      </c>
      <c r="FC83" s="1007" t="e">
        <f t="shared" si="234"/>
        <v>#VALUE!</v>
      </c>
      <c r="FD83" s="258" t="str">
        <f t="shared" si="283"/>
        <v>--</v>
      </c>
      <c r="FE83" s="258"/>
      <c r="FF83" s="197">
        <f t="shared" si="235"/>
        <v>0</v>
      </c>
      <c r="FG83" s="1006">
        <f t="shared" si="236"/>
        <v>0</v>
      </c>
      <c r="FH83" s="1007" t="e">
        <f t="shared" si="237"/>
        <v>#VALUE!</v>
      </c>
      <c r="FI83" s="258" t="str">
        <f t="shared" si="284"/>
        <v>--</v>
      </c>
      <c r="FJ83" s="258"/>
      <c r="FK83" s="197">
        <f t="shared" si="238"/>
        <v>0</v>
      </c>
      <c r="FL83" s="1006">
        <f t="shared" si="239"/>
        <v>0</v>
      </c>
      <c r="FM83" s="1007" t="e">
        <f t="shared" si="240"/>
        <v>#VALUE!</v>
      </c>
      <c r="FN83" s="258" t="str">
        <f t="shared" si="285"/>
        <v>--</v>
      </c>
      <c r="FO83" s="258"/>
      <c r="FP83" s="197">
        <f t="shared" si="241"/>
        <v>0</v>
      </c>
      <c r="FQ83" s="1006">
        <f t="shared" si="242"/>
        <v>0</v>
      </c>
      <c r="FR83" s="1007" t="e">
        <f t="shared" si="243"/>
        <v>#VALUE!</v>
      </c>
      <c r="FS83" s="258" t="str">
        <f t="shared" si="286"/>
        <v>--</v>
      </c>
      <c r="FT83" s="258"/>
      <c r="FU83" s="197">
        <f t="shared" si="244"/>
        <v>0</v>
      </c>
      <c r="FV83" s="1006">
        <f t="shared" si="245"/>
        <v>0</v>
      </c>
      <c r="FW83" s="1007" t="e">
        <f t="shared" si="246"/>
        <v>#VALUE!</v>
      </c>
      <c r="FX83" s="258" t="str">
        <f t="shared" si="287"/>
        <v>--</v>
      </c>
      <c r="FY83" s="258"/>
      <c r="FZ83" s="197">
        <f t="shared" si="247"/>
        <v>0</v>
      </c>
      <c r="GA83" s="1006">
        <f t="shared" si="248"/>
        <v>0</v>
      </c>
      <c r="GB83" s="1007" t="e">
        <f t="shared" si="249"/>
        <v>#VALUE!</v>
      </c>
      <c r="GC83" s="258" t="str">
        <f t="shared" si="288"/>
        <v>--</v>
      </c>
      <c r="GD83" s="258"/>
      <c r="GE83" s="197">
        <f t="shared" si="250"/>
        <v>0</v>
      </c>
      <c r="GF83" s="1006">
        <f t="shared" si="251"/>
        <v>0</v>
      </c>
      <c r="GG83" s="1007" t="e">
        <f t="shared" si="252"/>
        <v>#VALUE!</v>
      </c>
      <c r="GH83" s="258" t="str">
        <f t="shared" si="289"/>
        <v>--</v>
      </c>
      <c r="GI83" s="258"/>
      <c r="GJ83" s="197">
        <f t="shared" si="253"/>
        <v>0</v>
      </c>
      <c r="GK83" s="1340"/>
      <c r="GL83" s="164"/>
      <c r="GM83" s="164"/>
      <c r="GN83" s="164"/>
    </row>
    <row r="84" spans="1:196" ht="12.75" x14ac:dyDescent="0.2">
      <c r="A84" s="243">
        <f>'Item list'!A84</f>
        <v>0</v>
      </c>
      <c r="B84" s="243">
        <f>'Item list'!B84</f>
        <v>0</v>
      </c>
      <c r="C84" s="243">
        <f>'Item list'!C84</f>
        <v>0</v>
      </c>
      <c r="D84" s="989">
        <f>'Item list'!D84</f>
        <v>0</v>
      </c>
      <c r="E84" s="243">
        <f>'Item list'!E84</f>
        <v>0</v>
      </c>
      <c r="F84" s="243">
        <f>'Item list'!F84</f>
        <v>0</v>
      </c>
      <c r="G84" s="243">
        <f>'Item list'!G84</f>
        <v>0</v>
      </c>
      <c r="H84" s="1005" t="e">
        <f t="shared" si="144"/>
        <v>#REF!</v>
      </c>
      <c r="I84" s="243"/>
      <c r="J84" s="243"/>
      <c r="K84" s="243"/>
      <c r="L84" s="197">
        <f t="shared" si="145"/>
        <v>0</v>
      </c>
      <c r="M84" s="1006">
        <f t="shared" si="146"/>
        <v>0</v>
      </c>
      <c r="N84" s="1007" t="e">
        <f t="shared" si="147"/>
        <v>#VALUE!</v>
      </c>
      <c r="O84" s="258" t="str">
        <f t="shared" ref="O84:O96" si="290">IF(NOT(L84=0),
IFERROR(_xlfn.SWITCH(
    $G84,
    "SLN", SLN($D84,, $E84*365) * ($L84-Q84),
    "DDB", SUM(DDB($D84,, $E84*365, SEQUENCE(DATEDIF($F85,M$16,"D")+1), IF($E84&lt;=4,1.5,2))),
    ""
), ""),
"--")</f>
        <v>--</v>
      </c>
      <c r="P84" s="258"/>
      <c r="Q84" s="197">
        <f t="shared" si="148"/>
        <v>0</v>
      </c>
      <c r="R84" s="1006">
        <f t="shared" si="149"/>
        <v>0</v>
      </c>
      <c r="S84" s="1007" t="e">
        <f t="shared" si="150"/>
        <v>#VALUE!</v>
      </c>
      <c r="T84" s="258" t="str">
        <f t="shared" ref="T84:T96" si="291">IF(NOT(Q84=0),
IFERROR(_xlfn.SWITCH(
    $G84,
    "SLN", SLN($D84,, $E84*365) * ($L84-V84),
    "DDB", SUM(DDB($D84,, $E84*365, SEQUENCE(DATEDIF($F85,R$16,"D")+1), IF($E84&lt;=4,1.5,2))),
    ""
), ""),
"--")</f>
        <v>--</v>
      </c>
      <c r="U84" s="258"/>
      <c r="V84" s="197">
        <f t="shared" si="151"/>
        <v>0</v>
      </c>
      <c r="W84" s="1006">
        <f t="shared" si="152"/>
        <v>0</v>
      </c>
      <c r="X84" s="1007" t="e">
        <f t="shared" si="153"/>
        <v>#VALUE!</v>
      </c>
      <c r="Y84" s="258" t="str">
        <f t="shared" ref="Y84:Y96" si="292">IF(NOT(V84=0),
IFERROR(_xlfn.SWITCH(
    $G84,
    "SLN", SLN($D84,, $E84*365) * ($L84-AA84),
    "DDB", SUM(DDB($D84,, $E84*365, SEQUENCE(DATEDIF($F85,W$16,"D")+1), IF($E84&lt;=4,1.5,2))),
    ""
), ""),
"--")</f>
        <v>--</v>
      </c>
      <c r="Z84" s="258"/>
      <c r="AA84" s="197">
        <f t="shared" si="154"/>
        <v>0</v>
      </c>
      <c r="AB84" s="1006">
        <f t="shared" si="155"/>
        <v>0</v>
      </c>
      <c r="AC84" s="1007" t="e">
        <f t="shared" si="156"/>
        <v>#VALUE!</v>
      </c>
      <c r="AD84" s="258" t="str">
        <f t="shared" ref="AD84:AD96" si="293">IF(NOT(AA84=0),
IFERROR(_xlfn.SWITCH(
    $G84,
    "SLN", SLN($D84,, $E84*365) * ($L84-AF84),
    "DDB", SUM(DDB($D84,, $E84*365, SEQUENCE(DATEDIF($F85,AB$16,"D")+1), IF($E84&lt;=4,1.5,2))),
    ""
), ""),
"--")</f>
        <v>--</v>
      </c>
      <c r="AE84" s="258"/>
      <c r="AF84" s="197">
        <f t="shared" si="157"/>
        <v>0</v>
      </c>
      <c r="AG84" s="1006">
        <f t="shared" si="158"/>
        <v>0</v>
      </c>
      <c r="AH84" s="1007" t="e">
        <f t="shared" si="159"/>
        <v>#VALUE!</v>
      </c>
      <c r="AI84" s="258" t="str">
        <f t="shared" ref="AI84:AI96" si="294">IF(NOT(AF84=0),
IFERROR(_xlfn.SWITCH(
    $G84,
    "SLN", SLN($D84,, $E84*365) * ($L84-AK84),
    "DDB", SUM(DDB($D84,, $E84*365, SEQUENCE(DATEDIF($F85,AG$16,"D")+1), IF($E84&lt;=4,1.5,2))),
    ""
), ""),
"--")</f>
        <v>--</v>
      </c>
      <c r="AJ84" s="258"/>
      <c r="AK84" s="197">
        <f t="shared" si="160"/>
        <v>0</v>
      </c>
      <c r="AL84" s="1006">
        <f t="shared" si="161"/>
        <v>0</v>
      </c>
      <c r="AM84" s="1007" t="e">
        <f t="shared" si="162"/>
        <v>#VALUE!</v>
      </c>
      <c r="AN84" s="258" t="str">
        <f t="shared" ref="AN84:AN96" si="295">IF(NOT(AK84=0),
IFERROR(_xlfn.SWITCH(
    $G84,
    "SLN", SLN($D84,, $E84*365) * ($L84-AP84),
    "DDB", SUM(DDB($D84,, $E84*365, SEQUENCE(DATEDIF($F85,AL$16,"D")+1), IF($E84&lt;=4,1.5,2))),
    ""
), ""),
"--")</f>
        <v>--</v>
      </c>
      <c r="AO84" s="258"/>
      <c r="AP84" s="197">
        <f t="shared" si="163"/>
        <v>0</v>
      </c>
      <c r="AQ84" s="1006">
        <f t="shared" si="164"/>
        <v>0</v>
      </c>
      <c r="AR84" s="1007" t="e">
        <f t="shared" si="165"/>
        <v>#VALUE!</v>
      </c>
      <c r="AS84" s="258" t="str">
        <f t="shared" ref="AS84:AS96" si="296">IF(NOT(AP84=0),
IFERROR(_xlfn.SWITCH(
    $G84,
    "SLN", SLN($D84,, $E84*365) * ($L84-AU84),
    "DDB", SUM(DDB($D84,, $E84*365, SEQUENCE(DATEDIF($F85,AQ$16,"D")+1), IF($E84&lt;=4,1.5,2))),
    ""
), ""),
"--")</f>
        <v>--</v>
      </c>
      <c r="AT84" s="258"/>
      <c r="AU84" s="197">
        <f t="shared" si="166"/>
        <v>0</v>
      </c>
      <c r="AV84" s="1006">
        <f t="shared" si="167"/>
        <v>0</v>
      </c>
      <c r="AW84" s="1007" t="e">
        <f t="shared" si="168"/>
        <v>#VALUE!</v>
      </c>
      <c r="AX84" s="258" t="str">
        <f t="shared" ref="AX84:AX96" si="297">IF(NOT(AU84=0),
IFERROR(_xlfn.SWITCH(
    $G84,
    "SLN", SLN($D84,, $E84*365) * ($L84-AZ84),
    "DDB", SUM(DDB($D84,, $E84*365, SEQUENCE(DATEDIF($F85,AV$16,"D")+1), IF($E84&lt;=4,1.5,2))),
    ""
), ""),
"--")</f>
        <v>--</v>
      </c>
      <c r="AY84" s="258"/>
      <c r="AZ84" s="197">
        <f t="shared" si="169"/>
        <v>0</v>
      </c>
      <c r="BA84" s="1006">
        <f t="shared" si="170"/>
        <v>0</v>
      </c>
      <c r="BB84" s="1007" t="e">
        <f t="shared" si="171"/>
        <v>#VALUE!</v>
      </c>
      <c r="BC84" s="258" t="str">
        <f t="shared" ref="BC84:BC96" si="298">IF(NOT(AZ84=0),
IFERROR(_xlfn.SWITCH(
    $G84,
    "SLN", SLN($D84,, $E84*365) * ($L84-BE84),
    "DDB", SUM(DDB($D84,, $E84*365, SEQUENCE(DATEDIF($F85,BA$16,"D")+1), IF($E84&lt;=4,1.5,2))),
    ""
), ""),
"--")</f>
        <v>--</v>
      </c>
      <c r="BD84" s="258"/>
      <c r="BE84" s="197">
        <f t="shared" si="172"/>
        <v>0</v>
      </c>
      <c r="BF84" s="1006">
        <f t="shared" si="173"/>
        <v>0</v>
      </c>
      <c r="BG84" s="1007" t="e">
        <f t="shared" si="174"/>
        <v>#VALUE!</v>
      </c>
      <c r="BH84" s="258" t="str">
        <f t="shared" ref="BH84:BH96" si="299">IF(NOT(BE84=0),
IFERROR(_xlfn.SWITCH(
    $G84,
    "SLN", SLN($D84,, $E84*365) * ($L84-BJ84),
    "DDB", SUM(DDB($D84,, $E84*365, SEQUENCE(DATEDIF($F85,BF$16,"D")+1), IF($E84&lt;=4,1.5,2))),
    ""
), ""),
"--")</f>
        <v>--</v>
      </c>
      <c r="BI84" s="258"/>
      <c r="BJ84" s="197">
        <f t="shared" si="175"/>
        <v>0</v>
      </c>
      <c r="BK84" s="1006">
        <f t="shared" si="176"/>
        <v>0</v>
      </c>
      <c r="BL84" s="1007" t="e">
        <f t="shared" si="177"/>
        <v>#VALUE!</v>
      </c>
      <c r="BM84" s="258" t="str">
        <f t="shared" ref="BM84:BM96" si="300">IF(NOT(BJ84=0),
IFERROR(_xlfn.SWITCH(
    $G84,
    "SLN", SLN($D84,, $E84*365) * ($L84-BO84),
    "DDB", SUM(DDB($D84,, $E84*365, SEQUENCE(DATEDIF($F85,BK$16,"D")+1), IF($E84&lt;=4,1.5,2))),
    ""
), ""),
"--")</f>
        <v>--</v>
      </c>
      <c r="BN84" s="258"/>
      <c r="BO84" s="197">
        <f t="shared" si="178"/>
        <v>0</v>
      </c>
      <c r="BP84" s="1006">
        <f t="shared" si="179"/>
        <v>0</v>
      </c>
      <c r="BQ84" s="1007" t="e">
        <f t="shared" si="180"/>
        <v>#VALUE!</v>
      </c>
      <c r="BR84" s="258" t="str">
        <f t="shared" ref="BR84:BR96" si="301">IF(NOT(BO84=0),
IFERROR(_xlfn.SWITCH(
    $G84,
    "SLN", SLN($D84,, $E84*365) * ($L84-BT84),
    "DDB", SUM(DDB($D84,, $E84*365, SEQUENCE(DATEDIF($F85,BP$16,"D")+1), IF($E84&lt;=4,1.5,2))),
    ""
), ""),
"--")</f>
        <v>--</v>
      </c>
      <c r="BS84" s="258"/>
      <c r="BT84" s="197">
        <f t="shared" si="181"/>
        <v>0</v>
      </c>
      <c r="BU84" s="1006">
        <f t="shared" si="182"/>
        <v>0</v>
      </c>
      <c r="BV84" s="1007" t="e">
        <f t="shared" si="183"/>
        <v>#VALUE!</v>
      </c>
      <c r="BW84" s="258" t="str">
        <f t="shared" ref="BW84:BW96" si="302">IF(NOT(BT84=0),
IFERROR(_xlfn.SWITCH(
    $G84,
    "SLN", SLN($D84,, $E84*365) * ($L84-BY84),
    "DDB", SUM(DDB($D84,, $E84*365, SEQUENCE(DATEDIF($F85,BU$16,"D")+1), IF($E84&lt;=4,1.5,2))),
    ""
), ""),
"--")</f>
        <v>--</v>
      </c>
      <c r="BX84" s="258"/>
      <c r="BY84" s="197">
        <f t="shared" si="184"/>
        <v>0</v>
      </c>
      <c r="BZ84" s="1006">
        <f t="shared" si="185"/>
        <v>0</v>
      </c>
      <c r="CA84" s="1007" t="e">
        <f t="shared" si="186"/>
        <v>#VALUE!</v>
      </c>
      <c r="CB84" s="258" t="str">
        <f t="shared" ref="CB84:CB96" si="303">IF(NOT(BY84=0),
IFERROR(_xlfn.SWITCH(
    $G84,
    "SLN", SLN($D84,, $E84*365) * ($L84-CD84),
    "DDB", SUM(DDB($D84,, $E84*365, SEQUENCE(DATEDIF($F85,BZ$16,"D")+1), IF($E84&lt;=4,1.5,2))),
    ""
), ""),
"--")</f>
        <v>--</v>
      </c>
      <c r="CC84" s="258"/>
      <c r="CD84" s="197">
        <f t="shared" si="187"/>
        <v>0</v>
      </c>
      <c r="CE84" s="1006">
        <f t="shared" si="188"/>
        <v>0</v>
      </c>
      <c r="CF84" s="1007" t="e">
        <f t="shared" si="189"/>
        <v>#VALUE!</v>
      </c>
      <c r="CG84" s="258" t="str">
        <f t="shared" ref="CG84:CG96" si="304">IF(NOT(CD84=0),
IFERROR(_xlfn.SWITCH(
    $G84,
    "SLN", SLN($D84,, $E84*365) * ($L84-CI84),
    "DDB", SUM(DDB($D84,, $E84*365, SEQUENCE(DATEDIF($F85,CE$16,"D")+1), IF($E84&lt;=4,1.5,2))),
    ""
), ""),
"--")</f>
        <v>--</v>
      </c>
      <c r="CH84" s="258"/>
      <c r="CI84" s="197">
        <f t="shared" si="190"/>
        <v>0</v>
      </c>
      <c r="CJ84" s="1006">
        <f t="shared" si="191"/>
        <v>0</v>
      </c>
      <c r="CK84" s="1007" t="e">
        <f t="shared" si="192"/>
        <v>#VALUE!</v>
      </c>
      <c r="CL84" s="258" t="str">
        <f t="shared" ref="CL84:CL96" si="305">IF(NOT(CI84=0),
IFERROR(_xlfn.SWITCH(
    $G84,
    "SLN", SLN($D84,, $E84*365) * ($L84-CN84),
    "DDB", SUM(DDB($D84,, $E84*365, SEQUENCE(DATEDIF($F85,CJ$16,"D")+1), IF($E84&lt;=4,1.5,2))),
    ""
), ""),
"--")</f>
        <v>--</v>
      </c>
      <c r="CM84" s="258"/>
      <c r="CN84" s="197">
        <f t="shared" si="193"/>
        <v>0</v>
      </c>
      <c r="CO84" s="1006">
        <f t="shared" si="194"/>
        <v>0</v>
      </c>
      <c r="CP84" s="1007" t="e">
        <f t="shared" si="195"/>
        <v>#VALUE!</v>
      </c>
      <c r="CQ84" s="258" t="str">
        <f t="shared" ref="CQ84:CQ96" si="306">IF(NOT(CN84=0),
IFERROR(_xlfn.SWITCH(
    $G84,
    "SLN", SLN($D84,, $E84*365) * ($L84-CS84),
    "DDB", SUM(DDB($D84,, $E84*365, SEQUENCE(DATEDIF($F85,CO$16,"D")+1), IF($E84&lt;=4,1.5,2))),
    ""
), ""),
"--")</f>
        <v>--</v>
      </c>
      <c r="CR84" s="258"/>
      <c r="CS84" s="197">
        <f t="shared" si="196"/>
        <v>0</v>
      </c>
      <c r="CT84" s="1006">
        <f t="shared" si="197"/>
        <v>0</v>
      </c>
      <c r="CU84" s="1007" t="e">
        <f t="shared" si="198"/>
        <v>#VALUE!</v>
      </c>
      <c r="CV84" s="258" t="str">
        <f t="shared" ref="CV84:CV96" si="307">IF(NOT(CS84=0),
IFERROR(_xlfn.SWITCH(
    $G84,
    "SLN", SLN($D84,, $E84*365) * ($L84-CX84),
    "DDB", SUM(DDB($D84,, $E84*365, SEQUENCE(DATEDIF($F85,CT$16,"D")+1), IF($E84&lt;=4,1.5,2))),
    ""
), ""),
"--")</f>
        <v>--</v>
      </c>
      <c r="CW84" s="258"/>
      <c r="CX84" s="197">
        <f t="shared" si="199"/>
        <v>0</v>
      </c>
      <c r="CY84" s="1006">
        <f t="shared" si="200"/>
        <v>0</v>
      </c>
      <c r="CZ84" s="1007" t="e">
        <f t="shared" si="201"/>
        <v>#VALUE!</v>
      </c>
      <c r="DA84" s="258" t="str">
        <f t="shared" ref="DA84:DA96" si="308">IF(NOT(CX84=0),
IFERROR(_xlfn.SWITCH(
    $G84,
    "SLN", SLN($D84,, $E84*365) * ($L84-DC84),
    "DDB", SUM(DDB($D84,, $E84*365, SEQUENCE(DATEDIF($F85,CY$16,"D")+1), IF($E84&lt;=4,1.5,2))),
    ""
), ""),
"--")</f>
        <v>--</v>
      </c>
      <c r="DB84" s="258"/>
      <c r="DC84" s="197">
        <f t="shared" si="202"/>
        <v>0</v>
      </c>
      <c r="DD84" s="1006">
        <f t="shared" si="203"/>
        <v>0</v>
      </c>
      <c r="DE84" s="1007" t="e">
        <f t="shared" si="204"/>
        <v>#VALUE!</v>
      </c>
      <c r="DF84" s="258" t="str">
        <f t="shared" ref="DF84:DF96" si="309">IF(NOT(DC84=0),
IFERROR(_xlfn.SWITCH(
    $G84,
    "SLN", SLN($D84,, $E84*365) * ($L84-DH84),
    "DDB", SUM(DDB($D84,, $E84*365, SEQUENCE(DATEDIF($F85,DD$16,"D")+1), IF($E84&lt;=4,1.5,2))),
    ""
), ""),
"--")</f>
        <v>--</v>
      </c>
      <c r="DG84" s="258"/>
      <c r="DH84" s="197">
        <f t="shared" si="205"/>
        <v>0</v>
      </c>
      <c r="DI84" s="1006">
        <f t="shared" si="206"/>
        <v>0</v>
      </c>
      <c r="DJ84" s="1007" t="e">
        <f t="shared" si="207"/>
        <v>#VALUE!</v>
      </c>
      <c r="DK84" s="258" t="str">
        <f t="shared" ref="DK84:DK96" si="310">IF(NOT(DH84=0),
IFERROR(_xlfn.SWITCH(
    $G84,
    "SLN", SLN($D84,, $E84*365) * ($L84-DM84),
    "DDB", SUM(DDB($D84,, $E84*365, SEQUENCE(DATEDIF($F85,DI$16,"D")+1), IF($E84&lt;=4,1.5,2))),
    ""
), ""),
"--")</f>
        <v>--</v>
      </c>
      <c r="DL84" s="258"/>
      <c r="DM84" s="197">
        <f t="shared" si="208"/>
        <v>0</v>
      </c>
      <c r="DN84" s="1006">
        <f t="shared" si="209"/>
        <v>0</v>
      </c>
      <c r="DO84" s="1007" t="e">
        <f t="shared" si="210"/>
        <v>#VALUE!</v>
      </c>
      <c r="DP84" s="258" t="str">
        <f t="shared" ref="DP84:DP96" si="311">IF(NOT(DM84=0),
IFERROR(_xlfn.SWITCH(
    $G84,
    "SLN", SLN($D84,, $E84*365) * ($L84-DR84),
    "DDB", SUM(DDB($D84,, $E84*365, SEQUENCE(DATEDIF($F85,DN$16,"D")+1), IF($E84&lt;=4,1.5,2))),
    ""
), ""),
"--")</f>
        <v>--</v>
      </c>
      <c r="DQ84" s="258"/>
      <c r="DR84" s="197">
        <f t="shared" si="211"/>
        <v>0</v>
      </c>
      <c r="DS84" s="1006">
        <f t="shared" si="212"/>
        <v>0</v>
      </c>
      <c r="DT84" s="1007" t="e">
        <f t="shared" si="213"/>
        <v>#VALUE!</v>
      </c>
      <c r="DU84" s="258" t="str">
        <f t="shared" ref="DU84:DU96" si="312">IF(NOT(DR84=0),
IFERROR(_xlfn.SWITCH(
    $G84,
    "SLN", SLN($D84,, $E84*365) * ($L84-DW84),
    "DDB", SUM(DDB($D84,, $E84*365, SEQUENCE(DATEDIF($F85,DS$16,"D")+1), IF($E84&lt;=4,1.5,2))),
    ""
), ""),
"--")</f>
        <v>--</v>
      </c>
      <c r="DV84" s="258"/>
      <c r="DW84" s="197">
        <f t="shared" si="214"/>
        <v>0</v>
      </c>
      <c r="DX84" s="1006">
        <f t="shared" si="215"/>
        <v>0</v>
      </c>
      <c r="DY84" s="1007" t="e">
        <f t="shared" si="216"/>
        <v>#VALUE!</v>
      </c>
      <c r="DZ84" s="258" t="str">
        <f t="shared" ref="DZ84:DZ96" si="313">IF(NOT(DW84=0),
IFERROR(_xlfn.SWITCH(
    $G84,
    "SLN", SLN($D84,, $E84*365) * ($L84-EB84),
    "DDB", SUM(DDB($D84,, $E84*365, SEQUENCE(DATEDIF($F85,DX$16,"D")+1), IF($E84&lt;=4,1.5,2))),
    ""
), ""),
"--")</f>
        <v>--</v>
      </c>
      <c r="EA84" s="258"/>
      <c r="EB84" s="197">
        <f t="shared" si="217"/>
        <v>0</v>
      </c>
      <c r="EC84" s="1006">
        <f t="shared" si="218"/>
        <v>0</v>
      </c>
      <c r="ED84" s="1007" t="e">
        <f t="shared" si="219"/>
        <v>#VALUE!</v>
      </c>
      <c r="EE84" s="258" t="str">
        <f t="shared" ref="EE84:EE96" si="314">IF(NOT(EB84=0),
IFERROR(_xlfn.SWITCH(
    $G84,
    "SLN", SLN($D84,, $E84*365) * ($L84-EG84),
    "DDB", SUM(DDB($D84,, $E84*365, SEQUENCE(DATEDIF($F85,EC$16,"D")+1), IF($E84&lt;=4,1.5,2))),
    ""
), ""),
"--")</f>
        <v>--</v>
      </c>
      <c r="EF84" s="258"/>
      <c r="EG84" s="197">
        <f t="shared" si="220"/>
        <v>0</v>
      </c>
      <c r="EH84" s="1006">
        <f t="shared" si="221"/>
        <v>0</v>
      </c>
      <c r="EI84" s="1007" t="e">
        <f t="shared" si="222"/>
        <v>#VALUE!</v>
      </c>
      <c r="EJ84" s="258" t="str">
        <f t="shared" ref="EJ84:EJ96" si="315">IF(NOT(EG84=0),
IFERROR(_xlfn.SWITCH(
    $G84,
    "SLN", SLN($D84,, $E84*365) * ($L84-EL84),
    "DDB", SUM(DDB($D84,, $E84*365, SEQUENCE(DATEDIF($F85,EH$16,"D")+1), IF($E84&lt;=4,1.5,2))),
    ""
), ""),
"--")</f>
        <v>--</v>
      </c>
      <c r="EK84" s="258"/>
      <c r="EL84" s="197">
        <f t="shared" si="223"/>
        <v>0</v>
      </c>
      <c r="EM84" s="1006">
        <f t="shared" si="224"/>
        <v>0</v>
      </c>
      <c r="EN84" s="1007" t="e">
        <f t="shared" si="225"/>
        <v>#VALUE!</v>
      </c>
      <c r="EO84" s="258" t="str">
        <f t="shared" ref="EO84:EO96" si="316">IF(NOT(EL84=0),
IFERROR(_xlfn.SWITCH(
    $G84,
    "SLN", SLN($D84,, $E84*365) * ($L84-EQ84),
    "DDB", SUM(DDB($D84,, $E84*365, SEQUENCE(DATEDIF($F85,EM$16,"D")+1), IF($E84&lt;=4,1.5,2))),
    ""
), ""),
"--")</f>
        <v>--</v>
      </c>
      <c r="EP84" s="258"/>
      <c r="EQ84" s="197">
        <f t="shared" si="226"/>
        <v>0</v>
      </c>
      <c r="ER84" s="1006">
        <f t="shared" si="227"/>
        <v>0</v>
      </c>
      <c r="ES84" s="1007" t="e">
        <f t="shared" si="228"/>
        <v>#VALUE!</v>
      </c>
      <c r="ET84" s="258" t="str">
        <f t="shared" ref="ET84:ET96" si="317">IF(NOT(EQ84=0),
IFERROR(_xlfn.SWITCH(
    $G84,
    "SLN", SLN($D84,, $E84*365) * ($L84-EV84),
    "DDB", SUM(DDB($D84,, $E84*365, SEQUENCE(DATEDIF($F85,ER$16,"D")+1), IF($E84&lt;=4,1.5,2))),
    ""
), ""),
"--")</f>
        <v>--</v>
      </c>
      <c r="EU84" s="258"/>
      <c r="EV84" s="197">
        <f t="shared" si="229"/>
        <v>0</v>
      </c>
      <c r="EW84" s="1006">
        <f t="shared" si="230"/>
        <v>0</v>
      </c>
      <c r="EX84" s="1007" t="e">
        <f t="shared" si="231"/>
        <v>#VALUE!</v>
      </c>
      <c r="EY84" s="258" t="str">
        <f t="shared" ref="EY84:EY96" si="318">IF(NOT(EV84=0),
IFERROR(_xlfn.SWITCH(
    $G84,
    "SLN", SLN($D84,, $E84*365) * ($L84-FA84),
    "DDB", SUM(DDB($D84,, $E84*365, SEQUENCE(DATEDIF($F85,EW$16,"D")+1), IF($E84&lt;=4,1.5,2))),
    ""
), ""),
"--")</f>
        <v>--</v>
      </c>
      <c r="EZ84" s="258"/>
      <c r="FA84" s="197">
        <f t="shared" si="232"/>
        <v>0</v>
      </c>
      <c r="FB84" s="1006">
        <f t="shared" si="233"/>
        <v>0</v>
      </c>
      <c r="FC84" s="1007" t="e">
        <f t="shared" si="234"/>
        <v>#VALUE!</v>
      </c>
      <c r="FD84" s="258" t="str">
        <f t="shared" ref="FD84:FD96" si="319">IF(NOT(FA84=0),
IFERROR(_xlfn.SWITCH(
    $G84,
    "SLN", SLN($D84,, $E84*365) * ($L84-FF84),
    "DDB", SUM(DDB($D84,, $E84*365, SEQUENCE(DATEDIF($F85,FB$16,"D")+1), IF($E84&lt;=4,1.5,2))),
    ""
), ""),
"--")</f>
        <v>--</v>
      </c>
      <c r="FE84" s="258"/>
      <c r="FF84" s="197">
        <f t="shared" si="235"/>
        <v>0</v>
      </c>
      <c r="FG84" s="1006">
        <f t="shared" si="236"/>
        <v>0</v>
      </c>
      <c r="FH84" s="1007" t="e">
        <f t="shared" si="237"/>
        <v>#VALUE!</v>
      </c>
      <c r="FI84" s="258" t="str">
        <f t="shared" ref="FI84:FI96" si="320">IF(NOT(FF84=0),
IFERROR(_xlfn.SWITCH(
    $G84,
    "SLN", SLN($D84,, $E84*365) * ($L84-FK84),
    "DDB", SUM(DDB($D84,, $E84*365, SEQUENCE(DATEDIF($F85,FG$16,"D")+1), IF($E84&lt;=4,1.5,2))),
    ""
), ""),
"--")</f>
        <v>--</v>
      </c>
      <c r="FJ84" s="258"/>
      <c r="FK84" s="197">
        <f t="shared" si="238"/>
        <v>0</v>
      </c>
      <c r="FL84" s="1006">
        <f t="shared" si="239"/>
        <v>0</v>
      </c>
      <c r="FM84" s="1007" t="e">
        <f t="shared" si="240"/>
        <v>#VALUE!</v>
      </c>
      <c r="FN84" s="258" t="str">
        <f t="shared" ref="FN84:FN96" si="321">IF(NOT(FK84=0),
IFERROR(_xlfn.SWITCH(
    $G84,
    "SLN", SLN($D84,, $E84*365) * ($L84-FP84),
    "DDB", SUM(DDB($D84,, $E84*365, SEQUENCE(DATEDIF($F85,FL$16,"D")+1), IF($E84&lt;=4,1.5,2))),
    ""
), ""),
"--")</f>
        <v>--</v>
      </c>
      <c r="FO84" s="258"/>
      <c r="FP84" s="197">
        <f t="shared" si="241"/>
        <v>0</v>
      </c>
      <c r="FQ84" s="1006">
        <f t="shared" si="242"/>
        <v>0</v>
      </c>
      <c r="FR84" s="1007" t="e">
        <f t="shared" si="243"/>
        <v>#VALUE!</v>
      </c>
      <c r="FS84" s="258" t="str">
        <f t="shared" ref="FS84:FS96" si="322">IF(NOT(FP84=0),
IFERROR(_xlfn.SWITCH(
    $G84,
    "SLN", SLN($D84,, $E84*365) * ($L84-FU84),
    "DDB", SUM(DDB($D84,, $E84*365, SEQUENCE(DATEDIF($F85,FQ$16,"D")+1), IF($E84&lt;=4,1.5,2))),
    ""
), ""),
"--")</f>
        <v>--</v>
      </c>
      <c r="FT84" s="258"/>
      <c r="FU84" s="197">
        <f t="shared" si="244"/>
        <v>0</v>
      </c>
      <c r="FV84" s="1006">
        <f t="shared" si="245"/>
        <v>0</v>
      </c>
      <c r="FW84" s="1007" t="e">
        <f t="shared" si="246"/>
        <v>#VALUE!</v>
      </c>
      <c r="FX84" s="258" t="str">
        <f t="shared" ref="FX84:FX96" si="323">IF(NOT(FU84=0),
IFERROR(_xlfn.SWITCH(
    $G84,
    "SLN", SLN($D84,, $E84*365) * ($L84-FZ84),
    "DDB", SUM(DDB($D84,, $E84*365, SEQUENCE(DATEDIF($F85,FV$16,"D")+1), IF($E84&lt;=4,1.5,2))),
    ""
), ""),
"--")</f>
        <v>--</v>
      </c>
      <c r="FY84" s="258"/>
      <c r="FZ84" s="197">
        <f t="shared" si="247"/>
        <v>0</v>
      </c>
      <c r="GA84" s="1006">
        <f t="shared" si="248"/>
        <v>0</v>
      </c>
      <c r="GB84" s="1007" t="e">
        <f t="shared" si="249"/>
        <v>#VALUE!</v>
      </c>
      <c r="GC84" s="258" t="str">
        <f t="shared" ref="GC84:GC96" si="324">IF(NOT(FZ84=0),
IFERROR(_xlfn.SWITCH(
    $G84,
    "SLN", SLN($D84,, $E84*365) * ($L84-GE84),
    "DDB", SUM(DDB($D84,, $E84*365, SEQUENCE(DATEDIF($F85,GA$16,"D")+1), IF($E84&lt;=4,1.5,2))),
    ""
), ""),
"--")</f>
        <v>--</v>
      </c>
      <c r="GD84" s="258"/>
      <c r="GE84" s="197">
        <f t="shared" si="250"/>
        <v>0</v>
      </c>
      <c r="GF84" s="1006">
        <f t="shared" si="251"/>
        <v>0</v>
      </c>
      <c r="GG84" s="1007" t="e">
        <f t="shared" si="252"/>
        <v>#VALUE!</v>
      </c>
      <c r="GH84" s="258" t="str">
        <f t="shared" ref="GH84:GH96" si="325">IF(NOT(GE84=0),
IFERROR(_xlfn.SWITCH(
    $G84,
    "SLN", SLN($D84,, $E84*365) * ($L84-GJ84),
    "DDB", SUM(DDB($D84,, $E84*365, SEQUENCE(DATEDIF($F85,GF$16,"D")+1), IF($E84&lt;=4,1.5,2))),
    ""
), ""),
"--")</f>
        <v>--</v>
      </c>
      <c r="GI84" s="258"/>
      <c r="GJ84" s="197">
        <f t="shared" si="253"/>
        <v>0</v>
      </c>
      <c r="GK84" s="1340"/>
      <c r="GL84" s="164"/>
      <c r="GM84" s="164"/>
      <c r="GN84" s="164"/>
    </row>
    <row r="85" spans="1:196" ht="12.75" x14ac:dyDescent="0.2">
      <c r="A85" s="243">
        <f>'Item list'!A85</f>
        <v>0</v>
      </c>
      <c r="B85" s="243">
        <f>'Item list'!B85</f>
        <v>0</v>
      </c>
      <c r="C85" s="243">
        <f>'Item list'!C85</f>
        <v>0</v>
      </c>
      <c r="D85" s="989">
        <f>'Item list'!D85</f>
        <v>0</v>
      </c>
      <c r="E85" s="243">
        <f>'Item list'!E85</f>
        <v>0</v>
      </c>
      <c r="F85" s="243">
        <f>'Item list'!F85</f>
        <v>0</v>
      </c>
      <c r="G85" s="243">
        <f>'Item list'!G85</f>
        <v>0</v>
      </c>
      <c r="H85" s="1005" t="e">
        <f t="shared" si="144"/>
        <v>#REF!</v>
      </c>
      <c r="I85" s="243"/>
      <c r="J85" s="243"/>
      <c r="K85" s="243"/>
      <c r="L85" s="197">
        <f t="shared" si="145"/>
        <v>0</v>
      </c>
      <c r="M85" s="1006">
        <f t="shared" si="146"/>
        <v>0</v>
      </c>
      <c r="N85" s="1007" t="e">
        <f t="shared" si="147"/>
        <v>#VALUE!</v>
      </c>
      <c r="O85" s="258" t="str">
        <f t="shared" si="290"/>
        <v>--</v>
      </c>
      <c r="P85" s="258"/>
      <c r="Q85" s="197">
        <f t="shared" si="148"/>
        <v>0</v>
      </c>
      <c r="R85" s="1006">
        <f t="shared" si="149"/>
        <v>0</v>
      </c>
      <c r="S85" s="1007" t="e">
        <f t="shared" si="150"/>
        <v>#VALUE!</v>
      </c>
      <c r="T85" s="258" t="str">
        <f t="shared" si="291"/>
        <v>--</v>
      </c>
      <c r="U85" s="258"/>
      <c r="V85" s="197">
        <f t="shared" si="151"/>
        <v>0</v>
      </c>
      <c r="W85" s="1006">
        <f t="shared" si="152"/>
        <v>0</v>
      </c>
      <c r="X85" s="1007" t="e">
        <f t="shared" si="153"/>
        <v>#VALUE!</v>
      </c>
      <c r="Y85" s="258" t="str">
        <f t="shared" si="292"/>
        <v>--</v>
      </c>
      <c r="Z85" s="258"/>
      <c r="AA85" s="197">
        <f t="shared" si="154"/>
        <v>0</v>
      </c>
      <c r="AB85" s="1006">
        <f t="shared" si="155"/>
        <v>0</v>
      </c>
      <c r="AC85" s="1007" t="e">
        <f t="shared" si="156"/>
        <v>#VALUE!</v>
      </c>
      <c r="AD85" s="258" t="str">
        <f t="shared" si="293"/>
        <v>--</v>
      </c>
      <c r="AE85" s="258"/>
      <c r="AF85" s="197">
        <f t="shared" si="157"/>
        <v>0</v>
      </c>
      <c r="AG85" s="1006">
        <f t="shared" si="158"/>
        <v>0</v>
      </c>
      <c r="AH85" s="1007" t="e">
        <f t="shared" si="159"/>
        <v>#VALUE!</v>
      </c>
      <c r="AI85" s="258" t="str">
        <f t="shared" si="294"/>
        <v>--</v>
      </c>
      <c r="AJ85" s="258"/>
      <c r="AK85" s="197">
        <f t="shared" si="160"/>
        <v>0</v>
      </c>
      <c r="AL85" s="1006">
        <f t="shared" si="161"/>
        <v>0</v>
      </c>
      <c r="AM85" s="1007" t="e">
        <f t="shared" si="162"/>
        <v>#VALUE!</v>
      </c>
      <c r="AN85" s="258" t="str">
        <f t="shared" si="295"/>
        <v>--</v>
      </c>
      <c r="AO85" s="258"/>
      <c r="AP85" s="197">
        <f t="shared" si="163"/>
        <v>0</v>
      </c>
      <c r="AQ85" s="1006">
        <f t="shared" si="164"/>
        <v>0</v>
      </c>
      <c r="AR85" s="1007" t="e">
        <f t="shared" si="165"/>
        <v>#VALUE!</v>
      </c>
      <c r="AS85" s="258" t="str">
        <f t="shared" si="296"/>
        <v>--</v>
      </c>
      <c r="AT85" s="258"/>
      <c r="AU85" s="197">
        <f t="shared" si="166"/>
        <v>0</v>
      </c>
      <c r="AV85" s="1006">
        <f t="shared" si="167"/>
        <v>0</v>
      </c>
      <c r="AW85" s="1007" t="e">
        <f t="shared" si="168"/>
        <v>#VALUE!</v>
      </c>
      <c r="AX85" s="258" t="str">
        <f t="shared" si="297"/>
        <v>--</v>
      </c>
      <c r="AY85" s="258"/>
      <c r="AZ85" s="197">
        <f t="shared" si="169"/>
        <v>0</v>
      </c>
      <c r="BA85" s="1006">
        <f t="shared" si="170"/>
        <v>0</v>
      </c>
      <c r="BB85" s="1007" t="e">
        <f t="shared" si="171"/>
        <v>#VALUE!</v>
      </c>
      <c r="BC85" s="258" t="str">
        <f t="shared" si="298"/>
        <v>--</v>
      </c>
      <c r="BD85" s="258"/>
      <c r="BE85" s="197">
        <f t="shared" si="172"/>
        <v>0</v>
      </c>
      <c r="BF85" s="1006">
        <f t="shared" si="173"/>
        <v>0</v>
      </c>
      <c r="BG85" s="1007" t="e">
        <f t="shared" si="174"/>
        <v>#VALUE!</v>
      </c>
      <c r="BH85" s="258" t="str">
        <f t="shared" si="299"/>
        <v>--</v>
      </c>
      <c r="BI85" s="258"/>
      <c r="BJ85" s="197">
        <f t="shared" si="175"/>
        <v>0</v>
      </c>
      <c r="BK85" s="1006">
        <f t="shared" si="176"/>
        <v>0</v>
      </c>
      <c r="BL85" s="1007" t="e">
        <f t="shared" si="177"/>
        <v>#VALUE!</v>
      </c>
      <c r="BM85" s="258" t="str">
        <f t="shared" si="300"/>
        <v>--</v>
      </c>
      <c r="BN85" s="258"/>
      <c r="BO85" s="197">
        <f t="shared" si="178"/>
        <v>0</v>
      </c>
      <c r="BP85" s="1006">
        <f t="shared" si="179"/>
        <v>0</v>
      </c>
      <c r="BQ85" s="1007" t="e">
        <f t="shared" si="180"/>
        <v>#VALUE!</v>
      </c>
      <c r="BR85" s="258" t="str">
        <f t="shared" si="301"/>
        <v>--</v>
      </c>
      <c r="BS85" s="258"/>
      <c r="BT85" s="197">
        <f t="shared" si="181"/>
        <v>0</v>
      </c>
      <c r="BU85" s="1006">
        <f t="shared" si="182"/>
        <v>0</v>
      </c>
      <c r="BV85" s="1007" t="e">
        <f t="shared" si="183"/>
        <v>#VALUE!</v>
      </c>
      <c r="BW85" s="258" t="str">
        <f t="shared" si="302"/>
        <v>--</v>
      </c>
      <c r="BX85" s="258"/>
      <c r="BY85" s="197">
        <f t="shared" si="184"/>
        <v>0</v>
      </c>
      <c r="BZ85" s="1006">
        <f t="shared" si="185"/>
        <v>0</v>
      </c>
      <c r="CA85" s="1007" t="e">
        <f t="shared" si="186"/>
        <v>#VALUE!</v>
      </c>
      <c r="CB85" s="258" t="str">
        <f t="shared" si="303"/>
        <v>--</v>
      </c>
      <c r="CC85" s="258"/>
      <c r="CD85" s="197">
        <f t="shared" si="187"/>
        <v>0</v>
      </c>
      <c r="CE85" s="1006">
        <f t="shared" si="188"/>
        <v>0</v>
      </c>
      <c r="CF85" s="1007" t="e">
        <f t="shared" si="189"/>
        <v>#VALUE!</v>
      </c>
      <c r="CG85" s="258" t="str">
        <f t="shared" si="304"/>
        <v>--</v>
      </c>
      <c r="CH85" s="258"/>
      <c r="CI85" s="197">
        <f t="shared" si="190"/>
        <v>0</v>
      </c>
      <c r="CJ85" s="1006">
        <f t="shared" si="191"/>
        <v>0</v>
      </c>
      <c r="CK85" s="1007" t="e">
        <f t="shared" si="192"/>
        <v>#VALUE!</v>
      </c>
      <c r="CL85" s="258" t="str">
        <f t="shared" si="305"/>
        <v>--</v>
      </c>
      <c r="CM85" s="258"/>
      <c r="CN85" s="197">
        <f t="shared" si="193"/>
        <v>0</v>
      </c>
      <c r="CO85" s="1006">
        <f t="shared" si="194"/>
        <v>0</v>
      </c>
      <c r="CP85" s="1007" t="e">
        <f t="shared" si="195"/>
        <v>#VALUE!</v>
      </c>
      <c r="CQ85" s="258" t="str">
        <f t="shared" si="306"/>
        <v>--</v>
      </c>
      <c r="CR85" s="258"/>
      <c r="CS85" s="197">
        <f t="shared" si="196"/>
        <v>0</v>
      </c>
      <c r="CT85" s="1006">
        <f t="shared" si="197"/>
        <v>0</v>
      </c>
      <c r="CU85" s="1007" t="e">
        <f t="shared" si="198"/>
        <v>#VALUE!</v>
      </c>
      <c r="CV85" s="258" t="str">
        <f t="shared" si="307"/>
        <v>--</v>
      </c>
      <c r="CW85" s="258"/>
      <c r="CX85" s="197">
        <f t="shared" si="199"/>
        <v>0</v>
      </c>
      <c r="CY85" s="1006">
        <f t="shared" si="200"/>
        <v>0</v>
      </c>
      <c r="CZ85" s="1007" t="e">
        <f t="shared" si="201"/>
        <v>#VALUE!</v>
      </c>
      <c r="DA85" s="258" t="str">
        <f t="shared" si="308"/>
        <v>--</v>
      </c>
      <c r="DB85" s="258"/>
      <c r="DC85" s="197">
        <f t="shared" si="202"/>
        <v>0</v>
      </c>
      <c r="DD85" s="1006">
        <f t="shared" si="203"/>
        <v>0</v>
      </c>
      <c r="DE85" s="1007" t="e">
        <f t="shared" si="204"/>
        <v>#VALUE!</v>
      </c>
      <c r="DF85" s="258" t="str">
        <f t="shared" si="309"/>
        <v>--</v>
      </c>
      <c r="DG85" s="258"/>
      <c r="DH85" s="197">
        <f t="shared" si="205"/>
        <v>0</v>
      </c>
      <c r="DI85" s="1006">
        <f t="shared" si="206"/>
        <v>0</v>
      </c>
      <c r="DJ85" s="1007" t="e">
        <f t="shared" si="207"/>
        <v>#VALUE!</v>
      </c>
      <c r="DK85" s="258" t="str">
        <f t="shared" si="310"/>
        <v>--</v>
      </c>
      <c r="DL85" s="258"/>
      <c r="DM85" s="197">
        <f t="shared" si="208"/>
        <v>0</v>
      </c>
      <c r="DN85" s="1006">
        <f t="shared" si="209"/>
        <v>0</v>
      </c>
      <c r="DO85" s="1007" t="e">
        <f t="shared" si="210"/>
        <v>#VALUE!</v>
      </c>
      <c r="DP85" s="258" t="str">
        <f t="shared" si="311"/>
        <v>--</v>
      </c>
      <c r="DQ85" s="258"/>
      <c r="DR85" s="197">
        <f t="shared" si="211"/>
        <v>0</v>
      </c>
      <c r="DS85" s="1006">
        <f t="shared" si="212"/>
        <v>0</v>
      </c>
      <c r="DT85" s="1007" t="e">
        <f t="shared" si="213"/>
        <v>#VALUE!</v>
      </c>
      <c r="DU85" s="258" t="str">
        <f t="shared" si="312"/>
        <v>--</v>
      </c>
      <c r="DV85" s="258"/>
      <c r="DW85" s="197">
        <f t="shared" si="214"/>
        <v>0</v>
      </c>
      <c r="DX85" s="1006">
        <f t="shared" si="215"/>
        <v>0</v>
      </c>
      <c r="DY85" s="1007" t="e">
        <f t="shared" si="216"/>
        <v>#VALUE!</v>
      </c>
      <c r="DZ85" s="258" t="str">
        <f t="shared" si="313"/>
        <v>--</v>
      </c>
      <c r="EA85" s="258"/>
      <c r="EB85" s="197">
        <f t="shared" si="217"/>
        <v>0</v>
      </c>
      <c r="EC85" s="1006">
        <f t="shared" si="218"/>
        <v>0</v>
      </c>
      <c r="ED85" s="1007" t="e">
        <f t="shared" si="219"/>
        <v>#VALUE!</v>
      </c>
      <c r="EE85" s="258" t="str">
        <f t="shared" si="314"/>
        <v>--</v>
      </c>
      <c r="EF85" s="258"/>
      <c r="EG85" s="197">
        <f t="shared" si="220"/>
        <v>0</v>
      </c>
      <c r="EH85" s="1006">
        <f t="shared" si="221"/>
        <v>0</v>
      </c>
      <c r="EI85" s="1007" t="e">
        <f t="shared" si="222"/>
        <v>#VALUE!</v>
      </c>
      <c r="EJ85" s="258" t="str">
        <f t="shared" si="315"/>
        <v>--</v>
      </c>
      <c r="EK85" s="258"/>
      <c r="EL85" s="197">
        <f t="shared" si="223"/>
        <v>0</v>
      </c>
      <c r="EM85" s="1006">
        <f t="shared" si="224"/>
        <v>0</v>
      </c>
      <c r="EN85" s="1007" t="e">
        <f t="shared" si="225"/>
        <v>#VALUE!</v>
      </c>
      <c r="EO85" s="258" t="str">
        <f t="shared" si="316"/>
        <v>--</v>
      </c>
      <c r="EP85" s="258"/>
      <c r="EQ85" s="197">
        <f t="shared" si="226"/>
        <v>0</v>
      </c>
      <c r="ER85" s="1006">
        <f t="shared" si="227"/>
        <v>0</v>
      </c>
      <c r="ES85" s="1007" t="e">
        <f t="shared" si="228"/>
        <v>#VALUE!</v>
      </c>
      <c r="ET85" s="258" t="str">
        <f t="shared" si="317"/>
        <v>--</v>
      </c>
      <c r="EU85" s="258"/>
      <c r="EV85" s="197">
        <f t="shared" si="229"/>
        <v>0</v>
      </c>
      <c r="EW85" s="1006">
        <f t="shared" si="230"/>
        <v>0</v>
      </c>
      <c r="EX85" s="1007" t="e">
        <f t="shared" si="231"/>
        <v>#VALUE!</v>
      </c>
      <c r="EY85" s="258" t="str">
        <f t="shared" si="318"/>
        <v>--</v>
      </c>
      <c r="EZ85" s="258"/>
      <c r="FA85" s="197">
        <f t="shared" si="232"/>
        <v>0</v>
      </c>
      <c r="FB85" s="1006">
        <f t="shared" si="233"/>
        <v>0</v>
      </c>
      <c r="FC85" s="1007" t="e">
        <f t="shared" si="234"/>
        <v>#VALUE!</v>
      </c>
      <c r="FD85" s="258" t="str">
        <f t="shared" si="319"/>
        <v>--</v>
      </c>
      <c r="FE85" s="258"/>
      <c r="FF85" s="197">
        <f t="shared" si="235"/>
        <v>0</v>
      </c>
      <c r="FG85" s="1006">
        <f t="shared" si="236"/>
        <v>0</v>
      </c>
      <c r="FH85" s="1007" t="e">
        <f t="shared" si="237"/>
        <v>#VALUE!</v>
      </c>
      <c r="FI85" s="258" t="str">
        <f t="shared" si="320"/>
        <v>--</v>
      </c>
      <c r="FJ85" s="258"/>
      <c r="FK85" s="197">
        <f t="shared" si="238"/>
        <v>0</v>
      </c>
      <c r="FL85" s="1006">
        <f t="shared" si="239"/>
        <v>0</v>
      </c>
      <c r="FM85" s="1007" t="e">
        <f t="shared" si="240"/>
        <v>#VALUE!</v>
      </c>
      <c r="FN85" s="258" t="str">
        <f t="shared" si="321"/>
        <v>--</v>
      </c>
      <c r="FO85" s="258"/>
      <c r="FP85" s="197">
        <f t="shared" si="241"/>
        <v>0</v>
      </c>
      <c r="FQ85" s="1006">
        <f t="shared" si="242"/>
        <v>0</v>
      </c>
      <c r="FR85" s="1007" t="e">
        <f t="shared" si="243"/>
        <v>#VALUE!</v>
      </c>
      <c r="FS85" s="258" t="str">
        <f t="shared" si="322"/>
        <v>--</v>
      </c>
      <c r="FT85" s="258"/>
      <c r="FU85" s="197">
        <f t="shared" si="244"/>
        <v>0</v>
      </c>
      <c r="FV85" s="1006">
        <f t="shared" si="245"/>
        <v>0</v>
      </c>
      <c r="FW85" s="1007" t="e">
        <f t="shared" si="246"/>
        <v>#VALUE!</v>
      </c>
      <c r="FX85" s="258" t="str">
        <f t="shared" si="323"/>
        <v>--</v>
      </c>
      <c r="FY85" s="258"/>
      <c r="FZ85" s="197">
        <f t="shared" si="247"/>
        <v>0</v>
      </c>
      <c r="GA85" s="1006">
        <f t="shared" si="248"/>
        <v>0</v>
      </c>
      <c r="GB85" s="1007" t="e">
        <f t="shared" si="249"/>
        <v>#VALUE!</v>
      </c>
      <c r="GC85" s="258" t="str">
        <f t="shared" si="324"/>
        <v>--</v>
      </c>
      <c r="GD85" s="258"/>
      <c r="GE85" s="197">
        <f t="shared" si="250"/>
        <v>0</v>
      </c>
      <c r="GF85" s="1006">
        <f t="shared" si="251"/>
        <v>0</v>
      </c>
      <c r="GG85" s="1007" t="e">
        <f t="shared" si="252"/>
        <v>#VALUE!</v>
      </c>
      <c r="GH85" s="258" t="str">
        <f t="shared" si="325"/>
        <v>--</v>
      </c>
      <c r="GI85" s="258"/>
      <c r="GJ85" s="197">
        <f t="shared" si="253"/>
        <v>0</v>
      </c>
      <c r="GK85" s="1340"/>
      <c r="GL85" s="164"/>
      <c r="GM85" s="164"/>
      <c r="GN85" s="164"/>
    </row>
    <row r="86" spans="1:196" ht="12.75" x14ac:dyDescent="0.2">
      <c r="A86" s="243">
        <f>'Item list'!A86</f>
        <v>0</v>
      </c>
      <c r="B86" s="243">
        <f>'Item list'!B86</f>
        <v>0</v>
      </c>
      <c r="C86" s="243">
        <f>'Item list'!C86</f>
        <v>0</v>
      </c>
      <c r="D86" s="989">
        <f>'Item list'!D86</f>
        <v>0</v>
      </c>
      <c r="E86" s="243">
        <f>'Item list'!E86</f>
        <v>0</v>
      </c>
      <c r="F86" s="243">
        <f>'Item list'!F86</f>
        <v>0</v>
      </c>
      <c r="G86" s="243">
        <f>'Item list'!G86</f>
        <v>0</v>
      </c>
      <c r="H86" s="1005" t="e">
        <f t="shared" si="144"/>
        <v>#REF!</v>
      </c>
      <c r="I86" s="243"/>
      <c r="J86" s="243"/>
      <c r="K86" s="243"/>
      <c r="L86" s="197">
        <f t="shared" si="145"/>
        <v>0</v>
      </c>
      <c r="M86" s="1006">
        <f t="shared" si="146"/>
        <v>0</v>
      </c>
      <c r="N86" s="1007" t="e">
        <f t="shared" si="147"/>
        <v>#VALUE!</v>
      </c>
      <c r="O86" s="258" t="str">
        <f t="shared" si="290"/>
        <v>--</v>
      </c>
      <c r="P86" s="258"/>
      <c r="Q86" s="197">
        <f t="shared" si="148"/>
        <v>0</v>
      </c>
      <c r="R86" s="1006">
        <f t="shared" si="149"/>
        <v>0</v>
      </c>
      <c r="S86" s="1007" t="e">
        <f t="shared" si="150"/>
        <v>#VALUE!</v>
      </c>
      <c r="T86" s="258" t="str">
        <f t="shared" si="291"/>
        <v>--</v>
      </c>
      <c r="U86" s="258"/>
      <c r="V86" s="197">
        <f t="shared" si="151"/>
        <v>0</v>
      </c>
      <c r="W86" s="1006">
        <f t="shared" si="152"/>
        <v>0</v>
      </c>
      <c r="X86" s="1007" t="e">
        <f t="shared" si="153"/>
        <v>#VALUE!</v>
      </c>
      <c r="Y86" s="258" t="str">
        <f t="shared" si="292"/>
        <v>--</v>
      </c>
      <c r="Z86" s="258"/>
      <c r="AA86" s="197">
        <f t="shared" si="154"/>
        <v>0</v>
      </c>
      <c r="AB86" s="1006">
        <f t="shared" si="155"/>
        <v>0</v>
      </c>
      <c r="AC86" s="1007" t="e">
        <f t="shared" si="156"/>
        <v>#VALUE!</v>
      </c>
      <c r="AD86" s="258" t="str">
        <f t="shared" si="293"/>
        <v>--</v>
      </c>
      <c r="AE86" s="258"/>
      <c r="AF86" s="197">
        <f t="shared" si="157"/>
        <v>0</v>
      </c>
      <c r="AG86" s="1006">
        <f t="shared" si="158"/>
        <v>0</v>
      </c>
      <c r="AH86" s="1007" t="e">
        <f t="shared" si="159"/>
        <v>#VALUE!</v>
      </c>
      <c r="AI86" s="258" t="str">
        <f t="shared" si="294"/>
        <v>--</v>
      </c>
      <c r="AJ86" s="258"/>
      <c r="AK86" s="197">
        <f t="shared" si="160"/>
        <v>0</v>
      </c>
      <c r="AL86" s="1006">
        <f t="shared" si="161"/>
        <v>0</v>
      </c>
      <c r="AM86" s="1007" t="e">
        <f t="shared" si="162"/>
        <v>#VALUE!</v>
      </c>
      <c r="AN86" s="258" t="str">
        <f t="shared" si="295"/>
        <v>--</v>
      </c>
      <c r="AO86" s="258"/>
      <c r="AP86" s="197">
        <f t="shared" si="163"/>
        <v>0</v>
      </c>
      <c r="AQ86" s="1006">
        <f t="shared" si="164"/>
        <v>0</v>
      </c>
      <c r="AR86" s="1007" t="e">
        <f t="shared" si="165"/>
        <v>#VALUE!</v>
      </c>
      <c r="AS86" s="258" t="str">
        <f t="shared" si="296"/>
        <v>--</v>
      </c>
      <c r="AT86" s="258"/>
      <c r="AU86" s="197">
        <f t="shared" si="166"/>
        <v>0</v>
      </c>
      <c r="AV86" s="1006">
        <f t="shared" si="167"/>
        <v>0</v>
      </c>
      <c r="AW86" s="1007" t="e">
        <f t="shared" si="168"/>
        <v>#VALUE!</v>
      </c>
      <c r="AX86" s="258" t="str">
        <f t="shared" si="297"/>
        <v>--</v>
      </c>
      <c r="AY86" s="258"/>
      <c r="AZ86" s="197">
        <f t="shared" si="169"/>
        <v>0</v>
      </c>
      <c r="BA86" s="1006">
        <f t="shared" si="170"/>
        <v>0</v>
      </c>
      <c r="BB86" s="1007" t="e">
        <f t="shared" si="171"/>
        <v>#VALUE!</v>
      </c>
      <c r="BC86" s="258" t="str">
        <f t="shared" si="298"/>
        <v>--</v>
      </c>
      <c r="BD86" s="258"/>
      <c r="BE86" s="197">
        <f t="shared" si="172"/>
        <v>0</v>
      </c>
      <c r="BF86" s="1006">
        <f t="shared" si="173"/>
        <v>0</v>
      </c>
      <c r="BG86" s="1007" t="e">
        <f t="shared" si="174"/>
        <v>#VALUE!</v>
      </c>
      <c r="BH86" s="258" t="str">
        <f t="shared" si="299"/>
        <v>--</v>
      </c>
      <c r="BI86" s="258"/>
      <c r="BJ86" s="197">
        <f t="shared" si="175"/>
        <v>0</v>
      </c>
      <c r="BK86" s="1006">
        <f t="shared" si="176"/>
        <v>0</v>
      </c>
      <c r="BL86" s="1007" t="e">
        <f t="shared" si="177"/>
        <v>#VALUE!</v>
      </c>
      <c r="BM86" s="258" t="str">
        <f t="shared" si="300"/>
        <v>--</v>
      </c>
      <c r="BN86" s="258"/>
      <c r="BO86" s="197">
        <f t="shared" si="178"/>
        <v>0</v>
      </c>
      <c r="BP86" s="1006">
        <f t="shared" si="179"/>
        <v>0</v>
      </c>
      <c r="BQ86" s="1007" t="e">
        <f t="shared" si="180"/>
        <v>#VALUE!</v>
      </c>
      <c r="BR86" s="258" t="str">
        <f t="shared" si="301"/>
        <v>--</v>
      </c>
      <c r="BS86" s="258"/>
      <c r="BT86" s="197">
        <f t="shared" si="181"/>
        <v>0</v>
      </c>
      <c r="BU86" s="1006">
        <f t="shared" si="182"/>
        <v>0</v>
      </c>
      <c r="BV86" s="1007" t="e">
        <f t="shared" si="183"/>
        <v>#VALUE!</v>
      </c>
      <c r="BW86" s="258" t="str">
        <f t="shared" si="302"/>
        <v>--</v>
      </c>
      <c r="BX86" s="258"/>
      <c r="BY86" s="197">
        <f t="shared" si="184"/>
        <v>0</v>
      </c>
      <c r="BZ86" s="1006">
        <f t="shared" si="185"/>
        <v>0</v>
      </c>
      <c r="CA86" s="1007" t="e">
        <f t="shared" si="186"/>
        <v>#VALUE!</v>
      </c>
      <c r="CB86" s="258" t="str">
        <f t="shared" si="303"/>
        <v>--</v>
      </c>
      <c r="CC86" s="258"/>
      <c r="CD86" s="197">
        <f t="shared" si="187"/>
        <v>0</v>
      </c>
      <c r="CE86" s="1006">
        <f t="shared" si="188"/>
        <v>0</v>
      </c>
      <c r="CF86" s="1007" t="e">
        <f t="shared" si="189"/>
        <v>#VALUE!</v>
      </c>
      <c r="CG86" s="258" t="str">
        <f t="shared" si="304"/>
        <v>--</v>
      </c>
      <c r="CH86" s="258"/>
      <c r="CI86" s="197">
        <f t="shared" si="190"/>
        <v>0</v>
      </c>
      <c r="CJ86" s="1006">
        <f t="shared" si="191"/>
        <v>0</v>
      </c>
      <c r="CK86" s="1007" t="e">
        <f t="shared" si="192"/>
        <v>#VALUE!</v>
      </c>
      <c r="CL86" s="258" t="str">
        <f t="shared" si="305"/>
        <v>--</v>
      </c>
      <c r="CM86" s="258"/>
      <c r="CN86" s="197">
        <f t="shared" si="193"/>
        <v>0</v>
      </c>
      <c r="CO86" s="1006">
        <f t="shared" si="194"/>
        <v>0</v>
      </c>
      <c r="CP86" s="1007" t="e">
        <f t="shared" si="195"/>
        <v>#VALUE!</v>
      </c>
      <c r="CQ86" s="258" t="str">
        <f t="shared" si="306"/>
        <v>--</v>
      </c>
      <c r="CR86" s="258"/>
      <c r="CS86" s="197">
        <f t="shared" si="196"/>
        <v>0</v>
      </c>
      <c r="CT86" s="1006">
        <f t="shared" si="197"/>
        <v>0</v>
      </c>
      <c r="CU86" s="1007" t="e">
        <f t="shared" si="198"/>
        <v>#VALUE!</v>
      </c>
      <c r="CV86" s="258" t="str">
        <f t="shared" si="307"/>
        <v>--</v>
      </c>
      <c r="CW86" s="258"/>
      <c r="CX86" s="197">
        <f t="shared" si="199"/>
        <v>0</v>
      </c>
      <c r="CY86" s="1006">
        <f t="shared" si="200"/>
        <v>0</v>
      </c>
      <c r="CZ86" s="1007" t="e">
        <f t="shared" si="201"/>
        <v>#VALUE!</v>
      </c>
      <c r="DA86" s="258" t="str">
        <f t="shared" si="308"/>
        <v>--</v>
      </c>
      <c r="DB86" s="258"/>
      <c r="DC86" s="197">
        <f t="shared" si="202"/>
        <v>0</v>
      </c>
      <c r="DD86" s="1006">
        <f t="shared" si="203"/>
        <v>0</v>
      </c>
      <c r="DE86" s="1007" t="e">
        <f t="shared" si="204"/>
        <v>#VALUE!</v>
      </c>
      <c r="DF86" s="258" t="str">
        <f t="shared" si="309"/>
        <v>--</v>
      </c>
      <c r="DG86" s="258"/>
      <c r="DH86" s="197">
        <f t="shared" si="205"/>
        <v>0</v>
      </c>
      <c r="DI86" s="1006">
        <f t="shared" si="206"/>
        <v>0</v>
      </c>
      <c r="DJ86" s="1007" t="e">
        <f t="shared" si="207"/>
        <v>#VALUE!</v>
      </c>
      <c r="DK86" s="258" t="str">
        <f t="shared" si="310"/>
        <v>--</v>
      </c>
      <c r="DL86" s="258"/>
      <c r="DM86" s="197">
        <f t="shared" si="208"/>
        <v>0</v>
      </c>
      <c r="DN86" s="1006">
        <f t="shared" si="209"/>
        <v>0</v>
      </c>
      <c r="DO86" s="1007" t="e">
        <f t="shared" si="210"/>
        <v>#VALUE!</v>
      </c>
      <c r="DP86" s="258" t="str">
        <f t="shared" si="311"/>
        <v>--</v>
      </c>
      <c r="DQ86" s="258"/>
      <c r="DR86" s="197">
        <f t="shared" si="211"/>
        <v>0</v>
      </c>
      <c r="DS86" s="1006">
        <f t="shared" si="212"/>
        <v>0</v>
      </c>
      <c r="DT86" s="1007" t="e">
        <f t="shared" si="213"/>
        <v>#VALUE!</v>
      </c>
      <c r="DU86" s="258" t="str">
        <f t="shared" si="312"/>
        <v>--</v>
      </c>
      <c r="DV86" s="258"/>
      <c r="DW86" s="197">
        <f t="shared" si="214"/>
        <v>0</v>
      </c>
      <c r="DX86" s="1006">
        <f t="shared" si="215"/>
        <v>0</v>
      </c>
      <c r="DY86" s="1007" t="e">
        <f t="shared" si="216"/>
        <v>#VALUE!</v>
      </c>
      <c r="DZ86" s="258" t="str">
        <f t="shared" si="313"/>
        <v>--</v>
      </c>
      <c r="EA86" s="258"/>
      <c r="EB86" s="197">
        <f t="shared" si="217"/>
        <v>0</v>
      </c>
      <c r="EC86" s="1006">
        <f t="shared" si="218"/>
        <v>0</v>
      </c>
      <c r="ED86" s="1007" t="e">
        <f t="shared" si="219"/>
        <v>#VALUE!</v>
      </c>
      <c r="EE86" s="258" t="str">
        <f t="shared" si="314"/>
        <v>--</v>
      </c>
      <c r="EF86" s="258"/>
      <c r="EG86" s="197">
        <f t="shared" si="220"/>
        <v>0</v>
      </c>
      <c r="EH86" s="1006">
        <f t="shared" si="221"/>
        <v>0</v>
      </c>
      <c r="EI86" s="1007" t="e">
        <f t="shared" si="222"/>
        <v>#VALUE!</v>
      </c>
      <c r="EJ86" s="258" t="str">
        <f t="shared" si="315"/>
        <v>--</v>
      </c>
      <c r="EK86" s="258"/>
      <c r="EL86" s="197">
        <f t="shared" si="223"/>
        <v>0</v>
      </c>
      <c r="EM86" s="1006">
        <f t="shared" si="224"/>
        <v>0</v>
      </c>
      <c r="EN86" s="1007" t="e">
        <f t="shared" si="225"/>
        <v>#VALUE!</v>
      </c>
      <c r="EO86" s="258" t="str">
        <f t="shared" si="316"/>
        <v>--</v>
      </c>
      <c r="EP86" s="258"/>
      <c r="EQ86" s="197">
        <f t="shared" si="226"/>
        <v>0</v>
      </c>
      <c r="ER86" s="1006">
        <f t="shared" si="227"/>
        <v>0</v>
      </c>
      <c r="ES86" s="1007" t="e">
        <f t="shared" si="228"/>
        <v>#VALUE!</v>
      </c>
      <c r="ET86" s="258" t="str">
        <f t="shared" si="317"/>
        <v>--</v>
      </c>
      <c r="EU86" s="258"/>
      <c r="EV86" s="197">
        <f t="shared" si="229"/>
        <v>0</v>
      </c>
      <c r="EW86" s="1006">
        <f t="shared" si="230"/>
        <v>0</v>
      </c>
      <c r="EX86" s="1007" t="e">
        <f t="shared" si="231"/>
        <v>#VALUE!</v>
      </c>
      <c r="EY86" s="258" t="str">
        <f t="shared" si="318"/>
        <v>--</v>
      </c>
      <c r="EZ86" s="258"/>
      <c r="FA86" s="197">
        <f t="shared" si="232"/>
        <v>0</v>
      </c>
      <c r="FB86" s="1006">
        <f t="shared" si="233"/>
        <v>0</v>
      </c>
      <c r="FC86" s="1007" t="e">
        <f t="shared" si="234"/>
        <v>#VALUE!</v>
      </c>
      <c r="FD86" s="258" t="str">
        <f t="shared" si="319"/>
        <v>--</v>
      </c>
      <c r="FE86" s="258"/>
      <c r="FF86" s="197">
        <f t="shared" si="235"/>
        <v>0</v>
      </c>
      <c r="FG86" s="1006">
        <f t="shared" si="236"/>
        <v>0</v>
      </c>
      <c r="FH86" s="1007" t="e">
        <f t="shared" si="237"/>
        <v>#VALUE!</v>
      </c>
      <c r="FI86" s="258" t="str">
        <f t="shared" si="320"/>
        <v>--</v>
      </c>
      <c r="FJ86" s="258"/>
      <c r="FK86" s="197">
        <f t="shared" si="238"/>
        <v>0</v>
      </c>
      <c r="FL86" s="1006">
        <f t="shared" si="239"/>
        <v>0</v>
      </c>
      <c r="FM86" s="1007" t="e">
        <f t="shared" si="240"/>
        <v>#VALUE!</v>
      </c>
      <c r="FN86" s="258" t="str">
        <f t="shared" si="321"/>
        <v>--</v>
      </c>
      <c r="FO86" s="258"/>
      <c r="FP86" s="197">
        <f t="shared" si="241"/>
        <v>0</v>
      </c>
      <c r="FQ86" s="1006">
        <f t="shared" si="242"/>
        <v>0</v>
      </c>
      <c r="FR86" s="1007" t="e">
        <f t="shared" si="243"/>
        <v>#VALUE!</v>
      </c>
      <c r="FS86" s="258" t="str">
        <f t="shared" si="322"/>
        <v>--</v>
      </c>
      <c r="FT86" s="258"/>
      <c r="FU86" s="197">
        <f t="shared" si="244"/>
        <v>0</v>
      </c>
      <c r="FV86" s="1006">
        <f t="shared" si="245"/>
        <v>0</v>
      </c>
      <c r="FW86" s="1007" t="e">
        <f t="shared" si="246"/>
        <v>#VALUE!</v>
      </c>
      <c r="FX86" s="258" t="str">
        <f t="shared" si="323"/>
        <v>--</v>
      </c>
      <c r="FY86" s="258"/>
      <c r="FZ86" s="197">
        <f t="shared" si="247"/>
        <v>0</v>
      </c>
      <c r="GA86" s="1006">
        <f t="shared" si="248"/>
        <v>0</v>
      </c>
      <c r="GB86" s="1007" t="e">
        <f t="shared" si="249"/>
        <v>#VALUE!</v>
      </c>
      <c r="GC86" s="258" t="str">
        <f t="shared" si="324"/>
        <v>--</v>
      </c>
      <c r="GD86" s="258"/>
      <c r="GE86" s="197">
        <f t="shared" si="250"/>
        <v>0</v>
      </c>
      <c r="GF86" s="1006">
        <f t="shared" si="251"/>
        <v>0</v>
      </c>
      <c r="GG86" s="1007" t="e">
        <f t="shared" si="252"/>
        <v>#VALUE!</v>
      </c>
      <c r="GH86" s="258" t="str">
        <f t="shared" si="325"/>
        <v>--</v>
      </c>
      <c r="GI86" s="258"/>
      <c r="GJ86" s="197">
        <f t="shared" si="253"/>
        <v>0</v>
      </c>
      <c r="GK86" s="1340"/>
      <c r="GL86" s="164"/>
      <c r="GM86" s="164"/>
      <c r="GN86" s="164"/>
    </row>
    <row r="87" spans="1:196" ht="12.75" x14ac:dyDescent="0.2">
      <c r="A87" s="243">
        <f>'Item list'!A87</f>
        <v>0</v>
      </c>
      <c r="B87" s="243">
        <f>'Item list'!B87</f>
        <v>0</v>
      </c>
      <c r="C87" s="243">
        <f>'Item list'!C87</f>
        <v>0</v>
      </c>
      <c r="D87" s="989">
        <f>'Item list'!D87</f>
        <v>0</v>
      </c>
      <c r="E87" s="243">
        <f>'Item list'!E87</f>
        <v>0</v>
      </c>
      <c r="F87" s="243">
        <f>'Item list'!F87</f>
        <v>0</v>
      </c>
      <c r="G87" s="243">
        <f>'Item list'!G87</f>
        <v>0</v>
      </c>
      <c r="H87" s="1005" t="e">
        <f t="shared" si="144"/>
        <v>#REF!</v>
      </c>
      <c r="I87" s="243"/>
      <c r="J87" s="243"/>
      <c r="K87" s="243"/>
      <c r="L87" s="197">
        <f t="shared" si="145"/>
        <v>0</v>
      </c>
      <c r="M87" s="1006">
        <f t="shared" si="146"/>
        <v>0</v>
      </c>
      <c r="N87" s="1007" t="e">
        <f t="shared" si="147"/>
        <v>#VALUE!</v>
      </c>
      <c r="O87" s="258" t="str">
        <f t="shared" si="290"/>
        <v>--</v>
      </c>
      <c r="P87" s="258"/>
      <c r="Q87" s="197">
        <f t="shared" si="148"/>
        <v>0</v>
      </c>
      <c r="R87" s="1006">
        <f t="shared" si="149"/>
        <v>0</v>
      </c>
      <c r="S87" s="1007" t="e">
        <f t="shared" si="150"/>
        <v>#VALUE!</v>
      </c>
      <c r="T87" s="258" t="str">
        <f t="shared" si="291"/>
        <v>--</v>
      </c>
      <c r="U87" s="258"/>
      <c r="V87" s="197">
        <f t="shared" si="151"/>
        <v>0</v>
      </c>
      <c r="W87" s="1006">
        <f t="shared" si="152"/>
        <v>0</v>
      </c>
      <c r="X87" s="1007" t="e">
        <f t="shared" si="153"/>
        <v>#VALUE!</v>
      </c>
      <c r="Y87" s="258" t="str">
        <f t="shared" si="292"/>
        <v>--</v>
      </c>
      <c r="Z87" s="258"/>
      <c r="AA87" s="197">
        <f t="shared" si="154"/>
        <v>0</v>
      </c>
      <c r="AB87" s="1006">
        <f t="shared" si="155"/>
        <v>0</v>
      </c>
      <c r="AC87" s="1007" t="e">
        <f t="shared" si="156"/>
        <v>#VALUE!</v>
      </c>
      <c r="AD87" s="258" t="str">
        <f t="shared" si="293"/>
        <v>--</v>
      </c>
      <c r="AE87" s="258"/>
      <c r="AF87" s="197">
        <f t="shared" si="157"/>
        <v>0</v>
      </c>
      <c r="AG87" s="1006">
        <f t="shared" si="158"/>
        <v>0</v>
      </c>
      <c r="AH87" s="1007" t="e">
        <f t="shared" si="159"/>
        <v>#VALUE!</v>
      </c>
      <c r="AI87" s="258" t="str">
        <f t="shared" si="294"/>
        <v>--</v>
      </c>
      <c r="AJ87" s="258"/>
      <c r="AK87" s="197">
        <f t="shared" si="160"/>
        <v>0</v>
      </c>
      <c r="AL87" s="1006">
        <f t="shared" si="161"/>
        <v>0</v>
      </c>
      <c r="AM87" s="1007" t="e">
        <f t="shared" si="162"/>
        <v>#VALUE!</v>
      </c>
      <c r="AN87" s="258" t="str">
        <f t="shared" si="295"/>
        <v>--</v>
      </c>
      <c r="AO87" s="258"/>
      <c r="AP87" s="197">
        <f t="shared" si="163"/>
        <v>0</v>
      </c>
      <c r="AQ87" s="1006">
        <f t="shared" si="164"/>
        <v>0</v>
      </c>
      <c r="AR87" s="1007" t="e">
        <f t="shared" si="165"/>
        <v>#VALUE!</v>
      </c>
      <c r="AS87" s="258" t="str">
        <f t="shared" si="296"/>
        <v>--</v>
      </c>
      <c r="AT87" s="258"/>
      <c r="AU87" s="197">
        <f t="shared" si="166"/>
        <v>0</v>
      </c>
      <c r="AV87" s="1006">
        <f t="shared" si="167"/>
        <v>0</v>
      </c>
      <c r="AW87" s="1007" t="e">
        <f t="shared" si="168"/>
        <v>#VALUE!</v>
      </c>
      <c r="AX87" s="258" t="str">
        <f t="shared" si="297"/>
        <v>--</v>
      </c>
      <c r="AY87" s="258"/>
      <c r="AZ87" s="197">
        <f t="shared" si="169"/>
        <v>0</v>
      </c>
      <c r="BA87" s="1006">
        <f t="shared" si="170"/>
        <v>0</v>
      </c>
      <c r="BB87" s="1007" t="e">
        <f t="shared" si="171"/>
        <v>#VALUE!</v>
      </c>
      <c r="BC87" s="258" t="str">
        <f t="shared" si="298"/>
        <v>--</v>
      </c>
      <c r="BD87" s="258"/>
      <c r="BE87" s="197">
        <f t="shared" si="172"/>
        <v>0</v>
      </c>
      <c r="BF87" s="1006">
        <f t="shared" si="173"/>
        <v>0</v>
      </c>
      <c r="BG87" s="1007" t="e">
        <f t="shared" si="174"/>
        <v>#VALUE!</v>
      </c>
      <c r="BH87" s="258" t="str">
        <f t="shared" si="299"/>
        <v>--</v>
      </c>
      <c r="BI87" s="258"/>
      <c r="BJ87" s="197">
        <f t="shared" si="175"/>
        <v>0</v>
      </c>
      <c r="BK87" s="1006">
        <f t="shared" si="176"/>
        <v>0</v>
      </c>
      <c r="BL87" s="1007" t="e">
        <f t="shared" si="177"/>
        <v>#VALUE!</v>
      </c>
      <c r="BM87" s="258" t="str">
        <f t="shared" si="300"/>
        <v>--</v>
      </c>
      <c r="BN87" s="258"/>
      <c r="BO87" s="197">
        <f t="shared" si="178"/>
        <v>0</v>
      </c>
      <c r="BP87" s="1006">
        <f t="shared" si="179"/>
        <v>0</v>
      </c>
      <c r="BQ87" s="1007" t="e">
        <f t="shared" si="180"/>
        <v>#VALUE!</v>
      </c>
      <c r="BR87" s="258" t="str">
        <f t="shared" si="301"/>
        <v>--</v>
      </c>
      <c r="BS87" s="258"/>
      <c r="BT87" s="197">
        <f t="shared" si="181"/>
        <v>0</v>
      </c>
      <c r="BU87" s="1006">
        <f t="shared" si="182"/>
        <v>0</v>
      </c>
      <c r="BV87" s="1007" t="e">
        <f t="shared" si="183"/>
        <v>#VALUE!</v>
      </c>
      <c r="BW87" s="258" t="str">
        <f t="shared" si="302"/>
        <v>--</v>
      </c>
      <c r="BX87" s="258"/>
      <c r="BY87" s="197">
        <f t="shared" si="184"/>
        <v>0</v>
      </c>
      <c r="BZ87" s="1006">
        <f t="shared" si="185"/>
        <v>0</v>
      </c>
      <c r="CA87" s="1007" t="e">
        <f t="shared" si="186"/>
        <v>#VALUE!</v>
      </c>
      <c r="CB87" s="258" t="str">
        <f t="shared" si="303"/>
        <v>--</v>
      </c>
      <c r="CC87" s="258"/>
      <c r="CD87" s="197">
        <f t="shared" si="187"/>
        <v>0</v>
      </c>
      <c r="CE87" s="1006">
        <f t="shared" si="188"/>
        <v>0</v>
      </c>
      <c r="CF87" s="1007" t="e">
        <f t="shared" si="189"/>
        <v>#VALUE!</v>
      </c>
      <c r="CG87" s="258" t="str">
        <f t="shared" si="304"/>
        <v>--</v>
      </c>
      <c r="CH87" s="258"/>
      <c r="CI87" s="197">
        <f t="shared" si="190"/>
        <v>0</v>
      </c>
      <c r="CJ87" s="1006">
        <f t="shared" si="191"/>
        <v>0</v>
      </c>
      <c r="CK87" s="1007" t="e">
        <f t="shared" si="192"/>
        <v>#VALUE!</v>
      </c>
      <c r="CL87" s="258" t="str">
        <f t="shared" si="305"/>
        <v>--</v>
      </c>
      <c r="CM87" s="258"/>
      <c r="CN87" s="197">
        <f t="shared" si="193"/>
        <v>0</v>
      </c>
      <c r="CO87" s="1006">
        <f t="shared" si="194"/>
        <v>0</v>
      </c>
      <c r="CP87" s="1007" t="e">
        <f t="shared" si="195"/>
        <v>#VALUE!</v>
      </c>
      <c r="CQ87" s="258" t="str">
        <f t="shared" si="306"/>
        <v>--</v>
      </c>
      <c r="CR87" s="258"/>
      <c r="CS87" s="197">
        <f t="shared" si="196"/>
        <v>0</v>
      </c>
      <c r="CT87" s="1006">
        <f t="shared" si="197"/>
        <v>0</v>
      </c>
      <c r="CU87" s="1007" t="e">
        <f t="shared" si="198"/>
        <v>#VALUE!</v>
      </c>
      <c r="CV87" s="258" t="str">
        <f t="shared" si="307"/>
        <v>--</v>
      </c>
      <c r="CW87" s="258"/>
      <c r="CX87" s="197">
        <f t="shared" si="199"/>
        <v>0</v>
      </c>
      <c r="CY87" s="1006">
        <f t="shared" si="200"/>
        <v>0</v>
      </c>
      <c r="CZ87" s="1007" t="e">
        <f t="shared" si="201"/>
        <v>#VALUE!</v>
      </c>
      <c r="DA87" s="258" t="str">
        <f t="shared" si="308"/>
        <v>--</v>
      </c>
      <c r="DB87" s="258"/>
      <c r="DC87" s="197">
        <f t="shared" si="202"/>
        <v>0</v>
      </c>
      <c r="DD87" s="1006">
        <f t="shared" si="203"/>
        <v>0</v>
      </c>
      <c r="DE87" s="1007" t="e">
        <f t="shared" si="204"/>
        <v>#VALUE!</v>
      </c>
      <c r="DF87" s="258" t="str">
        <f t="shared" si="309"/>
        <v>--</v>
      </c>
      <c r="DG87" s="258"/>
      <c r="DH87" s="197">
        <f t="shared" si="205"/>
        <v>0</v>
      </c>
      <c r="DI87" s="1006">
        <f t="shared" si="206"/>
        <v>0</v>
      </c>
      <c r="DJ87" s="1007" t="e">
        <f t="shared" si="207"/>
        <v>#VALUE!</v>
      </c>
      <c r="DK87" s="258" t="str">
        <f t="shared" si="310"/>
        <v>--</v>
      </c>
      <c r="DL87" s="258"/>
      <c r="DM87" s="197">
        <f t="shared" si="208"/>
        <v>0</v>
      </c>
      <c r="DN87" s="1006">
        <f t="shared" si="209"/>
        <v>0</v>
      </c>
      <c r="DO87" s="1007" t="e">
        <f t="shared" si="210"/>
        <v>#VALUE!</v>
      </c>
      <c r="DP87" s="258" t="str">
        <f t="shared" si="311"/>
        <v>--</v>
      </c>
      <c r="DQ87" s="258"/>
      <c r="DR87" s="197">
        <f t="shared" si="211"/>
        <v>0</v>
      </c>
      <c r="DS87" s="1006">
        <f t="shared" si="212"/>
        <v>0</v>
      </c>
      <c r="DT87" s="1007" t="e">
        <f t="shared" si="213"/>
        <v>#VALUE!</v>
      </c>
      <c r="DU87" s="258" t="str">
        <f t="shared" si="312"/>
        <v>--</v>
      </c>
      <c r="DV87" s="258"/>
      <c r="DW87" s="197">
        <f t="shared" si="214"/>
        <v>0</v>
      </c>
      <c r="DX87" s="1006">
        <f t="shared" si="215"/>
        <v>0</v>
      </c>
      <c r="DY87" s="1007" t="e">
        <f t="shared" si="216"/>
        <v>#VALUE!</v>
      </c>
      <c r="DZ87" s="258" t="str">
        <f t="shared" si="313"/>
        <v>--</v>
      </c>
      <c r="EA87" s="258"/>
      <c r="EB87" s="197">
        <f t="shared" si="217"/>
        <v>0</v>
      </c>
      <c r="EC87" s="1006">
        <f t="shared" si="218"/>
        <v>0</v>
      </c>
      <c r="ED87" s="1007" t="e">
        <f t="shared" si="219"/>
        <v>#VALUE!</v>
      </c>
      <c r="EE87" s="258" t="str">
        <f t="shared" si="314"/>
        <v>--</v>
      </c>
      <c r="EF87" s="258"/>
      <c r="EG87" s="197">
        <f t="shared" si="220"/>
        <v>0</v>
      </c>
      <c r="EH87" s="1006">
        <f t="shared" si="221"/>
        <v>0</v>
      </c>
      <c r="EI87" s="1007" t="e">
        <f t="shared" si="222"/>
        <v>#VALUE!</v>
      </c>
      <c r="EJ87" s="258" t="str">
        <f t="shared" si="315"/>
        <v>--</v>
      </c>
      <c r="EK87" s="258"/>
      <c r="EL87" s="197">
        <f t="shared" si="223"/>
        <v>0</v>
      </c>
      <c r="EM87" s="1006">
        <f t="shared" si="224"/>
        <v>0</v>
      </c>
      <c r="EN87" s="1007" t="e">
        <f t="shared" si="225"/>
        <v>#VALUE!</v>
      </c>
      <c r="EO87" s="258" t="str">
        <f t="shared" si="316"/>
        <v>--</v>
      </c>
      <c r="EP87" s="258"/>
      <c r="EQ87" s="197">
        <f t="shared" si="226"/>
        <v>0</v>
      </c>
      <c r="ER87" s="1006">
        <f t="shared" si="227"/>
        <v>0</v>
      </c>
      <c r="ES87" s="1007" t="e">
        <f t="shared" si="228"/>
        <v>#VALUE!</v>
      </c>
      <c r="ET87" s="258" t="str">
        <f t="shared" si="317"/>
        <v>--</v>
      </c>
      <c r="EU87" s="258"/>
      <c r="EV87" s="197">
        <f t="shared" si="229"/>
        <v>0</v>
      </c>
      <c r="EW87" s="1006">
        <f t="shared" si="230"/>
        <v>0</v>
      </c>
      <c r="EX87" s="1007" t="e">
        <f t="shared" si="231"/>
        <v>#VALUE!</v>
      </c>
      <c r="EY87" s="258" t="str">
        <f t="shared" si="318"/>
        <v>--</v>
      </c>
      <c r="EZ87" s="258"/>
      <c r="FA87" s="197">
        <f t="shared" si="232"/>
        <v>0</v>
      </c>
      <c r="FB87" s="1006">
        <f t="shared" si="233"/>
        <v>0</v>
      </c>
      <c r="FC87" s="1007" t="e">
        <f t="shared" si="234"/>
        <v>#VALUE!</v>
      </c>
      <c r="FD87" s="258" t="str">
        <f t="shared" si="319"/>
        <v>--</v>
      </c>
      <c r="FE87" s="258"/>
      <c r="FF87" s="197">
        <f t="shared" si="235"/>
        <v>0</v>
      </c>
      <c r="FG87" s="1006">
        <f t="shared" si="236"/>
        <v>0</v>
      </c>
      <c r="FH87" s="1007" t="e">
        <f t="shared" si="237"/>
        <v>#VALUE!</v>
      </c>
      <c r="FI87" s="258" t="str">
        <f t="shared" si="320"/>
        <v>--</v>
      </c>
      <c r="FJ87" s="258"/>
      <c r="FK87" s="197">
        <f t="shared" si="238"/>
        <v>0</v>
      </c>
      <c r="FL87" s="1006">
        <f t="shared" si="239"/>
        <v>0</v>
      </c>
      <c r="FM87" s="1007" t="e">
        <f t="shared" si="240"/>
        <v>#VALUE!</v>
      </c>
      <c r="FN87" s="258" t="str">
        <f t="shared" si="321"/>
        <v>--</v>
      </c>
      <c r="FO87" s="258"/>
      <c r="FP87" s="197">
        <f t="shared" si="241"/>
        <v>0</v>
      </c>
      <c r="FQ87" s="1006">
        <f t="shared" si="242"/>
        <v>0</v>
      </c>
      <c r="FR87" s="1007" t="e">
        <f t="shared" si="243"/>
        <v>#VALUE!</v>
      </c>
      <c r="FS87" s="258" t="str">
        <f t="shared" si="322"/>
        <v>--</v>
      </c>
      <c r="FT87" s="258"/>
      <c r="FU87" s="197">
        <f t="shared" si="244"/>
        <v>0</v>
      </c>
      <c r="FV87" s="1006">
        <f t="shared" si="245"/>
        <v>0</v>
      </c>
      <c r="FW87" s="1007" t="e">
        <f t="shared" si="246"/>
        <v>#VALUE!</v>
      </c>
      <c r="FX87" s="258" t="str">
        <f t="shared" si="323"/>
        <v>--</v>
      </c>
      <c r="FY87" s="258"/>
      <c r="FZ87" s="197">
        <f t="shared" si="247"/>
        <v>0</v>
      </c>
      <c r="GA87" s="1006">
        <f t="shared" si="248"/>
        <v>0</v>
      </c>
      <c r="GB87" s="1007" t="e">
        <f t="shared" si="249"/>
        <v>#VALUE!</v>
      </c>
      <c r="GC87" s="258" t="str">
        <f t="shared" si="324"/>
        <v>--</v>
      </c>
      <c r="GD87" s="258"/>
      <c r="GE87" s="197">
        <f t="shared" si="250"/>
        <v>0</v>
      </c>
      <c r="GF87" s="1006">
        <f t="shared" si="251"/>
        <v>0</v>
      </c>
      <c r="GG87" s="1007" t="e">
        <f t="shared" si="252"/>
        <v>#VALUE!</v>
      </c>
      <c r="GH87" s="258" t="str">
        <f t="shared" si="325"/>
        <v>--</v>
      </c>
      <c r="GI87" s="258"/>
      <c r="GJ87" s="197">
        <f t="shared" si="253"/>
        <v>0</v>
      </c>
      <c r="GK87" s="1340"/>
      <c r="GL87" s="164"/>
      <c r="GM87" s="164"/>
      <c r="GN87" s="164"/>
    </row>
    <row r="88" spans="1:196" ht="12.75" x14ac:dyDescent="0.2">
      <c r="A88" s="243">
        <f>'Item list'!A88</f>
        <v>0</v>
      </c>
      <c r="B88" s="243">
        <f>'Item list'!B88</f>
        <v>0</v>
      </c>
      <c r="C88" s="243">
        <f>'Item list'!C88</f>
        <v>0</v>
      </c>
      <c r="D88" s="989">
        <f>'Item list'!D88</f>
        <v>0</v>
      </c>
      <c r="E88" s="243">
        <f>'Item list'!E88</f>
        <v>0</v>
      </c>
      <c r="F88" s="243">
        <f>'Item list'!F88</f>
        <v>0</v>
      </c>
      <c r="G88" s="243">
        <f>'Item list'!G88</f>
        <v>0</v>
      </c>
      <c r="H88" s="1005" t="e">
        <f t="shared" si="144"/>
        <v>#REF!</v>
      </c>
      <c r="I88" s="243"/>
      <c r="J88" s="243"/>
      <c r="K88" s="243"/>
      <c r="L88" s="197">
        <f t="shared" si="145"/>
        <v>0</v>
      </c>
      <c r="M88" s="1006">
        <f t="shared" si="146"/>
        <v>0</v>
      </c>
      <c r="N88" s="1007" t="e">
        <f t="shared" si="147"/>
        <v>#VALUE!</v>
      </c>
      <c r="O88" s="258" t="str">
        <f t="shared" si="290"/>
        <v>--</v>
      </c>
      <c r="P88" s="258"/>
      <c r="Q88" s="197">
        <f t="shared" si="148"/>
        <v>0</v>
      </c>
      <c r="R88" s="1006">
        <f t="shared" si="149"/>
        <v>0</v>
      </c>
      <c r="S88" s="1007" t="e">
        <f t="shared" si="150"/>
        <v>#VALUE!</v>
      </c>
      <c r="T88" s="258" t="str">
        <f t="shared" si="291"/>
        <v>--</v>
      </c>
      <c r="U88" s="258"/>
      <c r="V88" s="197">
        <f t="shared" si="151"/>
        <v>0</v>
      </c>
      <c r="W88" s="1006">
        <f t="shared" si="152"/>
        <v>0</v>
      </c>
      <c r="X88" s="1007" t="e">
        <f t="shared" si="153"/>
        <v>#VALUE!</v>
      </c>
      <c r="Y88" s="258" t="str">
        <f t="shared" si="292"/>
        <v>--</v>
      </c>
      <c r="Z88" s="258"/>
      <c r="AA88" s="197">
        <f t="shared" si="154"/>
        <v>0</v>
      </c>
      <c r="AB88" s="1006">
        <f t="shared" si="155"/>
        <v>0</v>
      </c>
      <c r="AC88" s="1007" t="e">
        <f t="shared" si="156"/>
        <v>#VALUE!</v>
      </c>
      <c r="AD88" s="258" t="str">
        <f t="shared" si="293"/>
        <v>--</v>
      </c>
      <c r="AE88" s="258"/>
      <c r="AF88" s="197">
        <f t="shared" si="157"/>
        <v>0</v>
      </c>
      <c r="AG88" s="1006">
        <f t="shared" si="158"/>
        <v>0</v>
      </c>
      <c r="AH88" s="1007" t="e">
        <f t="shared" si="159"/>
        <v>#VALUE!</v>
      </c>
      <c r="AI88" s="258" t="str">
        <f t="shared" si="294"/>
        <v>--</v>
      </c>
      <c r="AJ88" s="258"/>
      <c r="AK88" s="197">
        <f t="shared" si="160"/>
        <v>0</v>
      </c>
      <c r="AL88" s="1006">
        <f t="shared" si="161"/>
        <v>0</v>
      </c>
      <c r="AM88" s="1007" t="e">
        <f t="shared" si="162"/>
        <v>#VALUE!</v>
      </c>
      <c r="AN88" s="258" t="str">
        <f t="shared" si="295"/>
        <v>--</v>
      </c>
      <c r="AO88" s="258"/>
      <c r="AP88" s="197">
        <f t="shared" si="163"/>
        <v>0</v>
      </c>
      <c r="AQ88" s="1006">
        <f t="shared" si="164"/>
        <v>0</v>
      </c>
      <c r="AR88" s="1007" t="e">
        <f t="shared" si="165"/>
        <v>#VALUE!</v>
      </c>
      <c r="AS88" s="258" t="str">
        <f t="shared" si="296"/>
        <v>--</v>
      </c>
      <c r="AT88" s="258"/>
      <c r="AU88" s="197">
        <f t="shared" si="166"/>
        <v>0</v>
      </c>
      <c r="AV88" s="1006">
        <f t="shared" si="167"/>
        <v>0</v>
      </c>
      <c r="AW88" s="1007" t="e">
        <f t="shared" si="168"/>
        <v>#VALUE!</v>
      </c>
      <c r="AX88" s="258" t="str">
        <f t="shared" si="297"/>
        <v>--</v>
      </c>
      <c r="AY88" s="258"/>
      <c r="AZ88" s="197">
        <f t="shared" si="169"/>
        <v>0</v>
      </c>
      <c r="BA88" s="1006">
        <f t="shared" si="170"/>
        <v>0</v>
      </c>
      <c r="BB88" s="1007" t="e">
        <f t="shared" si="171"/>
        <v>#VALUE!</v>
      </c>
      <c r="BC88" s="258" t="str">
        <f t="shared" si="298"/>
        <v>--</v>
      </c>
      <c r="BD88" s="258"/>
      <c r="BE88" s="197">
        <f t="shared" si="172"/>
        <v>0</v>
      </c>
      <c r="BF88" s="1006">
        <f t="shared" si="173"/>
        <v>0</v>
      </c>
      <c r="BG88" s="1007" t="e">
        <f t="shared" si="174"/>
        <v>#VALUE!</v>
      </c>
      <c r="BH88" s="258" t="str">
        <f t="shared" si="299"/>
        <v>--</v>
      </c>
      <c r="BI88" s="258"/>
      <c r="BJ88" s="197">
        <f t="shared" si="175"/>
        <v>0</v>
      </c>
      <c r="BK88" s="1006">
        <f t="shared" si="176"/>
        <v>0</v>
      </c>
      <c r="BL88" s="1007" t="e">
        <f t="shared" si="177"/>
        <v>#VALUE!</v>
      </c>
      <c r="BM88" s="258" t="str">
        <f t="shared" si="300"/>
        <v>--</v>
      </c>
      <c r="BN88" s="258"/>
      <c r="BO88" s="197">
        <f t="shared" si="178"/>
        <v>0</v>
      </c>
      <c r="BP88" s="1006">
        <f t="shared" si="179"/>
        <v>0</v>
      </c>
      <c r="BQ88" s="1007" t="e">
        <f t="shared" si="180"/>
        <v>#VALUE!</v>
      </c>
      <c r="BR88" s="258" t="str">
        <f t="shared" si="301"/>
        <v>--</v>
      </c>
      <c r="BS88" s="258"/>
      <c r="BT88" s="197">
        <f t="shared" si="181"/>
        <v>0</v>
      </c>
      <c r="BU88" s="1006">
        <f t="shared" si="182"/>
        <v>0</v>
      </c>
      <c r="BV88" s="1007" t="e">
        <f t="shared" si="183"/>
        <v>#VALUE!</v>
      </c>
      <c r="BW88" s="258" t="str">
        <f t="shared" si="302"/>
        <v>--</v>
      </c>
      <c r="BX88" s="258"/>
      <c r="BY88" s="197">
        <f t="shared" si="184"/>
        <v>0</v>
      </c>
      <c r="BZ88" s="1006">
        <f t="shared" si="185"/>
        <v>0</v>
      </c>
      <c r="CA88" s="1007" t="e">
        <f t="shared" si="186"/>
        <v>#VALUE!</v>
      </c>
      <c r="CB88" s="258" t="str">
        <f t="shared" si="303"/>
        <v>--</v>
      </c>
      <c r="CC88" s="258"/>
      <c r="CD88" s="197">
        <f t="shared" si="187"/>
        <v>0</v>
      </c>
      <c r="CE88" s="1006">
        <f t="shared" si="188"/>
        <v>0</v>
      </c>
      <c r="CF88" s="1007" t="e">
        <f t="shared" si="189"/>
        <v>#VALUE!</v>
      </c>
      <c r="CG88" s="258" t="str">
        <f t="shared" si="304"/>
        <v>--</v>
      </c>
      <c r="CH88" s="258"/>
      <c r="CI88" s="197">
        <f t="shared" si="190"/>
        <v>0</v>
      </c>
      <c r="CJ88" s="1006">
        <f t="shared" si="191"/>
        <v>0</v>
      </c>
      <c r="CK88" s="1007" t="e">
        <f t="shared" si="192"/>
        <v>#VALUE!</v>
      </c>
      <c r="CL88" s="258" t="str">
        <f t="shared" si="305"/>
        <v>--</v>
      </c>
      <c r="CM88" s="258"/>
      <c r="CN88" s="197">
        <f t="shared" si="193"/>
        <v>0</v>
      </c>
      <c r="CO88" s="1006">
        <f t="shared" si="194"/>
        <v>0</v>
      </c>
      <c r="CP88" s="1007" t="e">
        <f t="shared" si="195"/>
        <v>#VALUE!</v>
      </c>
      <c r="CQ88" s="258" t="str">
        <f t="shared" si="306"/>
        <v>--</v>
      </c>
      <c r="CR88" s="258"/>
      <c r="CS88" s="197">
        <f t="shared" si="196"/>
        <v>0</v>
      </c>
      <c r="CT88" s="1006">
        <f t="shared" si="197"/>
        <v>0</v>
      </c>
      <c r="CU88" s="1007" t="e">
        <f t="shared" si="198"/>
        <v>#VALUE!</v>
      </c>
      <c r="CV88" s="258" t="str">
        <f t="shared" si="307"/>
        <v>--</v>
      </c>
      <c r="CW88" s="258"/>
      <c r="CX88" s="197">
        <f t="shared" si="199"/>
        <v>0</v>
      </c>
      <c r="CY88" s="1006">
        <f t="shared" si="200"/>
        <v>0</v>
      </c>
      <c r="CZ88" s="1007" t="e">
        <f t="shared" si="201"/>
        <v>#VALUE!</v>
      </c>
      <c r="DA88" s="258" t="str">
        <f t="shared" si="308"/>
        <v>--</v>
      </c>
      <c r="DB88" s="258"/>
      <c r="DC88" s="197">
        <f t="shared" si="202"/>
        <v>0</v>
      </c>
      <c r="DD88" s="1006">
        <f t="shared" si="203"/>
        <v>0</v>
      </c>
      <c r="DE88" s="1007" t="e">
        <f t="shared" si="204"/>
        <v>#VALUE!</v>
      </c>
      <c r="DF88" s="258" t="str">
        <f t="shared" si="309"/>
        <v>--</v>
      </c>
      <c r="DG88" s="258"/>
      <c r="DH88" s="197">
        <f t="shared" si="205"/>
        <v>0</v>
      </c>
      <c r="DI88" s="1006">
        <f t="shared" si="206"/>
        <v>0</v>
      </c>
      <c r="DJ88" s="1007" t="e">
        <f t="shared" si="207"/>
        <v>#VALUE!</v>
      </c>
      <c r="DK88" s="258" t="str">
        <f t="shared" si="310"/>
        <v>--</v>
      </c>
      <c r="DL88" s="258"/>
      <c r="DM88" s="197">
        <f t="shared" si="208"/>
        <v>0</v>
      </c>
      <c r="DN88" s="1006">
        <f t="shared" si="209"/>
        <v>0</v>
      </c>
      <c r="DO88" s="1007" t="e">
        <f t="shared" si="210"/>
        <v>#VALUE!</v>
      </c>
      <c r="DP88" s="258" t="str">
        <f t="shared" si="311"/>
        <v>--</v>
      </c>
      <c r="DQ88" s="258"/>
      <c r="DR88" s="197">
        <f t="shared" si="211"/>
        <v>0</v>
      </c>
      <c r="DS88" s="1006">
        <f t="shared" si="212"/>
        <v>0</v>
      </c>
      <c r="DT88" s="1007" t="e">
        <f t="shared" si="213"/>
        <v>#VALUE!</v>
      </c>
      <c r="DU88" s="258" t="str">
        <f t="shared" si="312"/>
        <v>--</v>
      </c>
      <c r="DV88" s="258"/>
      <c r="DW88" s="197">
        <f t="shared" si="214"/>
        <v>0</v>
      </c>
      <c r="DX88" s="1006">
        <f t="shared" si="215"/>
        <v>0</v>
      </c>
      <c r="DY88" s="1007" t="e">
        <f t="shared" si="216"/>
        <v>#VALUE!</v>
      </c>
      <c r="DZ88" s="258" t="str">
        <f t="shared" si="313"/>
        <v>--</v>
      </c>
      <c r="EA88" s="258"/>
      <c r="EB88" s="197">
        <f t="shared" si="217"/>
        <v>0</v>
      </c>
      <c r="EC88" s="1006">
        <f t="shared" si="218"/>
        <v>0</v>
      </c>
      <c r="ED88" s="1007" t="e">
        <f t="shared" si="219"/>
        <v>#VALUE!</v>
      </c>
      <c r="EE88" s="258" t="str">
        <f t="shared" si="314"/>
        <v>--</v>
      </c>
      <c r="EF88" s="258"/>
      <c r="EG88" s="197">
        <f t="shared" si="220"/>
        <v>0</v>
      </c>
      <c r="EH88" s="1006">
        <f t="shared" si="221"/>
        <v>0</v>
      </c>
      <c r="EI88" s="1007" t="e">
        <f t="shared" si="222"/>
        <v>#VALUE!</v>
      </c>
      <c r="EJ88" s="258" t="str">
        <f t="shared" si="315"/>
        <v>--</v>
      </c>
      <c r="EK88" s="258"/>
      <c r="EL88" s="197">
        <f t="shared" si="223"/>
        <v>0</v>
      </c>
      <c r="EM88" s="1006">
        <f t="shared" si="224"/>
        <v>0</v>
      </c>
      <c r="EN88" s="1007" t="e">
        <f t="shared" si="225"/>
        <v>#VALUE!</v>
      </c>
      <c r="EO88" s="258" t="str">
        <f t="shared" si="316"/>
        <v>--</v>
      </c>
      <c r="EP88" s="258"/>
      <c r="EQ88" s="197">
        <f t="shared" si="226"/>
        <v>0</v>
      </c>
      <c r="ER88" s="1006">
        <f t="shared" si="227"/>
        <v>0</v>
      </c>
      <c r="ES88" s="1007" t="e">
        <f t="shared" si="228"/>
        <v>#VALUE!</v>
      </c>
      <c r="ET88" s="258" t="str">
        <f t="shared" si="317"/>
        <v>--</v>
      </c>
      <c r="EU88" s="258"/>
      <c r="EV88" s="197">
        <f t="shared" si="229"/>
        <v>0</v>
      </c>
      <c r="EW88" s="1006">
        <f t="shared" si="230"/>
        <v>0</v>
      </c>
      <c r="EX88" s="1007" t="e">
        <f t="shared" si="231"/>
        <v>#VALUE!</v>
      </c>
      <c r="EY88" s="258" t="str">
        <f t="shared" si="318"/>
        <v>--</v>
      </c>
      <c r="EZ88" s="258"/>
      <c r="FA88" s="197">
        <f t="shared" si="232"/>
        <v>0</v>
      </c>
      <c r="FB88" s="1006">
        <f t="shared" si="233"/>
        <v>0</v>
      </c>
      <c r="FC88" s="1007" t="e">
        <f t="shared" si="234"/>
        <v>#VALUE!</v>
      </c>
      <c r="FD88" s="258" t="str">
        <f t="shared" si="319"/>
        <v>--</v>
      </c>
      <c r="FE88" s="258"/>
      <c r="FF88" s="197">
        <f t="shared" si="235"/>
        <v>0</v>
      </c>
      <c r="FG88" s="1006">
        <f t="shared" si="236"/>
        <v>0</v>
      </c>
      <c r="FH88" s="1007" t="e">
        <f t="shared" si="237"/>
        <v>#VALUE!</v>
      </c>
      <c r="FI88" s="258" t="str">
        <f t="shared" si="320"/>
        <v>--</v>
      </c>
      <c r="FJ88" s="258"/>
      <c r="FK88" s="197">
        <f t="shared" si="238"/>
        <v>0</v>
      </c>
      <c r="FL88" s="1006">
        <f t="shared" si="239"/>
        <v>0</v>
      </c>
      <c r="FM88" s="1007" t="e">
        <f t="shared" si="240"/>
        <v>#VALUE!</v>
      </c>
      <c r="FN88" s="258" t="str">
        <f t="shared" si="321"/>
        <v>--</v>
      </c>
      <c r="FO88" s="258"/>
      <c r="FP88" s="197">
        <f t="shared" si="241"/>
        <v>0</v>
      </c>
      <c r="FQ88" s="1006">
        <f t="shared" si="242"/>
        <v>0</v>
      </c>
      <c r="FR88" s="1007" t="e">
        <f t="shared" si="243"/>
        <v>#VALUE!</v>
      </c>
      <c r="FS88" s="258" t="str">
        <f t="shared" si="322"/>
        <v>--</v>
      </c>
      <c r="FT88" s="258"/>
      <c r="FU88" s="197">
        <f t="shared" si="244"/>
        <v>0</v>
      </c>
      <c r="FV88" s="1006">
        <f t="shared" si="245"/>
        <v>0</v>
      </c>
      <c r="FW88" s="1007" t="e">
        <f t="shared" si="246"/>
        <v>#VALUE!</v>
      </c>
      <c r="FX88" s="258" t="str">
        <f t="shared" si="323"/>
        <v>--</v>
      </c>
      <c r="FY88" s="258"/>
      <c r="FZ88" s="197">
        <f t="shared" si="247"/>
        <v>0</v>
      </c>
      <c r="GA88" s="1006">
        <f t="shared" si="248"/>
        <v>0</v>
      </c>
      <c r="GB88" s="1007" t="e">
        <f t="shared" si="249"/>
        <v>#VALUE!</v>
      </c>
      <c r="GC88" s="258" t="str">
        <f t="shared" si="324"/>
        <v>--</v>
      </c>
      <c r="GD88" s="258"/>
      <c r="GE88" s="197">
        <f t="shared" si="250"/>
        <v>0</v>
      </c>
      <c r="GF88" s="1006">
        <f t="shared" si="251"/>
        <v>0</v>
      </c>
      <c r="GG88" s="1007" t="e">
        <f t="shared" si="252"/>
        <v>#VALUE!</v>
      </c>
      <c r="GH88" s="258" t="str">
        <f t="shared" si="325"/>
        <v>--</v>
      </c>
      <c r="GI88" s="258"/>
      <c r="GJ88" s="197">
        <f t="shared" si="253"/>
        <v>0</v>
      </c>
      <c r="GK88" s="1340"/>
      <c r="GL88" s="164"/>
      <c r="GM88" s="164"/>
      <c r="GN88" s="164"/>
    </row>
    <row r="89" spans="1:196" ht="12.75" x14ac:dyDescent="0.2">
      <c r="A89" s="243">
        <f>'Item list'!A89</f>
        <v>0</v>
      </c>
      <c r="B89" s="243">
        <f>'Item list'!B89</f>
        <v>0</v>
      </c>
      <c r="C89" s="243">
        <f>'Item list'!C89</f>
        <v>0</v>
      </c>
      <c r="D89" s="989">
        <f>'Item list'!D89</f>
        <v>0</v>
      </c>
      <c r="E89" s="243">
        <f>'Item list'!E89</f>
        <v>0</v>
      </c>
      <c r="F89" s="243">
        <f>'Item list'!F89</f>
        <v>0</v>
      </c>
      <c r="G89" s="243">
        <f>'Item list'!G89</f>
        <v>0</v>
      </c>
      <c r="H89" s="1005" t="e">
        <f t="shared" si="144"/>
        <v>#REF!</v>
      </c>
      <c r="I89" s="243"/>
      <c r="J89" s="243"/>
      <c r="K89" s="243"/>
      <c r="L89" s="197">
        <f t="shared" si="145"/>
        <v>0</v>
      </c>
      <c r="M89" s="1006">
        <f t="shared" si="146"/>
        <v>0</v>
      </c>
      <c r="N89" s="1007" t="e">
        <f t="shared" si="147"/>
        <v>#VALUE!</v>
      </c>
      <c r="O89" s="258" t="str">
        <f t="shared" si="290"/>
        <v>--</v>
      </c>
      <c r="P89" s="258"/>
      <c r="Q89" s="197">
        <f t="shared" si="148"/>
        <v>0</v>
      </c>
      <c r="R89" s="1006">
        <f t="shared" si="149"/>
        <v>0</v>
      </c>
      <c r="S89" s="1007" t="e">
        <f t="shared" si="150"/>
        <v>#VALUE!</v>
      </c>
      <c r="T89" s="258" t="str">
        <f t="shared" si="291"/>
        <v>--</v>
      </c>
      <c r="U89" s="258"/>
      <c r="V89" s="197">
        <f t="shared" si="151"/>
        <v>0</v>
      </c>
      <c r="W89" s="1006">
        <f t="shared" si="152"/>
        <v>0</v>
      </c>
      <c r="X89" s="1007" t="e">
        <f t="shared" si="153"/>
        <v>#VALUE!</v>
      </c>
      <c r="Y89" s="258" t="str">
        <f t="shared" si="292"/>
        <v>--</v>
      </c>
      <c r="Z89" s="258"/>
      <c r="AA89" s="197">
        <f t="shared" si="154"/>
        <v>0</v>
      </c>
      <c r="AB89" s="1006">
        <f t="shared" si="155"/>
        <v>0</v>
      </c>
      <c r="AC89" s="1007" t="e">
        <f t="shared" si="156"/>
        <v>#VALUE!</v>
      </c>
      <c r="AD89" s="258" t="str">
        <f t="shared" si="293"/>
        <v>--</v>
      </c>
      <c r="AE89" s="258"/>
      <c r="AF89" s="197">
        <f t="shared" si="157"/>
        <v>0</v>
      </c>
      <c r="AG89" s="1006">
        <f t="shared" si="158"/>
        <v>0</v>
      </c>
      <c r="AH89" s="1007" t="e">
        <f t="shared" si="159"/>
        <v>#VALUE!</v>
      </c>
      <c r="AI89" s="258" t="str">
        <f t="shared" si="294"/>
        <v>--</v>
      </c>
      <c r="AJ89" s="258"/>
      <c r="AK89" s="197">
        <f t="shared" si="160"/>
        <v>0</v>
      </c>
      <c r="AL89" s="1006">
        <f t="shared" si="161"/>
        <v>0</v>
      </c>
      <c r="AM89" s="1007" t="e">
        <f t="shared" si="162"/>
        <v>#VALUE!</v>
      </c>
      <c r="AN89" s="258" t="str">
        <f t="shared" si="295"/>
        <v>--</v>
      </c>
      <c r="AO89" s="258"/>
      <c r="AP89" s="197">
        <f t="shared" si="163"/>
        <v>0</v>
      </c>
      <c r="AQ89" s="1006">
        <f t="shared" si="164"/>
        <v>0</v>
      </c>
      <c r="AR89" s="1007" t="e">
        <f t="shared" si="165"/>
        <v>#VALUE!</v>
      </c>
      <c r="AS89" s="258" t="str">
        <f t="shared" si="296"/>
        <v>--</v>
      </c>
      <c r="AT89" s="258"/>
      <c r="AU89" s="197">
        <f t="shared" si="166"/>
        <v>0</v>
      </c>
      <c r="AV89" s="1006">
        <f t="shared" si="167"/>
        <v>0</v>
      </c>
      <c r="AW89" s="1007" t="e">
        <f t="shared" si="168"/>
        <v>#VALUE!</v>
      </c>
      <c r="AX89" s="258" t="str">
        <f t="shared" si="297"/>
        <v>--</v>
      </c>
      <c r="AY89" s="258"/>
      <c r="AZ89" s="197">
        <f t="shared" si="169"/>
        <v>0</v>
      </c>
      <c r="BA89" s="1006">
        <f t="shared" si="170"/>
        <v>0</v>
      </c>
      <c r="BB89" s="1007" t="e">
        <f t="shared" si="171"/>
        <v>#VALUE!</v>
      </c>
      <c r="BC89" s="258" t="str">
        <f t="shared" si="298"/>
        <v>--</v>
      </c>
      <c r="BD89" s="258"/>
      <c r="BE89" s="197">
        <f t="shared" si="172"/>
        <v>0</v>
      </c>
      <c r="BF89" s="1006">
        <f t="shared" si="173"/>
        <v>0</v>
      </c>
      <c r="BG89" s="1007" t="e">
        <f t="shared" si="174"/>
        <v>#VALUE!</v>
      </c>
      <c r="BH89" s="258" t="str">
        <f t="shared" si="299"/>
        <v>--</v>
      </c>
      <c r="BI89" s="258"/>
      <c r="BJ89" s="197">
        <f t="shared" si="175"/>
        <v>0</v>
      </c>
      <c r="BK89" s="1006">
        <f t="shared" si="176"/>
        <v>0</v>
      </c>
      <c r="BL89" s="1007" t="e">
        <f t="shared" si="177"/>
        <v>#VALUE!</v>
      </c>
      <c r="BM89" s="258" t="str">
        <f t="shared" si="300"/>
        <v>--</v>
      </c>
      <c r="BN89" s="258"/>
      <c r="BO89" s="197">
        <f t="shared" si="178"/>
        <v>0</v>
      </c>
      <c r="BP89" s="1006">
        <f t="shared" si="179"/>
        <v>0</v>
      </c>
      <c r="BQ89" s="1007" t="e">
        <f t="shared" si="180"/>
        <v>#VALUE!</v>
      </c>
      <c r="BR89" s="258" t="str">
        <f t="shared" si="301"/>
        <v>--</v>
      </c>
      <c r="BS89" s="258"/>
      <c r="BT89" s="197">
        <f t="shared" si="181"/>
        <v>0</v>
      </c>
      <c r="BU89" s="1006">
        <f t="shared" si="182"/>
        <v>0</v>
      </c>
      <c r="BV89" s="1007" t="e">
        <f t="shared" si="183"/>
        <v>#VALUE!</v>
      </c>
      <c r="BW89" s="258" t="str">
        <f t="shared" si="302"/>
        <v>--</v>
      </c>
      <c r="BX89" s="258"/>
      <c r="BY89" s="197">
        <f t="shared" si="184"/>
        <v>0</v>
      </c>
      <c r="BZ89" s="1006">
        <f t="shared" si="185"/>
        <v>0</v>
      </c>
      <c r="CA89" s="1007" t="e">
        <f t="shared" si="186"/>
        <v>#VALUE!</v>
      </c>
      <c r="CB89" s="258" t="str">
        <f t="shared" si="303"/>
        <v>--</v>
      </c>
      <c r="CC89" s="258"/>
      <c r="CD89" s="197">
        <f t="shared" si="187"/>
        <v>0</v>
      </c>
      <c r="CE89" s="1006">
        <f t="shared" si="188"/>
        <v>0</v>
      </c>
      <c r="CF89" s="1007" t="e">
        <f t="shared" si="189"/>
        <v>#VALUE!</v>
      </c>
      <c r="CG89" s="258" t="str">
        <f t="shared" si="304"/>
        <v>--</v>
      </c>
      <c r="CH89" s="258"/>
      <c r="CI89" s="197">
        <f t="shared" si="190"/>
        <v>0</v>
      </c>
      <c r="CJ89" s="1006">
        <f t="shared" si="191"/>
        <v>0</v>
      </c>
      <c r="CK89" s="1007" t="e">
        <f t="shared" si="192"/>
        <v>#VALUE!</v>
      </c>
      <c r="CL89" s="258" t="str">
        <f t="shared" si="305"/>
        <v>--</v>
      </c>
      <c r="CM89" s="258"/>
      <c r="CN89" s="197">
        <f t="shared" si="193"/>
        <v>0</v>
      </c>
      <c r="CO89" s="1006">
        <f t="shared" si="194"/>
        <v>0</v>
      </c>
      <c r="CP89" s="1007" t="e">
        <f t="shared" si="195"/>
        <v>#VALUE!</v>
      </c>
      <c r="CQ89" s="258" t="str">
        <f t="shared" si="306"/>
        <v>--</v>
      </c>
      <c r="CR89" s="258"/>
      <c r="CS89" s="197">
        <f t="shared" si="196"/>
        <v>0</v>
      </c>
      <c r="CT89" s="1006">
        <f t="shared" si="197"/>
        <v>0</v>
      </c>
      <c r="CU89" s="1007" t="e">
        <f t="shared" si="198"/>
        <v>#VALUE!</v>
      </c>
      <c r="CV89" s="258" t="str">
        <f t="shared" si="307"/>
        <v>--</v>
      </c>
      <c r="CW89" s="258"/>
      <c r="CX89" s="197">
        <f t="shared" si="199"/>
        <v>0</v>
      </c>
      <c r="CY89" s="1006">
        <f t="shared" si="200"/>
        <v>0</v>
      </c>
      <c r="CZ89" s="1007" t="e">
        <f t="shared" si="201"/>
        <v>#VALUE!</v>
      </c>
      <c r="DA89" s="258" t="str">
        <f t="shared" si="308"/>
        <v>--</v>
      </c>
      <c r="DB89" s="258"/>
      <c r="DC89" s="197">
        <f t="shared" si="202"/>
        <v>0</v>
      </c>
      <c r="DD89" s="1006">
        <f t="shared" si="203"/>
        <v>0</v>
      </c>
      <c r="DE89" s="1007" t="e">
        <f t="shared" si="204"/>
        <v>#VALUE!</v>
      </c>
      <c r="DF89" s="258" t="str">
        <f t="shared" si="309"/>
        <v>--</v>
      </c>
      <c r="DG89" s="258"/>
      <c r="DH89" s="197">
        <f t="shared" si="205"/>
        <v>0</v>
      </c>
      <c r="DI89" s="1006">
        <f t="shared" si="206"/>
        <v>0</v>
      </c>
      <c r="DJ89" s="1007" t="e">
        <f t="shared" si="207"/>
        <v>#VALUE!</v>
      </c>
      <c r="DK89" s="258" t="str">
        <f t="shared" si="310"/>
        <v>--</v>
      </c>
      <c r="DL89" s="258"/>
      <c r="DM89" s="197">
        <f t="shared" si="208"/>
        <v>0</v>
      </c>
      <c r="DN89" s="1006">
        <f t="shared" si="209"/>
        <v>0</v>
      </c>
      <c r="DO89" s="1007" t="e">
        <f t="shared" si="210"/>
        <v>#VALUE!</v>
      </c>
      <c r="DP89" s="258" t="str">
        <f t="shared" si="311"/>
        <v>--</v>
      </c>
      <c r="DQ89" s="258"/>
      <c r="DR89" s="197">
        <f t="shared" si="211"/>
        <v>0</v>
      </c>
      <c r="DS89" s="1006">
        <f t="shared" si="212"/>
        <v>0</v>
      </c>
      <c r="DT89" s="1007" t="e">
        <f t="shared" si="213"/>
        <v>#VALUE!</v>
      </c>
      <c r="DU89" s="258" t="str">
        <f t="shared" si="312"/>
        <v>--</v>
      </c>
      <c r="DV89" s="258"/>
      <c r="DW89" s="197">
        <f t="shared" si="214"/>
        <v>0</v>
      </c>
      <c r="DX89" s="1006">
        <f t="shared" si="215"/>
        <v>0</v>
      </c>
      <c r="DY89" s="1007" t="e">
        <f t="shared" si="216"/>
        <v>#VALUE!</v>
      </c>
      <c r="DZ89" s="258" t="str">
        <f t="shared" si="313"/>
        <v>--</v>
      </c>
      <c r="EA89" s="258"/>
      <c r="EB89" s="197">
        <f t="shared" si="217"/>
        <v>0</v>
      </c>
      <c r="EC89" s="1006">
        <f t="shared" si="218"/>
        <v>0</v>
      </c>
      <c r="ED89" s="1007" t="e">
        <f t="shared" si="219"/>
        <v>#VALUE!</v>
      </c>
      <c r="EE89" s="258" t="str">
        <f t="shared" si="314"/>
        <v>--</v>
      </c>
      <c r="EF89" s="258"/>
      <c r="EG89" s="197">
        <f t="shared" si="220"/>
        <v>0</v>
      </c>
      <c r="EH89" s="1006">
        <f t="shared" si="221"/>
        <v>0</v>
      </c>
      <c r="EI89" s="1007" t="e">
        <f t="shared" si="222"/>
        <v>#VALUE!</v>
      </c>
      <c r="EJ89" s="258" t="str">
        <f t="shared" si="315"/>
        <v>--</v>
      </c>
      <c r="EK89" s="258"/>
      <c r="EL89" s="197">
        <f t="shared" si="223"/>
        <v>0</v>
      </c>
      <c r="EM89" s="1006">
        <f t="shared" si="224"/>
        <v>0</v>
      </c>
      <c r="EN89" s="1007" t="e">
        <f t="shared" si="225"/>
        <v>#VALUE!</v>
      </c>
      <c r="EO89" s="258" t="str">
        <f t="shared" si="316"/>
        <v>--</v>
      </c>
      <c r="EP89" s="258"/>
      <c r="EQ89" s="197">
        <f t="shared" si="226"/>
        <v>0</v>
      </c>
      <c r="ER89" s="1006">
        <f t="shared" si="227"/>
        <v>0</v>
      </c>
      <c r="ES89" s="1007" t="e">
        <f t="shared" si="228"/>
        <v>#VALUE!</v>
      </c>
      <c r="ET89" s="258" t="str">
        <f t="shared" si="317"/>
        <v>--</v>
      </c>
      <c r="EU89" s="258"/>
      <c r="EV89" s="197">
        <f t="shared" si="229"/>
        <v>0</v>
      </c>
      <c r="EW89" s="1006">
        <f t="shared" si="230"/>
        <v>0</v>
      </c>
      <c r="EX89" s="1007" t="e">
        <f t="shared" si="231"/>
        <v>#VALUE!</v>
      </c>
      <c r="EY89" s="258" t="str">
        <f t="shared" si="318"/>
        <v>--</v>
      </c>
      <c r="EZ89" s="258"/>
      <c r="FA89" s="197">
        <f t="shared" si="232"/>
        <v>0</v>
      </c>
      <c r="FB89" s="1006">
        <f t="shared" si="233"/>
        <v>0</v>
      </c>
      <c r="FC89" s="1007" t="e">
        <f t="shared" si="234"/>
        <v>#VALUE!</v>
      </c>
      <c r="FD89" s="258" t="str">
        <f t="shared" si="319"/>
        <v>--</v>
      </c>
      <c r="FE89" s="258"/>
      <c r="FF89" s="197">
        <f t="shared" si="235"/>
        <v>0</v>
      </c>
      <c r="FG89" s="1006">
        <f t="shared" si="236"/>
        <v>0</v>
      </c>
      <c r="FH89" s="1007" t="e">
        <f t="shared" si="237"/>
        <v>#VALUE!</v>
      </c>
      <c r="FI89" s="258" t="str">
        <f t="shared" si="320"/>
        <v>--</v>
      </c>
      <c r="FJ89" s="258"/>
      <c r="FK89" s="197">
        <f t="shared" si="238"/>
        <v>0</v>
      </c>
      <c r="FL89" s="1006">
        <f t="shared" si="239"/>
        <v>0</v>
      </c>
      <c r="FM89" s="1007" t="e">
        <f t="shared" si="240"/>
        <v>#VALUE!</v>
      </c>
      <c r="FN89" s="258" t="str">
        <f t="shared" si="321"/>
        <v>--</v>
      </c>
      <c r="FO89" s="258"/>
      <c r="FP89" s="197">
        <f t="shared" si="241"/>
        <v>0</v>
      </c>
      <c r="FQ89" s="1006">
        <f t="shared" si="242"/>
        <v>0</v>
      </c>
      <c r="FR89" s="1007" t="e">
        <f t="shared" si="243"/>
        <v>#VALUE!</v>
      </c>
      <c r="FS89" s="258" t="str">
        <f t="shared" si="322"/>
        <v>--</v>
      </c>
      <c r="FT89" s="258"/>
      <c r="FU89" s="197">
        <f t="shared" si="244"/>
        <v>0</v>
      </c>
      <c r="FV89" s="1006">
        <f t="shared" si="245"/>
        <v>0</v>
      </c>
      <c r="FW89" s="1007" t="e">
        <f t="shared" si="246"/>
        <v>#VALUE!</v>
      </c>
      <c r="FX89" s="258" t="str">
        <f t="shared" si="323"/>
        <v>--</v>
      </c>
      <c r="FY89" s="258"/>
      <c r="FZ89" s="197">
        <f t="shared" si="247"/>
        <v>0</v>
      </c>
      <c r="GA89" s="1006">
        <f t="shared" si="248"/>
        <v>0</v>
      </c>
      <c r="GB89" s="1007" t="e">
        <f t="shared" si="249"/>
        <v>#VALUE!</v>
      </c>
      <c r="GC89" s="258" t="str">
        <f t="shared" si="324"/>
        <v>--</v>
      </c>
      <c r="GD89" s="258"/>
      <c r="GE89" s="197">
        <f t="shared" si="250"/>
        <v>0</v>
      </c>
      <c r="GF89" s="1006">
        <f t="shared" si="251"/>
        <v>0</v>
      </c>
      <c r="GG89" s="1007" t="e">
        <f t="shared" si="252"/>
        <v>#VALUE!</v>
      </c>
      <c r="GH89" s="258" t="str">
        <f t="shared" si="325"/>
        <v>--</v>
      </c>
      <c r="GI89" s="258"/>
      <c r="GJ89" s="197">
        <f t="shared" si="253"/>
        <v>0</v>
      </c>
      <c r="GK89" s="1340"/>
      <c r="GL89" s="164"/>
      <c r="GM89" s="164"/>
      <c r="GN89" s="164"/>
    </row>
    <row r="90" spans="1:196" ht="12.75" x14ac:dyDescent="0.2">
      <c r="A90" s="243">
        <f>'Item list'!A90</f>
        <v>0</v>
      </c>
      <c r="B90" s="243">
        <f>'Item list'!B90</f>
        <v>0</v>
      </c>
      <c r="C90" s="243">
        <f>'Item list'!C90</f>
        <v>0</v>
      </c>
      <c r="D90" s="989">
        <f>'Item list'!D90</f>
        <v>0</v>
      </c>
      <c r="E90" s="243">
        <f>'Item list'!E90</f>
        <v>0</v>
      </c>
      <c r="F90" s="243">
        <f>'Item list'!F90</f>
        <v>0</v>
      </c>
      <c r="G90" s="243">
        <f>'Item list'!G90</f>
        <v>0</v>
      </c>
      <c r="H90" s="1005" t="e">
        <f t="shared" si="144"/>
        <v>#REF!</v>
      </c>
      <c r="I90" s="243"/>
      <c r="J90" s="243"/>
      <c r="K90" s="243"/>
      <c r="L90" s="197">
        <f t="shared" si="145"/>
        <v>0</v>
      </c>
      <c r="M90" s="1006">
        <f t="shared" si="146"/>
        <v>0</v>
      </c>
      <c r="N90" s="1007" t="e">
        <f t="shared" si="147"/>
        <v>#VALUE!</v>
      </c>
      <c r="O90" s="258" t="str">
        <f t="shared" si="290"/>
        <v>--</v>
      </c>
      <c r="P90" s="258"/>
      <c r="Q90" s="197">
        <f t="shared" si="148"/>
        <v>0</v>
      </c>
      <c r="R90" s="1006">
        <f t="shared" si="149"/>
        <v>0</v>
      </c>
      <c r="S90" s="1007" t="e">
        <f t="shared" si="150"/>
        <v>#VALUE!</v>
      </c>
      <c r="T90" s="258" t="str">
        <f t="shared" si="291"/>
        <v>--</v>
      </c>
      <c r="U90" s="258"/>
      <c r="V90" s="197">
        <f t="shared" si="151"/>
        <v>0</v>
      </c>
      <c r="W90" s="1006">
        <f t="shared" si="152"/>
        <v>0</v>
      </c>
      <c r="X90" s="1007" t="e">
        <f t="shared" si="153"/>
        <v>#VALUE!</v>
      </c>
      <c r="Y90" s="258" t="str">
        <f t="shared" si="292"/>
        <v>--</v>
      </c>
      <c r="Z90" s="258"/>
      <c r="AA90" s="197">
        <f t="shared" si="154"/>
        <v>0</v>
      </c>
      <c r="AB90" s="1006">
        <f t="shared" si="155"/>
        <v>0</v>
      </c>
      <c r="AC90" s="1007" t="e">
        <f t="shared" si="156"/>
        <v>#VALUE!</v>
      </c>
      <c r="AD90" s="258" t="str">
        <f t="shared" si="293"/>
        <v>--</v>
      </c>
      <c r="AE90" s="258"/>
      <c r="AF90" s="197">
        <f t="shared" si="157"/>
        <v>0</v>
      </c>
      <c r="AG90" s="1006">
        <f t="shared" si="158"/>
        <v>0</v>
      </c>
      <c r="AH90" s="1007" t="e">
        <f t="shared" si="159"/>
        <v>#VALUE!</v>
      </c>
      <c r="AI90" s="258" t="str">
        <f t="shared" si="294"/>
        <v>--</v>
      </c>
      <c r="AJ90" s="258"/>
      <c r="AK90" s="197">
        <f t="shared" si="160"/>
        <v>0</v>
      </c>
      <c r="AL90" s="1006">
        <f t="shared" si="161"/>
        <v>0</v>
      </c>
      <c r="AM90" s="1007" t="e">
        <f t="shared" si="162"/>
        <v>#VALUE!</v>
      </c>
      <c r="AN90" s="258" t="str">
        <f t="shared" si="295"/>
        <v>--</v>
      </c>
      <c r="AO90" s="258"/>
      <c r="AP90" s="197">
        <f t="shared" si="163"/>
        <v>0</v>
      </c>
      <c r="AQ90" s="1006">
        <f t="shared" si="164"/>
        <v>0</v>
      </c>
      <c r="AR90" s="1007" t="e">
        <f t="shared" si="165"/>
        <v>#VALUE!</v>
      </c>
      <c r="AS90" s="258" t="str">
        <f t="shared" si="296"/>
        <v>--</v>
      </c>
      <c r="AT90" s="258"/>
      <c r="AU90" s="197">
        <f t="shared" si="166"/>
        <v>0</v>
      </c>
      <c r="AV90" s="1006">
        <f t="shared" si="167"/>
        <v>0</v>
      </c>
      <c r="AW90" s="1007" t="e">
        <f t="shared" si="168"/>
        <v>#VALUE!</v>
      </c>
      <c r="AX90" s="258" t="str">
        <f t="shared" si="297"/>
        <v>--</v>
      </c>
      <c r="AY90" s="258"/>
      <c r="AZ90" s="197">
        <f t="shared" si="169"/>
        <v>0</v>
      </c>
      <c r="BA90" s="1006">
        <f t="shared" si="170"/>
        <v>0</v>
      </c>
      <c r="BB90" s="1007" t="e">
        <f t="shared" si="171"/>
        <v>#VALUE!</v>
      </c>
      <c r="BC90" s="258" t="str">
        <f t="shared" si="298"/>
        <v>--</v>
      </c>
      <c r="BD90" s="258"/>
      <c r="BE90" s="197">
        <f t="shared" si="172"/>
        <v>0</v>
      </c>
      <c r="BF90" s="1006">
        <f t="shared" si="173"/>
        <v>0</v>
      </c>
      <c r="BG90" s="1007" t="e">
        <f t="shared" si="174"/>
        <v>#VALUE!</v>
      </c>
      <c r="BH90" s="258" t="str">
        <f t="shared" si="299"/>
        <v>--</v>
      </c>
      <c r="BI90" s="258"/>
      <c r="BJ90" s="197">
        <f t="shared" si="175"/>
        <v>0</v>
      </c>
      <c r="BK90" s="1006">
        <f t="shared" si="176"/>
        <v>0</v>
      </c>
      <c r="BL90" s="1007" t="e">
        <f t="shared" si="177"/>
        <v>#VALUE!</v>
      </c>
      <c r="BM90" s="258" t="str">
        <f t="shared" si="300"/>
        <v>--</v>
      </c>
      <c r="BN90" s="258"/>
      <c r="BO90" s="197">
        <f t="shared" si="178"/>
        <v>0</v>
      </c>
      <c r="BP90" s="1006">
        <f t="shared" si="179"/>
        <v>0</v>
      </c>
      <c r="BQ90" s="1007" t="e">
        <f t="shared" si="180"/>
        <v>#VALUE!</v>
      </c>
      <c r="BR90" s="258" t="str">
        <f t="shared" si="301"/>
        <v>--</v>
      </c>
      <c r="BS90" s="258"/>
      <c r="BT90" s="197">
        <f t="shared" si="181"/>
        <v>0</v>
      </c>
      <c r="BU90" s="1006">
        <f t="shared" si="182"/>
        <v>0</v>
      </c>
      <c r="BV90" s="1007" t="e">
        <f t="shared" si="183"/>
        <v>#VALUE!</v>
      </c>
      <c r="BW90" s="258" t="str">
        <f t="shared" si="302"/>
        <v>--</v>
      </c>
      <c r="BX90" s="258"/>
      <c r="BY90" s="197">
        <f t="shared" si="184"/>
        <v>0</v>
      </c>
      <c r="BZ90" s="1006">
        <f t="shared" si="185"/>
        <v>0</v>
      </c>
      <c r="CA90" s="1007" t="e">
        <f t="shared" si="186"/>
        <v>#VALUE!</v>
      </c>
      <c r="CB90" s="258" t="str">
        <f t="shared" si="303"/>
        <v>--</v>
      </c>
      <c r="CC90" s="258"/>
      <c r="CD90" s="197">
        <f t="shared" si="187"/>
        <v>0</v>
      </c>
      <c r="CE90" s="1006">
        <f t="shared" si="188"/>
        <v>0</v>
      </c>
      <c r="CF90" s="1007" t="e">
        <f t="shared" si="189"/>
        <v>#VALUE!</v>
      </c>
      <c r="CG90" s="258" t="str">
        <f t="shared" si="304"/>
        <v>--</v>
      </c>
      <c r="CH90" s="258"/>
      <c r="CI90" s="197">
        <f t="shared" si="190"/>
        <v>0</v>
      </c>
      <c r="CJ90" s="1006">
        <f t="shared" si="191"/>
        <v>0</v>
      </c>
      <c r="CK90" s="1007" t="e">
        <f t="shared" si="192"/>
        <v>#VALUE!</v>
      </c>
      <c r="CL90" s="258" t="str">
        <f t="shared" si="305"/>
        <v>--</v>
      </c>
      <c r="CM90" s="258"/>
      <c r="CN90" s="197">
        <f t="shared" si="193"/>
        <v>0</v>
      </c>
      <c r="CO90" s="1006">
        <f t="shared" si="194"/>
        <v>0</v>
      </c>
      <c r="CP90" s="1007" t="e">
        <f t="shared" si="195"/>
        <v>#VALUE!</v>
      </c>
      <c r="CQ90" s="258" t="str">
        <f t="shared" si="306"/>
        <v>--</v>
      </c>
      <c r="CR90" s="258"/>
      <c r="CS90" s="197">
        <f t="shared" si="196"/>
        <v>0</v>
      </c>
      <c r="CT90" s="1006">
        <f t="shared" si="197"/>
        <v>0</v>
      </c>
      <c r="CU90" s="1007" t="e">
        <f t="shared" si="198"/>
        <v>#VALUE!</v>
      </c>
      <c r="CV90" s="258" t="str">
        <f t="shared" si="307"/>
        <v>--</v>
      </c>
      <c r="CW90" s="258"/>
      <c r="CX90" s="197">
        <f t="shared" si="199"/>
        <v>0</v>
      </c>
      <c r="CY90" s="1006">
        <f t="shared" si="200"/>
        <v>0</v>
      </c>
      <c r="CZ90" s="1007" t="e">
        <f t="shared" si="201"/>
        <v>#VALUE!</v>
      </c>
      <c r="DA90" s="258" t="str">
        <f t="shared" si="308"/>
        <v>--</v>
      </c>
      <c r="DB90" s="258"/>
      <c r="DC90" s="197">
        <f t="shared" si="202"/>
        <v>0</v>
      </c>
      <c r="DD90" s="1006">
        <f t="shared" si="203"/>
        <v>0</v>
      </c>
      <c r="DE90" s="1007" t="e">
        <f t="shared" si="204"/>
        <v>#VALUE!</v>
      </c>
      <c r="DF90" s="258" t="str">
        <f t="shared" si="309"/>
        <v>--</v>
      </c>
      <c r="DG90" s="258"/>
      <c r="DH90" s="197">
        <f t="shared" si="205"/>
        <v>0</v>
      </c>
      <c r="DI90" s="1006">
        <f t="shared" si="206"/>
        <v>0</v>
      </c>
      <c r="DJ90" s="1007" t="e">
        <f t="shared" si="207"/>
        <v>#VALUE!</v>
      </c>
      <c r="DK90" s="258" t="str">
        <f t="shared" si="310"/>
        <v>--</v>
      </c>
      <c r="DL90" s="258"/>
      <c r="DM90" s="197">
        <f t="shared" si="208"/>
        <v>0</v>
      </c>
      <c r="DN90" s="1006">
        <f t="shared" si="209"/>
        <v>0</v>
      </c>
      <c r="DO90" s="1007" t="e">
        <f t="shared" si="210"/>
        <v>#VALUE!</v>
      </c>
      <c r="DP90" s="258" t="str">
        <f t="shared" si="311"/>
        <v>--</v>
      </c>
      <c r="DQ90" s="258"/>
      <c r="DR90" s="197">
        <f t="shared" si="211"/>
        <v>0</v>
      </c>
      <c r="DS90" s="1006">
        <f t="shared" si="212"/>
        <v>0</v>
      </c>
      <c r="DT90" s="1007" t="e">
        <f t="shared" si="213"/>
        <v>#VALUE!</v>
      </c>
      <c r="DU90" s="258" t="str">
        <f t="shared" si="312"/>
        <v>--</v>
      </c>
      <c r="DV90" s="258"/>
      <c r="DW90" s="197">
        <f t="shared" si="214"/>
        <v>0</v>
      </c>
      <c r="DX90" s="1006">
        <f t="shared" si="215"/>
        <v>0</v>
      </c>
      <c r="DY90" s="1007" t="e">
        <f t="shared" si="216"/>
        <v>#VALUE!</v>
      </c>
      <c r="DZ90" s="258" t="str">
        <f t="shared" si="313"/>
        <v>--</v>
      </c>
      <c r="EA90" s="258"/>
      <c r="EB90" s="197">
        <f t="shared" si="217"/>
        <v>0</v>
      </c>
      <c r="EC90" s="1006">
        <f t="shared" si="218"/>
        <v>0</v>
      </c>
      <c r="ED90" s="1007" t="e">
        <f t="shared" si="219"/>
        <v>#VALUE!</v>
      </c>
      <c r="EE90" s="258" t="str">
        <f t="shared" si="314"/>
        <v>--</v>
      </c>
      <c r="EF90" s="258"/>
      <c r="EG90" s="197">
        <f t="shared" si="220"/>
        <v>0</v>
      </c>
      <c r="EH90" s="1006">
        <f t="shared" si="221"/>
        <v>0</v>
      </c>
      <c r="EI90" s="1007" t="e">
        <f t="shared" si="222"/>
        <v>#VALUE!</v>
      </c>
      <c r="EJ90" s="258" t="str">
        <f t="shared" si="315"/>
        <v>--</v>
      </c>
      <c r="EK90" s="258"/>
      <c r="EL90" s="197">
        <f t="shared" si="223"/>
        <v>0</v>
      </c>
      <c r="EM90" s="1006">
        <f t="shared" si="224"/>
        <v>0</v>
      </c>
      <c r="EN90" s="1007" t="e">
        <f t="shared" si="225"/>
        <v>#VALUE!</v>
      </c>
      <c r="EO90" s="258" t="str">
        <f t="shared" si="316"/>
        <v>--</v>
      </c>
      <c r="EP90" s="258"/>
      <c r="EQ90" s="197">
        <f t="shared" si="226"/>
        <v>0</v>
      </c>
      <c r="ER90" s="1006">
        <f t="shared" si="227"/>
        <v>0</v>
      </c>
      <c r="ES90" s="1007" t="e">
        <f t="shared" si="228"/>
        <v>#VALUE!</v>
      </c>
      <c r="ET90" s="258" t="str">
        <f t="shared" si="317"/>
        <v>--</v>
      </c>
      <c r="EU90" s="258"/>
      <c r="EV90" s="197">
        <f t="shared" si="229"/>
        <v>0</v>
      </c>
      <c r="EW90" s="1006">
        <f t="shared" si="230"/>
        <v>0</v>
      </c>
      <c r="EX90" s="1007" t="e">
        <f t="shared" si="231"/>
        <v>#VALUE!</v>
      </c>
      <c r="EY90" s="258" t="str">
        <f t="shared" si="318"/>
        <v>--</v>
      </c>
      <c r="EZ90" s="258"/>
      <c r="FA90" s="197">
        <f t="shared" si="232"/>
        <v>0</v>
      </c>
      <c r="FB90" s="1006">
        <f t="shared" si="233"/>
        <v>0</v>
      </c>
      <c r="FC90" s="1007" t="e">
        <f t="shared" si="234"/>
        <v>#VALUE!</v>
      </c>
      <c r="FD90" s="258" t="str">
        <f t="shared" si="319"/>
        <v>--</v>
      </c>
      <c r="FE90" s="258"/>
      <c r="FF90" s="197">
        <f t="shared" si="235"/>
        <v>0</v>
      </c>
      <c r="FG90" s="1006">
        <f t="shared" si="236"/>
        <v>0</v>
      </c>
      <c r="FH90" s="1007" t="e">
        <f t="shared" si="237"/>
        <v>#VALUE!</v>
      </c>
      <c r="FI90" s="258" t="str">
        <f t="shared" si="320"/>
        <v>--</v>
      </c>
      <c r="FJ90" s="258"/>
      <c r="FK90" s="197">
        <f t="shared" si="238"/>
        <v>0</v>
      </c>
      <c r="FL90" s="1006">
        <f t="shared" si="239"/>
        <v>0</v>
      </c>
      <c r="FM90" s="1007" t="e">
        <f t="shared" si="240"/>
        <v>#VALUE!</v>
      </c>
      <c r="FN90" s="258" t="str">
        <f t="shared" si="321"/>
        <v>--</v>
      </c>
      <c r="FO90" s="258"/>
      <c r="FP90" s="197">
        <f t="shared" si="241"/>
        <v>0</v>
      </c>
      <c r="FQ90" s="1006">
        <f t="shared" si="242"/>
        <v>0</v>
      </c>
      <c r="FR90" s="1007" t="e">
        <f t="shared" si="243"/>
        <v>#VALUE!</v>
      </c>
      <c r="FS90" s="258" t="str">
        <f t="shared" si="322"/>
        <v>--</v>
      </c>
      <c r="FT90" s="258"/>
      <c r="FU90" s="197">
        <f t="shared" si="244"/>
        <v>0</v>
      </c>
      <c r="FV90" s="1006">
        <f t="shared" si="245"/>
        <v>0</v>
      </c>
      <c r="FW90" s="1007" t="e">
        <f t="shared" si="246"/>
        <v>#VALUE!</v>
      </c>
      <c r="FX90" s="258" t="str">
        <f t="shared" si="323"/>
        <v>--</v>
      </c>
      <c r="FY90" s="258"/>
      <c r="FZ90" s="197">
        <f t="shared" si="247"/>
        <v>0</v>
      </c>
      <c r="GA90" s="1006">
        <f t="shared" si="248"/>
        <v>0</v>
      </c>
      <c r="GB90" s="1007" t="e">
        <f t="shared" si="249"/>
        <v>#VALUE!</v>
      </c>
      <c r="GC90" s="258" t="str">
        <f t="shared" si="324"/>
        <v>--</v>
      </c>
      <c r="GD90" s="258"/>
      <c r="GE90" s="197">
        <f t="shared" si="250"/>
        <v>0</v>
      </c>
      <c r="GF90" s="1006">
        <f t="shared" si="251"/>
        <v>0</v>
      </c>
      <c r="GG90" s="1007" t="e">
        <f t="shared" si="252"/>
        <v>#VALUE!</v>
      </c>
      <c r="GH90" s="258" t="str">
        <f t="shared" si="325"/>
        <v>--</v>
      </c>
      <c r="GI90" s="258"/>
      <c r="GJ90" s="197">
        <f t="shared" si="253"/>
        <v>0</v>
      </c>
      <c r="GK90" s="1340"/>
      <c r="GL90" s="164"/>
      <c r="GM90" s="164"/>
      <c r="GN90" s="164"/>
    </row>
    <row r="91" spans="1:196" ht="12.75" x14ac:dyDescent="0.2">
      <c r="A91" s="243">
        <f>'Item list'!A91</f>
        <v>0</v>
      </c>
      <c r="B91" s="243">
        <f>'Item list'!B91</f>
        <v>0</v>
      </c>
      <c r="C91" s="243">
        <f>'Item list'!C91</f>
        <v>0</v>
      </c>
      <c r="D91" s="989">
        <f>'Item list'!D91</f>
        <v>0</v>
      </c>
      <c r="E91" s="243">
        <f>'Item list'!E91</f>
        <v>0</v>
      </c>
      <c r="F91" s="243">
        <f>'Item list'!F91</f>
        <v>0</v>
      </c>
      <c r="G91" s="243">
        <f>'Item list'!G91</f>
        <v>0</v>
      </c>
      <c r="H91" s="1005" t="e">
        <f t="shared" si="144"/>
        <v>#REF!</v>
      </c>
      <c r="I91" s="243"/>
      <c r="J91" s="243"/>
      <c r="K91" s="243"/>
      <c r="L91" s="197">
        <f t="shared" si="145"/>
        <v>0</v>
      </c>
      <c r="M91" s="1006">
        <f t="shared" si="146"/>
        <v>0</v>
      </c>
      <c r="N91" s="1007" t="e">
        <f t="shared" si="147"/>
        <v>#VALUE!</v>
      </c>
      <c r="O91" s="258" t="str">
        <f t="shared" si="290"/>
        <v>--</v>
      </c>
      <c r="P91" s="258"/>
      <c r="Q91" s="197">
        <f t="shared" si="148"/>
        <v>0</v>
      </c>
      <c r="R91" s="1006">
        <f t="shared" si="149"/>
        <v>0</v>
      </c>
      <c r="S91" s="1007" t="e">
        <f t="shared" si="150"/>
        <v>#VALUE!</v>
      </c>
      <c r="T91" s="258" t="str">
        <f t="shared" si="291"/>
        <v>--</v>
      </c>
      <c r="U91" s="258"/>
      <c r="V91" s="197">
        <f t="shared" si="151"/>
        <v>0</v>
      </c>
      <c r="W91" s="1006">
        <f t="shared" si="152"/>
        <v>0</v>
      </c>
      <c r="X91" s="1007" t="e">
        <f t="shared" si="153"/>
        <v>#VALUE!</v>
      </c>
      <c r="Y91" s="258" t="str">
        <f t="shared" si="292"/>
        <v>--</v>
      </c>
      <c r="Z91" s="258"/>
      <c r="AA91" s="197">
        <f t="shared" si="154"/>
        <v>0</v>
      </c>
      <c r="AB91" s="1006">
        <f t="shared" si="155"/>
        <v>0</v>
      </c>
      <c r="AC91" s="1007" t="e">
        <f t="shared" si="156"/>
        <v>#VALUE!</v>
      </c>
      <c r="AD91" s="258" t="str">
        <f t="shared" si="293"/>
        <v>--</v>
      </c>
      <c r="AE91" s="258"/>
      <c r="AF91" s="197">
        <f t="shared" si="157"/>
        <v>0</v>
      </c>
      <c r="AG91" s="1006">
        <f t="shared" si="158"/>
        <v>0</v>
      </c>
      <c r="AH91" s="1007" t="e">
        <f t="shared" si="159"/>
        <v>#VALUE!</v>
      </c>
      <c r="AI91" s="258" t="str">
        <f t="shared" si="294"/>
        <v>--</v>
      </c>
      <c r="AJ91" s="258"/>
      <c r="AK91" s="197">
        <f t="shared" si="160"/>
        <v>0</v>
      </c>
      <c r="AL91" s="1006">
        <f t="shared" si="161"/>
        <v>0</v>
      </c>
      <c r="AM91" s="1007" t="e">
        <f t="shared" si="162"/>
        <v>#VALUE!</v>
      </c>
      <c r="AN91" s="258" t="str">
        <f t="shared" si="295"/>
        <v>--</v>
      </c>
      <c r="AO91" s="258"/>
      <c r="AP91" s="197">
        <f t="shared" si="163"/>
        <v>0</v>
      </c>
      <c r="AQ91" s="1006">
        <f t="shared" si="164"/>
        <v>0</v>
      </c>
      <c r="AR91" s="1007" t="e">
        <f t="shared" si="165"/>
        <v>#VALUE!</v>
      </c>
      <c r="AS91" s="258" t="str">
        <f t="shared" si="296"/>
        <v>--</v>
      </c>
      <c r="AT91" s="258"/>
      <c r="AU91" s="197">
        <f t="shared" si="166"/>
        <v>0</v>
      </c>
      <c r="AV91" s="1006">
        <f t="shared" si="167"/>
        <v>0</v>
      </c>
      <c r="AW91" s="1007" t="e">
        <f t="shared" si="168"/>
        <v>#VALUE!</v>
      </c>
      <c r="AX91" s="258" t="str">
        <f t="shared" si="297"/>
        <v>--</v>
      </c>
      <c r="AY91" s="258"/>
      <c r="AZ91" s="197">
        <f t="shared" si="169"/>
        <v>0</v>
      </c>
      <c r="BA91" s="1006">
        <f t="shared" si="170"/>
        <v>0</v>
      </c>
      <c r="BB91" s="1007" t="e">
        <f t="shared" si="171"/>
        <v>#VALUE!</v>
      </c>
      <c r="BC91" s="258" t="str">
        <f t="shared" si="298"/>
        <v>--</v>
      </c>
      <c r="BD91" s="258"/>
      <c r="BE91" s="197">
        <f t="shared" si="172"/>
        <v>0</v>
      </c>
      <c r="BF91" s="1006">
        <f t="shared" si="173"/>
        <v>0</v>
      </c>
      <c r="BG91" s="1007" t="e">
        <f t="shared" si="174"/>
        <v>#VALUE!</v>
      </c>
      <c r="BH91" s="258" t="str">
        <f t="shared" si="299"/>
        <v>--</v>
      </c>
      <c r="BI91" s="258"/>
      <c r="BJ91" s="197">
        <f t="shared" si="175"/>
        <v>0</v>
      </c>
      <c r="BK91" s="1006">
        <f t="shared" si="176"/>
        <v>0</v>
      </c>
      <c r="BL91" s="1007" t="e">
        <f t="shared" si="177"/>
        <v>#VALUE!</v>
      </c>
      <c r="BM91" s="258" t="str">
        <f t="shared" si="300"/>
        <v>--</v>
      </c>
      <c r="BN91" s="258"/>
      <c r="BO91" s="197">
        <f t="shared" si="178"/>
        <v>0</v>
      </c>
      <c r="BP91" s="1006">
        <f t="shared" si="179"/>
        <v>0</v>
      </c>
      <c r="BQ91" s="1007" t="e">
        <f t="shared" si="180"/>
        <v>#VALUE!</v>
      </c>
      <c r="BR91" s="258" t="str">
        <f t="shared" si="301"/>
        <v>--</v>
      </c>
      <c r="BS91" s="258"/>
      <c r="BT91" s="197">
        <f t="shared" si="181"/>
        <v>0</v>
      </c>
      <c r="BU91" s="1006">
        <f t="shared" si="182"/>
        <v>0</v>
      </c>
      <c r="BV91" s="1007" t="e">
        <f t="shared" si="183"/>
        <v>#VALUE!</v>
      </c>
      <c r="BW91" s="258" t="str">
        <f t="shared" si="302"/>
        <v>--</v>
      </c>
      <c r="BX91" s="258"/>
      <c r="BY91" s="197">
        <f t="shared" si="184"/>
        <v>0</v>
      </c>
      <c r="BZ91" s="1006">
        <f t="shared" si="185"/>
        <v>0</v>
      </c>
      <c r="CA91" s="1007" t="e">
        <f t="shared" si="186"/>
        <v>#VALUE!</v>
      </c>
      <c r="CB91" s="258" t="str">
        <f t="shared" si="303"/>
        <v>--</v>
      </c>
      <c r="CC91" s="258"/>
      <c r="CD91" s="197">
        <f t="shared" si="187"/>
        <v>0</v>
      </c>
      <c r="CE91" s="1006">
        <f t="shared" si="188"/>
        <v>0</v>
      </c>
      <c r="CF91" s="1007" t="e">
        <f t="shared" si="189"/>
        <v>#VALUE!</v>
      </c>
      <c r="CG91" s="258" t="str">
        <f t="shared" si="304"/>
        <v>--</v>
      </c>
      <c r="CH91" s="258"/>
      <c r="CI91" s="197">
        <f t="shared" si="190"/>
        <v>0</v>
      </c>
      <c r="CJ91" s="1006">
        <f t="shared" si="191"/>
        <v>0</v>
      </c>
      <c r="CK91" s="1007" t="e">
        <f t="shared" si="192"/>
        <v>#VALUE!</v>
      </c>
      <c r="CL91" s="258" t="str">
        <f t="shared" si="305"/>
        <v>--</v>
      </c>
      <c r="CM91" s="258"/>
      <c r="CN91" s="197">
        <f t="shared" si="193"/>
        <v>0</v>
      </c>
      <c r="CO91" s="1006">
        <f t="shared" si="194"/>
        <v>0</v>
      </c>
      <c r="CP91" s="1007" t="e">
        <f t="shared" si="195"/>
        <v>#VALUE!</v>
      </c>
      <c r="CQ91" s="258" t="str">
        <f t="shared" si="306"/>
        <v>--</v>
      </c>
      <c r="CR91" s="258"/>
      <c r="CS91" s="197">
        <f t="shared" si="196"/>
        <v>0</v>
      </c>
      <c r="CT91" s="1006">
        <f t="shared" si="197"/>
        <v>0</v>
      </c>
      <c r="CU91" s="1007" t="e">
        <f t="shared" si="198"/>
        <v>#VALUE!</v>
      </c>
      <c r="CV91" s="258" t="str">
        <f t="shared" si="307"/>
        <v>--</v>
      </c>
      <c r="CW91" s="258"/>
      <c r="CX91" s="197">
        <f t="shared" si="199"/>
        <v>0</v>
      </c>
      <c r="CY91" s="1006">
        <f t="shared" si="200"/>
        <v>0</v>
      </c>
      <c r="CZ91" s="1007" t="e">
        <f t="shared" si="201"/>
        <v>#VALUE!</v>
      </c>
      <c r="DA91" s="258" t="str">
        <f t="shared" si="308"/>
        <v>--</v>
      </c>
      <c r="DB91" s="258"/>
      <c r="DC91" s="197">
        <f t="shared" si="202"/>
        <v>0</v>
      </c>
      <c r="DD91" s="1006">
        <f t="shared" si="203"/>
        <v>0</v>
      </c>
      <c r="DE91" s="1007" t="e">
        <f t="shared" si="204"/>
        <v>#VALUE!</v>
      </c>
      <c r="DF91" s="258" t="str">
        <f t="shared" si="309"/>
        <v>--</v>
      </c>
      <c r="DG91" s="258"/>
      <c r="DH91" s="197">
        <f t="shared" si="205"/>
        <v>0</v>
      </c>
      <c r="DI91" s="1006">
        <f t="shared" si="206"/>
        <v>0</v>
      </c>
      <c r="DJ91" s="1007" t="e">
        <f t="shared" si="207"/>
        <v>#VALUE!</v>
      </c>
      <c r="DK91" s="258" t="str">
        <f t="shared" si="310"/>
        <v>--</v>
      </c>
      <c r="DL91" s="258"/>
      <c r="DM91" s="197">
        <f t="shared" si="208"/>
        <v>0</v>
      </c>
      <c r="DN91" s="1006">
        <f t="shared" si="209"/>
        <v>0</v>
      </c>
      <c r="DO91" s="1007" t="e">
        <f t="shared" si="210"/>
        <v>#VALUE!</v>
      </c>
      <c r="DP91" s="258" t="str">
        <f t="shared" si="311"/>
        <v>--</v>
      </c>
      <c r="DQ91" s="258"/>
      <c r="DR91" s="197">
        <f t="shared" si="211"/>
        <v>0</v>
      </c>
      <c r="DS91" s="1006">
        <f t="shared" si="212"/>
        <v>0</v>
      </c>
      <c r="DT91" s="1007" t="e">
        <f t="shared" si="213"/>
        <v>#VALUE!</v>
      </c>
      <c r="DU91" s="258" t="str">
        <f t="shared" si="312"/>
        <v>--</v>
      </c>
      <c r="DV91" s="258"/>
      <c r="DW91" s="197">
        <f t="shared" si="214"/>
        <v>0</v>
      </c>
      <c r="DX91" s="1006">
        <f t="shared" si="215"/>
        <v>0</v>
      </c>
      <c r="DY91" s="1007" t="e">
        <f t="shared" si="216"/>
        <v>#VALUE!</v>
      </c>
      <c r="DZ91" s="258" t="str">
        <f t="shared" si="313"/>
        <v>--</v>
      </c>
      <c r="EA91" s="258"/>
      <c r="EB91" s="197">
        <f t="shared" si="217"/>
        <v>0</v>
      </c>
      <c r="EC91" s="1006">
        <f t="shared" si="218"/>
        <v>0</v>
      </c>
      <c r="ED91" s="1007" t="e">
        <f t="shared" si="219"/>
        <v>#VALUE!</v>
      </c>
      <c r="EE91" s="258" t="str">
        <f t="shared" si="314"/>
        <v>--</v>
      </c>
      <c r="EF91" s="258"/>
      <c r="EG91" s="197">
        <f t="shared" si="220"/>
        <v>0</v>
      </c>
      <c r="EH91" s="1006">
        <f t="shared" si="221"/>
        <v>0</v>
      </c>
      <c r="EI91" s="1007" t="e">
        <f t="shared" si="222"/>
        <v>#VALUE!</v>
      </c>
      <c r="EJ91" s="258" t="str">
        <f t="shared" si="315"/>
        <v>--</v>
      </c>
      <c r="EK91" s="258"/>
      <c r="EL91" s="197">
        <f t="shared" si="223"/>
        <v>0</v>
      </c>
      <c r="EM91" s="1006">
        <f t="shared" si="224"/>
        <v>0</v>
      </c>
      <c r="EN91" s="1007" t="e">
        <f t="shared" si="225"/>
        <v>#VALUE!</v>
      </c>
      <c r="EO91" s="258" t="str">
        <f t="shared" si="316"/>
        <v>--</v>
      </c>
      <c r="EP91" s="258"/>
      <c r="EQ91" s="197">
        <f t="shared" si="226"/>
        <v>0</v>
      </c>
      <c r="ER91" s="1006">
        <f t="shared" si="227"/>
        <v>0</v>
      </c>
      <c r="ES91" s="1007" t="e">
        <f t="shared" si="228"/>
        <v>#VALUE!</v>
      </c>
      <c r="ET91" s="258" t="str">
        <f t="shared" si="317"/>
        <v>--</v>
      </c>
      <c r="EU91" s="258"/>
      <c r="EV91" s="197">
        <f t="shared" si="229"/>
        <v>0</v>
      </c>
      <c r="EW91" s="1006">
        <f t="shared" si="230"/>
        <v>0</v>
      </c>
      <c r="EX91" s="1007" t="e">
        <f t="shared" si="231"/>
        <v>#VALUE!</v>
      </c>
      <c r="EY91" s="258" t="str">
        <f t="shared" si="318"/>
        <v>--</v>
      </c>
      <c r="EZ91" s="258"/>
      <c r="FA91" s="197">
        <f t="shared" si="232"/>
        <v>0</v>
      </c>
      <c r="FB91" s="1006">
        <f t="shared" si="233"/>
        <v>0</v>
      </c>
      <c r="FC91" s="1007" t="e">
        <f t="shared" si="234"/>
        <v>#VALUE!</v>
      </c>
      <c r="FD91" s="258" t="str">
        <f t="shared" si="319"/>
        <v>--</v>
      </c>
      <c r="FE91" s="258"/>
      <c r="FF91" s="197">
        <f t="shared" si="235"/>
        <v>0</v>
      </c>
      <c r="FG91" s="1006">
        <f t="shared" si="236"/>
        <v>0</v>
      </c>
      <c r="FH91" s="1007" t="e">
        <f t="shared" si="237"/>
        <v>#VALUE!</v>
      </c>
      <c r="FI91" s="258" t="str">
        <f t="shared" si="320"/>
        <v>--</v>
      </c>
      <c r="FJ91" s="258"/>
      <c r="FK91" s="197">
        <f t="shared" si="238"/>
        <v>0</v>
      </c>
      <c r="FL91" s="1006">
        <f t="shared" si="239"/>
        <v>0</v>
      </c>
      <c r="FM91" s="1007" t="e">
        <f t="shared" si="240"/>
        <v>#VALUE!</v>
      </c>
      <c r="FN91" s="258" t="str">
        <f t="shared" si="321"/>
        <v>--</v>
      </c>
      <c r="FO91" s="258"/>
      <c r="FP91" s="197">
        <f t="shared" si="241"/>
        <v>0</v>
      </c>
      <c r="FQ91" s="1006">
        <f t="shared" si="242"/>
        <v>0</v>
      </c>
      <c r="FR91" s="1007" t="e">
        <f t="shared" si="243"/>
        <v>#VALUE!</v>
      </c>
      <c r="FS91" s="258" t="str">
        <f t="shared" si="322"/>
        <v>--</v>
      </c>
      <c r="FT91" s="258"/>
      <c r="FU91" s="197">
        <f t="shared" si="244"/>
        <v>0</v>
      </c>
      <c r="FV91" s="1006">
        <f t="shared" si="245"/>
        <v>0</v>
      </c>
      <c r="FW91" s="1007" t="e">
        <f t="shared" si="246"/>
        <v>#VALUE!</v>
      </c>
      <c r="FX91" s="258" t="str">
        <f t="shared" si="323"/>
        <v>--</v>
      </c>
      <c r="FY91" s="258"/>
      <c r="FZ91" s="197">
        <f t="shared" si="247"/>
        <v>0</v>
      </c>
      <c r="GA91" s="1006">
        <f t="shared" si="248"/>
        <v>0</v>
      </c>
      <c r="GB91" s="1007" t="e">
        <f t="shared" si="249"/>
        <v>#VALUE!</v>
      </c>
      <c r="GC91" s="258" t="str">
        <f t="shared" si="324"/>
        <v>--</v>
      </c>
      <c r="GD91" s="258"/>
      <c r="GE91" s="197">
        <f t="shared" si="250"/>
        <v>0</v>
      </c>
      <c r="GF91" s="1006">
        <f t="shared" si="251"/>
        <v>0</v>
      </c>
      <c r="GG91" s="1007" t="e">
        <f t="shared" si="252"/>
        <v>#VALUE!</v>
      </c>
      <c r="GH91" s="258" t="str">
        <f t="shared" si="325"/>
        <v>--</v>
      </c>
      <c r="GI91" s="258"/>
      <c r="GJ91" s="197">
        <f t="shared" si="253"/>
        <v>0</v>
      </c>
      <c r="GK91" s="1340"/>
      <c r="GL91" s="164"/>
      <c r="GM91" s="164"/>
      <c r="GN91" s="164"/>
    </row>
    <row r="92" spans="1:196" ht="12.75" x14ac:dyDescent="0.2">
      <c r="A92" s="243">
        <f>'Item list'!A92</f>
        <v>0</v>
      </c>
      <c r="B92" s="243">
        <f>'Item list'!B92</f>
        <v>0</v>
      </c>
      <c r="C92" s="243">
        <f>'Item list'!C92</f>
        <v>0</v>
      </c>
      <c r="D92" s="989">
        <f>'Item list'!D92</f>
        <v>0</v>
      </c>
      <c r="E92" s="243">
        <f>'Item list'!E92</f>
        <v>0</v>
      </c>
      <c r="F92" s="243">
        <f>'Item list'!F92</f>
        <v>0</v>
      </c>
      <c r="G92" s="243">
        <f>'Item list'!G92</f>
        <v>0</v>
      </c>
      <c r="H92" s="1005" t="e">
        <f t="shared" si="144"/>
        <v>#REF!</v>
      </c>
      <c r="I92" s="243"/>
      <c r="J92" s="243"/>
      <c r="K92" s="243"/>
      <c r="L92" s="197">
        <f t="shared" si="145"/>
        <v>0</v>
      </c>
      <c r="M92" s="1006">
        <f t="shared" si="146"/>
        <v>0</v>
      </c>
      <c r="N92" s="1007" t="e">
        <f t="shared" si="147"/>
        <v>#VALUE!</v>
      </c>
      <c r="O92" s="258" t="str">
        <f t="shared" si="290"/>
        <v>--</v>
      </c>
      <c r="P92" s="258"/>
      <c r="Q92" s="197">
        <f t="shared" si="148"/>
        <v>0</v>
      </c>
      <c r="R92" s="1006">
        <f t="shared" si="149"/>
        <v>0</v>
      </c>
      <c r="S92" s="1007" t="e">
        <f t="shared" si="150"/>
        <v>#VALUE!</v>
      </c>
      <c r="T92" s="258" t="str">
        <f t="shared" si="291"/>
        <v>--</v>
      </c>
      <c r="U92" s="258"/>
      <c r="V92" s="197">
        <f t="shared" si="151"/>
        <v>0</v>
      </c>
      <c r="W92" s="1006">
        <f t="shared" si="152"/>
        <v>0</v>
      </c>
      <c r="X92" s="1007" t="e">
        <f t="shared" si="153"/>
        <v>#VALUE!</v>
      </c>
      <c r="Y92" s="258" t="str">
        <f t="shared" si="292"/>
        <v>--</v>
      </c>
      <c r="Z92" s="258"/>
      <c r="AA92" s="197">
        <f t="shared" si="154"/>
        <v>0</v>
      </c>
      <c r="AB92" s="1006">
        <f t="shared" si="155"/>
        <v>0</v>
      </c>
      <c r="AC92" s="1007" t="e">
        <f t="shared" si="156"/>
        <v>#VALUE!</v>
      </c>
      <c r="AD92" s="258" t="str">
        <f t="shared" si="293"/>
        <v>--</v>
      </c>
      <c r="AE92" s="258"/>
      <c r="AF92" s="197">
        <f t="shared" si="157"/>
        <v>0</v>
      </c>
      <c r="AG92" s="1006">
        <f t="shared" si="158"/>
        <v>0</v>
      </c>
      <c r="AH92" s="1007" t="e">
        <f t="shared" si="159"/>
        <v>#VALUE!</v>
      </c>
      <c r="AI92" s="258" t="str">
        <f t="shared" si="294"/>
        <v>--</v>
      </c>
      <c r="AJ92" s="258"/>
      <c r="AK92" s="197">
        <f t="shared" si="160"/>
        <v>0</v>
      </c>
      <c r="AL92" s="1006">
        <f t="shared" si="161"/>
        <v>0</v>
      </c>
      <c r="AM92" s="1007" t="e">
        <f t="shared" si="162"/>
        <v>#VALUE!</v>
      </c>
      <c r="AN92" s="258" t="str">
        <f t="shared" si="295"/>
        <v>--</v>
      </c>
      <c r="AO92" s="258"/>
      <c r="AP92" s="197">
        <f t="shared" si="163"/>
        <v>0</v>
      </c>
      <c r="AQ92" s="1006">
        <f t="shared" si="164"/>
        <v>0</v>
      </c>
      <c r="AR92" s="1007" t="e">
        <f t="shared" si="165"/>
        <v>#VALUE!</v>
      </c>
      <c r="AS92" s="258" t="str">
        <f t="shared" si="296"/>
        <v>--</v>
      </c>
      <c r="AT92" s="258"/>
      <c r="AU92" s="197">
        <f t="shared" si="166"/>
        <v>0</v>
      </c>
      <c r="AV92" s="1006">
        <f t="shared" si="167"/>
        <v>0</v>
      </c>
      <c r="AW92" s="1007" t="e">
        <f t="shared" si="168"/>
        <v>#VALUE!</v>
      </c>
      <c r="AX92" s="258" t="str">
        <f t="shared" si="297"/>
        <v>--</v>
      </c>
      <c r="AY92" s="258"/>
      <c r="AZ92" s="197">
        <f t="shared" si="169"/>
        <v>0</v>
      </c>
      <c r="BA92" s="1006">
        <f t="shared" si="170"/>
        <v>0</v>
      </c>
      <c r="BB92" s="1007" t="e">
        <f t="shared" si="171"/>
        <v>#VALUE!</v>
      </c>
      <c r="BC92" s="258" t="str">
        <f t="shared" si="298"/>
        <v>--</v>
      </c>
      <c r="BD92" s="258"/>
      <c r="BE92" s="197">
        <f t="shared" si="172"/>
        <v>0</v>
      </c>
      <c r="BF92" s="1006">
        <f t="shared" si="173"/>
        <v>0</v>
      </c>
      <c r="BG92" s="1007" t="e">
        <f t="shared" si="174"/>
        <v>#VALUE!</v>
      </c>
      <c r="BH92" s="258" t="str">
        <f t="shared" si="299"/>
        <v>--</v>
      </c>
      <c r="BI92" s="258"/>
      <c r="BJ92" s="197">
        <f t="shared" si="175"/>
        <v>0</v>
      </c>
      <c r="BK92" s="1006">
        <f t="shared" si="176"/>
        <v>0</v>
      </c>
      <c r="BL92" s="1007" t="e">
        <f t="shared" si="177"/>
        <v>#VALUE!</v>
      </c>
      <c r="BM92" s="258" t="str">
        <f t="shared" si="300"/>
        <v>--</v>
      </c>
      <c r="BN92" s="258"/>
      <c r="BO92" s="197">
        <f t="shared" si="178"/>
        <v>0</v>
      </c>
      <c r="BP92" s="1006">
        <f t="shared" si="179"/>
        <v>0</v>
      </c>
      <c r="BQ92" s="1007" t="e">
        <f t="shared" si="180"/>
        <v>#VALUE!</v>
      </c>
      <c r="BR92" s="258" t="str">
        <f t="shared" si="301"/>
        <v>--</v>
      </c>
      <c r="BS92" s="258"/>
      <c r="BT92" s="197">
        <f t="shared" si="181"/>
        <v>0</v>
      </c>
      <c r="BU92" s="1006">
        <f t="shared" si="182"/>
        <v>0</v>
      </c>
      <c r="BV92" s="1007" t="e">
        <f t="shared" si="183"/>
        <v>#VALUE!</v>
      </c>
      <c r="BW92" s="258" t="str">
        <f t="shared" si="302"/>
        <v>--</v>
      </c>
      <c r="BX92" s="258"/>
      <c r="BY92" s="197">
        <f t="shared" si="184"/>
        <v>0</v>
      </c>
      <c r="BZ92" s="1006">
        <f t="shared" si="185"/>
        <v>0</v>
      </c>
      <c r="CA92" s="1007" t="e">
        <f t="shared" si="186"/>
        <v>#VALUE!</v>
      </c>
      <c r="CB92" s="258" t="str">
        <f t="shared" si="303"/>
        <v>--</v>
      </c>
      <c r="CC92" s="258"/>
      <c r="CD92" s="197">
        <f t="shared" si="187"/>
        <v>0</v>
      </c>
      <c r="CE92" s="1006">
        <f t="shared" si="188"/>
        <v>0</v>
      </c>
      <c r="CF92" s="1007" t="e">
        <f t="shared" si="189"/>
        <v>#VALUE!</v>
      </c>
      <c r="CG92" s="258" t="str">
        <f t="shared" si="304"/>
        <v>--</v>
      </c>
      <c r="CH92" s="258"/>
      <c r="CI92" s="197">
        <f t="shared" si="190"/>
        <v>0</v>
      </c>
      <c r="CJ92" s="1006">
        <f t="shared" si="191"/>
        <v>0</v>
      </c>
      <c r="CK92" s="1007" t="e">
        <f t="shared" si="192"/>
        <v>#VALUE!</v>
      </c>
      <c r="CL92" s="258" t="str">
        <f t="shared" si="305"/>
        <v>--</v>
      </c>
      <c r="CM92" s="258"/>
      <c r="CN92" s="197">
        <f t="shared" si="193"/>
        <v>0</v>
      </c>
      <c r="CO92" s="1006">
        <f t="shared" si="194"/>
        <v>0</v>
      </c>
      <c r="CP92" s="1007" t="e">
        <f t="shared" si="195"/>
        <v>#VALUE!</v>
      </c>
      <c r="CQ92" s="258" t="str">
        <f t="shared" si="306"/>
        <v>--</v>
      </c>
      <c r="CR92" s="258"/>
      <c r="CS92" s="197">
        <f t="shared" si="196"/>
        <v>0</v>
      </c>
      <c r="CT92" s="1006">
        <f t="shared" si="197"/>
        <v>0</v>
      </c>
      <c r="CU92" s="1007" t="e">
        <f t="shared" si="198"/>
        <v>#VALUE!</v>
      </c>
      <c r="CV92" s="258" t="str">
        <f t="shared" si="307"/>
        <v>--</v>
      </c>
      <c r="CW92" s="258"/>
      <c r="CX92" s="197">
        <f t="shared" si="199"/>
        <v>0</v>
      </c>
      <c r="CY92" s="1006">
        <f t="shared" si="200"/>
        <v>0</v>
      </c>
      <c r="CZ92" s="1007" t="e">
        <f t="shared" si="201"/>
        <v>#VALUE!</v>
      </c>
      <c r="DA92" s="258" t="str">
        <f t="shared" si="308"/>
        <v>--</v>
      </c>
      <c r="DB92" s="258"/>
      <c r="DC92" s="197">
        <f t="shared" si="202"/>
        <v>0</v>
      </c>
      <c r="DD92" s="1006">
        <f t="shared" si="203"/>
        <v>0</v>
      </c>
      <c r="DE92" s="1007" t="e">
        <f t="shared" si="204"/>
        <v>#VALUE!</v>
      </c>
      <c r="DF92" s="258" t="str">
        <f t="shared" si="309"/>
        <v>--</v>
      </c>
      <c r="DG92" s="258"/>
      <c r="DH92" s="197">
        <f t="shared" si="205"/>
        <v>0</v>
      </c>
      <c r="DI92" s="1006">
        <f t="shared" si="206"/>
        <v>0</v>
      </c>
      <c r="DJ92" s="1007" t="e">
        <f t="shared" si="207"/>
        <v>#VALUE!</v>
      </c>
      <c r="DK92" s="258" t="str">
        <f t="shared" si="310"/>
        <v>--</v>
      </c>
      <c r="DL92" s="258"/>
      <c r="DM92" s="197">
        <f t="shared" si="208"/>
        <v>0</v>
      </c>
      <c r="DN92" s="1006">
        <f t="shared" si="209"/>
        <v>0</v>
      </c>
      <c r="DO92" s="1007" t="e">
        <f t="shared" si="210"/>
        <v>#VALUE!</v>
      </c>
      <c r="DP92" s="258" t="str">
        <f t="shared" si="311"/>
        <v>--</v>
      </c>
      <c r="DQ92" s="258"/>
      <c r="DR92" s="197">
        <f t="shared" si="211"/>
        <v>0</v>
      </c>
      <c r="DS92" s="1006">
        <f t="shared" si="212"/>
        <v>0</v>
      </c>
      <c r="DT92" s="1007" t="e">
        <f t="shared" si="213"/>
        <v>#VALUE!</v>
      </c>
      <c r="DU92" s="258" t="str">
        <f t="shared" si="312"/>
        <v>--</v>
      </c>
      <c r="DV92" s="258"/>
      <c r="DW92" s="197">
        <f t="shared" si="214"/>
        <v>0</v>
      </c>
      <c r="DX92" s="1006">
        <f t="shared" si="215"/>
        <v>0</v>
      </c>
      <c r="DY92" s="1007" t="e">
        <f t="shared" si="216"/>
        <v>#VALUE!</v>
      </c>
      <c r="DZ92" s="258" t="str">
        <f t="shared" si="313"/>
        <v>--</v>
      </c>
      <c r="EA92" s="258"/>
      <c r="EB92" s="197">
        <f t="shared" si="217"/>
        <v>0</v>
      </c>
      <c r="EC92" s="1006">
        <f t="shared" si="218"/>
        <v>0</v>
      </c>
      <c r="ED92" s="1007" t="e">
        <f t="shared" si="219"/>
        <v>#VALUE!</v>
      </c>
      <c r="EE92" s="258" t="str">
        <f t="shared" si="314"/>
        <v>--</v>
      </c>
      <c r="EF92" s="258"/>
      <c r="EG92" s="197">
        <f t="shared" si="220"/>
        <v>0</v>
      </c>
      <c r="EH92" s="1006">
        <f t="shared" si="221"/>
        <v>0</v>
      </c>
      <c r="EI92" s="1007" t="e">
        <f t="shared" si="222"/>
        <v>#VALUE!</v>
      </c>
      <c r="EJ92" s="258" t="str">
        <f t="shared" si="315"/>
        <v>--</v>
      </c>
      <c r="EK92" s="258"/>
      <c r="EL92" s="197">
        <f t="shared" si="223"/>
        <v>0</v>
      </c>
      <c r="EM92" s="1006">
        <f t="shared" si="224"/>
        <v>0</v>
      </c>
      <c r="EN92" s="1007" t="e">
        <f t="shared" si="225"/>
        <v>#VALUE!</v>
      </c>
      <c r="EO92" s="258" t="str">
        <f t="shared" si="316"/>
        <v>--</v>
      </c>
      <c r="EP92" s="258"/>
      <c r="EQ92" s="197">
        <f t="shared" si="226"/>
        <v>0</v>
      </c>
      <c r="ER92" s="1006">
        <f t="shared" si="227"/>
        <v>0</v>
      </c>
      <c r="ES92" s="1007" t="e">
        <f t="shared" si="228"/>
        <v>#VALUE!</v>
      </c>
      <c r="ET92" s="258" t="str">
        <f t="shared" si="317"/>
        <v>--</v>
      </c>
      <c r="EU92" s="258"/>
      <c r="EV92" s="197">
        <f t="shared" si="229"/>
        <v>0</v>
      </c>
      <c r="EW92" s="1006">
        <f t="shared" si="230"/>
        <v>0</v>
      </c>
      <c r="EX92" s="1007" t="e">
        <f t="shared" si="231"/>
        <v>#VALUE!</v>
      </c>
      <c r="EY92" s="258" t="str">
        <f t="shared" si="318"/>
        <v>--</v>
      </c>
      <c r="EZ92" s="258"/>
      <c r="FA92" s="197">
        <f t="shared" si="232"/>
        <v>0</v>
      </c>
      <c r="FB92" s="1006">
        <f t="shared" si="233"/>
        <v>0</v>
      </c>
      <c r="FC92" s="1007" t="e">
        <f t="shared" si="234"/>
        <v>#VALUE!</v>
      </c>
      <c r="FD92" s="258" t="str">
        <f t="shared" si="319"/>
        <v>--</v>
      </c>
      <c r="FE92" s="258"/>
      <c r="FF92" s="197">
        <f t="shared" si="235"/>
        <v>0</v>
      </c>
      <c r="FG92" s="1006">
        <f t="shared" si="236"/>
        <v>0</v>
      </c>
      <c r="FH92" s="1007" t="e">
        <f t="shared" si="237"/>
        <v>#VALUE!</v>
      </c>
      <c r="FI92" s="258" t="str">
        <f t="shared" si="320"/>
        <v>--</v>
      </c>
      <c r="FJ92" s="258"/>
      <c r="FK92" s="197">
        <f t="shared" si="238"/>
        <v>0</v>
      </c>
      <c r="FL92" s="1006">
        <f t="shared" si="239"/>
        <v>0</v>
      </c>
      <c r="FM92" s="1007" t="e">
        <f t="shared" si="240"/>
        <v>#VALUE!</v>
      </c>
      <c r="FN92" s="258" t="str">
        <f t="shared" si="321"/>
        <v>--</v>
      </c>
      <c r="FO92" s="258"/>
      <c r="FP92" s="197">
        <f t="shared" si="241"/>
        <v>0</v>
      </c>
      <c r="FQ92" s="1006">
        <f t="shared" si="242"/>
        <v>0</v>
      </c>
      <c r="FR92" s="1007" t="e">
        <f t="shared" si="243"/>
        <v>#VALUE!</v>
      </c>
      <c r="FS92" s="258" t="str">
        <f t="shared" si="322"/>
        <v>--</v>
      </c>
      <c r="FT92" s="258"/>
      <c r="FU92" s="197">
        <f t="shared" si="244"/>
        <v>0</v>
      </c>
      <c r="FV92" s="1006">
        <f t="shared" si="245"/>
        <v>0</v>
      </c>
      <c r="FW92" s="1007" t="e">
        <f t="shared" si="246"/>
        <v>#VALUE!</v>
      </c>
      <c r="FX92" s="258" t="str">
        <f t="shared" si="323"/>
        <v>--</v>
      </c>
      <c r="FY92" s="258"/>
      <c r="FZ92" s="197">
        <f t="shared" si="247"/>
        <v>0</v>
      </c>
      <c r="GA92" s="1006">
        <f t="shared" si="248"/>
        <v>0</v>
      </c>
      <c r="GB92" s="1007" t="e">
        <f t="shared" si="249"/>
        <v>#VALUE!</v>
      </c>
      <c r="GC92" s="258" t="str">
        <f t="shared" si="324"/>
        <v>--</v>
      </c>
      <c r="GD92" s="258"/>
      <c r="GE92" s="197">
        <f t="shared" si="250"/>
        <v>0</v>
      </c>
      <c r="GF92" s="1006">
        <f t="shared" si="251"/>
        <v>0</v>
      </c>
      <c r="GG92" s="1007" t="e">
        <f t="shared" si="252"/>
        <v>#VALUE!</v>
      </c>
      <c r="GH92" s="258" t="str">
        <f t="shared" si="325"/>
        <v>--</v>
      </c>
      <c r="GI92" s="258"/>
      <c r="GJ92" s="197">
        <f t="shared" si="253"/>
        <v>0</v>
      </c>
      <c r="GK92" s="1340"/>
      <c r="GL92" s="164"/>
      <c r="GM92" s="164"/>
      <c r="GN92" s="164"/>
    </row>
    <row r="93" spans="1:196" ht="12.75" x14ac:dyDescent="0.2">
      <c r="A93" s="243">
        <f>'Item list'!A93</f>
        <v>0</v>
      </c>
      <c r="B93" s="243">
        <f>'Item list'!B93</f>
        <v>0</v>
      </c>
      <c r="C93" s="243">
        <f>'Item list'!C93</f>
        <v>0</v>
      </c>
      <c r="D93" s="989">
        <f>'Item list'!D93</f>
        <v>0</v>
      </c>
      <c r="E93" s="243">
        <f>'Item list'!E93</f>
        <v>0</v>
      </c>
      <c r="F93" s="243">
        <f>'Item list'!F93</f>
        <v>0</v>
      </c>
      <c r="G93" s="243">
        <f>'Item list'!G93</f>
        <v>0</v>
      </c>
      <c r="H93" s="1005" t="e">
        <f t="shared" si="144"/>
        <v>#REF!</v>
      </c>
      <c r="I93" s="243"/>
      <c r="J93" s="243"/>
      <c r="K93" s="243"/>
      <c r="L93" s="197">
        <f t="shared" si="145"/>
        <v>0</v>
      </c>
      <c r="M93" s="1006">
        <f t="shared" si="146"/>
        <v>0</v>
      </c>
      <c r="N93" s="1007" t="e">
        <f t="shared" si="147"/>
        <v>#VALUE!</v>
      </c>
      <c r="O93" s="258" t="str">
        <f t="shared" si="290"/>
        <v>--</v>
      </c>
      <c r="P93" s="258"/>
      <c r="Q93" s="197">
        <f t="shared" si="148"/>
        <v>0</v>
      </c>
      <c r="R93" s="1006">
        <f t="shared" si="149"/>
        <v>0</v>
      </c>
      <c r="S93" s="1007" t="e">
        <f t="shared" si="150"/>
        <v>#VALUE!</v>
      </c>
      <c r="T93" s="258" t="str">
        <f t="shared" si="291"/>
        <v>--</v>
      </c>
      <c r="U93" s="258"/>
      <c r="V93" s="197">
        <f t="shared" si="151"/>
        <v>0</v>
      </c>
      <c r="W93" s="1006">
        <f t="shared" si="152"/>
        <v>0</v>
      </c>
      <c r="X93" s="1007" t="e">
        <f t="shared" si="153"/>
        <v>#VALUE!</v>
      </c>
      <c r="Y93" s="258" t="str">
        <f t="shared" si="292"/>
        <v>--</v>
      </c>
      <c r="Z93" s="258"/>
      <c r="AA93" s="197">
        <f t="shared" si="154"/>
        <v>0</v>
      </c>
      <c r="AB93" s="1006">
        <f t="shared" si="155"/>
        <v>0</v>
      </c>
      <c r="AC93" s="1007" t="e">
        <f t="shared" si="156"/>
        <v>#VALUE!</v>
      </c>
      <c r="AD93" s="258" t="str">
        <f t="shared" si="293"/>
        <v>--</v>
      </c>
      <c r="AE93" s="258"/>
      <c r="AF93" s="197">
        <f t="shared" si="157"/>
        <v>0</v>
      </c>
      <c r="AG93" s="1006">
        <f t="shared" si="158"/>
        <v>0</v>
      </c>
      <c r="AH93" s="1007" t="e">
        <f t="shared" si="159"/>
        <v>#VALUE!</v>
      </c>
      <c r="AI93" s="258" t="str">
        <f t="shared" si="294"/>
        <v>--</v>
      </c>
      <c r="AJ93" s="258"/>
      <c r="AK93" s="197">
        <f t="shared" si="160"/>
        <v>0</v>
      </c>
      <c r="AL93" s="1006">
        <f t="shared" si="161"/>
        <v>0</v>
      </c>
      <c r="AM93" s="1007" t="e">
        <f t="shared" si="162"/>
        <v>#VALUE!</v>
      </c>
      <c r="AN93" s="258" t="str">
        <f t="shared" si="295"/>
        <v>--</v>
      </c>
      <c r="AO93" s="258"/>
      <c r="AP93" s="197">
        <f t="shared" si="163"/>
        <v>0</v>
      </c>
      <c r="AQ93" s="1006">
        <f t="shared" si="164"/>
        <v>0</v>
      </c>
      <c r="AR93" s="1007" t="e">
        <f t="shared" si="165"/>
        <v>#VALUE!</v>
      </c>
      <c r="AS93" s="258" t="str">
        <f t="shared" si="296"/>
        <v>--</v>
      </c>
      <c r="AT93" s="258"/>
      <c r="AU93" s="197">
        <f t="shared" si="166"/>
        <v>0</v>
      </c>
      <c r="AV93" s="1006">
        <f t="shared" si="167"/>
        <v>0</v>
      </c>
      <c r="AW93" s="1007" t="e">
        <f t="shared" si="168"/>
        <v>#VALUE!</v>
      </c>
      <c r="AX93" s="258" t="str">
        <f t="shared" si="297"/>
        <v>--</v>
      </c>
      <c r="AY93" s="258"/>
      <c r="AZ93" s="197">
        <f t="shared" si="169"/>
        <v>0</v>
      </c>
      <c r="BA93" s="1006">
        <f t="shared" si="170"/>
        <v>0</v>
      </c>
      <c r="BB93" s="1007" t="e">
        <f t="shared" si="171"/>
        <v>#VALUE!</v>
      </c>
      <c r="BC93" s="258" t="str">
        <f t="shared" si="298"/>
        <v>--</v>
      </c>
      <c r="BD93" s="258"/>
      <c r="BE93" s="197">
        <f t="shared" si="172"/>
        <v>0</v>
      </c>
      <c r="BF93" s="1006">
        <f t="shared" si="173"/>
        <v>0</v>
      </c>
      <c r="BG93" s="1007" t="e">
        <f t="shared" si="174"/>
        <v>#VALUE!</v>
      </c>
      <c r="BH93" s="258" t="str">
        <f t="shared" si="299"/>
        <v>--</v>
      </c>
      <c r="BI93" s="258"/>
      <c r="BJ93" s="197">
        <f t="shared" si="175"/>
        <v>0</v>
      </c>
      <c r="BK93" s="1006">
        <f t="shared" si="176"/>
        <v>0</v>
      </c>
      <c r="BL93" s="1007" t="e">
        <f t="shared" si="177"/>
        <v>#VALUE!</v>
      </c>
      <c r="BM93" s="258" t="str">
        <f t="shared" si="300"/>
        <v>--</v>
      </c>
      <c r="BN93" s="258"/>
      <c r="BO93" s="197">
        <f t="shared" si="178"/>
        <v>0</v>
      </c>
      <c r="BP93" s="1006">
        <f t="shared" si="179"/>
        <v>0</v>
      </c>
      <c r="BQ93" s="1007" t="e">
        <f t="shared" si="180"/>
        <v>#VALUE!</v>
      </c>
      <c r="BR93" s="258" t="str">
        <f t="shared" si="301"/>
        <v>--</v>
      </c>
      <c r="BS93" s="258"/>
      <c r="BT93" s="197">
        <f t="shared" si="181"/>
        <v>0</v>
      </c>
      <c r="BU93" s="1006">
        <f t="shared" si="182"/>
        <v>0</v>
      </c>
      <c r="BV93" s="1007" t="e">
        <f t="shared" si="183"/>
        <v>#VALUE!</v>
      </c>
      <c r="BW93" s="258" t="str">
        <f t="shared" si="302"/>
        <v>--</v>
      </c>
      <c r="BX93" s="258"/>
      <c r="BY93" s="197">
        <f t="shared" si="184"/>
        <v>0</v>
      </c>
      <c r="BZ93" s="1006">
        <f t="shared" si="185"/>
        <v>0</v>
      </c>
      <c r="CA93" s="1007" t="e">
        <f t="shared" si="186"/>
        <v>#VALUE!</v>
      </c>
      <c r="CB93" s="258" t="str">
        <f t="shared" si="303"/>
        <v>--</v>
      </c>
      <c r="CC93" s="258"/>
      <c r="CD93" s="197">
        <f t="shared" si="187"/>
        <v>0</v>
      </c>
      <c r="CE93" s="1006">
        <f t="shared" si="188"/>
        <v>0</v>
      </c>
      <c r="CF93" s="1007" t="e">
        <f t="shared" si="189"/>
        <v>#VALUE!</v>
      </c>
      <c r="CG93" s="258" t="str">
        <f t="shared" si="304"/>
        <v>--</v>
      </c>
      <c r="CH93" s="258"/>
      <c r="CI93" s="197">
        <f t="shared" si="190"/>
        <v>0</v>
      </c>
      <c r="CJ93" s="1006">
        <f t="shared" si="191"/>
        <v>0</v>
      </c>
      <c r="CK93" s="1007" t="e">
        <f t="shared" si="192"/>
        <v>#VALUE!</v>
      </c>
      <c r="CL93" s="258" t="str">
        <f t="shared" si="305"/>
        <v>--</v>
      </c>
      <c r="CM93" s="258"/>
      <c r="CN93" s="197">
        <f t="shared" si="193"/>
        <v>0</v>
      </c>
      <c r="CO93" s="1006">
        <f t="shared" si="194"/>
        <v>0</v>
      </c>
      <c r="CP93" s="1007" t="e">
        <f t="shared" si="195"/>
        <v>#VALUE!</v>
      </c>
      <c r="CQ93" s="258" t="str">
        <f t="shared" si="306"/>
        <v>--</v>
      </c>
      <c r="CR93" s="258"/>
      <c r="CS93" s="197">
        <f t="shared" si="196"/>
        <v>0</v>
      </c>
      <c r="CT93" s="1006">
        <f t="shared" si="197"/>
        <v>0</v>
      </c>
      <c r="CU93" s="1007" t="e">
        <f t="shared" si="198"/>
        <v>#VALUE!</v>
      </c>
      <c r="CV93" s="258" t="str">
        <f t="shared" si="307"/>
        <v>--</v>
      </c>
      <c r="CW93" s="258"/>
      <c r="CX93" s="197">
        <f t="shared" si="199"/>
        <v>0</v>
      </c>
      <c r="CY93" s="1006">
        <f t="shared" si="200"/>
        <v>0</v>
      </c>
      <c r="CZ93" s="1007" t="e">
        <f t="shared" si="201"/>
        <v>#VALUE!</v>
      </c>
      <c r="DA93" s="258" t="str">
        <f t="shared" si="308"/>
        <v>--</v>
      </c>
      <c r="DB93" s="258"/>
      <c r="DC93" s="197">
        <f t="shared" si="202"/>
        <v>0</v>
      </c>
      <c r="DD93" s="1006">
        <f t="shared" si="203"/>
        <v>0</v>
      </c>
      <c r="DE93" s="1007" t="e">
        <f t="shared" si="204"/>
        <v>#VALUE!</v>
      </c>
      <c r="DF93" s="258" t="str">
        <f t="shared" si="309"/>
        <v>--</v>
      </c>
      <c r="DG93" s="258"/>
      <c r="DH93" s="197">
        <f t="shared" si="205"/>
        <v>0</v>
      </c>
      <c r="DI93" s="1006">
        <f t="shared" si="206"/>
        <v>0</v>
      </c>
      <c r="DJ93" s="1007" t="e">
        <f t="shared" si="207"/>
        <v>#VALUE!</v>
      </c>
      <c r="DK93" s="258" t="str">
        <f t="shared" si="310"/>
        <v>--</v>
      </c>
      <c r="DL93" s="258"/>
      <c r="DM93" s="197">
        <f t="shared" si="208"/>
        <v>0</v>
      </c>
      <c r="DN93" s="1006">
        <f t="shared" si="209"/>
        <v>0</v>
      </c>
      <c r="DO93" s="1007" t="e">
        <f t="shared" si="210"/>
        <v>#VALUE!</v>
      </c>
      <c r="DP93" s="258" t="str">
        <f t="shared" si="311"/>
        <v>--</v>
      </c>
      <c r="DQ93" s="258"/>
      <c r="DR93" s="197">
        <f t="shared" si="211"/>
        <v>0</v>
      </c>
      <c r="DS93" s="1006">
        <f t="shared" si="212"/>
        <v>0</v>
      </c>
      <c r="DT93" s="1007" t="e">
        <f t="shared" si="213"/>
        <v>#VALUE!</v>
      </c>
      <c r="DU93" s="258" t="str">
        <f t="shared" si="312"/>
        <v>--</v>
      </c>
      <c r="DV93" s="258"/>
      <c r="DW93" s="197">
        <f t="shared" si="214"/>
        <v>0</v>
      </c>
      <c r="DX93" s="1006">
        <f t="shared" si="215"/>
        <v>0</v>
      </c>
      <c r="DY93" s="1007" t="e">
        <f t="shared" si="216"/>
        <v>#VALUE!</v>
      </c>
      <c r="DZ93" s="258" t="str">
        <f t="shared" si="313"/>
        <v>--</v>
      </c>
      <c r="EA93" s="258"/>
      <c r="EB93" s="197">
        <f t="shared" si="217"/>
        <v>0</v>
      </c>
      <c r="EC93" s="1006">
        <f t="shared" si="218"/>
        <v>0</v>
      </c>
      <c r="ED93" s="1007" t="e">
        <f t="shared" si="219"/>
        <v>#VALUE!</v>
      </c>
      <c r="EE93" s="258" t="str">
        <f t="shared" si="314"/>
        <v>--</v>
      </c>
      <c r="EF93" s="258"/>
      <c r="EG93" s="197">
        <f t="shared" si="220"/>
        <v>0</v>
      </c>
      <c r="EH93" s="1006">
        <f t="shared" si="221"/>
        <v>0</v>
      </c>
      <c r="EI93" s="1007" t="e">
        <f t="shared" si="222"/>
        <v>#VALUE!</v>
      </c>
      <c r="EJ93" s="258" t="str">
        <f t="shared" si="315"/>
        <v>--</v>
      </c>
      <c r="EK93" s="258"/>
      <c r="EL93" s="197">
        <f t="shared" si="223"/>
        <v>0</v>
      </c>
      <c r="EM93" s="1006">
        <f t="shared" si="224"/>
        <v>0</v>
      </c>
      <c r="EN93" s="1007" t="e">
        <f t="shared" si="225"/>
        <v>#VALUE!</v>
      </c>
      <c r="EO93" s="258" t="str">
        <f t="shared" si="316"/>
        <v>--</v>
      </c>
      <c r="EP93" s="258"/>
      <c r="EQ93" s="197">
        <f t="shared" si="226"/>
        <v>0</v>
      </c>
      <c r="ER93" s="1006">
        <f t="shared" si="227"/>
        <v>0</v>
      </c>
      <c r="ES93" s="1007" t="e">
        <f t="shared" si="228"/>
        <v>#VALUE!</v>
      </c>
      <c r="ET93" s="258" t="str">
        <f t="shared" si="317"/>
        <v>--</v>
      </c>
      <c r="EU93" s="258"/>
      <c r="EV93" s="197">
        <f t="shared" si="229"/>
        <v>0</v>
      </c>
      <c r="EW93" s="1006">
        <f t="shared" si="230"/>
        <v>0</v>
      </c>
      <c r="EX93" s="1007" t="e">
        <f t="shared" si="231"/>
        <v>#VALUE!</v>
      </c>
      <c r="EY93" s="258" t="str">
        <f t="shared" si="318"/>
        <v>--</v>
      </c>
      <c r="EZ93" s="258"/>
      <c r="FA93" s="197">
        <f t="shared" si="232"/>
        <v>0</v>
      </c>
      <c r="FB93" s="1006">
        <f t="shared" si="233"/>
        <v>0</v>
      </c>
      <c r="FC93" s="1007" t="e">
        <f t="shared" si="234"/>
        <v>#VALUE!</v>
      </c>
      <c r="FD93" s="258" t="str">
        <f t="shared" si="319"/>
        <v>--</v>
      </c>
      <c r="FE93" s="258"/>
      <c r="FF93" s="197">
        <f t="shared" si="235"/>
        <v>0</v>
      </c>
      <c r="FG93" s="1006">
        <f t="shared" si="236"/>
        <v>0</v>
      </c>
      <c r="FH93" s="1007" t="e">
        <f t="shared" si="237"/>
        <v>#VALUE!</v>
      </c>
      <c r="FI93" s="258" t="str">
        <f t="shared" si="320"/>
        <v>--</v>
      </c>
      <c r="FJ93" s="258"/>
      <c r="FK93" s="197">
        <f t="shared" si="238"/>
        <v>0</v>
      </c>
      <c r="FL93" s="1006">
        <f t="shared" si="239"/>
        <v>0</v>
      </c>
      <c r="FM93" s="1007" t="e">
        <f t="shared" si="240"/>
        <v>#VALUE!</v>
      </c>
      <c r="FN93" s="258" t="str">
        <f t="shared" si="321"/>
        <v>--</v>
      </c>
      <c r="FO93" s="258"/>
      <c r="FP93" s="197">
        <f t="shared" si="241"/>
        <v>0</v>
      </c>
      <c r="FQ93" s="1006">
        <f t="shared" si="242"/>
        <v>0</v>
      </c>
      <c r="FR93" s="1007" t="e">
        <f t="shared" si="243"/>
        <v>#VALUE!</v>
      </c>
      <c r="FS93" s="258" t="str">
        <f t="shared" si="322"/>
        <v>--</v>
      </c>
      <c r="FT93" s="258"/>
      <c r="FU93" s="197">
        <f t="shared" si="244"/>
        <v>0</v>
      </c>
      <c r="FV93" s="1006">
        <f t="shared" si="245"/>
        <v>0</v>
      </c>
      <c r="FW93" s="1007" t="e">
        <f t="shared" si="246"/>
        <v>#VALUE!</v>
      </c>
      <c r="FX93" s="258" t="str">
        <f t="shared" si="323"/>
        <v>--</v>
      </c>
      <c r="FY93" s="258"/>
      <c r="FZ93" s="197">
        <f t="shared" si="247"/>
        <v>0</v>
      </c>
      <c r="GA93" s="1006">
        <f t="shared" si="248"/>
        <v>0</v>
      </c>
      <c r="GB93" s="1007" t="e">
        <f t="shared" si="249"/>
        <v>#VALUE!</v>
      </c>
      <c r="GC93" s="258" t="str">
        <f t="shared" si="324"/>
        <v>--</v>
      </c>
      <c r="GD93" s="258"/>
      <c r="GE93" s="197">
        <f t="shared" si="250"/>
        <v>0</v>
      </c>
      <c r="GF93" s="1006">
        <f t="shared" si="251"/>
        <v>0</v>
      </c>
      <c r="GG93" s="1007" t="e">
        <f t="shared" si="252"/>
        <v>#VALUE!</v>
      </c>
      <c r="GH93" s="258" t="str">
        <f t="shared" si="325"/>
        <v>--</v>
      </c>
      <c r="GI93" s="258"/>
      <c r="GJ93" s="197">
        <f t="shared" si="253"/>
        <v>0</v>
      </c>
      <c r="GK93" s="1340"/>
      <c r="GL93" s="164"/>
      <c r="GM93" s="164"/>
      <c r="GN93" s="164"/>
    </row>
    <row r="94" spans="1:196" ht="12.75" x14ac:dyDescent="0.2">
      <c r="A94" s="243">
        <f>'Item list'!A94</f>
        <v>0</v>
      </c>
      <c r="B94" s="243">
        <f>'Item list'!B94</f>
        <v>0</v>
      </c>
      <c r="C94" s="243">
        <f>'Item list'!C94</f>
        <v>0</v>
      </c>
      <c r="D94" s="989">
        <f>'Item list'!D94</f>
        <v>0</v>
      </c>
      <c r="E94" s="243">
        <f>'Item list'!E94</f>
        <v>0</v>
      </c>
      <c r="F94" s="243">
        <f>'Item list'!F94</f>
        <v>0</v>
      </c>
      <c r="G94" s="243">
        <f>'Item list'!G94</f>
        <v>0</v>
      </c>
      <c r="H94" s="1005" t="e">
        <f t="shared" si="144"/>
        <v>#REF!</v>
      </c>
      <c r="I94" s="243"/>
      <c r="J94" s="243"/>
      <c r="K94" s="243"/>
      <c r="L94" s="197">
        <f t="shared" si="145"/>
        <v>0</v>
      </c>
      <c r="M94" s="1006">
        <f t="shared" si="146"/>
        <v>0</v>
      </c>
      <c r="N94" s="1007" t="e">
        <f t="shared" si="147"/>
        <v>#VALUE!</v>
      </c>
      <c r="O94" s="258" t="str">
        <f t="shared" si="290"/>
        <v>--</v>
      </c>
      <c r="P94" s="258"/>
      <c r="Q94" s="197">
        <f t="shared" si="148"/>
        <v>0</v>
      </c>
      <c r="R94" s="1006">
        <f t="shared" si="149"/>
        <v>0</v>
      </c>
      <c r="S94" s="1007" t="e">
        <f t="shared" si="150"/>
        <v>#VALUE!</v>
      </c>
      <c r="T94" s="258" t="str">
        <f t="shared" si="291"/>
        <v>--</v>
      </c>
      <c r="U94" s="258"/>
      <c r="V94" s="197">
        <f t="shared" si="151"/>
        <v>0</v>
      </c>
      <c r="W94" s="1006">
        <f t="shared" si="152"/>
        <v>0</v>
      </c>
      <c r="X94" s="1007" t="e">
        <f t="shared" si="153"/>
        <v>#VALUE!</v>
      </c>
      <c r="Y94" s="258" t="str">
        <f t="shared" si="292"/>
        <v>--</v>
      </c>
      <c r="Z94" s="258"/>
      <c r="AA94" s="197">
        <f t="shared" si="154"/>
        <v>0</v>
      </c>
      <c r="AB94" s="1006">
        <f t="shared" si="155"/>
        <v>0</v>
      </c>
      <c r="AC94" s="1007" t="e">
        <f t="shared" si="156"/>
        <v>#VALUE!</v>
      </c>
      <c r="AD94" s="258" t="str">
        <f t="shared" si="293"/>
        <v>--</v>
      </c>
      <c r="AE94" s="258"/>
      <c r="AF94" s="197">
        <f t="shared" si="157"/>
        <v>0</v>
      </c>
      <c r="AG94" s="1006">
        <f t="shared" si="158"/>
        <v>0</v>
      </c>
      <c r="AH94" s="1007" t="e">
        <f t="shared" si="159"/>
        <v>#VALUE!</v>
      </c>
      <c r="AI94" s="258" t="str">
        <f t="shared" si="294"/>
        <v>--</v>
      </c>
      <c r="AJ94" s="258"/>
      <c r="AK94" s="197">
        <f t="shared" si="160"/>
        <v>0</v>
      </c>
      <c r="AL94" s="1006">
        <f t="shared" si="161"/>
        <v>0</v>
      </c>
      <c r="AM94" s="1007" t="e">
        <f t="shared" si="162"/>
        <v>#VALUE!</v>
      </c>
      <c r="AN94" s="258" t="str">
        <f t="shared" si="295"/>
        <v>--</v>
      </c>
      <c r="AO94" s="258"/>
      <c r="AP94" s="197">
        <f t="shared" si="163"/>
        <v>0</v>
      </c>
      <c r="AQ94" s="1006">
        <f t="shared" si="164"/>
        <v>0</v>
      </c>
      <c r="AR94" s="1007" t="e">
        <f t="shared" si="165"/>
        <v>#VALUE!</v>
      </c>
      <c r="AS94" s="258" t="str">
        <f t="shared" si="296"/>
        <v>--</v>
      </c>
      <c r="AT94" s="258"/>
      <c r="AU94" s="197">
        <f t="shared" si="166"/>
        <v>0</v>
      </c>
      <c r="AV94" s="1006">
        <f t="shared" si="167"/>
        <v>0</v>
      </c>
      <c r="AW94" s="1007" t="e">
        <f t="shared" si="168"/>
        <v>#VALUE!</v>
      </c>
      <c r="AX94" s="258" t="str">
        <f t="shared" si="297"/>
        <v>--</v>
      </c>
      <c r="AY94" s="258"/>
      <c r="AZ94" s="197">
        <f t="shared" si="169"/>
        <v>0</v>
      </c>
      <c r="BA94" s="1006">
        <f t="shared" si="170"/>
        <v>0</v>
      </c>
      <c r="BB94" s="1007" t="e">
        <f t="shared" si="171"/>
        <v>#VALUE!</v>
      </c>
      <c r="BC94" s="258" t="str">
        <f t="shared" si="298"/>
        <v>--</v>
      </c>
      <c r="BD94" s="258"/>
      <c r="BE94" s="197">
        <f t="shared" si="172"/>
        <v>0</v>
      </c>
      <c r="BF94" s="1006">
        <f t="shared" si="173"/>
        <v>0</v>
      </c>
      <c r="BG94" s="1007" t="e">
        <f t="shared" si="174"/>
        <v>#VALUE!</v>
      </c>
      <c r="BH94" s="258" t="str">
        <f t="shared" si="299"/>
        <v>--</v>
      </c>
      <c r="BI94" s="258"/>
      <c r="BJ94" s="197">
        <f t="shared" si="175"/>
        <v>0</v>
      </c>
      <c r="BK94" s="1006">
        <f t="shared" si="176"/>
        <v>0</v>
      </c>
      <c r="BL94" s="1007" t="e">
        <f t="shared" si="177"/>
        <v>#VALUE!</v>
      </c>
      <c r="BM94" s="258" t="str">
        <f t="shared" si="300"/>
        <v>--</v>
      </c>
      <c r="BN94" s="258"/>
      <c r="BO94" s="197">
        <f t="shared" si="178"/>
        <v>0</v>
      </c>
      <c r="BP94" s="1006">
        <f t="shared" si="179"/>
        <v>0</v>
      </c>
      <c r="BQ94" s="1007" t="e">
        <f t="shared" si="180"/>
        <v>#VALUE!</v>
      </c>
      <c r="BR94" s="258" t="str">
        <f t="shared" si="301"/>
        <v>--</v>
      </c>
      <c r="BS94" s="258"/>
      <c r="BT94" s="197">
        <f t="shared" si="181"/>
        <v>0</v>
      </c>
      <c r="BU94" s="1006">
        <f t="shared" si="182"/>
        <v>0</v>
      </c>
      <c r="BV94" s="1007" t="e">
        <f t="shared" si="183"/>
        <v>#VALUE!</v>
      </c>
      <c r="BW94" s="258" t="str">
        <f t="shared" si="302"/>
        <v>--</v>
      </c>
      <c r="BX94" s="258"/>
      <c r="BY94" s="197">
        <f t="shared" si="184"/>
        <v>0</v>
      </c>
      <c r="BZ94" s="1006">
        <f t="shared" si="185"/>
        <v>0</v>
      </c>
      <c r="CA94" s="1007" t="e">
        <f t="shared" si="186"/>
        <v>#VALUE!</v>
      </c>
      <c r="CB94" s="258" t="str">
        <f t="shared" si="303"/>
        <v>--</v>
      </c>
      <c r="CC94" s="258"/>
      <c r="CD94" s="197">
        <f t="shared" si="187"/>
        <v>0</v>
      </c>
      <c r="CE94" s="1006">
        <f t="shared" si="188"/>
        <v>0</v>
      </c>
      <c r="CF94" s="1007" t="e">
        <f t="shared" si="189"/>
        <v>#VALUE!</v>
      </c>
      <c r="CG94" s="258" t="str">
        <f t="shared" si="304"/>
        <v>--</v>
      </c>
      <c r="CH94" s="258"/>
      <c r="CI94" s="197">
        <f t="shared" si="190"/>
        <v>0</v>
      </c>
      <c r="CJ94" s="1006">
        <f t="shared" si="191"/>
        <v>0</v>
      </c>
      <c r="CK94" s="1007" t="e">
        <f t="shared" si="192"/>
        <v>#VALUE!</v>
      </c>
      <c r="CL94" s="258" t="str">
        <f t="shared" si="305"/>
        <v>--</v>
      </c>
      <c r="CM94" s="258"/>
      <c r="CN94" s="197">
        <f t="shared" si="193"/>
        <v>0</v>
      </c>
      <c r="CO94" s="1006">
        <f t="shared" si="194"/>
        <v>0</v>
      </c>
      <c r="CP94" s="1007" t="e">
        <f t="shared" si="195"/>
        <v>#VALUE!</v>
      </c>
      <c r="CQ94" s="258" t="str">
        <f t="shared" si="306"/>
        <v>--</v>
      </c>
      <c r="CR94" s="258"/>
      <c r="CS94" s="197">
        <f t="shared" si="196"/>
        <v>0</v>
      </c>
      <c r="CT94" s="1006">
        <f t="shared" si="197"/>
        <v>0</v>
      </c>
      <c r="CU94" s="1007" t="e">
        <f t="shared" si="198"/>
        <v>#VALUE!</v>
      </c>
      <c r="CV94" s="258" t="str">
        <f t="shared" si="307"/>
        <v>--</v>
      </c>
      <c r="CW94" s="258"/>
      <c r="CX94" s="197">
        <f t="shared" si="199"/>
        <v>0</v>
      </c>
      <c r="CY94" s="1006">
        <f t="shared" si="200"/>
        <v>0</v>
      </c>
      <c r="CZ94" s="1007" t="e">
        <f t="shared" si="201"/>
        <v>#VALUE!</v>
      </c>
      <c r="DA94" s="258" t="str">
        <f t="shared" si="308"/>
        <v>--</v>
      </c>
      <c r="DB94" s="258"/>
      <c r="DC94" s="197">
        <f t="shared" si="202"/>
        <v>0</v>
      </c>
      <c r="DD94" s="1006">
        <f t="shared" si="203"/>
        <v>0</v>
      </c>
      <c r="DE94" s="1007" t="e">
        <f t="shared" si="204"/>
        <v>#VALUE!</v>
      </c>
      <c r="DF94" s="258" t="str">
        <f t="shared" si="309"/>
        <v>--</v>
      </c>
      <c r="DG94" s="258"/>
      <c r="DH94" s="197">
        <f t="shared" si="205"/>
        <v>0</v>
      </c>
      <c r="DI94" s="1006">
        <f t="shared" si="206"/>
        <v>0</v>
      </c>
      <c r="DJ94" s="1007" t="e">
        <f t="shared" si="207"/>
        <v>#VALUE!</v>
      </c>
      <c r="DK94" s="258" t="str">
        <f t="shared" si="310"/>
        <v>--</v>
      </c>
      <c r="DL94" s="258"/>
      <c r="DM94" s="197">
        <f t="shared" si="208"/>
        <v>0</v>
      </c>
      <c r="DN94" s="1006">
        <f t="shared" si="209"/>
        <v>0</v>
      </c>
      <c r="DO94" s="1007" t="e">
        <f t="shared" si="210"/>
        <v>#VALUE!</v>
      </c>
      <c r="DP94" s="258" t="str">
        <f t="shared" si="311"/>
        <v>--</v>
      </c>
      <c r="DQ94" s="258"/>
      <c r="DR94" s="197">
        <f t="shared" si="211"/>
        <v>0</v>
      </c>
      <c r="DS94" s="1006">
        <f t="shared" si="212"/>
        <v>0</v>
      </c>
      <c r="DT94" s="1007" t="e">
        <f t="shared" si="213"/>
        <v>#VALUE!</v>
      </c>
      <c r="DU94" s="258" t="str">
        <f t="shared" si="312"/>
        <v>--</v>
      </c>
      <c r="DV94" s="258"/>
      <c r="DW94" s="197">
        <f t="shared" si="214"/>
        <v>0</v>
      </c>
      <c r="DX94" s="1006">
        <f t="shared" si="215"/>
        <v>0</v>
      </c>
      <c r="DY94" s="1007" t="e">
        <f t="shared" si="216"/>
        <v>#VALUE!</v>
      </c>
      <c r="DZ94" s="258" t="str">
        <f t="shared" si="313"/>
        <v>--</v>
      </c>
      <c r="EA94" s="258"/>
      <c r="EB94" s="197">
        <f t="shared" si="217"/>
        <v>0</v>
      </c>
      <c r="EC94" s="1006">
        <f t="shared" si="218"/>
        <v>0</v>
      </c>
      <c r="ED94" s="1007" t="e">
        <f t="shared" si="219"/>
        <v>#VALUE!</v>
      </c>
      <c r="EE94" s="258" t="str">
        <f t="shared" si="314"/>
        <v>--</v>
      </c>
      <c r="EF94" s="258"/>
      <c r="EG94" s="197">
        <f t="shared" si="220"/>
        <v>0</v>
      </c>
      <c r="EH94" s="1006">
        <f t="shared" si="221"/>
        <v>0</v>
      </c>
      <c r="EI94" s="1007" t="e">
        <f t="shared" si="222"/>
        <v>#VALUE!</v>
      </c>
      <c r="EJ94" s="258" t="str">
        <f t="shared" si="315"/>
        <v>--</v>
      </c>
      <c r="EK94" s="258"/>
      <c r="EL94" s="197">
        <f t="shared" si="223"/>
        <v>0</v>
      </c>
      <c r="EM94" s="1006">
        <f t="shared" si="224"/>
        <v>0</v>
      </c>
      <c r="EN94" s="1007" t="e">
        <f t="shared" si="225"/>
        <v>#VALUE!</v>
      </c>
      <c r="EO94" s="258" t="str">
        <f t="shared" si="316"/>
        <v>--</v>
      </c>
      <c r="EP94" s="258"/>
      <c r="EQ94" s="197">
        <f t="shared" si="226"/>
        <v>0</v>
      </c>
      <c r="ER94" s="1006">
        <f t="shared" si="227"/>
        <v>0</v>
      </c>
      <c r="ES94" s="1007" t="e">
        <f t="shared" si="228"/>
        <v>#VALUE!</v>
      </c>
      <c r="ET94" s="258" t="str">
        <f t="shared" si="317"/>
        <v>--</v>
      </c>
      <c r="EU94" s="258"/>
      <c r="EV94" s="197">
        <f t="shared" si="229"/>
        <v>0</v>
      </c>
      <c r="EW94" s="1006">
        <f t="shared" si="230"/>
        <v>0</v>
      </c>
      <c r="EX94" s="1007" t="e">
        <f t="shared" si="231"/>
        <v>#VALUE!</v>
      </c>
      <c r="EY94" s="258" t="str">
        <f t="shared" si="318"/>
        <v>--</v>
      </c>
      <c r="EZ94" s="258"/>
      <c r="FA94" s="197">
        <f t="shared" si="232"/>
        <v>0</v>
      </c>
      <c r="FB94" s="1006">
        <f t="shared" si="233"/>
        <v>0</v>
      </c>
      <c r="FC94" s="1007" t="e">
        <f t="shared" si="234"/>
        <v>#VALUE!</v>
      </c>
      <c r="FD94" s="258" t="str">
        <f t="shared" si="319"/>
        <v>--</v>
      </c>
      <c r="FE94" s="258"/>
      <c r="FF94" s="197">
        <f t="shared" si="235"/>
        <v>0</v>
      </c>
      <c r="FG94" s="1006">
        <f t="shared" si="236"/>
        <v>0</v>
      </c>
      <c r="FH94" s="1007" t="e">
        <f t="shared" si="237"/>
        <v>#VALUE!</v>
      </c>
      <c r="FI94" s="258" t="str">
        <f t="shared" si="320"/>
        <v>--</v>
      </c>
      <c r="FJ94" s="258"/>
      <c r="FK94" s="197">
        <f t="shared" si="238"/>
        <v>0</v>
      </c>
      <c r="FL94" s="1006">
        <f t="shared" si="239"/>
        <v>0</v>
      </c>
      <c r="FM94" s="1007" t="e">
        <f t="shared" si="240"/>
        <v>#VALUE!</v>
      </c>
      <c r="FN94" s="258" t="str">
        <f t="shared" si="321"/>
        <v>--</v>
      </c>
      <c r="FO94" s="258"/>
      <c r="FP94" s="197">
        <f t="shared" si="241"/>
        <v>0</v>
      </c>
      <c r="FQ94" s="1006">
        <f t="shared" si="242"/>
        <v>0</v>
      </c>
      <c r="FR94" s="1007" t="e">
        <f t="shared" si="243"/>
        <v>#VALUE!</v>
      </c>
      <c r="FS94" s="258" t="str">
        <f t="shared" si="322"/>
        <v>--</v>
      </c>
      <c r="FT94" s="258"/>
      <c r="FU94" s="197">
        <f t="shared" si="244"/>
        <v>0</v>
      </c>
      <c r="FV94" s="1006">
        <f t="shared" si="245"/>
        <v>0</v>
      </c>
      <c r="FW94" s="1007" t="e">
        <f t="shared" si="246"/>
        <v>#VALUE!</v>
      </c>
      <c r="FX94" s="258" t="str">
        <f t="shared" si="323"/>
        <v>--</v>
      </c>
      <c r="FY94" s="258"/>
      <c r="FZ94" s="197">
        <f t="shared" si="247"/>
        <v>0</v>
      </c>
      <c r="GA94" s="1006">
        <f t="shared" si="248"/>
        <v>0</v>
      </c>
      <c r="GB94" s="1007" t="e">
        <f t="shared" si="249"/>
        <v>#VALUE!</v>
      </c>
      <c r="GC94" s="258" t="str">
        <f t="shared" si="324"/>
        <v>--</v>
      </c>
      <c r="GD94" s="258"/>
      <c r="GE94" s="197">
        <f t="shared" si="250"/>
        <v>0</v>
      </c>
      <c r="GF94" s="1006">
        <f t="shared" si="251"/>
        <v>0</v>
      </c>
      <c r="GG94" s="1007" t="e">
        <f t="shared" si="252"/>
        <v>#VALUE!</v>
      </c>
      <c r="GH94" s="258" t="str">
        <f t="shared" si="325"/>
        <v>--</v>
      </c>
      <c r="GI94" s="258"/>
      <c r="GJ94" s="197">
        <f t="shared" si="253"/>
        <v>0</v>
      </c>
      <c r="GK94" s="1340"/>
      <c r="GL94" s="164"/>
      <c r="GM94" s="164"/>
      <c r="GN94" s="164"/>
    </row>
    <row r="95" spans="1:196" ht="12.75" x14ac:dyDescent="0.2">
      <c r="A95" s="243">
        <f>'Item list'!A95</f>
        <v>0</v>
      </c>
      <c r="B95" s="243">
        <f>'Item list'!B95</f>
        <v>0</v>
      </c>
      <c r="C95" s="243">
        <f>'Item list'!C95</f>
        <v>0</v>
      </c>
      <c r="D95" s="989">
        <f>'Item list'!D95</f>
        <v>0</v>
      </c>
      <c r="E95" s="243">
        <f>'Item list'!E95</f>
        <v>0</v>
      </c>
      <c r="F95" s="243">
        <f>'Item list'!F95</f>
        <v>0</v>
      </c>
      <c r="G95" s="243">
        <f>'Item list'!G95</f>
        <v>0</v>
      </c>
      <c r="H95" s="1005" t="e">
        <f t="shared" si="144"/>
        <v>#REF!</v>
      </c>
      <c r="I95" s="243"/>
      <c r="J95" s="243"/>
      <c r="K95" s="243"/>
      <c r="L95" s="197">
        <f t="shared" si="145"/>
        <v>0</v>
      </c>
      <c r="M95" s="1006">
        <f t="shared" si="146"/>
        <v>0</v>
      </c>
      <c r="N95" s="1007" t="e">
        <f t="shared" si="147"/>
        <v>#VALUE!</v>
      </c>
      <c r="O95" s="258" t="str">
        <f t="shared" si="290"/>
        <v>--</v>
      </c>
      <c r="P95" s="258"/>
      <c r="Q95" s="197">
        <f t="shared" si="148"/>
        <v>0</v>
      </c>
      <c r="R95" s="1006">
        <f t="shared" si="149"/>
        <v>0</v>
      </c>
      <c r="S95" s="1007" t="e">
        <f t="shared" si="150"/>
        <v>#VALUE!</v>
      </c>
      <c r="T95" s="258" t="str">
        <f t="shared" si="291"/>
        <v>--</v>
      </c>
      <c r="U95" s="258"/>
      <c r="V95" s="197">
        <f t="shared" si="151"/>
        <v>0</v>
      </c>
      <c r="W95" s="1006">
        <f t="shared" si="152"/>
        <v>0</v>
      </c>
      <c r="X95" s="1007" t="e">
        <f t="shared" si="153"/>
        <v>#VALUE!</v>
      </c>
      <c r="Y95" s="258" t="str">
        <f t="shared" si="292"/>
        <v>--</v>
      </c>
      <c r="Z95" s="258"/>
      <c r="AA95" s="197">
        <f t="shared" si="154"/>
        <v>0</v>
      </c>
      <c r="AB95" s="1006">
        <f t="shared" si="155"/>
        <v>0</v>
      </c>
      <c r="AC95" s="1007" t="e">
        <f t="shared" si="156"/>
        <v>#VALUE!</v>
      </c>
      <c r="AD95" s="258" t="str">
        <f t="shared" si="293"/>
        <v>--</v>
      </c>
      <c r="AE95" s="258"/>
      <c r="AF95" s="197">
        <f t="shared" si="157"/>
        <v>0</v>
      </c>
      <c r="AG95" s="1006">
        <f t="shared" si="158"/>
        <v>0</v>
      </c>
      <c r="AH95" s="1007" t="e">
        <f t="shared" si="159"/>
        <v>#VALUE!</v>
      </c>
      <c r="AI95" s="258" t="str">
        <f t="shared" si="294"/>
        <v>--</v>
      </c>
      <c r="AJ95" s="258"/>
      <c r="AK95" s="197">
        <f t="shared" si="160"/>
        <v>0</v>
      </c>
      <c r="AL95" s="1006">
        <f t="shared" si="161"/>
        <v>0</v>
      </c>
      <c r="AM95" s="1007" t="e">
        <f t="shared" si="162"/>
        <v>#VALUE!</v>
      </c>
      <c r="AN95" s="258" t="str">
        <f t="shared" si="295"/>
        <v>--</v>
      </c>
      <c r="AO95" s="258"/>
      <c r="AP95" s="197">
        <f t="shared" si="163"/>
        <v>0</v>
      </c>
      <c r="AQ95" s="1006">
        <f t="shared" si="164"/>
        <v>0</v>
      </c>
      <c r="AR95" s="1007" t="e">
        <f t="shared" si="165"/>
        <v>#VALUE!</v>
      </c>
      <c r="AS95" s="258" t="str">
        <f t="shared" si="296"/>
        <v>--</v>
      </c>
      <c r="AT95" s="258"/>
      <c r="AU95" s="197">
        <f t="shared" si="166"/>
        <v>0</v>
      </c>
      <c r="AV95" s="1006">
        <f t="shared" si="167"/>
        <v>0</v>
      </c>
      <c r="AW95" s="1007" t="e">
        <f t="shared" si="168"/>
        <v>#VALUE!</v>
      </c>
      <c r="AX95" s="258" t="str">
        <f t="shared" si="297"/>
        <v>--</v>
      </c>
      <c r="AY95" s="258"/>
      <c r="AZ95" s="197">
        <f t="shared" si="169"/>
        <v>0</v>
      </c>
      <c r="BA95" s="1006">
        <f t="shared" si="170"/>
        <v>0</v>
      </c>
      <c r="BB95" s="1007" t="e">
        <f t="shared" si="171"/>
        <v>#VALUE!</v>
      </c>
      <c r="BC95" s="258" t="str">
        <f t="shared" si="298"/>
        <v>--</v>
      </c>
      <c r="BD95" s="258"/>
      <c r="BE95" s="197">
        <f t="shared" si="172"/>
        <v>0</v>
      </c>
      <c r="BF95" s="1006">
        <f t="shared" si="173"/>
        <v>0</v>
      </c>
      <c r="BG95" s="1007" t="e">
        <f t="shared" si="174"/>
        <v>#VALUE!</v>
      </c>
      <c r="BH95" s="258" t="str">
        <f t="shared" si="299"/>
        <v>--</v>
      </c>
      <c r="BI95" s="258"/>
      <c r="BJ95" s="197">
        <f t="shared" si="175"/>
        <v>0</v>
      </c>
      <c r="BK95" s="1006">
        <f t="shared" si="176"/>
        <v>0</v>
      </c>
      <c r="BL95" s="1007" t="e">
        <f t="shared" si="177"/>
        <v>#VALUE!</v>
      </c>
      <c r="BM95" s="258" t="str">
        <f t="shared" si="300"/>
        <v>--</v>
      </c>
      <c r="BN95" s="258"/>
      <c r="BO95" s="197">
        <f t="shared" si="178"/>
        <v>0</v>
      </c>
      <c r="BP95" s="1006">
        <f t="shared" si="179"/>
        <v>0</v>
      </c>
      <c r="BQ95" s="1007" t="e">
        <f t="shared" si="180"/>
        <v>#VALUE!</v>
      </c>
      <c r="BR95" s="258" t="str">
        <f t="shared" si="301"/>
        <v>--</v>
      </c>
      <c r="BS95" s="258"/>
      <c r="BT95" s="197">
        <f t="shared" si="181"/>
        <v>0</v>
      </c>
      <c r="BU95" s="1006">
        <f t="shared" si="182"/>
        <v>0</v>
      </c>
      <c r="BV95" s="1007" t="e">
        <f t="shared" si="183"/>
        <v>#VALUE!</v>
      </c>
      <c r="BW95" s="258" t="str">
        <f t="shared" si="302"/>
        <v>--</v>
      </c>
      <c r="BX95" s="258"/>
      <c r="BY95" s="197">
        <f t="shared" si="184"/>
        <v>0</v>
      </c>
      <c r="BZ95" s="1006">
        <f t="shared" si="185"/>
        <v>0</v>
      </c>
      <c r="CA95" s="1007" t="e">
        <f t="shared" si="186"/>
        <v>#VALUE!</v>
      </c>
      <c r="CB95" s="258" t="str">
        <f t="shared" si="303"/>
        <v>--</v>
      </c>
      <c r="CC95" s="258"/>
      <c r="CD95" s="197">
        <f t="shared" si="187"/>
        <v>0</v>
      </c>
      <c r="CE95" s="1006">
        <f t="shared" si="188"/>
        <v>0</v>
      </c>
      <c r="CF95" s="1007" t="e">
        <f t="shared" si="189"/>
        <v>#VALUE!</v>
      </c>
      <c r="CG95" s="258" t="str">
        <f t="shared" si="304"/>
        <v>--</v>
      </c>
      <c r="CH95" s="258"/>
      <c r="CI95" s="197">
        <f t="shared" si="190"/>
        <v>0</v>
      </c>
      <c r="CJ95" s="1006">
        <f t="shared" si="191"/>
        <v>0</v>
      </c>
      <c r="CK95" s="1007" t="e">
        <f t="shared" si="192"/>
        <v>#VALUE!</v>
      </c>
      <c r="CL95" s="258" t="str">
        <f t="shared" si="305"/>
        <v>--</v>
      </c>
      <c r="CM95" s="258"/>
      <c r="CN95" s="197">
        <f t="shared" si="193"/>
        <v>0</v>
      </c>
      <c r="CO95" s="1006">
        <f t="shared" si="194"/>
        <v>0</v>
      </c>
      <c r="CP95" s="1007" t="e">
        <f t="shared" si="195"/>
        <v>#VALUE!</v>
      </c>
      <c r="CQ95" s="258" t="str">
        <f t="shared" si="306"/>
        <v>--</v>
      </c>
      <c r="CR95" s="258"/>
      <c r="CS95" s="197">
        <f t="shared" si="196"/>
        <v>0</v>
      </c>
      <c r="CT95" s="1006">
        <f t="shared" si="197"/>
        <v>0</v>
      </c>
      <c r="CU95" s="1007" t="e">
        <f t="shared" si="198"/>
        <v>#VALUE!</v>
      </c>
      <c r="CV95" s="258" t="str">
        <f t="shared" si="307"/>
        <v>--</v>
      </c>
      <c r="CW95" s="258"/>
      <c r="CX95" s="197">
        <f t="shared" si="199"/>
        <v>0</v>
      </c>
      <c r="CY95" s="1006">
        <f t="shared" si="200"/>
        <v>0</v>
      </c>
      <c r="CZ95" s="1007" t="e">
        <f t="shared" si="201"/>
        <v>#VALUE!</v>
      </c>
      <c r="DA95" s="258" t="str">
        <f t="shared" si="308"/>
        <v>--</v>
      </c>
      <c r="DB95" s="258"/>
      <c r="DC95" s="197">
        <f t="shared" si="202"/>
        <v>0</v>
      </c>
      <c r="DD95" s="1006">
        <f t="shared" si="203"/>
        <v>0</v>
      </c>
      <c r="DE95" s="1007" t="e">
        <f t="shared" si="204"/>
        <v>#VALUE!</v>
      </c>
      <c r="DF95" s="258" t="str">
        <f t="shared" si="309"/>
        <v>--</v>
      </c>
      <c r="DG95" s="258"/>
      <c r="DH95" s="197">
        <f t="shared" si="205"/>
        <v>0</v>
      </c>
      <c r="DI95" s="1006">
        <f t="shared" si="206"/>
        <v>0</v>
      </c>
      <c r="DJ95" s="1007" t="e">
        <f t="shared" si="207"/>
        <v>#VALUE!</v>
      </c>
      <c r="DK95" s="258" t="str">
        <f t="shared" si="310"/>
        <v>--</v>
      </c>
      <c r="DL95" s="258"/>
      <c r="DM95" s="197">
        <f t="shared" si="208"/>
        <v>0</v>
      </c>
      <c r="DN95" s="1006">
        <f t="shared" si="209"/>
        <v>0</v>
      </c>
      <c r="DO95" s="1007" t="e">
        <f t="shared" si="210"/>
        <v>#VALUE!</v>
      </c>
      <c r="DP95" s="258" t="str">
        <f t="shared" si="311"/>
        <v>--</v>
      </c>
      <c r="DQ95" s="258"/>
      <c r="DR95" s="197">
        <f t="shared" si="211"/>
        <v>0</v>
      </c>
      <c r="DS95" s="1006">
        <f t="shared" si="212"/>
        <v>0</v>
      </c>
      <c r="DT95" s="1007" t="e">
        <f t="shared" si="213"/>
        <v>#VALUE!</v>
      </c>
      <c r="DU95" s="258" t="str">
        <f t="shared" si="312"/>
        <v>--</v>
      </c>
      <c r="DV95" s="258"/>
      <c r="DW95" s="197">
        <f t="shared" si="214"/>
        <v>0</v>
      </c>
      <c r="DX95" s="1006">
        <f t="shared" si="215"/>
        <v>0</v>
      </c>
      <c r="DY95" s="1007" t="e">
        <f t="shared" si="216"/>
        <v>#VALUE!</v>
      </c>
      <c r="DZ95" s="258" t="str">
        <f t="shared" si="313"/>
        <v>--</v>
      </c>
      <c r="EA95" s="258"/>
      <c r="EB95" s="197">
        <f t="shared" si="217"/>
        <v>0</v>
      </c>
      <c r="EC95" s="1006">
        <f t="shared" si="218"/>
        <v>0</v>
      </c>
      <c r="ED95" s="1007" t="e">
        <f t="shared" si="219"/>
        <v>#VALUE!</v>
      </c>
      <c r="EE95" s="258" t="str">
        <f t="shared" si="314"/>
        <v>--</v>
      </c>
      <c r="EF95" s="258"/>
      <c r="EG95" s="197">
        <f t="shared" si="220"/>
        <v>0</v>
      </c>
      <c r="EH95" s="1006">
        <f t="shared" si="221"/>
        <v>0</v>
      </c>
      <c r="EI95" s="1007" t="e">
        <f t="shared" si="222"/>
        <v>#VALUE!</v>
      </c>
      <c r="EJ95" s="258" t="str">
        <f t="shared" si="315"/>
        <v>--</v>
      </c>
      <c r="EK95" s="258"/>
      <c r="EL95" s="197">
        <f t="shared" si="223"/>
        <v>0</v>
      </c>
      <c r="EM95" s="1006">
        <f t="shared" si="224"/>
        <v>0</v>
      </c>
      <c r="EN95" s="1007" t="e">
        <f t="shared" si="225"/>
        <v>#VALUE!</v>
      </c>
      <c r="EO95" s="258" t="str">
        <f t="shared" si="316"/>
        <v>--</v>
      </c>
      <c r="EP95" s="258"/>
      <c r="EQ95" s="197">
        <f t="shared" si="226"/>
        <v>0</v>
      </c>
      <c r="ER95" s="1006">
        <f t="shared" si="227"/>
        <v>0</v>
      </c>
      <c r="ES95" s="1007" t="e">
        <f t="shared" si="228"/>
        <v>#VALUE!</v>
      </c>
      <c r="ET95" s="258" t="str">
        <f t="shared" si="317"/>
        <v>--</v>
      </c>
      <c r="EU95" s="258"/>
      <c r="EV95" s="197">
        <f t="shared" si="229"/>
        <v>0</v>
      </c>
      <c r="EW95" s="1006">
        <f t="shared" si="230"/>
        <v>0</v>
      </c>
      <c r="EX95" s="1007" t="e">
        <f t="shared" si="231"/>
        <v>#VALUE!</v>
      </c>
      <c r="EY95" s="258" t="str">
        <f t="shared" si="318"/>
        <v>--</v>
      </c>
      <c r="EZ95" s="258"/>
      <c r="FA95" s="197">
        <f t="shared" si="232"/>
        <v>0</v>
      </c>
      <c r="FB95" s="1006">
        <f t="shared" si="233"/>
        <v>0</v>
      </c>
      <c r="FC95" s="1007" t="e">
        <f t="shared" si="234"/>
        <v>#VALUE!</v>
      </c>
      <c r="FD95" s="258" t="str">
        <f t="shared" si="319"/>
        <v>--</v>
      </c>
      <c r="FE95" s="258"/>
      <c r="FF95" s="197">
        <f t="shared" si="235"/>
        <v>0</v>
      </c>
      <c r="FG95" s="1006">
        <f t="shared" si="236"/>
        <v>0</v>
      </c>
      <c r="FH95" s="1007" t="e">
        <f t="shared" si="237"/>
        <v>#VALUE!</v>
      </c>
      <c r="FI95" s="258" t="str">
        <f t="shared" si="320"/>
        <v>--</v>
      </c>
      <c r="FJ95" s="258"/>
      <c r="FK95" s="197">
        <f t="shared" si="238"/>
        <v>0</v>
      </c>
      <c r="FL95" s="1006">
        <f t="shared" si="239"/>
        <v>0</v>
      </c>
      <c r="FM95" s="1007" t="e">
        <f t="shared" si="240"/>
        <v>#VALUE!</v>
      </c>
      <c r="FN95" s="258" t="str">
        <f t="shared" si="321"/>
        <v>--</v>
      </c>
      <c r="FO95" s="258"/>
      <c r="FP95" s="197">
        <f t="shared" si="241"/>
        <v>0</v>
      </c>
      <c r="FQ95" s="1006">
        <f t="shared" si="242"/>
        <v>0</v>
      </c>
      <c r="FR95" s="1007" t="e">
        <f t="shared" si="243"/>
        <v>#VALUE!</v>
      </c>
      <c r="FS95" s="258" t="str">
        <f t="shared" si="322"/>
        <v>--</v>
      </c>
      <c r="FT95" s="258"/>
      <c r="FU95" s="197">
        <f t="shared" si="244"/>
        <v>0</v>
      </c>
      <c r="FV95" s="1006">
        <f t="shared" si="245"/>
        <v>0</v>
      </c>
      <c r="FW95" s="1007" t="e">
        <f t="shared" si="246"/>
        <v>#VALUE!</v>
      </c>
      <c r="FX95" s="258" t="str">
        <f t="shared" si="323"/>
        <v>--</v>
      </c>
      <c r="FY95" s="258"/>
      <c r="FZ95" s="197">
        <f t="shared" si="247"/>
        <v>0</v>
      </c>
      <c r="GA95" s="1006">
        <f t="shared" si="248"/>
        <v>0</v>
      </c>
      <c r="GB95" s="1007" t="e">
        <f t="shared" si="249"/>
        <v>#VALUE!</v>
      </c>
      <c r="GC95" s="258" t="str">
        <f t="shared" si="324"/>
        <v>--</v>
      </c>
      <c r="GD95" s="258"/>
      <c r="GE95" s="197">
        <f t="shared" si="250"/>
        <v>0</v>
      </c>
      <c r="GF95" s="1006">
        <f t="shared" si="251"/>
        <v>0</v>
      </c>
      <c r="GG95" s="1007" t="e">
        <f t="shared" si="252"/>
        <v>#VALUE!</v>
      </c>
      <c r="GH95" s="258" t="str">
        <f t="shared" si="325"/>
        <v>--</v>
      </c>
      <c r="GI95" s="258"/>
      <c r="GJ95" s="197">
        <f t="shared" si="253"/>
        <v>0</v>
      </c>
      <c r="GK95" s="1340"/>
      <c r="GL95" s="164"/>
      <c r="GM95" s="164"/>
      <c r="GN95" s="164"/>
    </row>
    <row r="96" spans="1:196" ht="12.75" x14ac:dyDescent="0.2">
      <c r="A96" s="243">
        <f>'Item list'!A96</f>
        <v>0</v>
      </c>
      <c r="B96" s="243">
        <f>'Item list'!B96</f>
        <v>0</v>
      </c>
      <c r="C96" s="243">
        <f>'Item list'!C96</f>
        <v>0</v>
      </c>
      <c r="D96" s="989">
        <f>'Item list'!D96</f>
        <v>0</v>
      </c>
      <c r="E96" s="243">
        <f>'Item list'!E96</f>
        <v>0</v>
      </c>
      <c r="F96" s="243">
        <f>'Item list'!F96</f>
        <v>0</v>
      </c>
      <c r="G96" s="243">
        <f>'Item list'!G96</f>
        <v>0</v>
      </c>
      <c r="H96" s="1005" t="e">
        <f t="shared" si="144"/>
        <v>#REF!</v>
      </c>
      <c r="I96" s="243"/>
      <c r="J96" s="243"/>
      <c r="K96" s="243"/>
      <c r="L96" s="197">
        <f t="shared" si="145"/>
        <v>0</v>
      </c>
      <c r="M96" s="1006">
        <f t="shared" si="146"/>
        <v>0</v>
      </c>
      <c r="N96" s="1007" t="e">
        <f t="shared" si="147"/>
        <v>#VALUE!</v>
      </c>
      <c r="O96" s="258" t="str">
        <f t="shared" si="290"/>
        <v>--</v>
      </c>
      <c r="P96" s="258"/>
      <c r="Q96" s="197">
        <f t="shared" si="148"/>
        <v>0</v>
      </c>
      <c r="R96" s="1006">
        <f t="shared" si="149"/>
        <v>0</v>
      </c>
      <c r="S96" s="1007" t="e">
        <f t="shared" si="150"/>
        <v>#VALUE!</v>
      </c>
      <c r="T96" s="258" t="str">
        <f t="shared" si="291"/>
        <v>--</v>
      </c>
      <c r="U96" s="258"/>
      <c r="V96" s="197">
        <f t="shared" si="151"/>
        <v>0</v>
      </c>
      <c r="W96" s="1006">
        <f t="shared" si="152"/>
        <v>0</v>
      </c>
      <c r="X96" s="1007" t="e">
        <f t="shared" si="153"/>
        <v>#VALUE!</v>
      </c>
      <c r="Y96" s="258" t="str">
        <f t="shared" si="292"/>
        <v>--</v>
      </c>
      <c r="Z96" s="258"/>
      <c r="AA96" s="197">
        <f t="shared" si="154"/>
        <v>0</v>
      </c>
      <c r="AB96" s="1006">
        <f t="shared" si="155"/>
        <v>0</v>
      </c>
      <c r="AC96" s="1007" t="e">
        <f t="shared" si="156"/>
        <v>#VALUE!</v>
      </c>
      <c r="AD96" s="258" t="str">
        <f t="shared" si="293"/>
        <v>--</v>
      </c>
      <c r="AE96" s="258"/>
      <c r="AF96" s="197">
        <f t="shared" si="157"/>
        <v>0</v>
      </c>
      <c r="AG96" s="1006">
        <f t="shared" si="158"/>
        <v>0</v>
      </c>
      <c r="AH96" s="1007" t="e">
        <f t="shared" si="159"/>
        <v>#VALUE!</v>
      </c>
      <c r="AI96" s="258" t="str">
        <f t="shared" si="294"/>
        <v>--</v>
      </c>
      <c r="AJ96" s="258"/>
      <c r="AK96" s="197">
        <f t="shared" si="160"/>
        <v>0</v>
      </c>
      <c r="AL96" s="1006">
        <f t="shared" si="161"/>
        <v>0</v>
      </c>
      <c r="AM96" s="1007" t="e">
        <f t="shared" si="162"/>
        <v>#VALUE!</v>
      </c>
      <c r="AN96" s="258" t="str">
        <f t="shared" si="295"/>
        <v>--</v>
      </c>
      <c r="AO96" s="258"/>
      <c r="AP96" s="197">
        <f t="shared" si="163"/>
        <v>0</v>
      </c>
      <c r="AQ96" s="1006">
        <f t="shared" si="164"/>
        <v>0</v>
      </c>
      <c r="AR96" s="1007" t="e">
        <f t="shared" si="165"/>
        <v>#VALUE!</v>
      </c>
      <c r="AS96" s="258" t="str">
        <f t="shared" si="296"/>
        <v>--</v>
      </c>
      <c r="AT96" s="258"/>
      <c r="AU96" s="197">
        <f t="shared" si="166"/>
        <v>0</v>
      </c>
      <c r="AV96" s="1006">
        <f t="shared" si="167"/>
        <v>0</v>
      </c>
      <c r="AW96" s="1007" t="e">
        <f t="shared" si="168"/>
        <v>#VALUE!</v>
      </c>
      <c r="AX96" s="258" t="str">
        <f t="shared" si="297"/>
        <v>--</v>
      </c>
      <c r="AY96" s="258"/>
      <c r="AZ96" s="197">
        <f t="shared" si="169"/>
        <v>0</v>
      </c>
      <c r="BA96" s="1006">
        <f t="shared" si="170"/>
        <v>0</v>
      </c>
      <c r="BB96" s="1007" t="e">
        <f t="shared" si="171"/>
        <v>#VALUE!</v>
      </c>
      <c r="BC96" s="258" t="str">
        <f t="shared" si="298"/>
        <v>--</v>
      </c>
      <c r="BD96" s="258"/>
      <c r="BE96" s="197">
        <f t="shared" si="172"/>
        <v>0</v>
      </c>
      <c r="BF96" s="1006">
        <f t="shared" si="173"/>
        <v>0</v>
      </c>
      <c r="BG96" s="1007" t="e">
        <f t="shared" si="174"/>
        <v>#VALUE!</v>
      </c>
      <c r="BH96" s="258" t="str">
        <f t="shared" si="299"/>
        <v>--</v>
      </c>
      <c r="BI96" s="258"/>
      <c r="BJ96" s="197">
        <f t="shared" si="175"/>
        <v>0</v>
      </c>
      <c r="BK96" s="1006">
        <f t="shared" si="176"/>
        <v>0</v>
      </c>
      <c r="BL96" s="1007" t="e">
        <f t="shared" si="177"/>
        <v>#VALUE!</v>
      </c>
      <c r="BM96" s="258" t="str">
        <f t="shared" si="300"/>
        <v>--</v>
      </c>
      <c r="BN96" s="258"/>
      <c r="BO96" s="197">
        <f t="shared" si="178"/>
        <v>0</v>
      </c>
      <c r="BP96" s="1006">
        <f t="shared" si="179"/>
        <v>0</v>
      </c>
      <c r="BQ96" s="1007" t="e">
        <f t="shared" si="180"/>
        <v>#VALUE!</v>
      </c>
      <c r="BR96" s="258" t="str">
        <f t="shared" si="301"/>
        <v>--</v>
      </c>
      <c r="BS96" s="258"/>
      <c r="BT96" s="197">
        <f t="shared" si="181"/>
        <v>0</v>
      </c>
      <c r="BU96" s="1006">
        <f t="shared" si="182"/>
        <v>0</v>
      </c>
      <c r="BV96" s="1007" t="e">
        <f t="shared" si="183"/>
        <v>#VALUE!</v>
      </c>
      <c r="BW96" s="258" t="str">
        <f t="shared" si="302"/>
        <v>--</v>
      </c>
      <c r="BX96" s="258"/>
      <c r="BY96" s="197">
        <f t="shared" si="184"/>
        <v>0</v>
      </c>
      <c r="BZ96" s="1006">
        <f t="shared" si="185"/>
        <v>0</v>
      </c>
      <c r="CA96" s="1007" t="e">
        <f t="shared" si="186"/>
        <v>#VALUE!</v>
      </c>
      <c r="CB96" s="258" t="str">
        <f t="shared" si="303"/>
        <v>--</v>
      </c>
      <c r="CC96" s="258"/>
      <c r="CD96" s="197">
        <f t="shared" si="187"/>
        <v>0</v>
      </c>
      <c r="CE96" s="1006">
        <f t="shared" si="188"/>
        <v>0</v>
      </c>
      <c r="CF96" s="1007" t="e">
        <f t="shared" si="189"/>
        <v>#VALUE!</v>
      </c>
      <c r="CG96" s="258" t="str">
        <f t="shared" si="304"/>
        <v>--</v>
      </c>
      <c r="CH96" s="258"/>
      <c r="CI96" s="197">
        <f t="shared" si="190"/>
        <v>0</v>
      </c>
      <c r="CJ96" s="1006">
        <f t="shared" si="191"/>
        <v>0</v>
      </c>
      <c r="CK96" s="1007" t="e">
        <f t="shared" si="192"/>
        <v>#VALUE!</v>
      </c>
      <c r="CL96" s="258" t="str">
        <f t="shared" si="305"/>
        <v>--</v>
      </c>
      <c r="CM96" s="258"/>
      <c r="CN96" s="197">
        <f t="shared" si="193"/>
        <v>0</v>
      </c>
      <c r="CO96" s="1006">
        <f t="shared" si="194"/>
        <v>0</v>
      </c>
      <c r="CP96" s="1007" t="e">
        <f t="shared" si="195"/>
        <v>#VALUE!</v>
      </c>
      <c r="CQ96" s="258" t="str">
        <f t="shared" si="306"/>
        <v>--</v>
      </c>
      <c r="CR96" s="258"/>
      <c r="CS96" s="197">
        <f t="shared" si="196"/>
        <v>0</v>
      </c>
      <c r="CT96" s="1006">
        <f t="shared" si="197"/>
        <v>0</v>
      </c>
      <c r="CU96" s="1007" t="e">
        <f t="shared" si="198"/>
        <v>#VALUE!</v>
      </c>
      <c r="CV96" s="258" t="str">
        <f t="shared" si="307"/>
        <v>--</v>
      </c>
      <c r="CW96" s="258"/>
      <c r="CX96" s="197">
        <f t="shared" si="199"/>
        <v>0</v>
      </c>
      <c r="CY96" s="1006">
        <f t="shared" si="200"/>
        <v>0</v>
      </c>
      <c r="CZ96" s="1007" t="e">
        <f t="shared" si="201"/>
        <v>#VALUE!</v>
      </c>
      <c r="DA96" s="258" t="str">
        <f t="shared" si="308"/>
        <v>--</v>
      </c>
      <c r="DB96" s="258"/>
      <c r="DC96" s="197">
        <f t="shared" si="202"/>
        <v>0</v>
      </c>
      <c r="DD96" s="1006">
        <f t="shared" si="203"/>
        <v>0</v>
      </c>
      <c r="DE96" s="1007" t="e">
        <f t="shared" si="204"/>
        <v>#VALUE!</v>
      </c>
      <c r="DF96" s="258" t="str">
        <f t="shared" si="309"/>
        <v>--</v>
      </c>
      <c r="DG96" s="258"/>
      <c r="DH96" s="197">
        <f t="shared" si="205"/>
        <v>0</v>
      </c>
      <c r="DI96" s="1006">
        <f t="shared" si="206"/>
        <v>0</v>
      </c>
      <c r="DJ96" s="1007" t="e">
        <f t="shared" si="207"/>
        <v>#VALUE!</v>
      </c>
      <c r="DK96" s="258" t="str">
        <f t="shared" si="310"/>
        <v>--</v>
      </c>
      <c r="DL96" s="258"/>
      <c r="DM96" s="197">
        <f t="shared" si="208"/>
        <v>0</v>
      </c>
      <c r="DN96" s="1006">
        <f t="shared" si="209"/>
        <v>0</v>
      </c>
      <c r="DO96" s="1007" t="e">
        <f t="shared" si="210"/>
        <v>#VALUE!</v>
      </c>
      <c r="DP96" s="258" t="str">
        <f t="shared" si="311"/>
        <v>--</v>
      </c>
      <c r="DQ96" s="258"/>
      <c r="DR96" s="197">
        <f t="shared" si="211"/>
        <v>0</v>
      </c>
      <c r="DS96" s="1006">
        <f t="shared" si="212"/>
        <v>0</v>
      </c>
      <c r="DT96" s="1007" t="e">
        <f t="shared" si="213"/>
        <v>#VALUE!</v>
      </c>
      <c r="DU96" s="258" t="str">
        <f t="shared" si="312"/>
        <v>--</v>
      </c>
      <c r="DV96" s="258"/>
      <c r="DW96" s="197">
        <f t="shared" si="214"/>
        <v>0</v>
      </c>
      <c r="DX96" s="1006">
        <f t="shared" si="215"/>
        <v>0</v>
      </c>
      <c r="DY96" s="1007" t="e">
        <f t="shared" si="216"/>
        <v>#VALUE!</v>
      </c>
      <c r="DZ96" s="258" t="str">
        <f t="shared" si="313"/>
        <v>--</v>
      </c>
      <c r="EA96" s="258"/>
      <c r="EB96" s="197">
        <f t="shared" si="217"/>
        <v>0</v>
      </c>
      <c r="EC96" s="1006">
        <f t="shared" si="218"/>
        <v>0</v>
      </c>
      <c r="ED96" s="1007" t="e">
        <f t="shared" si="219"/>
        <v>#VALUE!</v>
      </c>
      <c r="EE96" s="258" t="str">
        <f t="shared" si="314"/>
        <v>--</v>
      </c>
      <c r="EF96" s="258"/>
      <c r="EG96" s="197">
        <f t="shared" si="220"/>
        <v>0</v>
      </c>
      <c r="EH96" s="1006">
        <f t="shared" si="221"/>
        <v>0</v>
      </c>
      <c r="EI96" s="1007" t="e">
        <f t="shared" si="222"/>
        <v>#VALUE!</v>
      </c>
      <c r="EJ96" s="258" t="str">
        <f t="shared" si="315"/>
        <v>--</v>
      </c>
      <c r="EK96" s="258"/>
      <c r="EL96" s="197">
        <f t="shared" si="223"/>
        <v>0</v>
      </c>
      <c r="EM96" s="1006">
        <f t="shared" si="224"/>
        <v>0</v>
      </c>
      <c r="EN96" s="1007" t="e">
        <f t="shared" si="225"/>
        <v>#VALUE!</v>
      </c>
      <c r="EO96" s="258" t="str">
        <f t="shared" si="316"/>
        <v>--</v>
      </c>
      <c r="EP96" s="258"/>
      <c r="EQ96" s="197">
        <f t="shared" si="226"/>
        <v>0</v>
      </c>
      <c r="ER96" s="1006">
        <f t="shared" si="227"/>
        <v>0</v>
      </c>
      <c r="ES96" s="1007" t="e">
        <f t="shared" si="228"/>
        <v>#VALUE!</v>
      </c>
      <c r="ET96" s="258" t="str">
        <f t="shared" si="317"/>
        <v>--</v>
      </c>
      <c r="EU96" s="258"/>
      <c r="EV96" s="197">
        <f t="shared" si="229"/>
        <v>0</v>
      </c>
      <c r="EW96" s="1006">
        <f t="shared" si="230"/>
        <v>0</v>
      </c>
      <c r="EX96" s="1007" t="e">
        <f t="shared" si="231"/>
        <v>#VALUE!</v>
      </c>
      <c r="EY96" s="258" t="str">
        <f t="shared" si="318"/>
        <v>--</v>
      </c>
      <c r="EZ96" s="258"/>
      <c r="FA96" s="197">
        <f t="shared" si="232"/>
        <v>0</v>
      </c>
      <c r="FB96" s="1006">
        <f t="shared" si="233"/>
        <v>0</v>
      </c>
      <c r="FC96" s="1007" t="e">
        <f t="shared" si="234"/>
        <v>#VALUE!</v>
      </c>
      <c r="FD96" s="258" t="str">
        <f t="shared" si="319"/>
        <v>--</v>
      </c>
      <c r="FE96" s="258"/>
      <c r="FF96" s="197">
        <f t="shared" si="235"/>
        <v>0</v>
      </c>
      <c r="FG96" s="1006">
        <f t="shared" si="236"/>
        <v>0</v>
      </c>
      <c r="FH96" s="1007" t="e">
        <f t="shared" si="237"/>
        <v>#VALUE!</v>
      </c>
      <c r="FI96" s="258" t="str">
        <f t="shared" si="320"/>
        <v>--</v>
      </c>
      <c r="FJ96" s="258"/>
      <c r="FK96" s="197">
        <f t="shared" si="238"/>
        <v>0</v>
      </c>
      <c r="FL96" s="1006">
        <f t="shared" si="239"/>
        <v>0</v>
      </c>
      <c r="FM96" s="1007" t="e">
        <f t="shared" si="240"/>
        <v>#VALUE!</v>
      </c>
      <c r="FN96" s="258" t="str">
        <f t="shared" si="321"/>
        <v>--</v>
      </c>
      <c r="FO96" s="258"/>
      <c r="FP96" s="197">
        <f t="shared" si="241"/>
        <v>0</v>
      </c>
      <c r="FQ96" s="1006">
        <f t="shared" si="242"/>
        <v>0</v>
      </c>
      <c r="FR96" s="1007" t="e">
        <f t="shared" si="243"/>
        <v>#VALUE!</v>
      </c>
      <c r="FS96" s="258" t="str">
        <f t="shared" si="322"/>
        <v>--</v>
      </c>
      <c r="FT96" s="258"/>
      <c r="FU96" s="197">
        <f t="shared" si="244"/>
        <v>0</v>
      </c>
      <c r="FV96" s="1006">
        <f t="shared" si="245"/>
        <v>0</v>
      </c>
      <c r="FW96" s="1007" t="e">
        <f t="shared" si="246"/>
        <v>#VALUE!</v>
      </c>
      <c r="FX96" s="258" t="str">
        <f t="shared" si="323"/>
        <v>--</v>
      </c>
      <c r="FY96" s="258"/>
      <c r="FZ96" s="197">
        <f t="shared" si="247"/>
        <v>0</v>
      </c>
      <c r="GA96" s="1006">
        <f t="shared" si="248"/>
        <v>0</v>
      </c>
      <c r="GB96" s="1007" t="e">
        <f t="shared" si="249"/>
        <v>#VALUE!</v>
      </c>
      <c r="GC96" s="258" t="str">
        <f t="shared" si="324"/>
        <v>--</v>
      </c>
      <c r="GD96" s="258"/>
      <c r="GE96" s="197">
        <f t="shared" si="250"/>
        <v>0</v>
      </c>
      <c r="GF96" s="1006">
        <f t="shared" si="251"/>
        <v>0</v>
      </c>
      <c r="GG96" s="1007" t="e">
        <f t="shared" si="252"/>
        <v>#VALUE!</v>
      </c>
      <c r="GH96" s="258" t="str">
        <f t="shared" si="325"/>
        <v>--</v>
      </c>
      <c r="GI96" s="258"/>
      <c r="GJ96" s="197">
        <f t="shared" si="253"/>
        <v>0</v>
      </c>
      <c r="GK96" s="1340"/>
      <c r="GL96" s="164"/>
      <c r="GM96" s="164"/>
      <c r="GN96" s="164"/>
    </row>
  </sheetData>
  <mergeCells count="39">
    <mergeCell ref="A1:D8"/>
    <mergeCell ref="A13:G15"/>
    <mergeCell ref="H16:L16"/>
    <mergeCell ref="M16:Q16"/>
    <mergeCell ref="W16:AA16"/>
    <mergeCell ref="AB16:AF16"/>
    <mergeCell ref="R16:V16"/>
    <mergeCell ref="AG16:AK16"/>
    <mergeCell ref="AL16:AP16"/>
    <mergeCell ref="AQ16:AU16"/>
    <mergeCell ref="AV16:AZ16"/>
    <mergeCell ref="BA16:BE16"/>
    <mergeCell ref="BF16:BJ16"/>
    <mergeCell ref="BK16:BO16"/>
    <mergeCell ref="BP16:BT16"/>
    <mergeCell ref="BU16:BY16"/>
    <mergeCell ref="BZ16:CD16"/>
    <mergeCell ref="CE16:CI16"/>
    <mergeCell ref="CJ16:CN16"/>
    <mergeCell ref="CO16:CS16"/>
    <mergeCell ref="CT16:CX16"/>
    <mergeCell ref="CY16:DC16"/>
    <mergeCell ref="DD16:DH16"/>
    <mergeCell ref="DI16:DM16"/>
    <mergeCell ref="DN16:DR16"/>
    <mergeCell ref="DS16:DW16"/>
    <mergeCell ref="DX16:EB16"/>
    <mergeCell ref="EC16:EG16"/>
    <mergeCell ref="FQ16:FU16"/>
    <mergeCell ref="FV16:FZ16"/>
    <mergeCell ref="GA16:GE16"/>
    <mergeCell ref="GF16:GJ16"/>
    <mergeCell ref="EH16:EL16"/>
    <mergeCell ref="EM16:EQ16"/>
    <mergeCell ref="ER16:EV16"/>
    <mergeCell ref="EW16:FA16"/>
    <mergeCell ref="FB16:FF16"/>
    <mergeCell ref="FG16:FK16"/>
    <mergeCell ref="FL16:FP16"/>
  </mergeCells>
  <dataValidations count="2">
    <dataValidation type="list" allowBlank="1" showErrorMessage="1" sqref="C19:C96" xr:uid="{00000000-0002-0000-1200-000000000000}">
      <formula1>"Building,Computer Hardware,Computer Software,Factory Equipment,Furnitures &amp; Fixtures,Machinery,Office Equipment,Other Fixed Assets,Vehicles"</formula1>
    </dataValidation>
    <dataValidation type="list" allowBlank="1" showErrorMessage="1" sqref="G19:G96" xr:uid="{00000000-0002-0000-1200-000001000000}">
      <formula1>"SLN,DDB"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2"/>
  <sheetViews>
    <sheetView workbookViewId="0"/>
  </sheetViews>
  <sheetFormatPr defaultColWidth="12.5703125" defaultRowHeight="15.75" customHeight="1" x14ac:dyDescent="0.2"/>
  <sheetData>
    <row r="1" spans="1:3" x14ac:dyDescent="0.2">
      <c r="A1" s="1341" t="s">
        <v>510</v>
      </c>
      <c r="C1" s="1342" t="s">
        <v>511</v>
      </c>
    </row>
    <row r="2" spans="1:3" x14ac:dyDescent="0.2">
      <c r="A2" s="1341" t="s">
        <v>512</v>
      </c>
      <c r="C2" s="1342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M&amp;S</vt:lpstr>
      <vt:lpstr>Parameter</vt:lpstr>
      <vt:lpstr>Delayed payment</vt:lpstr>
      <vt:lpstr>Marketing plan</vt:lpstr>
      <vt:lpstr>Operations plan</vt:lpstr>
      <vt:lpstr>Expenses</vt:lpstr>
      <vt:lpstr>OP</vt:lpstr>
      <vt:lpstr>FINAL BACKUP OPs PLAN</vt:lpstr>
      <vt:lpstr>Item list</vt:lpstr>
      <vt:lpstr>Salaries and wages</vt:lpstr>
      <vt:lpstr>MAN</vt:lpstr>
      <vt:lpstr>Paycheck schedule</vt:lpstr>
      <vt:lpstr>INCOME STATEMENT</vt:lpstr>
      <vt:lpstr>BALANCE SHEET</vt:lpstr>
      <vt:lpstr>CASH FLOW STATEMENT</vt:lpstr>
      <vt:lpstr>Loan repay {supplement}</vt:lpstr>
      <vt:lpstr>Spending {supplement}</vt:lpstr>
      <vt:lpstr>Dep. plan monthly {supplement}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Khánh Nguyễn</dc:creator>
  <cp:lastModifiedBy>Gia Khánh Nguyễn</cp:lastModifiedBy>
  <dcterms:created xsi:type="dcterms:W3CDTF">2024-12-17T16:03:26Z</dcterms:created>
  <dcterms:modified xsi:type="dcterms:W3CDTF">2024-12-17T16:17:07Z</dcterms:modified>
</cp:coreProperties>
</file>